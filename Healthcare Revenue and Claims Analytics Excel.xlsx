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8_{B3738520-8A8A-4DA6-977F-F306A5A65AE0}" xr6:coauthVersionLast="47" xr6:coauthVersionMax="47" xr10:uidLastSave="{00000000-0000-0000-0000-000000000000}"/>
  <bookViews>
    <workbookView xWindow="-110" yWindow="-110" windowWidth="19420" windowHeight="11500" tabRatio="895" firstSheet="8" activeTab="13" xr2:uid="{7585522B-2177-4AF2-8647-5439DF9120D3}"/>
  </bookViews>
  <sheets>
    <sheet name="Patients_Raw" sheetId="2" r:id="rId1"/>
    <sheet name="Providers_Raw" sheetId="6" r:id="rId2"/>
    <sheet name="Services_Raw" sheetId="7" r:id="rId3"/>
    <sheet name="Claims_Raw" sheetId="8" r:id="rId4"/>
    <sheet name="Claim_Lines_Raw" sheetId="9" r:id="rId5"/>
    <sheet name="Payments_Raw" sheetId="10" r:id="rId6"/>
    <sheet name="Claim_Denials_Raw" sheetId="11" r:id="rId7"/>
    <sheet name="Insurance_Payers_Raw" sheetId="12" r:id="rId8"/>
    <sheet name="Claim_Lines_Cleaned" sheetId="16" r:id="rId9"/>
    <sheet name="Claims_Cleaned" sheetId="13" r:id="rId10"/>
    <sheet name="Patients_Cleaned" sheetId="17" r:id="rId11"/>
    <sheet name="Payments_Cleaned" sheetId="14" r:id="rId12"/>
    <sheet name="Services_Cleaned" sheetId="19" r:id="rId13"/>
    <sheet name="Providers_Cleaned" sheetId="18" r:id="rId14"/>
    <sheet name="Claim_Denials_Cleaned" sheetId="15" r:id="rId15"/>
    <sheet name="Avg_processing_days_pivot" sheetId="30" r:id="rId16"/>
    <sheet name="Monthly_Denied_Claim-Pivot" sheetId="28" r:id="rId17"/>
    <sheet name="Denied_reason_amount_pivot" sheetId="29" r:id="rId18"/>
    <sheet name="Avg_billed_insurancetype-pivot" sheetId="31" r:id="rId19"/>
    <sheet name="Monthly_trend_pivot" sheetId="26" r:id="rId20"/>
    <sheet name="Claim_insurance_pivot" sheetId="21" r:id="rId21"/>
    <sheet name="Denial_reason_pivot" sheetId="22" r:id="rId22"/>
    <sheet name="denied_insurancetype_pivot" sheetId="24" r:id="rId23"/>
    <sheet name="KPI_Summary" sheetId="5" r:id="rId24"/>
  </sheets>
  <definedNames>
    <definedName name="ExternalData_1" localSheetId="14" hidden="1">'Claim_Denials_Cleaned'!$A$1:$F$318</definedName>
    <definedName name="ExternalData_1" localSheetId="6" hidden="1">'Claim_Denials_Raw'!$A$1:$E$318</definedName>
    <definedName name="ExternalData_1" localSheetId="8" hidden="1">'Claim_Lines_Cleaned'!$A$1:$E$2001</definedName>
    <definedName name="ExternalData_1" localSheetId="4" hidden="1">'Claim_Lines_Raw'!$A$1:$E$2001</definedName>
    <definedName name="ExternalData_1" localSheetId="9" hidden="1">'Claims_Cleaned'!$A$1:$M$2001</definedName>
    <definedName name="ExternalData_1" localSheetId="3" hidden="1">'Claims_Raw'!$A$1:$K$2001</definedName>
    <definedName name="ExternalData_1" localSheetId="7" hidden="1">Insurance_Payers_Raw!$A$1:$E$9</definedName>
    <definedName name="ExternalData_1" localSheetId="10" hidden="1">Patients_Cleaned!$A$1:$E$501</definedName>
    <definedName name="ExternalData_1" localSheetId="0" hidden="1">Patients_Raw!$A$1:$E$501</definedName>
    <definedName name="ExternalData_1" localSheetId="11" hidden="1">Payments_Cleaned!$A$1:$G$1487</definedName>
    <definedName name="ExternalData_1" localSheetId="5" hidden="1">Payments_Raw!$A$1:$F$1487</definedName>
    <definedName name="ExternalData_1" localSheetId="13" hidden="1">Providers_Cleaned!$A$1:$E$41</definedName>
    <definedName name="ExternalData_1" localSheetId="1" hidden="1">Providers_Raw!$A$1:$E$41</definedName>
    <definedName name="ExternalData_1" localSheetId="12" hidden="1">Services_Cleaned!$A$1:$D$26</definedName>
    <definedName name="ExternalData_1" localSheetId="2" hidden="1">Services_Raw!$A$1:$D$26</definedName>
  </definedNames>
  <calcPr calcId="191029"/>
  <pivotCaches>
    <pivotCache cacheId="0" r:id="rId25"/>
    <pivotCache cacheId="1" r:id="rId26"/>
    <pivotCache cacheId="2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3" l="1"/>
  <c r="B22" i="5"/>
  <c r="B21" i="5"/>
  <c r="B20" i="5"/>
  <c r="B19" i="5"/>
  <c r="B18" i="5"/>
  <c r="B14" i="5"/>
  <c r="B13" i="5"/>
  <c r="B12" i="5"/>
  <c r="B7" i="5"/>
  <c r="B9" i="5"/>
  <c r="B8" i="5"/>
  <c r="B6" i="5"/>
  <c r="B5" i="5"/>
  <c r="B4" i="5"/>
  <c r="B3" i="5"/>
  <c r="B2" i="5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991" i="14"/>
  <c r="D992" i="14"/>
  <c r="D993" i="14"/>
  <c r="D994" i="14"/>
  <c r="D995" i="14"/>
  <c r="D996" i="14"/>
  <c r="D997" i="14"/>
  <c r="D998" i="14"/>
  <c r="D999" i="14"/>
  <c r="D1000" i="14"/>
  <c r="D1001" i="14"/>
  <c r="D1002" i="14"/>
  <c r="D1003" i="14"/>
  <c r="D1004" i="14"/>
  <c r="D1005" i="14"/>
  <c r="D1006" i="14"/>
  <c r="D1007" i="14"/>
  <c r="D1008" i="14"/>
  <c r="D1009" i="14"/>
  <c r="D1010" i="14"/>
  <c r="D1011" i="14"/>
  <c r="D1012" i="14"/>
  <c r="D1013" i="14"/>
  <c r="D1014" i="14"/>
  <c r="D1015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1" i="14"/>
  <c r="D1032" i="14"/>
  <c r="D1033" i="14"/>
  <c r="D1034" i="14"/>
  <c r="D1035" i="14"/>
  <c r="D1036" i="14"/>
  <c r="D1037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6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79" i="14"/>
  <c r="D1080" i="14"/>
  <c r="D1081" i="14"/>
  <c r="D1082" i="14"/>
  <c r="D1083" i="14"/>
  <c r="D1084" i="14"/>
  <c r="D1085" i="14"/>
  <c r="D1086" i="14"/>
  <c r="D1087" i="14"/>
  <c r="D1088" i="14"/>
  <c r="D1089" i="14"/>
  <c r="D1090" i="14"/>
  <c r="D1091" i="14"/>
  <c r="D1092" i="14"/>
  <c r="D1093" i="14"/>
  <c r="D1094" i="14"/>
  <c r="D1095" i="14"/>
  <c r="D1096" i="14"/>
  <c r="D1097" i="14"/>
  <c r="D1098" i="14"/>
  <c r="D1099" i="14"/>
  <c r="D1100" i="14"/>
  <c r="D1101" i="14"/>
  <c r="D1102" i="14"/>
  <c r="D1103" i="14"/>
  <c r="D1104" i="14"/>
  <c r="D1105" i="14"/>
  <c r="D1106" i="14"/>
  <c r="D1107" i="14"/>
  <c r="D1108" i="14"/>
  <c r="D1109" i="14"/>
  <c r="D1110" i="14"/>
  <c r="D1111" i="14"/>
  <c r="D1112" i="14"/>
  <c r="D1113" i="14"/>
  <c r="D1114" i="14"/>
  <c r="D1115" i="14"/>
  <c r="D1116" i="14"/>
  <c r="D1117" i="14"/>
  <c r="D1118" i="14"/>
  <c r="D1119" i="14"/>
  <c r="D1120" i="14"/>
  <c r="D1121" i="14"/>
  <c r="D1122" i="14"/>
  <c r="D1123" i="14"/>
  <c r="D1124" i="14"/>
  <c r="D1125" i="14"/>
  <c r="D1126" i="14"/>
  <c r="D1127" i="14"/>
  <c r="D1128" i="14"/>
  <c r="D1129" i="14"/>
  <c r="D1130" i="14"/>
  <c r="D1131" i="14"/>
  <c r="D1132" i="14"/>
  <c r="D1133" i="14"/>
  <c r="D1134" i="14"/>
  <c r="D1135" i="14"/>
  <c r="D1136" i="14"/>
  <c r="D1137" i="14"/>
  <c r="D1138" i="14"/>
  <c r="D1139" i="14"/>
  <c r="D1140" i="14"/>
  <c r="D1141" i="14"/>
  <c r="D1142" i="14"/>
  <c r="D1143" i="14"/>
  <c r="D1144" i="14"/>
  <c r="D1145" i="14"/>
  <c r="D1146" i="14"/>
  <c r="D1147" i="14"/>
  <c r="D1148" i="14"/>
  <c r="D1149" i="14"/>
  <c r="D1150" i="14"/>
  <c r="D1151" i="14"/>
  <c r="D1152" i="14"/>
  <c r="D1153" i="14"/>
  <c r="D1154" i="14"/>
  <c r="D1155" i="14"/>
  <c r="D1156" i="14"/>
  <c r="D1157" i="14"/>
  <c r="D1158" i="14"/>
  <c r="D1159" i="14"/>
  <c r="D1160" i="14"/>
  <c r="D1161" i="14"/>
  <c r="D1162" i="14"/>
  <c r="D1163" i="14"/>
  <c r="D1164" i="14"/>
  <c r="D1165" i="14"/>
  <c r="D1166" i="14"/>
  <c r="D1167" i="14"/>
  <c r="D1168" i="14"/>
  <c r="D1169" i="14"/>
  <c r="D1170" i="14"/>
  <c r="D1171" i="14"/>
  <c r="D1172" i="14"/>
  <c r="D1173" i="14"/>
  <c r="D1174" i="14"/>
  <c r="D1175" i="14"/>
  <c r="D1176" i="14"/>
  <c r="D1177" i="14"/>
  <c r="D1178" i="14"/>
  <c r="D1179" i="14"/>
  <c r="D1180" i="14"/>
  <c r="D1181" i="14"/>
  <c r="D1182" i="14"/>
  <c r="D1183" i="14"/>
  <c r="D1184" i="14"/>
  <c r="D1185" i="14"/>
  <c r="D1186" i="14"/>
  <c r="D1187" i="14"/>
  <c r="D1188" i="14"/>
  <c r="D1189" i="14"/>
  <c r="D1190" i="14"/>
  <c r="D1191" i="14"/>
  <c r="D1192" i="14"/>
  <c r="D1193" i="14"/>
  <c r="D1194" i="14"/>
  <c r="D1195" i="14"/>
  <c r="D1196" i="14"/>
  <c r="D1197" i="14"/>
  <c r="D1198" i="14"/>
  <c r="D1199" i="14"/>
  <c r="D1200" i="14"/>
  <c r="D1201" i="14"/>
  <c r="D1202" i="14"/>
  <c r="D1203" i="14"/>
  <c r="D1204" i="14"/>
  <c r="D1205" i="14"/>
  <c r="D1206" i="14"/>
  <c r="D1207" i="14"/>
  <c r="D1208" i="14"/>
  <c r="D1209" i="14"/>
  <c r="D1210" i="14"/>
  <c r="D1211" i="14"/>
  <c r="D1212" i="14"/>
  <c r="D1213" i="14"/>
  <c r="D1214" i="14"/>
  <c r="D1215" i="14"/>
  <c r="D1216" i="14"/>
  <c r="D1217" i="14"/>
  <c r="D1218" i="14"/>
  <c r="D1219" i="14"/>
  <c r="D1220" i="14"/>
  <c r="D1221" i="14"/>
  <c r="D1222" i="14"/>
  <c r="D1223" i="14"/>
  <c r="D1224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43" i="14"/>
  <c r="D1244" i="14"/>
  <c r="D1245" i="14"/>
  <c r="D1246" i="14"/>
  <c r="D1247" i="14"/>
  <c r="D1248" i="14"/>
  <c r="D1249" i="14"/>
  <c r="D1250" i="14"/>
  <c r="D1251" i="14"/>
  <c r="D1252" i="14"/>
  <c r="D1253" i="14"/>
  <c r="D1254" i="14"/>
  <c r="D1255" i="14"/>
  <c r="D1256" i="14"/>
  <c r="D1257" i="14"/>
  <c r="D1258" i="14"/>
  <c r="D1259" i="14"/>
  <c r="D1260" i="14"/>
  <c r="D1261" i="14"/>
  <c r="D1262" i="14"/>
  <c r="D1263" i="14"/>
  <c r="D1264" i="14"/>
  <c r="D1265" i="14"/>
  <c r="D1266" i="14"/>
  <c r="D1267" i="14"/>
  <c r="D1268" i="14"/>
  <c r="D1269" i="14"/>
  <c r="D1270" i="14"/>
  <c r="D1271" i="14"/>
  <c r="D1272" i="14"/>
  <c r="D1273" i="14"/>
  <c r="D1274" i="14"/>
  <c r="D1275" i="14"/>
  <c r="D1276" i="14"/>
  <c r="D1277" i="14"/>
  <c r="D1278" i="14"/>
  <c r="D1279" i="14"/>
  <c r="D1280" i="14"/>
  <c r="D1281" i="14"/>
  <c r="D1282" i="14"/>
  <c r="D1283" i="14"/>
  <c r="D1284" i="14"/>
  <c r="D1285" i="14"/>
  <c r="D1286" i="14"/>
  <c r="D1287" i="14"/>
  <c r="D1288" i="14"/>
  <c r="D1289" i="14"/>
  <c r="D1290" i="14"/>
  <c r="D1291" i="14"/>
  <c r="D1292" i="14"/>
  <c r="D1293" i="14"/>
  <c r="D1294" i="14"/>
  <c r="D1295" i="14"/>
  <c r="D1296" i="14"/>
  <c r="D1297" i="14"/>
  <c r="D1298" i="14"/>
  <c r="D1299" i="14"/>
  <c r="D1300" i="14"/>
  <c r="D1301" i="14"/>
  <c r="D1302" i="14"/>
  <c r="D1303" i="14"/>
  <c r="D1304" i="14"/>
  <c r="D1305" i="14"/>
  <c r="D1306" i="14"/>
  <c r="D1307" i="14"/>
  <c r="D1308" i="14"/>
  <c r="D1309" i="14"/>
  <c r="D1310" i="14"/>
  <c r="D1311" i="14"/>
  <c r="D1312" i="14"/>
  <c r="D1313" i="14"/>
  <c r="D1314" i="14"/>
  <c r="D1315" i="14"/>
  <c r="D1316" i="14"/>
  <c r="D1317" i="14"/>
  <c r="D1318" i="14"/>
  <c r="D1319" i="14"/>
  <c r="D1320" i="14"/>
  <c r="D1321" i="14"/>
  <c r="D1322" i="14"/>
  <c r="D1323" i="14"/>
  <c r="D1324" i="14"/>
  <c r="D1325" i="14"/>
  <c r="D1326" i="14"/>
  <c r="D1327" i="14"/>
  <c r="D1328" i="14"/>
  <c r="D1329" i="14"/>
  <c r="D1330" i="14"/>
  <c r="D1331" i="14"/>
  <c r="D1332" i="14"/>
  <c r="D1333" i="14"/>
  <c r="D1334" i="14"/>
  <c r="D1335" i="14"/>
  <c r="D1336" i="14"/>
  <c r="D1337" i="14"/>
  <c r="D1338" i="14"/>
  <c r="D1339" i="14"/>
  <c r="D1340" i="14"/>
  <c r="D1341" i="14"/>
  <c r="D1342" i="14"/>
  <c r="D1343" i="14"/>
  <c r="D1344" i="14"/>
  <c r="D1345" i="14"/>
  <c r="D1346" i="14"/>
  <c r="D1347" i="14"/>
  <c r="D1348" i="14"/>
  <c r="D1349" i="14"/>
  <c r="D1350" i="14"/>
  <c r="D1351" i="14"/>
  <c r="D1352" i="14"/>
  <c r="D1353" i="14"/>
  <c r="D1354" i="14"/>
  <c r="D1355" i="14"/>
  <c r="D1356" i="14"/>
  <c r="D1357" i="14"/>
  <c r="D1358" i="14"/>
  <c r="D1359" i="14"/>
  <c r="D1360" i="14"/>
  <c r="D1361" i="14"/>
  <c r="D1362" i="14"/>
  <c r="D1363" i="14"/>
  <c r="D1364" i="14"/>
  <c r="D1365" i="14"/>
  <c r="D1366" i="14"/>
  <c r="D1367" i="14"/>
  <c r="D1368" i="14"/>
  <c r="D1369" i="14"/>
  <c r="D1370" i="14"/>
  <c r="D1371" i="14"/>
  <c r="D1372" i="14"/>
  <c r="D1373" i="14"/>
  <c r="D1374" i="14"/>
  <c r="D1375" i="14"/>
  <c r="D1376" i="14"/>
  <c r="D1377" i="14"/>
  <c r="D1378" i="14"/>
  <c r="D1379" i="14"/>
  <c r="D1380" i="14"/>
  <c r="D1381" i="14"/>
  <c r="D1382" i="14"/>
  <c r="D1383" i="14"/>
  <c r="D1384" i="14"/>
  <c r="D1385" i="14"/>
  <c r="D1386" i="14"/>
  <c r="D1387" i="14"/>
  <c r="D1388" i="14"/>
  <c r="D1389" i="14"/>
  <c r="D1390" i="14"/>
  <c r="D1391" i="14"/>
  <c r="D1392" i="14"/>
  <c r="D1393" i="14"/>
  <c r="D1394" i="14"/>
  <c r="D1395" i="14"/>
  <c r="D1396" i="14"/>
  <c r="D1397" i="14"/>
  <c r="D1398" i="14"/>
  <c r="D1399" i="14"/>
  <c r="D1400" i="14"/>
  <c r="D1401" i="14"/>
  <c r="D1402" i="14"/>
  <c r="D1403" i="14"/>
  <c r="D1404" i="14"/>
  <c r="D1405" i="14"/>
  <c r="D1406" i="14"/>
  <c r="D1407" i="14"/>
  <c r="D1408" i="14"/>
  <c r="D1409" i="14"/>
  <c r="D1410" i="14"/>
  <c r="D1411" i="14"/>
  <c r="D1412" i="14"/>
  <c r="D1413" i="14"/>
  <c r="D1414" i="14"/>
  <c r="D1415" i="14"/>
  <c r="D1416" i="14"/>
  <c r="D1417" i="14"/>
  <c r="D1418" i="14"/>
  <c r="D1419" i="14"/>
  <c r="D1420" i="14"/>
  <c r="D1421" i="14"/>
  <c r="D1422" i="14"/>
  <c r="D1423" i="14"/>
  <c r="D1424" i="14"/>
  <c r="D1425" i="14"/>
  <c r="D1426" i="14"/>
  <c r="D1427" i="14"/>
  <c r="D1428" i="14"/>
  <c r="D1429" i="14"/>
  <c r="D1430" i="14"/>
  <c r="D1431" i="14"/>
  <c r="D1432" i="14"/>
  <c r="D1433" i="14"/>
  <c r="D1434" i="14"/>
  <c r="D1435" i="14"/>
  <c r="D1436" i="14"/>
  <c r="D1437" i="14"/>
  <c r="D1438" i="14"/>
  <c r="D1439" i="14"/>
  <c r="D1440" i="14"/>
  <c r="D1441" i="14"/>
  <c r="D1442" i="14"/>
  <c r="D1443" i="14"/>
  <c r="D1444" i="14"/>
  <c r="D1445" i="14"/>
  <c r="D1446" i="14"/>
  <c r="D1447" i="14"/>
  <c r="D1448" i="14"/>
  <c r="D1449" i="14"/>
  <c r="D1450" i="14"/>
  <c r="D1451" i="14"/>
  <c r="D1452" i="14"/>
  <c r="D1453" i="14"/>
  <c r="D1454" i="14"/>
  <c r="D1455" i="14"/>
  <c r="D1456" i="14"/>
  <c r="D1457" i="14"/>
  <c r="D1458" i="14"/>
  <c r="D1459" i="14"/>
  <c r="D1460" i="14"/>
  <c r="D1461" i="14"/>
  <c r="D1462" i="14"/>
  <c r="D1463" i="14"/>
  <c r="D1464" i="14"/>
  <c r="D1465" i="14"/>
  <c r="D1466" i="14"/>
  <c r="D1467" i="14"/>
  <c r="D1468" i="14"/>
  <c r="D1469" i="14"/>
  <c r="D1470" i="14"/>
  <c r="D1471" i="14"/>
  <c r="D1472" i="14"/>
  <c r="D1473" i="14"/>
  <c r="D1474" i="14"/>
  <c r="D1475" i="14"/>
  <c r="D1476" i="14"/>
  <c r="D1477" i="14"/>
  <c r="D1478" i="14"/>
  <c r="D1479" i="14"/>
  <c r="D1480" i="14"/>
  <c r="D1481" i="14"/>
  <c r="D1482" i="14"/>
  <c r="D1483" i="14"/>
  <c r="D1484" i="14"/>
  <c r="D1485" i="14"/>
  <c r="D1486" i="14"/>
  <c r="D1487" i="14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I1246" i="13"/>
  <c r="I1247" i="13"/>
  <c r="I1248" i="13"/>
  <c r="I1249" i="13"/>
  <c r="I1250" i="13"/>
  <c r="I1251" i="13"/>
  <c r="I1252" i="13"/>
  <c r="I1253" i="13"/>
  <c r="I1254" i="13"/>
  <c r="I1255" i="13"/>
  <c r="I1256" i="13"/>
  <c r="I1257" i="13"/>
  <c r="I1258" i="13"/>
  <c r="I1259" i="13"/>
  <c r="I1260" i="13"/>
  <c r="I1261" i="13"/>
  <c r="I1262" i="13"/>
  <c r="I1263" i="13"/>
  <c r="I1264" i="13"/>
  <c r="I1265" i="13"/>
  <c r="I1266" i="13"/>
  <c r="I1267" i="13"/>
  <c r="I1268" i="13"/>
  <c r="I1269" i="13"/>
  <c r="I1270" i="13"/>
  <c r="I1271" i="13"/>
  <c r="I1272" i="13"/>
  <c r="I1273" i="13"/>
  <c r="I1274" i="13"/>
  <c r="I1275" i="13"/>
  <c r="I1276" i="13"/>
  <c r="I1277" i="13"/>
  <c r="I1278" i="13"/>
  <c r="I1279" i="13"/>
  <c r="I1280" i="13"/>
  <c r="I1281" i="13"/>
  <c r="I1282" i="13"/>
  <c r="I1283" i="13"/>
  <c r="I1284" i="13"/>
  <c r="I1285" i="13"/>
  <c r="I1286" i="13"/>
  <c r="I1287" i="13"/>
  <c r="I1288" i="13"/>
  <c r="I1289" i="13"/>
  <c r="I1290" i="13"/>
  <c r="I1291" i="13"/>
  <c r="I1292" i="13"/>
  <c r="I1293" i="13"/>
  <c r="I1294" i="13"/>
  <c r="I1295" i="13"/>
  <c r="I1296" i="13"/>
  <c r="I1297" i="13"/>
  <c r="I1298" i="13"/>
  <c r="I1299" i="13"/>
  <c r="I1300" i="13"/>
  <c r="I1301" i="13"/>
  <c r="I1302" i="13"/>
  <c r="I1303" i="13"/>
  <c r="I1304" i="13"/>
  <c r="I1305" i="13"/>
  <c r="I1306" i="13"/>
  <c r="I1307" i="13"/>
  <c r="I1308" i="13"/>
  <c r="I1309" i="13"/>
  <c r="I1310" i="13"/>
  <c r="I1311" i="13"/>
  <c r="I1312" i="13"/>
  <c r="I1313" i="13"/>
  <c r="I1314" i="13"/>
  <c r="I1315" i="13"/>
  <c r="I1316" i="13"/>
  <c r="I1317" i="13"/>
  <c r="I1318" i="13"/>
  <c r="I1319" i="13"/>
  <c r="I1320" i="13"/>
  <c r="I1321" i="13"/>
  <c r="I1322" i="13"/>
  <c r="I1323" i="13"/>
  <c r="I1324" i="13"/>
  <c r="I1325" i="13"/>
  <c r="I1326" i="13"/>
  <c r="I1327" i="13"/>
  <c r="I1328" i="13"/>
  <c r="I1329" i="13"/>
  <c r="I1330" i="13"/>
  <c r="I1331" i="13"/>
  <c r="I1332" i="13"/>
  <c r="I1333" i="13"/>
  <c r="I1334" i="13"/>
  <c r="I1335" i="13"/>
  <c r="I1336" i="13"/>
  <c r="I1337" i="13"/>
  <c r="I1338" i="13"/>
  <c r="I1339" i="13"/>
  <c r="I1340" i="13"/>
  <c r="I1341" i="13"/>
  <c r="I1342" i="13"/>
  <c r="I1343" i="13"/>
  <c r="I1344" i="13"/>
  <c r="I1345" i="13"/>
  <c r="I1346" i="13"/>
  <c r="I1347" i="13"/>
  <c r="I1348" i="13"/>
  <c r="I1349" i="13"/>
  <c r="I1350" i="13"/>
  <c r="I1351" i="13"/>
  <c r="I1352" i="13"/>
  <c r="I1353" i="13"/>
  <c r="I1354" i="13"/>
  <c r="I1355" i="13"/>
  <c r="I1356" i="13"/>
  <c r="I1357" i="13"/>
  <c r="I1358" i="13"/>
  <c r="I1359" i="13"/>
  <c r="I1360" i="13"/>
  <c r="I1361" i="13"/>
  <c r="I1362" i="13"/>
  <c r="I1363" i="13"/>
  <c r="I1364" i="13"/>
  <c r="I1365" i="13"/>
  <c r="I1366" i="13"/>
  <c r="I1367" i="13"/>
  <c r="I1368" i="13"/>
  <c r="I1369" i="13"/>
  <c r="I1370" i="13"/>
  <c r="I1371" i="13"/>
  <c r="I1372" i="13"/>
  <c r="I1373" i="13"/>
  <c r="I1374" i="13"/>
  <c r="I1375" i="13"/>
  <c r="I1376" i="13"/>
  <c r="I1377" i="13"/>
  <c r="I1378" i="13"/>
  <c r="I1379" i="13"/>
  <c r="I1380" i="13"/>
  <c r="I1381" i="13"/>
  <c r="I1382" i="13"/>
  <c r="I1383" i="13"/>
  <c r="I1384" i="13"/>
  <c r="I1385" i="13"/>
  <c r="I1386" i="13"/>
  <c r="I1387" i="13"/>
  <c r="I1388" i="13"/>
  <c r="I1389" i="13"/>
  <c r="I1390" i="13"/>
  <c r="I1391" i="13"/>
  <c r="I1392" i="13"/>
  <c r="I1393" i="13"/>
  <c r="I1394" i="13"/>
  <c r="I1395" i="13"/>
  <c r="I1396" i="13"/>
  <c r="I1397" i="13"/>
  <c r="I1398" i="13"/>
  <c r="I1399" i="13"/>
  <c r="I1400" i="13"/>
  <c r="I1401" i="13"/>
  <c r="I1402" i="13"/>
  <c r="I1403" i="13"/>
  <c r="I1404" i="13"/>
  <c r="I1405" i="13"/>
  <c r="I1406" i="13"/>
  <c r="I1407" i="13"/>
  <c r="I1408" i="13"/>
  <c r="I1409" i="13"/>
  <c r="I1410" i="13"/>
  <c r="I1411" i="13"/>
  <c r="I1412" i="13"/>
  <c r="I1413" i="13"/>
  <c r="I1414" i="13"/>
  <c r="I1415" i="13"/>
  <c r="I1416" i="13"/>
  <c r="I1417" i="13"/>
  <c r="I1418" i="13"/>
  <c r="I1419" i="13"/>
  <c r="I1420" i="13"/>
  <c r="I1421" i="13"/>
  <c r="I1422" i="13"/>
  <c r="I1423" i="13"/>
  <c r="I1424" i="13"/>
  <c r="I1425" i="13"/>
  <c r="I1426" i="13"/>
  <c r="I1427" i="13"/>
  <c r="I1428" i="13"/>
  <c r="I1429" i="13"/>
  <c r="I1430" i="13"/>
  <c r="I1431" i="13"/>
  <c r="I1432" i="13"/>
  <c r="I1433" i="13"/>
  <c r="I1434" i="13"/>
  <c r="I1435" i="13"/>
  <c r="I1436" i="13"/>
  <c r="I1437" i="13"/>
  <c r="I1438" i="13"/>
  <c r="I1439" i="13"/>
  <c r="I1440" i="13"/>
  <c r="I1441" i="13"/>
  <c r="I1442" i="13"/>
  <c r="I1443" i="13"/>
  <c r="I1444" i="13"/>
  <c r="I1445" i="13"/>
  <c r="I1446" i="13"/>
  <c r="I1447" i="13"/>
  <c r="I1448" i="13"/>
  <c r="I1449" i="13"/>
  <c r="I1450" i="13"/>
  <c r="I1451" i="13"/>
  <c r="I1452" i="13"/>
  <c r="I1453" i="13"/>
  <c r="I1454" i="13"/>
  <c r="I1455" i="13"/>
  <c r="I1456" i="13"/>
  <c r="I1457" i="13"/>
  <c r="I1458" i="13"/>
  <c r="I1459" i="13"/>
  <c r="I1460" i="13"/>
  <c r="I1461" i="13"/>
  <c r="I1462" i="13"/>
  <c r="I1463" i="13"/>
  <c r="I1464" i="13"/>
  <c r="I1465" i="13"/>
  <c r="I1466" i="13"/>
  <c r="I1467" i="13"/>
  <c r="I1468" i="13"/>
  <c r="I1469" i="13"/>
  <c r="I1470" i="13"/>
  <c r="I1471" i="13"/>
  <c r="I1472" i="13"/>
  <c r="I1473" i="13"/>
  <c r="I1474" i="13"/>
  <c r="I1475" i="13"/>
  <c r="I1476" i="13"/>
  <c r="I1477" i="13"/>
  <c r="I1478" i="13"/>
  <c r="I1479" i="13"/>
  <c r="I1480" i="13"/>
  <c r="I1481" i="13"/>
  <c r="I1482" i="13"/>
  <c r="I1483" i="13"/>
  <c r="I1484" i="13"/>
  <c r="I1485" i="13"/>
  <c r="I1486" i="13"/>
  <c r="I1487" i="13"/>
  <c r="I1488" i="13"/>
  <c r="I1489" i="13"/>
  <c r="I1490" i="13"/>
  <c r="I1491" i="13"/>
  <c r="I1492" i="13"/>
  <c r="I1493" i="13"/>
  <c r="I1494" i="13"/>
  <c r="I1495" i="13"/>
  <c r="I1496" i="13"/>
  <c r="I1497" i="13"/>
  <c r="I1498" i="13"/>
  <c r="I1499" i="13"/>
  <c r="I1500" i="13"/>
  <c r="I1501" i="13"/>
  <c r="I1502" i="13"/>
  <c r="I1503" i="13"/>
  <c r="I1504" i="13"/>
  <c r="I1505" i="13"/>
  <c r="I1506" i="13"/>
  <c r="I1507" i="13"/>
  <c r="I1508" i="13"/>
  <c r="I1509" i="13"/>
  <c r="I1510" i="13"/>
  <c r="I1511" i="13"/>
  <c r="I1512" i="13"/>
  <c r="I1513" i="13"/>
  <c r="I1514" i="13"/>
  <c r="I1515" i="13"/>
  <c r="I1516" i="13"/>
  <c r="I1517" i="13"/>
  <c r="I1518" i="13"/>
  <c r="I1519" i="13"/>
  <c r="I1520" i="13"/>
  <c r="I1521" i="13"/>
  <c r="I1522" i="13"/>
  <c r="I1523" i="13"/>
  <c r="I1524" i="13"/>
  <c r="I1525" i="13"/>
  <c r="I1526" i="13"/>
  <c r="I1527" i="13"/>
  <c r="I1528" i="13"/>
  <c r="I1529" i="13"/>
  <c r="I1530" i="13"/>
  <c r="I1531" i="13"/>
  <c r="I1532" i="13"/>
  <c r="I1533" i="13"/>
  <c r="I1534" i="13"/>
  <c r="I1535" i="13"/>
  <c r="I1536" i="13"/>
  <c r="I1537" i="13"/>
  <c r="I1538" i="13"/>
  <c r="I1539" i="13"/>
  <c r="I1540" i="13"/>
  <c r="I1541" i="13"/>
  <c r="I1542" i="13"/>
  <c r="I1543" i="13"/>
  <c r="I1544" i="13"/>
  <c r="I1545" i="13"/>
  <c r="I1546" i="13"/>
  <c r="I1547" i="13"/>
  <c r="I1548" i="13"/>
  <c r="I1549" i="13"/>
  <c r="I1550" i="13"/>
  <c r="I1551" i="13"/>
  <c r="I1552" i="13"/>
  <c r="I1553" i="13"/>
  <c r="I1554" i="13"/>
  <c r="I1555" i="13"/>
  <c r="I1556" i="13"/>
  <c r="I1557" i="13"/>
  <c r="I1558" i="13"/>
  <c r="I1559" i="13"/>
  <c r="I1560" i="13"/>
  <c r="I1561" i="13"/>
  <c r="I1562" i="13"/>
  <c r="I1563" i="13"/>
  <c r="I1564" i="13"/>
  <c r="I1565" i="13"/>
  <c r="I1566" i="13"/>
  <c r="I1567" i="13"/>
  <c r="I1568" i="13"/>
  <c r="I1569" i="13"/>
  <c r="I1570" i="13"/>
  <c r="I1571" i="13"/>
  <c r="I1572" i="13"/>
  <c r="I1573" i="13"/>
  <c r="I1574" i="13"/>
  <c r="I1575" i="13"/>
  <c r="I1576" i="13"/>
  <c r="I1577" i="13"/>
  <c r="I1578" i="13"/>
  <c r="I1579" i="13"/>
  <c r="I1580" i="13"/>
  <c r="I1581" i="13"/>
  <c r="I1582" i="13"/>
  <c r="I1583" i="13"/>
  <c r="I1584" i="13"/>
  <c r="I1585" i="13"/>
  <c r="I1586" i="13"/>
  <c r="I1587" i="13"/>
  <c r="I1588" i="13"/>
  <c r="I1589" i="13"/>
  <c r="I1590" i="13"/>
  <c r="I1591" i="13"/>
  <c r="I1592" i="13"/>
  <c r="I1593" i="13"/>
  <c r="I1594" i="13"/>
  <c r="I1595" i="13"/>
  <c r="I1596" i="13"/>
  <c r="I1597" i="13"/>
  <c r="I1598" i="13"/>
  <c r="I1599" i="13"/>
  <c r="I1600" i="13"/>
  <c r="I1601" i="13"/>
  <c r="I1602" i="13"/>
  <c r="I1603" i="13"/>
  <c r="I1604" i="13"/>
  <c r="I1605" i="13"/>
  <c r="I1606" i="13"/>
  <c r="I1607" i="13"/>
  <c r="I1608" i="13"/>
  <c r="I1609" i="13"/>
  <c r="I1610" i="13"/>
  <c r="I1611" i="13"/>
  <c r="I1612" i="13"/>
  <c r="I1613" i="13"/>
  <c r="I1614" i="13"/>
  <c r="I1615" i="13"/>
  <c r="I1616" i="13"/>
  <c r="I1617" i="13"/>
  <c r="I1618" i="13"/>
  <c r="I1619" i="13"/>
  <c r="I1620" i="13"/>
  <c r="I1621" i="13"/>
  <c r="I1622" i="13"/>
  <c r="I1623" i="13"/>
  <c r="I1624" i="13"/>
  <c r="I1625" i="13"/>
  <c r="I1626" i="13"/>
  <c r="I1627" i="13"/>
  <c r="I1628" i="13"/>
  <c r="I1629" i="13"/>
  <c r="I1630" i="13"/>
  <c r="I1631" i="13"/>
  <c r="I1632" i="13"/>
  <c r="I1633" i="13"/>
  <c r="I1634" i="13"/>
  <c r="I1635" i="13"/>
  <c r="I1636" i="13"/>
  <c r="I1637" i="13"/>
  <c r="I1638" i="13"/>
  <c r="I1639" i="13"/>
  <c r="I1640" i="13"/>
  <c r="I1641" i="13"/>
  <c r="I1642" i="13"/>
  <c r="I1643" i="13"/>
  <c r="I1644" i="13"/>
  <c r="I1645" i="13"/>
  <c r="I1646" i="13"/>
  <c r="I1647" i="13"/>
  <c r="I1648" i="13"/>
  <c r="I1649" i="13"/>
  <c r="I1650" i="13"/>
  <c r="I1651" i="13"/>
  <c r="I1652" i="13"/>
  <c r="I1653" i="13"/>
  <c r="I1654" i="13"/>
  <c r="I1655" i="13"/>
  <c r="I1656" i="13"/>
  <c r="I1657" i="13"/>
  <c r="I1658" i="13"/>
  <c r="I1659" i="13"/>
  <c r="I1660" i="13"/>
  <c r="I1661" i="13"/>
  <c r="I1662" i="13"/>
  <c r="I1663" i="13"/>
  <c r="I1664" i="13"/>
  <c r="I1665" i="13"/>
  <c r="I1666" i="13"/>
  <c r="I1667" i="13"/>
  <c r="I1668" i="13"/>
  <c r="I1669" i="13"/>
  <c r="I1670" i="13"/>
  <c r="I1671" i="13"/>
  <c r="I1672" i="13"/>
  <c r="I1673" i="13"/>
  <c r="I1674" i="13"/>
  <c r="I1675" i="13"/>
  <c r="I1676" i="13"/>
  <c r="I1677" i="13"/>
  <c r="I1678" i="13"/>
  <c r="I1679" i="13"/>
  <c r="I1680" i="13"/>
  <c r="I1681" i="13"/>
  <c r="I1682" i="13"/>
  <c r="I1683" i="13"/>
  <c r="I1684" i="13"/>
  <c r="I1685" i="13"/>
  <c r="I1686" i="13"/>
  <c r="I1687" i="13"/>
  <c r="I1688" i="13"/>
  <c r="I1689" i="13"/>
  <c r="I1690" i="13"/>
  <c r="I1691" i="13"/>
  <c r="I1692" i="13"/>
  <c r="I1693" i="13"/>
  <c r="I1694" i="13"/>
  <c r="I1695" i="13"/>
  <c r="I1696" i="13"/>
  <c r="I1697" i="13"/>
  <c r="I1698" i="13"/>
  <c r="I1699" i="13"/>
  <c r="I1700" i="13"/>
  <c r="I1701" i="13"/>
  <c r="I1702" i="13"/>
  <c r="I1703" i="13"/>
  <c r="I1704" i="13"/>
  <c r="I1705" i="13"/>
  <c r="I1706" i="13"/>
  <c r="I1707" i="13"/>
  <c r="I1708" i="13"/>
  <c r="I1709" i="13"/>
  <c r="I1710" i="13"/>
  <c r="I1711" i="13"/>
  <c r="I1712" i="13"/>
  <c r="I1713" i="13"/>
  <c r="I1714" i="13"/>
  <c r="I1715" i="13"/>
  <c r="I1716" i="13"/>
  <c r="I1717" i="13"/>
  <c r="I1718" i="13"/>
  <c r="I1719" i="13"/>
  <c r="I1720" i="13"/>
  <c r="I1721" i="13"/>
  <c r="I1722" i="13"/>
  <c r="I1723" i="13"/>
  <c r="I1724" i="13"/>
  <c r="I1725" i="13"/>
  <c r="I1726" i="13"/>
  <c r="I1727" i="13"/>
  <c r="I1728" i="13"/>
  <c r="I1729" i="13"/>
  <c r="I1730" i="13"/>
  <c r="I1731" i="13"/>
  <c r="I1732" i="13"/>
  <c r="I1733" i="13"/>
  <c r="I1734" i="13"/>
  <c r="I1735" i="13"/>
  <c r="I1736" i="13"/>
  <c r="I1737" i="13"/>
  <c r="I1738" i="13"/>
  <c r="I1739" i="13"/>
  <c r="I1740" i="13"/>
  <c r="I1741" i="13"/>
  <c r="I1742" i="13"/>
  <c r="I1743" i="13"/>
  <c r="I1744" i="13"/>
  <c r="I1745" i="13"/>
  <c r="I1746" i="13"/>
  <c r="I1747" i="13"/>
  <c r="I1748" i="13"/>
  <c r="I1749" i="13"/>
  <c r="I1750" i="13"/>
  <c r="I1751" i="13"/>
  <c r="I1752" i="13"/>
  <c r="I1753" i="13"/>
  <c r="I1754" i="13"/>
  <c r="I1755" i="13"/>
  <c r="I1756" i="13"/>
  <c r="I1757" i="13"/>
  <c r="I1758" i="13"/>
  <c r="I1759" i="13"/>
  <c r="I1760" i="13"/>
  <c r="I1761" i="13"/>
  <c r="I1762" i="13"/>
  <c r="I1763" i="13"/>
  <c r="I1764" i="13"/>
  <c r="I1765" i="13"/>
  <c r="I1766" i="13"/>
  <c r="I1767" i="13"/>
  <c r="I1768" i="13"/>
  <c r="I1769" i="13"/>
  <c r="I1770" i="13"/>
  <c r="I1771" i="13"/>
  <c r="I1772" i="13"/>
  <c r="I1773" i="13"/>
  <c r="I1774" i="13"/>
  <c r="I1775" i="13"/>
  <c r="I1776" i="13"/>
  <c r="I1777" i="13"/>
  <c r="I1778" i="13"/>
  <c r="I1779" i="13"/>
  <c r="I1780" i="13"/>
  <c r="I1781" i="13"/>
  <c r="I1782" i="13"/>
  <c r="I1783" i="13"/>
  <c r="I1784" i="13"/>
  <c r="I1785" i="13"/>
  <c r="I1786" i="13"/>
  <c r="I1787" i="13"/>
  <c r="I1788" i="13"/>
  <c r="I1789" i="13"/>
  <c r="I1790" i="13"/>
  <c r="I1791" i="13"/>
  <c r="I1792" i="13"/>
  <c r="I1793" i="13"/>
  <c r="I1794" i="13"/>
  <c r="I1795" i="13"/>
  <c r="I1796" i="13"/>
  <c r="I1797" i="13"/>
  <c r="I1798" i="13"/>
  <c r="I1799" i="13"/>
  <c r="I1800" i="13"/>
  <c r="I1801" i="13"/>
  <c r="I1802" i="13"/>
  <c r="I1803" i="13"/>
  <c r="I1804" i="13"/>
  <c r="I1805" i="13"/>
  <c r="I1806" i="13"/>
  <c r="I1807" i="13"/>
  <c r="I1808" i="13"/>
  <c r="I1809" i="13"/>
  <c r="I1810" i="13"/>
  <c r="I1811" i="13"/>
  <c r="I1812" i="13"/>
  <c r="I1813" i="13"/>
  <c r="I1814" i="13"/>
  <c r="I1815" i="13"/>
  <c r="I1816" i="13"/>
  <c r="I1817" i="13"/>
  <c r="I1818" i="13"/>
  <c r="I1819" i="13"/>
  <c r="I1820" i="13"/>
  <c r="I1821" i="13"/>
  <c r="I1822" i="13"/>
  <c r="I1823" i="13"/>
  <c r="I1824" i="13"/>
  <c r="I1825" i="13"/>
  <c r="I1826" i="13"/>
  <c r="I1827" i="13"/>
  <c r="I1828" i="13"/>
  <c r="I1829" i="13"/>
  <c r="I1830" i="13"/>
  <c r="I1831" i="13"/>
  <c r="I1832" i="13"/>
  <c r="I1833" i="13"/>
  <c r="I1834" i="13"/>
  <c r="I1835" i="13"/>
  <c r="I1836" i="13"/>
  <c r="I1837" i="13"/>
  <c r="I1838" i="13"/>
  <c r="I1839" i="13"/>
  <c r="I1840" i="13"/>
  <c r="I1841" i="13"/>
  <c r="I1842" i="13"/>
  <c r="I1843" i="13"/>
  <c r="I1844" i="13"/>
  <c r="I1845" i="13"/>
  <c r="I1846" i="13"/>
  <c r="I1847" i="13"/>
  <c r="I1848" i="13"/>
  <c r="I1849" i="13"/>
  <c r="I1850" i="13"/>
  <c r="I1851" i="13"/>
  <c r="I1852" i="13"/>
  <c r="I1853" i="13"/>
  <c r="I1854" i="13"/>
  <c r="I1855" i="13"/>
  <c r="I1856" i="13"/>
  <c r="I1857" i="13"/>
  <c r="I1858" i="13"/>
  <c r="I1859" i="13"/>
  <c r="I1860" i="13"/>
  <c r="I1861" i="13"/>
  <c r="I1862" i="13"/>
  <c r="I1863" i="13"/>
  <c r="I1864" i="13"/>
  <c r="I1865" i="13"/>
  <c r="I1866" i="13"/>
  <c r="I1867" i="13"/>
  <c r="I1868" i="13"/>
  <c r="I1869" i="13"/>
  <c r="I1870" i="13"/>
  <c r="I1871" i="13"/>
  <c r="I1872" i="13"/>
  <c r="I1873" i="13"/>
  <c r="I1874" i="13"/>
  <c r="I1875" i="13"/>
  <c r="I1876" i="13"/>
  <c r="I1877" i="13"/>
  <c r="I1878" i="13"/>
  <c r="I1879" i="13"/>
  <c r="I1880" i="13"/>
  <c r="I1881" i="13"/>
  <c r="I1882" i="13"/>
  <c r="I1883" i="13"/>
  <c r="I1884" i="13"/>
  <c r="I1885" i="13"/>
  <c r="I1886" i="13"/>
  <c r="I1887" i="13"/>
  <c r="I1888" i="13"/>
  <c r="I1889" i="13"/>
  <c r="I1890" i="13"/>
  <c r="I1891" i="13"/>
  <c r="I1892" i="13"/>
  <c r="I1893" i="13"/>
  <c r="I1894" i="13"/>
  <c r="I1895" i="13"/>
  <c r="I1896" i="13"/>
  <c r="I1897" i="13"/>
  <c r="I1898" i="13"/>
  <c r="I1899" i="13"/>
  <c r="I1900" i="13"/>
  <c r="I1901" i="13"/>
  <c r="I1902" i="13"/>
  <c r="I1903" i="13"/>
  <c r="I1904" i="13"/>
  <c r="I1905" i="13"/>
  <c r="I1906" i="13"/>
  <c r="I1907" i="13"/>
  <c r="I1908" i="13"/>
  <c r="I1909" i="13"/>
  <c r="I1910" i="13"/>
  <c r="I1911" i="13"/>
  <c r="I1912" i="13"/>
  <c r="I1913" i="13"/>
  <c r="I1914" i="13"/>
  <c r="I1915" i="13"/>
  <c r="I1916" i="13"/>
  <c r="I1917" i="13"/>
  <c r="I1918" i="13"/>
  <c r="I1919" i="13"/>
  <c r="I1920" i="13"/>
  <c r="I1921" i="13"/>
  <c r="I1922" i="13"/>
  <c r="I1923" i="13"/>
  <c r="I1924" i="13"/>
  <c r="I1925" i="13"/>
  <c r="I1926" i="13"/>
  <c r="I1927" i="13"/>
  <c r="I1928" i="13"/>
  <c r="I1929" i="13"/>
  <c r="I1930" i="13"/>
  <c r="I1931" i="13"/>
  <c r="I1932" i="13"/>
  <c r="I1933" i="13"/>
  <c r="I1934" i="13"/>
  <c r="I1935" i="13"/>
  <c r="I1936" i="13"/>
  <c r="I1937" i="13"/>
  <c r="I1938" i="13"/>
  <c r="I1939" i="13"/>
  <c r="I1940" i="13"/>
  <c r="I1941" i="13"/>
  <c r="I1942" i="13"/>
  <c r="I1943" i="13"/>
  <c r="I1944" i="13"/>
  <c r="I1945" i="13"/>
  <c r="I1946" i="13"/>
  <c r="I1947" i="13"/>
  <c r="I1948" i="13"/>
  <c r="I1949" i="13"/>
  <c r="I1950" i="13"/>
  <c r="I1951" i="13"/>
  <c r="I1952" i="13"/>
  <c r="I1953" i="13"/>
  <c r="I1954" i="13"/>
  <c r="I1955" i="13"/>
  <c r="I1956" i="13"/>
  <c r="I1957" i="13"/>
  <c r="I1958" i="13"/>
  <c r="I1959" i="13"/>
  <c r="I1960" i="13"/>
  <c r="I1961" i="13"/>
  <c r="I1962" i="13"/>
  <c r="I1963" i="13"/>
  <c r="I1964" i="13"/>
  <c r="I1965" i="13"/>
  <c r="I1966" i="13"/>
  <c r="I1967" i="13"/>
  <c r="I1968" i="13"/>
  <c r="I1969" i="13"/>
  <c r="I1970" i="13"/>
  <c r="I1971" i="13"/>
  <c r="I1972" i="13"/>
  <c r="I1973" i="13"/>
  <c r="I1974" i="13"/>
  <c r="I1975" i="13"/>
  <c r="I1976" i="13"/>
  <c r="I1977" i="13"/>
  <c r="I1978" i="13"/>
  <c r="I1979" i="13"/>
  <c r="I1980" i="13"/>
  <c r="I1981" i="13"/>
  <c r="I1982" i="13"/>
  <c r="I1983" i="13"/>
  <c r="I1984" i="13"/>
  <c r="I1985" i="13"/>
  <c r="I1986" i="13"/>
  <c r="I1987" i="13"/>
  <c r="I1988" i="13"/>
  <c r="I1989" i="13"/>
  <c r="I1990" i="13"/>
  <c r="I1991" i="13"/>
  <c r="I1992" i="13"/>
  <c r="I1993" i="13"/>
  <c r="I1994" i="13"/>
  <c r="I1995" i="13"/>
  <c r="I1996" i="13"/>
  <c r="I1997" i="13"/>
  <c r="I1998" i="13"/>
  <c r="I1999" i="13"/>
  <c r="I2000" i="13"/>
  <c r="I2001" i="13"/>
  <c r="H2" i="13"/>
  <c r="H3" i="13"/>
  <c r="H4" i="13"/>
  <c r="H5" i="13"/>
  <c r="H6" i="13"/>
  <c r="H7" i="13"/>
  <c r="H8" i="13"/>
  <c r="H9" i="13"/>
  <c r="H10" i="13"/>
  <c r="H11" i="13"/>
  <c r="H12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H1246" i="13"/>
  <c r="H1247" i="13"/>
  <c r="H1248" i="13"/>
  <c r="H1249" i="13"/>
  <c r="H1250" i="13"/>
  <c r="H1251" i="13"/>
  <c r="H1252" i="13"/>
  <c r="H1253" i="13"/>
  <c r="H1254" i="13"/>
  <c r="H1255" i="13"/>
  <c r="H1256" i="13"/>
  <c r="H1257" i="13"/>
  <c r="H1258" i="13"/>
  <c r="H1259" i="13"/>
  <c r="H1260" i="13"/>
  <c r="H1261" i="13"/>
  <c r="H1262" i="13"/>
  <c r="H1263" i="13"/>
  <c r="H1264" i="13"/>
  <c r="H1265" i="13"/>
  <c r="H1266" i="13"/>
  <c r="H1267" i="13"/>
  <c r="H1268" i="13"/>
  <c r="H1269" i="13"/>
  <c r="H1270" i="13"/>
  <c r="H1271" i="13"/>
  <c r="H1272" i="13"/>
  <c r="H1273" i="13"/>
  <c r="H1274" i="13"/>
  <c r="H1275" i="13"/>
  <c r="H1276" i="13"/>
  <c r="H1277" i="13"/>
  <c r="H1278" i="13"/>
  <c r="H1279" i="13"/>
  <c r="H1280" i="13"/>
  <c r="H1281" i="13"/>
  <c r="H1282" i="13"/>
  <c r="H1283" i="13"/>
  <c r="H1284" i="13"/>
  <c r="H1285" i="13"/>
  <c r="H1286" i="13"/>
  <c r="H1287" i="13"/>
  <c r="H1288" i="13"/>
  <c r="H1289" i="13"/>
  <c r="H1290" i="13"/>
  <c r="H1291" i="13"/>
  <c r="H1292" i="13"/>
  <c r="H1293" i="13"/>
  <c r="H1294" i="13"/>
  <c r="H1295" i="13"/>
  <c r="H1296" i="13"/>
  <c r="H1297" i="13"/>
  <c r="H1298" i="13"/>
  <c r="H1299" i="13"/>
  <c r="H1300" i="13"/>
  <c r="H1301" i="13"/>
  <c r="H1302" i="13"/>
  <c r="H1303" i="13"/>
  <c r="H1304" i="13"/>
  <c r="H1305" i="13"/>
  <c r="H1306" i="13"/>
  <c r="H1307" i="13"/>
  <c r="H1308" i="13"/>
  <c r="H1309" i="13"/>
  <c r="H1310" i="13"/>
  <c r="H1311" i="13"/>
  <c r="H1312" i="13"/>
  <c r="H1313" i="13"/>
  <c r="H1314" i="13"/>
  <c r="H1315" i="13"/>
  <c r="H1316" i="13"/>
  <c r="H1317" i="13"/>
  <c r="H1318" i="13"/>
  <c r="H1319" i="13"/>
  <c r="H1320" i="13"/>
  <c r="H1321" i="13"/>
  <c r="H1322" i="13"/>
  <c r="H1323" i="13"/>
  <c r="H1324" i="13"/>
  <c r="H1325" i="13"/>
  <c r="H1326" i="13"/>
  <c r="H1327" i="13"/>
  <c r="H1328" i="13"/>
  <c r="H1329" i="13"/>
  <c r="H1330" i="13"/>
  <c r="H1331" i="13"/>
  <c r="H1332" i="13"/>
  <c r="H1333" i="13"/>
  <c r="H1334" i="13"/>
  <c r="H1335" i="13"/>
  <c r="H1336" i="13"/>
  <c r="H1337" i="13"/>
  <c r="H1338" i="13"/>
  <c r="H1339" i="13"/>
  <c r="H1340" i="13"/>
  <c r="H1341" i="13"/>
  <c r="H1342" i="13"/>
  <c r="H1343" i="13"/>
  <c r="H1344" i="13"/>
  <c r="H1345" i="13"/>
  <c r="H1346" i="13"/>
  <c r="H1347" i="13"/>
  <c r="H1348" i="13"/>
  <c r="H1349" i="13"/>
  <c r="H1350" i="13"/>
  <c r="H1351" i="13"/>
  <c r="H1352" i="13"/>
  <c r="H1353" i="13"/>
  <c r="H1354" i="13"/>
  <c r="H1355" i="13"/>
  <c r="H1356" i="13"/>
  <c r="H1357" i="13"/>
  <c r="H1358" i="13"/>
  <c r="H1359" i="13"/>
  <c r="H1360" i="13"/>
  <c r="H1361" i="13"/>
  <c r="H1362" i="13"/>
  <c r="H1363" i="13"/>
  <c r="H1364" i="13"/>
  <c r="H1365" i="13"/>
  <c r="H1366" i="13"/>
  <c r="H1367" i="13"/>
  <c r="H1368" i="13"/>
  <c r="H1369" i="13"/>
  <c r="H1370" i="13"/>
  <c r="H1371" i="13"/>
  <c r="H1372" i="13"/>
  <c r="H1373" i="13"/>
  <c r="H1374" i="13"/>
  <c r="H1375" i="13"/>
  <c r="H1376" i="13"/>
  <c r="H1377" i="13"/>
  <c r="H1378" i="13"/>
  <c r="H1379" i="13"/>
  <c r="H1380" i="13"/>
  <c r="H1381" i="13"/>
  <c r="H1382" i="13"/>
  <c r="H1383" i="13"/>
  <c r="H1384" i="13"/>
  <c r="H1385" i="13"/>
  <c r="H1386" i="13"/>
  <c r="H1387" i="13"/>
  <c r="H1388" i="13"/>
  <c r="H1389" i="13"/>
  <c r="H1390" i="13"/>
  <c r="H1391" i="13"/>
  <c r="H1392" i="13"/>
  <c r="H1393" i="13"/>
  <c r="H1394" i="13"/>
  <c r="H1395" i="13"/>
  <c r="H1396" i="13"/>
  <c r="H1397" i="13"/>
  <c r="H1398" i="13"/>
  <c r="H1399" i="13"/>
  <c r="H1400" i="13"/>
  <c r="H1401" i="13"/>
  <c r="H1402" i="13"/>
  <c r="H1403" i="13"/>
  <c r="H1404" i="13"/>
  <c r="H1405" i="13"/>
  <c r="H1406" i="13"/>
  <c r="H1407" i="13"/>
  <c r="H1408" i="13"/>
  <c r="H1409" i="13"/>
  <c r="H1410" i="13"/>
  <c r="H1411" i="13"/>
  <c r="H1412" i="13"/>
  <c r="H1413" i="13"/>
  <c r="H1414" i="13"/>
  <c r="H1415" i="13"/>
  <c r="H1416" i="13"/>
  <c r="H1417" i="13"/>
  <c r="H1418" i="13"/>
  <c r="H1419" i="13"/>
  <c r="H1420" i="13"/>
  <c r="H1421" i="13"/>
  <c r="H1422" i="13"/>
  <c r="H1423" i="13"/>
  <c r="H1424" i="13"/>
  <c r="H1425" i="13"/>
  <c r="H1426" i="13"/>
  <c r="H1427" i="13"/>
  <c r="H1428" i="13"/>
  <c r="H1429" i="13"/>
  <c r="H1430" i="13"/>
  <c r="H1431" i="13"/>
  <c r="H1432" i="13"/>
  <c r="H1433" i="13"/>
  <c r="H1434" i="13"/>
  <c r="H1435" i="13"/>
  <c r="H1436" i="13"/>
  <c r="H1437" i="13"/>
  <c r="H1438" i="13"/>
  <c r="H1439" i="13"/>
  <c r="H1440" i="13"/>
  <c r="H1441" i="13"/>
  <c r="H1442" i="13"/>
  <c r="H1443" i="13"/>
  <c r="H1444" i="13"/>
  <c r="H1445" i="13"/>
  <c r="H1446" i="13"/>
  <c r="H1447" i="13"/>
  <c r="H1448" i="13"/>
  <c r="H1449" i="13"/>
  <c r="H1450" i="13"/>
  <c r="H1451" i="13"/>
  <c r="H1452" i="13"/>
  <c r="H1453" i="13"/>
  <c r="H1454" i="13"/>
  <c r="H1455" i="13"/>
  <c r="H1456" i="13"/>
  <c r="H1457" i="13"/>
  <c r="H1458" i="13"/>
  <c r="H1459" i="13"/>
  <c r="H1460" i="13"/>
  <c r="H1461" i="13"/>
  <c r="H1462" i="13"/>
  <c r="H1463" i="13"/>
  <c r="H1464" i="13"/>
  <c r="H1465" i="13"/>
  <c r="H1466" i="13"/>
  <c r="H1467" i="13"/>
  <c r="H1468" i="13"/>
  <c r="H1469" i="13"/>
  <c r="H1470" i="13"/>
  <c r="H1471" i="13"/>
  <c r="H1472" i="13"/>
  <c r="H1473" i="13"/>
  <c r="H1474" i="13"/>
  <c r="H1475" i="13"/>
  <c r="H1476" i="13"/>
  <c r="H1477" i="13"/>
  <c r="H1478" i="13"/>
  <c r="H1479" i="13"/>
  <c r="H1480" i="13"/>
  <c r="H1481" i="13"/>
  <c r="H1482" i="13"/>
  <c r="H1483" i="13"/>
  <c r="H1484" i="13"/>
  <c r="H1485" i="13"/>
  <c r="H1486" i="13"/>
  <c r="H1487" i="13"/>
  <c r="H1488" i="13"/>
  <c r="H1489" i="13"/>
  <c r="H1490" i="13"/>
  <c r="H1491" i="13"/>
  <c r="H1492" i="13"/>
  <c r="H1493" i="13"/>
  <c r="H1494" i="13"/>
  <c r="H1495" i="13"/>
  <c r="H1496" i="13"/>
  <c r="H1497" i="13"/>
  <c r="H1498" i="13"/>
  <c r="H1499" i="13"/>
  <c r="H1500" i="13"/>
  <c r="H1501" i="13"/>
  <c r="H1502" i="13"/>
  <c r="H1503" i="13"/>
  <c r="H1504" i="13"/>
  <c r="H1505" i="13"/>
  <c r="H1506" i="13"/>
  <c r="H1507" i="13"/>
  <c r="H1508" i="13"/>
  <c r="H1509" i="13"/>
  <c r="H1510" i="13"/>
  <c r="H1511" i="13"/>
  <c r="H1512" i="13"/>
  <c r="H1513" i="13"/>
  <c r="H1514" i="13"/>
  <c r="H1515" i="13"/>
  <c r="H1516" i="13"/>
  <c r="H1517" i="13"/>
  <c r="H1518" i="13"/>
  <c r="H1519" i="13"/>
  <c r="H1520" i="13"/>
  <c r="H1521" i="13"/>
  <c r="H1522" i="13"/>
  <c r="H1523" i="13"/>
  <c r="H1524" i="13"/>
  <c r="H1525" i="13"/>
  <c r="H1526" i="13"/>
  <c r="H1527" i="13"/>
  <c r="H1528" i="13"/>
  <c r="H1529" i="13"/>
  <c r="H1530" i="13"/>
  <c r="H1531" i="13"/>
  <c r="H1532" i="13"/>
  <c r="H1533" i="13"/>
  <c r="H1534" i="13"/>
  <c r="H1535" i="13"/>
  <c r="H1536" i="13"/>
  <c r="H1537" i="13"/>
  <c r="H1538" i="13"/>
  <c r="H1539" i="13"/>
  <c r="H1540" i="13"/>
  <c r="H1541" i="13"/>
  <c r="H1542" i="13"/>
  <c r="H1543" i="13"/>
  <c r="H1544" i="13"/>
  <c r="H1545" i="13"/>
  <c r="H1546" i="13"/>
  <c r="H1547" i="13"/>
  <c r="H1548" i="13"/>
  <c r="H1549" i="13"/>
  <c r="H1550" i="13"/>
  <c r="H1551" i="13"/>
  <c r="H1552" i="13"/>
  <c r="H1553" i="13"/>
  <c r="H1554" i="13"/>
  <c r="H1555" i="13"/>
  <c r="H1556" i="13"/>
  <c r="H1557" i="13"/>
  <c r="H1558" i="13"/>
  <c r="H1559" i="13"/>
  <c r="H1560" i="13"/>
  <c r="H1561" i="13"/>
  <c r="H1562" i="13"/>
  <c r="H1563" i="13"/>
  <c r="H1564" i="13"/>
  <c r="H1565" i="13"/>
  <c r="H1566" i="13"/>
  <c r="H1567" i="13"/>
  <c r="H1568" i="13"/>
  <c r="H1569" i="13"/>
  <c r="H1570" i="13"/>
  <c r="H1571" i="13"/>
  <c r="H1572" i="13"/>
  <c r="H1573" i="13"/>
  <c r="H1574" i="13"/>
  <c r="H1575" i="13"/>
  <c r="H1576" i="13"/>
  <c r="H1577" i="13"/>
  <c r="H1578" i="13"/>
  <c r="H1579" i="13"/>
  <c r="H1580" i="13"/>
  <c r="H1581" i="13"/>
  <c r="H1582" i="13"/>
  <c r="H1583" i="13"/>
  <c r="H1584" i="13"/>
  <c r="H1585" i="13"/>
  <c r="H1586" i="13"/>
  <c r="H1587" i="13"/>
  <c r="H1588" i="13"/>
  <c r="H1589" i="13"/>
  <c r="H1590" i="13"/>
  <c r="H1591" i="13"/>
  <c r="H1592" i="13"/>
  <c r="H1593" i="13"/>
  <c r="H1594" i="13"/>
  <c r="H1595" i="13"/>
  <c r="H1596" i="13"/>
  <c r="H1597" i="13"/>
  <c r="H1598" i="13"/>
  <c r="H1599" i="13"/>
  <c r="H1600" i="13"/>
  <c r="H1601" i="13"/>
  <c r="H1602" i="13"/>
  <c r="H1603" i="13"/>
  <c r="H1604" i="13"/>
  <c r="H1605" i="13"/>
  <c r="H1606" i="13"/>
  <c r="H1607" i="13"/>
  <c r="H1608" i="13"/>
  <c r="H1609" i="13"/>
  <c r="H1610" i="13"/>
  <c r="H1611" i="13"/>
  <c r="H1612" i="13"/>
  <c r="H1613" i="13"/>
  <c r="H1614" i="13"/>
  <c r="H1615" i="13"/>
  <c r="H1616" i="13"/>
  <c r="H1617" i="13"/>
  <c r="H1618" i="13"/>
  <c r="H1619" i="13"/>
  <c r="H1620" i="13"/>
  <c r="H1621" i="13"/>
  <c r="H1622" i="13"/>
  <c r="H1623" i="13"/>
  <c r="H1624" i="13"/>
  <c r="H1625" i="13"/>
  <c r="H1626" i="13"/>
  <c r="H1627" i="13"/>
  <c r="H1628" i="13"/>
  <c r="H1629" i="13"/>
  <c r="H1630" i="13"/>
  <c r="H1631" i="13"/>
  <c r="H1632" i="13"/>
  <c r="H1633" i="13"/>
  <c r="H1634" i="13"/>
  <c r="H1635" i="13"/>
  <c r="H1636" i="13"/>
  <c r="H1637" i="13"/>
  <c r="H1638" i="13"/>
  <c r="H1639" i="13"/>
  <c r="H1640" i="13"/>
  <c r="H1641" i="13"/>
  <c r="H1642" i="13"/>
  <c r="H1643" i="13"/>
  <c r="H1644" i="13"/>
  <c r="H1645" i="13"/>
  <c r="H1646" i="13"/>
  <c r="H1647" i="13"/>
  <c r="H1648" i="13"/>
  <c r="H1649" i="13"/>
  <c r="H1650" i="13"/>
  <c r="H1651" i="13"/>
  <c r="H1652" i="13"/>
  <c r="H1653" i="13"/>
  <c r="H1654" i="13"/>
  <c r="H1655" i="13"/>
  <c r="H1656" i="13"/>
  <c r="H1657" i="13"/>
  <c r="H1658" i="13"/>
  <c r="H1659" i="13"/>
  <c r="H1660" i="13"/>
  <c r="H1661" i="13"/>
  <c r="H1662" i="13"/>
  <c r="H1663" i="13"/>
  <c r="H1664" i="13"/>
  <c r="H1665" i="13"/>
  <c r="H1666" i="13"/>
  <c r="H1667" i="13"/>
  <c r="H1668" i="13"/>
  <c r="H1669" i="13"/>
  <c r="H1670" i="13"/>
  <c r="H1671" i="13"/>
  <c r="H1672" i="13"/>
  <c r="H1673" i="13"/>
  <c r="H1674" i="13"/>
  <c r="H1675" i="13"/>
  <c r="H1676" i="13"/>
  <c r="H1677" i="13"/>
  <c r="H1678" i="13"/>
  <c r="H1679" i="13"/>
  <c r="H1680" i="13"/>
  <c r="H1681" i="13"/>
  <c r="H1682" i="13"/>
  <c r="H1683" i="13"/>
  <c r="H1684" i="13"/>
  <c r="H1685" i="13"/>
  <c r="H1686" i="13"/>
  <c r="H1687" i="13"/>
  <c r="H1688" i="13"/>
  <c r="H1689" i="13"/>
  <c r="H1690" i="13"/>
  <c r="H1691" i="13"/>
  <c r="H1692" i="13"/>
  <c r="H1693" i="13"/>
  <c r="H1694" i="13"/>
  <c r="H1695" i="13"/>
  <c r="H1696" i="13"/>
  <c r="H1697" i="13"/>
  <c r="H1698" i="13"/>
  <c r="H1699" i="13"/>
  <c r="H1700" i="13"/>
  <c r="H1701" i="13"/>
  <c r="H1702" i="13"/>
  <c r="H1703" i="13"/>
  <c r="H1704" i="13"/>
  <c r="H1705" i="13"/>
  <c r="H1706" i="13"/>
  <c r="H1707" i="13"/>
  <c r="H1708" i="13"/>
  <c r="H1709" i="13"/>
  <c r="H1710" i="13"/>
  <c r="H1711" i="13"/>
  <c r="H1712" i="13"/>
  <c r="H1713" i="13"/>
  <c r="H1714" i="13"/>
  <c r="H1715" i="13"/>
  <c r="H1716" i="13"/>
  <c r="H1717" i="13"/>
  <c r="H1718" i="13"/>
  <c r="H1719" i="13"/>
  <c r="H1720" i="13"/>
  <c r="H1721" i="13"/>
  <c r="H1722" i="13"/>
  <c r="H1723" i="13"/>
  <c r="H1724" i="13"/>
  <c r="H1725" i="13"/>
  <c r="H1726" i="13"/>
  <c r="H1727" i="13"/>
  <c r="H1728" i="13"/>
  <c r="H1729" i="13"/>
  <c r="H1730" i="13"/>
  <c r="H1731" i="13"/>
  <c r="H1732" i="13"/>
  <c r="H1733" i="13"/>
  <c r="H1734" i="13"/>
  <c r="H1735" i="13"/>
  <c r="H1736" i="13"/>
  <c r="H1737" i="13"/>
  <c r="H1738" i="13"/>
  <c r="H1739" i="13"/>
  <c r="H1740" i="13"/>
  <c r="H1741" i="13"/>
  <c r="H1742" i="13"/>
  <c r="H1743" i="13"/>
  <c r="H1744" i="13"/>
  <c r="H1745" i="13"/>
  <c r="H1746" i="13"/>
  <c r="H1747" i="13"/>
  <c r="H1748" i="13"/>
  <c r="H1749" i="13"/>
  <c r="H1750" i="13"/>
  <c r="H1751" i="13"/>
  <c r="H1752" i="13"/>
  <c r="H1753" i="13"/>
  <c r="H1754" i="13"/>
  <c r="H1755" i="13"/>
  <c r="H1756" i="13"/>
  <c r="H1757" i="13"/>
  <c r="H1758" i="13"/>
  <c r="H1759" i="13"/>
  <c r="H1760" i="13"/>
  <c r="H1761" i="13"/>
  <c r="H1762" i="13"/>
  <c r="H1763" i="13"/>
  <c r="H1764" i="13"/>
  <c r="H1765" i="13"/>
  <c r="H1766" i="13"/>
  <c r="H1767" i="13"/>
  <c r="H1768" i="13"/>
  <c r="H1769" i="13"/>
  <c r="H1770" i="13"/>
  <c r="H1771" i="13"/>
  <c r="H1772" i="13"/>
  <c r="H1773" i="13"/>
  <c r="H1774" i="13"/>
  <c r="H1775" i="13"/>
  <c r="H1776" i="13"/>
  <c r="H1777" i="13"/>
  <c r="H1778" i="13"/>
  <c r="H1779" i="13"/>
  <c r="H1780" i="13"/>
  <c r="H1781" i="13"/>
  <c r="H1782" i="13"/>
  <c r="H1783" i="13"/>
  <c r="H1784" i="13"/>
  <c r="H1785" i="13"/>
  <c r="H1786" i="13"/>
  <c r="H1787" i="13"/>
  <c r="H1788" i="13"/>
  <c r="H1789" i="13"/>
  <c r="H1790" i="13"/>
  <c r="H1791" i="13"/>
  <c r="H1792" i="13"/>
  <c r="H1793" i="13"/>
  <c r="H1794" i="13"/>
  <c r="H1795" i="13"/>
  <c r="H1796" i="13"/>
  <c r="H1797" i="13"/>
  <c r="H1798" i="13"/>
  <c r="H1799" i="13"/>
  <c r="H1800" i="13"/>
  <c r="H1801" i="13"/>
  <c r="H1802" i="13"/>
  <c r="H1803" i="13"/>
  <c r="H1804" i="13"/>
  <c r="H1805" i="13"/>
  <c r="H1806" i="13"/>
  <c r="H1807" i="13"/>
  <c r="H1808" i="13"/>
  <c r="H1809" i="13"/>
  <c r="H1810" i="13"/>
  <c r="H1811" i="13"/>
  <c r="H1812" i="13"/>
  <c r="H1813" i="13"/>
  <c r="H1814" i="13"/>
  <c r="H1815" i="13"/>
  <c r="H1816" i="13"/>
  <c r="H1817" i="13"/>
  <c r="H1818" i="13"/>
  <c r="H1819" i="13"/>
  <c r="H1820" i="13"/>
  <c r="H1821" i="13"/>
  <c r="H1822" i="13"/>
  <c r="H1823" i="13"/>
  <c r="H1824" i="13"/>
  <c r="H1825" i="13"/>
  <c r="H1826" i="13"/>
  <c r="H1827" i="13"/>
  <c r="H1828" i="13"/>
  <c r="H1829" i="13"/>
  <c r="H1830" i="13"/>
  <c r="H1831" i="13"/>
  <c r="H1832" i="13"/>
  <c r="H1833" i="13"/>
  <c r="H1834" i="13"/>
  <c r="H1835" i="13"/>
  <c r="H1836" i="13"/>
  <c r="H1837" i="13"/>
  <c r="H1838" i="13"/>
  <c r="H1839" i="13"/>
  <c r="H1840" i="13"/>
  <c r="H1841" i="13"/>
  <c r="H1842" i="13"/>
  <c r="H1843" i="13"/>
  <c r="H1844" i="13"/>
  <c r="H1845" i="13"/>
  <c r="H1846" i="13"/>
  <c r="H1847" i="13"/>
  <c r="H1848" i="13"/>
  <c r="H1849" i="13"/>
  <c r="H1850" i="13"/>
  <c r="H1851" i="13"/>
  <c r="H1852" i="13"/>
  <c r="H1853" i="13"/>
  <c r="H1854" i="13"/>
  <c r="H1855" i="13"/>
  <c r="H1856" i="13"/>
  <c r="H1857" i="13"/>
  <c r="H1858" i="13"/>
  <c r="H1859" i="13"/>
  <c r="H1860" i="13"/>
  <c r="H1861" i="13"/>
  <c r="H1862" i="13"/>
  <c r="H1863" i="13"/>
  <c r="H1864" i="13"/>
  <c r="H1865" i="13"/>
  <c r="H1866" i="13"/>
  <c r="H1867" i="13"/>
  <c r="H1868" i="13"/>
  <c r="H1869" i="13"/>
  <c r="H1870" i="13"/>
  <c r="H1871" i="13"/>
  <c r="H1872" i="13"/>
  <c r="H1873" i="13"/>
  <c r="H1874" i="13"/>
  <c r="H1875" i="13"/>
  <c r="H1876" i="13"/>
  <c r="H1877" i="13"/>
  <c r="H1878" i="13"/>
  <c r="H1879" i="13"/>
  <c r="H1880" i="13"/>
  <c r="H1881" i="13"/>
  <c r="H1882" i="13"/>
  <c r="H1883" i="13"/>
  <c r="H1884" i="13"/>
  <c r="H1885" i="13"/>
  <c r="H1886" i="13"/>
  <c r="H1887" i="13"/>
  <c r="H1888" i="13"/>
  <c r="H1889" i="13"/>
  <c r="H1890" i="13"/>
  <c r="H1891" i="13"/>
  <c r="H1892" i="13"/>
  <c r="H1893" i="13"/>
  <c r="H1894" i="13"/>
  <c r="H1895" i="13"/>
  <c r="H1896" i="13"/>
  <c r="H1897" i="13"/>
  <c r="H1898" i="13"/>
  <c r="H1899" i="13"/>
  <c r="H1900" i="13"/>
  <c r="H1901" i="13"/>
  <c r="H1902" i="13"/>
  <c r="H1903" i="13"/>
  <c r="H1904" i="13"/>
  <c r="H1905" i="13"/>
  <c r="H1906" i="13"/>
  <c r="H1907" i="13"/>
  <c r="H1908" i="13"/>
  <c r="H1909" i="13"/>
  <c r="H1910" i="13"/>
  <c r="H1911" i="13"/>
  <c r="H1912" i="13"/>
  <c r="H1913" i="13"/>
  <c r="H1914" i="13"/>
  <c r="H1915" i="13"/>
  <c r="H1916" i="13"/>
  <c r="H1917" i="13"/>
  <c r="H1918" i="13"/>
  <c r="H1919" i="13"/>
  <c r="H1920" i="13"/>
  <c r="H1921" i="13"/>
  <c r="H1922" i="13"/>
  <c r="H1923" i="13"/>
  <c r="H1924" i="13"/>
  <c r="H1925" i="13"/>
  <c r="H1926" i="13"/>
  <c r="H1927" i="13"/>
  <c r="H1928" i="13"/>
  <c r="H1929" i="13"/>
  <c r="H1930" i="13"/>
  <c r="H1931" i="13"/>
  <c r="H1932" i="13"/>
  <c r="H1933" i="13"/>
  <c r="H1934" i="13"/>
  <c r="H1935" i="13"/>
  <c r="H1936" i="13"/>
  <c r="H1937" i="13"/>
  <c r="H1938" i="13"/>
  <c r="H1939" i="13"/>
  <c r="H1940" i="13"/>
  <c r="H1941" i="13"/>
  <c r="H1942" i="13"/>
  <c r="H1943" i="13"/>
  <c r="H1944" i="13"/>
  <c r="H1945" i="13"/>
  <c r="H1946" i="13"/>
  <c r="H1947" i="13"/>
  <c r="H1948" i="13"/>
  <c r="H1949" i="13"/>
  <c r="H1950" i="13"/>
  <c r="H1951" i="13"/>
  <c r="H1952" i="13"/>
  <c r="H1953" i="13"/>
  <c r="H1954" i="13"/>
  <c r="H1955" i="13"/>
  <c r="H1956" i="13"/>
  <c r="H1957" i="13"/>
  <c r="H1958" i="13"/>
  <c r="H1959" i="13"/>
  <c r="H1960" i="13"/>
  <c r="H1961" i="13"/>
  <c r="H1962" i="13"/>
  <c r="H1963" i="13"/>
  <c r="H1964" i="13"/>
  <c r="H1965" i="13"/>
  <c r="H1966" i="13"/>
  <c r="H1967" i="13"/>
  <c r="H1968" i="13"/>
  <c r="H1969" i="13"/>
  <c r="H1970" i="13"/>
  <c r="H1971" i="13"/>
  <c r="H1972" i="13"/>
  <c r="H1973" i="13"/>
  <c r="H1974" i="13"/>
  <c r="H1975" i="13"/>
  <c r="H1976" i="13"/>
  <c r="H1977" i="13"/>
  <c r="H1978" i="13"/>
  <c r="H1979" i="13"/>
  <c r="H1980" i="13"/>
  <c r="H1981" i="13"/>
  <c r="H1982" i="13"/>
  <c r="H1983" i="13"/>
  <c r="H1984" i="13"/>
  <c r="H1985" i="13"/>
  <c r="H1986" i="13"/>
  <c r="H1987" i="13"/>
  <c r="H1988" i="13"/>
  <c r="H1989" i="13"/>
  <c r="H1990" i="13"/>
  <c r="H1991" i="13"/>
  <c r="H1992" i="13"/>
  <c r="H1993" i="13"/>
  <c r="H1994" i="13"/>
  <c r="H1995" i="13"/>
  <c r="H1996" i="13"/>
  <c r="H1997" i="13"/>
  <c r="H1998" i="13"/>
  <c r="H1999" i="13"/>
  <c r="H2000" i="13"/>
  <c r="H200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A0235-346A-4AAF-9BA2-C83C173E1F26}" keepAlive="1" name="Query - claim_denials" description="Connection to the 'claim_denials' query in the workbook." type="5" refreshedVersion="8" background="1" saveData="1">
    <dbPr connection="Provider=Microsoft.Mashup.OleDb.1;Data Source=$Workbook$;Location=claim_denials;Extended Properties=&quot;&quot;" command="SELECT * FROM [claim_denials]"/>
  </connection>
  <connection id="2" xr16:uid="{D9B00ED0-3904-4821-98CD-0EE8037743D6}" keepAlive="1" name="Query - claim_denials (2)" description="Connection to the 'claim_denials (2)' query in the workbook." type="5" refreshedVersion="8" background="1" saveData="1">
    <dbPr connection="Provider=Microsoft.Mashup.OleDb.1;Data Source=$Workbook$;Location=&quot;claim_denials (2)&quot;;Extended Properties=&quot;&quot;" command="SELECT * FROM [claim_denials (2)]"/>
  </connection>
  <connection id="3" xr16:uid="{9E25F752-7ABE-41FA-93AA-4BB937416E7A}" keepAlive="1" name="Query - claim_lines" description="Connection to the 'claim_lines' query in the workbook." type="5" refreshedVersion="8" background="1" saveData="1">
    <dbPr connection="Provider=Microsoft.Mashup.OleDb.1;Data Source=$Workbook$;Location=claim_lines;Extended Properties=&quot;&quot;" command="SELECT * FROM [claim_lines]"/>
  </connection>
  <connection id="4" xr16:uid="{1D1959E4-1BBF-4E7B-9AA7-34AE29E04CC0}" keepAlive="1" name="Query - claim_lines (2)" description="Connection to the 'claim_lines (2)' query in the workbook." type="5" refreshedVersion="8" background="1" saveData="1">
    <dbPr connection="Provider=Microsoft.Mashup.OleDb.1;Data Source=$Workbook$;Location=&quot;claim_lines (2)&quot;;Extended Properties=&quot;&quot;" command="SELECT * FROM [claim_lines (2)]"/>
  </connection>
  <connection id="5" xr16:uid="{B1677097-71FC-4329-95D3-09189D725A61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6" xr16:uid="{5973168E-1BD1-48E3-A371-C9E9BB02D52B}" keepAlive="1" name="Query - claims (2)" description="Connection to the 'claims (2)' query in the workbook." type="5" refreshedVersion="8" background="1" saveData="1">
    <dbPr connection="Provider=Microsoft.Mashup.OleDb.1;Data Source=$Workbook$;Location=&quot;claims (2)&quot;;Extended Properties=&quot;&quot;" command="SELECT * FROM [claims (2)]"/>
  </connection>
  <connection id="7" xr16:uid="{C6841338-BE33-450B-857C-FCC9580E33CA}" keepAlive="1" name="Query - insurance_payers" description="Connection to the 'insurance_payers' query in the workbook." type="5" refreshedVersion="8" background="1" saveData="1">
    <dbPr connection="Provider=Microsoft.Mashup.OleDb.1;Data Source=$Workbook$;Location=insurance_payers;Extended Properties=&quot;&quot;" command="SELECT * FROM [insurance_payers]"/>
  </connection>
  <connection id="8" xr16:uid="{11111BD8-E5CB-44CD-A53A-630C18013FCA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9" xr16:uid="{DE0EC96F-0CB0-4BD3-82E4-8AD505437C6E}" keepAlive="1" name="Query - patients (2)" description="Connection to the 'patients (2)' query in the workbook." type="5" refreshedVersion="8" background="1" saveData="1">
    <dbPr connection="Provider=Microsoft.Mashup.OleDb.1;Data Source=$Workbook$;Location=&quot;patients (2)&quot;;Extended Properties=&quot;&quot;" command="SELECT * FROM [patients (2)]"/>
  </connection>
  <connection id="10" xr16:uid="{54FE5366-A7BF-44C9-B2AC-F07669CFA5D2}" keepAlive="1" name="Query - payments" description="Connection to the 'payments' query in the workbook." type="5" refreshedVersion="8" background="1" saveData="1">
    <dbPr connection="Provider=Microsoft.Mashup.OleDb.1;Data Source=$Workbook$;Location=payments;Extended Properties=&quot;&quot;" command="SELECT * FROM [payments]"/>
  </connection>
  <connection id="11" xr16:uid="{1DDBDB5A-0148-4E82-981D-251D4FA755A0}" keepAlive="1" name="Query - payments (2)" description="Connection to the 'payments (2)' query in the workbook." type="5" refreshedVersion="8" background="1" saveData="1">
    <dbPr connection="Provider=Microsoft.Mashup.OleDb.1;Data Source=$Workbook$;Location=&quot;payments (2)&quot;;Extended Properties=&quot;&quot;" command="SELECT * FROM [payments (2)]"/>
  </connection>
  <connection id="12" xr16:uid="{8353415A-8E14-48D5-8E2B-6F9481025868}" keepAlive="1" name="Query - providers" description="Connection to the 'providers' query in the workbook." type="5" refreshedVersion="0" background="1" saveData="1">
    <dbPr connection="Provider=Microsoft.Mashup.OleDb.1;Data Source=$Workbook$;Location=providers;Extended Properties=&quot;&quot;" command="SELECT * FROM [providers]"/>
  </connection>
  <connection id="13" xr16:uid="{A20B3C1E-379D-4C29-A4E8-F16C422654B5}" keepAlive="1" name="Query - providers (2)" description="Connection to the 'providers (2)' query in the workbook." type="5" refreshedVersion="8" background="1" saveData="1">
    <dbPr connection="Provider=Microsoft.Mashup.OleDb.1;Data Source=$Workbook$;Location=&quot;providers (2)&quot;;Extended Properties=&quot;&quot;" command="SELECT * FROM [providers (2)]"/>
  </connection>
  <connection id="14" xr16:uid="{E83AC94B-DCE0-4198-A0E8-028422B615D3}" keepAlive="1" name="Query - providers (3)" description="Connection to the 'providers (3)' query in the workbook." type="5" refreshedVersion="8" background="1" saveData="1">
    <dbPr connection="Provider=Microsoft.Mashup.OleDb.1;Data Source=$Workbook$;Location=&quot;providers (3)&quot;;Extended Properties=&quot;&quot;" command="SELECT * FROM [providers (3)]"/>
  </connection>
  <connection id="15" xr16:uid="{3B00BC35-76B6-47AC-8489-456EA2A50330}" keepAlive="1" name="Query - services" description="Connection to the 'services' query in the workbook." type="5" refreshedVersion="8" background="1" saveData="1">
    <dbPr connection="Provider=Microsoft.Mashup.OleDb.1;Data Source=$Workbook$;Location=services;Extended Properties=&quot;&quot;" command="SELECT * FROM [services]"/>
  </connection>
  <connection id="16" xr16:uid="{39BDAE98-CDC6-4EB0-963A-F94D4772B85B}" keepAlive="1" name="Query - services (2)" description="Connection to the 'services (2)' query in the workbook." type="5" refreshedVersion="8" background="1" saveData="1">
    <dbPr connection="Provider=Microsoft.Mashup.OleDb.1;Data Source=$Workbook$;Location=&quot;services (2)&quot;;Extended Properties=&quot;&quot;" command="SELECT * FROM [services (2)]"/>
  </connection>
</connections>
</file>

<file path=xl/sharedStrings.xml><?xml version="1.0" encoding="utf-8"?>
<sst xmlns="http://schemas.openxmlformats.org/spreadsheetml/2006/main" count="51628" uniqueCount="6588">
  <si>
    <t>patient_id</t>
  </si>
  <si>
    <t>age</t>
  </si>
  <si>
    <t>gender</t>
  </si>
  <si>
    <t>region</t>
  </si>
  <si>
    <t>insurance_type</t>
  </si>
  <si>
    <t>P0001</t>
  </si>
  <si>
    <t>Female</t>
  </si>
  <si>
    <t>North</t>
  </si>
  <si>
    <t>Commercial HMO</t>
  </si>
  <si>
    <t>P0002</t>
  </si>
  <si>
    <t>Male</t>
  </si>
  <si>
    <t>Commercial PPO</t>
  </si>
  <si>
    <t>P0003</t>
  </si>
  <si>
    <t>Medicaid</t>
  </si>
  <si>
    <t>P0004</t>
  </si>
  <si>
    <t>Central</t>
  </si>
  <si>
    <t>P0005</t>
  </si>
  <si>
    <t>West</t>
  </si>
  <si>
    <t>P0006</t>
  </si>
  <si>
    <t>P0007</t>
  </si>
  <si>
    <t>Medicare</t>
  </si>
  <si>
    <t>P0008</t>
  </si>
  <si>
    <t>P0009</t>
  </si>
  <si>
    <t>P0010</t>
  </si>
  <si>
    <t>East</t>
  </si>
  <si>
    <t>Self Pay</t>
  </si>
  <si>
    <t>P0011</t>
  </si>
  <si>
    <t>P0012</t>
  </si>
  <si>
    <t>South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</si>
  <si>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</si>
  <si>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</si>
  <si>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</si>
  <si>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</si>
  <si>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</si>
  <si>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</si>
  <si>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</si>
  <si>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</si>
  <si>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</si>
  <si>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</si>
  <si>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</si>
  <si>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</si>
  <si>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</si>
  <si>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</si>
  <si>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</si>
  <si>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</si>
  <si>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</si>
  <si>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</si>
  <si>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</si>
  <si>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</si>
  <si>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</si>
  <si>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</si>
  <si>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</si>
  <si>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</si>
  <si>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</si>
  <si>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</si>
  <si>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</si>
  <si>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</si>
  <si>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</si>
  <si>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</si>
  <si>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</si>
  <si>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</si>
  <si>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</si>
  <si>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</si>
  <si>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</si>
  <si>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</si>
  <si>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</si>
  <si>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</si>
  <si>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</si>
  <si>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</si>
  <si>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</si>
  <si>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</si>
  <si>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</si>
  <si>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</si>
  <si>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</si>
  <si>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</si>
  <si>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</si>
  <si>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</si>
  <si>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</si>
  <si>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</si>
  <si>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</si>
  <si>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</si>
  <si>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</si>
  <si>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</si>
  <si>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</si>
  <si>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</si>
  <si>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</si>
  <si>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</si>
  <si>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</si>
  <si>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</si>
  <si>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</si>
  <si>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</si>
  <si>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</si>
  <si>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</si>
  <si>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</si>
  <si>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</si>
  <si>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</si>
  <si>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</si>
  <si>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</si>
  <si>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</si>
  <si>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</si>
  <si>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</si>
  <si>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</si>
  <si>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</si>
  <si>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</si>
  <si>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</si>
  <si>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</si>
  <si>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</si>
  <si>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</si>
  <si>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</si>
  <si>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</si>
  <si>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</si>
  <si>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</si>
  <si>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</si>
  <si>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</si>
  <si>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</si>
  <si>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</si>
  <si>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</si>
  <si>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</si>
  <si>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</si>
  <si>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</si>
  <si>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</si>
  <si>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</si>
  <si>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</si>
  <si>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</si>
  <si>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</si>
  <si>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</si>
  <si>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</si>
  <si>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</si>
  <si>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</si>
  <si>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</si>
  <si>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</si>
  <si>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</si>
  <si>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</si>
  <si>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</si>
  <si>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</si>
  <si>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</si>
  <si>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</si>
  <si>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</si>
  <si>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</si>
  <si>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</si>
  <si>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</si>
  <si>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</si>
  <si>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</si>
  <si>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</si>
  <si>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</si>
  <si>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</si>
  <si>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</si>
  <si>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</si>
  <si>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</si>
  <si>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</si>
  <si>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</si>
  <si>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</si>
  <si>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</si>
  <si>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</si>
  <si>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</si>
  <si>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</si>
  <si>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</si>
  <si>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</si>
  <si>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</si>
  <si>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</si>
  <si>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</si>
  <si>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</si>
  <si>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</si>
  <si>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</si>
  <si>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</si>
  <si>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</si>
  <si>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</si>
  <si>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</si>
  <si>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</si>
  <si>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</si>
  <si>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</si>
  <si>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</si>
  <si>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</si>
  <si>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</si>
  <si>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</si>
  <si>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</si>
  <si>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</si>
  <si>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</si>
  <si>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</si>
  <si>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</si>
  <si>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</si>
  <si>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</si>
  <si>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</si>
  <si>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</si>
  <si>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</si>
  <si>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</si>
  <si>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</si>
  <si>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</si>
  <si>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</si>
  <si>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</si>
  <si>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</si>
  <si>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</si>
  <si>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</si>
  <si>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</si>
  <si>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</si>
  <si>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</si>
  <si>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</si>
  <si>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</si>
  <si>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</si>
  <si>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</si>
  <si>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</si>
  <si>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</si>
  <si>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</si>
  <si>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</si>
  <si>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</si>
  <si>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</si>
  <si>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</si>
  <si>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</si>
  <si>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</si>
  <si>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</si>
  <si>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</si>
  <si>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</si>
  <si>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</si>
  <si>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</si>
  <si>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</si>
  <si>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</si>
  <si>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</si>
  <si>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</si>
  <si>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</si>
  <si>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</si>
  <si>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</si>
  <si>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</si>
  <si>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</si>
  <si>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</si>
  <si>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</si>
  <si>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</si>
  <si>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</si>
  <si>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</si>
  <si>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</si>
  <si>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</si>
  <si>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</si>
  <si>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</si>
  <si>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</si>
  <si>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</si>
  <si>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</si>
  <si>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</si>
  <si>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</si>
  <si>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</si>
  <si>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</si>
  <si>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</si>
  <si>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</si>
  <si>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</si>
  <si>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</si>
  <si>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</si>
  <si>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</si>
  <si>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</si>
  <si>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</si>
  <si>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</si>
  <si>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</si>
  <si>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</si>
  <si>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</si>
  <si>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</si>
  <si>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</si>
  <si>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</si>
  <si>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</si>
  <si>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</si>
  <si>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</si>
  <si>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</si>
  <si>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</si>
  <si>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</si>
  <si>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</si>
  <si>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</si>
  <si>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</si>
  <si>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</si>
  <si>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</si>
  <si>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</si>
  <si>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</si>
  <si>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</si>
  <si>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</si>
  <si>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</si>
  <si>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</si>
  <si>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</si>
  <si>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</si>
  <si>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</si>
  <si>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</si>
  <si>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</si>
  <si>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</si>
  <si>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</si>
  <si>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</si>
  <si>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</si>
  <si>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</si>
  <si>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</si>
  <si>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</si>
  <si>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</si>
  <si>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</si>
  <si>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</si>
  <si>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</si>
  <si>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</si>
  <si>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</si>
  <si>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</si>
  <si>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</si>
  <si>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</si>
  <si>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</si>
  <si>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</si>
  <si>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</si>
  <si>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</si>
  <si>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</si>
  <si>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</si>
  <si>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</si>
  <si>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</si>
  <si>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</si>
  <si>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</si>
  <si>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</si>
  <si>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</si>
  <si>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</si>
  <si>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</si>
  <si>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</si>
  <si>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</si>
  <si>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</si>
  <si>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</si>
  <si>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</si>
  <si>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</si>
  <si>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</si>
  <si>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</si>
  <si>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</si>
  <si>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</si>
  <si>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</si>
  <si>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</si>
  <si>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</si>
  <si>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</si>
  <si>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</si>
  <si>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</si>
  <si>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</si>
  <si>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</si>
  <si>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</si>
  <si>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</si>
  <si>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</si>
  <si>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</si>
  <si>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</si>
  <si>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</si>
  <si>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</si>
  <si>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</si>
  <si>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</si>
  <si>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</si>
  <si>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</si>
  <si>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</si>
  <si>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</si>
  <si>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</si>
  <si>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</si>
  <si>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</si>
  <si>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</si>
  <si>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</si>
  <si>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</si>
  <si>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</si>
  <si>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</si>
  <si>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</si>
  <si>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</si>
  <si>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</si>
  <si>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</si>
  <si>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</si>
  <si>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</si>
  <si>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</si>
  <si>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</si>
  <si>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</si>
  <si>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</si>
  <si>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</si>
  <si>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</si>
  <si>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</si>
  <si>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</si>
  <si>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</si>
  <si>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</si>
  <si>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</si>
  <si>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</si>
  <si>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</si>
  <si>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</si>
  <si>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</si>
  <si>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</si>
  <si>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</si>
  <si>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</si>
  <si>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</si>
  <si>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</si>
  <si>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</si>
  <si>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</si>
  <si>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</si>
  <si>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</si>
  <si>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</si>
  <si>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</si>
  <si>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</si>
  <si>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</si>
  <si>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</si>
  <si>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</si>
  <si>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</si>
  <si>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</si>
  <si>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</si>
  <si>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</si>
  <si>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</si>
  <si>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</si>
  <si>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</si>
  <si>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</si>
  <si>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</si>
  <si>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</si>
  <si>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</si>
  <si>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</si>
  <si>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</si>
  <si>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</si>
  <si>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</si>
  <si>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</si>
  <si>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</si>
  <si>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</si>
  <si>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</si>
  <si>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</si>
  <si>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</si>
  <si>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</si>
  <si>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</si>
  <si>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</si>
  <si>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</si>
  <si>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</si>
  <si>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</si>
  <si>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</si>
  <si>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</si>
  <si>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</si>
  <si>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</si>
  <si>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</si>
  <si>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</si>
  <si>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</si>
  <si>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</si>
  <si>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</si>
  <si>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</si>
  <si>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</si>
  <si>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</si>
  <si>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</si>
  <si>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</si>
  <si>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</si>
  <si>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</si>
  <si>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</si>
  <si>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</si>
  <si>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</si>
  <si>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</si>
  <si>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</si>
  <si>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</si>
  <si>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</si>
  <si>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</si>
  <si>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</si>
  <si>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</si>
  <si>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</si>
  <si>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</si>
  <si>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</si>
  <si>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</si>
  <si>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</si>
  <si>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</si>
  <si>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</si>
  <si>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</si>
  <si>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</si>
  <si>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</si>
  <si>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</si>
  <si>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</si>
  <si>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</si>
  <si>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</si>
  <si>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</si>
  <si>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</si>
  <si>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</si>
  <si>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</si>
  <si>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</si>
  <si>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</si>
  <si>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</si>
  <si>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</si>
  <si>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</si>
  <si>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</si>
  <si>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</si>
  <si>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</si>
  <si>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</si>
  <si>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</si>
  <si>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</si>
  <si>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</si>
  <si>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</si>
  <si>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</si>
  <si>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</si>
  <si>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</si>
  <si>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</si>
  <si>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</si>
  <si>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</si>
  <si>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</si>
  <si>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</si>
  <si>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</si>
  <si>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</si>
  <si>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</si>
  <si>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</si>
  <si>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</si>
  <si>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</si>
  <si>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</si>
  <si>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</si>
  <si>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</si>
  <si>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</si>
  <si>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</si>
  <si>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</si>
  <si>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</si>
  <si>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</si>
  <si>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</si>
  <si>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</si>
  <si>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</si>
  <si>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</si>
  <si>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</si>
  <si>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</si>
  <si>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</si>
  <si>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</si>
  <si>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</si>
  <si>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</si>
  <si>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</si>
  <si>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</si>
  <si>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</si>
  <si>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</si>
  <si>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</si>
  <si>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</si>
  <si>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</si>
  <si>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</si>
  <si>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</si>
  <si>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</si>
  <si>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</si>
  <si>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</si>
  <si>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</si>
  <si>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</si>
  <si>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</si>
  <si>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</si>
  <si>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</si>
  <si>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</si>
  <si>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</si>
  <si>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</si>
  <si>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provider_id</t>
  </si>
  <si>
    <t>provider_name</t>
  </si>
  <si>
    <t>specialty</t>
  </si>
  <si>
    <t>department</t>
  </si>
  <si>
    <t>PR001</t>
  </si>
  <si>
    <t>Dr. Sharma A</t>
  </si>
  <si>
    <t>Cardiology</t>
  </si>
  <si>
    <t>PR002</t>
  </si>
  <si>
    <t>Dr. Sharma B</t>
  </si>
  <si>
    <t>Orthopedics</t>
  </si>
  <si>
    <t>PR003</t>
  </si>
  <si>
    <t>Dr. Sharma C</t>
  </si>
  <si>
    <t>General Medicine</t>
  </si>
  <si>
    <t>Internal Medicine</t>
  </si>
  <si>
    <t>PR004</t>
  </si>
  <si>
    <t>Dr. Sharma D</t>
  </si>
  <si>
    <t>Pediatrics</t>
  </si>
  <si>
    <t>PR005</t>
  </si>
  <si>
    <t>Dr. Sharma E</t>
  </si>
  <si>
    <t>Oncology</t>
  </si>
  <si>
    <t>PR006</t>
  </si>
  <si>
    <t>Dr. Sharma F</t>
  </si>
  <si>
    <t>Neurology</t>
  </si>
  <si>
    <t>PR007</t>
  </si>
  <si>
    <t>Dr. Sharma G</t>
  </si>
  <si>
    <t>Dermatology</t>
  </si>
  <si>
    <t>PR008</t>
  </si>
  <si>
    <t>Dr. Sharma H</t>
  </si>
  <si>
    <t>Gastroenterology</t>
  </si>
  <si>
    <t>PR009</t>
  </si>
  <si>
    <t>Dr. Sharma I</t>
  </si>
  <si>
    <t>Pulmonology</t>
  </si>
  <si>
    <t>PR010</t>
  </si>
  <si>
    <t>Dr. Sharma J</t>
  </si>
  <si>
    <t>Emergency Medicine</t>
  </si>
  <si>
    <t>Emergency</t>
  </si>
  <si>
    <t>PR011</t>
  </si>
  <si>
    <t>Dr. Patel A</t>
  </si>
  <si>
    <t>PR012</t>
  </si>
  <si>
    <t>Dr. Patel B</t>
  </si>
  <si>
    <t>PR013</t>
  </si>
  <si>
    <t>Dr. Patel C</t>
  </si>
  <si>
    <t>PR014</t>
  </si>
  <si>
    <t>Dr. Patel D</t>
  </si>
  <si>
    <t>PR015</t>
  </si>
  <si>
    <t>Dr. Patel E</t>
  </si>
  <si>
    <t>PR016</t>
  </si>
  <si>
    <t>Dr. Patel F</t>
  </si>
  <si>
    <t>PR017</t>
  </si>
  <si>
    <t>Dr. Patel G</t>
  </si>
  <si>
    <t>PR018</t>
  </si>
  <si>
    <t>Dr. Patel H</t>
  </si>
  <si>
    <t>PR019</t>
  </si>
  <si>
    <t>Dr. Patel I</t>
  </si>
  <si>
    <t>PR020</t>
  </si>
  <si>
    <t>Dr. Patel J</t>
  </si>
  <si>
    <t>PR021</t>
  </si>
  <si>
    <t>Dr. Rao A</t>
  </si>
  <si>
    <t>PR022</t>
  </si>
  <si>
    <t>Dr. Rao B</t>
  </si>
  <si>
    <t>PR023</t>
  </si>
  <si>
    <t>Dr. Rao C</t>
  </si>
  <si>
    <t>PR024</t>
  </si>
  <si>
    <t>Dr. Rao D</t>
  </si>
  <si>
    <t>PR025</t>
  </si>
  <si>
    <t>Dr. Rao E</t>
  </si>
  <si>
    <t>PR026</t>
  </si>
  <si>
    <t>Dr. Rao F</t>
  </si>
  <si>
    <t>PR027</t>
  </si>
  <si>
    <t>Dr. Rao G</t>
  </si>
  <si>
    <t>PR028</t>
  </si>
  <si>
    <t>Dr. Rao H</t>
  </si>
  <si>
    <t>PR029</t>
  </si>
  <si>
    <t>Dr. Rao I</t>
  </si>
  <si>
    <t>PR030</t>
  </si>
  <si>
    <t>Dr. Rao J</t>
  </si>
  <si>
    <t>PR031</t>
  </si>
  <si>
    <t>Dr. Singh A</t>
  </si>
  <si>
    <t>PR032</t>
  </si>
  <si>
    <t>Dr. Singh B</t>
  </si>
  <si>
    <t>PR033</t>
  </si>
  <si>
    <t>Dr. Singh C</t>
  </si>
  <si>
    <t>PR034</t>
  </si>
  <si>
    <t>Dr. Singh D</t>
  </si>
  <si>
    <t>PR035</t>
  </si>
  <si>
    <t>Dr. Singh E</t>
  </si>
  <si>
    <t>PR036</t>
  </si>
  <si>
    <t>Dr. Singh F</t>
  </si>
  <si>
    <t>PR037</t>
  </si>
  <si>
    <t>Dr. Singh G</t>
  </si>
  <si>
    <t>PR038</t>
  </si>
  <si>
    <t>Dr. Singh H</t>
  </si>
  <si>
    <t>PR039</t>
  </si>
  <si>
    <t>Dr. Singh I</t>
  </si>
  <si>
    <t>PR040</t>
  </si>
  <si>
    <t>Dr. Singh J</t>
  </si>
  <si>
    <t>service_id</t>
  </si>
  <si>
    <t>service_name</t>
  </si>
  <si>
    <t>category</t>
  </si>
  <si>
    <t>base_cost</t>
  </si>
  <si>
    <t>S001</t>
  </si>
  <si>
    <t>Consultation</t>
  </si>
  <si>
    <t>Visit</t>
  </si>
  <si>
    <t>S002</t>
  </si>
  <si>
    <t>Blood Test</t>
  </si>
  <si>
    <t>Laboratory</t>
  </si>
  <si>
    <t>S003</t>
  </si>
  <si>
    <t>MRI</t>
  </si>
  <si>
    <t>Imaging</t>
  </si>
  <si>
    <t>S004</t>
  </si>
  <si>
    <t>Surgery</t>
  </si>
  <si>
    <t>Procedure</t>
  </si>
  <si>
    <t>S005</t>
  </si>
  <si>
    <t>X-Ray</t>
  </si>
  <si>
    <t>S006</t>
  </si>
  <si>
    <t>CT Scan</t>
  </si>
  <si>
    <t>S007</t>
  </si>
  <si>
    <t>Ultrasound</t>
  </si>
  <si>
    <t>S008</t>
  </si>
  <si>
    <t>ECG</t>
  </si>
  <si>
    <t>Diagnostic</t>
  </si>
  <si>
    <t>S009</t>
  </si>
  <si>
    <t>Physiotherapy</t>
  </si>
  <si>
    <t>Therapy</t>
  </si>
  <si>
    <t>S010</t>
  </si>
  <si>
    <t>Endoscopy</t>
  </si>
  <si>
    <t>S011</t>
  </si>
  <si>
    <t>Colonoscopy</t>
  </si>
  <si>
    <t>S012</t>
  </si>
  <si>
    <t>Chemotherapy</t>
  </si>
  <si>
    <t>S013</t>
  </si>
  <si>
    <t>Radiation Therapy</t>
  </si>
  <si>
    <t>S014</t>
  </si>
  <si>
    <t>Emergency Visit</t>
  </si>
  <si>
    <t>S015</t>
  </si>
  <si>
    <t>Vaccination</t>
  </si>
  <si>
    <t>Preventive</t>
  </si>
  <si>
    <t>S016</t>
  </si>
  <si>
    <t>Diabetes Screening</t>
  </si>
  <si>
    <t>S017</t>
  </si>
  <si>
    <t>Mammogram</t>
  </si>
  <si>
    <t>S018</t>
  </si>
  <si>
    <t>Minor Procedure</t>
  </si>
  <si>
    <t>S019</t>
  </si>
  <si>
    <t>Inpatient Stay</t>
  </si>
  <si>
    <t>Inpatient</t>
  </si>
  <si>
    <t>S020</t>
  </si>
  <si>
    <t>Outpatient Procedure</t>
  </si>
  <si>
    <t>S021</t>
  </si>
  <si>
    <t>Cardiac Echo</t>
  </si>
  <si>
    <t>S022</t>
  </si>
  <si>
    <t>Stress Test</t>
  </si>
  <si>
    <t>S023</t>
  </si>
  <si>
    <t>Dermatology Procedure</t>
  </si>
  <si>
    <t>S024</t>
  </si>
  <si>
    <t>Pulmonary Function Test</t>
  </si>
  <si>
    <t>S025</t>
  </si>
  <si>
    <t>Neurology Consultation</t>
  </si>
  <si>
    <t>claim_id</t>
  </si>
  <si>
    <t>claim_date</t>
  </si>
  <si>
    <t>submission_date</t>
  </si>
  <si>
    <t>processed_date</t>
  </si>
  <si>
    <t>billed_amount</t>
  </si>
  <si>
    <t>status</t>
  </si>
  <si>
    <t>claim_processing_days</t>
  </si>
  <si>
    <t>CLM00001</t>
  </si>
  <si>
    <t>Paid</t>
  </si>
  <si>
    <t>CLM00002</t>
  </si>
  <si>
    <t>CLM00003</t>
  </si>
  <si>
    <t>CLM00004</t>
  </si>
  <si>
    <t>Denied</t>
  </si>
  <si>
    <t>CLM00005</t>
  </si>
  <si>
    <t>Pending</t>
  </si>
  <si>
    <t>CLM00006</t>
  </si>
  <si>
    <t>CLM00007</t>
  </si>
  <si>
    <t>CLM00008</t>
  </si>
  <si>
    <t>CLM00009</t>
  </si>
  <si>
    <t>CLM00010</t>
  </si>
  <si>
    <t>CLM00011</t>
  </si>
  <si>
    <t>CLM00012</t>
  </si>
  <si>
    <t>CLM00013</t>
  </si>
  <si>
    <t>CLM00014</t>
  </si>
  <si>
    <t>CLM00015</t>
  </si>
  <si>
    <t>CLM00016</t>
  </si>
  <si>
    <t>CLM00017</t>
  </si>
  <si>
    <t>CLM00018</t>
  </si>
  <si>
    <t>CLM00019</t>
  </si>
  <si>
    <t>CLM00020</t>
  </si>
  <si>
    <t>CLM00021</t>
  </si>
  <si>
    <t>CLM00022</t>
  </si>
  <si>
    <t>CLM00023</t>
  </si>
  <si>
    <t>CLM00024</t>
  </si>
  <si>
    <t>CLM00025</t>
  </si>
  <si>
    <t>CLM00026</t>
  </si>
  <si>
    <t>CLM00027</t>
  </si>
  <si>
    <t>CLM00028</t>
  </si>
  <si>
    <t>CLM00029</t>
  </si>
  <si>
    <t>CLM00030</t>
  </si>
  <si>
    <t>CLM00031</t>
  </si>
  <si>
    <t>CLM00032</t>
  </si>
  <si>
    <t>CLM00033</t>
  </si>
  <si>
    <t>CLM00034</t>
  </si>
  <si>
    <t>CLM00035</t>
  </si>
  <si>
    <t>CLM00036</t>
  </si>
  <si>
    <t>CLM00037</t>
  </si>
  <si>
    <t>CLM00038</t>
  </si>
  <si>
    <t>CLM00039</t>
  </si>
  <si>
    <t>CLM00040</t>
  </si>
  <si>
    <t>CLM00041</t>
  </si>
  <si>
    <t>CLM00042</t>
  </si>
  <si>
    <t>CLM00043</t>
  </si>
  <si>
    <t>CLM00044</t>
  </si>
  <si>
    <t>CLM00045</t>
  </si>
  <si>
    <t>CLM00046</t>
  </si>
  <si>
    <t>CLM00047</t>
  </si>
  <si>
    <t>CLM00048</t>
  </si>
  <si>
    <t>CLM00049</t>
  </si>
  <si>
    <t>CLM00050</t>
  </si>
  <si>
    <t>CLM00051</t>
  </si>
  <si>
    <t>CLM00052</t>
  </si>
  <si>
    <t>CLM00053</t>
  </si>
  <si>
    <t>CLM00054</t>
  </si>
  <si>
    <t>CLM00055</t>
  </si>
  <si>
    <t>CLM00056</t>
  </si>
  <si>
    <t>CLM00057</t>
  </si>
  <si>
    <t>CLM00058</t>
  </si>
  <si>
    <t>CLM00059</t>
  </si>
  <si>
    <t>CLM00060</t>
  </si>
  <si>
    <t>CLM00061</t>
  </si>
  <si>
    <t>CLM00062</t>
  </si>
  <si>
    <t>CLM00063</t>
  </si>
  <si>
    <t>CLM00064</t>
  </si>
  <si>
    <t>CLM00065</t>
  </si>
  <si>
    <t>CLM00066</t>
  </si>
  <si>
    <t>CLM00067</t>
  </si>
  <si>
    <t>CLM00068</t>
  </si>
  <si>
    <t>CLM00069</t>
  </si>
  <si>
    <t>CLM00070</t>
  </si>
  <si>
    <t>CLM00071</t>
  </si>
  <si>
    <t>CLM00072</t>
  </si>
  <si>
    <t>CLM00073</t>
  </si>
  <si>
    <t>CLM00074</t>
  </si>
  <si>
    <t>CLM00075</t>
  </si>
  <si>
    <t>CLM00076</t>
  </si>
  <si>
    <t>CLM00077</t>
  </si>
  <si>
    <t>CLM00078</t>
  </si>
  <si>
    <t>CLM00079</t>
  </si>
  <si>
    <t>CLM00080</t>
  </si>
  <si>
    <t>CLM00081</t>
  </si>
  <si>
    <t>CLM00082</t>
  </si>
  <si>
    <t>CLM00083</t>
  </si>
  <si>
    <t>CLM00084</t>
  </si>
  <si>
    <t>CLM00085</t>
  </si>
  <si>
    <t>CLM00086</t>
  </si>
  <si>
    <t>CLM00087</t>
  </si>
  <si>
    <t>CLM00088</t>
  </si>
  <si>
    <t>CLM00089</t>
  </si>
  <si>
    <t>CLM00090</t>
  </si>
  <si>
    <t>CLM00091</t>
  </si>
  <si>
    <t>CLM00092</t>
  </si>
  <si>
    <t>CLM00093</t>
  </si>
  <si>
    <t>CLM00094</t>
  </si>
  <si>
    <t>CLM00095</t>
  </si>
  <si>
    <t>CLM00096</t>
  </si>
  <si>
    <t>CLM00097</t>
  </si>
  <si>
    <t>CLM00098</t>
  </si>
  <si>
    <t>CLM00099</t>
  </si>
  <si>
    <t>CLM00100</t>
  </si>
  <si>
    <t>CLM00101</t>
  </si>
  <si>
    <t>CLM00102</t>
  </si>
  <si>
    <t>CLM00103</t>
  </si>
  <si>
    <t>CLM00104</t>
  </si>
  <si>
    <t>CLM00105</t>
  </si>
  <si>
    <t>CLM00106</t>
  </si>
  <si>
    <t>CLM00107</t>
  </si>
  <si>
    <t>CLM00108</t>
  </si>
  <si>
    <t>CLM00109</t>
  </si>
  <si>
    <t>CLM00110</t>
  </si>
  <si>
    <t>CLM00111</t>
  </si>
  <si>
    <t>CLM00112</t>
  </si>
  <si>
    <t>CLM00113</t>
  </si>
  <si>
    <t>CLM00114</t>
  </si>
  <si>
    <t>CLM00115</t>
  </si>
  <si>
    <t>CLM00116</t>
  </si>
  <si>
    <t>CLM00117</t>
  </si>
  <si>
    <t>CLM00118</t>
  </si>
  <si>
    <t>CLM00119</t>
  </si>
  <si>
    <t>CLM00120</t>
  </si>
  <si>
    <t>CLM00121</t>
  </si>
  <si>
    <t>CLM00122</t>
  </si>
  <si>
    <t>CLM00123</t>
  </si>
  <si>
    <t>CLM00124</t>
  </si>
  <si>
    <t>CLM00125</t>
  </si>
  <si>
    <t>CLM00126</t>
  </si>
  <si>
    <t>CLM00127</t>
  </si>
  <si>
    <t>CLM00128</t>
  </si>
  <si>
    <t>CLM00129</t>
  </si>
  <si>
    <t>CLM00130</t>
  </si>
  <si>
    <t>CLM00131</t>
  </si>
  <si>
    <t>CLM00132</t>
  </si>
  <si>
    <t>CLM00133</t>
  </si>
  <si>
    <t>CLM00134</t>
  </si>
  <si>
    <t>CLM00135</t>
  </si>
  <si>
    <t>CLM00136</t>
  </si>
  <si>
    <t>CLM00137</t>
  </si>
  <si>
    <t>CLM00138</t>
  </si>
  <si>
    <t>CLM00139</t>
  </si>
  <si>
    <t>CLM00140</t>
  </si>
  <si>
    <t>CLM00141</t>
  </si>
  <si>
    <t>CLM00142</t>
  </si>
  <si>
    <t>CLM00143</t>
  </si>
  <si>
    <t>CLM00144</t>
  </si>
  <si>
    <t>CLM00145</t>
  </si>
  <si>
    <t>CLM00146</t>
  </si>
  <si>
    <t>CLM00147</t>
  </si>
  <si>
    <t>CLM00148</t>
  </si>
  <si>
    <t>CLM00149</t>
  </si>
  <si>
    <t>CLM00150</t>
  </si>
  <si>
    <t>CLM00151</t>
  </si>
  <si>
    <t>CLM00152</t>
  </si>
  <si>
    <t>CLM00153</t>
  </si>
  <si>
    <t>CLM00154</t>
  </si>
  <si>
    <t>CLM00155</t>
  </si>
  <si>
    <t>CLM00156</t>
  </si>
  <si>
    <t>CLM00157</t>
  </si>
  <si>
    <t>CLM00158</t>
  </si>
  <si>
    <t>CLM00159</t>
  </si>
  <si>
    <t>CLM00160</t>
  </si>
  <si>
    <t>CLM00161</t>
  </si>
  <si>
    <t>CLM00162</t>
  </si>
  <si>
    <t>CLM00163</t>
  </si>
  <si>
    <t>CLM00164</t>
  </si>
  <si>
    <t>CLM00165</t>
  </si>
  <si>
    <t>CLM00166</t>
  </si>
  <si>
    <t>CLM00167</t>
  </si>
  <si>
    <t>CLM00168</t>
  </si>
  <si>
    <t>CLM00169</t>
  </si>
  <si>
    <t>CLM00170</t>
  </si>
  <si>
    <t>CLM00171</t>
  </si>
  <si>
    <t>CLM00172</t>
  </si>
  <si>
    <t>CLM00173</t>
  </si>
  <si>
    <t>CLM00174</t>
  </si>
  <si>
    <t>CLM00175</t>
  </si>
  <si>
    <t>CLM00176</t>
  </si>
  <si>
    <t>CLM00177</t>
  </si>
  <si>
    <t>CLM00178</t>
  </si>
  <si>
    <t>CLM00179</t>
  </si>
  <si>
    <t>CLM00180</t>
  </si>
  <si>
    <t>CLM00181</t>
  </si>
  <si>
    <t>CLM00182</t>
  </si>
  <si>
    <t>CLM00183</t>
  </si>
  <si>
    <t>CLM00184</t>
  </si>
  <si>
    <t>CLM00185</t>
  </si>
  <si>
    <t>CLM00186</t>
  </si>
  <si>
    <t>CLM00187</t>
  </si>
  <si>
    <t>CLM00188</t>
  </si>
  <si>
    <t>CLM00189</t>
  </si>
  <si>
    <t>CLM00190</t>
  </si>
  <si>
    <t>CLM00191</t>
  </si>
  <si>
    <t>CLM00192</t>
  </si>
  <si>
    <t>CLM00193</t>
  </si>
  <si>
    <t>CLM00194</t>
  </si>
  <si>
    <t>CLM00195</t>
  </si>
  <si>
    <t>CLM00196</t>
  </si>
  <si>
    <t>CLM00197</t>
  </si>
  <si>
    <t>CLM00198</t>
  </si>
  <si>
    <t>CLM00199</t>
  </si>
  <si>
    <t>CLM00200</t>
  </si>
  <si>
    <t>CLM00201</t>
  </si>
  <si>
    <t>CLM00202</t>
  </si>
  <si>
    <t>CLM00203</t>
  </si>
  <si>
    <t>CLM00204</t>
  </si>
  <si>
    <t>CLM00205</t>
  </si>
  <si>
    <t>CLM00206</t>
  </si>
  <si>
    <t>CLM00207</t>
  </si>
  <si>
    <t>CLM00208</t>
  </si>
  <si>
    <t>CLM00209</t>
  </si>
  <si>
    <t>CLM00210</t>
  </si>
  <si>
    <t>CLM00211</t>
  </si>
  <si>
    <t>CLM00212</t>
  </si>
  <si>
    <t>CLM00213</t>
  </si>
  <si>
    <t>CLM00214</t>
  </si>
  <si>
    <t>CLM00215</t>
  </si>
  <si>
    <t>CLM00216</t>
  </si>
  <si>
    <t>CLM00217</t>
  </si>
  <si>
    <t>CLM00218</t>
  </si>
  <si>
    <t>CLM00219</t>
  </si>
  <si>
    <t>CLM00220</t>
  </si>
  <si>
    <t>CLM00221</t>
  </si>
  <si>
    <t>CLM00222</t>
  </si>
  <si>
    <t>CLM00223</t>
  </si>
  <si>
    <t>CLM00224</t>
  </si>
  <si>
    <t>CLM00225</t>
  </si>
  <si>
    <t>CLM00226</t>
  </si>
  <si>
    <t>CLM00227</t>
  </si>
  <si>
    <t>CLM00228</t>
  </si>
  <si>
    <t>CLM00229</t>
  </si>
  <si>
    <t>CLM00230</t>
  </si>
  <si>
    <t>CLM00231</t>
  </si>
  <si>
    <t>CLM00232</t>
  </si>
  <si>
    <t>CLM00233</t>
  </si>
  <si>
    <t>CLM00234</t>
  </si>
  <si>
    <t>CLM00235</t>
  </si>
  <si>
    <t>CLM00236</t>
  </si>
  <si>
    <t>CLM00237</t>
  </si>
  <si>
    <t>CLM00238</t>
  </si>
  <si>
    <t>CLM00239</t>
  </si>
  <si>
    <t>CLM00240</t>
  </si>
  <si>
    <t>CLM00241</t>
  </si>
  <si>
    <t>CLM00242</t>
  </si>
  <si>
    <t>CLM00243</t>
  </si>
  <si>
    <t>CLM00244</t>
  </si>
  <si>
    <t>CLM00245</t>
  </si>
  <si>
    <t>CLM00246</t>
  </si>
  <si>
    <t>CLM00247</t>
  </si>
  <si>
    <t>CLM00248</t>
  </si>
  <si>
    <t>CLM00249</t>
  </si>
  <si>
    <t>CLM00250</t>
  </si>
  <si>
    <t>CLM00251</t>
  </si>
  <si>
    <t>CLM00252</t>
  </si>
  <si>
    <t>CLM00253</t>
  </si>
  <si>
    <t>CLM00254</t>
  </si>
  <si>
    <t>CLM00255</t>
  </si>
  <si>
    <t>CLM00256</t>
  </si>
  <si>
    <t>CLM00257</t>
  </si>
  <si>
    <t>CLM00258</t>
  </si>
  <si>
    <t>CLM00259</t>
  </si>
  <si>
    <t>CLM00260</t>
  </si>
  <si>
    <t>CLM00261</t>
  </si>
  <si>
    <t>CLM00262</t>
  </si>
  <si>
    <t>CLM00263</t>
  </si>
  <si>
    <t>CLM00264</t>
  </si>
  <si>
    <t>CLM00265</t>
  </si>
  <si>
    <t>CLM00266</t>
  </si>
  <si>
    <t>CLM00267</t>
  </si>
  <si>
    <t>CLM00268</t>
  </si>
  <si>
    <t>CLM00269</t>
  </si>
  <si>
    <t>CLM00270</t>
  </si>
  <si>
    <t>CLM00271</t>
  </si>
  <si>
    <t>CLM00272</t>
  </si>
  <si>
    <t>CLM00273</t>
  </si>
  <si>
    <t>CLM00274</t>
  </si>
  <si>
    <t>CLM00275</t>
  </si>
  <si>
    <t>CLM00276</t>
  </si>
  <si>
    <t>CLM00277</t>
  </si>
  <si>
    <t>CLM00278</t>
  </si>
  <si>
    <t>CLM00279</t>
  </si>
  <si>
    <t>CLM00280</t>
  </si>
  <si>
    <t>CLM00281</t>
  </si>
  <si>
    <t>CLM00282</t>
  </si>
  <si>
    <t>CLM00283</t>
  </si>
  <si>
    <t>CLM00284</t>
  </si>
  <si>
    <t>CLM00285</t>
  </si>
  <si>
    <t>CLM00286</t>
  </si>
  <si>
    <t>CLM00287</t>
  </si>
  <si>
    <t>CLM00288</t>
  </si>
  <si>
    <t>CLM00289</t>
  </si>
  <si>
    <t>CLM00290</t>
  </si>
  <si>
    <t>CLM00291</t>
  </si>
  <si>
    <t>CLM00292</t>
  </si>
  <si>
    <t>CLM00293</t>
  </si>
  <si>
    <t>CLM00294</t>
  </si>
  <si>
    <t>CLM00295</t>
  </si>
  <si>
    <t>CLM00296</t>
  </si>
  <si>
    <t>CLM00297</t>
  </si>
  <si>
    <t>CLM00298</t>
  </si>
  <si>
    <t>CLM00299</t>
  </si>
  <si>
    <t>CLM00300</t>
  </si>
  <si>
    <t>CLM00301</t>
  </si>
  <si>
    <t>CLM00302</t>
  </si>
  <si>
    <t>CLM00303</t>
  </si>
  <si>
    <t>CLM00304</t>
  </si>
  <si>
    <t>CLM00305</t>
  </si>
  <si>
    <t>CLM00306</t>
  </si>
  <si>
    <t>CLM00307</t>
  </si>
  <si>
    <t>CLM00308</t>
  </si>
  <si>
    <t>CLM00309</t>
  </si>
  <si>
    <t>CLM00310</t>
  </si>
  <si>
    <t>CLM00311</t>
  </si>
  <si>
    <t>CLM00312</t>
  </si>
  <si>
    <t>CLM00313</t>
  </si>
  <si>
    <t>CLM00314</t>
  </si>
  <si>
    <t>CLM00315</t>
  </si>
  <si>
    <t>CLM00316</t>
  </si>
  <si>
    <t>CLM00317</t>
  </si>
  <si>
    <t>CLM00318</t>
  </si>
  <si>
    <t>CLM00319</t>
  </si>
  <si>
    <t>CLM00320</t>
  </si>
  <si>
    <t>CLM00321</t>
  </si>
  <si>
    <t>CLM00322</t>
  </si>
  <si>
    <t>CLM00323</t>
  </si>
  <si>
    <t>CLM00324</t>
  </si>
  <si>
    <t>CLM00325</t>
  </si>
  <si>
    <t>CLM00326</t>
  </si>
  <si>
    <t>CLM00327</t>
  </si>
  <si>
    <t>CLM00328</t>
  </si>
  <si>
    <t>CLM00329</t>
  </si>
  <si>
    <t>CLM00330</t>
  </si>
  <si>
    <t>CLM00331</t>
  </si>
  <si>
    <t>CLM00332</t>
  </si>
  <si>
    <t>CLM00333</t>
  </si>
  <si>
    <t>CLM00334</t>
  </si>
  <si>
    <t>CLM00335</t>
  </si>
  <si>
    <t>CLM00336</t>
  </si>
  <si>
    <t>CLM00337</t>
  </si>
  <si>
    <t>CLM00338</t>
  </si>
  <si>
    <t>CLM00339</t>
  </si>
  <si>
    <t>CLM00340</t>
  </si>
  <si>
    <t>CLM00341</t>
  </si>
  <si>
    <t>CLM00342</t>
  </si>
  <si>
    <t>CLM00343</t>
  </si>
  <si>
    <t>CLM00344</t>
  </si>
  <si>
    <t>CLM00345</t>
  </si>
  <si>
    <t>CLM00346</t>
  </si>
  <si>
    <t>CLM00347</t>
  </si>
  <si>
    <t>CLM00348</t>
  </si>
  <si>
    <t>CLM00349</t>
  </si>
  <si>
    <t>CLM00350</t>
  </si>
  <si>
    <t>CLM00351</t>
  </si>
  <si>
    <t>CLM00352</t>
  </si>
  <si>
    <t>CLM00353</t>
  </si>
  <si>
    <t>CLM00354</t>
  </si>
  <si>
    <t>CLM00355</t>
  </si>
  <si>
    <t>CLM00356</t>
  </si>
  <si>
    <t>CLM00357</t>
  </si>
  <si>
    <t>CLM00358</t>
  </si>
  <si>
    <t>CLM00359</t>
  </si>
  <si>
    <t>CLM00360</t>
  </si>
  <si>
    <t>CLM00361</t>
  </si>
  <si>
    <t>CLM00362</t>
  </si>
  <si>
    <t>CLM00363</t>
  </si>
  <si>
    <t>CLM00364</t>
  </si>
  <si>
    <t>CLM00365</t>
  </si>
  <si>
    <t>CLM00366</t>
  </si>
  <si>
    <t>CLM00367</t>
  </si>
  <si>
    <t>CLM00368</t>
  </si>
  <si>
    <t>CLM00369</t>
  </si>
  <si>
    <t>CLM00370</t>
  </si>
  <si>
    <t>CLM00371</t>
  </si>
  <si>
    <t>CLM00372</t>
  </si>
  <si>
    <t>CLM00373</t>
  </si>
  <si>
    <t>CLM00374</t>
  </si>
  <si>
    <t>CLM00375</t>
  </si>
  <si>
    <t>CLM00376</t>
  </si>
  <si>
    <t>CLM00377</t>
  </si>
  <si>
    <t>CLM00378</t>
  </si>
  <si>
    <t>CLM00379</t>
  </si>
  <si>
    <t>CLM00380</t>
  </si>
  <si>
    <t>CLM00381</t>
  </si>
  <si>
    <t>CLM00382</t>
  </si>
  <si>
    <t>CLM00383</t>
  </si>
  <si>
    <t>CLM00384</t>
  </si>
  <si>
    <t>CLM00385</t>
  </si>
  <si>
    <t>CLM00386</t>
  </si>
  <si>
    <t>CLM00387</t>
  </si>
  <si>
    <t>CLM00388</t>
  </si>
  <si>
    <t>CLM00389</t>
  </si>
  <si>
    <t>CLM00390</t>
  </si>
  <si>
    <t>CLM00391</t>
  </si>
  <si>
    <t>CLM00392</t>
  </si>
  <si>
    <t>CLM00393</t>
  </si>
  <si>
    <t>CLM00394</t>
  </si>
  <si>
    <t>CLM00395</t>
  </si>
  <si>
    <t>CLM00396</t>
  </si>
  <si>
    <t>CLM00397</t>
  </si>
  <si>
    <t>CLM00398</t>
  </si>
  <si>
    <t>CLM00399</t>
  </si>
  <si>
    <t>CLM00400</t>
  </si>
  <si>
    <t>CLM00401</t>
  </si>
  <si>
    <t>CLM00402</t>
  </si>
  <si>
    <t>CLM00403</t>
  </si>
  <si>
    <t>CLM00404</t>
  </si>
  <si>
    <t>CLM00405</t>
  </si>
  <si>
    <t>CLM00406</t>
  </si>
  <si>
    <t>CLM00407</t>
  </si>
  <si>
    <t>CLM00408</t>
  </si>
  <si>
    <t>CLM00409</t>
  </si>
  <si>
    <t>CLM00410</t>
  </si>
  <si>
    <t>CLM00411</t>
  </si>
  <si>
    <t>CLM00412</t>
  </si>
  <si>
    <t>CLM00413</t>
  </si>
  <si>
    <t>CLM00414</t>
  </si>
  <si>
    <t>CLM00415</t>
  </si>
  <si>
    <t>CLM00416</t>
  </si>
  <si>
    <t>CLM00417</t>
  </si>
  <si>
    <t>CLM00418</t>
  </si>
  <si>
    <t>CLM00419</t>
  </si>
  <si>
    <t>CLM00420</t>
  </si>
  <si>
    <t>CLM00421</t>
  </si>
  <si>
    <t>CLM00422</t>
  </si>
  <si>
    <t>CLM00423</t>
  </si>
  <si>
    <t>CLM00424</t>
  </si>
  <si>
    <t>CLM00425</t>
  </si>
  <si>
    <t>CLM00426</t>
  </si>
  <si>
    <t>CLM00427</t>
  </si>
  <si>
    <t>CLM00428</t>
  </si>
  <si>
    <t>CLM00429</t>
  </si>
  <si>
    <t>CLM00430</t>
  </si>
  <si>
    <t>CLM00431</t>
  </si>
  <si>
    <t>CLM00432</t>
  </si>
  <si>
    <t>CLM00433</t>
  </si>
  <si>
    <t>CLM00434</t>
  </si>
  <si>
    <t>CLM00435</t>
  </si>
  <si>
    <t>CLM00436</t>
  </si>
  <si>
    <t>CLM00437</t>
  </si>
  <si>
    <t>CLM00438</t>
  </si>
  <si>
    <t>CLM00439</t>
  </si>
  <si>
    <t>CLM00440</t>
  </si>
  <si>
    <t>CLM00441</t>
  </si>
  <si>
    <t>CLM00442</t>
  </si>
  <si>
    <t>CLM00443</t>
  </si>
  <si>
    <t>CLM00444</t>
  </si>
  <si>
    <t>CLM00445</t>
  </si>
  <si>
    <t>CLM00446</t>
  </si>
  <si>
    <t>CLM00447</t>
  </si>
  <si>
    <t>CLM00448</t>
  </si>
  <si>
    <t>CLM00449</t>
  </si>
  <si>
    <t>CLM00450</t>
  </si>
  <si>
    <t>CLM00451</t>
  </si>
  <si>
    <t>CLM00452</t>
  </si>
  <si>
    <t>CLM00453</t>
  </si>
  <si>
    <t>CLM00454</t>
  </si>
  <si>
    <t>CLM00455</t>
  </si>
  <si>
    <t>CLM00456</t>
  </si>
  <si>
    <t>CLM00457</t>
  </si>
  <si>
    <t>CLM00458</t>
  </si>
  <si>
    <t>CLM00459</t>
  </si>
  <si>
    <t>CLM00460</t>
  </si>
  <si>
    <t>CLM00461</t>
  </si>
  <si>
    <t>CLM00462</t>
  </si>
  <si>
    <t>CLM00463</t>
  </si>
  <si>
    <t>CLM00464</t>
  </si>
  <si>
    <t>CLM00465</t>
  </si>
  <si>
    <t>CLM00466</t>
  </si>
  <si>
    <t>CLM00467</t>
  </si>
  <si>
    <t>CLM00468</t>
  </si>
  <si>
    <t>CLM00469</t>
  </si>
  <si>
    <t>CLM00470</t>
  </si>
  <si>
    <t>CLM00471</t>
  </si>
  <si>
    <t>CLM00472</t>
  </si>
  <si>
    <t>CLM00473</t>
  </si>
  <si>
    <t>CLM00474</t>
  </si>
  <si>
    <t>CLM00475</t>
  </si>
  <si>
    <t>CLM00476</t>
  </si>
  <si>
    <t>CLM00477</t>
  </si>
  <si>
    <t>CLM00478</t>
  </si>
  <si>
    <t>CLM00479</t>
  </si>
  <si>
    <t>CLM00480</t>
  </si>
  <si>
    <t>CLM00481</t>
  </si>
  <si>
    <t>CLM00482</t>
  </si>
  <si>
    <t>CLM00483</t>
  </si>
  <si>
    <t>CLM00484</t>
  </si>
  <si>
    <t>CLM00485</t>
  </si>
  <si>
    <t>CLM00486</t>
  </si>
  <si>
    <t>CLM00487</t>
  </si>
  <si>
    <t>CLM00488</t>
  </si>
  <si>
    <t>CLM00489</t>
  </si>
  <si>
    <t>CLM00490</t>
  </si>
  <si>
    <t>CLM00491</t>
  </si>
  <si>
    <t>CLM00492</t>
  </si>
  <si>
    <t>CLM00493</t>
  </si>
  <si>
    <t>CLM00494</t>
  </si>
  <si>
    <t>CLM00495</t>
  </si>
  <si>
    <t>CLM00496</t>
  </si>
  <si>
    <t>CLM00497</t>
  </si>
  <si>
    <t>CLM00498</t>
  </si>
  <si>
    <t>CLM00499</t>
  </si>
  <si>
    <t>CLM00500</t>
  </si>
  <si>
    <t>CLM00501</t>
  </si>
  <si>
    <t>CLM00502</t>
  </si>
  <si>
    <t>CLM00503</t>
  </si>
  <si>
    <t>CLM00504</t>
  </si>
  <si>
    <t>CLM00505</t>
  </si>
  <si>
    <t>CLM00506</t>
  </si>
  <si>
    <t>CLM00507</t>
  </si>
  <si>
    <t>CLM00508</t>
  </si>
  <si>
    <t>CLM00509</t>
  </si>
  <si>
    <t>CLM00510</t>
  </si>
  <si>
    <t>CLM00511</t>
  </si>
  <si>
    <t>CLM00512</t>
  </si>
  <si>
    <t>CLM00513</t>
  </si>
  <si>
    <t>CLM00514</t>
  </si>
  <si>
    <t>CLM00515</t>
  </si>
  <si>
    <t>CLM00516</t>
  </si>
  <si>
    <t>CLM00517</t>
  </si>
  <si>
    <t>CLM00518</t>
  </si>
  <si>
    <t>CLM00519</t>
  </si>
  <si>
    <t>CLM00520</t>
  </si>
  <si>
    <t>CLM00521</t>
  </si>
  <si>
    <t>CLM00522</t>
  </si>
  <si>
    <t>CLM00523</t>
  </si>
  <si>
    <t>CLM00524</t>
  </si>
  <si>
    <t>CLM00525</t>
  </si>
  <si>
    <t>CLM00526</t>
  </si>
  <si>
    <t>CLM00527</t>
  </si>
  <si>
    <t>CLM00528</t>
  </si>
  <si>
    <t>CLM00529</t>
  </si>
  <si>
    <t>CLM00530</t>
  </si>
  <si>
    <t>CLM00531</t>
  </si>
  <si>
    <t>CLM00532</t>
  </si>
  <si>
    <t>CLM00533</t>
  </si>
  <si>
    <t>CLM00534</t>
  </si>
  <si>
    <t>CLM00535</t>
  </si>
  <si>
    <t>CLM00536</t>
  </si>
  <si>
    <t>CLM00537</t>
  </si>
  <si>
    <t>CLM00538</t>
  </si>
  <si>
    <t>CLM00539</t>
  </si>
  <si>
    <t>CLM00540</t>
  </si>
  <si>
    <t>CLM00541</t>
  </si>
  <si>
    <t>CLM00542</t>
  </si>
  <si>
    <t>CLM00543</t>
  </si>
  <si>
    <t>CLM00544</t>
  </si>
  <si>
    <t>CLM00545</t>
  </si>
  <si>
    <t>CLM00546</t>
  </si>
  <si>
    <t>CLM00547</t>
  </si>
  <si>
    <t>CLM00548</t>
  </si>
  <si>
    <t>CLM00549</t>
  </si>
  <si>
    <t>CLM00550</t>
  </si>
  <si>
    <t>CLM00551</t>
  </si>
  <si>
    <t>CLM00552</t>
  </si>
  <si>
    <t>CLM00553</t>
  </si>
  <si>
    <t>CLM00554</t>
  </si>
  <si>
    <t>CLM00555</t>
  </si>
  <si>
    <t>CLM00556</t>
  </si>
  <si>
    <t>CLM00557</t>
  </si>
  <si>
    <t>CLM00558</t>
  </si>
  <si>
    <t>CLM00559</t>
  </si>
  <si>
    <t>CLM00560</t>
  </si>
  <si>
    <t>CLM00561</t>
  </si>
  <si>
    <t>CLM00562</t>
  </si>
  <si>
    <t>CLM00563</t>
  </si>
  <si>
    <t>CLM00564</t>
  </si>
  <si>
    <t>CLM00565</t>
  </si>
  <si>
    <t>CLM00566</t>
  </si>
  <si>
    <t>CLM00567</t>
  </si>
  <si>
    <t>CLM00568</t>
  </si>
  <si>
    <t>CLM00569</t>
  </si>
  <si>
    <t>CLM00570</t>
  </si>
  <si>
    <t>CLM00571</t>
  </si>
  <si>
    <t>CLM00572</t>
  </si>
  <si>
    <t>CLM00573</t>
  </si>
  <si>
    <t>CLM00574</t>
  </si>
  <si>
    <t>CLM00575</t>
  </si>
  <si>
    <t>CLM00576</t>
  </si>
  <si>
    <t>CLM00577</t>
  </si>
  <si>
    <t>CLM00578</t>
  </si>
  <si>
    <t>CLM00579</t>
  </si>
  <si>
    <t>CLM00580</t>
  </si>
  <si>
    <t>CLM00581</t>
  </si>
  <si>
    <t>CLM00582</t>
  </si>
  <si>
    <t>CLM00583</t>
  </si>
  <si>
    <t>CLM00584</t>
  </si>
  <si>
    <t>CLM00585</t>
  </si>
  <si>
    <t>CLM00586</t>
  </si>
  <si>
    <t>CLM00587</t>
  </si>
  <si>
    <t>CLM00588</t>
  </si>
  <si>
    <t>CLM00589</t>
  </si>
  <si>
    <t>CLM00590</t>
  </si>
  <si>
    <t>CLM00591</t>
  </si>
  <si>
    <t>CLM00592</t>
  </si>
  <si>
    <t>CLM00593</t>
  </si>
  <si>
    <t>CLM00594</t>
  </si>
  <si>
    <t>CLM00595</t>
  </si>
  <si>
    <t>CLM00596</t>
  </si>
  <si>
    <t>CLM00597</t>
  </si>
  <si>
    <t>CLM00598</t>
  </si>
  <si>
    <t>CLM00599</t>
  </si>
  <si>
    <t>CLM00600</t>
  </si>
  <si>
    <t>CLM00601</t>
  </si>
  <si>
    <t>CLM00602</t>
  </si>
  <si>
    <t>CLM00603</t>
  </si>
  <si>
    <t>CLM00604</t>
  </si>
  <si>
    <t>CLM00605</t>
  </si>
  <si>
    <t>CLM00606</t>
  </si>
  <si>
    <t>CLM00607</t>
  </si>
  <si>
    <t>CLM00608</t>
  </si>
  <si>
    <t>CLM00609</t>
  </si>
  <si>
    <t>CLM00610</t>
  </si>
  <si>
    <t>CLM00611</t>
  </si>
  <si>
    <t>CLM00612</t>
  </si>
  <si>
    <t>CLM00613</t>
  </si>
  <si>
    <t>CLM00614</t>
  </si>
  <si>
    <t>CLM00615</t>
  </si>
  <si>
    <t>CLM00616</t>
  </si>
  <si>
    <t>CLM00617</t>
  </si>
  <si>
    <t>CLM00618</t>
  </si>
  <si>
    <t>CLM00619</t>
  </si>
  <si>
    <t>CLM00620</t>
  </si>
  <si>
    <t>CLM00621</t>
  </si>
  <si>
    <t>CLM00622</t>
  </si>
  <si>
    <t>CLM00623</t>
  </si>
  <si>
    <t>CLM00624</t>
  </si>
  <si>
    <t>CLM00625</t>
  </si>
  <si>
    <t>CLM00626</t>
  </si>
  <si>
    <t>CLM00627</t>
  </si>
  <si>
    <t>CLM00628</t>
  </si>
  <si>
    <t>CLM00629</t>
  </si>
  <si>
    <t>CLM00630</t>
  </si>
  <si>
    <t>CLM00631</t>
  </si>
  <si>
    <t>CLM00632</t>
  </si>
  <si>
    <t>CLM00633</t>
  </si>
  <si>
    <t>CLM00634</t>
  </si>
  <si>
    <t>CLM00635</t>
  </si>
  <si>
    <t>CLM00636</t>
  </si>
  <si>
    <t>CLM00637</t>
  </si>
  <si>
    <t>CLM00638</t>
  </si>
  <si>
    <t>CLM00639</t>
  </si>
  <si>
    <t>CLM00640</t>
  </si>
  <si>
    <t>CLM00641</t>
  </si>
  <si>
    <t>CLM00642</t>
  </si>
  <si>
    <t>CLM00643</t>
  </si>
  <si>
    <t>CLM00644</t>
  </si>
  <si>
    <t>CLM00645</t>
  </si>
  <si>
    <t>CLM00646</t>
  </si>
  <si>
    <t>CLM00647</t>
  </si>
  <si>
    <t>CLM00648</t>
  </si>
  <si>
    <t>CLM00649</t>
  </si>
  <si>
    <t>CLM00650</t>
  </si>
  <si>
    <t>CLM00651</t>
  </si>
  <si>
    <t>CLM00652</t>
  </si>
  <si>
    <t>CLM00653</t>
  </si>
  <si>
    <t>CLM00654</t>
  </si>
  <si>
    <t>CLM00655</t>
  </si>
  <si>
    <t>CLM00656</t>
  </si>
  <si>
    <t>CLM00657</t>
  </si>
  <si>
    <t>CLM00658</t>
  </si>
  <si>
    <t>CLM00659</t>
  </si>
  <si>
    <t>CLM00660</t>
  </si>
  <si>
    <t>CLM00661</t>
  </si>
  <si>
    <t>CLM00662</t>
  </si>
  <si>
    <t>CLM00663</t>
  </si>
  <si>
    <t>CLM00664</t>
  </si>
  <si>
    <t>CLM00665</t>
  </si>
  <si>
    <t>CLM00666</t>
  </si>
  <si>
    <t>CLM00667</t>
  </si>
  <si>
    <t>CLM00668</t>
  </si>
  <si>
    <t>CLM00669</t>
  </si>
  <si>
    <t>CLM00670</t>
  </si>
  <si>
    <t>CLM00671</t>
  </si>
  <si>
    <t>CLM00672</t>
  </si>
  <si>
    <t>CLM00673</t>
  </si>
  <si>
    <t>CLM00674</t>
  </si>
  <si>
    <t>CLM00675</t>
  </si>
  <si>
    <t>CLM00676</t>
  </si>
  <si>
    <t>CLM00677</t>
  </si>
  <si>
    <t>CLM00678</t>
  </si>
  <si>
    <t>CLM00679</t>
  </si>
  <si>
    <t>CLM00680</t>
  </si>
  <si>
    <t>CLM00681</t>
  </si>
  <si>
    <t>CLM00682</t>
  </si>
  <si>
    <t>CLM00683</t>
  </si>
  <si>
    <t>CLM00684</t>
  </si>
  <si>
    <t>CLM00685</t>
  </si>
  <si>
    <t>CLM00686</t>
  </si>
  <si>
    <t>CLM00687</t>
  </si>
  <si>
    <t>CLM00688</t>
  </si>
  <si>
    <t>CLM00689</t>
  </si>
  <si>
    <t>CLM00690</t>
  </si>
  <si>
    <t>CLM00691</t>
  </si>
  <si>
    <t>CLM00692</t>
  </si>
  <si>
    <t>CLM00693</t>
  </si>
  <si>
    <t>CLM00694</t>
  </si>
  <si>
    <t>CLM00695</t>
  </si>
  <si>
    <t>CLM00696</t>
  </si>
  <si>
    <t>CLM00697</t>
  </si>
  <si>
    <t>CLM00698</t>
  </si>
  <si>
    <t>CLM00699</t>
  </si>
  <si>
    <t>CLM00700</t>
  </si>
  <si>
    <t>CLM00701</t>
  </si>
  <si>
    <t>CLM00702</t>
  </si>
  <si>
    <t>CLM00703</t>
  </si>
  <si>
    <t>CLM00704</t>
  </si>
  <si>
    <t>CLM00705</t>
  </si>
  <si>
    <t>CLM00706</t>
  </si>
  <si>
    <t>CLM00707</t>
  </si>
  <si>
    <t>CLM00708</t>
  </si>
  <si>
    <t>CLM00709</t>
  </si>
  <si>
    <t>CLM00710</t>
  </si>
  <si>
    <t>CLM00711</t>
  </si>
  <si>
    <t>CLM00712</t>
  </si>
  <si>
    <t>CLM00713</t>
  </si>
  <si>
    <t>CLM00714</t>
  </si>
  <si>
    <t>CLM00715</t>
  </si>
  <si>
    <t>CLM00716</t>
  </si>
  <si>
    <t>CLM00717</t>
  </si>
  <si>
    <t>CLM00718</t>
  </si>
  <si>
    <t>CLM00719</t>
  </si>
  <si>
    <t>CLM00720</t>
  </si>
  <si>
    <t>CLM00721</t>
  </si>
  <si>
    <t>CLM00722</t>
  </si>
  <si>
    <t>CLM00723</t>
  </si>
  <si>
    <t>CLM00724</t>
  </si>
  <si>
    <t>CLM00725</t>
  </si>
  <si>
    <t>CLM00726</t>
  </si>
  <si>
    <t>CLM00727</t>
  </si>
  <si>
    <t>CLM00728</t>
  </si>
  <si>
    <t>CLM00729</t>
  </si>
  <si>
    <t>CLM00730</t>
  </si>
  <si>
    <t>CLM00731</t>
  </si>
  <si>
    <t>CLM00732</t>
  </si>
  <si>
    <t>CLM00733</t>
  </si>
  <si>
    <t>CLM00734</t>
  </si>
  <si>
    <t>CLM00735</t>
  </si>
  <si>
    <t>CLM00736</t>
  </si>
  <si>
    <t>CLM00737</t>
  </si>
  <si>
    <t>CLM00738</t>
  </si>
  <si>
    <t>CLM00739</t>
  </si>
  <si>
    <t>CLM00740</t>
  </si>
  <si>
    <t>CLM00741</t>
  </si>
  <si>
    <t>CLM00742</t>
  </si>
  <si>
    <t>CLM00743</t>
  </si>
  <si>
    <t>CLM00744</t>
  </si>
  <si>
    <t>CLM00745</t>
  </si>
  <si>
    <t>CLM00746</t>
  </si>
  <si>
    <t>CLM00747</t>
  </si>
  <si>
    <t>CLM00748</t>
  </si>
  <si>
    <t>CLM00749</t>
  </si>
  <si>
    <t>CLM00750</t>
  </si>
  <si>
    <t>CLM00751</t>
  </si>
  <si>
    <t>CLM00752</t>
  </si>
  <si>
    <t>CLM00753</t>
  </si>
  <si>
    <t>CLM00754</t>
  </si>
  <si>
    <t>CLM00755</t>
  </si>
  <si>
    <t>CLM00756</t>
  </si>
  <si>
    <t>CLM00757</t>
  </si>
  <si>
    <t>CLM00758</t>
  </si>
  <si>
    <t>CLM00759</t>
  </si>
  <si>
    <t>CLM00760</t>
  </si>
  <si>
    <t>CLM00761</t>
  </si>
  <si>
    <t>CLM00762</t>
  </si>
  <si>
    <t>CLM00763</t>
  </si>
  <si>
    <t>CLM00764</t>
  </si>
  <si>
    <t>CLM00765</t>
  </si>
  <si>
    <t>CLM00766</t>
  </si>
  <si>
    <t>CLM00767</t>
  </si>
  <si>
    <t>CLM00768</t>
  </si>
  <si>
    <t>CLM00769</t>
  </si>
  <si>
    <t>CLM00770</t>
  </si>
  <si>
    <t>CLM00771</t>
  </si>
  <si>
    <t>CLM00772</t>
  </si>
  <si>
    <t>CLM00773</t>
  </si>
  <si>
    <t>CLM00774</t>
  </si>
  <si>
    <t>CLM00775</t>
  </si>
  <si>
    <t>CLM00776</t>
  </si>
  <si>
    <t>CLM00777</t>
  </si>
  <si>
    <t>CLM00778</t>
  </si>
  <si>
    <t>CLM00779</t>
  </si>
  <si>
    <t>CLM00780</t>
  </si>
  <si>
    <t>CLM00781</t>
  </si>
  <si>
    <t>CLM00782</t>
  </si>
  <si>
    <t>CLM00783</t>
  </si>
  <si>
    <t>CLM00784</t>
  </si>
  <si>
    <t>CLM00785</t>
  </si>
  <si>
    <t>CLM00786</t>
  </si>
  <si>
    <t>CLM00787</t>
  </si>
  <si>
    <t>CLM00788</t>
  </si>
  <si>
    <t>CLM00789</t>
  </si>
  <si>
    <t>CLM00790</t>
  </si>
  <si>
    <t>CLM00791</t>
  </si>
  <si>
    <t>CLM00792</t>
  </si>
  <si>
    <t>CLM00793</t>
  </si>
  <si>
    <t>CLM00794</t>
  </si>
  <si>
    <t>CLM00795</t>
  </si>
  <si>
    <t>CLM00796</t>
  </si>
  <si>
    <t>CLM00797</t>
  </si>
  <si>
    <t>CLM00798</t>
  </si>
  <si>
    <t>CLM00799</t>
  </si>
  <si>
    <t>CLM00800</t>
  </si>
  <si>
    <t>CLM00801</t>
  </si>
  <si>
    <t>CLM00802</t>
  </si>
  <si>
    <t>CLM00803</t>
  </si>
  <si>
    <t>CLM00804</t>
  </si>
  <si>
    <t>CLM00805</t>
  </si>
  <si>
    <t>CLM00806</t>
  </si>
  <si>
    <t>CLM00807</t>
  </si>
  <si>
    <t>CLM00808</t>
  </si>
  <si>
    <t>CLM00809</t>
  </si>
  <si>
    <t>CLM00810</t>
  </si>
  <si>
    <t>CLM00811</t>
  </si>
  <si>
    <t>CLM00812</t>
  </si>
  <si>
    <t>CLM00813</t>
  </si>
  <si>
    <t>CLM00814</t>
  </si>
  <si>
    <t>CLM00815</t>
  </si>
  <si>
    <t>CLM00816</t>
  </si>
  <si>
    <t>CLM00817</t>
  </si>
  <si>
    <t>CLM00818</t>
  </si>
  <si>
    <t>CLM00819</t>
  </si>
  <si>
    <t>CLM00820</t>
  </si>
  <si>
    <t>CLM00821</t>
  </si>
  <si>
    <t>CLM00822</t>
  </si>
  <si>
    <t>CLM00823</t>
  </si>
  <si>
    <t>CLM00824</t>
  </si>
  <si>
    <t>CLM00825</t>
  </si>
  <si>
    <t>CLM00826</t>
  </si>
  <si>
    <t>CLM00827</t>
  </si>
  <si>
    <t>CLM00828</t>
  </si>
  <si>
    <t>CLM00829</t>
  </si>
  <si>
    <t>CLM00830</t>
  </si>
  <si>
    <t>CLM00831</t>
  </si>
  <si>
    <t>CLM00832</t>
  </si>
  <si>
    <t>CLM00833</t>
  </si>
  <si>
    <t>CLM00834</t>
  </si>
  <si>
    <t>CLM00835</t>
  </si>
  <si>
    <t>CLM00836</t>
  </si>
  <si>
    <t>CLM00837</t>
  </si>
  <si>
    <t>CLM00838</t>
  </si>
  <si>
    <t>CLM00839</t>
  </si>
  <si>
    <t>CLM00840</t>
  </si>
  <si>
    <t>CLM00841</t>
  </si>
  <si>
    <t>CLM00842</t>
  </si>
  <si>
    <t>CLM00843</t>
  </si>
  <si>
    <t>CLM00844</t>
  </si>
  <si>
    <t>CLM00845</t>
  </si>
  <si>
    <t>CLM00846</t>
  </si>
  <si>
    <t>CLM00847</t>
  </si>
  <si>
    <t>CLM00848</t>
  </si>
  <si>
    <t>CLM00849</t>
  </si>
  <si>
    <t>CLM00850</t>
  </si>
  <si>
    <t>CLM00851</t>
  </si>
  <si>
    <t>CLM00852</t>
  </si>
  <si>
    <t>CLM00853</t>
  </si>
  <si>
    <t>CLM00854</t>
  </si>
  <si>
    <t>CLM00855</t>
  </si>
  <si>
    <t>CLM00856</t>
  </si>
  <si>
    <t>CLM00857</t>
  </si>
  <si>
    <t>CLM00858</t>
  </si>
  <si>
    <t>CLM00859</t>
  </si>
  <si>
    <t>CLM00860</t>
  </si>
  <si>
    <t>CLM00861</t>
  </si>
  <si>
    <t>CLM00862</t>
  </si>
  <si>
    <t>CLM00863</t>
  </si>
  <si>
    <t>CLM00864</t>
  </si>
  <si>
    <t>CLM00865</t>
  </si>
  <si>
    <t>CLM00866</t>
  </si>
  <si>
    <t>CLM00867</t>
  </si>
  <si>
    <t>CLM00868</t>
  </si>
  <si>
    <t>CLM00869</t>
  </si>
  <si>
    <t>CLM00870</t>
  </si>
  <si>
    <t>CLM00871</t>
  </si>
  <si>
    <t>CLM00872</t>
  </si>
  <si>
    <t>CLM00873</t>
  </si>
  <si>
    <t>CLM00874</t>
  </si>
  <si>
    <t>CLM00875</t>
  </si>
  <si>
    <t>CLM00876</t>
  </si>
  <si>
    <t>CLM00877</t>
  </si>
  <si>
    <t>CLM00878</t>
  </si>
  <si>
    <t>CLM00879</t>
  </si>
  <si>
    <t>CLM00880</t>
  </si>
  <si>
    <t>CLM00881</t>
  </si>
  <si>
    <t>CLM00882</t>
  </si>
  <si>
    <t>CLM00883</t>
  </si>
  <si>
    <t>CLM00884</t>
  </si>
  <si>
    <t>CLM00885</t>
  </si>
  <si>
    <t>CLM00886</t>
  </si>
  <si>
    <t>CLM00887</t>
  </si>
  <si>
    <t>CLM00888</t>
  </si>
  <si>
    <t>CLM00889</t>
  </si>
  <si>
    <t>CLM00890</t>
  </si>
  <si>
    <t>CLM00891</t>
  </si>
  <si>
    <t>CLM00892</t>
  </si>
  <si>
    <t>CLM00893</t>
  </si>
  <si>
    <t>CLM00894</t>
  </si>
  <si>
    <t>CLM00895</t>
  </si>
  <si>
    <t>CLM00896</t>
  </si>
  <si>
    <t>CLM00897</t>
  </si>
  <si>
    <t>CLM00898</t>
  </si>
  <si>
    <t>CLM00899</t>
  </si>
  <si>
    <t>CLM00900</t>
  </si>
  <si>
    <t>CLM00901</t>
  </si>
  <si>
    <t>CLM00902</t>
  </si>
  <si>
    <t>CLM00903</t>
  </si>
  <si>
    <t>CLM00904</t>
  </si>
  <si>
    <t>CLM00905</t>
  </si>
  <si>
    <t>CLM00906</t>
  </si>
  <si>
    <t>CLM00907</t>
  </si>
  <si>
    <t>CLM00908</t>
  </si>
  <si>
    <t>CLM00909</t>
  </si>
  <si>
    <t>CLM00910</t>
  </si>
  <si>
    <t>CLM00911</t>
  </si>
  <si>
    <t>CLM00912</t>
  </si>
  <si>
    <t>CLM00913</t>
  </si>
  <si>
    <t>CLM00914</t>
  </si>
  <si>
    <t>CLM00915</t>
  </si>
  <si>
    <t>CLM00916</t>
  </si>
  <si>
    <t>CLM00917</t>
  </si>
  <si>
    <t>CLM00918</t>
  </si>
  <si>
    <t>CLM00919</t>
  </si>
  <si>
    <t>CLM00920</t>
  </si>
  <si>
    <t>CLM00921</t>
  </si>
  <si>
    <t>CLM00922</t>
  </si>
  <si>
    <t>CLM00923</t>
  </si>
  <si>
    <t>CLM00924</t>
  </si>
  <si>
    <t>CLM00925</t>
  </si>
  <si>
    <t>CLM00926</t>
  </si>
  <si>
    <t>CLM00927</t>
  </si>
  <si>
    <t>CLM00928</t>
  </si>
  <si>
    <t>CLM00929</t>
  </si>
  <si>
    <t>CLM00930</t>
  </si>
  <si>
    <t>CLM00931</t>
  </si>
  <si>
    <t>CLM00932</t>
  </si>
  <si>
    <t>CLM00933</t>
  </si>
  <si>
    <t>CLM00934</t>
  </si>
  <si>
    <t>CLM00935</t>
  </si>
  <si>
    <t>CLM00936</t>
  </si>
  <si>
    <t>CLM00937</t>
  </si>
  <si>
    <t>CLM00938</t>
  </si>
  <si>
    <t>CLM00939</t>
  </si>
  <si>
    <t>CLM00940</t>
  </si>
  <si>
    <t>CLM00941</t>
  </si>
  <si>
    <t>CLM00942</t>
  </si>
  <si>
    <t>CLM00943</t>
  </si>
  <si>
    <t>CLM00944</t>
  </si>
  <si>
    <t>CLM00945</t>
  </si>
  <si>
    <t>CLM00946</t>
  </si>
  <si>
    <t>CLM00947</t>
  </si>
  <si>
    <t>CLM00948</t>
  </si>
  <si>
    <t>CLM00949</t>
  </si>
  <si>
    <t>CLM00950</t>
  </si>
  <si>
    <t>CLM00951</t>
  </si>
  <si>
    <t>CLM00952</t>
  </si>
  <si>
    <t>CLM00953</t>
  </si>
  <si>
    <t>CLM00954</t>
  </si>
  <si>
    <t>CLM00955</t>
  </si>
  <si>
    <t>CLM00956</t>
  </si>
  <si>
    <t>CLM00957</t>
  </si>
  <si>
    <t>CLM00958</t>
  </si>
  <si>
    <t>CLM00959</t>
  </si>
  <si>
    <t>CLM00960</t>
  </si>
  <si>
    <t>CLM00961</t>
  </si>
  <si>
    <t>CLM00962</t>
  </si>
  <si>
    <t>CLM00963</t>
  </si>
  <si>
    <t>CLM00964</t>
  </si>
  <si>
    <t>CLM00965</t>
  </si>
  <si>
    <t>CLM00966</t>
  </si>
  <si>
    <t>CLM00967</t>
  </si>
  <si>
    <t>CLM00968</t>
  </si>
  <si>
    <t>CLM00969</t>
  </si>
  <si>
    <t>CLM00970</t>
  </si>
  <si>
    <t>CLM00971</t>
  </si>
  <si>
    <t>CLM00972</t>
  </si>
  <si>
    <t>CLM00973</t>
  </si>
  <si>
    <t>CLM00974</t>
  </si>
  <si>
    <t>CLM00975</t>
  </si>
  <si>
    <t>CLM00976</t>
  </si>
  <si>
    <t>CLM00977</t>
  </si>
  <si>
    <t>CLM00978</t>
  </si>
  <si>
    <t>CLM00979</t>
  </si>
  <si>
    <t>CLM00980</t>
  </si>
  <si>
    <t>CLM00981</t>
  </si>
  <si>
    <t>CLM00982</t>
  </si>
  <si>
    <t>CLM00983</t>
  </si>
  <si>
    <t>CLM00984</t>
  </si>
  <si>
    <t>CLM00985</t>
  </si>
  <si>
    <t>CLM00986</t>
  </si>
  <si>
    <t>CLM00987</t>
  </si>
  <si>
    <t>CLM00988</t>
  </si>
  <si>
    <t>CLM00989</t>
  </si>
  <si>
    <t>CLM00990</t>
  </si>
  <si>
    <t>CLM00991</t>
  </si>
  <si>
    <t>CLM00992</t>
  </si>
  <si>
    <t>CLM00993</t>
  </si>
  <si>
    <t>CLM00994</t>
  </si>
  <si>
    <t>CLM00995</t>
  </si>
  <si>
    <t>CLM00996</t>
  </si>
  <si>
    <t>CLM00997</t>
  </si>
  <si>
    <t>CLM00998</t>
  </si>
  <si>
    <t>CLM00999</t>
  </si>
  <si>
    <t>CLM01000</t>
  </si>
  <si>
    <t>CLM01001</t>
  </si>
  <si>
    <t>CLM01002</t>
  </si>
  <si>
    <t>CLM01003</t>
  </si>
  <si>
    <t>CLM01004</t>
  </si>
  <si>
    <t>CLM01005</t>
  </si>
  <si>
    <t>CLM01006</t>
  </si>
  <si>
    <t>CLM01007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</si>
  <si>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</si>
  <si>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</si>
  <si>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</si>
  <si>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</si>
  <si>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</si>
  <si>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</si>
  <si>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</si>
  <si>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</si>
  <si>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</si>
  <si>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CLM01017</t>
  </si>
  <si>
    <t>CLM01018</t>
  </si>
  <si>
    <t>CLM01019</t>
  </si>
  <si>
    <t>CLM01020</t>
  </si>
  <si>
    <t>CLM01021</t>
  </si>
  <si>
    <t>CLM01022</t>
  </si>
  <si>
    <t>CLM01023</t>
  </si>
  <si>
    <t>CLM01024</t>
  </si>
  <si>
    <t>CLM01025</t>
  </si>
  <si>
    <t>CLM01026</t>
  </si>
  <si>
    <t>CLM01027</t>
  </si>
  <si>
    <t>CLM01028</t>
  </si>
  <si>
    <t>CLM01029</t>
  </si>
  <si>
    <t>CLM01030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</si>
  <si>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</si>
  <si>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</si>
  <si>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</si>
  <si>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</si>
  <si>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</si>
  <si>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</si>
  <si>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</si>
  <si>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</si>
  <si>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CLM01039</t>
  </si>
  <si>
    <t>CLM01040</t>
  </si>
  <si>
    <t>CLM01041</t>
  </si>
  <si>
    <t>CLM01042</t>
  </si>
  <si>
    <t>CLM01043</t>
  </si>
  <si>
    <t>CLM01044</t>
  </si>
  <si>
    <t>CLM01045</t>
  </si>
  <si>
    <t>CLM01046</t>
  </si>
  <si>
    <t>CLM01047</t>
  </si>
  <si>
    <t>CLM01048</t>
  </si>
  <si>
    <t>CLM01049</t>
  </si>
  <si>
    <t>CLM01050</t>
  </si>
  <si>
    <t>CLM01051</t>
  </si>
  <si>
    <t>CLM01052</t>
  </si>
  <si>
    <t>CLM01053</t>
  </si>
  <si>
    <t>CLM01054</t>
  </si>
  <si>
    <t>CLM01055</t>
  </si>
  <si>
    <t>CLM01056</t>
  </si>
  <si>
    <t>CLM01057</t>
  </si>
  <si>
    <t>CLM01058</t>
  </si>
  <si>
    <t>CLM01059</t>
  </si>
  <si>
    <t>CLM01060</t>
  </si>
  <si>
    <t>CLM01061</t>
  </si>
  <si>
    <t>CLM01062</t>
  </si>
  <si>
    <t>CLM01063</t>
  </si>
  <si>
    <t>CLM01064</t>
  </si>
  <si>
    <t>CLM01065</t>
  </si>
  <si>
    <t>CLM01066</t>
  </si>
  <si>
    <t>CLM01067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</si>
  <si>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</si>
  <si>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</si>
  <si>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</si>
  <si>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</si>
  <si>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</si>
  <si>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</si>
  <si>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</si>
  <si>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</si>
  <si>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CLM01076</t>
  </si>
  <si>
    <t>CLM01077</t>
  </si>
  <si>
    <t>CLM01078</t>
  </si>
  <si>
    <t>CLM01079</t>
  </si>
  <si>
    <t>CLM01080</t>
  </si>
  <si>
    <t>CLM01081</t>
  </si>
  <si>
    <t>CLM01082</t>
  </si>
  <si>
    <t>CLM01083</t>
  </si>
  <si>
    <t>CLM01084</t>
  </si>
  <si>
    <t>CLM01085</t>
  </si>
  <si>
    <t>CLM01086</t>
  </si>
  <si>
    <t>CLM01087</t>
  </si>
  <si>
    <t>CLM01088</t>
  </si>
  <si>
    <t>CLM01089</t>
  </si>
  <si>
    <t>CLM01090</t>
  </si>
  <si>
    <t>CLM01091</t>
  </si>
  <si>
    <t>CLM01092</t>
  </si>
  <si>
    <t>CLM01093</t>
  </si>
  <si>
    <t>CLM01094</t>
  </si>
  <si>
    <t>CLM01095</t>
  </si>
  <si>
    <t>CLM01096</t>
  </si>
  <si>
    <t>CLM01097</t>
  </si>
  <si>
    <t>CLM01098</t>
  </si>
  <si>
    <t>CLM01099</t>
  </si>
  <si>
    <t>CLM01100</t>
  </si>
  <si>
    <t>CLM01101</t>
  </si>
  <si>
    <t>CLM01102</t>
  </si>
  <si>
    <t>CLM01103</t>
  </si>
  <si>
    <t>CLM01104</t>
  </si>
  <si>
    <t>CLM01105</t>
  </si>
  <si>
    <t>CLM01106</t>
  </si>
  <si>
    <t>CLM01107</t>
  </si>
  <si>
    <t>CLM01108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</si>
  <si>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</si>
  <si>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</si>
  <si>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</si>
  <si>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</si>
  <si>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</si>
  <si>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</si>
  <si>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</si>
  <si>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</si>
  <si>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</si>
  <si>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</si>
  <si>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</si>
  <si>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</si>
  <si>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CLM01121</t>
  </si>
  <si>
    <t>CLM01122</t>
  </si>
  <si>
    <t>CLM01123</t>
  </si>
  <si>
    <t>CLM01124</t>
  </si>
  <si>
    <t>CLM01125</t>
  </si>
  <si>
    <t>CLM01126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</si>
  <si>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</si>
  <si>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</si>
  <si>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</si>
  <si>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</si>
  <si>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</si>
  <si>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</si>
  <si>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</si>
  <si>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</si>
  <si>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</si>
  <si>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</si>
  <si>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</si>
  <si>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</si>
  <si>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</si>
  <si>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CLM01140</t>
  </si>
  <si>
    <t>CLM01141</t>
  </si>
  <si>
    <t>CLM01142</t>
  </si>
  <si>
    <t>CLM01143</t>
  </si>
  <si>
    <t>CLM01144</t>
  </si>
  <si>
    <t>CLM01145</t>
  </si>
  <si>
    <t>CLM01146</t>
  </si>
  <si>
    <t>CLM01147</t>
  </si>
  <si>
    <t>CLM01148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</si>
  <si>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</si>
  <si>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</si>
  <si>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</si>
  <si>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</si>
  <si>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</si>
  <si>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</si>
  <si>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</si>
  <si>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</si>
  <si>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</si>
  <si>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</si>
  <si>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</si>
  <si>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</si>
  <si>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</si>
  <si>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</si>
  <si>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</si>
  <si>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</si>
  <si>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</si>
  <si>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</si>
  <si>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</si>
  <si>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CLM01168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</si>
  <si>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</si>
  <si>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</si>
  <si>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</si>
  <si>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</si>
  <si>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</si>
  <si>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</si>
  <si>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</si>
  <si>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</si>
  <si>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</si>
  <si>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</si>
  <si>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</si>
  <si>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</si>
  <si>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</si>
  <si>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CLM01182</t>
  </si>
  <si>
    <t>CLM01183</t>
  </si>
  <si>
    <t>CLM01184</t>
  </si>
  <si>
    <t>CLM01185</t>
  </si>
  <si>
    <t>CLM01186</t>
  </si>
  <si>
    <t>CLM01187</t>
  </si>
  <si>
    <t>CLM01188</t>
  </si>
  <si>
    <t>CLM01189</t>
  </si>
  <si>
    <t>CLM01190</t>
  </si>
  <si>
    <t>CLM01191</t>
  </si>
  <si>
    <t>CLM01192</t>
  </si>
  <si>
    <t>CLM01193</t>
  </si>
  <si>
    <t>CLM01194</t>
  </si>
  <si>
    <t>CLM01195</t>
  </si>
  <si>
    <t>CLM01196</t>
  </si>
  <si>
    <t>CLM01197</t>
  </si>
  <si>
    <t>CLM01198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</si>
  <si>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</si>
  <si>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</si>
  <si>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</si>
  <si>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</si>
  <si>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</si>
  <si>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</si>
  <si>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</si>
  <si>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</si>
  <si>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</si>
  <si>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</si>
  <si>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</si>
  <si>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</si>
  <si>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</si>
  <si>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</si>
  <si>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</si>
  <si>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</si>
  <si>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</si>
  <si>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</si>
  <si>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</si>
  <si>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</si>
  <si>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</si>
  <si>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CLM01220</t>
  </si>
  <si>
    <t>CLM01221</t>
  </si>
  <si>
    <t>CLM01222</t>
  </si>
  <si>
    <t>CLM01223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</si>
  <si>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</si>
  <si>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</si>
  <si>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</si>
  <si>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</si>
  <si>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</si>
  <si>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</si>
  <si>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</si>
  <si>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</si>
  <si>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</si>
  <si>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</si>
  <si>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</si>
  <si>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</si>
  <si>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CLM01236</t>
  </si>
  <si>
    <t>CLM01237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</si>
  <si>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</si>
  <si>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</si>
  <si>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</si>
  <si>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</si>
  <si>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</si>
  <si>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</si>
  <si>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</si>
  <si>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</si>
  <si>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</si>
  <si>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</si>
  <si>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</si>
  <si>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</si>
  <si>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CLM01250</t>
  </si>
  <si>
    <t>CLM01251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</si>
  <si>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</si>
  <si>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</si>
  <si>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</si>
  <si>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</si>
  <si>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</si>
  <si>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</si>
  <si>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</si>
  <si>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</si>
  <si>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</si>
  <si>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</si>
  <si>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</si>
  <si>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</si>
  <si>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</si>
  <si>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</si>
  <si>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</si>
  <si>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</si>
  <si>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</si>
  <si>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</si>
  <si>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</si>
  <si>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</si>
  <si>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CLM01272</t>
  </si>
  <si>
    <t>CLM01273</t>
  </si>
  <si>
    <t>CLM01274</t>
  </si>
  <si>
    <t>CLM01275</t>
  </si>
  <si>
    <t>CLM01276</t>
  </si>
  <si>
    <t>CLM01277</t>
  </si>
  <si>
    <t>CLM01278</t>
  </si>
  <si>
    <t>CLM01279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</si>
  <si>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</si>
  <si>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</si>
  <si>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</si>
  <si>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</si>
  <si>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</si>
  <si>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</si>
  <si>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</si>
  <si>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</si>
  <si>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</si>
  <si>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</si>
  <si>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</si>
  <si>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</si>
  <si>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</si>
  <si>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</si>
  <si>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</si>
  <si>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</si>
  <si>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</si>
  <si>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</si>
  <si>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</si>
  <si>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</si>
  <si>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</si>
  <si>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</si>
  <si>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</si>
  <si>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</si>
  <si>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</si>
  <si>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</si>
  <si>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</si>
  <si>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</si>
  <si>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</si>
  <si>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</si>
  <si>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</si>
  <si>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</si>
  <si>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</si>
  <si>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</si>
  <si>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</si>
  <si>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</si>
  <si>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</si>
  <si>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</si>
  <si>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</si>
  <si>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</si>
  <si>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</si>
  <si>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CLM01321</t>
  </si>
  <si>
    <t>CLM01322</t>
  </si>
  <si>
    <t>CLM01323</t>
  </si>
  <si>
    <t>CLM01324</t>
  </si>
  <si>
    <t>CLM01325</t>
  </si>
  <si>
    <t>CLM01326</t>
  </si>
  <si>
    <t>CLM01327</t>
  </si>
  <si>
    <t>CLM01328</t>
  </si>
  <si>
    <t>CLM01329</t>
  </si>
  <si>
    <t>CLM01330</t>
  </si>
  <si>
    <t>CLM01331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</si>
  <si>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</si>
  <si>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</si>
  <si>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</si>
  <si>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</si>
  <si>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</si>
  <si>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</si>
  <si>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</si>
  <si>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</si>
  <si>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</si>
  <si>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</si>
  <si>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</si>
  <si>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</si>
  <si>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</si>
  <si>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</si>
  <si>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</si>
  <si>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</si>
  <si>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</si>
  <si>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</si>
  <si>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</si>
  <si>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</si>
  <si>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</si>
  <si>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CLM01353</t>
  </si>
  <si>
    <t>CLM01354</t>
  </si>
  <si>
    <t>CLM01355</t>
  </si>
  <si>
    <t>CLM01356</t>
  </si>
  <si>
    <t>CLM01357</t>
  </si>
  <si>
    <t>CLM01358</t>
  </si>
  <si>
    <t>CLM01359</t>
  </si>
  <si>
    <t>CLM01360</t>
  </si>
  <si>
    <t>CLM01361</t>
  </si>
  <si>
    <t>CLM01362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</si>
  <si>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</si>
  <si>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</si>
  <si>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</si>
  <si>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</si>
  <si>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</si>
  <si>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</si>
  <si>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</si>
  <si>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</si>
  <si>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</si>
  <si>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</si>
  <si>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</si>
  <si>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</si>
  <si>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</si>
  <si>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</si>
  <si>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</si>
  <si>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</si>
  <si>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</si>
  <si>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CLM01380</t>
  </si>
  <si>
    <t>CLM01381</t>
  </si>
  <si>
    <t>CLM01382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</si>
  <si>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</si>
  <si>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</si>
  <si>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</si>
  <si>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</si>
  <si>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</si>
  <si>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</si>
  <si>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</si>
  <si>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</si>
  <si>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</si>
  <si>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</si>
  <si>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</si>
  <si>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</si>
  <si>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</si>
  <si>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</si>
  <si>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</si>
  <si>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</si>
  <si>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</si>
  <si>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</si>
  <si>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</si>
  <si>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</si>
  <si>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</si>
  <si>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</si>
  <si>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</si>
  <si>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</si>
  <si>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</si>
  <si>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</si>
  <si>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</si>
  <si>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</si>
  <si>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</si>
  <si>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</si>
  <si>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</si>
  <si>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</si>
  <si>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</si>
  <si>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</si>
  <si>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</si>
  <si>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</si>
  <si>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</si>
  <si>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</si>
  <si>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</si>
  <si>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</si>
  <si>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</si>
  <si>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</si>
  <si>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</si>
  <si>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</si>
  <si>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</si>
  <si>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</si>
  <si>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</si>
  <si>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</si>
  <si>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</si>
  <si>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</si>
  <si>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</si>
  <si>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</si>
  <si>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</si>
  <si>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</si>
  <si>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</si>
  <si>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</si>
  <si>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</si>
  <si>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</si>
  <si>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</si>
  <si>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</si>
  <si>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</si>
  <si>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</si>
  <si>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</si>
  <si>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</si>
  <si>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</si>
  <si>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</si>
  <si>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CLM01449</t>
  </si>
  <si>
    <t>CLM01450</t>
  </si>
  <si>
    <t>CLM01451</t>
  </si>
  <si>
    <t>CLM01452</t>
  </si>
  <si>
    <t>CLM01453</t>
  </si>
  <si>
    <t>CLM01454</t>
  </si>
  <si>
    <t>CLM01455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</si>
  <si>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</si>
  <si>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</si>
  <si>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</si>
  <si>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</si>
  <si>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</si>
  <si>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</si>
  <si>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</si>
  <si>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</si>
  <si>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</si>
  <si>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CLM01465</t>
  </si>
  <si>
    <t>CLM01466</t>
  </si>
  <si>
    <t>CLM01467</t>
  </si>
  <si>
    <t>CLM01468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</si>
  <si>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</si>
  <si>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</si>
  <si>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</si>
  <si>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</si>
  <si>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</si>
  <si>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</si>
  <si>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</si>
  <si>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</si>
  <si>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CLM01477</t>
  </si>
  <si>
    <t>CLM01478</t>
  </si>
  <si>
    <t>CLM01479</t>
  </si>
  <si>
    <t>CLM01480</t>
  </si>
  <si>
    <t>CLM01481</t>
  </si>
  <si>
    <t>CLM01482</t>
  </si>
  <si>
    <t>CLM01483</t>
  </si>
  <si>
    <t>CLM01484</t>
  </si>
  <si>
    <t>CLM01485</t>
  </si>
  <si>
    <t>CLM01486</t>
  </si>
  <si>
    <t>CLM01487</t>
  </si>
  <si>
    <t>CLM01488</t>
  </si>
  <si>
    <t>CLM01489</t>
  </si>
  <si>
    <t>CLM01490</t>
  </si>
  <si>
    <t>CLM01491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</si>
  <si>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</si>
  <si>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</si>
  <si>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</si>
  <si>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</si>
  <si>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</si>
  <si>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</si>
  <si>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</si>
  <si>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</si>
  <si>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</si>
  <si>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CLM01501</t>
  </si>
  <si>
    <t>CLM01502</t>
  </si>
  <si>
    <t>CLM01503</t>
  </si>
  <si>
    <t>CLM01504</t>
  </si>
  <si>
    <t>CLM01505</t>
  </si>
  <si>
    <t>CLM01506</t>
  </si>
  <si>
    <t>CLM01507</t>
  </si>
  <si>
    <t>CLM01508</t>
  </si>
  <si>
    <t>CLM01509</t>
  </si>
  <si>
    <t>CLM01510</t>
  </si>
  <si>
    <t>CLM01511</t>
  </si>
  <si>
    <t>CLM01512</t>
  </si>
  <si>
    <t>CLM01513</t>
  </si>
  <si>
    <t>CLM01514</t>
  </si>
  <si>
    <t>CLM01515</t>
  </si>
  <si>
    <t>CLM01516</t>
  </si>
  <si>
    <t>CLM01517</t>
  </si>
  <si>
    <t>CLM01518</t>
  </si>
  <si>
    <t>CLM01519</t>
  </si>
  <si>
    <t>CLM01520</t>
  </si>
  <si>
    <t>CLM01521</t>
  </si>
  <si>
    <t>CLM01522</t>
  </si>
  <si>
    <t>CLM01523</t>
  </si>
  <si>
    <t>CLM01524</t>
  </si>
  <si>
    <t>CLM01525</t>
  </si>
  <si>
    <t>CLM01526</t>
  </si>
  <si>
    <t>CLM01527</t>
  </si>
  <si>
    <t>CLM01528</t>
  </si>
  <si>
    <t>CLM01529</t>
  </si>
  <si>
    <t>CLM01530</t>
  </si>
  <si>
    <t>CLM01531</t>
  </si>
  <si>
    <t>CLM01532</t>
  </si>
  <si>
    <t>CLM01533</t>
  </si>
  <si>
    <t>CLM01534</t>
  </si>
  <si>
    <t>CLM01535</t>
  </si>
  <si>
    <t>CLM01536</t>
  </si>
  <si>
    <t>CLM01537</t>
  </si>
  <si>
    <t>CLM01538</t>
  </si>
  <si>
    <t>CLM01539</t>
  </si>
  <si>
    <t>CLM01540</t>
  </si>
  <si>
    <t>CLM01541</t>
  </si>
  <si>
    <t>CLM01542</t>
  </si>
  <si>
    <t>CLM01543</t>
  </si>
  <si>
    <t>CLM01544</t>
  </si>
  <si>
    <t>CLM01545</t>
  </si>
  <si>
    <t>CLM01546</t>
  </si>
  <si>
    <t>CLM01547</t>
  </si>
  <si>
    <t>CLM01548</t>
  </si>
  <si>
    <t>CLM01549</t>
  </si>
  <si>
    <t>CLM01550</t>
  </si>
  <si>
    <t>CLM01551</t>
  </si>
  <si>
    <t>CLM01552</t>
  </si>
  <si>
    <t>CLM01553</t>
  </si>
  <si>
    <t>CLM01554</t>
  </si>
  <si>
    <t>CLM01555</t>
  </si>
  <si>
    <t>CLM01556</t>
  </si>
  <si>
    <t>CLM01557</t>
  </si>
  <si>
    <t>CLM01558</t>
  </si>
  <si>
    <t>CLM01559</t>
  </si>
  <si>
    <t>CLM01560</t>
  </si>
  <si>
    <t>CLM01561</t>
  </si>
  <si>
    <t>CLM01562</t>
  </si>
  <si>
    <t>CLM01563</t>
  </si>
  <si>
    <t>CLM01564</t>
  </si>
  <si>
    <t>CLM01565</t>
  </si>
  <si>
    <t>CLM01566</t>
  </si>
  <si>
    <t>CLM01567</t>
  </si>
  <si>
    <t>CLM01568</t>
  </si>
  <si>
    <t>CLM01569</t>
  </si>
  <si>
    <t>CLM01570</t>
  </si>
  <si>
    <t>CLM01571</t>
  </si>
  <si>
    <t>CLM01572</t>
  </si>
  <si>
    <t>CLM01573</t>
  </si>
  <si>
    <t>CLM01574</t>
  </si>
  <si>
    <t>CLM01575</t>
  </si>
  <si>
    <t>CLM01576</t>
  </si>
  <si>
    <t>CLM01577</t>
  </si>
  <si>
    <t>CLM01578</t>
  </si>
  <si>
    <t>CLM01579</t>
  </si>
  <si>
    <t>CLM01580</t>
  </si>
  <si>
    <t>CLM01581</t>
  </si>
  <si>
    <t>CLM01582</t>
  </si>
  <si>
    <t>CLM01583</t>
  </si>
  <si>
    <t>CLM01584</t>
  </si>
  <si>
    <t>CLM01585</t>
  </si>
  <si>
    <t>CLM01586</t>
  </si>
  <si>
    <t>CLM01587</t>
  </si>
  <si>
    <t>CLM01588</t>
  </si>
  <si>
    <t>CLM01589</t>
  </si>
  <si>
    <t>CLM01590</t>
  </si>
  <si>
    <t>CLM01591</t>
  </si>
  <si>
    <t>CLM01592</t>
  </si>
  <si>
    <t>CLM01593</t>
  </si>
  <si>
    <t>CLM01594</t>
  </si>
  <si>
    <t>CLM01595</t>
  </si>
  <si>
    <t>CLM01596</t>
  </si>
  <si>
    <t>CLM01597</t>
  </si>
  <si>
    <t>CLM01598</t>
  </si>
  <si>
    <t>CLM01599</t>
  </si>
  <si>
    <t>CLM01600</t>
  </si>
  <si>
    <t>CLM01601</t>
  </si>
  <si>
    <t>CLM01602</t>
  </si>
  <si>
    <t>CLM01603</t>
  </si>
  <si>
    <t>CLM01604</t>
  </si>
  <si>
    <t>CLM01605</t>
  </si>
  <si>
    <t>CLM01606</t>
  </si>
  <si>
    <t>CLM01607</t>
  </si>
  <si>
    <t>CLM01608</t>
  </si>
  <si>
    <t>CLM01609</t>
  </si>
  <si>
    <t>CLM01610</t>
  </si>
  <si>
    <t>CLM01611</t>
  </si>
  <si>
    <t>CLM01612</t>
  </si>
  <si>
    <t>CLM01613</t>
  </si>
  <si>
    <t>CLM01614</t>
  </si>
  <si>
    <t>CLM01615</t>
  </si>
  <si>
    <t>CLM01616</t>
  </si>
  <si>
    <t>CLM01617</t>
  </si>
  <si>
    <t>CLM01618</t>
  </si>
  <si>
    <t>CLM01619</t>
  </si>
  <si>
    <t>CLM01620</t>
  </si>
  <si>
    <t>CLM01621</t>
  </si>
  <si>
    <t>CLM01622</t>
  </si>
  <si>
    <t>CLM01623</t>
  </si>
  <si>
    <t>CLM01624</t>
  </si>
  <si>
    <t>CLM01625</t>
  </si>
  <si>
    <t>CLM01626</t>
  </si>
  <si>
    <t>CLM01627</t>
  </si>
  <si>
    <t>CLM01628</t>
  </si>
  <si>
    <t>CLM01629</t>
  </si>
  <si>
    <t>CLM01630</t>
  </si>
  <si>
    <t>CLM01631</t>
  </si>
  <si>
    <t>CLM01632</t>
  </si>
  <si>
    <t>CLM01633</t>
  </si>
  <si>
    <t>CLM01634</t>
  </si>
  <si>
    <t>CLM01635</t>
  </si>
  <si>
    <t>CLM01636</t>
  </si>
  <si>
    <t>CLM01637</t>
  </si>
  <si>
    <t>CLM01638</t>
  </si>
  <si>
    <t>CLM01639</t>
  </si>
  <si>
    <t>CLM01640</t>
  </si>
  <si>
    <t>CLM01641</t>
  </si>
  <si>
    <t>CLM01642</t>
  </si>
  <si>
    <t>CLM01643</t>
  </si>
  <si>
    <t>CLM01644</t>
  </si>
  <si>
    <t>CLM01645</t>
  </si>
  <si>
    <t>CLM01646</t>
  </si>
  <si>
    <t>CLM01647</t>
  </si>
  <si>
    <t>CLM01648</t>
  </si>
  <si>
    <t>CLM01649</t>
  </si>
  <si>
    <t>CLM01650</t>
  </si>
  <si>
    <t>CLM01651</t>
  </si>
  <si>
    <t>CLM01652</t>
  </si>
  <si>
    <t>CLM01653</t>
  </si>
  <si>
    <t>CLM01654</t>
  </si>
  <si>
    <t>CLM01655</t>
  </si>
  <si>
    <t>CLM01656</t>
  </si>
  <si>
    <t>CLM01657</t>
  </si>
  <si>
    <t>CLM01658</t>
  </si>
  <si>
    <t>CLM01659</t>
  </si>
  <si>
    <t>CLM01660</t>
  </si>
  <si>
    <t>CLM01661</t>
  </si>
  <si>
    <t>CLM01662</t>
  </si>
  <si>
    <t>CLM01663</t>
  </si>
  <si>
    <t>CLM01664</t>
  </si>
  <si>
    <t>CLM01665</t>
  </si>
  <si>
    <t>CLM01666</t>
  </si>
  <si>
    <t>CLM01667</t>
  </si>
  <si>
    <t>CLM01668</t>
  </si>
  <si>
    <t>CLM01669</t>
  </si>
  <si>
    <t>CLM01670</t>
  </si>
  <si>
    <t>CLM01671</t>
  </si>
  <si>
    <t>CLM01672</t>
  </si>
  <si>
    <t>CLM01673</t>
  </si>
  <si>
    <t>CLM01674</t>
  </si>
  <si>
    <t>CLM01675</t>
  </si>
  <si>
    <t>CLM01676</t>
  </si>
  <si>
    <t>CLM01677</t>
  </si>
  <si>
    <t>CLM01678</t>
  </si>
  <si>
    <t>CLM01679</t>
  </si>
  <si>
    <t>CLM01680</t>
  </si>
  <si>
    <t>CLM01681</t>
  </si>
  <si>
    <t>CLM01682</t>
  </si>
  <si>
    <t>CLM01683</t>
  </si>
  <si>
    <t>CLM01684</t>
  </si>
  <si>
    <t>CLM01685</t>
  </si>
  <si>
    <t>CLM01686</t>
  </si>
  <si>
    <t>CLM01687</t>
  </si>
  <si>
    <t>CLM01688</t>
  </si>
  <si>
    <t>CLM01689</t>
  </si>
  <si>
    <t>CLM01690</t>
  </si>
  <si>
    <t>CLM01691</t>
  </si>
  <si>
    <t>CLM01692</t>
  </si>
  <si>
    <t>CLM01693</t>
  </si>
  <si>
    <t>CLM01694</t>
  </si>
  <si>
    <t>CLM01695</t>
  </si>
  <si>
    <t>CLM01696</t>
  </si>
  <si>
    <t>CLM01697</t>
  </si>
  <si>
    <t>CLM01698</t>
  </si>
  <si>
    <t>CLM01699</t>
  </si>
  <si>
    <t>CLM01700</t>
  </si>
  <si>
    <t>CLM01701</t>
  </si>
  <si>
    <t>CLM01702</t>
  </si>
  <si>
    <t>CLM01703</t>
  </si>
  <si>
    <t>CLM01704</t>
  </si>
  <si>
    <t>CLM01705</t>
  </si>
  <si>
    <t>CLM01706</t>
  </si>
  <si>
    <t>CLM01707</t>
  </si>
  <si>
    <t>CLM01708</t>
  </si>
  <si>
    <t>CLM01709</t>
  </si>
  <si>
    <t>CLM01710</t>
  </si>
  <si>
    <t>CLM01711</t>
  </si>
  <si>
    <t>CLM01712</t>
  </si>
  <si>
    <t>CLM01713</t>
  </si>
  <si>
    <t>CLM01714</t>
  </si>
  <si>
    <t>CLM01715</t>
  </si>
  <si>
    <t>CLM01716</t>
  </si>
  <si>
    <t>CLM01717</t>
  </si>
  <si>
    <t>CLM01718</t>
  </si>
  <si>
    <t>CLM01719</t>
  </si>
  <si>
    <t>CLM01720</t>
  </si>
  <si>
    <t>CLM01721</t>
  </si>
  <si>
    <t>CLM01722</t>
  </si>
  <si>
    <t>CLM01723</t>
  </si>
  <si>
    <t>CLM01724</t>
  </si>
  <si>
    <t>CLM01725</t>
  </si>
  <si>
    <t>CLM01726</t>
  </si>
  <si>
    <t>CLM01727</t>
  </si>
  <si>
    <t>CLM01728</t>
  </si>
  <si>
    <t>CLM01729</t>
  </si>
  <si>
    <t>CLM01730</t>
  </si>
  <si>
    <t>CLM01731</t>
  </si>
  <si>
    <t>CLM01732</t>
  </si>
  <si>
    <t>CLM01733</t>
  </si>
  <si>
    <t>CLM01734</t>
  </si>
  <si>
    <t>CLM01735</t>
  </si>
  <si>
    <t>CLM01736</t>
  </si>
  <si>
    <t>CLM01737</t>
  </si>
  <si>
    <t>CLM01738</t>
  </si>
  <si>
    <t>CLM01739</t>
  </si>
  <si>
    <t>CLM01740</t>
  </si>
  <si>
    <t>CLM01741</t>
  </si>
  <si>
    <t>CLM01742</t>
  </si>
  <si>
    <t>CLM01743</t>
  </si>
  <si>
    <t>CLM01744</t>
  </si>
  <si>
    <t>CLM01745</t>
  </si>
  <si>
    <t>CLM01746</t>
  </si>
  <si>
    <t>CLM01747</t>
  </si>
  <si>
    <t>CLM01748</t>
  </si>
  <si>
    <t>CLM01749</t>
  </si>
  <si>
    <t>CLM01750</t>
  </si>
  <si>
    <t>CLM01751</t>
  </si>
  <si>
    <t>CLM01752</t>
  </si>
  <si>
    <t>CLM01753</t>
  </si>
  <si>
    <t>CLM01754</t>
  </si>
  <si>
    <t>CLM01755</t>
  </si>
  <si>
    <t>CLM01756</t>
  </si>
  <si>
    <t>CLM01757</t>
  </si>
  <si>
    <t>CLM01758</t>
  </si>
  <si>
    <t>CLM01759</t>
  </si>
  <si>
    <t>CLM01760</t>
  </si>
  <si>
    <t>CLM01761</t>
  </si>
  <si>
    <t>CLM01762</t>
  </si>
  <si>
    <t>CLM01763</t>
  </si>
  <si>
    <t>CLM01764</t>
  </si>
  <si>
    <t>CLM01765</t>
  </si>
  <si>
    <t>CLM01766</t>
  </si>
  <si>
    <t>CLM01767</t>
  </si>
  <si>
    <t>CLM01768</t>
  </si>
  <si>
    <t>CLM01769</t>
  </si>
  <si>
    <t>CLM01770</t>
  </si>
  <si>
    <t>CLM01771</t>
  </si>
  <si>
    <t>CLM01772</t>
  </si>
  <si>
    <t>CLM01773</t>
  </si>
  <si>
    <t>CLM01774</t>
  </si>
  <si>
    <t>CLM01775</t>
  </si>
  <si>
    <t>CLM01776</t>
  </si>
  <si>
    <t>CLM01777</t>
  </si>
  <si>
    <t>CLM01778</t>
  </si>
  <si>
    <t>CLM01779</t>
  </si>
  <si>
    <t>CLM01780</t>
  </si>
  <si>
    <t>CLM01781</t>
  </si>
  <si>
    <t>CLM01782</t>
  </si>
  <si>
    <t>CLM01783</t>
  </si>
  <si>
    <t>CLM01784</t>
  </si>
  <si>
    <t>CLM01785</t>
  </si>
  <si>
    <t>CLM01786</t>
  </si>
  <si>
    <t>CLM01787</t>
  </si>
  <si>
    <t>CLM01788</t>
  </si>
  <si>
    <t>CLM01789</t>
  </si>
  <si>
    <t>CLM01790</t>
  </si>
  <si>
    <t>CLM01791</t>
  </si>
  <si>
    <t>CLM01792</t>
  </si>
  <si>
    <t>CLM01793</t>
  </si>
  <si>
    <t>CLM01794</t>
  </si>
  <si>
    <t>CLM01795</t>
  </si>
  <si>
    <t>CLM01796</t>
  </si>
  <si>
    <t>CLM01797</t>
  </si>
  <si>
    <t>CLM01798</t>
  </si>
  <si>
    <t>CLM01799</t>
  </si>
  <si>
    <t>CLM01800</t>
  </si>
  <si>
    <t>CLM01801</t>
  </si>
  <si>
    <t>CLM01802</t>
  </si>
  <si>
    <t>CLM01803</t>
  </si>
  <si>
    <t>CLM01804</t>
  </si>
  <si>
    <t>CLM01805</t>
  </si>
  <si>
    <t>CLM01806</t>
  </si>
  <si>
    <t>CLM01807</t>
  </si>
  <si>
    <t>CLM01808</t>
  </si>
  <si>
    <t>CLM01809</t>
  </si>
  <si>
    <t>CLM01810</t>
  </si>
  <si>
    <t>CLM01811</t>
  </si>
  <si>
    <t>CLM01812</t>
  </si>
  <si>
    <t>CLM01813</t>
  </si>
  <si>
    <t>CLM01814</t>
  </si>
  <si>
    <t>CLM01815</t>
  </si>
  <si>
    <t>CLM01816</t>
  </si>
  <si>
    <t>CLM01817</t>
  </si>
  <si>
    <t>CLM01818</t>
  </si>
  <si>
    <t>CLM01819</t>
  </si>
  <si>
    <t>CLM01820</t>
  </si>
  <si>
    <t>CLM01821</t>
  </si>
  <si>
    <t>CLM01822</t>
  </si>
  <si>
    <t>CLM01823</t>
  </si>
  <si>
    <t>CLM01824</t>
  </si>
  <si>
    <t>CLM01825</t>
  </si>
  <si>
    <t>CLM01826</t>
  </si>
  <si>
    <t>CLM01827</t>
  </si>
  <si>
    <t>CLM01828</t>
  </si>
  <si>
    <t>CLM01829</t>
  </si>
  <si>
    <t>CLM01830</t>
  </si>
  <si>
    <t>CLM01831</t>
  </si>
  <si>
    <t>CLM01832</t>
  </si>
  <si>
    <t>CLM01833</t>
  </si>
  <si>
    <t>CLM01834</t>
  </si>
  <si>
    <t>CLM01835</t>
  </si>
  <si>
    <t>CLM01836</t>
  </si>
  <si>
    <t>CLM01837</t>
  </si>
  <si>
    <t>CLM01838</t>
  </si>
  <si>
    <t>CLM01839</t>
  </si>
  <si>
    <t>CLM01840</t>
  </si>
  <si>
    <t>CLM01841</t>
  </si>
  <si>
    <t>CLM01842</t>
  </si>
  <si>
    <t>CLM01843</t>
  </si>
  <si>
    <t>CLM01844</t>
  </si>
  <si>
    <t>CLM01845</t>
  </si>
  <si>
    <t>CLM01846</t>
  </si>
  <si>
    <t>CLM01847</t>
  </si>
  <si>
    <t>CLM01848</t>
  </si>
  <si>
    <t>CLM01849</t>
  </si>
  <si>
    <t>CLM01850</t>
  </si>
  <si>
    <t>CLM01851</t>
  </si>
  <si>
    <t>CLM01852</t>
  </si>
  <si>
    <t>CLM01853</t>
  </si>
  <si>
    <t>CLM01854</t>
  </si>
  <si>
    <t>CLM01855</t>
  </si>
  <si>
    <t>CLM01856</t>
  </si>
  <si>
    <t>CLM01857</t>
  </si>
  <si>
    <t>CLM01858</t>
  </si>
  <si>
    <t>CLM01859</t>
  </si>
  <si>
    <t>CLM01860</t>
  </si>
  <si>
    <t>CLM01861</t>
  </si>
  <si>
    <t>CLM01862</t>
  </si>
  <si>
    <t>CLM01863</t>
  </si>
  <si>
    <t>CLM01864</t>
  </si>
  <si>
    <t>CLM01865</t>
  </si>
  <si>
    <t>CLM01866</t>
  </si>
  <si>
    <t>CLM01867</t>
  </si>
  <si>
    <t>CLM01868</t>
  </si>
  <si>
    <t>CLM01869</t>
  </si>
  <si>
    <t>CLM01870</t>
  </si>
  <si>
    <t>CLM01871</t>
  </si>
  <si>
    <t>CLM01872</t>
  </si>
  <si>
    <t>CLM01873</t>
  </si>
  <si>
    <t>CLM01874</t>
  </si>
  <si>
    <t>CLM01875</t>
  </si>
  <si>
    <t>CLM01876</t>
  </si>
  <si>
    <t>CLM01877</t>
  </si>
  <si>
    <t>CLM01878</t>
  </si>
  <si>
    <t>CLM01879</t>
  </si>
  <si>
    <t>CLM01880</t>
  </si>
  <si>
    <t>CLM01881</t>
  </si>
  <si>
    <t>CLM01882</t>
  </si>
  <si>
    <t>CLM01883</t>
  </si>
  <si>
    <t>CLM01884</t>
  </si>
  <si>
    <t>CLM01885</t>
  </si>
  <si>
    <t>CLM01886</t>
  </si>
  <si>
    <t>CLM01887</t>
  </si>
  <si>
    <t>CLM01888</t>
  </si>
  <si>
    <t>CLM01889</t>
  </si>
  <si>
    <t>CLM01890</t>
  </si>
  <si>
    <t>CLM01891</t>
  </si>
  <si>
    <t>CLM01892</t>
  </si>
  <si>
    <t>CLM01893</t>
  </si>
  <si>
    <t>CLM01894</t>
  </si>
  <si>
    <t>CLM01895</t>
  </si>
  <si>
    <t>CLM01896</t>
  </si>
  <si>
    <t>CLM01897</t>
  </si>
  <si>
    <t>CLM01898</t>
  </si>
  <si>
    <t>CLM01899</t>
  </si>
  <si>
    <t>CLM01900</t>
  </si>
  <si>
    <t>CLM01901</t>
  </si>
  <si>
    <t>CLM01902</t>
  </si>
  <si>
    <t>CLM01903</t>
  </si>
  <si>
    <t>CLM01904</t>
  </si>
  <si>
    <t>CLM01905</t>
  </si>
  <si>
    <t>CLM01906</t>
  </si>
  <si>
    <t>CLM01907</t>
  </si>
  <si>
    <t>CLM01908</t>
  </si>
  <si>
    <t>CLM01909</t>
  </si>
  <si>
    <t>CLM01910</t>
  </si>
  <si>
    <t>CLM01911</t>
  </si>
  <si>
    <t>CLM01912</t>
  </si>
  <si>
    <t>CLM01913</t>
  </si>
  <si>
    <t>CLM01914</t>
  </si>
  <si>
    <t>CLM01915</t>
  </si>
  <si>
    <t>CLM01916</t>
  </si>
  <si>
    <t>CLM01917</t>
  </si>
  <si>
    <t>CLM01918</t>
  </si>
  <si>
    <t>CLM01919</t>
  </si>
  <si>
    <t>CLM01920</t>
  </si>
  <si>
    <t>CLM01921</t>
  </si>
  <si>
    <t>CLM01922</t>
  </si>
  <si>
    <t>CLM01923</t>
  </si>
  <si>
    <t>CLM01924</t>
  </si>
  <si>
    <t>CLM01925</t>
  </si>
  <si>
    <t>CLM01926</t>
  </si>
  <si>
    <t>CLM01927</t>
  </si>
  <si>
    <t>CLM01928</t>
  </si>
  <si>
    <t>CLM01929</t>
  </si>
  <si>
    <t>CLM01930</t>
  </si>
  <si>
    <t>CLM01931</t>
  </si>
  <si>
    <t>CLM01932</t>
  </si>
  <si>
    <t>CLM01933</t>
  </si>
  <si>
    <t>CLM01934</t>
  </si>
  <si>
    <t>CLM01935</t>
  </si>
  <si>
    <t>CLM01936</t>
  </si>
  <si>
    <t>CLM01937</t>
  </si>
  <si>
    <t>CLM01938</t>
  </si>
  <si>
    <t>CLM01939</t>
  </si>
  <si>
    <t>CLM01940</t>
  </si>
  <si>
    <t>CLM01941</t>
  </si>
  <si>
    <t>CLM01942</t>
  </si>
  <si>
    <t>CLM01943</t>
  </si>
  <si>
    <t>CLM01944</t>
  </si>
  <si>
    <t>CLM01945</t>
  </si>
  <si>
    <t>CLM01946</t>
  </si>
  <si>
    <t>CLM01947</t>
  </si>
  <si>
    <t>CLM01948</t>
  </si>
  <si>
    <t>CLM01949</t>
  </si>
  <si>
    <t>CLM01950</t>
  </si>
  <si>
    <t>CLM01951</t>
  </si>
  <si>
    <t>CLM01952</t>
  </si>
  <si>
    <t>CLM01953</t>
  </si>
  <si>
    <t>CLM01954</t>
  </si>
  <si>
    <t>CLM01955</t>
  </si>
  <si>
    <t>CLM01956</t>
  </si>
  <si>
    <t>CLM01957</t>
  </si>
  <si>
    <t>CLM01958</t>
  </si>
  <si>
    <t>CLM01959</t>
  </si>
  <si>
    <t>CLM01960</t>
  </si>
  <si>
    <t>CLM01961</t>
  </si>
  <si>
    <t>CLM01962</t>
  </si>
  <si>
    <t>CLM01963</t>
  </si>
  <si>
    <t>CLM01964</t>
  </si>
  <si>
    <t>CLM01965</t>
  </si>
  <si>
    <t>CLM01966</t>
  </si>
  <si>
    <t>CLM01967</t>
  </si>
  <si>
    <t>CLM01968</t>
  </si>
  <si>
    <t>CLM01969</t>
  </si>
  <si>
    <t>CLM01970</t>
  </si>
  <si>
    <t>CLM01971</t>
  </si>
  <si>
    <t>CLM01972</t>
  </si>
  <si>
    <t>CLM01973</t>
  </si>
  <si>
    <t>CLM01974</t>
  </si>
  <si>
    <t>CLM01975</t>
  </si>
  <si>
    <t>CLM01976</t>
  </si>
  <si>
    <t>CLM01977</t>
  </si>
  <si>
    <t>CLM01978</t>
  </si>
  <si>
    <t>CLM01979</t>
  </si>
  <si>
    <t>CLM01980</t>
  </si>
  <si>
    <t>CLM01981</t>
  </si>
  <si>
    <t>CLM01982</t>
  </si>
  <si>
    <t>CLM01983</t>
  </si>
  <si>
    <t>CLM01984</t>
  </si>
  <si>
    <t>CLM01985</t>
  </si>
  <si>
    <t>CLM01986</t>
  </si>
  <si>
    <t>CLM01987</t>
  </si>
  <si>
    <t>CLM01988</t>
  </si>
  <si>
    <t>CLM01989</t>
  </si>
  <si>
    <t>CLM01990</t>
  </si>
  <si>
    <t>CLM01991</t>
  </si>
  <si>
    <t>CLM01992</t>
  </si>
  <si>
    <t>CLM01993</t>
  </si>
  <si>
    <t>CLM01994</t>
  </si>
  <si>
    <t>CLM01995</t>
  </si>
  <si>
    <t>CLM01996</t>
  </si>
  <si>
    <t>CLM01997</t>
  </si>
  <si>
    <t>CLM01998</t>
  </si>
  <si>
    <t>CLM01999</t>
  </si>
  <si>
    <t>CLM02000</t>
  </si>
  <si>
    <t>claim_line_id</t>
  </si>
  <si>
    <t>units</t>
  </si>
  <si>
    <t>line_charge</t>
  </si>
  <si>
    <t>CL000001</t>
  </si>
  <si>
    <t>CL000002</t>
  </si>
  <si>
    <t>CL000003</t>
  </si>
  <si>
    <t>CL000004</t>
  </si>
  <si>
    <t>CL000005</t>
  </si>
  <si>
    <t>CL000006</t>
  </si>
  <si>
    <t>CL000007</t>
  </si>
  <si>
    <t>CL000008</t>
  </si>
  <si>
    <t>CL000009</t>
  </si>
  <si>
    <t>CL000010</t>
  </si>
  <si>
    <t>CL000011</t>
  </si>
  <si>
    <t>CL000012</t>
  </si>
  <si>
    <t>CL000013</t>
  </si>
  <si>
    <t>CL000014</t>
  </si>
  <si>
    <t>CL000015</t>
  </si>
  <si>
    <t>CL000016</t>
  </si>
  <si>
    <t>CL000017</t>
  </si>
  <si>
    <t>CL000018</t>
  </si>
  <si>
    <t>CL000019</t>
  </si>
  <si>
    <t>CL000020</t>
  </si>
  <si>
    <t>CL000021</t>
  </si>
  <si>
    <t>CL000022</t>
  </si>
  <si>
    <t>CL000023</t>
  </si>
  <si>
    <t>CL000024</t>
  </si>
  <si>
    <t>CL000025</t>
  </si>
  <si>
    <t>CL000026</t>
  </si>
  <si>
    <t>CL000027</t>
  </si>
  <si>
    <t>CL000028</t>
  </si>
  <si>
    <t>CL000029</t>
  </si>
  <si>
    <t>CL000030</t>
  </si>
  <si>
    <t>CL000031</t>
  </si>
  <si>
    <t>CL000032</t>
  </si>
  <si>
    <t>CL000033</t>
  </si>
  <si>
    <t>CL000034</t>
  </si>
  <si>
    <t>CL000035</t>
  </si>
  <si>
    <t>CL000036</t>
  </si>
  <si>
    <t>CL000037</t>
  </si>
  <si>
    <t>CL000038</t>
  </si>
  <si>
    <t>CL000039</t>
  </si>
  <si>
    <t>CL000040</t>
  </si>
  <si>
    <t>CL000041</t>
  </si>
  <si>
    <t>CL000042</t>
  </si>
  <si>
    <t>CL000043</t>
  </si>
  <si>
    <t>CL000044</t>
  </si>
  <si>
    <t>CL000045</t>
  </si>
  <si>
    <t>CL000046</t>
  </si>
  <si>
    <t>CL000047</t>
  </si>
  <si>
    <t>CL000048</t>
  </si>
  <si>
    <t>CL000049</t>
  </si>
  <si>
    <t>CL000050</t>
  </si>
  <si>
    <t>CL000051</t>
  </si>
  <si>
    <t>CL000052</t>
  </si>
  <si>
    <t>CL000053</t>
  </si>
  <si>
    <t>CL000054</t>
  </si>
  <si>
    <t>CL000055</t>
  </si>
  <si>
    <t>CL000056</t>
  </si>
  <si>
    <t>CL000057</t>
  </si>
  <si>
    <t>CL000058</t>
  </si>
  <si>
    <t>CL000059</t>
  </si>
  <si>
    <t>CL000060</t>
  </si>
  <si>
    <t>CL000061</t>
  </si>
  <si>
    <t>CL000062</t>
  </si>
  <si>
    <t>CL000063</t>
  </si>
  <si>
    <t>CL000064</t>
  </si>
  <si>
    <t>CL000065</t>
  </si>
  <si>
    <t>CL000066</t>
  </si>
  <si>
    <t>CL000067</t>
  </si>
  <si>
    <t>CL000068</t>
  </si>
  <si>
    <t>CL000069</t>
  </si>
  <si>
    <t>CL000070</t>
  </si>
  <si>
    <t>CL000071</t>
  </si>
  <si>
    <t>CL000072</t>
  </si>
  <si>
    <t>CL000073</t>
  </si>
  <si>
    <t>CL000074</t>
  </si>
  <si>
    <t>CL000075</t>
  </si>
  <si>
    <t>CL000076</t>
  </si>
  <si>
    <t>CL000077</t>
  </si>
  <si>
    <t>CL000078</t>
  </si>
  <si>
    <t>CL000079</t>
  </si>
  <si>
    <t>CL000080</t>
  </si>
  <si>
    <t>CL000081</t>
  </si>
  <si>
    <t>CL000082</t>
  </si>
  <si>
    <t>CL000083</t>
  </si>
  <si>
    <t>CL000084</t>
  </si>
  <si>
    <t>CL000085</t>
  </si>
  <si>
    <t>CL000086</t>
  </si>
  <si>
    <t>CL000087</t>
  </si>
  <si>
    <t>CL000088</t>
  </si>
  <si>
    <t>CL000089</t>
  </si>
  <si>
    <t>CL000090</t>
  </si>
  <si>
    <t>CL000091</t>
  </si>
  <si>
    <t>CL000092</t>
  </si>
  <si>
    <t>CL000093</t>
  </si>
  <si>
    <t>CL000094</t>
  </si>
  <si>
    <t>CL000095</t>
  </si>
  <si>
    <t>CL000096</t>
  </si>
  <si>
    <t>CL000097</t>
  </si>
  <si>
    <t>CL000098</t>
  </si>
  <si>
    <t>CL000099</t>
  </si>
  <si>
    <t>CL000100</t>
  </si>
  <si>
    <t>CL000101</t>
  </si>
  <si>
    <t>CL000102</t>
  </si>
  <si>
    <t>CL000103</t>
  </si>
  <si>
    <t>CL000104</t>
  </si>
  <si>
    <t>CL000105</t>
  </si>
  <si>
    <t>CL000106</t>
  </si>
  <si>
    <t>CL000107</t>
  </si>
  <si>
    <t>CL000108</t>
  </si>
  <si>
    <t>CL000109</t>
  </si>
  <si>
    <t>CL000110</t>
  </si>
  <si>
    <t>CL000111</t>
  </si>
  <si>
    <t>CL000112</t>
  </si>
  <si>
    <t>CL000113</t>
  </si>
  <si>
    <t>CL000114</t>
  </si>
  <si>
    <t>CL000115</t>
  </si>
  <si>
    <t>CL000116</t>
  </si>
  <si>
    <t>CL000117</t>
  </si>
  <si>
    <t>CL000118</t>
  </si>
  <si>
    <t>CL000119</t>
  </si>
  <si>
    <t>CL000120</t>
  </si>
  <si>
    <t>CL000121</t>
  </si>
  <si>
    <t>CL000122</t>
  </si>
  <si>
    <t>CL000123</t>
  </si>
  <si>
    <t>CL000124</t>
  </si>
  <si>
    <t>CL000125</t>
  </si>
  <si>
    <t>CL000126</t>
  </si>
  <si>
    <t>CL000127</t>
  </si>
  <si>
    <t>CL000128</t>
  </si>
  <si>
    <t>CL000129</t>
  </si>
  <si>
    <t>CL000130</t>
  </si>
  <si>
    <t>CL000131</t>
  </si>
  <si>
    <t>CL000132</t>
  </si>
  <si>
    <t>CL000133</t>
  </si>
  <si>
    <t>CL000134</t>
  </si>
  <si>
    <t>CL000135</t>
  </si>
  <si>
    <t>CL000136</t>
  </si>
  <si>
    <t>CL000137</t>
  </si>
  <si>
    <t>CL000138</t>
  </si>
  <si>
    <t>CL000139</t>
  </si>
  <si>
    <t>CL000140</t>
  </si>
  <si>
    <t>CL000141</t>
  </si>
  <si>
    <t>CL000142</t>
  </si>
  <si>
    <t>CL000143</t>
  </si>
  <si>
    <t>CL000144</t>
  </si>
  <si>
    <t>CL000145</t>
  </si>
  <si>
    <t>CL000146</t>
  </si>
  <si>
    <t>CL000147</t>
  </si>
  <si>
    <t>CL000148</t>
  </si>
  <si>
    <t>CL000149</t>
  </si>
  <si>
    <t>CL000150</t>
  </si>
  <si>
    <t>CL000151</t>
  </si>
  <si>
    <t>CL000152</t>
  </si>
  <si>
    <t>CL000153</t>
  </si>
  <si>
    <t>CL000154</t>
  </si>
  <si>
    <t>CL000155</t>
  </si>
  <si>
    <t>CL000156</t>
  </si>
  <si>
    <t>CL000157</t>
  </si>
  <si>
    <t>CL000158</t>
  </si>
  <si>
    <t>CL000159</t>
  </si>
  <si>
    <t>CL000160</t>
  </si>
  <si>
    <t>CL000161</t>
  </si>
  <si>
    <t>CL000162</t>
  </si>
  <si>
    <t>CL000163</t>
  </si>
  <si>
    <t>CL000164</t>
  </si>
  <si>
    <t>CL000165</t>
  </si>
  <si>
    <t>CL000166</t>
  </si>
  <si>
    <t>CL000167</t>
  </si>
  <si>
    <t>CL000168</t>
  </si>
  <si>
    <t>CL000169</t>
  </si>
  <si>
    <t>CL000170</t>
  </si>
  <si>
    <t>CL000171</t>
  </si>
  <si>
    <t>CL000172</t>
  </si>
  <si>
    <t>CL000173</t>
  </si>
  <si>
    <t>CL000174</t>
  </si>
  <si>
    <t>CL000175</t>
  </si>
  <si>
    <t>CL000176</t>
  </si>
  <si>
    <t>CL000177</t>
  </si>
  <si>
    <t>CL000178</t>
  </si>
  <si>
    <t>CL000179</t>
  </si>
  <si>
    <t>CL000180</t>
  </si>
  <si>
    <t>CL000181</t>
  </si>
  <si>
    <t>CL000182</t>
  </si>
  <si>
    <t>CL000183</t>
  </si>
  <si>
    <t>CL000184</t>
  </si>
  <si>
    <t>CL000185</t>
  </si>
  <si>
    <t>CL000186</t>
  </si>
  <si>
    <t>CL000187</t>
  </si>
  <si>
    <t>CL000188</t>
  </si>
  <si>
    <t>CL000189</t>
  </si>
  <si>
    <t>CL000190</t>
  </si>
  <si>
    <t>CL000191</t>
  </si>
  <si>
    <t>CL000192</t>
  </si>
  <si>
    <t>CL000193</t>
  </si>
  <si>
    <t>CL000194</t>
  </si>
  <si>
    <t>CL000195</t>
  </si>
  <si>
    <t>CL000196</t>
  </si>
  <si>
    <t>CL000197</t>
  </si>
  <si>
    <t>CL000198</t>
  </si>
  <si>
    <t>CL000199</t>
  </si>
  <si>
    <t>CL000200</t>
  </si>
  <si>
    <t>CL000201</t>
  </si>
  <si>
    <t>CL000202</t>
  </si>
  <si>
    <t>CL000203</t>
  </si>
  <si>
    <t>CL000204</t>
  </si>
  <si>
    <t>CL000205</t>
  </si>
  <si>
    <t>CL000206</t>
  </si>
  <si>
    <t>CL000207</t>
  </si>
  <si>
    <t>CL000208</t>
  </si>
  <si>
    <t>CL000209</t>
  </si>
  <si>
    <t>CL000210</t>
  </si>
  <si>
    <t>CL000211</t>
  </si>
  <si>
    <t>CL000212</t>
  </si>
  <si>
    <t>CL000213</t>
  </si>
  <si>
    <t>CL000214</t>
  </si>
  <si>
    <t>CL000215</t>
  </si>
  <si>
    <t>CL000216</t>
  </si>
  <si>
    <t>CL000217</t>
  </si>
  <si>
    <t>CL000218</t>
  </si>
  <si>
    <t>CL000219</t>
  </si>
  <si>
    <t>CL000220</t>
  </si>
  <si>
    <t>CL000221</t>
  </si>
  <si>
    <t>CL000222</t>
  </si>
  <si>
    <t>CL000223</t>
  </si>
  <si>
    <t>CL000224</t>
  </si>
  <si>
    <t>CL000225</t>
  </si>
  <si>
    <t>CL000226</t>
  </si>
  <si>
    <t>CL000227</t>
  </si>
  <si>
    <t>CL000228</t>
  </si>
  <si>
    <t>CL000229</t>
  </si>
  <si>
    <t>CL000230</t>
  </si>
  <si>
    <t>CL000231</t>
  </si>
  <si>
    <t>CL000232</t>
  </si>
  <si>
    <t>CL000233</t>
  </si>
  <si>
    <t>CL000234</t>
  </si>
  <si>
    <t>CL000235</t>
  </si>
  <si>
    <t>CL000236</t>
  </si>
  <si>
    <t>CL000237</t>
  </si>
  <si>
    <t>CL000238</t>
  </si>
  <si>
    <t>CL000239</t>
  </si>
  <si>
    <t>CL000240</t>
  </si>
  <si>
    <t>CL000241</t>
  </si>
  <si>
    <t>CL000242</t>
  </si>
  <si>
    <t>CL000243</t>
  </si>
  <si>
    <t>CL000244</t>
  </si>
  <si>
    <t>CL000245</t>
  </si>
  <si>
    <t>CL000246</t>
  </si>
  <si>
    <t>CL000247</t>
  </si>
  <si>
    <t>CL000248</t>
  </si>
  <si>
    <t>CL000249</t>
  </si>
  <si>
    <t>CL000250</t>
  </si>
  <si>
    <t>CL000251</t>
  </si>
  <si>
    <t>CL000252</t>
  </si>
  <si>
    <t>CL000253</t>
  </si>
  <si>
    <t>CL000254</t>
  </si>
  <si>
    <t>CL000255</t>
  </si>
  <si>
    <t>CL000256</t>
  </si>
  <si>
    <t>CL000257</t>
  </si>
  <si>
    <t>CL000258</t>
  </si>
  <si>
    <t>CL000259</t>
  </si>
  <si>
    <t>CL000260</t>
  </si>
  <si>
    <t>CL000261</t>
  </si>
  <si>
    <t>CL000262</t>
  </si>
  <si>
    <t>CL000263</t>
  </si>
  <si>
    <t>CL000264</t>
  </si>
  <si>
    <t>CL000265</t>
  </si>
  <si>
    <t>CL000266</t>
  </si>
  <si>
    <t>CL000267</t>
  </si>
  <si>
    <t>CL000268</t>
  </si>
  <si>
    <t>CL000269</t>
  </si>
  <si>
    <t>CL000270</t>
  </si>
  <si>
    <t>CL000271</t>
  </si>
  <si>
    <t>CL000272</t>
  </si>
  <si>
    <t>CL000273</t>
  </si>
  <si>
    <t>CL000274</t>
  </si>
  <si>
    <t>CL000275</t>
  </si>
  <si>
    <t>CL000276</t>
  </si>
  <si>
    <t>CL000277</t>
  </si>
  <si>
    <t>CL000278</t>
  </si>
  <si>
    <t>CL000279</t>
  </si>
  <si>
    <t>CL000280</t>
  </si>
  <si>
    <t>CL000281</t>
  </si>
  <si>
    <t>CL000282</t>
  </si>
  <si>
    <t>CL000283</t>
  </si>
  <si>
    <t>CL000284</t>
  </si>
  <si>
    <t>CL000285</t>
  </si>
  <si>
    <t>CL000286</t>
  </si>
  <si>
    <t>CL000287</t>
  </si>
  <si>
    <t>CL000288</t>
  </si>
  <si>
    <t>CL000289</t>
  </si>
  <si>
    <t>CL000290</t>
  </si>
  <si>
    <t>CL000291</t>
  </si>
  <si>
    <t>CL000292</t>
  </si>
  <si>
    <t>CL000293</t>
  </si>
  <si>
    <t>CL000294</t>
  </si>
  <si>
    <t>CL000295</t>
  </si>
  <si>
    <t>CL000296</t>
  </si>
  <si>
    <t>CL000297</t>
  </si>
  <si>
    <t>CL000298</t>
  </si>
  <si>
    <t>CL000299</t>
  </si>
  <si>
    <t>CL000300</t>
  </si>
  <si>
    <t>CL000301</t>
  </si>
  <si>
    <t>CL000302</t>
  </si>
  <si>
    <t>CL000303</t>
  </si>
  <si>
    <t>CL000304</t>
  </si>
  <si>
    <t>CL000305</t>
  </si>
  <si>
    <t>CL000306</t>
  </si>
  <si>
    <t>CL000307</t>
  </si>
  <si>
    <t>CL000308</t>
  </si>
  <si>
    <t>CL000309</t>
  </si>
  <si>
    <t>CL000310</t>
  </si>
  <si>
    <t>CL000311</t>
  </si>
  <si>
    <t>CL000312</t>
  </si>
  <si>
    <t>CL000313</t>
  </si>
  <si>
    <t>CL000314</t>
  </si>
  <si>
    <t>CL000315</t>
  </si>
  <si>
    <t>CL000316</t>
  </si>
  <si>
    <t>CL000317</t>
  </si>
  <si>
    <t>CL000318</t>
  </si>
  <si>
    <t>CL000319</t>
  </si>
  <si>
    <t>CL000320</t>
  </si>
  <si>
    <t>CL000321</t>
  </si>
  <si>
    <t>CL000322</t>
  </si>
  <si>
    <t>CL000323</t>
  </si>
  <si>
    <t>CL000324</t>
  </si>
  <si>
    <t>CL000325</t>
  </si>
  <si>
    <t>CL000326</t>
  </si>
  <si>
    <t>CL000327</t>
  </si>
  <si>
    <t>CL000328</t>
  </si>
  <si>
    <t>CL000329</t>
  </si>
  <si>
    <t>CL000330</t>
  </si>
  <si>
    <t>CL000331</t>
  </si>
  <si>
    <t>CL000332</t>
  </si>
  <si>
    <t>CL000333</t>
  </si>
  <si>
    <t>CL000334</t>
  </si>
  <si>
    <t>CL000335</t>
  </si>
  <si>
    <t>CL000336</t>
  </si>
  <si>
    <t>CL000337</t>
  </si>
  <si>
    <t>CL000338</t>
  </si>
  <si>
    <t>CL000339</t>
  </si>
  <si>
    <t>CL000340</t>
  </si>
  <si>
    <t>CL000341</t>
  </si>
  <si>
    <t>CL000342</t>
  </si>
  <si>
    <t>CL000343</t>
  </si>
  <si>
    <t>CL000344</t>
  </si>
  <si>
    <t>CL000345</t>
  </si>
  <si>
    <t>CL000346</t>
  </si>
  <si>
    <t>CL000347</t>
  </si>
  <si>
    <t>CL000348</t>
  </si>
  <si>
    <t>CL000349</t>
  </si>
  <si>
    <t>CL000350</t>
  </si>
  <si>
    <t>CL000351</t>
  </si>
  <si>
    <t>CL000352</t>
  </si>
  <si>
    <t>CL000353</t>
  </si>
  <si>
    <t>CL000354</t>
  </si>
  <si>
    <t>CL000355</t>
  </si>
  <si>
    <t>CL000356</t>
  </si>
  <si>
    <t>CL000357</t>
  </si>
  <si>
    <t>CL000358</t>
  </si>
  <si>
    <t>CL000359</t>
  </si>
  <si>
    <t>CL000360</t>
  </si>
  <si>
    <t>CL000361</t>
  </si>
  <si>
    <t>CL000362</t>
  </si>
  <si>
    <t>CL000363</t>
  </si>
  <si>
    <t>CL000364</t>
  </si>
  <si>
    <t>CL000365</t>
  </si>
  <si>
    <t>CL000366</t>
  </si>
  <si>
    <t>CL000367</t>
  </si>
  <si>
    <t>CL000368</t>
  </si>
  <si>
    <t>CL000369</t>
  </si>
  <si>
    <t>CL000370</t>
  </si>
  <si>
    <t>CL000371</t>
  </si>
  <si>
    <t>CL000372</t>
  </si>
  <si>
    <t>CL000373</t>
  </si>
  <si>
    <t>CL000374</t>
  </si>
  <si>
    <t>CL000375</t>
  </si>
  <si>
    <t>CL000376</t>
  </si>
  <si>
    <t>CL000377</t>
  </si>
  <si>
    <t>CL000378</t>
  </si>
  <si>
    <t>CL000379</t>
  </si>
  <si>
    <t>CL000380</t>
  </si>
  <si>
    <t>CL000381</t>
  </si>
  <si>
    <t>CL000382</t>
  </si>
  <si>
    <t>CL000383</t>
  </si>
  <si>
    <t>CL000384</t>
  </si>
  <si>
    <t>CL000385</t>
  </si>
  <si>
    <t>CL000386</t>
  </si>
  <si>
    <t>CL000387</t>
  </si>
  <si>
    <t>CL000388</t>
  </si>
  <si>
    <t>CL000389</t>
  </si>
  <si>
    <t>CL000390</t>
  </si>
  <si>
    <t>CL000391</t>
  </si>
  <si>
    <t>CL000392</t>
  </si>
  <si>
    <t>CL000393</t>
  </si>
  <si>
    <t>CL000394</t>
  </si>
  <si>
    <t>CL000395</t>
  </si>
  <si>
    <t>CL000396</t>
  </si>
  <si>
    <t>CL000397</t>
  </si>
  <si>
    <t>CL000398</t>
  </si>
  <si>
    <t>CL000399</t>
  </si>
  <si>
    <t>CL000400</t>
  </si>
  <si>
    <t>CL000401</t>
  </si>
  <si>
    <t>CL000402</t>
  </si>
  <si>
    <t>CL000403</t>
  </si>
  <si>
    <t>CL000404</t>
  </si>
  <si>
    <t>CL000405</t>
  </si>
  <si>
    <t>CL000406</t>
  </si>
  <si>
    <t>CL000407</t>
  </si>
  <si>
    <t>CL000408</t>
  </si>
  <si>
    <t>CL000409</t>
  </si>
  <si>
    <t>CL000410</t>
  </si>
  <si>
    <t>CL000411</t>
  </si>
  <si>
    <t>CL000412</t>
  </si>
  <si>
    <t>CL000413</t>
  </si>
  <si>
    <t>CL000414</t>
  </si>
  <si>
    <t>CL000415</t>
  </si>
  <si>
    <t>CL000416</t>
  </si>
  <si>
    <t>CL000417</t>
  </si>
  <si>
    <t>CL000418</t>
  </si>
  <si>
    <t>CL000419</t>
  </si>
  <si>
    <t>CL000420</t>
  </si>
  <si>
    <t>CL000421</t>
  </si>
  <si>
    <t>CL000422</t>
  </si>
  <si>
    <t>CL000423</t>
  </si>
  <si>
    <t>CL000424</t>
  </si>
  <si>
    <t>CL000425</t>
  </si>
  <si>
    <t>CL000426</t>
  </si>
  <si>
    <t>CL000427</t>
  </si>
  <si>
    <t>CL000428</t>
  </si>
  <si>
    <t>CL000429</t>
  </si>
  <si>
    <t>CL000430</t>
  </si>
  <si>
    <t>CL000431</t>
  </si>
  <si>
    <t>CL000432</t>
  </si>
  <si>
    <t>CL000433</t>
  </si>
  <si>
    <t>CL000434</t>
  </si>
  <si>
    <t>CL000435</t>
  </si>
  <si>
    <t>CL000436</t>
  </si>
  <si>
    <t>CL000437</t>
  </si>
  <si>
    <t>CL000438</t>
  </si>
  <si>
    <t>CL000439</t>
  </si>
  <si>
    <t>CL000440</t>
  </si>
  <si>
    <t>CL000441</t>
  </si>
  <si>
    <t>CL000442</t>
  </si>
  <si>
    <t>CL000443</t>
  </si>
  <si>
    <t>CL000444</t>
  </si>
  <si>
    <t>CL000445</t>
  </si>
  <si>
    <t>CL000446</t>
  </si>
  <si>
    <t>CL000447</t>
  </si>
  <si>
    <t>CL000448</t>
  </si>
  <si>
    <t>CL000449</t>
  </si>
  <si>
    <t>CL000450</t>
  </si>
  <si>
    <t>CL000451</t>
  </si>
  <si>
    <t>CL000452</t>
  </si>
  <si>
    <t>CL000453</t>
  </si>
  <si>
    <t>CL000454</t>
  </si>
  <si>
    <t>CL000455</t>
  </si>
  <si>
    <t>CL000456</t>
  </si>
  <si>
    <t>CL000457</t>
  </si>
  <si>
    <t>CL000458</t>
  </si>
  <si>
    <t>CL000459</t>
  </si>
  <si>
    <t>CL000460</t>
  </si>
  <si>
    <t>CL000461</t>
  </si>
  <si>
    <t>CL000462</t>
  </si>
  <si>
    <t>CL000463</t>
  </si>
  <si>
    <t>CL000464</t>
  </si>
  <si>
    <t>CL000465</t>
  </si>
  <si>
    <t>CL000466</t>
  </si>
  <si>
    <t>CL000467</t>
  </si>
  <si>
    <t>CL000468</t>
  </si>
  <si>
    <t>CL000469</t>
  </si>
  <si>
    <t>CL000470</t>
  </si>
  <si>
    <t>CL000471</t>
  </si>
  <si>
    <t>CL000472</t>
  </si>
  <si>
    <t>CL000473</t>
  </si>
  <si>
    <t>CL000474</t>
  </si>
  <si>
    <t>CL000475</t>
  </si>
  <si>
    <t>CL000476</t>
  </si>
  <si>
    <t>CL000477</t>
  </si>
  <si>
    <t>CL000478</t>
  </si>
  <si>
    <t>CL000479</t>
  </si>
  <si>
    <t>CL000480</t>
  </si>
  <si>
    <t>CL000481</t>
  </si>
  <si>
    <t>CL000482</t>
  </si>
  <si>
    <t>CL000483</t>
  </si>
  <si>
    <t>CL000484</t>
  </si>
  <si>
    <t>CL000485</t>
  </si>
  <si>
    <t>CL000486</t>
  </si>
  <si>
    <t>CL000487</t>
  </si>
  <si>
    <t>CL000488</t>
  </si>
  <si>
    <t>CL000489</t>
  </si>
  <si>
    <t>CL000490</t>
  </si>
  <si>
    <t>CL000491</t>
  </si>
  <si>
    <t>CL000492</t>
  </si>
  <si>
    <t>CL000493</t>
  </si>
  <si>
    <t>CL000494</t>
  </si>
  <si>
    <t>CL000495</t>
  </si>
  <si>
    <t>CL000496</t>
  </si>
  <si>
    <t>CL000497</t>
  </si>
  <si>
    <t>CL000498</t>
  </si>
  <si>
    <t>CL000499</t>
  </si>
  <si>
    <t>CL000500</t>
  </si>
  <si>
    <t>CL000501</t>
  </si>
  <si>
    <t>CL000502</t>
  </si>
  <si>
    <t>CL000503</t>
  </si>
  <si>
    <t>CL000504</t>
  </si>
  <si>
    <t>CL000505</t>
  </si>
  <si>
    <t>CL000506</t>
  </si>
  <si>
    <t>CL000507</t>
  </si>
  <si>
    <t>CL000508</t>
  </si>
  <si>
    <t>CL000509</t>
  </si>
  <si>
    <t>CL000510</t>
  </si>
  <si>
    <t>CL000511</t>
  </si>
  <si>
    <t>CL000512</t>
  </si>
  <si>
    <t>CL000513</t>
  </si>
  <si>
    <t>CL000514</t>
  </si>
  <si>
    <t>CL000515</t>
  </si>
  <si>
    <t>CL000516</t>
  </si>
  <si>
    <t>CL000517</t>
  </si>
  <si>
    <t>CL000518</t>
  </si>
  <si>
    <t>CL000519</t>
  </si>
  <si>
    <t>CL000520</t>
  </si>
  <si>
    <t>CL000521</t>
  </si>
  <si>
    <t>CL000522</t>
  </si>
  <si>
    <t>CL000523</t>
  </si>
  <si>
    <t>CL000524</t>
  </si>
  <si>
    <t>CL000525</t>
  </si>
  <si>
    <t>CL000526</t>
  </si>
  <si>
    <t>CL000527</t>
  </si>
  <si>
    <t>CL000528</t>
  </si>
  <si>
    <t>CL000529</t>
  </si>
  <si>
    <t>CL000530</t>
  </si>
  <si>
    <t>CL000531</t>
  </si>
  <si>
    <t>CL000532</t>
  </si>
  <si>
    <t>CL000533</t>
  </si>
  <si>
    <t>CL000534</t>
  </si>
  <si>
    <t>CL000535</t>
  </si>
  <si>
    <t>CL000536</t>
  </si>
  <si>
    <t>CL000537</t>
  </si>
  <si>
    <t>CL000538</t>
  </si>
  <si>
    <t>CL000539</t>
  </si>
  <si>
    <t>CL000540</t>
  </si>
  <si>
    <t>CL000541</t>
  </si>
  <si>
    <t>CL000542</t>
  </si>
  <si>
    <t>CL000543</t>
  </si>
  <si>
    <t>CL000544</t>
  </si>
  <si>
    <t>CL000545</t>
  </si>
  <si>
    <t>CL000546</t>
  </si>
  <si>
    <t>CL000547</t>
  </si>
  <si>
    <t>CL000548</t>
  </si>
  <si>
    <t>CL000549</t>
  </si>
  <si>
    <t>CL000550</t>
  </si>
  <si>
    <t>CL000551</t>
  </si>
  <si>
    <t>CL000552</t>
  </si>
  <si>
    <t>CL000553</t>
  </si>
  <si>
    <t>CL000554</t>
  </si>
  <si>
    <t>CL000555</t>
  </si>
  <si>
    <t>CL000556</t>
  </si>
  <si>
    <t>CL000557</t>
  </si>
  <si>
    <t>CL000558</t>
  </si>
  <si>
    <t>CL000559</t>
  </si>
  <si>
    <t>CL000560</t>
  </si>
  <si>
    <t>CL000561</t>
  </si>
  <si>
    <t>CL000562</t>
  </si>
  <si>
    <t>CL000563</t>
  </si>
  <si>
    <t>CL000564</t>
  </si>
  <si>
    <t>CL000565</t>
  </si>
  <si>
    <t>CL000566</t>
  </si>
  <si>
    <t>CL000567</t>
  </si>
  <si>
    <t>CL000568</t>
  </si>
  <si>
    <t>CL000569</t>
  </si>
  <si>
    <t>CL000570</t>
  </si>
  <si>
    <t>CL000571</t>
  </si>
  <si>
    <t>CL000572</t>
  </si>
  <si>
    <t>CL000573</t>
  </si>
  <si>
    <t>CL000574</t>
  </si>
  <si>
    <t>CL000575</t>
  </si>
  <si>
    <t>CL000576</t>
  </si>
  <si>
    <t>CL000577</t>
  </si>
  <si>
    <t>CL000578</t>
  </si>
  <si>
    <t>CL000579</t>
  </si>
  <si>
    <t>CL000580</t>
  </si>
  <si>
    <t>CL000581</t>
  </si>
  <si>
    <t>CL000582</t>
  </si>
  <si>
    <t>CL000583</t>
  </si>
  <si>
    <t>CL000584</t>
  </si>
  <si>
    <t>CL000585</t>
  </si>
  <si>
    <t>CL000586</t>
  </si>
  <si>
    <t>CL000587</t>
  </si>
  <si>
    <t>CL000588</t>
  </si>
  <si>
    <t>CL000589</t>
  </si>
  <si>
    <t>CL000590</t>
  </si>
  <si>
    <t>CL000591</t>
  </si>
  <si>
    <t>CL000592</t>
  </si>
  <si>
    <t>CL000593</t>
  </si>
  <si>
    <t>CL000594</t>
  </si>
  <si>
    <t>CL000595</t>
  </si>
  <si>
    <t>CL000596</t>
  </si>
  <si>
    <t>CL000597</t>
  </si>
  <si>
    <t>CL000598</t>
  </si>
  <si>
    <t>CL000599</t>
  </si>
  <si>
    <t>CL000600</t>
  </si>
  <si>
    <t>CL000601</t>
  </si>
  <si>
    <t>CL000602</t>
  </si>
  <si>
    <t>CL000603</t>
  </si>
  <si>
    <t>CL000604</t>
  </si>
  <si>
    <t>CL000605</t>
  </si>
  <si>
    <t>CL000606</t>
  </si>
  <si>
    <t>CL000607</t>
  </si>
  <si>
    <t>CL000608</t>
  </si>
  <si>
    <t>CL000609</t>
  </si>
  <si>
    <t>CL000610</t>
  </si>
  <si>
    <t>CL000611</t>
  </si>
  <si>
    <t>CL000612</t>
  </si>
  <si>
    <t>CL000613</t>
  </si>
  <si>
    <t>CL000614</t>
  </si>
  <si>
    <t>CL000615</t>
  </si>
  <si>
    <t>CL000616</t>
  </si>
  <si>
    <t>CL000617</t>
  </si>
  <si>
    <t>CL000618</t>
  </si>
  <si>
    <t>CL000619</t>
  </si>
  <si>
    <t>CL000620</t>
  </si>
  <si>
    <t>CL000621</t>
  </si>
  <si>
    <t>CL000622</t>
  </si>
  <si>
    <t>CL000623</t>
  </si>
  <si>
    <t>CL000624</t>
  </si>
  <si>
    <t>CL000625</t>
  </si>
  <si>
    <t>CL000626</t>
  </si>
  <si>
    <t>CL000627</t>
  </si>
  <si>
    <t>CL000628</t>
  </si>
  <si>
    <t>CL000629</t>
  </si>
  <si>
    <t>CL000630</t>
  </si>
  <si>
    <t>CL000631</t>
  </si>
  <si>
    <t>CL000632</t>
  </si>
  <si>
    <t>CL000633</t>
  </si>
  <si>
    <t>CL000634</t>
  </si>
  <si>
    <t>CL000635</t>
  </si>
  <si>
    <t>CL000636</t>
  </si>
  <si>
    <t>CL000637</t>
  </si>
  <si>
    <t>CL000638</t>
  </si>
  <si>
    <t>CL000639</t>
  </si>
  <si>
    <t>CL000640</t>
  </si>
  <si>
    <t>CL000641</t>
  </si>
  <si>
    <t>CL000642</t>
  </si>
  <si>
    <t>CL000643</t>
  </si>
  <si>
    <t>CL000644</t>
  </si>
  <si>
    <t>CL000645</t>
  </si>
  <si>
    <t>CL000646</t>
  </si>
  <si>
    <t>CL000647</t>
  </si>
  <si>
    <t>CL000648</t>
  </si>
  <si>
    <t>CL000649</t>
  </si>
  <si>
    <t>CL000650</t>
  </si>
  <si>
    <t>CL000651</t>
  </si>
  <si>
    <t>CL000652</t>
  </si>
  <si>
    <t>CL000653</t>
  </si>
  <si>
    <t>CL000654</t>
  </si>
  <si>
    <t>CL000655</t>
  </si>
  <si>
    <t>CL000656</t>
  </si>
  <si>
    <t>CL000657</t>
  </si>
  <si>
    <t>CL000658</t>
  </si>
  <si>
    <t>CL000659</t>
  </si>
  <si>
    <t>CL000660</t>
  </si>
  <si>
    <t>CL000661</t>
  </si>
  <si>
    <t>CL000662</t>
  </si>
  <si>
    <t>CL000663</t>
  </si>
  <si>
    <t>CL000664</t>
  </si>
  <si>
    <t>CL000665</t>
  </si>
  <si>
    <t>CL000666</t>
  </si>
  <si>
    <t>CL000667</t>
  </si>
  <si>
    <t>CL000668</t>
  </si>
  <si>
    <t>CL000669</t>
  </si>
  <si>
    <t>CL000670</t>
  </si>
  <si>
    <t>CL000671</t>
  </si>
  <si>
    <t>CL000672</t>
  </si>
  <si>
    <t>CL000673</t>
  </si>
  <si>
    <t>CL000674</t>
  </si>
  <si>
    <t>CL000675</t>
  </si>
  <si>
    <t>CL000676</t>
  </si>
  <si>
    <t>CL000677</t>
  </si>
  <si>
    <t>CL000678</t>
  </si>
  <si>
    <t>CL000679</t>
  </si>
  <si>
    <t>CL000680</t>
  </si>
  <si>
    <t>CL000681</t>
  </si>
  <si>
    <t>CL000682</t>
  </si>
  <si>
    <t>CL000683</t>
  </si>
  <si>
    <t>CL000684</t>
  </si>
  <si>
    <t>CL000685</t>
  </si>
  <si>
    <t>CL000686</t>
  </si>
  <si>
    <t>CL000687</t>
  </si>
  <si>
    <t>CL000688</t>
  </si>
  <si>
    <t>CL000689</t>
  </si>
  <si>
    <t>CL000690</t>
  </si>
  <si>
    <t>CL000691</t>
  </si>
  <si>
    <t>CL000692</t>
  </si>
  <si>
    <t>CL000693</t>
  </si>
  <si>
    <t>CL000694</t>
  </si>
  <si>
    <t>CL000695</t>
  </si>
  <si>
    <t>CL000696</t>
  </si>
  <si>
    <t>CL000697</t>
  </si>
  <si>
    <t>CL000698</t>
  </si>
  <si>
    <t>CL000699</t>
  </si>
  <si>
    <t>CL000700</t>
  </si>
  <si>
    <t>CL000701</t>
  </si>
  <si>
    <t>CL000702</t>
  </si>
  <si>
    <t>CL000703</t>
  </si>
  <si>
    <t>CL000704</t>
  </si>
  <si>
    <t>CL000705</t>
  </si>
  <si>
    <t>CL000706</t>
  </si>
  <si>
    <t>CL000707</t>
  </si>
  <si>
    <t>CL000708</t>
  </si>
  <si>
    <t>CL000709</t>
  </si>
  <si>
    <t>CL000710</t>
  </si>
  <si>
    <t>CL000711</t>
  </si>
  <si>
    <t>CL000712</t>
  </si>
  <si>
    <t>CL000713</t>
  </si>
  <si>
    <t>CL000714</t>
  </si>
  <si>
    <t>CL000715</t>
  </si>
  <si>
    <t>CL000716</t>
  </si>
  <si>
    <t>CL000717</t>
  </si>
  <si>
    <t>CL000718</t>
  </si>
  <si>
    <t>CL000719</t>
  </si>
  <si>
    <t>CL000720</t>
  </si>
  <si>
    <t>CL000721</t>
  </si>
  <si>
    <t>CL000722</t>
  </si>
  <si>
    <t>CL000723</t>
  </si>
  <si>
    <t>CL000724</t>
  </si>
  <si>
    <t>CL000725</t>
  </si>
  <si>
    <t>CL000726</t>
  </si>
  <si>
    <t>CL000727</t>
  </si>
  <si>
    <t>CL000728</t>
  </si>
  <si>
    <t>CL000729</t>
  </si>
  <si>
    <t>CL000730</t>
  </si>
  <si>
    <t>CL000731</t>
  </si>
  <si>
    <t>CL000732</t>
  </si>
  <si>
    <t>CL000733</t>
  </si>
  <si>
    <t>CL000734</t>
  </si>
  <si>
    <t>CL000735</t>
  </si>
  <si>
    <t>CL000736</t>
  </si>
  <si>
    <t>CL000737</t>
  </si>
  <si>
    <t>CL000738</t>
  </si>
  <si>
    <t>CL000739</t>
  </si>
  <si>
    <t>CL000740</t>
  </si>
  <si>
    <t>CL000741</t>
  </si>
  <si>
    <t>CL000742</t>
  </si>
  <si>
    <t>CL000743</t>
  </si>
  <si>
    <t>CL000744</t>
  </si>
  <si>
    <t>CL000745</t>
  </si>
  <si>
    <t>CL000746</t>
  </si>
  <si>
    <t>CL000747</t>
  </si>
  <si>
    <t>CL000748</t>
  </si>
  <si>
    <t>CL000749</t>
  </si>
  <si>
    <t>CL000750</t>
  </si>
  <si>
    <t>CL000751</t>
  </si>
  <si>
    <t>CL000752</t>
  </si>
  <si>
    <t>CL000753</t>
  </si>
  <si>
    <t>CL000754</t>
  </si>
  <si>
    <t>CL000755</t>
  </si>
  <si>
    <t>CL000756</t>
  </si>
  <si>
    <t>CL000757</t>
  </si>
  <si>
    <t>CL000758</t>
  </si>
  <si>
    <t>CL000759</t>
  </si>
  <si>
    <t>CL000760</t>
  </si>
  <si>
    <t>CL000761</t>
  </si>
  <si>
    <t>CL000762</t>
  </si>
  <si>
    <t>CL000763</t>
  </si>
  <si>
    <t>CL000764</t>
  </si>
  <si>
    <t>CL000765</t>
  </si>
  <si>
    <t>CL000766</t>
  </si>
  <si>
    <t>CL000767</t>
  </si>
  <si>
    <t>CL000768</t>
  </si>
  <si>
    <t>CL000769</t>
  </si>
  <si>
    <t>CL000770</t>
  </si>
  <si>
    <t>CL000771</t>
  </si>
  <si>
    <t>CL000772</t>
  </si>
  <si>
    <t>CL000773</t>
  </si>
  <si>
    <t>CL000774</t>
  </si>
  <si>
    <t>CL000775</t>
  </si>
  <si>
    <t>CL000776</t>
  </si>
  <si>
    <t>CL000777</t>
  </si>
  <si>
    <t>CL000778</t>
  </si>
  <si>
    <t>CL000779</t>
  </si>
  <si>
    <t>CL000780</t>
  </si>
  <si>
    <t>CL000781</t>
  </si>
  <si>
    <t>CL000782</t>
  </si>
  <si>
    <t>CL000783</t>
  </si>
  <si>
    <t>CL000784</t>
  </si>
  <si>
    <t>CL000785</t>
  </si>
  <si>
    <t>CL000786</t>
  </si>
  <si>
    <t>CL000787</t>
  </si>
  <si>
    <t>CL000788</t>
  </si>
  <si>
    <t>CL000789</t>
  </si>
  <si>
    <t>CL000790</t>
  </si>
  <si>
    <t>CL000791</t>
  </si>
  <si>
    <t>CL000792</t>
  </si>
  <si>
    <t>CL000793</t>
  </si>
  <si>
    <t>CL000794</t>
  </si>
  <si>
    <t>CL000795</t>
  </si>
  <si>
    <t>CL000796</t>
  </si>
  <si>
    <t>CL000797</t>
  </si>
  <si>
    <t>CL000798</t>
  </si>
  <si>
    <t>CL000799</t>
  </si>
  <si>
    <t>CL000800</t>
  </si>
  <si>
    <t>CL000801</t>
  </si>
  <si>
    <t>CL000802</t>
  </si>
  <si>
    <t>CL000803</t>
  </si>
  <si>
    <t>CL000804</t>
  </si>
  <si>
    <t>CL000805</t>
  </si>
  <si>
    <t>CL000806</t>
  </si>
  <si>
    <t>CL000807</t>
  </si>
  <si>
    <t>CL000808</t>
  </si>
  <si>
    <t>CL000809</t>
  </si>
  <si>
    <t>CL000810</t>
  </si>
  <si>
    <t>CL000811</t>
  </si>
  <si>
    <t>CL000812</t>
  </si>
  <si>
    <t>CL000813</t>
  </si>
  <si>
    <t>CL000814</t>
  </si>
  <si>
    <t>CL000815</t>
  </si>
  <si>
    <t>CL000816</t>
  </si>
  <si>
    <t>CL000817</t>
  </si>
  <si>
    <t>CL000818</t>
  </si>
  <si>
    <t>CL000819</t>
  </si>
  <si>
    <t>CL000820</t>
  </si>
  <si>
    <t>CL000821</t>
  </si>
  <si>
    <t>CL000822</t>
  </si>
  <si>
    <t>CL000823</t>
  </si>
  <si>
    <t>CL000824</t>
  </si>
  <si>
    <t>CL000825</t>
  </si>
  <si>
    <t>CL000826</t>
  </si>
  <si>
    <t>CL000827</t>
  </si>
  <si>
    <t>CL000828</t>
  </si>
  <si>
    <t>CL000829</t>
  </si>
  <si>
    <t>CL000830</t>
  </si>
  <si>
    <t>CL000831</t>
  </si>
  <si>
    <t>CL000832</t>
  </si>
  <si>
    <t>CL000833</t>
  </si>
  <si>
    <t>CL000834</t>
  </si>
  <si>
    <t>CL000835</t>
  </si>
  <si>
    <t>CL000836</t>
  </si>
  <si>
    <t>CL000837</t>
  </si>
  <si>
    <t>CL000838</t>
  </si>
  <si>
    <t>CL000839</t>
  </si>
  <si>
    <t>CL000840</t>
  </si>
  <si>
    <t>CL000841</t>
  </si>
  <si>
    <t>CL000842</t>
  </si>
  <si>
    <t>CL000843</t>
  </si>
  <si>
    <t>CL000844</t>
  </si>
  <si>
    <t>CL000845</t>
  </si>
  <si>
    <t>CL000846</t>
  </si>
  <si>
    <t>CL000847</t>
  </si>
  <si>
    <t>CL000848</t>
  </si>
  <si>
    <t>CL000849</t>
  </si>
  <si>
    <t>CL000850</t>
  </si>
  <si>
    <t>CL000851</t>
  </si>
  <si>
    <t>CL000852</t>
  </si>
  <si>
    <t>CL000853</t>
  </si>
  <si>
    <t>CL000854</t>
  </si>
  <si>
    <t>CL000855</t>
  </si>
  <si>
    <t>CL000856</t>
  </si>
  <si>
    <t>CL000857</t>
  </si>
  <si>
    <t>CL000858</t>
  </si>
  <si>
    <t>CL000859</t>
  </si>
  <si>
    <t>CL000860</t>
  </si>
  <si>
    <t>CL000861</t>
  </si>
  <si>
    <t>CL000862</t>
  </si>
  <si>
    <t>CL000863</t>
  </si>
  <si>
    <t>CL000864</t>
  </si>
  <si>
    <t>CL000865</t>
  </si>
  <si>
    <t>CL000866</t>
  </si>
  <si>
    <t>CL000867</t>
  </si>
  <si>
    <t>CL000868</t>
  </si>
  <si>
    <t>CL000869</t>
  </si>
  <si>
    <t>CL000870</t>
  </si>
  <si>
    <t>CL000871</t>
  </si>
  <si>
    <t>CL000872</t>
  </si>
  <si>
    <t>CL000873</t>
  </si>
  <si>
    <t>CL000874</t>
  </si>
  <si>
    <t>CL000875</t>
  </si>
  <si>
    <t>CL000876</t>
  </si>
  <si>
    <t>CL000877</t>
  </si>
  <si>
    <t>CL000878</t>
  </si>
  <si>
    <t>CL000879</t>
  </si>
  <si>
    <t>CL000880</t>
  </si>
  <si>
    <t>CL000881</t>
  </si>
  <si>
    <t>CL000882</t>
  </si>
  <si>
    <t>CL000883</t>
  </si>
  <si>
    <t>CL000884</t>
  </si>
  <si>
    <t>CL000885</t>
  </si>
  <si>
    <t>CL000886</t>
  </si>
  <si>
    <t>CL000887</t>
  </si>
  <si>
    <t>CL000888</t>
  </si>
  <si>
    <t>CL000889</t>
  </si>
  <si>
    <t>CL000890</t>
  </si>
  <si>
    <t>CL000891</t>
  </si>
  <si>
    <t>CL000892</t>
  </si>
  <si>
    <t>CL000893</t>
  </si>
  <si>
    <t>CL000894</t>
  </si>
  <si>
    <t>CL000895</t>
  </si>
  <si>
    <t>CL000896</t>
  </si>
  <si>
    <t>CL000897</t>
  </si>
  <si>
    <t>CL000898</t>
  </si>
  <si>
    <t>CL000899</t>
  </si>
  <si>
    <t>CL000900</t>
  </si>
  <si>
    <t>CL000901</t>
  </si>
  <si>
    <t>CL000902</t>
  </si>
  <si>
    <t>CL000903</t>
  </si>
  <si>
    <t>CL000904</t>
  </si>
  <si>
    <t>CL000905</t>
  </si>
  <si>
    <t>CL000906</t>
  </si>
  <si>
    <t>CL000907</t>
  </si>
  <si>
    <t>CL000908</t>
  </si>
  <si>
    <t>CL000909</t>
  </si>
  <si>
    <t>CL000910</t>
  </si>
  <si>
    <t>CL000911</t>
  </si>
  <si>
    <t>CL000912</t>
  </si>
  <si>
    <t>CL000913</t>
  </si>
  <si>
    <t>CL000914</t>
  </si>
  <si>
    <t>CL000915</t>
  </si>
  <si>
    <t>CL000916</t>
  </si>
  <si>
    <t>CL000917</t>
  </si>
  <si>
    <t>CL000918</t>
  </si>
  <si>
    <t>CL000919</t>
  </si>
  <si>
    <t>CL000920</t>
  </si>
  <si>
    <t>CL000921</t>
  </si>
  <si>
    <t>CL000922</t>
  </si>
  <si>
    <t>CL000923</t>
  </si>
  <si>
    <t>CL000924</t>
  </si>
  <si>
    <t>CL000925</t>
  </si>
  <si>
    <t>CL000926</t>
  </si>
  <si>
    <t>CL000927</t>
  </si>
  <si>
    <t>CL000928</t>
  </si>
  <si>
    <t>CL000929</t>
  </si>
  <si>
    <t>CL000930</t>
  </si>
  <si>
    <t>CL000931</t>
  </si>
  <si>
    <t>CL000932</t>
  </si>
  <si>
    <t>CL000933</t>
  </si>
  <si>
    <t>CL000934</t>
  </si>
  <si>
    <t>CL000935</t>
  </si>
  <si>
    <t>CL000936</t>
  </si>
  <si>
    <t>CL000937</t>
  </si>
  <si>
    <t>CL000938</t>
  </si>
  <si>
    <t>CL000939</t>
  </si>
  <si>
    <t>CL000940</t>
  </si>
  <si>
    <t>CL000941</t>
  </si>
  <si>
    <t>CL000942</t>
  </si>
  <si>
    <t>CL000943</t>
  </si>
  <si>
    <t>CL000944</t>
  </si>
  <si>
    <t>CL000945</t>
  </si>
  <si>
    <t>CL000946</t>
  </si>
  <si>
    <t>CL000947</t>
  </si>
  <si>
    <t>CL000948</t>
  </si>
  <si>
    <t>CL000949</t>
  </si>
  <si>
    <t>CL000950</t>
  </si>
  <si>
    <t>CL000951</t>
  </si>
  <si>
    <t>CL000952</t>
  </si>
  <si>
    <t>CL000953</t>
  </si>
  <si>
    <t>CL000954</t>
  </si>
  <si>
    <t>CL000955</t>
  </si>
  <si>
    <t>CL000956</t>
  </si>
  <si>
    <t>CL000957</t>
  </si>
  <si>
    <t>CL000958</t>
  </si>
  <si>
    <t>CL000959</t>
  </si>
  <si>
    <t>CL000960</t>
  </si>
  <si>
    <t>CL000961</t>
  </si>
  <si>
    <t>CL000962</t>
  </si>
  <si>
    <t>CL000963</t>
  </si>
  <si>
    <t>CL000964</t>
  </si>
  <si>
    <t>CL000965</t>
  </si>
  <si>
    <t>CL000966</t>
  </si>
  <si>
    <t>CL000967</t>
  </si>
  <si>
    <t>CL000968</t>
  </si>
  <si>
    <t>CL000969</t>
  </si>
  <si>
    <t>CL000970</t>
  </si>
  <si>
    <t>CL000971</t>
  </si>
  <si>
    <t>CL000972</t>
  </si>
  <si>
    <t>CL000973</t>
  </si>
  <si>
    <t>CL000974</t>
  </si>
  <si>
    <t>CL000975</t>
  </si>
  <si>
    <t>CL000976</t>
  </si>
  <si>
    <t>CL000977</t>
  </si>
  <si>
    <t>CL000978</t>
  </si>
  <si>
    <t>CL000979</t>
  </si>
  <si>
    <t>CL000980</t>
  </si>
  <si>
    <t>CL000981</t>
  </si>
  <si>
    <t>CL000982</t>
  </si>
  <si>
    <t>CL000983</t>
  </si>
  <si>
    <t>CL000984</t>
  </si>
  <si>
    <t>CL000985</t>
  </si>
  <si>
    <t>CL000986</t>
  </si>
  <si>
    <t>CL000987</t>
  </si>
  <si>
    <t>CL000988</t>
  </si>
  <si>
    <t>CL000989</t>
  </si>
  <si>
    <t>CL000990</t>
  </si>
  <si>
    <t>CL000991</t>
  </si>
  <si>
    <t>CL000992</t>
  </si>
  <si>
    <t>CL000993</t>
  </si>
  <si>
    <t>CL000994</t>
  </si>
  <si>
    <t>CL000995</t>
  </si>
  <si>
    <t>CL000996</t>
  </si>
  <si>
    <t>CL000997</t>
  </si>
  <si>
    <t>CL000998</t>
  </si>
  <si>
    <t>CL000999</t>
  </si>
  <si>
    <t>CL001000</t>
  </si>
  <si>
    <t>CL001001</t>
  </si>
  <si>
    <t>CL001002</t>
  </si>
  <si>
    <t>CL001003</t>
  </si>
  <si>
    <t>CL001004</t>
  </si>
  <si>
    <t>CL001005</t>
  </si>
  <si>
    <t>CL001006</t>
  </si>
  <si>
    <t>CL001007</t>
  </si>
  <si>
    <t>CL001008</t>
  </si>
  <si>
    <t>CL001009</t>
  </si>
  <si>
    <t>CL001010</t>
  </si>
  <si>
    <t>CL001011</t>
  </si>
  <si>
    <t>CL001012</t>
  </si>
  <si>
    <t>CL001013</t>
  </si>
  <si>
    <t>CL001014</t>
  </si>
  <si>
    <t>CL001015</t>
  </si>
  <si>
    <t>CL001016</t>
  </si>
  <si>
    <t>CL001017</t>
  </si>
  <si>
    <t>CL001018</t>
  </si>
  <si>
    <t>CL001019</t>
  </si>
  <si>
    <t>CL001020</t>
  </si>
  <si>
    <t>CL001021</t>
  </si>
  <si>
    <t>CL001022</t>
  </si>
  <si>
    <t>CL001023</t>
  </si>
  <si>
    <t>CL001024</t>
  </si>
  <si>
    <t>CL001025</t>
  </si>
  <si>
    <t>CL001026</t>
  </si>
  <si>
    <t>CL001027</t>
  </si>
  <si>
    <t>CL001028</t>
  </si>
  <si>
    <t>CL001029</t>
  </si>
  <si>
    <t>CL001030</t>
  </si>
  <si>
    <t>CL001031</t>
  </si>
  <si>
    <t>CL001032</t>
  </si>
  <si>
    <t>CL001033</t>
  </si>
  <si>
    <t>CL001034</t>
  </si>
  <si>
    <t>CL001035</t>
  </si>
  <si>
    <t>CL001036</t>
  </si>
  <si>
    <t>CL001037</t>
  </si>
  <si>
    <t>CL001038</t>
  </si>
  <si>
    <t>CL001039</t>
  </si>
  <si>
    <t>CL001040</t>
  </si>
  <si>
    <t>CL001041</t>
  </si>
  <si>
    <t>CL001042</t>
  </si>
  <si>
    <t>CL001043</t>
  </si>
  <si>
    <t>CL001044</t>
  </si>
  <si>
    <t>CL001045</t>
  </si>
  <si>
    <t>CL001046</t>
  </si>
  <si>
    <t>CL001047</t>
  </si>
  <si>
    <t>CL001048</t>
  </si>
  <si>
    <t>CL001049</t>
  </si>
  <si>
    <t>CL001050</t>
  </si>
  <si>
    <t>CL001051</t>
  </si>
  <si>
    <t>CL001052</t>
  </si>
  <si>
    <t>CL001053</t>
  </si>
  <si>
    <t>CL001054</t>
  </si>
  <si>
    <t>CL001055</t>
  </si>
  <si>
    <t>CL001056</t>
  </si>
  <si>
    <t>CL001057</t>
  </si>
  <si>
    <t>CL001058</t>
  </si>
  <si>
    <t>CL001059</t>
  </si>
  <si>
    <t>CL001060</t>
  </si>
  <si>
    <t>CL001061</t>
  </si>
  <si>
    <t>CL001062</t>
  </si>
  <si>
    <t>CL001063</t>
  </si>
  <si>
    <t>CL001064</t>
  </si>
  <si>
    <t>CL001065</t>
  </si>
  <si>
    <t>CL001066</t>
  </si>
  <si>
    <t>CL001067</t>
  </si>
  <si>
    <t>CL001068</t>
  </si>
  <si>
    <t>CL001069</t>
  </si>
  <si>
    <t>CL001070</t>
  </si>
  <si>
    <t>CL001071</t>
  </si>
  <si>
    <t>CL001072</t>
  </si>
  <si>
    <t>CL001073</t>
  </si>
  <si>
    <t>CL001074</t>
  </si>
  <si>
    <t>CL001075</t>
  </si>
  <si>
    <t>CL001076</t>
  </si>
  <si>
    <t>CL001077</t>
  </si>
  <si>
    <t>CL001078</t>
  </si>
  <si>
    <t>CL001079</t>
  </si>
  <si>
    <t>CL001080</t>
  </si>
  <si>
    <t>CL001081</t>
  </si>
  <si>
    <t>CL001082</t>
  </si>
  <si>
    <t>CL001083</t>
  </si>
  <si>
    <t>CL001084</t>
  </si>
  <si>
    <t>CL001085</t>
  </si>
  <si>
    <t>CL001086</t>
  </si>
  <si>
    <t>CL001087</t>
  </si>
  <si>
    <t>CL001088</t>
  </si>
  <si>
    <t>CL001089</t>
  </si>
  <si>
    <t>CL001090</t>
  </si>
  <si>
    <t>CL001091</t>
  </si>
  <si>
    <t>CL001092</t>
  </si>
  <si>
    <t>CL001093</t>
  </si>
  <si>
    <t>CL001094</t>
  </si>
  <si>
    <t>CL001095</t>
  </si>
  <si>
    <t>CL001096</t>
  </si>
  <si>
    <t>CL001097</t>
  </si>
  <si>
    <t>CL001098</t>
  </si>
  <si>
    <t>CL001099</t>
  </si>
  <si>
    <t>CL001100</t>
  </si>
  <si>
    <t>CL001101</t>
  </si>
  <si>
    <t>CL001102</t>
  </si>
  <si>
    <t>CL001103</t>
  </si>
  <si>
    <t>CL001104</t>
  </si>
  <si>
    <t>CL001105</t>
  </si>
  <si>
    <t>CL001106</t>
  </si>
  <si>
    <t>CL001107</t>
  </si>
  <si>
    <t>CL001108</t>
  </si>
  <si>
    <t>CL001109</t>
  </si>
  <si>
    <t>CL001110</t>
  </si>
  <si>
    <t>CL001111</t>
  </si>
  <si>
    <t>CL001112</t>
  </si>
  <si>
    <t>CL001113</t>
  </si>
  <si>
    <t>CL001114</t>
  </si>
  <si>
    <t>CL001115</t>
  </si>
  <si>
    <t>CL001116</t>
  </si>
  <si>
    <t>CL001117</t>
  </si>
  <si>
    <t>CL001118</t>
  </si>
  <si>
    <t>CL001119</t>
  </si>
  <si>
    <t>CL001120</t>
  </si>
  <si>
    <t>CL001121</t>
  </si>
  <si>
    <t>CL001122</t>
  </si>
  <si>
    <t>CL001123</t>
  </si>
  <si>
    <t>CL001124</t>
  </si>
  <si>
    <t>CL001125</t>
  </si>
  <si>
    <t>CL001126</t>
  </si>
  <si>
    <t>CL001127</t>
  </si>
  <si>
    <t>CL001128</t>
  </si>
  <si>
    <t>CL001129</t>
  </si>
  <si>
    <t>CL001130</t>
  </si>
  <si>
    <t>CL001131</t>
  </si>
  <si>
    <t>CL001132</t>
  </si>
  <si>
    <t>CL001133</t>
  </si>
  <si>
    <t>CL001134</t>
  </si>
  <si>
    <t>CL001135</t>
  </si>
  <si>
    <t>CL001136</t>
  </si>
  <si>
    <t>CL001137</t>
  </si>
  <si>
    <t>CL001138</t>
  </si>
  <si>
    <t>CL001139</t>
  </si>
  <si>
    <t>CL001140</t>
  </si>
  <si>
    <t>CL001141</t>
  </si>
  <si>
    <t>CL001142</t>
  </si>
  <si>
    <t>CL001143</t>
  </si>
  <si>
    <t>CL001144</t>
  </si>
  <si>
    <t>CL001145</t>
  </si>
  <si>
    <t>CL001146</t>
  </si>
  <si>
    <t>CL001147</t>
  </si>
  <si>
    <t>CL001148</t>
  </si>
  <si>
    <t>CL001149</t>
  </si>
  <si>
    <t>CL001150</t>
  </si>
  <si>
    <t>CL001151</t>
  </si>
  <si>
    <t>CL001152</t>
  </si>
  <si>
    <t>CL001153</t>
  </si>
  <si>
    <t>CL001154</t>
  </si>
  <si>
    <t>CL001155</t>
  </si>
  <si>
    <t>CL001156</t>
  </si>
  <si>
    <t>CL001157</t>
  </si>
  <si>
    <t>CL001158</t>
  </si>
  <si>
    <t>CL001159</t>
  </si>
  <si>
    <t>CL001160</t>
  </si>
  <si>
    <t>CL001161</t>
  </si>
  <si>
    <t>CL001162</t>
  </si>
  <si>
    <t>CL001163</t>
  </si>
  <si>
    <t>CL001164</t>
  </si>
  <si>
    <t>CL001165</t>
  </si>
  <si>
    <t>CL001166</t>
  </si>
  <si>
    <t>CL001167</t>
  </si>
  <si>
    <t>CL001168</t>
  </si>
  <si>
    <t>CL001169</t>
  </si>
  <si>
    <t>CL001170</t>
  </si>
  <si>
    <t>CL001171</t>
  </si>
  <si>
    <t>CL001172</t>
  </si>
  <si>
    <t>CL001173</t>
  </si>
  <si>
    <t>CL001174</t>
  </si>
  <si>
    <t>CL001175</t>
  </si>
  <si>
    <t>CL001176</t>
  </si>
  <si>
    <t>CL001177</t>
  </si>
  <si>
    <t>CL001178</t>
  </si>
  <si>
    <t>CL001179</t>
  </si>
  <si>
    <t>CL001180</t>
  </si>
  <si>
    <t>CL001181</t>
  </si>
  <si>
    <t>CL001182</t>
  </si>
  <si>
    <t>CL001183</t>
  </si>
  <si>
    <t>CL001184</t>
  </si>
  <si>
    <t>CL001185</t>
  </si>
  <si>
    <t>CL001186</t>
  </si>
  <si>
    <t>CL001187</t>
  </si>
  <si>
    <t>CL001188</t>
  </si>
  <si>
    <t>CL001189</t>
  </si>
  <si>
    <t>CL001190</t>
  </si>
  <si>
    <t>CL001191</t>
  </si>
  <si>
    <t>CL001192</t>
  </si>
  <si>
    <t>CL001193</t>
  </si>
  <si>
    <t>CL001194</t>
  </si>
  <si>
    <t>CL001195</t>
  </si>
  <si>
    <t>CL001196</t>
  </si>
  <si>
    <t>CL001197</t>
  </si>
  <si>
    <t>CL001198</t>
  </si>
  <si>
    <t>CL001199</t>
  </si>
  <si>
    <t>CL001200</t>
  </si>
  <si>
    <t>CL001201</t>
  </si>
  <si>
    <t>CL001202</t>
  </si>
  <si>
    <t>CL001203</t>
  </si>
  <si>
    <t>CL001204</t>
  </si>
  <si>
    <t>CL001205</t>
  </si>
  <si>
    <t>CL001206</t>
  </si>
  <si>
    <t>CL001207</t>
  </si>
  <si>
    <t>CL001208</t>
  </si>
  <si>
    <t>CL001209</t>
  </si>
  <si>
    <t>CL001210</t>
  </si>
  <si>
    <t>CL001211</t>
  </si>
  <si>
    <t>CL001212</t>
  </si>
  <si>
    <t>CL001213</t>
  </si>
  <si>
    <t>CL001214</t>
  </si>
  <si>
    <t>CL001215</t>
  </si>
  <si>
    <t>CL001216</t>
  </si>
  <si>
    <t>CL001217</t>
  </si>
  <si>
    <t>CL001218</t>
  </si>
  <si>
    <t>CL001219</t>
  </si>
  <si>
    <t>CL001220</t>
  </si>
  <si>
    <t>CL001221</t>
  </si>
  <si>
    <t>CL001222</t>
  </si>
  <si>
    <t>CL001223</t>
  </si>
  <si>
    <t>CL001224</t>
  </si>
  <si>
    <t>CL001225</t>
  </si>
  <si>
    <t>CL001226</t>
  </si>
  <si>
    <t>CL001227</t>
  </si>
  <si>
    <t>CL001228</t>
  </si>
  <si>
    <t>CL001229</t>
  </si>
  <si>
    <t>CL001230</t>
  </si>
  <si>
    <t>CL001231</t>
  </si>
  <si>
    <t>CL001232</t>
  </si>
  <si>
    <t>CL001233</t>
  </si>
  <si>
    <t>CL001234</t>
  </si>
  <si>
    <t>CL001235</t>
  </si>
  <si>
    <t>CL001236</t>
  </si>
  <si>
    <t>CL001237</t>
  </si>
  <si>
    <t>CL001238</t>
  </si>
  <si>
    <t>CL001239</t>
  </si>
  <si>
    <t>CL001240</t>
  </si>
  <si>
    <t>CL001241</t>
  </si>
  <si>
    <t>CL001242</t>
  </si>
  <si>
    <t>CL001243</t>
  </si>
  <si>
    <t>CL001244</t>
  </si>
  <si>
    <t>CL001245</t>
  </si>
  <si>
    <t>CL001246</t>
  </si>
  <si>
    <t>CL001247</t>
  </si>
  <si>
    <t>CL001248</t>
  </si>
  <si>
    <t>CL001249</t>
  </si>
  <si>
    <t>CL001250</t>
  </si>
  <si>
    <t>CL001251</t>
  </si>
  <si>
    <t>CL001252</t>
  </si>
  <si>
    <t>CL001253</t>
  </si>
  <si>
    <t>CL001254</t>
  </si>
  <si>
    <t>CL001255</t>
  </si>
  <si>
    <t>CL001256</t>
  </si>
  <si>
    <t>CL001257</t>
  </si>
  <si>
    <t>CL001258</t>
  </si>
  <si>
    <t>CL001259</t>
  </si>
  <si>
    <t>CL001260</t>
  </si>
  <si>
    <t>CL001261</t>
  </si>
  <si>
    <t>CL001262</t>
  </si>
  <si>
    <t>CL001263</t>
  </si>
  <si>
    <t>CL001264</t>
  </si>
  <si>
    <t>CL001265</t>
  </si>
  <si>
    <t>CL001266</t>
  </si>
  <si>
    <t>CL001267</t>
  </si>
  <si>
    <t>CL001268</t>
  </si>
  <si>
    <t>CL001269</t>
  </si>
  <si>
    <t>CL001270</t>
  </si>
  <si>
    <t>CL001271</t>
  </si>
  <si>
    <t>CL001272</t>
  </si>
  <si>
    <t>CL001273</t>
  </si>
  <si>
    <t>CL001274</t>
  </si>
  <si>
    <t>CL001275</t>
  </si>
  <si>
    <t>CL001276</t>
  </si>
  <si>
    <t>CL001277</t>
  </si>
  <si>
    <t>CL001278</t>
  </si>
  <si>
    <t>CL001279</t>
  </si>
  <si>
    <t>CL001280</t>
  </si>
  <si>
    <t>CL001281</t>
  </si>
  <si>
    <t>CL001282</t>
  </si>
  <si>
    <t>CL001283</t>
  </si>
  <si>
    <t>CL001284</t>
  </si>
  <si>
    <t>CL001285</t>
  </si>
  <si>
    <t>CL001286</t>
  </si>
  <si>
    <t>CL001287</t>
  </si>
  <si>
    <t>CL001288</t>
  </si>
  <si>
    <t>CL001289</t>
  </si>
  <si>
    <t>CL001290</t>
  </si>
  <si>
    <t>CL001291</t>
  </si>
  <si>
    <t>CL001292</t>
  </si>
  <si>
    <t>CL001293</t>
  </si>
  <si>
    <t>CL001294</t>
  </si>
  <si>
    <t>CL001295</t>
  </si>
  <si>
    <t>CL001296</t>
  </si>
  <si>
    <t>CL001297</t>
  </si>
  <si>
    <t>CL001298</t>
  </si>
  <si>
    <t>CL001299</t>
  </si>
  <si>
    <t>CL001300</t>
  </si>
  <si>
    <t>CL001301</t>
  </si>
  <si>
    <t>CL001302</t>
  </si>
  <si>
    <t>CL001303</t>
  </si>
  <si>
    <t>CL001304</t>
  </si>
  <si>
    <t>CL001305</t>
  </si>
  <si>
    <t>CL001306</t>
  </si>
  <si>
    <t>CL001307</t>
  </si>
  <si>
    <t>CL001308</t>
  </si>
  <si>
    <t>CL001309</t>
  </si>
  <si>
    <t>CL001310</t>
  </si>
  <si>
    <t>CL001311</t>
  </si>
  <si>
    <t>CL001312</t>
  </si>
  <si>
    <t>CL001313</t>
  </si>
  <si>
    <t>CL001314</t>
  </si>
  <si>
    <t>CL001315</t>
  </si>
  <si>
    <t>CL001316</t>
  </si>
  <si>
    <t>CL001317</t>
  </si>
  <si>
    <t>CL001318</t>
  </si>
  <si>
    <t>CL001319</t>
  </si>
  <si>
    <t>CL001320</t>
  </si>
  <si>
    <t>CL001321</t>
  </si>
  <si>
    <t>CL001322</t>
  </si>
  <si>
    <t>CL001323</t>
  </si>
  <si>
    <t>CL001324</t>
  </si>
  <si>
    <t>CL001325</t>
  </si>
  <si>
    <t>CL001326</t>
  </si>
  <si>
    <t>CL001327</t>
  </si>
  <si>
    <t>CL001328</t>
  </si>
  <si>
    <t>CL001329</t>
  </si>
  <si>
    <t>CL001330</t>
  </si>
  <si>
    <t>CL001331</t>
  </si>
  <si>
    <t>CL001332</t>
  </si>
  <si>
    <t>CL001333</t>
  </si>
  <si>
    <t>CL001334</t>
  </si>
  <si>
    <t>CL001335</t>
  </si>
  <si>
    <t>CL001336</t>
  </si>
  <si>
    <t>CL001337</t>
  </si>
  <si>
    <t>CL001338</t>
  </si>
  <si>
    <t>CL001339</t>
  </si>
  <si>
    <t>CL001340</t>
  </si>
  <si>
    <t>CL001341</t>
  </si>
  <si>
    <t>CL001342</t>
  </si>
  <si>
    <t>CL001343</t>
  </si>
  <si>
    <t>CL001344</t>
  </si>
  <si>
    <t>CL001345</t>
  </si>
  <si>
    <t>CL001346</t>
  </si>
  <si>
    <t>CL001347</t>
  </si>
  <si>
    <t>CL001348</t>
  </si>
  <si>
    <t>CL001349</t>
  </si>
  <si>
    <t>CL001350</t>
  </si>
  <si>
    <t>CL001351</t>
  </si>
  <si>
    <t>CL001352</t>
  </si>
  <si>
    <t>CL001353</t>
  </si>
  <si>
    <t>CL001354</t>
  </si>
  <si>
    <t>CL001355</t>
  </si>
  <si>
    <t>CL001356</t>
  </si>
  <si>
    <t>CL001357</t>
  </si>
  <si>
    <t>CL001358</t>
  </si>
  <si>
    <t>CL001359</t>
  </si>
  <si>
    <t>CL001360</t>
  </si>
  <si>
    <t>CL001361</t>
  </si>
  <si>
    <t>CL001362</t>
  </si>
  <si>
    <t>CL001363</t>
  </si>
  <si>
    <t>CL001364</t>
  </si>
  <si>
    <t>CL001365</t>
  </si>
  <si>
    <t>CL001366</t>
  </si>
  <si>
    <t>CL001367</t>
  </si>
  <si>
    <t>CL001368</t>
  </si>
  <si>
    <t>CL001369</t>
  </si>
  <si>
    <t>CL001370</t>
  </si>
  <si>
    <t>CL001371</t>
  </si>
  <si>
    <t>CL001372</t>
  </si>
  <si>
    <t>CL001373</t>
  </si>
  <si>
    <t>CL001374</t>
  </si>
  <si>
    <t>CL001375</t>
  </si>
  <si>
    <t>CL001376</t>
  </si>
  <si>
    <t>CL001377</t>
  </si>
  <si>
    <t>CL001378</t>
  </si>
  <si>
    <t>CL001379</t>
  </si>
  <si>
    <t>CL001380</t>
  </si>
  <si>
    <t>CL001381</t>
  </si>
  <si>
    <t>CL001382</t>
  </si>
  <si>
    <t>CL001383</t>
  </si>
  <si>
    <t>CL001384</t>
  </si>
  <si>
    <t>CL001385</t>
  </si>
  <si>
    <t>CL001386</t>
  </si>
  <si>
    <t>CL001387</t>
  </si>
  <si>
    <t>CL001388</t>
  </si>
  <si>
    <t>CL001389</t>
  </si>
  <si>
    <t>CL001390</t>
  </si>
  <si>
    <t>CL001391</t>
  </si>
  <si>
    <t>CL001392</t>
  </si>
  <si>
    <t>CL001393</t>
  </si>
  <si>
    <t>CL001394</t>
  </si>
  <si>
    <t>CL001395</t>
  </si>
  <si>
    <t>CL001396</t>
  </si>
  <si>
    <t>CL001397</t>
  </si>
  <si>
    <t>CL001398</t>
  </si>
  <si>
    <t>CL001399</t>
  </si>
  <si>
    <t>CL001400</t>
  </si>
  <si>
    <t>CL001401</t>
  </si>
  <si>
    <t>CL001402</t>
  </si>
  <si>
    <t>CL001403</t>
  </si>
  <si>
    <t>CL001404</t>
  </si>
  <si>
    <t>CL001405</t>
  </si>
  <si>
    <t>CL001406</t>
  </si>
  <si>
    <t>CL001407</t>
  </si>
  <si>
    <t>CL001408</t>
  </si>
  <si>
    <t>CL001409</t>
  </si>
  <si>
    <t>CL001410</t>
  </si>
  <si>
    <t>CL001411</t>
  </si>
  <si>
    <t>CL001412</t>
  </si>
  <si>
    <t>CL001413</t>
  </si>
  <si>
    <t>CL001414</t>
  </si>
  <si>
    <t>CL001415</t>
  </si>
  <si>
    <t>CL001416</t>
  </si>
  <si>
    <t>CL001417</t>
  </si>
  <si>
    <t>CL001418</t>
  </si>
  <si>
    <t>CL001419</t>
  </si>
  <si>
    <t>CL001420</t>
  </si>
  <si>
    <t>CL001421</t>
  </si>
  <si>
    <t>CL001422</t>
  </si>
  <si>
    <t>CL001423</t>
  </si>
  <si>
    <t>CL001424</t>
  </si>
  <si>
    <t>CL001425</t>
  </si>
  <si>
    <t>CL001426</t>
  </si>
  <si>
    <t>CL001427</t>
  </si>
  <si>
    <t>CL001428</t>
  </si>
  <si>
    <t>CL001429</t>
  </si>
  <si>
    <t>CL001430</t>
  </si>
  <si>
    <t>CL001431</t>
  </si>
  <si>
    <t>CL001432</t>
  </si>
  <si>
    <t>CL001433</t>
  </si>
  <si>
    <t>CL001434</t>
  </si>
  <si>
    <t>CL001435</t>
  </si>
  <si>
    <t>CL001436</t>
  </si>
  <si>
    <t>CL001437</t>
  </si>
  <si>
    <t>CL001438</t>
  </si>
  <si>
    <t>CL001439</t>
  </si>
  <si>
    <t>CL001440</t>
  </si>
  <si>
    <t>CL001441</t>
  </si>
  <si>
    <t>CL001442</t>
  </si>
  <si>
    <t>CL001443</t>
  </si>
  <si>
    <t>CL001444</t>
  </si>
  <si>
    <t>CL001445</t>
  </si>
  <si>
    <t>CL001446</t>
  </si>
  <si>
    <t>CL001447</t>
  </si>
  <si>
    <t>CL001448</t>
  </si>
  <si>
    <t>CL001449</t>
  </si>
  <si>
    <t>CL001450</t>
  </si>
  <si>
    <t>CL001451</t>
  </si>
  <si>
    <t>CL001452</t>
  </si>
  <si>
    <t>CL001453</t>
  </si>
  <si>
    <t>CL001454</t>
  </si>
  <si>
    <t>CL001455</t>
  </si>
  <si>
    <t>CL001456</t>
  </si>
  <si>
    <t>CL001457</t>
  </si>
  <si>
    <t>CL001458</t>
  </si>
  <si>
    <t>CL001459</t>
  </si>
  <si>
    <t>CL001460</t>
  </si>
  <si>
    <t>CL001461</t>
  </si>
  <si>
    <t>CL001462</t>
  </si>
  <si>
    <t>CL001463</t>
  </si>
  <si>
    <t>CL001464</t>
  </si>
  <si>
    <t>CL001465</t>
  </si>
  <si>
    <t>CL001466</t>
  </si>
  <si>
    <t>CL001467</t>
  </si>
  <si>
    <t>CL001468</t>
  </si>
  <si>
    <t>CL001469</t>
  </si>
  <si>
    <t>CL001470</t>
  </si>
  <si>
    <t>CL001471</t>
  </si>
  <si>
    <t>CL001472</t>
  </si>
  <si>
    <t>CL001473</t>
  </si>
  <si>
    <t>CL001474</t>
  </si>
  <si>
    <t>CL001475</t>
  </si>
  <si>
    <t>CL001476</t>
  </si>
  <si>
    <t>CL001477</t>
  </si>
  <si>
    <t>CL001478</t>
  </si>
  <si>
    <t>CL001479</t>
  </si>
  <si>
    <t>CL001480</t>
  </si>
  <si>
    <t>CL001481</t>
  </si>
  <si>
    <t>CL001482</t>
  </si>
  <si>
    <t>CL001483</t>
  </si>
  <si>
    <t>CL001484</t>
  </si>
  <si>
    <t>CL001485</t>
  </si>
  <si>
    <t>CL001486</t>
  </si>
  <si>
    <t>CL001487</t>
  </si>
  <si>
    <t>CL001488</t>
  </si>
  <si>
    <t>CL001489</t>
  </si>
  <si>
    <t>CL001490</t>
  </si>
  <si>
    <t>CL001491</t>
  </si>
  <si>
    <t>CL001492</t>
  </si>
  <si>
    <t>CL001493</t>
  </si>
  <si>
    <t>CL001494</t>
  </si>
  <si>
    <t>CL001495</t>
  </si>
  <si>
    <t>CL001496</t>
  </si>
  <si>
    <t>CL001497</t>
  </si>
  <si>
    <t>CL001498</t>
  </si>
  <si>
    <t>CL001499</t>
  </si>
  <si>
    <t>CL001500</t>
  </si>
  <si>
    <t>CL001501</t>
  </si>
  <si>
    <t>CL001502</t>
  </si>
  <si>
    <t>CL001503</t>
  </si>
  <si>
    <t>CL001504</t>
  </si>
  <si>
    <t>CL001505</t>
  </si>
  <si>
    <t>CL001506</t>
  </si>
  <si>
    <t>CL001507</t>
  </si>
  <si>
    <t>CL001508</t>
  </si>
  <si>
    <t>CL001509</t>
  </si>
  <si>
    <t>CL001510</t>
  </si>
  <si>
    <t>CL001511</t>
  </si>
  <si>
    <t>CL001512</t>
  </si>
  <si>
    <t>CL001513</t>
  </si>
  <si>
    <t>CL001514</t>
  </si>
  <si>
    <t>CL001515</t>
  </si>
  <si>
    <t>CL001516</t>
  </si>
  <si>
    <t>CL001517</t>
  </si>
  <si>
    <t>CL001518</t>
  </si>
  <si>
    <t>CL001519</t>
  </si>
  <si>
    <t>CL001520</t>
  </si>
  <si>
    <t>CL001521</t>
  </si>
  <si>
    <t>CL001522</t>
  </si>
  <si>
    <t>CL001523</t>
  </si>
  <si>
    <t>CL001524</t>
  </si>
  <si>
    <t>CL001525</t>
  </si>
  <si>
    <t>CL001526</t>
  </si>
  <si>
    <t>CL001527</t>
  </si>
  <si>
    <t>CL001528</t>
  </si>
  <si>
    <t>CL001529</t>
  </si>
  <si>
    <t>CL001530</t>
  </si>
  <si>
    <t>CL001531</t>
  </si>
  <si>
    <t>CL001532</t>
  </si>
  <si>
    <t>CL001533</t>
  </si>
  <si>
    <t>CL001534</t>
  </si>
  <si>
    <t>CL001535</t>
  </si>
  <si>
    <t>CL001536</t>
  </si>
  <si>
    <t>CL001537</t>
  </si>
  <si>
    <t>CL001538</t>
  </si>
  <si>
    <t>CL001539</t>
  </si>
  <si>
    <t>CL001540</t>
  </si>
  <si>
    <t>CL001541</t>
  </si>
  <si>
    <t>CL001542</t>
  </si>
  <si>
    <t>CL001543</t>
  </si>
  <si>
    <t>CL001544</t>
  </si>
  <si>
    <t>CL001545</t>
  </si>
  <si>
    <t>CL001546</t>
  </si>
  <si>
    <t>CL001547</t>
  </si>
  <si>
    <t>CL001548</t>
  </si>
  <si>
    <t>CL001549</t>
  </si>
  <si>
    <t>CL001550</t>
  </si>
  <si>
    <t>CL001551</t>
  </si>
  <si>
    <t>CL001552</t>
  </si>
  <si>
    <t>CL001553</t>
  </si>
  <si>
    <t>CL001554</t>
  </si>
  <si>
    <t>CL001555</t>
  </si>
  <si>
    <t>CL001556</t>
  </si>
  <si>
    <t>CL001557</t>
  </si>
  <si>
    <t>CL001558</t>
  </si>
  <si>
    <t>CL001559</t>
  </si>
  <si>
    <t>CL001560</t>
  </si>
  <si>
    <t>CL001561</t>
  </si>
  <si>
    <t>CL001562</t>
  </si>
  <si>
    <t>CL001563</t>
  </si>
  <si>
    <t>CL001564</t>
  </si>
  <si>
    <t>CL001565</t>
  </si>
  <si>
    <t>CL001566</t>
  </si>
  <si>
    <t>CL001567</t>
  </si>
  <si>
    <t>CL001568</t>
  </si>
  <si>
    <t>CL001569</t>
  </si>
  <si>
    <t>CL001570</t>
  </si>
  <si>
    <t>CL001571</t>
  </si>
  <si>
    <t>CL001572</t>
  </si>
  <si>
    <t>CL001573</t>
  </si>
  <si>
    <t>CL001574</t>
  </si>
  <si>
    <t>CL001575</t>
  </si>
  <si>
    <t>CL001576</t>
  </si>
  <si>
    <t>CL001577</t>
  </si>
  <si>
    <t>CL001578</t>
  </si>
  <si>
    <t>CL001579</t>
  </si>
  <si>
    <t>CL001580</t>
  </si>
  <si>
    <t>CL001581</t>
  </si>
  <si>
    <t>CL001582</t>
  </si>
  <si>
    <t>CL001583</t>
  </si>
  <si>
    <t>CL001584</t>
  </si>
  <si>
    <t>CL001585</t>
  </si>
  <si>
    <t>CL001586</t>
  </si>
  <si>
    <t>CL001587</t>
  </si>
  <si>
    <t>CL001588</t>
  </si>
  <si>
    <t>CL001589</t>
  </si>
  <si>
    <t>CL001590</t>
  </si>
  <si>
    <t>CL001591</t>
  </si>
  <si>
    <t>CL001592</t>
  </si>
  <si>
    <t>CL001593</t>
  </si>
  <si>
    <t>CL001594</t>
  </si>
  <si>
    <t>CL001595</t>
  </si>
  <si>
    <t>CL001596</t>
  </si>
  <si>
    <t>CL001597</t>
  </si>
  <si>
    <t>CL001598</t>
  </si>
  <si>
    <t>CL001599</t>
  </si>
  <si>
    <t>CL001600</t>
  </si>
  <si>
    <t>CL001601</t>
  </si>
  <si>
    <t>CL001602</t>
  </si>
  <si>
    <t>CL001603</t>
  </si>
  <si>
    <t>CL001604</t>
  </si>
  <si>
    <t>CL001605</t>
  </si>
  <si>
    <t>CL001606</t>
  </si>
  <si>
    <t>CL001607</t>
  </si>
  <si>
    <t>CL001608</t>
  </si>
  <si>
    <t>CL001609</t>
  </si>
  <si>
    <t>CL001610</t>
  </si>
  <si>
    <t>CL001611</t>
  </si>
  <si>
    <t>CL001612</t>
  </si>
  <si>
    <t>CL001613</t>
  </si>
  <si>
    <t>CL001614</t>
  </si>
  <si>
    <t>CL001615</t>
  </si>
  <si>
    <t>CL001616</t>
  </si>
  <si>
    <t>CL001617</t>
  </si>
  <si>
    <t>CL001618</t>
  </si>
  <si>
    <t>CL001619</t>
  </si>
  <si>
    <t>CL001620</t>
  </si>
  <si>
    <t>CL001621</t>
  </si>
  <si>
    <t>CL001622</t>
  </si>
  <si>
    <t>CL001623</t>
  </si>
  <si>
    <t>CL001624</t>
  </si>
  <si>
    <t>CL001625</t>
  </si>
  <si>
    <t>CL001626</t>
  </si>
  <si>
    <t>CL001627</t>
  </si>
  <si>
    <t>CL001628</t>
  </si>
  <si>
    <t>CL001629</t>
  </si>
  <si>
    <t>CL001630</t>
  </si>
  <si>
    <t>CL001631</t>
  </si>
  <si>
    <t>CL001632</t>
  </si>
  <si>
    <t>CL001633</t>
  </si>
  <si>
    <t>CL001634</t>
  </si>
  <si>
    <t>CL001635</t>
  </si>
  <si>
    <t>CL001636</t>
  </si>
  <si>
    <t>CL001637</t>
  </si>
  <si>
    <t>CL001638</t>
  </si>
  <si>
    <t>CL001639</t>
  </si>
  <si>
    <t>CL001640</t>
  </si>
  <si>
    <t>CL001641</t>
  </si>
  <si>
    <t>CL001642</t>
  </si>
  <si>
    <t>CL001643</t>
  </si>
  <si>
    <t>CL001644</t>
  </si>
  <si>
    <t>CL001645</t>
  </si>
  <si>
    <t>CL001646</t>
  </si>
  <si>
    <t>CL001647</t>
  </si>
  <si>
    <t>CL001648</t>
  </si>
  <si>
    <t>CL001649</t>
  </si>
  <si>
    <t>CL001650</t>
  </si>
  <si>
    <t>CL001651</t>
  </si>
  <si>
    <t>CL001652</t>
  </si>
  <si>
    <t>CL001653</t>
  </si>
  <si>
    <t>CL001654</t>
  </si>
  <si>
    <t>CL001655</t>
  </si>
  <si>
    <t>CL001656</t>
  </si>
  <si>
    <t>CL001657</t>
  </si>
  <si>
    <t>CL001658</t>
  </si>
  <si>
    <t>CL001659</t>
  </si>
  <si>
    <t>CL001660</t>
  </si>
  <si>
    <t>CL001661</t>
  </si>
  <si>
    <t>CL001662</t>
  </si>
  <si>
    <t>CL001663</t>
  </si>
  <si>
    <t>CL001664</t>
  </si>
  <si>
    <t>CL001665</t>
  </si>
  <si>
    <t>CL001666</t>
  </si>
  <si>
    <t>CL001667</t>
  </si>
  <si>
    <t>CL001668</t>
  </si>
  <si>
    <t>CL001669</t>
  </si>
  <si>
    <t>CL001670</t>
  </si>
  <si>
    <t>CL001671</t>
  </si>
  <si>
    <t>CL001672</t>
  </si>
  <si>
    <t>CL001673</t>
  </si>
  <si>
    <t>CL001674</t>
  </si>
  <si>
    <t>CL001675</t>
  </si>
  <si>
    <t>CL001676</t>
  </si>
  <si>
    <t>CL001677</t>
  </si>
  <si>
    <t>CL001678</t>
  </si>
  <si>
    <t>CL001679</t>
  </si>
  <si>
    <t>CL001680</t>
  </si>
  <si>
    <t>CL001681</t>
  </si>
  <si>
    <t>CL001682</t>
  </si>
  <si>
    <t>CL001683</t>
  </si>
  <si>
    <t>CL001684</t>
  </si>
  <si>
    <t>CL001685</t>
  </si>
  <si>
    <t>CL001686</t>
  </si>
  <si>
    <t>CL001687</t>
  </si>
  <si>
    <t>CL001688</t>
  </si>
  <si>
    <t>CL001689</t>
  </si>
  <si>
    <t>CL001690</t>
  </si>
  <si>
    <t>CL001691</t>
  </si>
  <si>
    <t>CL001692</t>
  </si>
  <si>
    <t>CL001693</t>
  </si>
  <si>
    <t>CL001694</t>
  </si>
  <si>
    <t>CL001695</t>
  </si>
  <si>
    <t>CL001696</t>
  </si>
  <si>
    <t>CL001697</t>
  </si>
  <si>
    <t>CL001698</t>
  </si>
  <si>
    <t>CL001699</t>
  </si>
  <si>
    <t>CL001700</t>
  </si>
  <si>
    <t>CL001701</t>
  </si>
  <si>
    <t>CL001702</t>
  </si>
  <si>
    <t>CL001703</t>
  </si>
  <si>
    <t>CL001704</t>
  </si>
  <si>
    <t>CL001705</t>
  </si>
  <si>
    <t>CL001706</t>
  </si>
  <si>
    <t>CL001707</t>
  </si>
  <si>
    <t>CL001708</t>
  </si>
  <si>
    <t>CL001709</t>
  </si>
  <si>
    <t>CL001710</t>
  </si>
  <si>
    <t>CL001711</t>
  </si>
  <si>
    <t>CL001712</t>
  </si>
  <si>
    <t>CL001713</t>
  </si>
  <si>
    <t>CL001714</t>
  </si>
  <si>
    <t>CL001715</t>
  </si>
  <si>
    <t>CL001716</t>
  </si>
  <si>
    <t>CL001717</t>
  </si>
  <si>
    <t>CL001718</t>
  </si>
  <si>
    <t>CL001719</t>
  </si>
  <si>
    <t>CL001720</t>
  </si>
  <si>
    <t>CL001721</t>
  </si>
  <si>
    <t>CL001722</t>
  </si>
  <si>
    <t>CL001723</t>
  </si>
  <si>
    <t>CL001724</t>
  </si>
  <si>
    <t>CL001725</t>
  </si>
  <si>
    <t>CL001726</t>
  </si>
  <si>
    <t>CL001727</t>
  </si>
  <si>
    <t>CL001728</t>
  </si>
  <si>
    <t>CL001729</t>
  </si>
  <si>
    <t>CL001730</t>
  </si>
  <si>
    <t>CL001731</t>
  </si>
  <si>
    <t>CL001732</t>
  </si>
  <si>
    <t>CL001733</t>
  </si>
  <si>
    <t>CL001734</t>
  </si>
  <si>
    <t>CL001735</t>
  </si>
  <si>
    <t>CL001736</t>
  </si>
  <si>
    <t>CL001737</t>
  </si>
  <si>
    <t>CL001738</t>
  </si>
  <si>
    <t>CL001739</t>
  </si>
  <si>
    <t>CL001740</t>
  </si>
  <si>
    <t>CL001741</t>
  </si>
  <si>
    <t>CL001742</t>
  </si>
  <si>
    <t>CL001743</t>
  </si>
  <si>
    <t>CL001744</t>
  </si>
  <si>
    <t>CL001745</t>
  </si>
  <si>
    <t>CL001746</t>
  </si>
  <si>
    <t>CL001747</t>
  </si>
  <si>
    <t>CL001748</t>
  </si>
  <si>
    <t>CL001749</t>
  </si>
  <si>
    <t>CL001750</t>
  </si>
  <si>
    <t>CL001751</t>
  </si>
  <si>
    <t>CL001752</t>
  </si>
  <si>
    <t>CL001753</t>
  </si>
  <si>
    <t>CL001754</t>
  </si>
  <si>
    <t>CL001755</t>
  </si>
  <si>
    <t>CL001756</t>
  </si>
  <si>
    <t>CL001757</t>
  </si>
  <si>
    <t>CL001758</t>
  </si>
  <si>
    <t>CL001759</t>
  </si>
  <si>
    <t>CL001760</t>
  </si>
  <si>
    <t>CL001761</t>
  </si>
  <si>
    <t>CL001762</t>
  </si>
  <si>
    <t>CL001763</t>
  </si>
  <si>
    <t>CL001764</t>
  </si>
  <si>
    <t>CL001765</t>
  </si>
  <si>
    <t>CL001766</t>
  </si>
  <si>
    <t>CL001767</t>
  </si>
  <si>
    <t>CL001768</t>
  </si>
  <si>
    <t>CL001769</t>
  </si>
  <si>
    <t>CL001770</t>
  </si>
  <si>
    <t>CL001771</t>
  </si>
  <si>
    <t>CL001772</t>
  </si>
  <si>
    <t>CL001773</t>
  </si>
  <si>
    <t>CL001774</t>
  </si>
  <si>
    <t>CL001775</t>
  </si>
  <si>
    <t>CL001776</t>
  </si>
  <si>
    <t>CL001777</t>
  </si>
  <si>
    <t>CL001778</t>
  </si>
  <si>
    <t>CL001779</t>
  </si>
  <si>
    <t>CL001780</t>
  </si>
  <si>
    <t>CL001781</t>
  </si>
  <si>
    <t>CL001782</t>
  </si>
  <si>
    <t>CL001783</t>
  </si>
  <si>
    <t>CL001784</t>
  </si>
  <si>
    <t>CL001785</t>
  </si>
  <si>
    <t>CL001786</t>
  </si>
  <si>
    <t>CL001787</t>
  </si>
  <si>
    <t>CL001788</t>
  </si>
  <si>
    <t>CL001789</t>
  </si>
  <si>
    <t>CL001790</t>
  </si>
  <si>
    <t>CL001791</t>
  </si>
  <si>
    <t>CL001792</t>
  </si>
  <si>
    <t>CL001793</t>
  </si>
  <si>
    <t>CL001794</t>
  </si>
  <si>
    <t>CL001795</t>
  </si>
  <si>
    <t>CL001796</t>
  </si>
  <si>
    <t>CL001797</t>
  </si>
  <si>
    <t>CL001798</t>
  </si>
  <si>
    <t>CL001799</t>
  </si>
  <si>
    <t>CL001800</t>
  </si>
  <si>
    <t>CL001801</t>
  </si>
  <si>
    <t>CL001802</t>
  </si>
  <si>
    <t>CL001803</t>
  </si>
  <si>
    <t>CL001804</t>
  </si>
  <si>
    <t>CL001805</t>
  </si>
  <si>
    <t>CL001806</t>
  </si>
  <si>
    <t>CL001807</t>
  </si>
  <si>
    <t>CL001808</t>
  </si>
  <si>
    <t>CL001809</t>
  </si>
  <si>
    <t>CL001810</t>
  </si>
  <si>
    <t>CL001811</t>
  </si>
  <si>
    <t>CL001812</t>
  </si>
  <si>
    <t>CL001813</t>
  </si>
  <si>
    <t>CL001814</t>
  </si>
  <si>
    <t>CL001815</t>
  </si>
  <si>
    <t>CL001816</t>
  </si>
  <si>
    <t>CL001817</t>
  </si>
  <si>
    <t>CL001818</t>
  </si>
  <si>
    <t>CL001819</t>
  </si>
  <si>
    <t>CL001820</t>
  </si>
  <si>
    <t>CL001821</t>
  </si>
  <si>
    <t>CL001822</t>
  </si>
  <si>
    <t>CL001823</t>
  </si>
  <si>
    <t>CL001824</t>
  </si>
  <si>
    <t>CL001825</t>
  </si>
  <si>
    <t>CL001826</t>
  </si>
  <si>
    <t>CL001827</t>
  </si>
  <si>
    <t>CL001828</t>
  </si>
  <si>
    <t>CL001829</t>
  </si>
  <si>
    <t>CL001830</t>
  </si>
  <si>
    <t>CL001831</t>
  </si>
  <si>
    <t>CL001832</t>
  </si>
  <si>
    <t>CL001833</t>
  </si>
  <si>
    <t>CL001834</t>
  </si>
  <si>
    <t>CL001835</t>
  </si>
  <si>
    <t>CL001836</t>
  </si>
  <si>
    <t>CL001837</t>
  </si>
  <si>
    <t>CL001838</t>
  </si>
  <si>
    <t>CL001839</t>
  </si>
  <si>
    <t>CL001840</t>
  </si>
  <si>
    <t>CL001841</t>
  </si>
  <si>
    <t>CL001842</t>
  </si>
  <si>
    <t>CL001843</t>
  </si>
  <si>
    <t>CL001844</t>
  </si>
  <si>
    <t>CL001845</t>
  </si>
  <si>
    <t>CL001846</t>
  </si>
  <si>
    <t>CL001847</t>
  </si>
  <si>
    <t>CL001848</t>
  </si>
  <si>
    <t>CL001849</t>
  </si>
  <si>
    <t>CL001850</t>
  </si>
  <si>
    <t>CL001851</t>
  </si>
  <si>
    <t>CL001852</t>
  </si>
  <si>
    <t>CL001853</t>
  </si>
  <si>
    <t>CL001854</t>
  </si>
  <si>
    <t>CL001855</t>
  </si>
  <si>
    <t>CL001856</t>
  </si>
  <si>
    <t>CL001857</t>
  </si>
  <si>
    <t>CL001858</t>
  </si>
  <si>
    <t>CL001859</t>
  </si>
  <si>
    <t>CL001860</t>
  </si>
  <si>
    <t>CL001861</t>
  </si>
  <si>
    <t>CL001862</t>
  </si>
  <si>
    <t>CL001863</t>
  </si>
  <si>
    <t>CL001864</t>
  </si>
  <si>
    <t>CL001865</t>
  </si>
  <si>
    <t>CL001866</t>
  </si>
  <si>
    <t>CL001867</t>
  </si>
  <si>
    <t>CL001868</t>
  </si>
  <si>
    <t>CL001869</t>
  </si>
  <si>
    <t>CL001870</t>
  </si>
  <si>
    <t>CL001871</t>
  </si>
  <si>
    <t>CL001872</t>
  </si>
  <si>
    <t>CL001873</t>
  </si>
  <si>
    <t>CL001874</t>
  </si>
  <si>
    <t>CL001875</t>
  </si>
  <si>
    <t>CL001876</t>
  </si>
  <si>
    <t>CL001877</t>
  </si>
  <si>
    <t>CL001878</t>
  </si>
  <si>
    <t>CL001879</t>
  </si>
  <si>
    <t>CL001880</t>
  </si>
  <si>
    <t>CL001881</t>
  </si>
  <si>
    <t>CL001882</t>
  </si>
  <si>
    <t>CL001883</t>
  </si>
  <si>
    <t>CL001884</t>
  </si>
  <si>
    <t>CL001885</t>
  </si>
  <si>
    <t>CL001886</t>
  </si>
  <si>
    <t>CL001887</t>
  </si>
  <si>
    <t>CL001888</t>
  </si>
  <si>
    <t>CL001889</t>
  </si>
  <si>
    <t>CL001890</t>
  </si>
  <si>
    <t>CL001891</t>
  </si>
  <si>
    <t>CL001892</t>
  </si>
  <si>
    <t>CL001893</t>
  </si>
  <si>
    <t>CL001894</t>
  </si>
  <si>
    <t>CL001895</t>
  </si>
  <si>
    <t>CL001896</t>
  </si>
  <si>
    <t>CL001897</t>
  </si>
  <si>
    <t>CL001898</t>
  </si>
  <si>
    <t>CL001899</t>
  </si>
  <si>
    <t>CL001900</t>
  </si>
  <si>
    <t>CL001901</t>
  </si>
  <si>
    <t>CL001902</t>
  </si>
  <si>
    <t>CL001903</t>
  </si>
  <si>
    <t>CL001904</t>
  </si>
  <si>
    <t>CL001905</t>
  </si>
  <si>
    <t>CL001906</t>
  </si>
  <si>
    <t>CL001907</t>
  </si>
  <si>
    <t>CL001908</t>
  </si>
  <si>
    <t>CL001909</t>
  </si>
  <si>
    <t>CL001910</t>
  </si>
  <si>
    <t>CL001911</t>
  </si>
  <si>
    <t>CL001912</t>
  </si>
  <si>
    <t>CL001913</t>
  </si>
  <si>
    <t>CL001914</t>
  </si>
  <si>
    <t>CL001915</t>
  </si>
  <si>
    <t>CL001916</t>
  </si>
  <si>
    <t>CL001917</t>
  </si>
  <si>
    <t>CL001918</t>
  </si>
  <si>
    <t>CL001919</t>
  </si>
  <si>
    <t>CL001920</t>
  </si>
  <si>
    <t>CL001921</t>
  </si>
  <si>
    <t>CL001922</t>
  </si>
  <si>
    <t>CL001923</t>
  </si>
  <si>
    <t>CL001924</t>
  </si>
  <si>
    <t>CL001925</t>
  </si>
  <si>
    <t>CL001926</t>
  </si>
  <si>
    <t>CL001927</t>
  </si>
  <si>
    <t>CL001928</t>
  </si>
  <si>
    <t>CL001929</t>
  </si>
  <si>
    <t>CL001930</t>
  </si>
  <si>
    <t>CL001931</t>
  </si>
  <si>
    <t>CL001932</t>
  </si>
  <si>
    <t>CL001933</t>
  </si>
  <si>
    <t>CL001934</t>
  </si>
  <si>
    <t>CL001935</t>
  </si>
  <si>
    <t>CL001936</t>
  </si>
  <si>
    <t>CL001937</t>
  </si>
  <si>
    <t>CL001938</t>
  </si>
  <si>
    <t>CL001939</t>
  </si>
  <si>
    <t>CL001940</t>
  </si>
  <si>
    <t>CL001941</t>
  </si>
  <si>
    <t>CL001942</t>
  </si>
  <si>
    <t>CL001943</t>
  </si>
  <si>
    <t>CL001944</t>
  </si>
  <si>
    <t>CL001945</t>
  </si>
  <si>
    <t>CL001946</t>
  </si>
  <si>
    <t>CL001947</t>
  </si>
  <si>
    <t>CL001948</t>
  </si>
  <si>
    <t>CL001949</t>
  </si>
  <si>
    <t>CL001950</t>
  </si>
  <si>
    <t>CL001951</t>
  </si>
  <si>
    <t>CL001952</t>
  </si>
  <si>
    <t>CL001953</t>
  </si>
  <si>
    <t>CL001954</t>
  </si>
  <si>
    <t>CL001955</t>
  </si>
  <si>
    <t>CL001956</t>
  </si>
  <si>
    <t>CL001957</t>
  </si>
  <si>
    <t>CL001958</t>
  </si>
  <si>
    <t>CL001959</t>
  </si>
  <si>
    <t>CL001960</t>
  </si>
  <si>
    <t>CL001961</t>
  </si>
  <si>
    <t>CL001962</t>
  </si>
  <si>
    <t>CL001963</t>
  </si>
  <si>
    <t>CL001964</t>
  </si>
  <si>
    <t>CL001965</t>
  </si>
  <si>
    <t>CL001966</t>
  </si>
  <si>
    <t>CL001967</t>
  </si>
  <si>
    <t>CL001968</t>
  </si>
  <si>
    <t>CL001969</t>
  </si>
  <si>
    <t>CL001970</t>
  </si>
  <si>
    <t>CL001971</t>
  </si>
  <si>
    <t>CL001972</t>
  </si>
  <si>
    <t>CL001973</t>
  </si>
  <si>
    <t>CL001974</t>
  </si>
  <si>
    <t>CL001975</t>
  </si>
  <si>
    <t>CL001976</t>
  </si>
  <si>
    <t>CL001977</t>
  </si>
  <si>
    <t>CL001978</t>
  </si>
  <si>
    <t>CL001979</t>
  </si>
  <si>
    <t>CL001980</t>
  </si>
  <si>
    <t>CL001981</t>
  </si>
  <si>
    <t>CL001982</t>
  </si>
  <si>
    <t>CL001983</t>
  </si>
  <si>
    <t>CL001984</t>
  </si>
  <si>
    <t>CL001985</t>
  </si>
  <si>
    <t>CL001986</t>
  </si>
  <si>
    <t>CL001987</t>
  </si>
  <si>
    <t>CL001988</t>
  </si>
  <si>
    <t>CL001989</t>
  </si>
  <si>
    <t>CL001990</t>
  </si>
  <si>
    <t>CL001991</t>
  </si>
  <si>
    <t>CL001992</t>
  </si>
  <si>
    <t>CL001993</t>
  </si>
  <si>
    <t>CL001994</t>
  </si>
  <si>
    <t>CL001995</t>
  </si>
  <si>
    <t>CL001996</t>
  </si>
  <si>
    <t>CL001997</t>
  </si>
  <si>
    <t>CL001998</t>
  </si>
  <si>
    <t>CL001999</t>
  </si>
  <si>
    <t>CL002000</t>
  </si>
  <si>
    <t>payment_id</t>
  </si>
  <si>
    <t>payment_date</t>
  </si>
  <si>
    <t>amount_paid</t>
  </si>
  <si>
    <t>payment_method</t>
  </si>
  <si>
    <t>patient_responsibility</t>
  </si>
  <si>
    <t>PAY00001</t>
  </si>
  <si>
    <t>Insurance</t>
  </si>
  <si>
    <t>PAY00002</t>
  </si>
  <si>
    <t>PAY00003</t>
  </si>
  <si>
    <t>Patient</t>
  </si>
  <si>
    <t>PAY00004</t>
  </si>
  <si>
    <t>PAY00005</t>
  </si>
  <si>
    <t>PAY00006</t>
  </si>
  <si>
    <t>PAY00007</t>
  </si>
  <si>
    <t>PAY00008</t>
  </si>
  <si>
    <t>PAY00009</t>
  </si>
  <si>
    <t>PAY00010</t>
  </si>
  <si>
    <t>PAY00011</t>
  </si>
  <si>
    <t>PAY00012</t>
  </si>
  <si>
    <t>PAY00013</t>
  </si>
  <si>
    <t>PAY00014</t>
  </si>
  <si>
    <t>PAY00015</t>
  </si>
  <si>
    <t>PAY00016</t>
  </si>
  <si>
    <t>PAY00017</t>
  </si>
  <si>
    <t>PAY00018</t>
  </si>
  <si>
    <t>PAY00019</t>
  </si>
  <si>
    <t>PAY00020</t>
  </si>
  <si>
    <t>PAY00021</t>
  </si>
  <si>
    <t>PAY00022</t>
  </si>
  <si>
    <t>PAY00023</t>
  </si>
  <si>
    <t>PAY00024</t>
  </si>
  <si>
    <t>PAY00025</t>
  </si>
  <si>
    <t>PAY00026</t>
  </si>
  <si>
    <t>PAY00027</t>
  </si>
  <si>
    <t>PAY00028</t>
  </si>
  <si>
    <t>PAY00029</t>
  </si>
  <si>
    <t>PAY00030</t>
  </si>
  <si>
    <t>PAY00031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</si>
  <si>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</si>
  <si>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</si>
  <si>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</si>
  <si>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</si>
  <si>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</si>
  <si>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</si>
  <si>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</si>
  <si>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</si>
  <si>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</si>
  <si>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</si>
  <si>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PAY00042</t>
  </si>
  <si>
    <t>PAY00043</t>
  </si>
  <si>
    <t>PAY00044</t>
  </si>
  <si>
    <t>PAY00045</t>
  </si>
  <si>
    <t>PAY00046</t>
  </si>
  <si>
    <t>PAY00047</t>
  </si>
  <si>
    <t>PAY00048</t>
  </si>
  <si>
    <t>PAY00049</t>
  </si>
  <si>
    <t>PAY00050</t>
  </si>
  <si>
    <t>PAY00051</t>
  </si>
  <si>
    <t>PAY00052</t>
  </si>
  <si>
    <t>PAY00053</t>
  </si>
  <si>
    <t>PAY00054</t>
  </si>
  <si>
    <t>PAY00055</t>
  </si>
  <si>
    <t>PAY00056</t>
  </si>
  <si>
    <t>PAY00057</t>
  </si>
  <si>
    <t>PAY00058</t>
  </si>
  <si>
    <t>PAY00059</t>
  </si>
  <si>
    <t>PAY00060</t>
  </si>
  <si>
    <t>PAY00061</t>
  </si>
  <si>
    <t>PAY00062</t>
  </si>
  <si>
    <t>PAY00063</t>
  </si>
  <si>
    <t>PAY00064</t>
  </si>
  <si>
    <t>PAY00065</t>
  </si>
  <si>
    <t>PAY00066</t>
  </si>
  <si>
    <t>PAY00067</t>
  </si>
  <si>
    <t>PAY00068</t>
  </si>
  <si>
    <t>PAY00069</t>
  </si>
  <si>
    <t>PAY00070</t>
  </si>
  <si>
    <t>PAY00071</t>
  </si>
  <si>
    <t>PAY00072</t>
  </si>
  <si>
    <t>PAY00073</t>
  </si>
  <si>
    <t>PAY00074</t>
  </si>
  <si>
    <t>PAY00075</t>
  </si>
  <si>
    <t>PAY00076</t>
  </si>
  <si>
    <t>PAY00077</t>
  </si>
  <si>
    <t>PAY00078</t>
  </si>
  <si>
    <t>PAY00079</t>
  </si>
  <si>
    <t>PAY00080</t>
  </si>
  <si>
    <t>PAY00081</t>
  </si>
  <si>
    <t>PAY00082</t>
  </si>
  <si>
    <t>PAY00083</t>
  </si>
  <si>
    <t>PAY00084</t>
  </si>
  <si>
    <t>PAY00085</t>
  </si>
  <si>
    <t>PAY00086</t>
  </si>
  <si>
    <t>PAY00087</t>
  </si>
  <si>
    <t>PAY00088</t>
  </si>
  <si>
    <t>PAY00089</t>
  </si>
  <si>
    <t>PAY00090</t>
  </si>
  <si>
    <t>PAY00091</t>
  </si>
  <si>
    <t>PAY00092</t>
  </si>
  <si>
    <t>PAY00093</t>
  </si>
  <si>
    <t>PAY00094</t>
  </si>
  <si>
    <t>PAY00095</t>
  </si>
  <si>
    <t>PAY00096</t>
  </si>
  <si>
    <t>PAY00097</t>
  </si>
  <si>
    <t>PAY00098</t>
  </si>
  <si>
    <t>PAY00099</t>
  </si>
  <si>
    <t>PAY00100</t>
  </si>
  <si>
    <t>PAY00101</t>
  </si>
  <si>
    <t>PAY00102</t>
  </si>
  <si>
    <t>PAY00103</t>
  </si>
  <si>
    <t>PAY00104</t>
  </si>
  <si>
    <t>PAY00105</t>
  </si>
  <si>
    <t>PAY00106</t>
  </si>
  <si>
    <t>PAY00107</t>
  </si>
  <si>
    <t>PAY00108</t>
  </si>
  <si>
    <t>PAY00109</t>
  </si>
  <si>
    <t>PAY00110</t>
  </si>
  <si>
    <t>PAY00111</t>
  </si>
  <si>
    <t>PAY00112</t>
  </si>
  <si>
    <t>PAY00113</t>
  </si>
  <si>
    <t>PAY00114</t>
  </si>
  <si>
    <t>PAY00115</t>
  </si>
  <si>
    <t>PAY00116</t>
  </si>
  <si>
    <t>PAY00117</t>
  </si>
  <si>
    <t>PAY00118</t>
  </si>
  <si>
    <t>PAY00119</t>
  </si>
  <si>
    <t>PAY00120</t>
  </si>
  <si>
    <t>PAY00121</t>
  </si>
  <si>
    <t>PAY00122</t>
  </si>
  <si>
    <t>PAY00123</t>
  </si>
  <si>
    <t>PAY00124</t>
  </si>
  <si>
    <t>PAY00125</t>
  </si>
  <si>
    <t>PAY00126</t>
  </si>
  <si>
    <t>PAY00127</t>
  </si>
  <si>
    <t>PAY00128</t>
  </si>
  <si>
    <t>PAY00129</t>
  </si>
  <si>
    <t>PAY00130</t>
  </si>
  <si>
    <t>PAY00131</t>
  </si>
  <si>
    <t>PAY00132</t>
  </si>
  <si>
    <t>PAY00133</t>
  </si>
  <si>
    <t>PAY00134</t>
  </si>
  <si>
    <t>PAY00135</t>
  </si>
  <si>
    <t>PAY00136</t>
  </si>
  <si>
    <t>PAY00137</t>
  </si>
  <si>
    <t>PAY00138</t>
  </si>
  <si>
    <t>PAY00139</t>
  </si>
  <si>
    <t>PAY00140</t>
  </si>
  <si>
    <t>PAY00141</t>
  </si>
  <si>
    <t>PAY00142</t>
  </si>
  <si>
    <t>PAY00143</t>
  </si>
  <si>
    <t>PAY00144</t>
  </si>
  <si>
    <t>PAY00145</t>
  </si>
  <si>
    <t>PAY00146</t>
  </si>
  <si>
    <t>PAY00147</t>
  </si>
  <si>
    <t>PAY00148</t>
  </si>
  <si>
    <t>PAY00149</t>
  </si>
  <si>
    <t>PAY00150</t>
  </si>
  <si>
    <t>PAY00151</t>
  </si>
  <si>
    <t>PAY00152</t>
  </si>
  <si>
    <t>PAY00153</t>
  </si>
  <si>
    <t>PAY00154</t>
  </si>
  <si>
    <t>PAY00155</t>
  </si>
  <si>
    <t>PAY00156</t>
  </si>
  <si>
    <t>PAY00157</t>
  </si>
  <si>
    <t>PAY00158</t>
  </si>
  <si>
    <t>PAY00159</t>
  </si>
  <si>
    <t>PAY00160</t>
  </si>
  <si>
    <t>PAY00161</t>
  </si>
  <si>
    <t>PAY00162</t>
  </si>
  <si>
    <t>PAY00163</t>
  </si>
  <si>
    <t>PAY00164</t>
  </si>
  <si>
    <t>PAY00165</t>
  </si>
  <si>
    <t>PAY00166</t>
  </si>
  <si>
    <t>PAY00167</t>
  </si>
  <si>
    <t>PAY00168</t>
  </si>
  <si>
    <t>PAY00169</t>
  </si>
  <si>
    <t>PAY00170</t>
  </si>
  <si>
    <t>PAY00171</t>
  </si>
  <si>
    <t>PAY00172</t>
  </si>
  <si>
    <t>PAY00173</t>
  </si>
  <si>
    <t>PAY00174</t>
  </si>
  <si>
    <t>PAY00175</t>
  </si>
  <si>
    <t>PAY00176</t>
  </si>
  <si>
    <t>PAY00177</t>
  </si>
  <si>
    <t>PAY00178</t>
  </si>
  <si>
    <t>PAY00179</t>
  </si>
  <si>
    <t>PAY00180</t>
  </si>
  <si>
    <t>PAY00181</t>
  </si>
  <si>
    <t>PAY00182</t>
  </si>
  <si>
    <t>PAY00183</t>
  </si>
  <si>
    <t>PAY00184</t>
  </si>
  <si>
    <t>PAY00185</t>
  </si>
  <si>
    <t>PAY00186</t>
  </si>
  <si>
    <t>PAY00187</t>
  </si>
  <si>
    <t>PAY00188</t>
  </si>
  <si>
    <t>PAY00189</t>
  </si>
  <si>
    <t>PAY00190</t>
  </si>
  <si>
    <t>PAY00191</t>
  </si>
  <si>
    <t>PAY00192</t>
  </si>
  <si>
    <t>PAY00193</t>
  </si>
  <si>
    <t>PAY00194</t>
  </si>
  <si>
    <t>PAY00195</t>
  </si>
  <si>
    <t>PAY00196</t>
  </si>
  <si>
    <t>PAY00197</t>
  </si>
  <si>
    <t>PAY00198</t>
  </si>
  <si>
    <t>PAY00199</t>
  </si>
  <si>
    <t>PAY00200</t>
  </si>
  <si>
    <t>PAY00201</t>
  </si>
  <si>
    <t>PAY00202</t>
  </si>
  <si>
    <t>PAY00203</t>
  </si>
  <si>
    <t>PAY00204</t>
  </si>
  <si>
    <t>PAY00205</t>
  </si>
  <si>
    <t>PAY00206</t>
  </si>
  <si>
    <t>PAY00207</t>
  </si>
  <si>
    <t>PAY00208</t>
  </si>
  <si>
    <t>PAY00209</t>
  </si>
  <si>
    <t>PAY00210</t>
  </si>
  <si>
    <t>PAY00211</t>
  </si>
  <si>
    <t>PAY00212</t>
  </si>
  <si>
    <t>PAY00213</t>
  </si>
  <si>
    <t>PAY00214</t>
  </si>
  <si>
    <t>PAY00215</t>
  </si>
  <si>
    <t>PAY00216</t>
  </si>
  <si>
    <t>PAY00217</t>
  </si>
  <si>
    <t>PAY00218</t>
  </si>
  <si>
    <t>PAY00219</t>
  </si>
  <si>
    <t>PAY00220</t>
  </si>
  <si>
    <t>PAY00221</t>
  </si>
  <si>
    <t>PAY00222</t>
  </si>
  <si>
    <t>PAY00223</t>
  </si>
  <si>
    <t>PAY00224</t>
  </si>
  <si>
    <t>PAY00225</t>
  </si>
  <si>
    <t>PAY00226</t>
  </si>
  <si>
    <t>PAY00227</t>
  </si>
  <si>
    <t>PAY00228</t>
  </si>
  <si>
    <t>PAY00229</t>
  </si>
  <si>
    <t>PAY00230</t>
  </si>
  <si>
    <t>PAY00231</t>
  </si>
  <si>
    <t>PAY00232</t>
  </si>
  <si>
    <t>PAY00233</t>
  </si>
  <si>
    <t>PAY00234</t>
  </si>
  <si>
    <t>PAY00235</t>
  </si>
  <si>
    <t>PAY00236</t>
  </si>
  <si>
    <t>PAY00237</t>
  </si>
  <si>
    <t>PAY00238</t>
  </si>
  <si>
    <t>PAY00239</t>
  </si>
  <si>
    <t>PAY00240</t>
  </si>
  <si>
    <t>PAY00241</t>
  </si>
  <si>
    <t>PAY00242</t>
  </si>
  <si>
    <t>PAY00243</t>
  </si>
  <si>
    <t>PAY00244</t>
  </si>
  <si>
    <t>PAY00245</t>
  </si>
  <si>
    <t>PAY00246</t>
  </si>
  <si>
    <t>PAY00247</t>
  </si>
  <si>
    <t>PAY00248</t>
  </si>
  <si>
    <t>PAY00249</t>
  </si>
  <si>
    <t>PAY00250</t>
  </si>
  <si>
    <t>PAY00251</t>
  </si>
  <si>
    <t>PAY00252</t>
  </si>
  <si>
    <t>PAY00253</t>
  </si>
  <si>
    <t>PAY00254</t>
  </si>
  <si>
    <t>PAY00255</t>
  </si>
  <si>
    <t>PAY00256</t>
  </si>
  <si>
    <t>PAY00257</t>
  </si>
  <si>
    <t>PAY00258</t>
  </si>
  <si>
    <t>PAY00259</t>
  </si>
  <si>
    <t>PAY00260</t>
  </si>
  <si>
    <t>PAY00261</t>
  </si>
  <si>
    <t>PAY00262</t>
  </si>
  <si>
    <t>PAY00263</t>
  </si>
  <si>
    <t>PAY00264</t>
  </si>
  <si>
    <t>PAY00265</t>
  </si>
  <si>
    <t>PAY00266</t>
  </si>
  <si>
    <t>PAY00267</t>
  </si>
  <si>
    <t>PAY00268</t>
  </si>
  <si>
    <t>PAY00269</t>
  </si>
  <si>
    <t>PAY00270</t>
  </si>
  <si>
    <t>PAY00271</t>
  </si>
  <si>
    <t>PAY00272</t>
  </si>
  <si>
    <t>PAY00273</t>
  </si>
  <si>
    <t>PAY00274</t>
  </si>
  <si>
    <t>PAY00275</t>
  </si>
  <si>
    <t>PAY00276</t>
  </si>
  <si>
    <t>PAY00277</t>
  </si>
  <si>
    <t>PAY00278</t>
  </si>
  <si>
    <t>PAY00279</t>
  </si>
  <si>
    <t>PAY00280</t>
  </si>
  <si>
    <t>PAY00281</t>
  </si>
  <si>
    <t>PAY00282</t>
  </si>
  <si>
    <t>PAY00283</t>
  </si>
  <si>
    <t>PAY00284</t>
  </si>
  <si>
    <t>PAY00285</t>
  </si>
  <si>
    <t>PAY00286</t>
  </si>
  <si>
    <t>PAY00287</t>
  </si>
  <si>
    <t>PAY00288</t>
  </si>
  <si>
    <t>PAY00289</t>
  </si>
  <si>
    <t>PAY00290</t>
  </si>
  <si>
    <t>PAY00291</t>
  </si>
  <si>
    <t>PAY00292</t>
  </si>
  <si>
    <t>PAY00293</t>
  </si>
  <si>
    <t>PAY00294</t>
  </si>
  <si>
    <t>PAY00295</t>
  </si>
  <si>
    <t>PAY00296</t>
  </si>
  <si>
    <t>PAY00297</t>
  </si>
  <si>
    <t>PAY00298</t>
  </si>
  <si>
    <t>PAY00299</t>
  </si>
  <si>
    <t>PAY00300</t>
  </si>
  <si>
    <t>PAY00301</t>
  </si>
  <si>
    <t>PAY00302</t>
  </si>
  <si>
    <t>PAY00303</t>
  </si>
  <si>
    <t>PAY00304</t>
  </si>
  <si>
    <t>PAY00305</t>
  </si>
  <si>
    <t>PAY00306</t>
  </si>
  <si>
    <t>PAY00307</t>
  </si>
  <si>
    <t>PAY00308</t>
  </si>
  <si>
    <t>PAY00309</t>
  </si>
  <si>
    <t>PAY00310</t>
  </si>
  <si>
    <t>PAY00311</t>
  </si>
  <si>
    <t>PAY00312</t>
  </si>
  <si>
    <t>PAY00313</t>
  </si>
  <si>
    <t>PAY00314</t>
  </si>
  <si>
    <t>PAY00315</t>
  </si>
  <si>
    <t>PAY00316</t>
  </si>
  <si>
    <t>PAY00317</t>
  </si>
  <si>
    <t>PAY00318</t>
  </si>
  <si>
    <t>PAY00319</t>
  </si>
  <si>
    <t>PAY00320</t>
  </si>
  <si>
    <t>PAY00321</t>
  </si>
  <si>
    <t>PAY00322</t>
  </si>
  <si>
    <t>PAY00323</t>
  </si>
  <si>
    <t>PAY00324</t>
  </si>
  <si>
    <t>PAY00325</t>
  </si>
  <si>
    <t>PAY00326</t>
  </si>
  <si>
    <t>PAY00327</t>
  </si>
  <si>
    <t>PAY00328</t>
  </si>
  <si>
    <t>PAY00329</t>
  </si>
  <si>
    <t>PAY00330</t>
  </si>
  <si>
    <t>PAY00331</t>
  </si>
  <si>
    <t>PAY00332</t>
  </si>
  <si>
    <t>PAY00333</t>
  </si>
  <si>
    <t>PAY00334</t>
  </si>
  <si>
    <t>PAY00335</t>
  </si>
  <si>
    <t>PAY00336</t>
  </si>
  <si>
    <t>PAY00337</t>
  </si>
  <si>
    <t>PAY00338</t>
  </si>
  <si>
    <t>PAY00339</t>
  </si>
  <si>
    <t>PAY00340</t>
  </si>
  <si>
    <t>PAY00341</t>
  </si>
  <si>
    <t>PAY00342</t>
  </si>
  <si>
    <t>PAY00343</t>
  </si>
  <si>
    <t>PAY00344</t>
  </si>
  <si>
    <t>PAY00345</t>
  </si>
  <si>
    <t>PAY00346</t>
  </si>
  <si>
    <t>PAY00347</t>
  </si>
  <si>
    <t>PAY00348</t>
  </si>
  <si>
    <t>PAY00349</t>
  </si>
  <si>
    <t>PAY00350</t>
  </si>
  <si>
    <t>PAY00351</t>
  </si>
  <si>
    <t>PAY00352</t>
  </si>
  <si>
    <t>PAY00353</t>
  </si>
  <si>
    <t>PAY00354</t>
  </si>
  <si>
    <t>PAY00355</t>
  </si>
  <si>
    <t>PAY00356</t>
  </si>
  <si>
    <t>PAY00357</t>
  </si>
  <si>
    <t>PAY00358</t>
  </si>
  <si>
    <t>PAY00359</t>
  </si>
  <si>
    <t>PAY00360</t>
  </si>
  <si>
    <t>PAY00361</t>
  </si>
  <si>
    <t>PAY00362</t>
  </si>
  <si>
    <t>PAY00363</t>
  </si>
  <si>
    <t>PAY00364</t>
  </si>
  <si>
    <t>PAY00365</t>
  </si>
  <si>
    <t>PAY00366</t>
  </si>
  <si>
    <t>PAY00367</t>
  </si>
  <si>
    <t>PAY00368</t>
  </si>
  <si>
    <t>PAY00369</t>
  </si>
  <si>
    <t>PAY00370</t>
  </si>
  <si>
    <t>PAY00371</t>
  </si>
  <si>
    <t>PAY00372</t>
  </si>
  <si>
    <t>PAY00373</t>
  </si>
  <si>
    <t>PAY00374</t>
  </si>
  <si>
    <t>PAY00375</t>
  </si>
  <si>
    <t>PAY00376</t>
  </si>
  <si>
    <t>PAY00377</t>
  </si>
  <si>
    <t>PAY00378</t>
  </si>
  <si>
    <t>PAY00379</t>
  </si>
  <si>
    <t>PAY00380</t>
  </si>
  <si>
    <t>PAY00381</t>
  </si>
  <si>
    <t>PAY00382</t>
  </si>
  <si>
    <t>PAY00383</t>
  </si>
  <si>
    <t>PAY00384</t>
  </si>
  <si>
    <t>PAY00385</t>
  </si>
  <si>
    <t>PAY00386</t>
  </si>
  <si>
    <t>PAY00387</t>
  </si>
  <si>
    <t>PAY00388</t>
  </si>
  <si>
    <t>PAY00389</t>
  </si>
  <si>
    <t>PAY00390</t>
  </si>
  <si>
    <t>PAY00391</t>
  </si>
  <si>
    <t>PAY00392</t>
  </si>
  <si>
    <t>PAY00393</t>
  </si>
  <si>
    <t>PAY00394</t>
  </si>
  <si>
    <t>PAY00395</t>
  </si>
  <si>
    <t>PAY00396</t>
  </si>
  <si>
    <t>PAY00397</t>
  </si>
  <si>
    <t>PAY00398</t>
  </si>
  <si>
    <t>PAY00399</t>
  </si>
  <si>
    <t>PAY00400</t>
  </si>
  <si>
    <t>PAY00401</t>
  </si>
  <si>
    <t>PAY00402</t>
  </si>
  <si>
    <t>PAY00403</t>
  </si>
  <si>
    <t>PAY00404</t>
  </si>
  <si>
    <t>PAY00405</t>
  </si>
  <si>
    <t>PAY00406</t>
  </si>
  <si>
    <t>PAY00407</t>
  </si>
  <si>
    <t>PAY00408</t>
  </si>
  <si>
    <t>PAY00409</t>
  </si>
  <si>
    <t>PAY00410</t>
  </si>
  <si>
    <t>PAY00411</t>
  </si>
  <si>
    <t>PAY00412</t>
  </si>
  <si>
    <t>PAY00413</t>
  </si>
  <si>
    <t>PAY00414</t>
  </si>
  <si>
    <t>PAY00415</t>
  </si>
  <si>
    <t>PAY00416</t>
  </si>
  <si>
    <t>PAY00417</t>
  </si>
  <si>
    <t>PAY00418</t>
  </si>
  <si>
    <t>PAY00419</t>
  </si>
  <si>
    <t>PAY00420</t>
  </si>
  <si>
    <t>PAY00421</t>
  </si>
  <si>
    <t>PAY00422</t>
  </si>
  <si>
    <t>PAY00423</t>
  </si>
  <si>
    <t>PAY00424</t>
  </si>
  <si>
    <t>PAY00425</t>
  </si>
  <si>
    <t>PAY00426</t>
  </si>
  <si>
    <t>PAY00427</t>
  </si>
  <si>
    <t>PAY00428</t>
  </si>
  <si>
    <t>PAY00429</t>
  </si>
  <si>
    <t>PAY00430</t>
  </si>
  <si>
    <t>PAY00431</t>
  </si>
  <si>
    <t>PAY00432</t>
  </si>
  <si>
    <t>PAY00433</t>
  </si>
  <si>
    <t>PAY00434</t>
  </si>
  <si>
    <t>PAY00435</t>
  </si>
  <si>
    <t>PAY00436</t>
  </si>
  <si>
    <t>PAY00437</t>
  </si>
  <si>
    <t>PAY00438</t>
  </si>
  <si>
    <t>PAY00439</t>
  </si>
  <si>
    <t>PAY00440</t>
  </si>
  <si>
    <t>PAY00441</t>
  </si>
  <si>
    <t>PAY00442</t>
  </si>
  <si>
    <t>PAY00443</t>
  </si>
  <si>
    <t>PAY00444</t>
  </si>
  <si>
    <t>PAY00445</t>
  </si>
  <si>
    <t>PAY00446</t>
  </si>
  <si>
    <t>PAY00447</t>
  </si>
  <si>
    <t>PAY00448</t>
  </si>
  <si>
    <t>PAY00449</t>
  </si>
  <si>
    <t>PAY00450</t>
  </si>
  <si>
    <t>PAY00451</t>
  </si>
  <si>
    <t>PAY00452</t>
  </si>
  <si>
    <t>PAY00453</t>
  </si>
  <si>
    <t>PAY00454</t>
  </si>
  <si>
    <t>PAY00455</t>
  </si>
  <si>
    <t>PAY00456</t>
  </si>
  <si>
    <t>PAY00457</t>
  </si>
  <si>
    <t>PAY00458</t>
  </si>
  <si>
    <t>PAY00459</t>
  </si>
  <si>
    <t>PAY00460</t>
  </si>
  <si>
    <t>PAY00461</t>
  </si>
  <si>
    <t>PAY00462</t>
  </si>
  <si>
    <t>PAY00463</t>
  </si>
  <si>
    <t>PAY00464</t>
  </si>
  <si>
    <t>PAY00465</t>
  </si>
  <si>
    <t>PAY00466</t>
  </si>
  <si>
    <t>PAY00467</t>
  </si>
  <si>
    <t>PAY00468</t>
  </si>
  <si>
    <t>PAY00469</t>
  </si>
  <si>
    <t>PAY00470</t>
  </si>
  <si>
    <t>PAY00471</t>
  </si>
  <si>
    <t>PAY00472</t>
  </si>
  <si>
    <t>PAY00473</t>
  </si>
  <si>
    <t>PAY00474</t>
  </si>
  <si>
    <t>PAY00475</t>
  </si>
  <si>
    <t>PAY00476</t>
  </si>
  <si>
    <t>PAY00477</t>
  </si>
  <si>
    <t>PAY00478</t>
  </si>
  <si>
    <t>PAY00479</t>
  </si>
  <si>
    <t>PAY00480</t>
  </si>
  <si>
    <t>PAY00481</t>
  </si>
  <si>
    <t>PAY00482</t>
  </si>
  <si>
    <t>PAY00483</t>
  </si>
  <si>
    <t>PAY00484</t>
  </si>
  <si>
    <t>PAY00485</t>
  </si>
  <si>
    <t>PAY00486</t>
  </si>
  <si>
    <t>PAY00487</t>
  </si>
  <si>
    <t>PAY00488</t>
  </si>
  <si>
    <t>PAY00489</t>
  </si>
  <si>
    <t>PAY00490</t>
  </si>
  <si>
    <t>PAY00491</t>
  </si>
  <si>
    <t>PAY00492</t>
  </si>
  <si>
    <t>PAY00493</t>
  </si>
  <si>
    <t>PAY00494</t>
  </si>
  <si>
    <t>PAY00495</t>
  </si>
  <si>
    <t>PAY00496</t>
  </si>
  <si>
    <t>PAY00497</t>
  </si>
  <si>
    <t>PAY00498</t>
  </si>
  <si>
    <t>PAY00499</t>
  </si>
  <si>
    <t>PAY00500</t>
  </si>
  <si>
    <t>PAY00501</t>
  </si>
  <si>
    <t>PAY00502</t>
  </si>
  <si>
    <t>PAY00503</t>
  </si>
  <si>
    <t>PAY00504</t>
  </si>
  <si>
    <t>PAY00505</t>
  </si>
  <si>
    <t>PAY00506</t>
  </si>
  <si>
    <t>PAY00507</t>
  </si>
  <si>
    <t>PAY00508</t>
  </si>
  <si>
    <t>PAY00509</t>
  </si>
  <si>
    <t>PAY00510</t>
  </si>
  <si>
    <t>PAY00511</t>
  </si>
  <si>
    <t>PAY00512</t>
  </si>
  <si>
    <t>PAY00513</t>
  </si>
  <si>
    <t>PAY00514</t>
  </si>
  <si>
    <t>PAY00515</t>
  </si>
  <si>
    <t>PAY00516</t>
  </si>
  <si>
    <t>PAY00517</t>
  </si>
  <si>
    <t>PAY00518</t>
  </si>
  <si>
    <t>PAY00519</t>
  </si>
  <si>
    <t>PAY00520</t>
  </si>
  <si>
    <t>PAY00521</t>
  </si>
  <si>
    <t>PAY00522</t>
  </si>
  <si>
    <t>PAY00523</t>
  </si>
  <si>
    <t>PAY00524</t>
  </si>
  <si>
    <t>PAY00525</t>
  </si>
  <si>
    <t>PAY00526</t>
  </si>
  <si>
    <t>PAY00527</t>
  </si>
  <si>
    <t>PAY00528</t>
  </si>
  <si>
    <t>PAY00529</t>
  </si>
  <si>
    <t>PAY00530</t>
  </si>
  <si>
    <t>PAY00531</t>
  </si>
  <si>
    <t>PAY00532</t>
  </si>
  <si>
    <t>PAY00533</t>
  </si>
  <si>
    <t>PAY00534</t>
  </si>
  <si>
    <t>PAY00535</t>
  </si>
  <si>
    <t>PAY00536</t>
  </si>
  <si>
    <t>PAY00537</t>
  </si>
  <si>
    <t>PAY00538</t>
  </si>
  <si>
    <t>PAY00539</t>
  </si>
  <si>
    <t>PAY00540</t>
  </si>
  <si>
    <t>PAY00541</t>
  </si>
  <si>
    <t>PAY00542</t>
  </si>
  <si>
    <t>PAY00543</t>
  </si>
  <si>
    <t>PAY00544</t>
  </si>
  <si>
    <t>PAY00545</t>
  </si>
  <si>
    <t>PAY00546</t>
  </si>
  <si>
    <t>PAY00547</t>
  </si>
  <si>
    <t>PAY00548</t>
  </si>
  <si>
    <t>PAY00549</t>
  </si>
  <si>
    <t>PAY00550</t>
  </si>
  <si>
    <t>PAY00551</t>
  </si>
  <si>
    <t>PAY00552</t>
  </si>
  <si>
    <t>PAY00553</t>
  </si>
  <si>
    <t>PAY00554</t>
  </si>
  <si>
    <t>PAY00555</t>
  </si>
  <si>
    <t>PAY00556</t>
  </si>
  <si>
    <t>PAY00557</t>
  </si>
  <si>
    <t>PAY00558</t>
  </si>
  <si>
    <t>PAY00559</t>
  </si>
  <si>
    <t>PAY00560</t>
  </si>
  <si>
    <t>PAY00561</t>
  </si>
  <si>
    <t>PAY00562</t>
  </si>
  <si>
    <t>PAY00563</t>
  </si>
  <si>
    <t>PAY00564</t>
  </si>
  <si>
    <t>PAY00565</t>
  </si>
  <si>
    <t>PAY00566</t>
  </si>
  <si>
    <t>PAY00567</t>
  </si>
  <si>
    <t>PAY00568</t>
  </si>
  <si>
    <t>PAY00569</t>
  </si>
  <si>
    <t>PAY00570</t>
  </si>
  <si>
    <t>PAY00571</t>
  </si>
  <si>
    <t>PAY00572</t>
  </si>
  <si>
    <t>PAY00573</t>
  </si>
  <si>
    <t>PAY00574</t>
  </si>
  <si>
    <t>PAY00575</t>
  </si>
  <si>
    <t>PAY00576</t>
  </si>
  <si>
    <t>PAY00577</t>
  </si>
  <si>
    <t>PAY00578</t>
  </si>
  <si>
    <t>PAY00579</t>
  </si>
  <si>
    <t>PAY00580</t>
  </si>
  <si>
    <t>PAY00581</t>
  </si>
  <si>
    <t>PAY00582</t>
  </si>
  <si>
    <t>PAY00583</t>
  </si>
  <si>
    <t>PAY00584</t>
  </si>
  <si>
    <t>PAY00585</t>
  </si>
  <si>
    <t>PAY00586</t>
  </si>
  <si>
    <t>PAY00587</t>
  </si>
  <si>
    <t>PAY00588</t>
  </si>
  <si>
    <t>PAY00589</t>
  </si>
  <si>
    <t>PAY00590</t>
  </si>
  <si>
    <t>PAY00591</t>
  </si>
  <si>
    <t>PAY00592</t>
  </si>
  <si>
    <t>PAY00593</t>
  </si>
  <si>
    <t>PAY00594</t>
  </si>
  <si>
    <t>PAY00595</t>
  </si>
  <si>
    <t>PAY00596</t>
  </si>
  <si>
    <t>PAY00597</t>
  </si>
  <si>
    <t>PAY00598</t>
  </si>
  <si>
    <t>PAY00599</t>
  </si>
  <si>
    <t>PAY00600</t>
  </si>
  <si>
    <t>PAY00601</t>
  </si>
  <si>
    <t>PAY00602</t>
  </si>
  <si>
    <t>PAY00603</t>
  </si>
  <si>
    <t>PAY00604</t>
  </si>
  <si>
    <t>PAY00605</t>
  </si>
  <si>
    <t>PAY00606</t>
  </si>
  <si>
    <t>PAY00607</t>
  </si>
  <si>
    <t>PAY00608</t>
  </si>
  <si>
    <t>PAY00609</t>
  </si>
  <si>
    <t>PAY00610</t>
  </si>
  <si>
    <t>PAY00611</t>
  </si>
  <si>
    <t>PAY00612</t>
  </si>
  <si>
    <t>PAY00613</t>
  </si>
  <si>
    <t>PAY00614</t>
  </si>
  <si>
    <t>PAY00615</t>
  </si>
  <si>
    <t>PAY00616</t>
  </si>
  <si>
    <t>PAY00617</t>
  </si>
  <si>
    <t>PAY00618</t>
  </si>
  <si>
    <t>PAY00619</t>
  </si>
  <si>
    <t>PAY00620</t>
  </si>
  <si>
    <t>PAY00621</t>
  </si>
  <si>
    <t>PAY00622</t>
  </si>
  <si>
    <t>PAY00623</t>
  </si>
  <si>
    <t>PAY00624</t>
  </si>
  <si>
    <t>PAY00625</t>
  </si>
  <si>
    <t>PAY00626</t>
  </si>
  <si>
    <t>PAY00627</t>
  </si>
  <si>
    <t>PAY00628</t>
  </si>
  <si>
    <t>PAY00629</t>
  </si>
  <si>
    <t>PAY00630</t>
  </si>
  <si>
    <t>PAY00631</t>
  </si>
  <si>
    <t>PAY00632</t>
  </si>
  <si>
    <t>PAY00633</t>
  </si>
  <si>
    <t>PAY00634</t>
  </si>
  <si>
    <t>PAY00635</t>
  </si>
  <si>
    <t>PAY00636</t>
  </si>
  <si>
    <t>PAY00637</t>
  </si>
  <si>
    <t>PAY00638</t>
  </si>
  <si>
    <t>PAY00639</t>
  </si>
  <si>
    <t>PAY00640</t>
  </si>
  <si>
    <t>PAY00641</t>
  </si>
  <si>
    <t>PAY00642</t>
  </si>
  <si>
    <t>PAY00643</t>
  </si>
  <si>
    <t>PAY00644</t>
  </si>
  <si>
    <t>PAY00645</t>
  </si>
  <si>
    <t>PAY00646</t>
  </si>
  <si>
    <t>PAY00647</t>
  </si>
  <si>
    <t>PAY00648</t>
  </si>
  <si>
    <t>PAY00649</t>
  </si>
  <si>
    <t>PAY00650</t>
  </si>
  <si>
    <t>PAY00651</t>
  </si>
  <si>
    <t>PAY00652</t>
  </si>
  <si>
    <t>PAY00653</t>
  </si>
  <si>
    <t>PAY00654</t>
  </si>
  <si>
    <t>PAY00655</t>
  </si>
  <si>
    <t>PAY00656</t>
  </si>
  <si>
    <t>PAY00657</t>
  </si>
  <si>
    <t>PAY00658</t>
  </si>
  <si>
    <t>PAY00659</t>
  </si>
  <si>
    <t>PAY00660</t>
  </si>
  <si>
    <t>PAY00661</t>
  </si>
  <si>
    <t>PAY00662</t>
  </si>
  <si>
    <t>PAY00663</t>
  </si>
  <si>
    <t>PAY00664</t>
  </si>
  <si>
    <t>PAY00665</t>
  </si>
  <si>
    <t>PAY00666</t>
  </si>
  <si>
    <t>PAY00667</t>
  </si>
  <si>
    <t>PAY00668</t>
  </si>
  <si>
    <t>PAY00669</t>
  </si>
  <si>
    <t>PAY00670</t>
  </si>
  <si>
    <t>PAY00671</t>
  </si>
  <si>
    <t>PAY00672</t>
  </si>
  <si>
    <t>PAY00673</t>
  </si>
  <si>
    <t>PAY00674</t>
  </si>
  <si>
    <t>PAY00675</t>
  </si>
  <si>
    <t>PAY00676</t>
  </si>
  <si>
    <t>PAY00677</t>
  </si>
  <si>
    <t>PAY00678</t>
  </si>
  <si>
    <t>PAY00679</t>
  </si>
  <si>
    <t>PAY00680</t>
  </si>
  <si>
    <t>PAY00681</t>
  </si>
  <si>
    <t>PAY00682</t>
  </si>
  <si>
    <t>PAY00683</t>
  </si>
  <si>
    <t>PAY00684</t>
  </si>
  <si>
    <t>PAY00685</t>
  </si>
  <si>
    <t>PAY00686</t>
  </si>
  <si>
    <t>PAY00687</t>
  </si>
  <si>
    <t>PAY00688</t>
  </si>
  <si>
    <t>PAY00689</t>
  </si>
  <si>
    <t>PAY00690</t>
  </si>
  <si>
    <t>PAY00691</t>
  </si>
  <si>
    <t>PAY00692</t>
  </si>
  <si>
    <t>PAY00693</t>
  </si>
  <si>
    <t>PAY00694</t>
  </si>
  <si>
    <t>PAY00695</t>
  </si>
  <si>
    <t>PAY00696</t>
  </si>
  <si>
    <t>PAY00697</t>
  </si>
  <si>
    <t>PAY00698</t>
  </si>
  <si>
    <t>PAY00699</t>
  </si>
  <si>
    <t>PAY00700</t>
  </si>
  <si>
    <t>PAY00701</t>
  </si>
  <si>
    <t>PAY00702</t>
  </si>
  <si>
    <t>PAY00703</t>
  </si>
  <si>
    <t>PAY00704</t>
  </si>
  <si>
    <t>PAY00705</t>
  </si>
  <si>
    <t>PAY00706</t>
  </si>
  <si>
    <t>PAY00707</t>
  </si>
  <si>
    <t>PAY00708</t>
  </si>
  <si>
    <t>PAY00709</t>
  </si>
  <si>
    <t>PAY00710</t>
  </si>
  <si>
    <t>PAY00711</t>
  </si>
  <si>
    <t>PAY00712</t>
  </si>
  <si>
    <t>PAY00713</t>
  </si>
  <si>
    <t>PAY00714</t>
  </si>
  <si>
    <t>PAY00715</t>
  </si>
  <si>
    <t>PAY00716</t>
  </si>
  <si>
    <t>PAY00717</t>
  </si>
  <si>
    <t>PAY00718</t>
  </si>
  <si>
    <t>PAY00719</t>
  </si>
  <si>
    <t>PAY00720</t>
  </si>
  <si>
    <t>PAY00721</t>
  </si>
  <si>
    <t>PAY00722</t>
  </si>
  <si>
    <t>PAY00723</t>
  </si>
  <si>
    <t>PAY00724</t>
  </si>
  <si>
    <t>PAY00725</t>
  </si>
  <si>
    <t>PAY00726</t>
  </si>
  <si>
    <t>PAY00727</t>
  </si>
  <si>
    <t>PAY00728</t>
  </si>
  <si>
    <t>PAY00729</t>
  </si>
  <si>
    <t>PAY00730</t>
  </si>
  <si>
    <t>PAY00731</t>
  </si>
  <si>
    <t>PAY00732</t>
  </si>
  <si>
    <t>PAY00733</t>
  </si>
  <si>
    <t>PAY00734</t>
  </si>
  <si>
    <t>PAY00735</t>
  </si>
  <si>
    <t>PAY00736</t>
  </si>
  <si>
    <t>PAY00737</t>
  </si>
  <si>
    <t>PAY00738</t>
  </si>
  <si>
    <t>PAY00739</t>
  </si>
  <si>
    <t>PAY00740</t>
  </si>
  <si>
    <t>PAY00741</t>
  </si>
  <si>
    <t>PAY00742</t>
  </si>
  <si>
    <t>PAY00743</t>
  </si>
  <si>
    <t>PAY00744</t>
  </si>
  <si>
    <t>PAY00745</t>
  </si>
  <si>
    <t>PAY00746</t>
  </si>
  <si>
    <t>PAY00747</t>
  </si>
  <si>
    <t>PAY00748</t>
  </si>
  <si>
    <t>PAY00749</t>
  </si>
  <si>
    <t>PAY00750</t>
  </si>
  <si>
    <t>PAY00751</t>
  </si>
  <si>
    <t>PAY00752</t>
  </si>
  <si>
    <t>PAY00753</t>
  </si>
  <si>
    <t>PAY00754</t>
  </si>
  <si>
    <t>PAY00755</t>
  </si>
  <si>
    <t>PAY00756</t>
  </si>
  <si>
    <t>PAY00757</t>
  </si>
  <si>
    <t>PAY00758</t>
  </si>
  <si>
    <t>PAY00759</t>
  </si>
  <si>
    <t>PAY00760</t>
  </si>
  <si>
    <t>PAY00761</t>
  </si>
  <si>
    <t>PAY00762</t>
  </si>
  <si>
    <t>PAY00763</t>
  </si>
  <si>
    <t>PAY00764</t>
  </si>
  <si>
    <t>PAY00765</t>
  </si>
  <si>
    <t>PAY00766</t>
  </si>
  <si>
    <t>PAY00767</t>
  </si>
  <si>
    <t>PAY00768</t>
  </si>
  <si>
    <t>PAY00769</t>
  </si>
  <si>
    <t>PAY00770</t>
  </si>
  <si>
    <t>PAY00771</t>
  </si>
  <si>
    <t>PAY00772</t>
  </si>
  <si>
    <t>PAY00773</t>
  </si>
  <si>
    <t>PAY00774</t>
  </si>
  <si>
    <t>PAY00775</t>
  </si>
  <si>
    <t>PAY00776</t>
  </si>
  <si>
    <t>PAY00777</t>
  </si>
  <si>
    <t>PAY00778</t>
  </si>
  <si>
    <t>PAY00779</t>
  </si>
  <si>
    <t>PAY00780</t>
  </si>
  <si>
    <t>PAY00781</t>
  </si>
  <si>
    <t>PAY00782</t>
  </si>
  <si>
    <t>PAY00783</t>
  </si>
  <si>
    <t>PAY00784</t>
  </si>
  <si>
    <t>PAY00785</t>
  </si>
  <si>
    <t>PAY00786</t>
  </si>
  <si>
    <t>PAY00787</t>
  </si>
  <si>
    <t>PAY00788</t>
  </si>
  <si>
    <t>PAY00789</t>
  </si>
  <si>
    <t>PAY00790</t>
  </si>
  <si>
    <t>PAY00791</t>
  </si>
  <si>
    <t>PAY00792</t>
  </si>
  <si>
    <t>PAY00793</t>
  </si>
  <si>
    <t>PAY00794</t>
  </si>
  <si>
    <t>PAY00795</t>
  </si>
  <si>
    <t>PAY00796</t>
  </si>
  <si>
    <t>PAY00797</t>
  </si>
  <si>
    <t>PAY00798</t>
  </si>
  <si>
    <t>PAY00799</t>
  </si>
  <si>
    <t>PAY00800</t>
  </si>
  <si>
    <t>PAY00801</t>
  </si>
  <si>
    <t>PAY00802</t>
  </si>
  <si>
    <t>PAY00803</t>
  </si>
  <si>
    <t>PAY00804</t>
  </si>
  <si>
    <t>PAY00805</t>
  </si>
  <si>
    <t>PAY00806</t>
  </si>
  <si>
    <t>PAY00807</t>
  </si>
  <si>
    <t>PAY00808</t>
  </si>
  <si>
    <t>PAY00809</t>
  </si>
  <si>
    <t>PAY00810</t>
  </si>
  <si>
    <t>PAY00811</t>
  </si>
  <si>
    <t>PAY00812</t>
  </si>
  <si>
    <t>PAY00813</t>
  </si>
  <si>
    <t>PAY00814</t>
  </si>
  <si>
    <t>PAY00815</t>
  </si>
  <si>
    <t>PAY00816</t>
  </si>
  <si>
    <t>PAY00817</t>
  </si>
  <si>
    <t>PAY00818</t>
  </si>
  <si>
    <t>PAY00819</t>
  </si>
  <si>
    <t>PAY00820</t>
  </si>
  <si>
    <t>PAY00821</t>
  </si>
  <si>
    <t>PAY00822</t>
  </si>
  <si>
    <t>PAY00823</t>
  </si>
  <si>
    <t>PAY00824</t>
  </si>
  <si>
    <t>PAY00825</t>
  </si>
  <si>
    <t>PAY00826</t>
  </si>
  <si>
    <t>PAY00827</t>
  </si>
  <si>
    <t>PAY00828</t>
  </si>
  <si>
    <t>PAY00829</t>
  </si>
  <si>
    <t>PAY00830</t>
  </si>
  <si>
    <t>PAY00831</t>
  </si>
  <si>
    <t>PAY00832</t>
  </si>
  <si>
    <t>PAY00833</t>
  </si>
  <si>
    <t>PAY00834</t>
  </si>
  <si>
    <t>PAY00835</t>
  </si>
  <si>
    <t>PAY00836</t>
  </si>
  <si>
    <t>PAY00837</t>
  </si>
  <si>
    <t>PAY00838</t>
  </si>
  <si>
    <t>PAY00839</t>
  </si>
  <si>
    <t>PAY00840</t>
  </si>
  <si>
    <t>PAY00841</t>
  </si>
  <si>
    <t>PAY00842</t>
  </si>
  <si>
    <t>PAY00843</t>
  </si>
  <si>
    <t>PAY00844</t>
  </si>
  <si>
    <t>PAY00845</t>
  </si>
  <si>
    <t>PAY00846</t>
  </si>
  <si>
    <t>PAY00847</t>
  </si>
  <si>
    <t>PAY00848</t>
  </si>
  <si>
    <t>PAY00849</t>
  </si>
  <si>
    <t>PAY00850</t>
  </si>
  <si>
    <t>PAY00851</t>
  </si>
  <si>
    <t>PAY00852</t>
  </si>
  <si>
    <t>PAY00853</t>
  </si>
  <si>
    <t>PAY00854</t>
  </si>
  <si>
    <t>PAY00855</t>
  </si>
  <si>
    <t>PAY00856</t>
  </si>
  <si>
    <t>PAY00857</t>
  </si>
  <si>
    <t>PAY00858</t>
  </si>
  <si>
    <t>PAY00859</t>
  </si>
  <si>
    <t>PAY00860</t>
  </si>
  <si>
    <t>PAY00861</t>
  </si>
  <si>
    <t>PAY00862</t>
  </si>
  <si>
    <t>PAY00863</t>
  </si>
  <si>
    <t>PAY00864</t>
  </si>
  <si>
    <t>PAY00865</t>
  </si>
  <si>
    <t>PAY00866</t>
  </si>
  <si>
    <t>PAY00867</t>
  </si>
  <si>
    <t>PAY00868</t>
  </si>
  <si>
    <t>PAY00869</t>
  </si>
  <si>
    <t>PAY00870</t>
  </si>
  <si>
    <t>PAY00871</t>
  </si>
  <si>
    <t>PAY00872</t>
  </si>
  <si>
    <t>PAY00873</t>
  </si>
  <si>
    <t>PAY00874</t>
  </si>
  <si>
    <t>PAY00875</t>
  </si>
  <si>
    <t>PAY00876</t>
  </si>
  <si>
    <t>PAY00877</t>
  </si>
  <si>
    <t>PAY00878</t>
  </si>
  <si>
    <t>PAY00879</t>
  </si>
  <si>
    <t>PAY00880</t>
  </si>
  <si>
    <t>PAY00881</t>
  </si>
  <si>
    <t>PAY00882</t>
  </si>
  <si>
    <t>PAY00883</t>
  </si>
  <si>
    <t>PAY00884</t>
  </si>
  <si>
    <t>PAY00885</t>
  </si>
  <si>
    <t>PAY00886</t>
  </si>
  <si>
    <t>PAY00887</t>
  </si>
  <si>
    <t>PAY00888</t>
  </si>
  <si>
    <t>PAY00889</t>
  </si>
  <si>
    <t>PAY00890</t>
  </si>
  <si>
    <t>PAY00891</t>
  </si>
  <si>
    <t>PAY00892</t>
  </si>
  <si>
    <t>PAY00893</t>
  </si>
  <si>
    <t>PAY00894</t>
  </si>
  <si>
    <t>PAY00895</t>
  </si>
  <si>
    <t>PAY00896</t>
  </si>
  <si>
    <t>PAY00897</t>
  </si>
  <si>
    <t>PAY00898</t>
  </si>
  <si>
    <t>PAY00899</t>
  </si>
  <si>
    <t>PAY00900</t>
  </si>
  <si>
    <t>PAY00901</t>
  </si>
  <si>
    <t>PAY00902</t>
  </si>
  <si>
    <t>PAY00903</t>
  </si>
  <si>
    <t>PAY00904</t>
  </si>
  <si>
    <t>PAY00905</t>
  </si>
  <si>
    <t>PAY00906</t>
  </si>
  <si>
    <t>PAY00907</t>
  </si>
  <si>
    <t>PAY00908</t>
  </si>
  <si>
    <t>PAY00909</t>
  </si>
  <si>
    <t>PAY00910</t>
  </si>
  <si>
    <t>PAY00911</t>
  </si>
  <si>
    <t>PAY00912</t>
  </si>
  <si>
    <t>PAY00913</t>
  </si>
  <si>
    <t>PAY00914</t>
  </si>
  <si>
    <t>PAY00915</t>
  </si>
  <si>
    <t>PAY00916</t>
  </si>
  <si>
    <t>PAY00917</t>
  </si>
  <si>
    <t>PAY00918</t>
  </si>
  <si>
    <t>PAY00919</t>
  </si>
  <si>
    <t>PAY00920</t>
  </si>
  <si>
    <t>PAY00921</t>
  </si>
  <si>
    <t>PAY00922</t>
  </si>
  <si>
    <t>PAY00923</t>
  </si>
  <si>
    <t>PAY00924</t>
  </si>
  <si>
    <t>PAY00925</t>
  </si>
  <si>
    <t>PAY00926</t>
  </si>
  <si>
    <t>PAY00927</t>
  </si>
  <si>
    <t>PAY00928</t>
  </si>
  <si>
    <t>PAY00929</t>
  </si>
  <si>
    <t>PAY00930</t>
  </si>
  <si>
    <t>PAY00931</t>
  </si>
  <si>
    <t>PAY00932</t>
  </si>
  <si>
    <t>PAY00933</t>
  </si>
  <si>
    <t>PAY00934</t>
  </si>
  <si>
    <t>PAY00935</t>
  </si>
  <si>
    <t>PAY00936</t>
  </si>
  <si>
    <t>PAY00937</t>
  </si>
  <si>
    <t>PAY00938</t>
  </si>
  <si>
    <t>PAY00939</t>
  </si>
  <si>
    <t>PAY00940</t>
  </si>
  <si>
    <t>PAY00941</t>
  </si>
  <si>
    <t>PAY00942</t>
  </si>
  <si>
    <t>PAY00943</t>
  </si>
  <si>
    <t>PAY00944</t>
  </si>
  <si>
    <t>PAY00945</t>
  </si>
  <si>
    <t>PAY00946</t>
  </si>
  <si>
    <t>PAY00947</t>
  </si>
  <si>
    <t>PAY00948</t>
  </si>
  <si>
    <t>PAY00949</t>
  </si>
  <si>
    <t>PAY00950</t>
  </si>
  <si>
    <t>PAY00951</t>
  </si>
  <si>
    <t>PAY00952</t>
  </si>
  <si>
    <t>PAY00953</t>
  </si>
  <si>
    <t>PAY00954</t>
  </si>
  <si>
    <t>PAY00955</t>
  </si>
  <si>
    <t>PAY00956</t>
  </si>
  <si>
    <t>PAY00957</t>
  </si>
  <si>
    <t>PAY00958</t>
  </si>
  <si>
    <t>PAY00959</t>
  </si>
  <si>
    <t>PAY00960</t>
  </si>
  <si>
    <t>PAY00961</t>
  </si>
  <si>
    <t>PAY00962</t>
  </si>
  <si>
    <t>PAY00963</t>
  </si>
  <si>
    <t>PAY00964</t>
  </si>
  <si>
    <t>PAY00965</t>
  </si>
  <si>
    <t>PAY00966</t>
  </si>
  <si>
    <t>PAY00967</t>
  </si>
  <si>
    <t>PAY00968</t>
  </si>
  <si>
    <t>PAY00969</t>
  </si>
  <si>
    <t>PAY00970</t>
  </si>
  <si>
    <t>PAY00971</t>
  </si>
  <si>
    <t>PAY00972</t>
  </si>
  <si>
    <t>PAY00973</t>
  </si>
  <si>
    <t>PAY00974</t>
  </si>
  <si>
    <t>PAY00975</t>
  </si>
  <si>
    <t>PAY00976</t>
  </si>
  <si>
    <t>PAY00977</t>
  </si>
  <si>
    <t>PAY00978</t>
  </si>
  <si>
    <t>PAY00979</t>
  </si>
  <si>
    <t>PAY00980</t>
  </si>
  <si>
    <t>PAY00981</t>
  </si>
  <si>
    <t>PAY00982</t>
  </si>
  <si>
    <t>PAY00983</t>
  </si>
  <si>
    <t>PAY00984</t>
  </si>
  <si>
    <t>PAY00985</t>
  </si>
  <si>
    <t>PAY00986</t>
  </si>
  <si>
    <t>PAY00987</t>
  </si>
  <si>
    <t>PAY00988</t>
  </si>
  <si>
    <t>PAY00989</t>
  </si>
  <si>
    <t>PAY00990</t>
  </si>
  <si>
    <t>PAY00991</t>
  </si>
  <si>
    <t>PAY00992</t>
  </si>
  <si>
    <t>PAY00993</t>
  </si>
  <si>
    <t>PAY00994</t>
  </si>
  <si>
    <t>PAY00995</t>
  </si>
  <si>
    <t>PAY00996</t>
  </si>
  <si>
    <t>PAY00997</t>
  </si>
  <si>
    <t>PAY00998</t>
  </si>
  <si>
    <t>PAY00999</t>
  </si>
  <si>
    <t>PAY01000</t>
  </si>
  <si>
    <t>PAY01001</t>
  </si>
  <si>
    <t>PAY01002</t>
  </si>
  <si>
    <t>PAY01003</t>
  </si>
  <si>
    <t>PAY01004</t>
  </si>
  <si>
    <t>PAY01005</t>
  </si>
  <si>
    <t>PAY01006</t>
  </si>
  <si>
    <t>PAY01007</t>
  </si>
  <si>
    <t>PAY01008</t>
  </si>
  <si>
    <t>PAY01009</t>
  </si>
  <si>
    <t>PAY01010</t>
  </si>
  <si>
    <t>PAY01011</t>
  </si>
  <si>
    <t>PAY01012</t>
  </si>
  <si>
    <t>PAY01013</t>
  </si>
  <si>
    <t>PAY01014</t>
  </si>
  <si>
    <t>PAY01015</t>
  </si>
  <si>
    <t>PAY01016</t>
  </si>
  <si>
    <t>PAY01017</t>
  </si>
  <si>
    <t>PAY01018</t>
  </si>
  <si>
    <t>PAY01019</t>
  </si>
  <si>
    <t>PAY01020</t>
  </si>
  <si>
    <t>PAY01021</t>
  </si>
  <si>
    <t>PAY01022</t>
  </si>
  <si>
    <t>PAY01023</t>
  </si>
  <si>
    <t>PAY01024</t>
  </si>
  <si>
    <t>PAY01025</t>
  </si>
  <si>
    <t>PAY01026</t>
  </si>
  <si>
    <t>PAY01027</t>
  </si>
  <si>
    <t>PAY01028</t>
  </si>
  <si>
    <t>PAY01029</t>
  </si>
  <si>
    <t>PAY01030</t>
  </si>
  <si>
    <t>PAY01031</t>
  </si>
  <si>
    <t>PAY01032</t>
  </si>
  <si>
    <t>PAY01033</t>
  </si>
  <si>
    <t>PAY01034</t>
  </si>
  <si>
    <t>PAY01035</t>
  </si>
  <si>
    <t>PAY01036</t>
  </si>
  <si>
    <t>PAY01037</t>
  </si>
  <si>
    <t>PAY01038</t>
  </si>
  <si>
    <t>PAY01039</t>
  </si>
  <si>
    <t>PAY01040</t>
  </si>
  <si>
    <t>PAY01041</t>
  </si>
  <si>
    <t>PAY01042</t>
  </si>
  <si>
    <t>PAY01043</t>
  </si>
  <si>
    <t>PAY01044</t>
  </si>
  <si>
    <t>PAY01045</t>
  </si>
  <si>
    <t>PAY01046</t>
  </si>
  <si>
    <t>PAY01047</t>
  </si>
  <si>
    <t>PAY01048</t>
  </si>
  <si>
    <t>PAY01049</t>
  </si>
  <si>
    <t>PAY01050</t>
  </si>
  <si>
    <t>PAY01051</t>
  </si>
  <si>
    <t>PAY01052</t>
  </si>
  <si>
    <t>PAY01053</t>
  </si>
  <si>
    <t>PAY01054</t>
  </si>
  <si>
    <t>PAY01055</t>
  </si>
  <si>
    <t>PAY01056</t>
  </si>
  <si>
    <t>PAY01057</t>
  </si>
  <si>
    <t>PAY01058</t>
  </si>
  <si>
    <t>PAY01059</t>
  </si>
  <si>
    <t>PAY01060</t>
  </si>
  <si>
    <t>PAY01061</t>
  </si>
  <si>
    <t>PAY01062</t>
  </si>
  <si>
    <t>PAY01063</t>
  </si>
  <si>
    <t>PAY01064</t>
  </si>
  <si>
    <t>PAY01065</t>
  </si>
  <si>
    <t>PAY01066</t>
  </si>
  <si>
    <t>PAY01067</t>
  </si>
  <si>
    <t>PAY01068</t>
  </si>
  <si>
    <t>PAY01069</t>
  </si>
  <si>
    <t>PAY01070</t>
  </si>
  <si>
    <t>PAY01071</t>
  </si>
  <si>
    <t>PAY01072</t>
  </si>
  <si>
    <t>PAY01073</t>
  </si>
  <si>
    <t>PAY01074</t>
  </si>
  <si>
    <t>PAY01075</t>
  </si>
  <si>
    <t>PAY01076</t>
  </si>
  <si>
    <t>PAY01077</t>
  </si>
  <si>
    <t>PAY01078</t>
  </si>
  <si>
    <t>PAY01079</t>
  </si>
  <si>
    <t>PAY01080</t>
  </si>
  <si>
    <t>PAY01081</t>
  </si>
  <si>
    <t>PAY01082</t>
  </si>
  <si>
    <t>PAY01083</t>
  </si>
  <si>
    <t>PAY01084</t>
  </si>
  <si>
    <t>PAY01085</t>
  </si>
  <si>
    <t>PAY01086</t>
  </si>
  <si>
    <t>PAY01087</t>
  </si>
  <si>
    <t>PAY01088</t>
  </si>
  <si>
    <t>PAY01089</t>
  </si>
  <si>
    <t>PAY01090</t>
  </si>
  <si>
    <t>PAY01091</t>
  </si>
  <si>
    <t>PAY01092</t>
  </si>
  <si>
    <t>PAY01093</t>
  </si>
  <si>
    <t>PAY01094</t>
  </si>
  <si>
    <t>PAY01095</t>
  </si>
  <si>
    <t>PAY01096</t>
  </si>
  <si>
    <t>PAY01097</t>
  </si>
  <si>
    <t>PAY01098</t>
  </si>
  <si>
    <t>PAY01099</t>
  </si>
  <si>
    <t>PAY01100</t>
  </si>
  <si>
    <t>PAY01101</t>
  </si>
  <si>
    <t>PAY01102</t>
  </si>
  <si>
    <t>PAY01103</t>
  </si>
  <si>
    <t>PAY01104</t>
  </si>
  <si>
    <t>PAY01105</t>
  </si>
  <si>
    <t>PAY01106</t>
  </si>
  <si>
    <t>PAY01107</t>
  </si>
  <si>
    <t>PAY01108</t>
  </si>
  <si>
    <t>PAY01109</t>
  </si>
  <si>
    <t>PAY01110</t>
  </si>
  <si>
    <t>PAY01111</t>
  </si>
  <si>
    <t>PAY01112</t>
  </si>
  <si>
    <t>PAY01113</t>
  </si>
  <si>
    <t>PAY01114</t>
  </si>
  <si>
    <t>PAY01115</t>
  </si>
  <si>
    <t>PAY01116</t>
  </si>
  <si>
    <t>PAY01117</t>
  </si>
  <si>
    <t>PAY01118</t>
  </si>
  <si>
    <t>PAY01119</t>
  </si>
  <si>
    <t>PAY01120</t>
  </si>
  <si>
    <t>PAY01121</t>
  </si>
  <si>
    <t>PAY01122</t>
  </si>
  <si>
    <t>PAY01123</t>
  </si>
  <si>
    <t>PAY01124</t>
  </si>
  <si>
    <t>PAY01125</t>
  </si>
  <si>
    <t>PAY01126</t>
  </si>
  <si>
    <t>PAY01127</t>
  </si>
  <si>
    <t>PAY01128</t>
  </si>
  <si>
    <t>PAY01129</t>
  </si>
  <si>
    <t>PAY01130</t>
  </si>
  <si>
    <t>PAY01131</t>
  </si>
  <si>
    <t>PAY01132</t>
  </si>
  <si>
    <t>PAY01133</t>
  </si>
  <si>
    <t>PAY01134</t>
  </si>
  <si>
    <t>PAY01135</t>
  </si>
  <si>
    <t>PAY01136</t>
  </si>
  <si>
    <t>PAY01137</t>
  </si>
  <si>
    <t>PAY01138</t>
  </si>
  <si>
    <t>PAY01139</t>
  </si>
  <si>
    <t>PAY01140</t>
  </si>
  <si>
    <t>PAY01141</t>
  </si>
  <si>
    <t>PAY01142</t>
  </si>
  <si>
    <t>PAY01143</t>
  </si>
  <si>
    <t>PAY01144</t>
  </si>
  <si>
    <t>PAY01145</t>
  </si>
  <si>
    <t>PAY01146</t>
  </si>
  <si>
    <t>PAY01147</t>
  </si>
  <si>
    <t>PAY01148</t>
  </si>
  <si>
    <t>PAY01149</t>
  </si>
  <si>
    <t>PAY01150</t>
  </si>
  <si>
    <t>PAY01151</t>
  </si>
  <si>
    <t>PAY01152</t>
  </si>
  <si>
    <t>PAY01153</t>
  </si>
  <si>
    <t>PAY01154</t>
  </si>
  <si>
    <t>PAY01155</t>
  </si>
  <si>
    <t>PAY01156</t>
  </si>
  <si>
    <t>PAY01157</t>
  </si>
  <si>
    <t>PAY01158</t>
  </si>
  <si>
    <t>PAY01159</t>
  </si>
  <si>
    <t>PAY01160</t>
  </si>
  <si>
    <t>PAY01161</t>
  </si>
  <si>
    <t>PAY01162</t>
  </si>
  <si>
    <t>PAY01163</t>
  </si>
  <si>
    <t>PAY01164</t>
  </si>
  <si>
    <t>PAY01165</t>
  </si>
  <si>
    <t>PAY01166</t>
  </si>
  <si>
    <t>PAY01167</t>
  </si>
  <si>
    <t>PAY01168</t>
  </si>
  <si>
    <t>PAY01169</t>
  </si>
  <si>
    <t>PAY01170</t>
  </si>
  <si>
    <t>PAY01171</t>
  </si>
  <si>
    <t>PAY01172</t>
  </si>
  <si>
    <t>PAY01173</t>
  </si>
  <si>
    <t>PAY01174</t>
  </si>
  <si>
    <t>PAY01175</t>
  </si>
  <si>
    <t>PAY01176</t>
  </si>
  <si>
    <t>PAY01177</t>
  </si>
  <si>
    <t>PAY01178</t>
  </si>
  <si>
    <t>PAY01179</t>
  </si>
  <si>
    <t>PAY01180</t>
  </si>
  <si>
    <t>PAY01181</t>
  </si>
  <si>
    <t>PAY01182</t>
  </si>
  <si>
    <t>PAY01183</t>
  </si>
  <si>
    <t>PAY01184</t>
  </si>
  <si>
    <t>PAY01185</t>
  </si>
  <si>
    <t>PAY01186</t>
  </si>
  <si>
    <t>PAY01187</t>
  </si>
  <si>
    <t>PAY01188</t>
  </si>
  <si>
    <t>PAY01189</t>
  </si>
  <si>
    <t>PAY01190</t>
  </si>
  <si>
    <t>PAY01191</t>
  </si>
  <si>
    <t>PAY01192</t>
  </si>
  <si>
    <t>PAY01193</t>
  </si>
  <si>
    <t>PAY01194</t>
  </si>
  <si>
    <t>PAY01195</t>
  </si>
  <si>
    <t>PAY01196</t>
  </si>
  <si>
    <t>PAY01197</t>
  </si>
  <si>
    <t>PAY01198</t>
  </si>
  <si>
    <t>PAY01199</t>
  </si>
  <si>
    <t>PAY01200</t>
  </si>
  <si>
    <t>PAY01201</t>
  </si>
  <si>
    <t>PAY01202</t>
  </si>
  <si>
    <t>PAY01203</t>
  </si>
  <si>
    <t>PAY01204</t>
  </si>
  <si>
    <t>PAY01205</t>
  </si>
  <si>
    <t>PAY01206</t>
  </si>
  <si>
    <t>PAY01207</t>
  </si>
  <si>
    <t>PAY01208</t>
  </si>
  <si>
    <t>PAY01209</t>
  </si>
  <si>
    <t>PAY01210</t>
  </si>
  <si>
    <t>PAY01211</t>
  </si>
  <si>
    <t>PAY01212</t>
  </si>
  <si>
    <t>PAY01213</t>
  </si>
  <si>
    <t>PAY01214</t>
  </si>
  <si>
    <t>PAY01215</t>
  </si>
  <si>
    <t>PAY01216</t>
  </si>
  <si>
    <t>PAY01217</t>
  </si>
  <si>
    <t>PAY01218</t>
  </si>
  <si>
    <t>PAY01219</t>
  </si>
  <si>
    <t>PAY01220</t>
  </si>
  <si>
    <t>PAY01221</t>
  </si>
  <si>
    <t>PAY01222</t>
  </si>
  <si>
    <t>PAY01223</t>
  </si>
  <si>
    <t>PAY01224</t>
  </si>
  <si>
    <t>PAY01225</t>
  </si>
  <si>
    <t>PAY01226</t>
  </si>
  <si>
    <t>PAY01227</t>
  </si>
  <si>
    <t>PAY01228</t>
  </si>
  <si>
    <t>PAY01229</t>
  </si>
  <si>
    <t>PAY01230</t>
  </si>
  <si>
    <t>PAY01231</t>
  </si>
  <si>
    <t>PAY01232</t>
  </si>
  <si>
    <t>PAY01233</t>
  </si>
  <si>
    <t>PAY01234</t>
  </si>
  <si>
    <t>PAY01235</t>
  </si>
  <si>
    <t>PAY01236</t>
  </si>
  <si>
    <t>PAY01237</t>
  </si>
  <si>
    <t>PAY01238</t>
  </si>
  <si>
    <t>PAY01239</t>
  </si>
  <si>
    <t>PAY01240</t>
  </si>
  <si>
    <t>PAY01241</t>
  </si>
  <si>
    <t>PAY01242</t>
  </si>
  <si>
    <t>PAY01243</t>
  </si>
  <si>
    <t>PAY01244</t>
  </si>
  <si>
    <t>PAY01245</t>
  </si>
  <si>
    <t>PAY01246</t>
  </si>
  <si>
    <t>PAY01247</t>
  </si>
  <si>
    <t>PAY01248</t>
  </si>
  <si>
    <t>PAY01249</t>
  </si>
  <si>
    <t>PAY01250</t>
  </si>
  <si>
    <t>PAY01251</t>
  </si>
  <si>
    <t>PAY01252</t>
  </si>
  <si>
    <t>PAY01253</t>
  </si>
  <si>
    <t>PAY01254</t>
  </si>
  <si>
    <t>PAY01255</t>
  </si>
  <si>
    <t>PAY01256</t>
  </si>
  <si>
    <t>PAY01257</t>
  </si>
  <si>
    <t>PAY01258</t>
  </si>
  <si>
    <t>PAY01259</t>
  </si>
  <si>
    <t>PAY01260</t>
  </si>
  <si>
    <t>PAY01261</t>
  </si>
  <si>
    <t>PAY01262</t>
  </si>
  <si>
    <t>PAY01263</t>
  </si>
  <si>
    <t>PAY01264</t>
  </si>
  <si>
    <t>PAY01265</t>
  </si>
  <si>
    <t>PAY01266</t>
  </si>
  <si>
    <t>PAY01267</t>
  </si>
  <si>
    <t>PAY01268</t>
  </si>
  <si>
    <t>PAY01269</t>
  </si>
  <si>
    <t>PAY01270</t>
  </si>
  <si>
    <t>PAY01271</t>
  </si>
  <si>
    <t>PAY01272</t>
  </si>
  <si>
    <t>PAY01273</t>
  </si>
  <si>
    <t>PAY01274</t>
  </si>
  <si>
    <t>PAY01275</t>
  </si>
  <si>
    <t>PAY01276</t>
  </si>
  <si>
    <t>PAY01277</t>
  </si>
  <si>
    <t>PAY01278</t>
  </si>
  <si>
    <t>PAY01279</t>
  </si>
  <si>
    <t>PAY01280</t>
  </si>
  <si>
    <t>PAY01281</t>
  </si>
  <si>
    <t>PAY01282</t>
  </si>
  <si>
    <t>PAY01283</t>
  </si>
  <si>
    <t>PAY01284</t>
  </si>
  <si>
    <t>PAY01285</t>
  </si>
  <si>
    <t>PAY01286</t>
  </si>
  <si>
    <t>PAY01287</t>
  </si>
  <si>
    <t>PAY01288</t>
  </si>
  <si>
    <t>PAY01289</t>
  </si>
  <si>
    <t>PAY01290</t>
  </si>
  <si>
    <t>PAY01291</t>
  </si>
  <si>
    <t>PAY01292</t>
  </si>
  <si>
    <t>PAY01293</t>
  </si>
  <si>
    <t>PAY01294</t>
  </si>
  <si>
    <t>PAY01295</t>
  </si>
  <si>
    <t>PAY01296</t>
  </si>
  <si>
    <t>PAY01297</t>
  </si>
  <si>
    <t>PAY01298</t>
  </si>
  <si>
    <t>PAY01299</t>
  </si>
  <si>
    <t>PAY01300</t>
  </si>
  <si>
    <t>PAY01301</t>
  </si>
  <si>
    <t>PAY01302</t>
  </si>
  <si>
    <t>PAY01303</t>
  </si>
  <si>
    <t>PAY01304</t>
  </si>
  <si>
    <t>PAY01305</t>
  </si>
  <si>
    <t>PAY01306</t>
  </si>
  <si>
    <t>PAY01307</t>
  </si>
  <si>
    <t>PAY01308</t>
  </si>
  <si>
    <t>PAY01309</t>
  </si>
  <si>
    <t>PAY01310</t>
  </si>
  <si>
    <t>PAY01311</t>
  </si>
  <si>
    <t>PAY01312</t>
  </si>
  <si>
    <t>PAY01313</t>
  </si>
  <si>
    <t>PAY01314</t>
  </si>
  <si>
    <t>PAY01315</t>
  </si>
  <si>
    <t>PAY01316</t>
  </si>
  <si>
    <t>PAY01317</t>
  </si>
  <si>
    <t>PAY01318</t>
  </si>
  <si>
    <t>PAY01319</t>
  </si>
  <si>
    <t>PAY01320</t>
  </si>
  <si>
    <t>PAY01321</t>
  </si>
  <si>
    <t>PAY01322</t>
  </si>
  <si>
    <t>PAY01323</t>
  </si>
  <si>
    <t>PAY01324</t>
  </si>
  <si>
    <t>PAY01325</t>
  </si>
  <si>
    <t>PAY01326</t>
  </si>
  <si>
    <t>PAY01327</t>
  </si>
  <si>
    <t>PAY01328</t>
  </si>
  <si>
    <t>PAY01329</t>
  </si>
  <si>
    <t>PAY01330</t>
  </si>
  <si>
    <t>PAY01331</t>
  </si>
  <si>
    <t>PAY01332</t>
  </si>
  <si>
    <t>PAY01333</t>
  </si>
  <si>
    <t>PAY01334</t>
  </si>
  <si>
    <t>PAY01335</t>
  </si>
  <si>
    <t>PAY01336</t>
  </si>
  <si>
    <t>PAY01337</t>
  </si>
  <si>
    <t>PAY01338</t>
  </si>
  <si>
    <t>PAY01339</t>
  </si>
  <si>
    <t>PAY01340</t>
  </si>
  <si>
    <t>PAY01341</t>
  </si>
  <si>
    <t>PAY01342</t>
  </si>
  <si>
    <t>PAY01343</t>
  </si>
  <si>
    <t>PAY01344</t>
  </si>
  <si>
    <t>PAY01345</t>
  </si>
  <si>
    <t>PAY01346</t>
  </si>
  <si>
    <t>PAY01347</t>
  </si>
  <si>
    <t>PAY01348</t>
  </si>
  <si>
    <t>PAY01349</t>
  </si>
  <si>
    <t>PAY01350</t>
  </si>
  <si>
    <t>PAY01351</t>
  </si>
  <si>
    <t>PAY01352</t>
  </si>
  <si>
    <t>PAY01353</t>
  </si>
  <si>
    <t>PAY01354</t>
  </si>
  <si>
    <t>PAY01355</t>
  </si>
  <si>
    <t>PAY01356</t>
  </si>
  <si>
    <t>PAY01357</t>
  </si>
  <si>
    <t>PAY01358</t>
  </si>
  <si>
    <t>PAY01359</t>
  </si>
  <si>
    <t>PAY01360</t>
  </si>
  <si>
    <t>PAY01361</t>
  </si>
  <si>
    <t>PAY01362</t>
  </si>
  <si>
    <t>PAY01363</t>
  </si>
  <si>
    <t>PAY01364</t>
  </si>
  <si>
    <t>PAY01365</t>
  </si>
  <si>
    <t>PAY01366</t>
  </si>
  <si>
    <t>PAY01367</t>
  </si>
  <si>
    <t>PAY01368</t>
  </si>
  <si>
    <t>PAY01369</t>
  </si>
  <si>
    <t>PAY01370</t>
  </si>
  <si>
    <t>PAY01371</t>
  </si>
  <si>
    <t>PAY01372</t>
  </si>
  <si>
    <t>PAY01373</t>
  </si>
  <si>
    <t>PAY01374</t>
  </si>
  <si>
    <t>PAY01375</t>
  </si>
  <si>
    <t>PAY01376</t>
  </si>
  <si>
    <t>PAY01377</t>
  </si>
  <si>
    <t>PAY01378</t>
  </si>
  <si>
    <t>PAY01379</t>
  </si>
  <si>
    <t>PAY01380</t>
  </si>
  <si>
    <t>PAY01381</t>
  </si>
  <si>
    <t>PAY01382</t>
  </si>
  <si>
    <t>PAY01383</t>
  </si>
  <si>
    <t>PAY01384</t>
  </si>
  <si>
    <t>PAY01385</t>
  </si>
  <si>
    <t>PAY01386</t>
  </si>
  <si>
    <t>PAY01387</t>
  </si>
  <si>
    <t>PAY01388</t>
  </si>
  <si>
    <t>PAY01389</t>
  </si>
  <si>
    <t>PAY01390</t>
  </si>
  <si>
    <t>PAY01391</t>
  </si>
  <si>
    <t>PAY01392</t>
  </si>
  <si>
    <t>PAY01393</t>
  </si>
  <si>
    <t>PAY01394</t>
  </si>
  <si>
    <t>PAY01395</t>
  </si>
  <si>
    <t>PAY01396</t>
  </si>
  <si>
    <t>PAY01397</t>
  </si>
  <si>
    <t>PAY01398</t>
  </si>
  <si>
    <t>PAY01399</t>
  </si>
  <si>
    <t>PAY01400</t>
  </si>
  <si>
    <t>PAY01401</t>
  </si>
  <si>
    <t>PAY01402</t>
  </si>
  <si>
    <t>PAY01403</t>
  </si>
  <si>
    <t>PAY01404</t>
  </si>
  <si>
    <t>PAY01405</t>
  </si>
  <si>
    <t>PAY01406</t>
  </si>
  <si>
    <t>PAY01407</t>
  </si>
  <si>
    <t>PAY01408</t>
  </si>
  <si>
    <t>PAY01409</t>
  </si>
  <si>
    <t>PAY01410</t>
  </si>
  <si>
    <t>PAY01411</t>
  </si>
  <si>
    <t>PAY01412</t>
  </si>
  <si>
    <t>PAY01413</t>
  </si>
  <si>
    <t>PAY01414</t>
  </si>
  <si>
    <t>PAY01415</t>
  </si>
  <si>
    <t>PAY01416</t>
  </si>
  <si>
    <t>PAY01417</t>
  </si>
  <si>
    <t>PAY01418</t>
  </si>
  <si>
    <t>PAY01419</t>
  </si>
  <si>
    <t>PAY01420</t>
  </si>
  <si>
    <t>PAY01421</t>
  </si>
  <si>
    <t>PAY01422</t>
  </si>
  <si>
    <t>PAY01423</t>
  </si>
  <si>
    <t>PAY01424</t>
  </si>
  <si>
    <t>PAY01425</t>
  </si>
  <si>
    <t>PAY01426</t>
  </si>
  <si>
    <t>PAY01427</t>
  </si>
  <si>
    <t>PAY01428</t>
  </si>
  <si>
    <t>PAY01429</t>
  </si>
  <si>
    <t>PAY01430</t>
  </si>
  <si>
    <t>PAY01431</t>
  </si>
  <si>
    <t>PAY01432</t>
  </si>
  <si>
    <t>PAY01433</t>
  </si>
  <si>
    <t>PAY01434</t>
  </si>
  <si>
    <t>PAY01435</t>
  </si>
  <si>
    <t>PAY01436</t>
  </si>
  <si>
    <t>PAY01437</t>
  </si>
  <si>
    <t>PAY01438</t>
  </si>
  <si>
    <t>PAY01439</t>
  </si>
  <si>
    <t>PAY01440</t>
  </si>
  <si>
    <t>PAY01441</t>
  </si>
  <si>
    <t>PAY01442</t>
  </si>
  <si>
    <t>PAY01443</t>
  </si>
  <si>
    <t>PAY01444</t>
  </si>
  <si>
    <t>PAY01445</t>
  </si>
  <si>
    <t>PAY01446</t>
  </si>
  <si>
    <t>PAY01447</t>
  </si>
  <si>
    <t>PAY01448</t>
  </si>
  <si>
    <t>PAY01449</t>
  </si>
  <si>
    <t>PAY01450</t>
  </si>
  <si>
    <t>PAY01451</t>
  </si>
  <si>
    <t>PAY01452</t>
  </si>
  <si>
    <t>PAY01453</t>
  </si>
  <si>
    <t>PAY01454</t>
  </si>
  <si>
    <t>PAY01455</t>
  </si>
  <si>
    <t>PAY01456</t>
  </si>
  <si>
    <t>PAY01457</t>
  </si>
  <si>
    <t>PAY01458</t>
  </si>
  <si>
    <t>PAY01459</t>
  </si>
  <si>
    <t>PAY01460</t>
  </si>
  <si>
    <t>PAY01461</t>
  </si>
  <si>
    <t>PAY01462</t>
  </si>
  <si>
    <t>PAY01463</t>
  </si>
  <si>
    <t>PAY01464</t>
  </si>
  <si>
    <t>PAY01465</t>
  </si>
  <si>
    <t>PAY01466</t>
  </si>
  <si>
    <t>PAY01467</t>
  </si>
  <si>
    <t>PAY01468</t>
  </si>
  <si>
    <t>PAY01469</t>
  </si>
  <si>
    <t>PAY01470</t>
  </si>
  <si>
    <t>PAY01471</t>
  </si>
  <si>
    <t>PAY01472</t>
  </si>
  <si>
    <t>PAY01473</t>
  </si>
  <si>
    <t>PAY01474</t>
  </si>
  <si>
    <t>PAY01475</t>
  </si>
  <si>
    <t>PAY01476</t>
  </si>
  <si>
    <t>PAY01477</t>
  </si>
  <si>
    <t>PAY01478</t>
  </si>
  <si>
    <t>PAY01479</t>
  </si>
  <si>
    <t>PAY01480</t>
  </si>
  <si>
    <t>PAY01481</t>
  </si>
  <si>
    <t>PAY01482</t>
  </si>
  <si>
    <t>PAY01483</t>
  </si>
  <si>
    <t>PAY01484</t>
  </si>
  <si>
    <t>PAY01485</t>
  </si>
  <si>
    <t>PAY01486</t>
  </si>
  <si>
    <t>denial_id</t>
  </si>
  <si>
    <t>denial_reason</t>
  </si>
  <si>
    <t>denial_date</t>
  </si>
  <si>
    <t>amount_held</t>
  </si>
  <si>
    <t>DEN00001</t>
  </si>
  <si>
    <t>Medical Necessity</t>
  </si>
  <si>
    <t>DEN00002</t>
  </si>
  <si>
    <t>Eligibility Issue</t>
  </si>
  <si>
    <t>DEN00003</t>
  </si>
  <si>
    <t>DEN00004</t>
  </si>
  <si>
    <t>Duplicate Claim</t>
  </si>
  <si>
    <t>DEN00005</t>
  </si>
  <si>
    <t>DEN00006</t>
  </si>
  <si>
    <t>DEN00007</t>
  </si>
  <si>
    <t>DEN00008</t>
  </si>
  <si>
    <t>Non-Covered Service</t>
  </si>
  <si>
    <t>DEN00009</t>
  </si>
  <si>
    <t>DEN00010</t>
  </si>
  <si>
    <t>Incorrect Coding</t>
  </si>
  <si>
    <t>DEN00011</t>
  </si>
  <si>
    <t>DEN00012</t>
  </si>
  <si>
    <t>Missing Documentation</t>
  </si>
  <si>
    <t>DEN00013</t>
  </si>
  <si>
    <t>DEN00014</t>
  </si>
  <si>
    <t>DEN00015</t>
  </si>
  <si>
    <t>DEN00016</t>
  </si>
  <si>
    <t>DEN00017</t>
  </si>
  <si>
    <t>DEN00018</t>
  </si>
  <si>
    <t>DEN00019</t>
  </si>
  <si>
    <t>DEN00020</t>
  </si>
  <si>
    <t>DEN00021</t>
  </si>
  <si>
    <t>DEN00022</t>
  </si>
  <si>
    <t>DEN00023</t>
  </si>
  <si>
    <t>DEN00024</t>
  </si>
  <si>
    <t>DEN00025</t>
  </si>
  <si>
    <t>DEN00026</t>
  </si>
  <si>
    <t>DEN00027</t>
  </si>
  <si>
    <t>DEN00028</t>
  </si>
  <si>
    <t>DEN00029</t>
  </si>
  <si>
    <t>DEN00030</t>
  </si>
  <si>
    <t>DEN00031</t>
  </si>
  <si>
    <t>DEN00032</t>
  </si>
  <si>
    <t>DEN00033</t>
  </si>
  <si>
    <t>DEN00034</t>
  </si>
  <si>
    <t>DEN00035</t>
  </si>
  <si>
    <t>DEN00036</t>
  </si>
  <si>
    <t>DEN00037</t>
  </si>
  <si>
    <t>DEN00038</t>
  </si>
  <si>
    <t>DEN00039</t>
  </si>
  <si>
    <t>DEN00040</t>
  </si>
  <si>
    <t>DEN00041</t>
  </si>
  <si>
    <t>DEN00042</t>
  </si>
  <si>
    <t>DEN00043</t>
  </si>
  <si>
    <t>DEN00044</t>
  </si>
  <si>
    <t>DEN00045</t>
  </si>
  <si>
    <t>DEN00046</t>
  </si>
  <si>
    <t>DEN00047</t>
  </si>
  <si>
    <t>DEN00048</t>
  </si>
  <si>
    <t>DEN00049</t>
  </si>
  <si>
    <t>DEN00050</t>
  </si>
  <si>
    <t>DEN00051</t>
  </si>
  <si>
    <t>DEN00052</t>
  </si>
  <si>
    <t>DEN00053</t>
  </si>
  <si>
    <t>Prior Authorization</t>
  </si>
  <si>
    <t>DEN00054</t>
  </si>
  <si>
    <t>DEN00055</t>
  </si>
  <si>
    <t>DEN00056</t>
  </si>
  <si>
    <t>DEN00057</t>
  </si>
  <si>
    <t>DEN00058</t>
  </si>
  <si>
    <t>DEN00059</t>
  </si>
  <si>
    <t>DEN00060</t>
  </si>
  <si>
    <t>DEN00061</t>
  </si>
  <si>
    <t>DEN00062</t>
  </si>
  <si>
    <t>DEN00063</t>
  </si>
  <si>
    <t>DEN00064</t>
  </si>
  <si>
    <t>DEN00065</t>
  </si>
  <si>
    <t>DEN00066</t>
  </si>
  <si>
    <t>DEN00067</t>
  </si>
  <si>
    <t>DEN00068</t>
  </si>
  <si>
    <t>DEN00069</t>
  </si>
  <si>
    <t>DEN00070</t>
  </si>
  <si>
    <t>DEN00071</t>
  </si>
  <si>
    <t>DEN00072</t>
  </si>
  <si>
    <t>DEN00073</t>
  </si>
  <si>
    <t>DEN00074</t>
  </si>
  <si>
    <t>DEN00075</t>
  </si>
  <si>
    <t>DEN00076</t>
  </si>
  <si>
    <t>DEN00077</t>
  </si>
  <si>
    <t>DEN00078</t>
  </si>
  <si>
    <t>DEN00079</t>
  </si>
  <si>
    <t>DEN00080</t>
  </si>
  <si>
    <t>DEN00081</t>
  </si>
  <si>
    <t>DEN00082</t>
  </si>
  <si>
    <t>DEN00083</t>
  </si>
  <si>
    <t>DEN00084</t>
  </si>
  <si>
    <t>DEN00085</t>
  </si>
  <si>
    <t>DEN00086</t>
  </si>
  <si>
    <t>DEN00087</t>
  </si>
  <si>
    <t>DEN00088</t>
  </si>
  <si>
    <t>DEN00089</t>
  </si>
  <si>
    <t>DEN00090</t>
  </si>
  <si>
    <t>DEN00091</t>
  </si>
  <si>
    <t>DEN00092</t>
  </si>
  <si>
    <t>DEN00093</t>
  </si>
  <si>
    <t>DEN00094</t>
  </si>
  <si>
    <t>DEN00095</t>
  </si>
  <si>
    <t>DEN00096</t>
  </si>
  <si>
    <t>DEN00097</t>
  </si>
  <si>
    <t>DEN00098</t>
  </si>
  <si>
    <t>DEN00099</t>
  </si>
  <si>
    <t>DEN00100</t>
  </si>
  <si>
    <t>DEN00101</t>
  </si>
  <si>
    <t>DEN00102</t>
  </si>
  <si>
    <t>DEN00103</t>
  </si>
  <si>
    <t>DEN00104</t>
  </si>
  <si>
    <t>DEN00105</t>
  </si>
  <si>
    <t>DEN00106</t>
  </si>
  <si>
    <t>DEN00107</t>
  </si>
  <si>
    <t>DEN00108</t>
  </si>
  <si>
    <t>DEN00109</t>
  </si>
  <si>
    <t>DEN00110</t>
  </si>
  <si>
    <t>DEN00111</t>
  </si>
  <si>
    <t>DEN00112</t>
  </si>
  <si>
    <t>DEN00113</t>
  </si>
  <si>
    <t>DEN00114</t>
  </si>
  <si>
    <t>DEN00115</t>
  </si>
  <si>
    <t>DEN00116</t>
  </si>
  <si>
    <t>DEN00117</t>
  </si>
  <si>
    <t>DEN00118</t>
  </si>
  <si>
    <t>DEN00119</t>
  </si>
  <si>
    <t>DEN00120</t>
  </si>
  <si>
    <t>DEN00121</t>
  </si>
  <si>
    <t>DEN00122</t>
  </si>
  <si>
    <t>DEN00123</t>
  </si>
  <si>
    <t>DEN00124</t>
  </si>
  <si>
    <t>DEN00125</t>
  </si>
  <si>
    <t>DEN00126</t>
  </si>
  <si>
    <t>DEN00127</t>
  </si>
  <si>
    <t>DEN00128</t>
  </si>
  <si>
    <t>DEN00129</t>
  </si>
  <si>
    <t>DEN00130</t>
  </si>
  <si>
    <t>DEN00131</t>
  </si>
  <si>
    <t>DEN00132</t>
  </si>
  <si>
    <t>DEN00133</t>
  </si>
  <si>
    <t>DEN00134</t>
  </si>
  <si>
    <t>DEN00135</t>
  </si>
  <si>
    <t>DEN00136</t>
  </si>
  <si>
    <t>DEN00137</t>
  </si>
  <si>
    <t>DEN00138</t>
  </si>
  <si>
    <t>DEN00139</t>
  </si>
  <si>
    <t>DEN00140</t>
  </si>
  <si>
    <t>DEN00141</t>
  </si>
  <si>
    <t>DEN00142</t>
  </si>
  <si>
    <t>DEN00143</t>
  </si>
  <si>
    <t>DEN00144</t>
  </si>
  <si>
    <t>DEN00145</t>
  </si>
  <si>
    <t>DEN00146</t>
  </si>
  <si>
    <t>DEN00147</t>
  </si>
  <si>
    <t>DEN00148</t>
  </si>
  <si>
    <t>DEN00149</t>
  </si>
  <si>
    <t>DEN00150</t>
  </si>
  <si>
    <t>DEN00151</t>
  </si>
  <si>
    <t>DEN00152</t>
  </si>
  <si>
    <t>DEN00153</t>
  </si>
  <si>
    <t>DEN00154</t>
  </si>
  <si>
    <t>DEN00155</t>
  </si>
  <si>
    <t>DEN00156</t>
  </si>
  <si>
    <t>DEN00157</t>
  </si>
  <si>
    <t>DEN00158</t>
  </si>
  <si>
    <t>DEN00159</t>
  </si>
  <si>
    <t>DEN00160</t>
  </si>
  <si>
    <t>DEN00161</t>
  </si>
  <si>
    <t>DEN00162</t>
  </si>
  <si>
    <t>DEN00163</t>
  </si>
  <si>
    <t>DEN00164</t>
  </si>
  <si>
    <t>DEN00165</t>
  </si>
  <si>
    <t>DEN00166</t>
  </si>
  <si>
    <t>DEN00167</t>
  </si>
  <si>
    <t>DEN00168</t>
  </si>
  <si>
    <t>DEN00169</t>
  </si>
  <si>
    <t>DEN00170</t>
  </si>
  <si>
    <t>DEN00171</t>
  </si>
  <si>
    <t>DEN00172</t>
  </si>
  <si>
    <t>DEN00173</t>
  </si>
  <si>
    <t>DEN00174</t>
  </si>
  <si>
    <t>DEN00175</t>
  </si>
  <si>
    <t>DEN00176</t>
  </si>
  <si>
    <t>DEN00177</t>
  </si>
  <si>
    <t>DEN00178</t>
  </si>
  <si>
    <t>DEN00179</t>
  </si>
  <si>
    <t>DEN00180</t>
  </si>
  <si>
    <t>DEN00181</t>
  </si>
  <si>
    <t>DEN00182</t>
  </si>
  <si>
    <t>DEN00183</t>
  </si>
  <si>
    <t>DEN00184</t>
  </si>
  <si>
    <t>DEN00185</t>
  </si>
  <si>
    <t>DEN00186</t>
  </si>
  <si>
    <t>DEN00187</t>
  </si>
  <si>
    <t>DEN00188</t>
  </si>
  <si>
    <t>DEN00189</t>
  </si>
  <si>
    <t>DEN00190</t>
  </si>
  <si>
    <t>DEN00191</t>
  </si>
  <si>
    <t>DEN00192</t>
  </si>
  <si>
    <t>DEN00193</t>
  </si>
  <si>
    <t>DEN00194</t>
  </si>
  <si>
    <t>DEN00195</t>
  </si>
  <si>
    <t>DEN00196</t>
  </si>
  <si>
    <t>DEN00197</t>
  </si>
  <si>
    <t>DEN00198</t>
  </si>
  <si>
    <t>DEN00199</t>
  </si>
  <si>
    <t>DEN00200</t>
  </si>
  <si>
    <t>DEN00201</t>
  </si>
  <si>
    <t>DEN00202</t>
  </si>
  <si>
    <t>DEN00203</t>
  </si>
  <si>
    <t>DEN00204</t>
  </si>
  <si>
    <t>DEN00205</t>
  </si>
  <si>
    <t>DEN00206</t>
  </si>
  <si>
    <t>DEN00207</t>
  </si>
  <si>
    <t>DEN00208</t>
  </si>
  <si>
    <t>DEN00209</t>
  </si>
  <si>
    <t>DEN00210</t>
  </si>
  <si>
    <t>DEN00211</t>
  </si>
  <si>
    <t>DEN00212</t>
  </si>
  <si>
    <t>DEN00213</t>
  </si>
  <si>
    <t>DEN00214</t>
  </si>
  <si>
    <t>DEN00215</t>
  </si>
  <si>
    <t>DEN00216</t>
  </si>
  <si>
    <t>DEN00217</t>
  </si>
  <si>
    <t>DEN00218</t>
  </si>
  <si>
    <t>DEN00219</t>
  </si>
  <si>
    <t>DEN00220</t>
  </si>
  <si>
    <t>DEN00221</t>
  </si>
  <si>
    <t>DEN00222</t>
  </si>
  <si>
    <t>DEN00223</t>
  </si>
  <si>
    <t>DEN00224</t>
  </si>
  <si>
    <t>DEN00225</t>
  </si>
  <si>
    <t>DEN00226</t>
  </si>
  <si>
    <t>DEN00227</t>
  </si>
  <si>
    <t>DEN00228</t>
  </si>
  <si>
    <t>DEN00229</t>
  </si>
  <si>
    <t>DEN00230</t>
  </si>
  <si>
    <t>DEN00231</t>
  </si>
  <si>
    <t>DEN00232</t>
  </si>
  <si>
    <t>DEN00233</t>
  </si>
  <si>
    <t>DEN00234</t>
  </si>
  <si>
    <t>DEN00235</t>
  </si>
  <si>
    <t>DEN00236</t>
  </si>
  <si>
    <t>DEN00237</t>
  </si>
  <si>
    <t>DEN00238</t>
  </si>
  <si>
    <t>DEN00239</t>
  </si>
  <si>
    <t>DEN00240</t>
  </si>
  <si>
    <t>DEN00241</t>
  </si>
  <si>
    <t>DEN00242</t>
  </si>
  <si>
    <t>DEN00243</t>
  </si>
  <si>
    <t>DEN00244</t>
  </si>
  <si>
    <t>DEN00245</t>
  </si>
  <si>
    <t>DEN00246</t>
  </si>
  <si>
    <t>DEN00247</t>
  </si>
  <si>
    <t>DEN00248</t>
  </si>
  <si>
    <t>DEN00249</t>
  </si>
  <si>
    <t>DEN00250</t>
  </si>
  <si>
    <t>DEN00251</t>
  </si>
  <si>
    <t>DEN00252</t>
  </si>
  <si>
    <t>DEN00253</t>
  </si>
  <si>
    <t>DEN00254</t>
  </si>
  <si>
    <t>DEN00255</t>
  </si>
  <si>
    <t>DEN00256</t>
  </si>
  <si>
    <t>DEN00257</t>
  </si>
  <si>
    <t>DEN00258</t>
  </si>
  <si>
    <t>DEN00259</t>
  </si>
  <si>
    <t>DEN00260</t>
  </si>
  <si>
    <t>DEN00261</t>
  </si>
  <si>
    <t>DEN00262</t>
  </si>
  <si>
    <t>DEN00263</t>
  </si>
  <si>
    <t>DEN00264</t>
  </si>
  <si>
    <t>DEN00265</t>
  </si>
  <si>
    <t>DEN00266</t>
  </si>
  <si>
    <t>DEN00267</t>
  </si>
  <si>
    <t>DEN00268</t>
  </si>
  <si>
    <t>DEN00269</t>
  </si>
  <si>
    <t>DEN00270</t>
  </si>
  <si>
    <t>DEN00271</t>
  </si>
  <si>
    <t>DEN00272</t>
  </si>
  <si>
    <t>DEN00273</t>
  </si>
  <si>
    <t>DEN00274</t>
  </si>
  <si>
    <t>DEN00275</t>
  </si>
  <si>
    <t>DEN00276</t>
  </si>
  <si>
    <t>DEN00277</t>
  </si>
  <si>
    <t>DEN00278</t>
  </si>
  <si>
    <t>DEN00279</t>
  </si>
  <si>
    <t>DEN00280</t>
  </si>
  <si>
    <t>DEN00281</t>
  </si>
  <si>
    <t>DEN00282</t>
  </si>
  <si>
    <t>DEN00283</t>
  </si>
  <si>
    <t>DEN00284</t>
  </si>
  <si>
    <t>DEN00285</t>
  </si>
  <si>
    <t>DEN00286</t>
  </si>
  <si>
    <t>DEN00287</t>
  </si>
  <si>
    <t>DEN00288</t>
  </si>
  <si>
    <t>DEN00289</t>
  </si>
  <si>
    <t>DEN00290</t>
  </si>
  <si>
    <t>DEN00291</t>
  </si>
  <si>
    <t>DEN00292</t>
  </si>
  <si>
    <t>DEN00293</t>
  </si>
  <si>
    <t>DEN00294</t>
  </si>
  <si>
    <t>DEN00295</t>
  </si>
  <si>
    <t>DEN00296</t>
  </si>
  <si>
    <t>DEN00297</t>
  </si>
  <si>
    <t>DEN00298</t>
  </si>
  <si>
    <t>DEN00299</t>
  </si>
  <si>
    <t>DEN00300</t>
  </si>
  <si>
    <t>DEN00301</t>
  </si>
  <si>
    <t>DEN00302</t>
  </si>
  <si>
    <t>DEN00303</t>
  </si>
  <si>
    <t>DEN00304</t>
  </si>
  <si>
    <t>DEN00305</t>
  </si>
  <si>
    <t>DEN00306</t>
  </si>
  <si>
    <t>DEN00307</t>
  </si>
  <si>
    <t>DEN00308</t>
  </si>
  <si>
    <t>DEN00309</t>
  </si>
  <si>
    <t>DEN00310</t>
  </si>
  <si>
    <t>DEN00311</t>
  </si>
  <si>
    <t>DEN00312</t>
  </si>
  <si>
    <t>DEN00313</t>
  </si>
  <si>
    <t>DEN00314</t>
  </si>
  <si>
    <t>DEN00315</t>
  </si>
  <si>
    <t>DEN00316</t>
  </si>
  <si>
    <t>DEN00317</t>
  </si>
  <si>
    <t>payer_id</t>
  </si>
  <si>
    <t>payer_name</t>
  </si>
  <si>
    <t>payer_segment</t>
  </si>
  <si>
    <t>historical_approval_rate</t>
  </si>
  <si>
    <t>INS001</t>
  </si>
  <si>
    <t>Apex Health Insurance</t>
  </si>
  <si>
    <t>National</t>
  </si>
  <si>
    <t>INS002</t>
  </si>
  <si>
    <t>CarePlus Health</t>
  </si>
  <si>
    <t>INS003</t>
  </si>
  <si>
    <t>National Medicare Plan</t>
  </si>
  <si>
    <t>Government</t>
  </si>
  <si>
    <t>INS004</t>
  </si>
  <si>
    <t>State Medicaid Health</t>
  </si>
  <si>
    <t>INS005</t>
  </si>
  <si>
    <t>Unity Employee Health</t>
  </si>
  <si>
    <t>Regional</t>
  </si>
  <si>
    <t>INS006</t>
  </si>
  <si>
    <t>PrimeCare HMO</t>
  </si>
  <si>
    <t>INS007</t>
  </si>
  <si>
    <t>SeniorCare Medicare</t>
  </si>
  <si>
    <t>INS008</t>
  </si>
  <si>
    <t>Direct Patient Pay</t>
  </si>
  <si>
    <t>Processing_Days</t>
  </si>
  <si>
    <t>Claim_Month</t>
  </si>
  <si>
    <t>Payment_Month</t>
  </si>
  <si>
    <t>Denial_Month</t>
  </si>
  <si>
    <t>KPI</t>
  </si>
  <si>
    <t>Value</t>
  </si>
  <si>
    <t>Total Claims</t>
  </si>
  <si>
    <t>Total Billed Amount</t>
  </si>
  <si>
    <t>Total Paid Amount</t>
  </si>
  <si>
    <t>Denied Claims</t>
  </si>
  <si>
    <t>Pending Claims</t>
  </si>
  <si>
    <t>Denial Rate</t>
  </si>
  <si>
    <t>Collection Rate</t>
  </si>
  <si>
    <t>Outstanding Amount</t>
  </si>
  <si>
    <t>Status</t>
  </si>
  <si>
    <t>Claim Count</t>
  </si>
  <si>
    <t>Insurance Type</t>
  </si>
  <si>
    <t>MEDICAID</t>
  </si>
  <si>
    <t>MEDICARE</t>
  </si>
  <si>
    <t>SELF PAY</t>
  </si>
  <si>
    <t>Row Labels</t>
  </si>
  <si>
    <t>Grand Total</t>
  </si>
  <si>
    <t>Count of claim_id</t>
  </si>
  <si>
    <t>Count of denial_id</t>
  </si>
  <si>
    <t>Sum of amount_held</t>
  </si>
  <si>
    <t>Sum of billed_amount</t>
  </si>
  <si>
    <t>(All)</t>
  </si>
  <si>
    <t>Count of payment_date</t>
  </si>
  <si>
    <t>Apr-2023</t>
  </si>
  <si>
    <t>Apr-2024</t>
  </si>
  <si>
    <t>Aug-2023</t>
  </si>
  <si>
    <t>Aug-2024</t>
  </si>
  <si>
    <t>Dec-2023</t>
  </si>
  <si>
    <t>Dec-2024</t>
  </si>
  <si>
    <t>Feb-2023</t>
  </si>
  <si>
    <t>Feb-2024</t>
  </si>
  <si>
    <t>Feb-2025</t>
  </si>
  <si>
    <t>Jan-2023</t>
  </si>
  <si>
    <t>Jan-2024</t>
  </si>
  <si>
    <t>Jan-2025</t>
  </si>
  <si>
    <t>Jul-2023</t>
  </si>
  <si>
    <t>Jul-2024</t>
  </si>
  <si>
    <t>Jun-2023</t>
  </si>
  <si>
    <t>Jun-2024</t>
  </si>
  <si>
    <t>Mar-2023</t>
  </si>
  <si>
    <t>Mar-2024</t>
  </si>
  <si>
    <t>May-2023</t>
  </si>
  <si>
    <t>May-2024</t>
  </si>
  <si>
    <t>Nov-2023</t>
  </si>
  <si>
    <t>Nov-2024</t>
  </si>
  <si>
    <t>Oct-2023</t>
  </si>
  <si>
    <t>Oct-2024</t>
  </si>
  <si>
    <t>Sep-2023</t>
  </si>
  <si>
    <t>Sep-2024</t>
  </si>
  <si>
    <t>Average of Processing_Days</t>
  </si>
  <si>
    <t>Average of billed_amount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</si>
</sst>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9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numFmt numFmtId="2" formatCode="0.0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Excel.xlsx]Avg_processing_days_pivot!PivotTable12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Processing Days by</a:t>
            </a:r>
            <a:r>
              <a:rPr lang="en-US" b="1" baseline="0"/>
              <a:t> Claim Status</a:t>
            </a:r>
            <a:endParaRPr lang="en-US" b="1"/>
          </a:p>
        </c:rich>
      </c:tx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Avg_processing_days_pivot!$B$3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Avg_processing_days_pivot!$A$4:$A$7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Pending</c:v>
                </c:pt>
              </c:strCache>
            </c:strRef>
          </c:cat>
          <c:val>
            <c:numRef>
              <c:f>Avg_processing_days_pivot!$B$4:$B$7</c:f>
              <c:numCache>
                <c:formatCode>General</c:formatCode>
                <c:ptCount val="3"/>
                <c:pt idx="0">
                  <c:v>14.983606557377049</c:v>
                </c:pt>
                <c:pt idx="1">
                  <c:v>16.771488469601678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0-4976-BF60-22FFBF784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956335"/>
        <c:axId val="602951535"/>
      </c:barChart>
      <c:catAx>
        <c:axId val="6029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51535"/>
        <c:crosses val="autoZero"/>
        <c:auto val="1"/>
        <c:lblAlgn val="ctr"/>
        <c:lblOffset val="100"/>
        <c:noMultiLvlLbl val="0"/>
      </c:catAx>
      <c:valAx>
        <c:axId val="6029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5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Excel.xlsx]Monthly_Denied_Claim-Pivot!PivotTable10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Trend Of Denied</a:t>
            </a:r>
            <a:r>
              <a:rPr lang="en-IN" b="1" baseline="0"/>
              <a:t> Claims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'Monthly_Denied_Claim-Pivot'!$B$3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'Monthly_Denied_Claim-Pivot'!$A$4:$A$29</c:f>
              <c:strCache>
                <c:ptCount val="25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Jan-2025</c:v>
                </c:pt>
                <c:pt idx="11">
                  <c:v>Jul-2023</c:v>
                </c:pt>
                <c:pt idx="12">
                  <c:v>Jul-2024</c:v>
                </c:pt>
                <c:pt idx="13">
                  <c:v>Jun-2023</c:v>
                </c:pt>
                <c:pt idx="14">
                  <c:v>Jun-2024</c:v>
                </c:pt>
                <c:pt idx="15">
                  <c:v>Mar-2023</c:v>
                </c:pt>
                <c:pt idx="16">
                  <c:v>Mar-2024</c:v>
                </c:pt>
                <c:pt idx="17">
                  <c:v>May-2023</c:v>
                </c:pt>
                <c:pt idx="18">
                  <c:v>May-2024</c:v>
                </c:pt>
                <c:pt idx="19">
                  <c:v>Nov-2023</c:v>
                </c:pt>
                <c:pt idx="20">
                  <c:v>Nov-2024</c:v>
                </c:pt>
                <c:pt idx="21">
                  <c:v>Oct-2023</c:v>
                </c:pt>
                <c:pt idx="22">
                  <c:v>Oct-2024</c:v>
                </c:pt>
                <c:pt idx="23">
                  <c:v>Sep-2023</c:v>
                </c:pt>
                <c:pt idx="24">
                  <c:v>Sep-2024</c:v>
                </c:pt>
              </c:strCache>
            </c:strRef>
          </c:cat>
          <c:val>
            <c:numRef>
              <c:f>'Monthly_Denied_Claim-Pivot'!$B$4:$B$29</c:f>
              <c:numCache>
                <c:formatCode>General</c:formatCode>
                <c:ptCount val="2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  <c:pt idx="5">
                  <c:v>16</c:v>
                </c:pt>
                <c:pt idx="6">
                  <c:v>11</c:v>
                </c:pt>
                <c:pt idx="7">
                  <c:v>14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17</c:v>
                </c:pt>
                <c:pt idx="12">
                  <c:v>20</c:v>
                </c:pt>
                <c:pt idx="13">
                  <c:v>16</c:v>
                </c:pt>
                <c:pt idx="14">
                  <c:v>16</c:v>
                </c:pt>
                <c:pt idx="15">
                  <c:v>11</c:v>
                </c:pt>
                <c:pt idx="16">
                  <c:v>17</c:v>
                </c:pt>
                <c:pt idx="17">
                  <c:v>13</c:v>
                </c:pt>
                <c:pt idx="18">
                  <c:v>9</c:v>
                </c:pt>
                <c:pt idx="19">
                  <c:v>15</c:v>
                </c:pt>
                <c:pt idx="20">
                  <c:v>13</c:v>
                </c:pt>
                <c:pt idx="21">
                  <c:v>11</c:v>
                </c:pt>
                <c:pt idx="22">
                  <c:v>15</c:v>
                </c:pt>
                <c:pt idx="23">
                  <c:v>13</c:v>
                </c:pt>
                <c:pt idx="2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3-4CCE-8272-65AF08147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950095"/>
        <c:axId val="602947215"/>
      </c:lineChart>
      <c:catAx>
        <c:axId val="60295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47215"/>
        <c:crosses val="autoZero"/>
        <c:auto val="1"/>
        <c:lblAlgn val="ctr"/>
        <c:lblOffset val="100"/>
        <c:noMultiLvlLbl val="0"/>
      </c:catAx>
      <c:valAx>
        <c:axId val="6029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5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Excel.xlsx]Denied_reason_amount_pivot!PivotTable11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Amount</a:t>
            </a:r>
            <a:r>
              <a:rPr lang="en-US" b="1" baseline="0"/>
              <a:t> Held by Denial Claims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Denied_reason_amount_pivot!$B$3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Denied_reason_amount_pivot!$A$4:$A$11</c:f>
              <c:strCache>
                <c:ptCount val="7"/>
                <c:pt idx="0">
                  <c:v>Duplicate Claim</c:v>
                </c:pt>
                <c:pt idx="1">
                  <c:v>Eligibility Issue</c:v>
                </c:pt>
                <c:pt idx="2">
                  <c:v>Incorrect Coding</c:v>
                </c:pt>
                <c:pt idx="3">
                  <c:v>Medical Necessity</c:v>
                </c:pt>
                <c:pt idx="4">
                  <c:v>Missing Documentation</c:v>
                </c:pt>
                <c:pt idx="5">
                  <c:v>Non-Covered Service</c:v>
                </c:pt>
                <c:pt idx="6">
                  <c:v>Prior Authorization</c:v>
                </c:pt>
              </c:strCache>
            </c:strRef>
          </c:cat>
          <c:val>
            <c:numRef>
              <c:f>Denied_reason_amount_pivot!$B$4:$B$11</c:f>
              <c:numCache>
                <c:formatCode>0.00</c:formatCode>
                <c:ptCount val="7"/>
                <c:pt idx="0">
                  <c:v>33898.680000000015</c:v>
                </c:pt>
                <c:pt idx="1">
                  <c:v>33799.349999999991</c:v>
                </c:pt>
                <c:pt idx="2">
                  <c:v>40848.959999999985</c:v>
                </c:pt>
                <c:pt idx="3">
                  <c:v>47580.960000000006</c:v>
                </c:pt>
                <c:pt idx="4">
                  <c:v>25671.520000000004</c:v>
                </c:pt>
                <c:pt idx="5">
                  <c:v>47685.729999999989</c:v>
                </c:pt>
                <c:pt idx="6">
                  <c:v>11768.64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4-4B9C-BFBE-4377CAE99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279903"/>
        <c:axId val="548267423"/>
      </c:barChart>
      <c:catAx>
        <c:axId val="54827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67423"/>
        <c:crosses val="autoZero"/>
        <c:auto val="1"/>
        <c:lblAlgn val="ctr"/>
        <c:lblOffset val="100"/>
        <c:noMultiLvlLbl val="0"/>
      </c:catAx>
      <c:valAx>
        <c:axId val="5482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79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Excel.xlsx]Avg_billed_insurancetype-pivot!PivotTable13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Billing Amount by Insurance Type</a:t>
            </a:r>
            <a:endParaRPr lang="en-IN" b="1"/>
          </a:p>
        </c:rich>
      </c:tx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'Avg_billed_insurancetype-pivot'!$B$3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'Avg_billed_insurancetype-pivot'!$A$4:$A$9</c:f>
              <c:strCache>
                <c:ptCount val="5"/>
                <c:pt idx="0">
                  <c:v>Commercial HMO</c:v>
                </c:pt>
                <c:pt idx="1">
                  <c:v>Commercial PPO</c:v>
                </c:pt>
                <c:pt idx="2">
                  <c:v>Medicaid</c:v>
                </c:pt>
                <c:pt idx="3">
                  <c:v>Medicare</c:v>
                </c:pt>
                <c:pt idx="4">
                  <c:v>Self Pay</c:v>
                </c:pt>
              </c:strCache>
            </c:strRef>
          </c:cat>
          <c:val>
            <c:numRef>
              <c:f>'Avg_billed_insurancetype-pivot'!$B$4:$B$9</c:f>
              <c:numCache>
                <c:formatCode>General</c:formatCode>
                <c:ptCount val="5"/>
                <c:pt idx="0">
                  <c:v>1341.2848373983745</c:v>
                </c:pt>
                <c:pt idx="1">
                  <c:v>1395.4241344537818</c:v>
                </c:pt>
                <c:pt idx="2">
                  <c:v>1399.1384227129345</c:v>
                </c:pt>
                <c:pt idx="3">
                  <c:v>1279.084135338346</c:v>
                </c:pt>
                <c:pt idx="4">
                  <c:v>1328.2452284263964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E-4E1B-ADE5-76D4BC557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275583"/>
        <c:axId val="548276063"/>
      </c:barChart>
      <c:catAx>
        <c:axId val="5482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76063"/>
        <c:crosses val="autoZero"/>
        <c:auto val="1"/>
        <c:lblAlgn val="ctr"/>
        <c:lblOffset val="100"/>
        <c:noMultiLvlLbl val="0"/>
      </c:catAx>
      <c:valAx>
        <c:axId val="5482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7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Excel.xlsx]Monthly_trend_pivot!PivotTable8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 Trend Of Paid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Monthly_trend_pivot!$A$4:$A$30</c:f>
              <c:strCache>
                <c:ptCount val="26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Feb-2025</c:v>
                </c:pt>
                <c:pt idx="9">
                  <c:v>Jan-2023</c:v>
                </c:pt>
                <c:pt idx="10">
                  <c:v>Jan-2024</c:v>
                </c:pt>
                <c:pt idx="11">
                  <c:v>Jan-2025</c:v>
                </c:pt>
                <c:pt idx="12">
                  <c:v>Jul-2023</c:v>
                </c:pt>
                <c:pt idx="13">
                  <c:v>Jul-2024</c:v>
                </c:pt>
                <c:pt idx="14">
                  <c:v>Jun-2023</c:v>
                </c:pt>
                <c:pt idx="15">
                  <c:v>Jun-2024</c:v>
                </c:pt>
                <c:pt idx="16">
                  <c:v>Mar-2023</c:v>
                </c:pt>
                <c:pt idx="17">
                  <c:v>Mar-2024</c:v>
                </c:pt>
                <c:pt idx="18">
                  <c:v>May-2023</c:v>
                </c:pt>
                <c:pt idx="19">
                  <c:v>May-2024</c:v>
                </c:pt>
                <c:pt idx="20">
                  <c:v>Nov-2023</c:v>
                </c:pt>
                <c:pt idx="21">
                  <c:v>Nov-2024</c:v>
                </c:pt>
                <c:pt idx="22">
                  <c:v>Oct-2023</c:v>
                </c:pt>
                <c:pt idx="23">
                  <c:v>Oct-2024</c:v>
                </c:pt>
                <c:pt idx="24">
                  <c:v>Sep-2023</c:v>
                </c:pt>
                <c:pt idx="25">
                  <c:v>Sep-2024</c:v>
                </c:pt>
              </c:strCache>
            </c:strRef>
          </c:cat>
          <c:val>
            <c:numRef>
              <c:f>Monthly_trend_pivot!$B$4:$B$30</c:f>
              <c:numCache>
                <c:formatCode>General</c:formatCode>
                <c:ptCount val="26"/>
                <c:pt idx="0">
                  <c:v>58</c:v>
                </c:pt>
                <c:pt idx="1">
                  <c:v>76</c:v>
                </c:pt>
                <c:pt idx="2">
                  <c:v>66</c:v>
                </c:pt>
                <c:pt idx="3">
                  <c:v>75</c:v>
                </c:pt>
                <c:pt idx="4">
                  <c:v>53</c:v>
                </c:pt>
                <c:pt idx="5">
                  <c:v>72</c:v>
                </c:pt>
                <c:pt idx="6">
                  <c:v>43</c:v>
                </c:pt>
                <c:pt idx="7">
                  <c:v>56</c:v>
                </c:pt>
                <c:pt idx="8">
                  <c:v>10</c:v>
                </c:pt>
                <c:pt idx="9">
                  <c:v>3</c:v>
                </c:pt>
                <c:pt idx="10">
                  <c:v>70</c:v>
                </c:pt>
                <c:pt idx="11">
                  <c:v>42</c:v>
                </c:pt>
                <c:pt idx="12">
                  <c:v>60</c:v>
                </c:pt>
                <c:pt idx="13">
                  <c:v>59</c:v>
                </c:pt>
                <c:pt idx="14">
                  <c:v>63</c:v>
                </c:pt>
                <c:pt idx="15">
                  <c:v>58</c:v>
                </c:pt>
                <c:pt idx="16">
                  <c:v>60</c:v>
                </c:pt>
                <c:pt idx="17">
                  <c:v>46</c:v>
                </c:pt>
                <c:pt idx="18">
                  <c:v>66</c:v>
                </c:pt>
                <c:pt idx="19">
                  <c:v>64</c:v>
                </c:pt>
                <c:pt idx="20">
                  <c:v>65</c:v>
                </c:pt>
                <c:pt idx="21">
                  <c:v>71</c:v>
                </c:pt>
                <c:pt idx="22">
                  <c:v>54</c:v>
                </c:pt>
                <c:pt idx="23">
                  <c:v>66</c:v>
                </c:pt>
                <c:pt idx="24">
                  <c:v>59</c:v>
                </c:pt>
                <c:pt idx="2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7-43BE-BE6B-F132FEB92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527951"/>
        <c:axId val="482532751"/>
      </c:barChart>
      <c:catAx>
        <c:axId val="48252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32751"/>
        <c:crosses val="autoZero"/>
        <c:auto val="1"/>
        <c:lblAlgn val="ctr"/>
        <c:lblOffset val="100"/>
        <c:noMultiLvlLbl val="0"/>
      </c:catAx>
      <c:valAx>
        <c:axId val="48253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2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Excel.xlsx]Claim_insurance_pivot!PivotTable3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Claim by insurance</a:t>
            </a:r>
            <a:r>
              <a:rPr lang="en-US" b="1" baseline="0"/>
              <a:t>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Claim_insurance_pivot!$B$3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Claim_insurance_pivot!$A$4:$A$9</c:f>
              <c:strCache>
                <c:ptCount val="5"/>
                <c:pt idx="0">
                  <c:v>Commercial HMO</c:v>
                </c:pt>
                <c:pt idx="1">
                  <c:v>Commercial PPO</c:v>
                </c:pt>
                <c:pt idx="2">
                  <c:v>Medicaid</c:v>
                </c:pt>
                <c:pt idx="3">
                  <c:v>Medicare</c:v>
                </c:pt>
                <c:pt idx="4">
                  <c:v>Self Pay</c:v>
                </c:pt>
              </c:strCache>
            </c:strRef>
          </c:cat>
          <c:val>
            <c:numRef>
              <c:f>Claim_insurance_pivot!$B$4:$B$9</c:f>
              <c:numCache>
                <c:formatCode>General</c:formatCode>
                <c:ptCount val="5"/>
                <c:pt idx="0">
                  <c:v>57</c:v>
                </c:pt>
                <c:pt idx="1">
                  <c:v>61</c:v>
                </c:pt>
                <c:pt idx="2">
                  <c:v>66</c:v>
                </c:pt>
                <c:pt idx="3">
                  <c:v>62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E-4E24-B7BD-1825DC3750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928143"/>
        <c:axId val="136931983"/>
      </c:barChart>
      <c:catAx>
        <c:axId val="13692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1983"/>
        <c:crosses val="autoZero"/>
        <c:auto val="1"/>
        <c:lblAlgn val="ctr"/>
        <c:lblOffset val="100"/>
        <c:noMultiLvlLbl val="0"/>
      </c:catAx>
      <c:valAx>
        <c:axId val="13693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2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Excel.xlsx]Denial_reason_pivot!PivotTable4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Denials</a:t>
            </a:r>
            <a:r>
              <a:rPr lang="en-IN" b="1" baseline="0"/>
              <a:t> by Reason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Denial_reason_pivot!$B$3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Denial_reason_pivot!$A$4:$A$11</c:f>
              <c:strCache>
                <c:ptCount val="7"/>
                <c:pt idx="0">
                  <c:v>Duplicate Claim</c:v>
                </c:pt>
                <c:pt idx="1">
                  <c:v>Eligibility Issue</c:v>
                </c:pt>
                <c:pt idx="2">
                  <c:v>Incorrect Coding</c:v>
                </c:pt>
                <c:pt idx="3">
                  <c:v>Medical Necessity</c:v>
                </c:pt>
                <c:pt idx="4">
                  <c:v>Missing Documentation</c:v>
                </c:pt>
                <c:pt idx="5">
                  <c:v>Non-Covered Service</c:v>
                </c:pt>
                <c:pt idx="6">
                  <c:v>Prior Authorization</c:v>
                </c:pt>
              </c:strCache>
            </c:strRef>
          </c:cat>
          <c:val>
            <c:numRef>
              <c:f>Denial_reason_pivot!$B$4:$B$11</c:f>
              <c:numCache>
                <c:formatCode>General</c:formatCode>
                <c:ptCount val="7"/>
                <c:pt idx="0">
                  <c:v>36</c:v>
                </c:pt>
                <c:pt idx="1">
                  <c:v>48</c:v>
                </c:pt>
                <c:pt idx="2">
                  <c:v>59</c:v>
                </c:pt>
                <c:pt idx="3">
                  <c:v>73</c:v>
                </c:pt>
                <c:pt idx="4">
                  <c:v>34</c:v>
                </c:pt>
                <c:pt idx="5">
                  <c:v>54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1-4339-BF14-18B7DBF4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266640"/>
        <c:axId val="516283440"/>
      </c:barChart>
      <c:catAx>
        <c:axId val="51626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83440"/>
        <c:crosses val="autoZero"/>
        <c:auto val="1"/>
        <c:lblAlgn val="ctr"/>
        <c:lblOffset val="100"/>
        <c:noMultiLvlLbl val="0"/>
      </c:catAx>
      <c:valAx>
        <c:axId val="5162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66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Revenue and Claims Analytics Excel.xlsx]denied_insurancetype_pivot!PivotTable6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Denied</a:t>
            </a:r>
            <a:r>
              <a:rPr lang="en-IN" b="1" baseline="0"/>
              <a:t> Billed Amount by Insurance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denied_insurancetype_pivot!$B$3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denied_insurancetype_pivot!$A$4:$A$9</c:f>
              <c:strCache>
                <c:ptCount val="5"/>
                <c:pt idx="0">
                  <c:v>Commercial HMO</c:v>
                </c:pt>
                <c:pt idx="1">
                  <c:v>Commercial PPO</c:v>
                </c:pt>
                <c:pt idx="2">
                  <c:v>Medicaid</c:v>
                </c:pt>
                <c:pt idx="3">
                  <c:v>Medicare</c:v>
                </c:pt>
                <c:pt idx="4">
                  <c:v>Self Pay</c:v>
                </c:pt>
              </c:strCache>
            </c:strRef>
          </c:cat>
          <c:val>
            <c:numRef>
              <c:f>denied_insurancetype_pivot!$B$4:$B$9</c:f>
              <c:numCache>
                <c:formatCode>General</c:formatCode>
                <c:ptCount val="5"/>
                <c:pt idx="0">
                  <c:v>102245.69000000002</c:v>
                </c:pt>
                <c:pt idx="1">
                  <c:v>75247.679999999993</c:v>
                </c:pt>
                <c:pt idx="2">
                  <c:v>67678.289999999994</c:v>
                </c:pt>
                <c:pt idx="3">
                  <c:v>78292.91</c:v>
                </c:pt>
                <c:pt idx="4">
                  <c:v>103384.93999999999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9-4ABC-8DFC-FB4EB86C5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619823"/>
        <c:axId val="465603983"/>
      </c:barChart>
      <c:catAx>
        <c:axId val="46561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03983"/>
        <c:crosses val="autoZero"/>
        <c:auto val="1"/>
        <c:lblAlgn val="ctr"/>
        <c:lblOffset val="100"/>
        <c:noMultiLvlLbl val="0"/>
      </c:catAx>
      <c:valAx>
        <c:axId val="46560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19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Claims</a:t>
            </a:r>
            <a:r>
              <a:rPr lang="en-IN" b="1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by Status</a:t>
            </a:r>
            <a:endParaRPr lang="en-IN" b="1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KPI_Summary!$B$11</c:f>
              <c:strCache>
                <c:ptCount val="1"/>
                <c:pt idx="0">
                  <c:v>Claim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KPI_Summary!$A$12:$A$14</c:f>
              <c:strCache>
                <c:ptCount val="3"/>
                <c:pt idx="0">
                  <c:v>Paid</c:v>
                </c:pt>
                <c:pt idx="1">
                  <c:v>Denied</c:v>
                </c:pt>
                <c:pt idx="2">
                  <c:v>Pending</c:v>
                </c:pt>
              </c:strCache>
            </c:strRef>
          </c:cat>
          <c:val>
            <c:numRef>
              <c:f>KPI_Summary!$B$12:$B$14</c:f>
              <c:numCache>
                <c:formatCode>General</c:formatCode>
                <c:ptCount val="3"/>
                <c:pt idx="0">
                  <c:v>1486</c:v>
                </c:pt>
                <c:pt idx="1">
                  <c:v>317</c:v>
                </c:pt>
                <c:pt idx="2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1-450E-A180-AFF103449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02687"/>
        <c:axId val="90399327"/>
      </c:barChart>
      <c:catAx>
        <c:axId val="9040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9327"/>
        <c:crosses val="autoZero"/>
        <c:auto val="1"/>
        <c:lblAlgn val="ctr"/>
        <c:lblOffset val="100"/>
        <c:noMultiLvlLbl val="0"/>
      </c:catAx>
      <c:valAx>
        <c:axId val="9039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Billed Amount</a:t>
            </a:r>
          </a:p>
        </c:rich>
      </c:tx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KPI_Summary!$B$17</c:f>
              <c:strCache>
                <c:ptCount val="1"/>
                <c:pt idx="0">
                  <c:v>Total Billed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KPI_Summary!$B$18:$B$22</c:f>
              <c:numCache>
                <c:formatCode>General</c:formatCode>
                <c:ptCount val="5"/>
                <c:pt idx="0">
                  <c:v>659912.14000000025</c:v>
                </c:pt>
                <c:pt idx="1">
                  <c:v>830277.3600000001</c:v>
                </c:pt>
                <c:pt idx="2">
                  <c:v>443526.88000000024</c:v>
                </c:pt>
                <c:pt idx="3">
                  <c:v>510354.57</c:v>
                </c:pt>
                <c:pt idx="4">
                  <c:v>261664.31000000008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8-4DF6-8403-0B700F6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54719"/>
        <c:axId val="170955199"/>
      </c:barChart>
      <c:catAx>
        <c:axId val="1709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5199"/>
        <c:crosses val="autoZero"/>
        <c:auto val="1"/>
        <c:lblAlgn val="ctr"/>
        <c:lblOffset val="100"/>
        <c:noMultiLvlLbl val="0"/>
      </c:catAx>
      <c:valAx>
        <c:axId val="1709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165100</xdr:rowOff>
    </xdr:from>
    <xdr:to>
      <xdr:col>10</xdr:col>
      <xdr:colOff>6350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38817-E49B-1286-EB35-5EE231B1B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177800</xdr:rowOff>
    </xdr:from>
    <xdr:to>
      <xdr:col>12</xdr:col>
      <xdr:colOff>88900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E4869-4386-0654-19FA-92525D827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6350</xdr:rowOff>
    </xdr:from>
    <xdr:to>
      <xdr:col>13</xdr:col>
      <xdr:colOff>12700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BE0DF-CB84-0D9F-64B8-286575628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15874</xdr:colOff>
      <xdr:row>2</xdr:row>
      <xdr:rowOff>6350</xdr:rowOff>
    </xdr:from>
    <xdr:to>
      <xdr:col>10</xdr:col>
      <xdr:colOff>603249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9E8EC-235D-11EE-742A-AD6CB7D0E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6350</xdr:rowOff>
    </xdr:from>
    <xdr:to>
      <xdr:col>12</xdr:col>
      <xdr:colOff>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06886-EAB2-80D1-11EE-87A0535B6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12700</xdr:rowOff>
    </xdr:from>
    <xdr:to>
      <xdr:col>9</xdr:col>
      <xdr:colOff>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DAE16-5EAB-4F5E-CE44-BB0D1DCF3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2</xdr:row>
      <xdr:rowOff>6350</xdr:rowOff>
    </xdr:from>
    <xdr:to>
      <xdr:col>10</xdr:col>
      <xdr:colOff>298450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0D946-E882-B6B3-C423-97748AB33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12700</xdr:rowOff>
    </xdr:from>
    <xdr:to>
      <xdr:col>10</xdr:col>
      <xdr:colOff>19050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FCBBB-07D4-1BA1-EF21-1567CA36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</xdr:row>
      <xdr:rowOff>6350</xdr:rowOff>
    </xdr:from>
    <xdr:to>
      <xdr:col>8</xdr:col>
      <xdr:colOff>596900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76326-EB80-8B05-785E-2E65DBDE2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</xdr:colOff>
      <xdr:row>16</xdr:row>
      <xdr:rowOff>0</xdr:rowOff>
    </xdr:from>
    <xdr:to>
      <xdr:col>9</xdr:col>
      <xdr:colOff>6350</xdr:colOff>
      <xdr:row>26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A00C0-42D2-B608-5CF8-DFEFCEBB7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Parthasarathy" refreshedDate="46301.505457523148" createdVersion="8" refreshedVersion="8" minRefreshableVersion="3" recordCount="2000" xr:uid="{9DFEC968-75D7-4C49-97CB-8973272F095F}">
  <cacheSource type="worksheet">
    <worksheetSource name="Claims_Cleaned"/>
  </cacheSource>
  <cacheFields count="13">
    <cacheField name="claim_id" numFmtId="0">
      <sharedItems/>
    </cacheField>
    <cacheField name="patient_id" numFmtId="0">
      <sharedItems/>
    </cacheField>
    <cacheField name="provider_id" numFmtId="0">
      <sharedItems/>
    </cacheField>
    <cacheField name="service_id" numFmtId="0">
      <sharedItems/>
    </cacheField>
    <cacheField name="claim_date" numFmtId="14">
      <sharedItems containsSemiMixedTypes="0" containsNonDate="0" containsDate="1" containsString="0" minDate="2023-01-01T00:00:00" maxDate="2025-01-01T00:00:00"/>
    </cacheField>
    <cacheField name="submission_date" numFmtId="14">
      <sharedItems containsSemiMixedTypes="0" containsNonDate="0" containsDate="1" containsString="0" minDate="2023-01-03T00:00:00" maxDate="2025-01-06T00:00:00"/>
    </cacheField>
    <cacheField name="processed_date" numFmtId="14">
      <sharedItems containsNonDate="0" containsDate="1" containsString="0" containsBlank="1" minDate="2023-01-12T00:00:00" maxDate="2025-02-01T00:00:00"/>
    </cacheField>
    <cacheField name="Processing_Days" numFmtId="1">
      <sharedItems containsMixedTypes="1" containsNumber="1" containsInteger="1" minValue="3" maxValue="30"/>
    </cacheField>
    <cacheField name="Claim_Month" numFmtId="1">
      <sharedItems/>
    </cacheField>
    <cacheField name="insurance_type" numFmtId="0">
      <sharedItems count="5">
        <s v="Medicaid"/>
        <s v="Medicare"/>
        <s v="Commercial PPO"/>
        <s v="Self Pay"/>
        <s v="Commercial HMO"/>
      </sharedItems>
    </cacheField>
    <cacheField name="billed_amount" numFmtId="0">
      <sharedItems containsSemiMixedTypes="0" containsString="0" containsNumber="1" minValue="45.01" maxValue="8119.14"/>
    </cacheField>
    <cacheField name="status" numFmtId="0">
      <sharedItems count="3">
        <s v="Paid"/>
        <s v="Denied"/>
        <s v="Pending"/>
      </sharedItems>
    </cacheField>
    <cacheField name="claim_processing_days" numFmtId="0">
      <sharedItems containsString="0" containsBlank="1" containsNumber="1" containsInteger="1" minValue="3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Parthasarathy" refreshedDate="46301.758091435186" createdVersion="8" refreshedVersion="8" minRefreshableVersion="3" recordCount="317" xr:uid="{91379533-E442-4A06-98FD-016326BB71B5}">
  <cacheSource type="worksheet">
    <worksheetSource name="Claim_Denials_Cleaned"/>
  </cacheSource>
  <cacheFields count="6">
    <cacheField name="denial_id" numFmtId="0">
      <sharedItems count="317">
        <s v="DEN00001"/>
        <s v="DEN00002"/>
        <s v="DEN00003"/>
        <s v="DEN00004"/>
        <s v="DEN00005"/>
        <s v="DEN00006"/>
        <s v="DEN00007"/>
        <s v="DEN00008"/>
        <s v="DEN00009"/>
        <s v="DEN00010"/>
        <s v="DEN00011"/>
        <s v="DEN00012"/>
        <s v="DEN00013"/>
        <s v="DEN00014"/>
        <s v="DEN00015"/>
        <s v="DEN00016"/>
        <s v="DEN00017"/>
        <s v="DEN00018"/>
        <s v="DEN00019"/>
        <s v="DEN00020"/>
        <s v="DEN00021"/>
        <s v="DEN00022"/>
        <s v="DEN00023"/>
        <s v="DEN00024"/>
        <s v="DEN00025"/>
        <s v="DEN00026"/>
        <s v="DEN00027"/>
        <s v="DEN00028"/>
        <s v="DEN00029"/>
        <s v="DEN00030"/>
        <s v="DEN00031"/>
        <s v="DEN00032"/>
        <s v="DEN00033"/>
        <s v="DEN00034"/>
        <s v="DEN00035"/>
        <s v="DEN00036"/>
        <s v="DEN00037"/>
        <s v="DEN00038"/>
        <s v="DEN00039"/>
        <s v="DEN00040"/>
        <s v="DEN00041"/>
        <s v="DEN00042"/>
        <s v="DEN00043"/>
        <s v="DEN00044"/>
        <s v="DEN00045"/>
        <s v="DEN00046"/>
        <s v="DEN00047"/>
        <s v="DEN00048"/>
        <s v="DEN00049"/>
        <s v="DEN00050"/>
        <s v="DEN00051"/>
        <s v="DEN00052"/>
        <s v="DEN00053"/>
        <s v="DEN00054"/>
        <s v="DEN00055"/>
        <s v="DEN00056"/>
        <s v="DEN00057"/>
        <s v="DEN00058"/>
        <s v="DEN00059"/>
        <s v="DEN00060"/>
        <s v="DEN00061"/>
        <s v="DEN00062"/>
        <s v="DEN00063"/>
        <s v="DEN00064"/>
        <s v="DEN00065"/>
        <s v="DEN00066"/>
        <s v="DEN00067"/>
        <s v="DEN00068"/>
        <s v="DEN00069"/>
        <s v="DEN00070"/>
        <s v="DEN00071"/>
        <s v="DEN00072"/>
        <s v="DEN00073"/>
        <s v="DEN00074"/>
        <s v="DEN00075"/>
        <s v="DEN00076"/>
        <s v="DEN00077"/>
        <s v="DEN00078"/>
        <s v="DEN00079"/>
        <s v="DEN00080"/>
        <s v="DEN00081"/>
        <s v="DEN00082"/>
        <s v="DEN00083"/>
        <s v="DEN00084"/>
        <s v="DEN00085"/>
        <s v="DEN00086"/>
        <s v="DEN00087"/>
        <s v="DEN00088"/>
        <s v="DEN00089"/>
        <s v="DEN00090"/>
        <s v="DEN00091"/>
        <s v="DEN00092"/>
        <s v="DEN00093"/>
        <s v="DEN00094"/>
        <s v="DEN00095"/>
        <s v="DEN00096"/>
        <s v="DEN00097"/>
        <s v="DEN00098"/>
        <s v="DEN00099"/>
        <s v="DEN00100"/>
        <s v="DEN00101"/>
        <s v="DEN00102"/>
        <s v="DEN00103"/>
        <s v="DEN00104"/>
        <s v="DEN00105"/>
        <s v="DEN00106"/>
        <s v="DEN00107"/>
        <s v="DEN00108"/>
        <s v="DEN00109"/>
        <s v="DEN00110"/>
        <s v="DEN00111"/>
        <s v="DEN00112"/>
        <s v="DEN00113"/>
        <s v="DEN00114"/>
        <s v="DEN00115"/>
        <s v="DEN00116"/>
        <s v="DEN00117"/>
        <s v="DEN00118"/>
        <s v="DEN00119"/>
        <s v="DEN00120"/>
        <s v="DEN00121"/>
        <s v="DEN00122"/>
        <s v="DEN00123"/>
        <s v="DEN00124"/>
        <s v="DEN00125"/>
        <s v="DEN00126"/>
        <s v="DEN00127"/>
        <s v="DEN00128"/>
        <s v="DEN00129"/>
        <s v="DEN00130"/>
        <s v="DEN00131"/>
        <s v="DEN00132"/>
        <s v="DEN00133"/>
        <s v="DEN00134"/>
        <s v="DEN00135"/>
        <s v="DEN00136"/>
        <s v="DEN00137"/>
        <s v="DEN00138"/>
        <s v="DEN00139"/>
        <s v="DEN00140"/>
        <s v="DEN00141"/>
        <s v="DEN00142"/>
        <s v="DEN00143"/>
        <s v="DEN00144"/>
        <s v="DEN00145"/>
        <s v="DEN00146"/>
        <s v="DEN00147"/>
        <s v="DEN00148"/>
        <s v="DEN00149"/>
        <s v="DEN00150"/>
        <s v="DEN00151"/>
        <s v="DEN00152"/>
        <s v="DEN00153"/>
        <s v="DEN00154"/>
        <s v="DEN00155"/>
        <s v="DEN00156"/>
        <s v="DEN00157"/>
        <s v="DEN00158"/>
        <s v="DEN00159"/>
        <s v="DEN00160"/>
        <s v="DEN00161"/>
        <s v="DEN00162"/>
        <s v="DEN00163"/>
        <s v="DEN00164"/>
        <s v="DEN00165"/>
        <s v="DEN00166"/>
        <s v="DEN00167"/>
        <s v="DEN00168"/>
        <s v="DEN00169"/>
        <s v="DEN00170"/>
        <s v="DEN00171"/>
        <s v="DEN00172"/>
        <s v="DEN00173"/>
        <s v="DEN00174"/>
        <s v="DEN00175"/>
        <s v="DEN00176"/>
        <s v="DEN00177"/>
        <s v="DEN00178"/>
        <s v="DEN00179"/>
        <s v="DEN00180"/>
        <s v="DEN00181"/>
        <s v="DEN00182"/>
        <s v="DEN00183"/>
        <s v="DEN00184"/>
        <s v="DEN00185"/>
        <s v="DEN00186"/>
        <s v="DEN00187"/>
        <s v="DEN00188"/>
        <s v="DEN00189"/>
        <s v="DEN00190"/>
        <s v="DEN00191"/>
        <s v="DEN00192"/>
        <s v="DEN00193"/>
        <s v="DEN00194"/>
        <s v="DEN00195"/>
        <s v="DEN00196"/>
        <s v="DEN00197"/>
        <s v="DEN00198"/>
        <s v="DEN00199"/>
        <s v="DEN00200"/>
        <s v="DEN00201"/>
        <s v="DEN00202"/>
        <s v="DEN00203"/>
        <s v="DEN00204"/>
        <s v="DEN00205"/>
        <s v="DEN00206"/>
        <s v="DEN00207"/>
        <s v="DEN00208"/>
        <s v="DEN00209"/>
        <s v="DEN00210"/>
        <s v="DEN00211"/>
        <s v="DEN00212"/>
        <s v="DEN00213"/>
        <s v="DEN00214"/>
        <s v="DEN00215"/>
        <s v="DEN00216"/>
        <s v="DEN00217"/>
        <s v="DEN00218"/>
        <s v="DEN00219"/>
        <s v="DEN00220"/>
        <s v="DEN00221"/>
        <s v="DEN00222"/>
        <s v="DEN00223"/>
        <s v="DEN00224"/>
        <s v="DEN00225"/>
        <s v="DEN00226"/>
        <s v="DEN00227"/>
        <s v="DEN00228"/>
        <s v="DEN00229"/>
        <s v="DEN00230"/>
        <s v="DEN00231"/>
        <s v="DEN00232"/>
        <s v="DEN00233"/>
        <s v="DEN00234"/>
        <s v="DEN00235"/>
        <s v="DEN00236"/>
        <s v="DEN00237"/>
        <s v="DEN00238"/>
        <s v="DEN00239"/>
        <s v="DEN00240"/>
        <s v="DEN00241"/>
        <s v="DEN00242"/>
        <s v="DEN00243"/>
        <s v="DEN00244"/>
        <s v="DEN00245"/>
        <s v="DEN00246"/>
        <s v="DEN00247"/>
        <s v="DEN00248"/>
        <s v="DEN00249"/>
        <s v="DEN00250"/>
        <s v="DEN00251"/>
        <s v="DEN00252"/>
        <s v="DEN00253"/>
        <s v="DEN00254"/>
        <s v="DEN00255"/>
        <s v="DEN00256"/>
        <s v="DEN00257"/>
        <s v="DEN00258"/>
        <s v="DEN00259"/>
        <s v="DEN00260"/>
        <s v="DEN00261"/>
        <s v="DEN00262"/>
        <s v="DEN00263"/>
        <s v="DEN00264"/>
        <s v="DEN00265"/>
        <s v="DEN00266"/>
        <s v="DEN00267"/>
        <s v="DEN00268"/>
        <s v="DEN00269"/>
        <s v="DEN00270"/>
        <s v="DEN00271"/>
        <s v="DEN00272"/>
        <s v="DEN00273"/>
        <s v="DEN00274"/>
        <s v="DEN00275"/>
        <s v="DEN00276"/>
        <s v="DEN00277"/>
        <s v="DEN00278"/>
        <s v="DEN00279"/>
        <s v="DEN00280"/>
        <s v="DEN00281"/>
        <s v="DEN00282"/>
        <s v="DEN00283"/>
        <s v="DEN00284"/>
        <s v="DEN00285"/>
        <s v="DEN00286"/>
        <s v="DEN00287"/>
        <s v="DEN00288"/>
        <s v="DEN00289"/>
        <s v="DEN00290"/>
        <s v="DEN00291"/>
        <s v="DEN00292"/>
        <s v="DEN00293"/>
        <s v="DEN00294"/>
        <s v="DEN00295"/>
        <s v="DEN00296"/>
        <s v="DEN00297"/>
        <s v="DEN00298"/>
        <s v="DEN00299"/>
        <s v="DEN00300"/>
        <s v="DEN00301"/>
        <s v="DEN00302"/>
        <s v="DEN00303"/>
        <s v="DEN00304"/>
        <s v="DEN00305"/>
        <s v="DEN00306"/>
        <s v="DEN00307"/>
        <s v="DEN00308"/>
        <s v="DEN00309"/>
        <s v="DEN00310"/>
        <s v="DEN00311"/>
        <s v="DEN00312"/>
        <s v="DEN00313"/>
        <s v="DEN00314"/>
        <s v="DEN00315"/>
        <s v="DEN00316"/>
        <s v="DEN00317"/>
      </sharedItems>
    </cacheField>
    <cacheField name="claim_id" numFmtId="0">
      <sharedItems/>
    </cacheField>
    <cacheField name="denial_reason" numFmtId="0">
      <sharedItems count="7">
        <s v="Medical Necessity"/>
        <s v="Eligibility Issue"/>
        <s v="Duplicate Claim"/>
        <s v="Non-Covered Service"/>
        <s v="Incorrect Coding"/>
        <s v="Missing Documentation"/>
        <s v="Prior Authorization"/>
      </sharedItems>
    </cacheField>
    <cacheField name="denial_date" numFmtId="14">
      <sharedItems containsSemiMixedTypes="0" containsNonDate="0" containsDate="1" containsString="0" minDate="2023-01-20T00:00:00" maxDate="2025-01-23T00:00:00"/>
    </cacheField>
    <cacheField name="Denial_Month" numFmtId="14">
      <sharedItems count="25">
        <s v="Mar-2024"/>
        <s v="May-2023"/>
        <s v="Jan-2024"/>
        <s v="Jul-2023"/>
        <s v="Jul-2024"/>
        <s v="Mar-2023"/>
        <s v="Nov-2023"/>
        <s v="Jun-2023"/>
        <s v="Sep-2024"/>
        <s v="Jun-2024"/>
        <s v="Oct-2023"/>
        <s v="Dec-2023"/>
        <s v="Oct-2024"/>
        <s v="Feb-2024"/>
        <s v="Jan-2025"/>
        <s v="Nov-2024"/>
        <s v="Apr-2023"/>
        <s v="Aug-2024"/>
        <s v="Aug-2023"/>
        <s v="Feb-2023"/>
        <s v="Dec-2024"/>
        <s v="Sep-2023"/>
        <s v="May-2024"/>
        <s v="Apr-2024"/>
        <s v="Jan-2023"/>
      </sharedItems>
    </cacheField>
    <cacheField name="amount_held" numFmtId="2">
      <sharedItems containsSemiMixedTypes="0" containsString="0" containsNumber="1" minValue="17.53" maxValue="6380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Parthasarathy" refreshedDate="46301.777465393519" createdVersion="8" refreshedVersion="8" minRefreshableVersion="3" recordCount="1486" xr:uid="{62668C42-8B4C-464D-A330-28F58BDE340A}">
  <cacheSource type="worksheet">
    <worksheetSource name="Payments_Cleaned"/>
  </cacheSource>
  <cacheFields count="7">
    <cacheField name="payment_id" numFmtId="0">
      <sharedItems/>
    </cacheField>
    <cacheField name="claim_id" numFmtId="0">
      <sharedItems/>
    </cacheField>
    <cacheField name="payment_date" numFmtId="14">
      <sharedItems containsSemiMixedTypes="0" containsNonDate="0" containsDate="1" containsString="0" minDate="2023-01-17T00:00:00" maxDate="2025-02-19T00:00:00"/>
    </cacheField>
    <cacheField name="Payment_Month" numFmtId="14">
      <sharedItems count="26">
        <s v="Feb-2023"/>
        <s v="Oct-2024"/>
        <s v="Mar-2024"/>
        <s v="Sep-2024"/>
        <s v="Apr-2023"/>
        <s v="Aug-2023"/>
        <s v="May-2023"/>
        <s v="Jun-2023"/>
        <s v="Mar-2023"/>
        <s v="Jul-2024"/>
        <s v="Sep-2023"/>
        <s v="May-2024"/>
        <s v="Nov-2023"/>
        <s v="Jun-2024"/>
        <s v="Jan-2025"/>
        <s v="Jan-2024"/>
        <s v="Dec-2024"/>
        <s v="Jul-2023"/>
        <s v="Nov-2024"/>
        <s v="Dec-2023"/>
        <s v="Feb-2024"/>
        <s v="Aug-2024"/>
        <s v="Apr-2024"/>
        <s v="Oct-2023"/>
        <s v="Feb-2025"/>
        <s v="Jan-2023"/>
      </sharedItems>
    </cacheField>
    <cacheField name="amount_paid" numFmtId="2">
      <sharedItems containsSemiMixedTypes="0" containsString="0" containsNumber="1" minValue="30.39" maxValue="7709.76"/>
    </cacheField>
    <cacheField name="payment_method" numFmtId="0">
      <sharedItems/>
    </cacheField>
    <cacheField name="patient_responsibility" numFmtId="2">
      <sharedItems containsSemiMixedTypes="0" containsString="0" containsNumber="1" minValue="2.88" maxValue="2711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LM00385"/>
    <s v="P0313"/>
    <s v="PR027"/>
    <s v="S019"/>
    <d v="2024-02-05T00:00:00"/>
    <d v="2024-02-07T00:00:00"/>
    <d v="2024-02-11T00:00:00"/>
    <n v="4"/>
    <s v="Feb-2024"/>
    <x v="0"/>
    <n v="8119.14"/>
    <x v="0"/>
    <n v="4"/>
  </r>
  <r>
    <s v="CLM01608"/>
    <s v="P0243"/>
    <s v="PR008"/>
    <s v="S019"/>
    <d v="2023-01-17T00:00:00"/>
    <d v="2023-01-19T00:00:00"/>
    <d v="2023-02-03T00:00:00"/>
    <n v="15"/>
    <s v="Jan-2023"/>
    <x v="1"/>
    <n v="8108.63"/>
    <x v="0"/>
    <n v="15"/>
  </r>
  <r>
    <s v="CLM01904"/>
    <s v="P0478"/>
    <s v="PR033"/>
    <s v="S019"/>
    <d v="2023-10-16T00:00:00"/>
    <d v="2023-10-21T00:00:00"/>
    <d v="2023-11-07T00:00:00"/>
    <n v="17"/>
    <s v="Oct-2023"/>
    <x v="2"/>
    <n v="8093.13"/>
    <x v="0"/>
    <n v="17"/>
  </r>
  <r>
    <s v="CLM01198"/>
    <s v="P0251"/>
    <s v="PR014"/>
    <s v="S019"/>
    <d v="2024-07-22T00:00:00"/>
    <d v="2024-07-26T00:00:00"/>
    <d v="2024-08-24T00:00:00"/>
    <n v="29"/>
    <s v="Jul-2024"/>
    <x v="3"/>
    <n v="8080.97"/>
    <x v="1"/>
    <n v="29"/>
  </r>
  <r>
    <s v="CLM00851"/>
    <s v="P0105"/>
    <s v="PR012"/>
    <s v="S019"/>
    <d v="2023-10-04T00:00:00"/>
    <d v="2023-10-06T00:00:00"/>
    <d v="2023-10-26T00:00:00"/>
    <n v="20"/>
    <s v="Oct-2023"/>
    <x v="0"/>
    <n v="8046.86"/>
    <x v="0"/>
    <n v="20"/>
  </r>
  <r>
    <s v="CLM01270"/>
    <s v="P0483"/>
    <s v="PR004"/>
    <s v="S019"/>
    <d v="2023-09-02T00:00:00"/>
    <d v="2023-09-06T00:00:00"/>
    <d v="2023-09-12T00:00:00"/>
    <n v="6"/>
    <s v="Sep-2023"/>
    <x v="2"/>
    <n v="7970.6"/>
    <x v="0"/>
    <n v="6"/>
  </r>
  <r>
    <s v="CLM01977"/>
    <s v="P0249"/>
    <s v="PR009"/>
    <s v="S019"/>
    <d v="2024-12-16T00:00:00"/>
    <d v="2024-12-19T00:00:00"/>
    <d v="2024-12-24T00:00:00"/>
    <n v="5"/>
    <s v="Dec-2024"/>
    <x v="2"/>
    <n v="7906.56"/>
    <x v="0"/>
    <n v="5"/>
  </r>
  <r>
    <s v="CLM00011"/>
    <s v="P0062"/>
    <s v="PR018"/>
    <s v="S019"/>
    <d v="2024-11-28T00:00:00"/>
    <d v="2024-11-30T00:00:00"/>
    <m/>
    <s v=""/>
    <s v="Nov-2024"/>
    <x v="2"/>
    <n v="7886.32"/>
    <x v="2"/>
    <m/>
  </r>
  <r>
    <s v="CLM00478"/>
    <s v="P0128"/>
    <s v="PR022"/>
    <s v="S019"/>
    <d v="2024-12-28T00:00:00"/>
    <d v="2024-12-30T00:00:00"/>
    <d v="2025-01-08T00:00:00"/>
    <n v="9"/>
    <s v="Dec-2024"/>
    <x v="4"/>
    <n v="7854.51"/>
    <x v="0"/>
    <n v="9"/>
  </r>
  <r>
    <s v="CLM00095"/>
    <s v="P0371"/>
    <s v="PR018"/>
    <s v="S019"/>
    <d v="2024-07-16T00:00:00"/>
    <d v="2024-07-17T00:00:00"/>
    <d v="2024-08-06T00:00:00"/>
    <n v="20"/>
    <s v="Jul-2024"/>
    <x v="2"/>
    <n v="7645.64"/>
    <x v="0"/>
    <n v="20"/>
  </r>
  <r>
    <s v="CLM01320"/>
    <s v="P0118"/>
    <s v="PR009"/>
    <s v="S019"/>
    <d v="2024-08-23T00:00:00"/>
    <d v="2024-08-26T00:00:00"/>
    <d v="2024-09-11T00:00:00"/>
    <n v="16"/>
    <s v="Aug-2024"/>
    <x v="2"/>
    <n v="7641.22"/>
    <x v="0"/>
    <n v="16"/>
  </r>
  <r>
    <s v="CLM00896"/>
    <s v="P0377"/>
    <s v="PR030"/>
    <s v="S019"/>
    <d v="2023-12-21T00:00:00"/>
    <d v="2023-12-23T00:00:00"/>
    <d v="2024-01-03T00:00:00"/>
    <n v="11"/>
    <s v="Dec-2023"/>
    <x v="2"/>
    <n v="7602.69"/>
    <x v="0"/>
    <n v="11"/>
  </r>
  <r>
    <s v="CLM00463"/>
    <s v="P0471"/>
    <s v="PR006"/>
    <s v="S019"/>
    <d v="2023-02-04T00:00:00"/>
    <d v="2023-02-09T00:00:00"/>
    <d v="2023-03-07T00:00:00"/>
    <n v="26"/>
    <s v="Feb-2023"/>
    <x v="1"/>
    <n v="7554.69"/>
    <x v="1"/>
    <n v="26"/>
  </r>
  <r>
    <s v="CLM00734"/>
    <s v="P0341"/>
    <s v="PR003"/>
    <s v="S019"/>
    <d v="2023-03-18T00:00:00"/>
    <d v="2023-03-21T00:00:00"/>
    <d v="2023-04-01T00:00:00"/>
    <n v="11"/>
    <s v="Mar-2023"/>
    <x v="4"/>
    <n v="7508.18"/>
    <x v="0"/>
    <n v="11"/>
  </r>
  <r>
    <s v="CLM01865"/>
    <s v="P0181"/>
    <s v="PR012"/>
    <s v="S019"/>
    <d v="2024-09-07T00:00:00"/>
    <d v="2024-09-11T00:00:00"/>
    <d v="2024-09-14T00:00:00"/>
    <n v="3"/>
    <s v="Sep-2024"/>
    <x v="0"/>
    <n v="7493.94"/>
    <x v="0"/>
    <n v="3"/>
  </r>
  <r>
    <s v="CLM01972"/>
    <s v="P0402"/>
    <s v="PR006"/>
    <s v="S019"/>
    <d v="2024-07-13T00:00:00"/>
    <d v="2024-07-18T00:00:00"/>
    <d v="2024-08-13T00:00:00"/>
    <n v="26"/>
    <s v="Jul-2024"/>
    <x v="0"/>
    <n v="7490.03"/>
    <x v="1"/>
    <n v="26"/>
  </r>
  <r>
    <s v="CLM01180"/>
    <s v="P0447"/>
    <s v="PR008"/>
    <s v="S019"/>
    <d v="2024-05-21T00:00:00"/>
    <d v="2024-05-22T00:00:00"/>
    <d v="2024-06-14T00:00:00"/>
    <n v="23"/>
    <s v="May-2024"/>
    <x v="4"/>
    <n v="7478.13"/>
    <x v="0"/>
    <n v="23"/>
  </r>
  <r>
    <s v="CLM01232"/>
    <s v="P0206"/>
    <s v="PR034"/>
    <s v="S019"/>
    <d v="2024-03-03T00:00:00"/>
    <d v="2024-03-08T00:00:00"/>
    <d v="2024-03-30T00:00:00"/>
    <n v="22"/>
    <s v="Mar-2024"/>
    <x v="1"/>
    <n v="7417.72"/>
    <x v="0"/>
    <n v="22"/>
  </r>
  <r>
    <s v="CLM00538"/>
    <s v="P0018"/>
    <s v="PR024"/>
    <s v="S019"/>
    <d v="2024-12-01T00:00:00"/>
    <d v="2024-12-04T00:00:00"/>
    <d v="2024-12-13T00:00:00"/>
    <n v="9"/>
    <s v="Dec-2024"/>
    <x v="2"/>
    <n v="7415.47"/>
    <x v="0"/>
    <n v="9"/>
  </r>
  <r>
    <s v="CLM00339"/>
    <s v="P0292"/>
    <s v="PR028"/>
    <s v="S019"/>
    <d v="2023-10-04T00:00:00"/>
    <d v="2023-10-06T00:00:00"/>
    <d v="2023-10-18T00:00:00"/>
    <n v="12"/>
    <s v="Oct-2023"/>
    <x v="3"/>
    <n v="7355.98"/>
    <x v="1"/>
    <n v="12"/>
  </r>
  <r>
    <s v="CLM01923"/>
    <s v="P0156"/>
    <s v="PR033"/>
    <s v="S019"/>
    <d v="2023-10-09T00:00:00"/>
    <d v="2023-10-13T00:00:00"/>
    <d v="2023-11-06T00:00:00"/>
    <n v="24"/>
    <s v="Oct-2023"/>
    <x v="0"/>
    <n v="7353.72"/>
    <x v="0"/>
    <n v="24"/>
  </r>
  <r>
    <s v="CLM00489"/>
    <s v="P0247"/>
    <s v="PR001"/>
    <s v="S019"/>
    <d v="2023-06-23T00:00:00"/>
    <d v="2023-06-27T00:00:00"/>
    <d v="2023-07-26T00:00:00"/>
    <n v="29"/>
    <s v="Jun-2023"/>
    <x v="1"/>
    <n v="7316.74"/>
    <x v="0"/>
    <n v="29"/>
  </r>
  <r>
    <s v="CLM01243"/>
    <s v="P0116"/>
    <s v="PR007"/>
    <s v="S019"/>
    <d v="2024-05-06T00:00:00"/>
    <d v="2024-05-08T00:00:00"/>
    <d v="2024-05-24T00:00:00"/>
    <n v="16"/>
    <s v="May-2024"/>
    <x v="4"/>
    <n v="7312.45"/>
    <x v="0"/>
    <n v="16"/>
  </r>
  <r>
    <s v="CLM00847"/>
    <s v="P0113"/>
    <s v="PR035"/>
    <s v="S019"/>
    <d v="2024-11-13T00:00:00"/>
    <d v="2024-11-17T00:00:00"/>
    <d v="2024-11-29T00:00:00"/>
    <n v="12"/>
    <s v="Nov-2024"/>
    <x v="4"/>
    <n v="7287.29"/>
    <x v="0"/>
    <n v="12"/>
  </r>
  <r>
    <s v="CLM01709"/>
    <s v="P0131"/>
    <s v="PR023"/>
    <s v="S019"/>
    <d v="2023-09-05T00:00:00"/>
    <d v="2023-09-08T00:00:00"/>
    <d v="2023-09-21T00:00:00"/>
    <n v="13"/>
    <s v="Sep-2023"/>
    <x v="4"/>
    <n v="7249.61"/>
    <x v="0"/>
    <n v="13"/>
  </r>
  <r>
    <s v="CLM00066"/>
    <s v="P0426"/>
    <s v="PR014"/>
    <s v="S019"/>
    <d v="2023-04-23T00:00:00"/>
    <d v="2023-04-25T00:00:00"/>
    <d v="2023-05-17T00:00:00"/>
    <n v="22"/>
    <s v="Apr-2023"/>
    <x v="2"/>
    <n v="7228.68"/>
    <x v="0"/>
    <n v="22"/>
  </r>
  <r>
    <s v="CLM01758"/>
    <s v="P0039"/>
    <s v="PR031"/>
    <s v="S019"/>
    <d v="2024-01-25T00:00:00"/>
    <d v="2024-01-26T00:00:00"/>
    <d v="2024-02-21T00:00:00"/>
    <n v="26"/>
    <s v="Jan-2024"/>
    <x v="2"/>
    <n v="7206.98"/>
    <x v="1"/>
    <n v="26"/>
  </r>
  <r>
    <s v="CLM01986"/>
    <s v="P0423"/>
    <s v="PR027"/>
    <s v="S019"/>
    <d v="2024-07-10T00:00:00"/>
    <d v="2024-07-14T00:00:00"/>
    <d v="2024-07-21T00:00:00"/>
    <n v="7"/>
    <s v="Jul-2024"/>
    <x v="2"/>
    <n v="7148.03"/>
    <x v="1"/>
    <n v="7"/>
  </r>
  <r>
    <s v="CLM00791"/>
    <s v="P0494"/>
    <s v="PR002"/>
    <s v="S019"/>
    <d v="2023-05-20T00:00:00"/>
    <d v="2023-05-25T00:00:00"/>
    <d v="2023-06-08T00:00:00"/>
    <n v="14"/>
    <s v="May-2023"/>
    <x v="2"/>
    <n v="7143.27"/>
    <x v="0"/>
    <n v="14"/>
  </r>
  <r>
    <s v="CLM01571"/>
    <s v="P0216"/>
    <s v="PR006"/>
    <s v="S019"/>
    <d v="2023-03-10T00:00:00"/>
    <d v="2023-03-13T00:00:00"/>
    <d v="2023-04-08T00:00:00"/>
    <n v="26"/>
    <s v="Mar-2023"/>
    <x v="4"/>
    <n v="7138.66"/>
    <x v="0"/>
    <n v="26"/>
  </r>
  <r>
    <s v="CLM01936"/>
    <s v="P0430"/>
    <s v="PR038"/>
    <s v="S019"/>
    <d v="2023-06-20T00:00:00"/>
    <d v="2023-06-22T00:00:00"/>
    <m/>
    <s v=""/>
    <s v="Jun-2023"/>
    <x v="4"/>
    <n v="7088.01"/>
    <x v="2"/>
    <m/>
  </r>
  <r>
    <s v="CLM00925"/>
    <s v="P0061"/>
    <s v="PR027"/>
    <s v="S019"/>
    <d v="2023-08-03T00:00:00"/>
    <d v="2023-08-07T00:00:00"/>
    <d v="2023-08-13T00:00:00"/>
    <n v="6"/>
    <s v="Aug-2023"/>
    <x v="1"/>
    <n v="7076.18"/>
    <x v="0"/>
    <n v="6"/>
  </r>
  <r>
    <s v="CLM00098"/>
    <s v="P0146"/>
    <s v="PR032"/>
    <s v="S019"/>
    <d v="2023-10-29T00:00:00"/>
    <d v="2023-10-31T00:00:00"/>
    <d v="2023-11-10T00:00:00"/>
    <n v="10"/>
    <s v="Oct-2023"/>
    <x v="2"/>
    <n v="7048"/>
    <x v="0"/>
    <n v="10"/>
  </r>
  <r>
    <s v="CLM01531"/>
    <s v="P0012"/>
    <s v="PR029"/>
    <s v="S019"/>
    <d v="2024-06-08T00:00:00"/>
    <d v="2024-06-10T00:00:00"/>
    <d v="2024-07-03T00:00:00"/>
    <n v="23"/>
    <s v="Jun-2024"/>
    <x v="1"/>
    <n v="7025.14"/>
    <x v="0"/>
    <n v="23"/>
  </r>
  <r>
    <s v="CLM00602"/>
    <s v="P0349"/>
    <s v="PR032"/>
    <s v="S019"/>
    <d v="2024-02-16T00:00:00"/>
    <d v="2024-02-19T00:00:00"/>
    <d v="2024-02-28T00:00:00"/>
    <n v="9"/>
    <s v="Feb-2024"/>
    <x v="2"/>
    <n v="7023.78"/>
    <x v="0"/>
    <n v="9"/>
  </r>
  <r>
    <s v="CLM00308"/>
    <s v="P0209"/>
    <s v="PR013"/>
    <s v="S019"/>
    <d v="2023-09-04T00:00:00"/>
    <d v="2023-09-06T00:00:00"/>
    <d v="2023-10-03T00:00:00"/>
    <n v="27"/>
    <s v="Sep-2023"/>
    <x v="4"/>
    <n v="7000.72"/>
    <x v="0"/>
    <n v="27"/>
  </r>
  <r>
    <s v="CLM01680"/>
    <s v="P0423"/>
    <s v="PR013"/>
    <s v="S019"/>
    <d v="2023-03-09T00:00:00"/>
    <d v="2023-03-12T00:00:00"/>
    <d v="2023-03-30T00:00:00"/>
    <n v="18"/>
    <s v="Mar-2023"/>
    <x v="2"/>
    <n v="6973.5"/>
    <x v="0"/>
    <n v="18"/>
  </r>
  <r>
    <s v="CLM01702"/>
    <s v="P0340"/>
    <s v="PR035"/>
    <s v="S019"/>
    <d v="2024-02-13T00:00:00"/>
    <d v="2024-02-15T00:00:00"/>
    <d v="2024-03-03T00:00:00"/>
    <n v="17"/>
    <s v="Feb-2024"/>
    <x v="0"/>
    <n v="6948.58"/>
    <x v="0"/>
    <n v="17"/>
  </r>
  <r>
    <s v="CLM01780"/>
    <s v="P0426"/>
    <s v="PR035"/>
    <s v="S019"/>
    <d v="2024-06-13T00:00:00"/>
    <d v="2024-06-15T00:00:00"/>
    <d v="2024-06-22T00:00:00"/>
    <n v="7"/>
    <s v="Jun-2024"/>
    <x v="2"/>
    <n v="6934.19"/>
    <x v="0"/>
    <n v="7"/>
  </r>
  <r>
    <s v="CLM01990"/>
    <s v="P0332"/>
    <s v="PR012"/>
    <s v="S019"/>
    <d v="2024-09-26T00:00:00"/>
    <d v="2024-09-29T00:00:00"/>
    <d v="2024-10-17T00:00:00"/>
    <n v="18"/>
    <s v="Sep-2024"/>
    <x v="4"/>
    <n v="6933.67"/>
    <x v="0"/>
    <n v="18"/>
  </r>
  <r>
    <s v="CLM01520"/>
    <s v="P0468"/>
    <s v="PR034"/>
    <s v="S019"/>
    <d v="2024-11-04T00:00:00"/>
    <d v="2024-11-08T00:00:00"/>
    <d v="2024-11-13T00:00:00"/>
    <n v="5"/>
    <s v="Nov-2024"/>
    <x v="4"/>
    <n v="6883.23"/>
    <x v="0"/>
    <n v="5"/>
  </r>
  <r>
    <s v="CLM01240"/>
    <s v="P0025"/>
    <s v="PR002"/>
    <s v="S019"/>
    <d v="2023-02-19T00:00:00"/>
    <d v="2023-02-22T00:00:00"/>
    <d v="2023-02-27T00:00:00"/>
    <n v="5"/>
    <s v="Feb-2023"/>
    <x v="2"/>
    <n v="6854.52"/>
    <x v="1"/>
    <n v="5"/>
  </r>
  <r>
    <s v="CLM00505"/>
    <s v="P0371"/>
    <s v="PR018"/>
    <s v="S019"/>
    <d v="2024-06-23T00:00:00"/>
    <d v="2024-06-25T00:00:00"/>
    <d v="2024-07-24T00:00:00"/>
    <n v="29"/>
    <s v="Jun-2024"/>
    <x v="2"/>
    <n v="6818.91"/>
    <x v="0"/>
    <n v="29"/>
  </r>
  <r>
    <s v="CLM00197"/>
    <s v="P0253"/>
    <s v="PR028"/>
    <s v="S019"/>
    <d v="2024-09-01T00:00:00"/>
    <d v="2024-09-05T00:00:00"/>
    <d v="2024-09-27T00:00:00"/>
    <n v="22"/>
    <s v="Sep-2024"/>
    <x v="1"/>
    <n v="6815.02"/>
    <x v="0"/>
    <n v="22"/>
  </r>
  <r>
    <s v="CLM01448"/>
    <s v="P0088"/>
    <s v="PR026"/>
    <s v="S019"/>
    <d v="2023-08-01T00:00:00"/>
    <d v="2023-08-05T00:00:00"/>
    <d v="2023-09-02T00:00:00"/>
    <n v="28"/>
    <s v="Aug-2023"/>
    <x v="4"/>
    <n v="6787.51"/>
    <x v="0"/>
    <n v="28"/>
  </r>
  <r>
    <s v="CLM01934"/>
    <s v="P0039"/>
    <s v="PR002"/>
    <s v="S019"/>
    <d v="2024-07-27T00:00:00"/>
    <d v="2024-08-01T00:00:00"/>
    <d v="2024-08-07T00:00:00"/>
    <n v="6"/>
    <s v="Jul-2024"/>
    <x v="2"/>
    <n v="6776.3"/>
    <x v="0"/>
    <n v="6"/>
  </r>
  <r>
    <s v="CLM00945"/>
    <s v="P0188"/>
    <s v="PR034"/>
    <s v="S019"/>
    <d v="2023-01-23T00:00:00"/>
    <d v="2023-01-26T00:00:00"/>
    <d v="2023-02-15T00:00:00"/>
    <n v="20"/>
    <s v="Jan-2023"/>
    <x v="4"/>
    <n v="6765.22"/>
    <x v="1"/>
    <n v="20"/>
  </r>
  <r>
    <s v="CLM01911"/>
    <s v="P0408"/>
    <s v="PR008"/>
    <s v="S019"/>
    <d v="2023-12-20T00:00:00"/>
    <d v="2023-12-22T00:00:00"/>
    <d v="2024-01-04T00:00:00"/>
    <n v="13"/>
    <s v="Dec-2023"/>
    <x v="2"/>
    <n v="6743.96"/>
    <x v="0"/>
    <n v="13"/>
  </r>
  <r>
    <s v="CLM00498"/>
    <s v="P0226"/>
    <s v="PR036"/>
    <s v="S019"/>
    <d v="2024-07-03T00:00:00"/>
    <d v="2024-07-05T00:00:00"/>
    <m/>
    <s v=""/>
    <s v="Jul-2024"/>
    <x v="2"/>
    <n v="6684.36"/>
    <x v="2"/>
    <m/>
  </r>
  <r>
    <s v="CLM01933"/>
    <s v="P0017"/>
    <s v="PR038"/>
    <s v="S019"/>
    <d v="2023-07-12T00:00:00"/>
    <d v="2023-07-15T00:00:00"/>
    <d v="2023-08-01T00:00:00"/>
    <n v="17"/>
    <s v="Jul-2023"/>
    <x v="4"/>
    <n v="6657.92"/>
    <x v="0"/>
    <n v="17"/>
  </r>
  <r>
    <s v="CLM00279"/>
    <s v="P0182"/>
    <s v="PR011"/>
    <s v="S019"/>
    <d v="2023-09-16T00:00:00"/>
    <d v="2023-09-19T00:00:00"/>
    <d v="2023-09-22T00:00:00"/>
    <n v="3"/>
    <s v="Sep-2023"/>
    <x v="2"/>
    <n v="6616.33"/>
    <x v="0"/>
    <n v="3"/>
  </r>
  <r>
    <s v="CLM01301"/>
    <s v="P0488"/>
    <s v="PR010"/>
    <s v="S019"/>
    <d v="2023-11-18T00:00:00"/>
    <d v="2023-11-23T00:00:00"/>
    <d v="2023-12-20T00:00:00"/>
    <n v="27"/>
    <s v="Nov-2023"/>
    <x v="0"/>
    <n v="6576.45"/>
    <x v="0"/>
    <n v="27"/>
  </r>
  <r>
    <s v="CLM01569"/>
    <s v="P0357"/>
    <s v="PR036"/>
    <s v="S019"/>
    <d v="2024-05-31T00:00:00"/>
    <d v="2024-06-04T00:00:00"/>
    <d v="2024-06-22T00:00:00"/>
    <n v="18"/>
    <s v="May-2024"/>
    <x v="1"/>
    <n v="6552.66"/>
    <x v="1"/>
    <n v="18"/>
  </r>
  <r>
    <s v="CLM00475"/>
    <s v="P0486"/>
    <s v="PR002"/>
    <s v="S019"/>
    <d v="2023-11-20T00:00:00"/>
    <d v="2023-11-21T00:00:00"/>
    <d v="2023-11-26T00:00:00"/>
    <n v="5"/>
    <s v="Nov-2023"/>
    <x v="0"/>
    <n v="6546.69"/>
    <x v="0"/>
    <n v="5"/>
  </r>
  <r>
    <s v="CLM01421"/>
    <s v="P0384"/>
    <s v="PR040"/>
    <s v="S019"/>
    <d v="2023-11-13T00:00:00"/>
    <d v="2023-11-14T00:00:00"/>
    <d v="2023-11-21T00:00:00"/>
    <n v="7"/>
    <s v="Nov-2023"/>
    <x v="3"/>
    <n v="6507.91"/>
    <x v="0"/>
    <n v="7"/>
  </r>
  <r>
    <s v="CLM00181"/>
    <s v="P0276"/>
    <s v="PR024"/>
    <s v="S019"/>
    <d v="2024-05-04T00:00:00"/>
    <d v="2024-05-05T00:00:00"/>
    <d v="2024-05-20T00:00:00"/>
    <n v="15"/>
    <s v="May-2024"/>
    <x v="0"/>
    <n v="6482.94"/>
    <x v="0"/>
    <n v="15"/>
  </r>
  <r>
    <s v="CLM01033"/>
    <s v="P0407"/>
    <s v="PR040"/>
    <s v="S019"/>
    <d v="2023-10-31T00:00:00"/>
    <d v="2023-11-02T00:00:00"/>
    <d v="2023-11-22T00:00:00"/>
    <n v="20"/>
    <s v="Oct-2023"/>
    <x v="0"/>
    <n v="6341.71"/>
    <x v="0"/>
    <n v="20"/>
  </r>
  <r>
    <s v="CLM01217"/>
    <s v="P0069"/>
    <s v="PR021"/>
    <s v="S019"/>
    <d v="2024-03-28T00:00:00"/>
    <d v="2024-04-02T00:00:00"/>
    <d v="2024-04-11T00:00:00"/>
    <n v="9"/>
    <s v="Mar-2024"/>
    <x v="2"/>
    <n v="6302.91"/>
    <x v="0"/>
    <n v="9"/>
  </r>
  <r>
    <s v="CLM01437"/>
    <s v="P0316"/>
    <s v="PR039"/>
    <s v="S019"/>
    <d v="2024-02-15T00:00:00"/>
    <d v="2024-02-17T00:00:00"/>
    <d v="2024-03-01T00:00:00"/>
    <n v="13"/>
    <s v="Feb-2024"/>
    <x v="1"/>
    <n v="6298.07"/>
    <x v="1"/>
    <n v="13"/>
  </r>
  <r>
    <s v="CLM00956"/>
    <s v="P0456"/>
    <s v="PR026"/>
    <s v="S019"/>
    <d v="2023-01-14T00:00:00"/>
    <d v="2023-01-18T00:00:00"/>
    <d v="2023-02-15T00:00:00"/>
    <n v="28"/>
    <s v="Jan-2023"/>
    <x v="0"/>
    <n v="6293.16"/>
    <x v="0"/>
    <n v="28"/>
  </r>
  <r>
    <s v="CLM01146"/>
    <s v="P0453"/>
    <s v="PR020"/>
    <s v="S019"/>
    <d v="2023-07-14T00:00:00"/>
    <d v="2023-07-17T00:00:00"/>
    <d v="2023-08-14T00:00:00"/>
    <n v="28"/>
    <s v="Jul-2023"/>
    <x v="4"/>
    <n v="6210.67"/>
    <x v="0"/>
    <n v="28"/>
  </r>
  <r>
    <s v="CLM01221"/>
    <s v="P0215"/>
    <s v="PR019"/>
    <s v="S004"/>
    <d v="2024-08-20T00:00:00"/>
    <d v="2024-08-25T00:00:00"/>
    <d v="2024-09-07T00:00:00"/>
    <n v="13"/>
    <s v="Aug-2024"/>
    <x v="4"/>
    <n v="6182.62"/>
    <x v="1"/>
    <n v="13"/>
  </r>
  <r>
    <s v="CLM00873"/>
    <s v="P0387"/>
    <s v="PR017"/>
    <s v="S004"/>
    <d v="2023-01-25T00:00:00"/>
    <d v="2023-01-27T00:00:00"/>
    <d v="2023-02-03T00:00:00"/>
    <n v="7"/>
    <s v="Jan-2023"/>
    <x v="4"/>
    <n v="6163.56"/>
    <x v="0"/>
    <n v="7"/>
  </r>
  <r>
    <s v="CLM01014"/>
    <s v="P0366"/>
    <s v="PR007"/>
    <s v="S019"/>
    <d v="2024-09-23T00:00:00"/>
    <d v="2024-09-24T00:00:00"/>
    <m/>
    <s v=""/>
    <s v="Sep-2024"/>
    <x v="4"/>
    <n v="6136.2"/>
    <x v="2"/>
    <m/>
  </r>
  <r>
    <s v="CLM00289"/>
    <s v="P0059"/>
    <s v="PR007"/>
    <s v="S019"/>
    <d v="2024-09-10T00:00:00"/>
    <d v="2024-09-15T00:00:00"/>
    <d v="2024-09-18T00:00:00"/>
    <n v="3"/>
    <s v="Sep-2024"/>
    <x v="4"/>
    <n v="6134.58"/>
    <x v="0"/>
    <n v="3"/>
  </r>
  <r>
    <s v="CLM01943"/>
    <s v="P0158"/>
    <s v="PR017"/>
    <s v="S004"/>
    <d v="2024-02-20T00:00:00"/>
    <d v="2024-02-24T00:00:00"/>
    <d v="2024-03-12T00:00:00"/>
    <n v="17"/>
    <s v="Feb-2024"/>
    <x v="4"/>
    <n v="6132.13"/>
    <x v="1"/>
    <n v="17"/>
  </r>
  <r>
    <s v="CLM00939"/>
    <s v="P0073"/>
    <s v="PR033"/>
    <s v="S019"/>
    <d v="2023-11-09T00:00:00"/>
    <d v="2023-11-10T00:00:00"/>
    <d v="2023-11-14T00:00:00"/>
    <n v="4"/>
    <s v="Nov-2023"/>
    <x v="2"/>
    <n v="6084.66"/>
    <x v="0"/>
    <n v="4"/>
  </r>
  <r>
    <s v="CLM01723"/>
    <s v="P0275"/>
    <s v="PR020"/>
    <s v="S019"/>
    <d v="2023-02-16T00:00:00"/>
    <d v="2023-02-19T00:00:00"/>
    <d v="2023-03-09T00:00:00"/>
    <n v="18"/>
    <s v="Feb-2023"/>
    <x v="0"/>
    <n v="6050.21"/>
    <x v="1"/>
    <n v="18"/>
  </r>
  <r>
    <s v="CLM01261"/>
    <s v="P0121"/>
    <s v="PR038"/>
    <s v="S004"/>
    <d v="2023-06-03T00:00:00"/>
    <d v="2023-06-08T00:00:00"/>
    <d v="2023-07-08T00:00:00"/>
    <n v="30"/>
    <s v="Jun-2023"/>
    <x v="2"/>
    <n v="6028.2"/>
    <x v="0"/>
    <n v="30"/>
  </r>
  <r>
    <s v="CLM01075"/>
    <s v="P0408"/>
    <s v="PR004"/>
    <s v="S019"/>
    <d v="2023-02-18T00:00:00"/>
    <d v="2023-02-20T00:00:00"/>
    <d v="2023-03-11T00:00:00"/>
    <n v="19"/>
    <s v="Feb-2023"/>
    <x v="2"/>
    <n v="6019.51"/>
    <x v="0"/>
    <n v="19"/>
  </r>
  <r>
    <s v="CLM00915"/>
    <s v="P0192"/>
    <s v="PR021"/>
    <s v="S004"/>
    <d v="2023-11-18T00:00:00"/>
    <d v="2023-11-21T00:00:00"/>
    <d v="2023-12-10T00:00:00"/>
    <n v="19"/>
    <s v="Nov-2023"/>
    <x v="0"/>
    <n v="6017.87"/>
    <x v="0"/>
    <n v="19"/>
  </r>
  <r>
    <s v="CLM01461"/>
    <s v="P0225"/>
    <s v="PR020"/>
    <s v="S019"/>
    <d v="2023-01-10T00:00:00"/>
    <d v="2023-01-15T00:00:00"/>
    <d v="2023-01-25T00:00:00"/>
    <n v="10"/>
    <s v="Jan-2023"/>
    <x v="2"/>
    <n v="5986.67"/>
    <x v="0"/>
    <n v="10"/>
  </r>
  <r>
    <s v="CLM00354"/>
    <s v="P0209"/>
    <s v="PR006"/>
    <s v="S019"/>
    <d v="2024-10-23T00:00:00"/>
    <d v="2024-10-26T00:00:00"/>
    <d v="2024-11-18T00:00:00"/>
    <n v="23"/>
    <s v="Oct-2024"/>
    <x v="4"/>
    <n v="5975.48"/>
    <x v="1"/>
    <n v="23"/>
  </r>
  <r>
    <s v="CLM00496"/>
    <s v="P0181"/>
    <s v="PR033"/>
    <s v="S004"/>
    <d v="2023-08-20T00:00:00"/>
    <d v="2023-08-21T00:00:00"/>
    <d v="2023-08-29T00:00:00"/>
    <n v="8"/>
    <s v="Aug-2023"/>
    <x v="0"/>
    <n v="5971.37"/>
    <x v="0"/>
    <n v="8"/>
  </r>
  <r>
    <s v="CLM01636"/>
    <s v="P0343"/>
    <s v="PR013"/>
    <s v="S019"/>
    <d v="2023-08-07T00:00:00"/>
    <d v="2023-08-12T00:00:00"/>
    <d v="2023-09-09T00:00:00"/>
    <n v="28"/>
    <s v="Aug-2023"/>
    <x v="3"/>
    <n v="5952.1"/>
    <x v="0"/>
    <n v="28"/>
  </r>
  <r>
    <s v="CLM00103"/>
    <s v="P0062"/>
    <s v="PR028"/>
    <s v="S019"/>
    <d v="2024-12-04T00:00:00"/>
    <d v="2024-12-07T00:00:00"/>
    <m/>
    <s v=""/>
    <s v="Dec-2024"/>
    <x v="2"/>
    <n v="5939.39"/>
    <x v="2"/>
    <m/>
  </r>
  <r>
    <s v="CLM01805"/>
    <s v="P0421"/>
    <s v="PR011"/>
    <s v="S019"/>
    <d v="2024-03-30T00:00:00"/>
    <d v="2024-04-03T00:00:00"/>
    <d v="2024-05-03T00:00:00"/>
    <n v="30"/>
    <s v="Mar-2024"/>
    <x v="1"/>
    <n v="5938.44"/>
    <x v="0"/>
    <n v="30"/>
  </r>
  <r>
    <s v="CLM01449"/>
    <s v="P0129"/>
    <s v="PR011"/>
    <s v="S019"/>
    <d v="2023-11-06T00:00:00"/>
    <d v="2023-11-07T00:00:00"/>
    <d v="2023-11-25T00:00:00"/>
    <n v="18"/>
    <s v="Nov-2023"/>
    <x v="4"/>
    <n v="5931.02"/>
    <x v="1"/>
    <n v="18"/>
  </r>
  <r>
    <s v="CLM00497"/>
    <s v="P0184"/>
    <s v="PR028"/>
    <s v="S019"/>
    <d v="2024-06-16T00:00:00"/>
    <d v="2024-06-20T00:00:00"/>
    <d v="2024-07-09T00:00:00"/>
    <n v="19"/>
    <s v="Jun-2024"/>
    <x v="1"/>
    <n v="5926.05"/>
    <x v="0"/>
    <n v="19"/>
  </r>
  <r>
    <s v="CLM00891"/>
    <s v="P0463"/>
    <s v="PR012"/>
    <s v="S004"/>
    <d v="2024-01-19T00:00:00"/>
    <d v="2024-01-24T00:00:00"/>
    <d v="2024-01-29T00:00:00"/>
    <n v="5"/>
    <s v="Jan-2024"/>
    <x v="1"/>
    <n v="5902.05"/>
    <x v="0"/>
    <n v="5"/>
  </r>
  <r>
    <s v="CLM00852"/>
    <s v="P0181"/>
    <s v="PR038"/>
    <s v="S019"/>
    <d v="2023-07-23T00:00:00"/>
    <d v="2023-07-26T00:00:00"/>
    <d v="2023-08-21T00:00:00"/>
    <n v="26"/>
    <s v="Jul-2023"/>
    <x v="0"/>
    <n v="5883.8"/>
    <x v="0"/>
    <n v="26"/>
  </r>
  <r>
    <s v="CLM00017"/>
    <s v="P0124"/>
    <s v="PR002"/>
    <s v="S019"/>
    <d v="2024-06-19T00:00:00"/>
    <d v="2024-06-24T00:00:00"/>
    <d v="2024-07-23T00:00:00"/>
    <n v="29"/>
    <s v="Jun-2024"/>
    <x v="1"/>
    <n v="5871.18"/>
    <x v="0"/>
    <n v="29"/>
  </r>
  <r>
    <s v="CLM00946"/>
    <s v="P0307"/>
    <s v="PR020"/>
    <s v="S004"/>
    <d v="2024-06-27T00:00:00"/>
    <d v="2024-06-30T00:00:00"/>
    <m/>
    <s v=""/>
    <s v="Jun-2024"/>
    <x v="1"/>
    <n v="5870.76"/>
    <x v="2"/>
    <m/>
  </r>
  <r>
    <s v="CLM00361"/>
    <s v="P0318"/>
    <s v="PR034"/>
    <s v="S019"/>
    <d v="2023-03-07T00:00:00"/>
    <d v="2023-03-11T00:00:00"/>
    <d v="2023-04-07T00:00:00"/>
    <n v="27"/>
    <s v="Mar-2023"/>
    <x v="2"/>
    <n v="5869.01"/>
    <x v="0"/>
    <n v="27"/>
  </r>
  <r>
    <s v="CLM00449"/>
    <s v="P0480"/>
    <s v="PR020"/>
    <s v="S004"/>
    <d v="2024-05-28T00:00:00"/>
    <d v="2024-06-02T00:00:00"/>
    <d v="2024-06-08T00:00:00"/>
    <n v="6"/>
    <s v="May-2024"/>
    <x v="0"/>
    <n v="5861.29"/>
    <x v="0"/>
    <n v="6"/>
  </r>
  <r>
    <s v="CLM00701"/>
    <s v="P0044"/>
    <s v="PR018"/>
    <s v="S019"/>
    <d v="2023-01-31T00:00:00"/>
    <d v="2023-02-05T00:00:00"/>
    <d v="2023-02-13T00:00:00"/>
    <n v="8"/>
    <s v="Jan-2023"/>
    <x v="2"/>
    <n v="5855.34"/>
    <x v="0"/>
    <n v="8"/>
  </r>
  <r>
    <s v="CLM01949"/>
    <s v="P0222"/>
    <s v="PR026"/>
    <s v="S004"/>
    <d v="2024-09-23T00:00:00"/>
    <d v="2024-09-26T00:00:00"/>
    <m/>
    <s v=""/>
    <s v="Sep-2024"/>
    <x v="1"/>
    <n v="5846.05"/>
    <x v="2"/>
    <m/>
  </r>
  <r>
    <s v="CLM01493"/>
    <s v="P0144"/>
    <s v="PR015"/>
    <s v="S004"/>
    <d v="2023-05-21T00:00:00"/>
    <d v="2023-05-26T00:00:00"/>
    <d v="2023-06-09T00:00:00"/>
    <n v="14"/>
    <s v="May-2023"/>
    <x v="1"/>
    <n v="5802.09"/>
    <x v="0"/>
    <n v="14"/>
  </r>
  <r>
    <s v="CLM01464"/>
    <s v="P0480"/>
    <s v="PR025"/>
    <s v="S004"/>
    <d v="2024-07-13T00:00:00"/>
    <d v="2024-07-14T00:00:00"/>
    <d v="2024-07-19T00:00:00"/>
    <n v="5"/>
    <s v="Jul-2024"/>
    <x v="0"/>
    <n v="5742.38"/>
    <x v="0"/>
    <n v="5"/>
  </r>
  <r>
    <s v="CLM01056"/>
    <s v="P0375"/>
    <s v="PR013"/>
    <s v="S004"/>
    <d v="2023-06-11T00:00:00"/>
    <d v="2023-06-14T00:00:00"/>
    <d v="2023-07-12T00:00:00"/>
    <n v="28"/>
    <s v="Jun-2023"/>
    <x v="2"/>
    <n v="5718.05"/>
    <x v="0"/>
    <n v="28"/>
  </r>
  <r>
    <s v="CLM01315"/>
    <s v="P0325"/>
    <s v="PR034"/>
    <s v="S004"/>
    <d v="2024-10-28T00:00:00"/>
    <d v="2024-10-29T00:00:00"/>
    <m/>
    <s v=""/>
    <s v="Oct-2024"/>
    <x v="2"/>
    <n v="5690.08"/>
    <x v="2"/>
    <m/>
  </r>
  <r>
    <s v="CLM01386"/>
    <s v="P0038"/>
    <s v="PR010"/>
    <s v="S004"/>
    <d v="2024-05-19T00:00:00"/>
    <d v="2024-05-22T00:00:00"/>
    <d v="2024-05-31T00:00:00"/>
    <n v="9"/>
    <s v="May-2024"/>
    <x v="2"/>
    <n v="5646.92"/>
    <x v="0"/>
    <n v="9"/>
  </r>
  <r>
    <s v="CLM01722"/>
    <s v="P0243"/>
    <s v="PR004"/>
    <s v="S004"/>
    <d v="2024-03-11T00:00:00"/>
    <d v="2024-03-14T00:00:00"/>
    <d v="2024-03-24T00:00:00"/>
    <n v="10"/>
    <s v="Mar-2024"/>
    <x v="1"/>
    <n v="5626.22"/>
    <x v="0"/>
    <n v="10"/>
  </r>
  <r>
    <s v="CLM00892"/>
    <s v="P0302"/>
    <s v="PR014"/>
    <s v="S004"/>
    <d v="2023-09-17T00:00:00"/>
    <d v="2023-09-20T00:00:00"/>
    <d v="2023-10-15T00:00:00"/>
    <n v="25"/>
    <s v="Sep-2023"/>
    <x v="0"/>
    <n v="5557.67"/>
    <x v="0"/>
    <n v="25"/>
  </r>
  <r>
    <s v="CLM00160"/>
    <s v="P0056"/>
    <s v="PR026"/>
    <s v="S004"/>
    <d v="2024-10-27T00:00:00"/>
    <d v="2024-10-28T00:00:00"/>
    <d v="2024-11-07T00:00:00"/>
    <n v="10"/>
    <s v="Oct-2024"/>
    <x v="1"/>
    <n v="5557.3"/>
    <x v="1"/>
    <n v="10"/>
  </r>
  <r>
    <s v="CLM01218"/>
    <s v="P0047"/>
    <s v="PR018"/>
    <s v="S004"/>
    <d v="2024-01-25T00:00:00"/>
    <d v="2024-01-29T00:00:00"/>
    <d v="2024-02-28T00:00:00"/>
    <n v="30"/>
    <s v="Jan-2024"/>
    <x v="3"/>
    <n v="5528.48"/>
    <x v="0"/>
    <n v="30"/>
  </r>
  <r>
    <s v="CLM01440"/>
    <s v="P0352"/>
    <s v="PR013"/>
    <s v="S004"/>
    <d v="2024-01-17T00:00:00"/>
    <d v="2024-01-21T00:00:00"/>
    <d v="2024-02-09T00:00:00"/>
    <n v="19"/>
    <s v="Jan-2024"/>
    <x v="1"/>
    <n v="5521.75"/>
    <x v="0"/>
    <n v="19"/>
  </r>
  <r>
    <s v="CLM00985"/>
    <s v="P0321"/>
    <s v="PR012"/>
    <s v="S004"/>
    <d v="2023-12-09T00:00:00"/>
    <d v="2023-12-11T00:00:00"/>
    <d v="2023-12-23T00:00:00"/>
    <n v="12"/>
    <s v="Dec-2023"/>
    <x v="2"/>
    <n v="5510.1"/>
    <x v="0"/>
    <n v="12"/>
  </r>
  <r>
    <s v="CLM01706"/>
    <s v="P0112"/>
    <s v="PR018"/>
    <s v="S004"/>
    <d v="2024-08-27T00:00:00"/>
    <d v="2024-08-28T00:00:00"/>
    <d v="2024-09-27T00:00:00"/>
    <n v="30"/>
    <s v="Aug-2024"/>
    <x v="4"/>
    <n v="5498.99"/>
    <x v="0"/>
    <n v="30"/>
  </r>
  <r>
    <s v="CLM00287"/>
    <s v="P0343"/>
    <s v="PR010"/>
    <s v="S004"/>
    <d v="2024-09-04T00:00:00"/>
    <d v="2024-09-05T00:00:00"/>
    <d v="2024-09-13T00:00:00"/>
    <n v="8"/>
    <s v="Sep-2024"/>
    <x v="3"/>
    <n v="5450.04"/>
    <x v="0"/>
    <n v="8"/>
  </r>
  <r>
    <s v="CLM01443"/>
    <s v="P0302"/>
    <s v="PR040"/>
    <s v="S004"/>
    <d v="2023-02-16T00:00:00"/>
    <d v="2023-02-20T00:00:00"/>
    <d v="2023-03-18T00:00:00"/>
    <n v="26"/>
    <s v="Feb-2023"/>
    <x v="0"/>
    <n v="5440.05"/>
    <x v="0"/>
    <n v="26"/>
  </r>
  <r>
    <s v="CLM00371"/>
    <s v="P0181"/>
    <s v="PR008"/>
    <s v="S004"/>
    <d v="2024-10-01T00:00:00"/>
    <d v="2024-10-03T00:00:00"/>
    <d v="2024-10-16T00:00:00"/>
    <n v="13"/>
    <s v="Oct-2024"/>
    <x v="0"/>
    <n v="5435.47"/>
    <x v="1"/>
    <n v="13"/>
  </r>
  <r>
    <s v="CLM00742"/>
    <s v="P0421"/>
    <s v="PR026"/>
    <s v="S004"/>
    <d v="2023-03-10T00:00:00"/>
    <d v="2023-03-14T00:00:00"/>
    <d v="2023-04-12T00:00:00"/>
    <n v="29"/>
    <s v="Mar-2023"/>
    <x v="1"/>
    <n v="5427.17"/>
    <x v="0"/>
    <n v="29"/>
  </r>
  <r>
    <s v="CLM00975"/>
    <s v="P0052"/>
    <s v="PR018"/>
    <s v="S004"/>
    <d v="2024-12-16T00:00:00"/>
    <d v="2024-12-20T00:00:00"/>
    <d v="2025-01-08T00:00:00"/>
    <n v="19"/>
    <s v="Dec-2024"/>
    <x v="3"/>
    <n v="5410.28"/>
    <x v="0"/>
    <n v="19"/>
  </r>
  <r>
    <s v="CLM01854"/>
    <s v="P0414"/>
    <s v="PR034"/>
    <s v="S004"/>
    <d v="2024-11-07T00:00:00"/>
    <d v="2024-11-10T00:00:00"/>
    <d v="2024-11-15T00:00:00"/>
    <n v="5"/>
    <s v="Nov-2024"/>
    <x v="1"/>
    <n v="5383.8"/>
    <x v="0"/>
    <n v="5"/>
  </r>
  <r>
    <s v="CLM01795"/>
    <s v="P0324"/>
    <s v="PR025"/>
    <s v="S004"/>
    <d v="2023-01-03T00:00:00"/>
    <d v="2023-01-08T00:00:00"/>
    <d v="2023-01-12T00:00:00"/>
    <n v="4"/>
    <s v="Jan-2023"/>
    <x v="2"/>
    <n v="5371.73"/>
    <x v="0"/>
    <n v="4"/>
  </r>
  <r>
    <s v="CLM00148"/>
    <s v="P0405"/>
    <s v="PR040"/>
    <s v="S004"/>
    <d v="2024-11-20T00:00:00"/>
    <d v="2024-11-23T00:00:00"/>
    <m/>
    <s v=""/>
    <s v="Nov-2024"/>
    <x v="4"/>
    <n v="5294.23"/>
    <x v="2"/>
    <m/>
  </r>
  <r>
    <s v="CLM01307"/>
    <s v="P0017"/>
    <s v="PR027"/>
    <s v="S004"/>
    <d v="2023-12-15T00:00:00"/>
    <d v="2023-12-17T00:00:00"/>
    <d v="2023-12-27T00:00:00"/>
    <n v="10"/>
    <s v="Dec-2023"/>
    <x v="4"/>
    <n v="5291.57"/>
    <x v="0"/>
    <n v="10"/>
  </r>
  <r>
    <s v="CLM01153"/>
    <s v="P0004"/>
    <s v="PR015"/>
    <s v="S004"/>
    <d v="2023-03-20T00:00:00"/>
    <d v="2023-03-21T00:00:00"/>
    <m/>
    <s v=""/>
    <s v="Mar-2023"/>
    <x v="4"/>
    <n v="5282.83"/>
    <x v="2"/>
    <m/>
  </r>
  <r>
    <s v="CLM01259"/>
    <s v="P0258"/>
    <s v="PR040"/>
    <s v="S004"/>
    <d v="2023-01-19T00:00:00"/>
    <d v="2023-01-20T00:00:00"/>
    <d v="2023-02-02T00:00:00"/>
    <n v="13"/>
    <s v="Jan-2023"/>
    <x v="0"/>
    <n v="5276.3"/>
    <x v="1"/>
    <n v="13"/>
  </r>
  <r>
    <s v="CLM00429"/>
    <s v="P0296"/>
    <s v="PR015"/>
    <s v="S004"/>
    <d v="2024-09-24T00:00:00"/>
    <d v="2024-09-25T00:00:00"/>
    <d v="2024-10-19T00:00:00"/>
    <n v="24"/>
    <s v="Sep-2024"/>
    <x v="2"/>
    <n v="5267.02"/>
    <x v="0"/>
    <n v="24"/>
  </r>
  <r>
    <s v="CLM01790"/>
    <s v="P0376"/>
    <s v="PR036"/>
    <s v="S004"/>
    <d v="2023-05-15T00:00:00"/>
    <d v="2023-05-18T00:00:00"/>
    <d v="2023-06-02T00:00:00"/>
    <n v="15"/>
    <s v="May-2023"/>
    <x v="0"/>
    <n v="5263.08"/>
    <x v="0"/>
    <n v="15"/>
  </r>
  <r>
    <s v="CLM01308"/>
    <s v="P0063"/>
    <s v="PR028"/>
    <s v="S004"/>
    <d v="2024-03-26T00:00:00"/>
    <d v="2024-03-27T00:00:00"/>
    <d v="2024-04-19T00:00:00"/>
    <n v="23"/>
    <s v="Mar-2024"/>
    <x v="2"/>
    <n v="5242.68"/>
    <x v="0"/>
    <n v="23"/>
  </r>
  <r>
    <s v="CLM00692"/>
    <s v="P0180"/>
    <s v="PR009"/>
    <s v="S013"/>
    <d v="2024-01-30T00:00:00"/>
    <d v="2024-01-31T00:00:00"/>
    <d v="2024-02-16T00:00:00"/>
    <n v="16"/>
    <s v="Jan-2024"/>
    <x v="0"/>
    <n v="5238.38"/>
    <x v="0"/>
    <n v="16"/>
  </r>
  <r>
    <s v="CLM01528"/>
    <s v="P0474"/>
    <s v="PR039"/>
    <s v="S004"/>
    <d v="2023-10-10T00:00:00"/>
    <d v="2023-10-11T00:00:00"/>
    <d v="2023-11-01T00:00:00"/>
    <n v="21"/>
    <s v="Oct-2023"/>
    <x v="2"/>
    <n v="5232.83"/>
    <x v="0"/>
    <n v="21"/>
  </r>
  <r>
    <s v="CLM01095"/>
    <s v="P0324"/>
    <s v="PR015"/>
    <s v="S004"/>
    <d v="2024-06-19T00:00:00"/>
    <d v="2024-06-24T00:00:00"/>
    <d v="2024-07-08T00:00:00"/>
    <n v="14"/>
    <s v="Jun-2024"/>
    <x v="2"/>
    <n v="5232.29"/>
    <x v="1"/>
    <n v="14"/>
  </r>
  <r>
    <s v="CLM01387"/>
    <s v="P0070"/>
    <s v="PR039"/>
    <s v="S004"/>
    <d v="2024-04-19T00:00:00"/>
    <d v="2024-04-20T00:00:00"/>
    <d v="2024-05-10T00:00:00"/>
    <n v="20"/>
    <s v="Apr-2024"/>
    <x v="1"/>
    <n v="5232.1400000000003"/>
    <x v="0"/>
    <n v="20"/>
  </r>
  <r>
    <s v="CLM01560"/>
    <s v="P0156"/>
    <s v="PR010"/>
    <s v="S004"/>
    <d v="2023-04-23T00:00:00"/>
    <d v="2023-04-24T00:00:00"/>
    <d v="2023-05-08T00:00:00"/>
    <n v="14"/>
    <s v="Apr-2023"/>
    <x v="0"/>
    <n v="5219.97"/>
    <x v="0"/>
    <n v="14"/>
  </r>
  <r>
    <s v="CLM01563"/>
    <s v="P0359"/>
    <s v="PR002"/>
    <s v="S013"/>
    <d v="2024-07-18T00:00:00"/>
    <d v="2024-07-19T00:00:00"/>
    <d v="2024-08-12T00:00:00"/>
    <n v="24"/>
    <s v="Jul-2024"/>
    <x v="1"/>
    <n v="5211.33"/>
    <x v="0"/>
    <n v="24"/>
  </r>
  <r>
    <s v="CLM00826"/>
    <s v="P0025"/>
    <s v="PR005"/>
    <s v="S013"/>
    <d v="2023-12-31T00:00:00"/>
    <d v="2024-01-05T00:00:00"/>
    <d v="2024-01-30T00:00:00"/>
    <n v="25"/>
    <s v="Dec-2023"/>
    <x v="2"/>
    <n v="5210.38"/>
    <x v="0"/>
    <n v="25"/>
  </r>
  <r>
    <s v="CLM01946"/>
    <s v="P0066"/>
    <s v="PR014"/>
    <s v="S004"/>
    <d v="2023-01-25T00:00:00"/>
    <d v="2023-01-26T00:00:00"/>
    <d v="2023-02-25T00:00:00"/>
    <n v="30"/>
    <s v="Jan-2023"/>
    <x v="2"/>
    <n v="5203.1400000000003"/>
    <x v="0"/>
    <n v="30"/>
  </r>
  <r>
    <s v="CLM00097"/>
    <s v="P0279"/>
    <s v="PR027"/>
    <s v="S013"/>
    <d v="2024-06-30T00:00:00"/>
    <d v="2024-07-01T00:00:00"/>
    <d v="2024-07-07T00:00:00"/>
    <n v="6"/>
    <s v="Jun-2024"/>
    <x v="4"/>
    <n v="5201.29"/>
    <x v="0"/>
    <n v="6"/>
  </r>
  <r>
    <s v="CLM00261"/>
    <s v="P0149"/>
    <s v="PR016"/>
    <s v="S004"/>
    <d v="2024-05-22T00:00:00"/>
    <d v="2024-05-27T00:00:00"/>
    <d v="2024-06-13T00:00:00"/>
    <n v="17"/>
    <s v="May-2024"/>
    <x v="3"/>
    <n v="5196.9399999999996"/>
    <x v="1"/>
    <n v="17"/>
  </r>
  <r>
    <s v="CLM01162"/>
    <s v="P0378"/>
    <s v="PR036"/>
    <s v="S004"/>
    <d v="2024-10-06T00:00:00"/>
    <d v="2024-10-07T00:00:00"/>
    <d v="2024-10-30T00:00:00"/>
    <n v="23"/>
    <s v="Oct-2024"/>
    <x v="4"/>
    <n v="5179.2299999999996"/>
    <x v="0"/>
    <n v="23"/>
  </r>
  <r>
    <s v="CLM01335"/>
    <s v="P0293"/>
    <s v="PR002"/>
    <s v="S004"/>
    <d v="2023-04-26T00:00:00"/>
    <d v="2023-04-28T00:00:00"/>
    <d v="2023-05-20T00:00:00"/>
    <n v="22"/>
    <s v="Apr-2023"/>
    <x v="0"/>
    <n v="5179.21"/>
    <x v="0"/>
    <n v="22"/>
  </r>
  <r>
    <s v="CLM00625"/>
    <s v="P0276"/>
    <s v="PR016"/>
    <s v="S004"/>
    <d v="2024-08-27T00:00:00"/>
    <d v="2024-09-01T00:00:00"/>
    <m/>
    <s v=""/>
    <s v="Aug-2024"/>
    <x v="0"/>
    <n v="5170.37"/>
    <x v="2"/>
    <m/>
  </r>
  <r>
    <s v="CLM01998"/>
    <s v="P0258"/>
    <s v="PR036"/>
    <s v="S013"/>
    <d v="2024-10-05T00:00:00"/>
    <d v="2024-10-07T00:00:00"/>
    <m/>
    <s v=""/>
    <s v="Oct-2024"/>
    <x v="0"/>
    <n v="5164.7299999999996"/>
    <x v="2"/>
    <m/>
  </r>
  <r>
    <s v="CLM01001"/>
    <s v="P0175"/>
    <s v="PR016"/>
    <s v="S004"/>
    <d v="2023-05-21T00:00:00"/>
    <d v="2023-05-23T00:00:00"/>
    <d v="2023-06-07T00:00:00"/>
    <n v="15"/>
    <s v="May-2023"/>
    <x v="1"/>
    <n v="5164.0600000000004"/>
    <x v="1"/>
    <n v="15"/>
  </r>
  <r>
    <s v="CLM00604"/>
    <s v="P0325"/>
    <s v="PR001"/>
    <s v="S013"/>
    <d v="2023-04-23T00:00:00"/>
    <d v="2023-04-25T00:00:00"/>
    <d v="2023-05-24T00:00:00"/>
    <n v="29"/>
    <s v="Apr-2023"/>
    <x v="2"/>
    <n v="5162.59"/>
    <x v="0"/>
    <n v="29"/>
  </r>
  <r>
    <s v="CLM00040"/>
    <s v="P0192"/>
    <s v="PR003"/>
    <s v="S013"/>
    <d v="2023-06-11T00:00:00"/>
    <d v="2023-06-14T00:00:00"/>
    <d v="2023-07-13T00:00:00"/>
    <n v="29"/>
    <s v="Jun-2023"/>
    <x v="0"/>
    <n v="5108.8100000000004"/>
    <x v="0"/>
    <n v="29"/>
  </r>
  <r>
    <s v="CLM01501"/>
    <s v="P0281"/>
    <s v="PR028"/>
    <s v="S013"/>
    <d v="2024-07-28T00:00:00"/>
    <d v="2024-07-31T00:00:00"/>
    <d v="2024-08-13T00:00:00"/>
    <n v="13"/>
    <s v="Jul-2024"/>
    <x v="4"/>
    <n v="5087.01"/>
    <x v="1"/>
    <n v="13"/>
  </r>
  <r>
    <s v="CLM01664"/>
    <s v="P0409"/>
    <s v="PR022"/>
    <s v="S004"/>
    <d v="2024-03-27T00:00:00"/>
    <d v="2024-04-01T00:00:00"/>
    <d v="2024-04-29T00:00:00"/>
    <n v="28"/>
    <s v="Mar-2024"/>
    <x v="3"/>
    <n v="5082.76"/>
    <x v="0"/>
    <n v="28"/>
  </r>
  <r>
    <s v="CLM01350"/>
    <s v="P0311"/>
    <s v="PR005"/>
    <s v="S013"/>
    <d v="2023-07-12T00:00:00"/>
    <d v="2023-07-15T00:00:00"/>
    <d v="2023-07-23T00:00:00"/>
    <n v="8"/>
    <s v="Jul-2023"/>
    <x v="0"/>
    <n v="5076.33"/>
    <x v="0"/>
    <n v="8"/>
  </r>
  <r>
    <s v="CLM01729"/>
    <s v="P0397"/>
    <s v="PR035"/>
    <s v="S013"/>
    <d v="2023-07-22T00:00:00"/>
    <d v="2023-07-27T00:00:00"/>
    <d v="2023-08-07T00:00:00"/>
    <n v="11"/>
    <s v="Jul-2023"/>
    <x v="4"/>
    <n v="5049.46"/>
    <x v="0"/>
    <n v="11"/>
  </r>
  <r>
    <s v="CLM01726"/>
    <s v="P0173"/>
    <s v="PR028"/>
    <s v="S004"/>
    <d v="2023-03-10T00:00:00"/>
    <d v="2023-03-14T00:00:00"/>
    <d v="2023-03-31T00:00:00"/>
    <n v="17"/>
    <s v="Mar-2023"/>
    <x v="4"/>
    <n v="5048.3999999999996"/>
    <x v="0"/>
    <n v="17"/>
  </r>
  <r>
    <s v="CLM01220"/>
    <s v="P0256"/>
    <s v="PR029"/>
    <s v="S013"/>
    <d v="2024-07-27T00:00:00"/>
    <d v="2024-08-01T00:00:00"/>
    <d v="2024-08-10T00:00:00"/>
    <n v="9"/>
    <s v="Jul-2024"/>
    <x v="2"/>
    <n v="5047.78"/>
    <x v="0"/>
    <n v="9"/>
  </r>
  <r>
    <s v="CLM01170"/>
    <s v="P0376"/>
    <s v="PR010"/>
    <s v="S013"/>
    <d v="2024-06-12T00:00:00"/>
    <d v="2024-06-13T00:00:00"/>
    <d v="2024-06-29T00:00:00"/>
    <n v="16"/>
    <s v="Jun-2024"/>
    <x v="0"/>
    <n v="5033.2299999999996"/>
    <x v="1"/>
    <n v="16"/>
  </r>
  <r>
    <s v="CLM00303"/>
    <s v="P0460"/>
    <s v="PR031"/>
    <s v="S004"/>
    <d v="2023-06-11T00:00:00"/>
    <d v="2023-06-15T00:00:00"/>
    <d v="2023-07-02T00:00:00"/>
    <n v="17"/>
    <s v="Jun-2023"/>
    <x v="1"/>
    <n v="4999.18"/>
    <x v="0"/>
    <n v="17"/>
  </r>
  <r>
    <s v="CLM00225"/>
    <s v="P0442"/>
    <s v="PR029"/>
    <s v="S004"/>
    <d v="2023-10-04T00:00:00"/>
    <d v="2023-10-09T00:00:00"/>
    <d v="2023-11-05T00:00:00"/>
    <n v="27"/>
    <s v="Oct-2023"/>
    <x v="2"/>
    <n v="4989.3"/>
    <x v="0"/>
    <n v="27"/>
  </r>
  <r>
    <s v="CLM00039"/>
    <s v="P0211"/>
    <s v="PR029"/>
    <s v="S004"/>
    <d v="2024-06-19T00:00:00"/>
    <d v="2024-06-24T00:00:00"/>
    <d v="2024-06-27T00:00:00"/>
    <n v="3"/>
    <s v="Jun-2024"/>
    <x v="4"/>
    <n v="4964.25"/>
    <x v="0"/>
    <n v="3"/>
  </r>
  <r>
    <s v="CLM00430"/>
    <s v="P0236"/>
    <s v="PR014"/>
    <s v="S004"/>
    <d v="2024-05-22T00:00:00"/>
    <d v="2024-05-25T00:00:00"/>
    <d v="2024-06-18T00:00:00"/>
    <n v="24"/>
    <s v="May-2024"/>
    <x v="2"/>
    <n v="4959.71"/>
    <x v="0"/>
    <n v="24"/>
  </r>
  <r>
    <s v="CLM01024"/>
    <s v="P0415"/>
    <s v="PR004"/>
    <s v="S013"/>
    <d v="2024-03-06T00:00:00"/>
    <d v="2024-03-11T00:00:00"/>
    <d v="2024-04-06T00:00:00"/>
    <n v="26"/>
    <s v="Mar-2024"/>
    <x v="1"/>
    <n v="4945.2700000000004"/>
    <x v="0"/>
    <n v="26"/>
  </r>
  <r>
    <s v="CLM01888"/>
    <s v="P0475"/>
    <s v="PR015"/>
    <s v="S013"/>
    <d v="2023-01-11T00:00:00"/>
    <d v="2023-01-16T00:00:00"/>
    <m/>
    <s v=""/>
    <s v="Jan-2023"/>
    <x v="2"/>
    <n v="4944.24"/>
    <x v="2"/>
    <m/>
  </r>
  <r>
    <s v="CLM00639"/>
    <s v="P0498"/>
    <s v="PR023"/>
    <s v="S013"/>
    <d v="2023-02-18T00:00:00"/>
    <d v="2023-02-23T00:00:00"/>
    <d v="2023-03-21T00:00:00"/>
    <n v="26"/>
    <s v="Feb-2023"/>
    <x v="0"/>
    <n v="4941.68"/>
    <x v="0"/>
    <n v="26"/>
  </r>
  <r>
    <s v="CLM00644"/>
    <s v="P0328"/>
    <s v="PR018"/>
    <s v="S004"/>
    <d v="2024-05-19T00:00:00"/>
    <d v="2024-05-21T00:00:00"/>
    <d v="2024-06-18T00:00:00"/>
    <n v="28"/>
    <s v="May-2024"/>
    <x v="3"/>
    <n v="4904.8599999999997"/>
    <x v="0"/>
    <n v="28"/>
  </r>
  <r>
    <s v="CLM01374"/>
    <s v="P0374"/>
    <s v="PR003"/>
    <s v="S013"/>
    <d v="2023-03-25T00:00:00"/>
    <d v="2023-03-29T00:00:00"/>
    <m/>
    <s v=""/>
    <s v="Mar-2023"/>
    <x v="2"/>
    <n v="4901.3100000000004"/>
    <x v="2"/>
    <m/>
  </r>
  <r>
    <s v="CLM01117"/>
    <s v="P0201"/>
    <s v="PR007"/>
    <s v="S013"/>
    <d v="2024-01-26T00:00:00"/>
    <d v="2024-01-30T00:00:00"/>
    <m/>
    <s v=""/>
    <s v="Jan-2024"/>
    <x v="0"/>
    <n v="4874.22"/>
    <x v="2"/>
    <m/>
  </r>
  <r>
    <s v="CLM01545"/>
    <s v="P0321"/>
    <s v="PR011"/>
    <s v="S004"/>
    <d v="2024-05-28T00:00:00"/>
    <d v="2024-05-31T00:00:00"/>
    <d v="2024-06-11T00:00:00"/>
    <n v="11"/>
    <s v="May-2024"/>
    <x v="2"/>
    <n v="4867.3100000000004"/>
    <x v="0"/>
    <n v="11"/>
  </r>
  <r>
    <s v="CLM00347"/>
    <s v="P0150"/>
    <s v="PR034"/>
    <s v="S013"/>
    <d v="2023-02-10T00:00:00"/>
    <d v="2023-02-12T00:00:00"/>
    <m/>
    <s v=""/>
    <s v="Feb-2023"/>
    <x v="4"/>
    <n v="4861.22"/>
    <x v="2"/>
    <m/>
  </r>
  <r>
    <s v="CLM01574"/>
    <s v="P0128"/>
    <s v="PR005"/>
    <s v="S013"/>
    <d v="2023-02-02T00:00:00"/>
    <d v="2023-02-04T00:00:00"/>
    <d v="2023-02-22T00:00:00"/>
    <n v="18"/>
    <s v="Feb-2023"/>
    <x v="4"/>
    <n v="4856.3900000000003"/>
    <x v="0"/>
    <n v="18"/>
  </r>
  <r>
    <s v="CLM00708"/>
    <s v="P0271"/>
    <s v="PR037"/>
    <s v="S013"/>
    <d v="2024-08-01T00:00:00"/>
    <d v="2024-08-06T00:00:00"/>
    <d v="2024-08-25T00:00:00"/>
    <n v="19"/>
    <s v="Aug-2024"/>
    <x v="1"/>
    <n v="4826.75"/>
    <x v="1"/>
    <n v="19"/>
  </r>
  <r>
    <s v="CLM01027"/>
    <s v="P0060"/>
    <s v="PR037"/>
    <s v="S013"/>
    <d v="2024-06-16T00:00:00"/>
    <d v="2024-06-19T00:00:00"/>
    <d v="2024-07-09T00:00:00"/>
    <n v="20"/>
    <s v="Jun-2024"/>
    <x v="4"/>
    <n v="4823.95"/>
    <x v="0"/>
    <n v="20"/>
  </r>
  <r>
    <s v="CLM01262"/>
    <s v="P0298"/>
    <s v="PR025"/>
    <s v="S013"/>
    <d v="2024-01-25T00:00:00"/>
    <d v="2024-01-26T00:00:00"/>
    <d v="2024-02-22T00:00:00"/>
    <n v="27"/>
    <s v="Jan-2024"/>
    <x v="4"/>
    <n v="4816.22"/>
    <x v="0"/>
    <n v="27"/>
  </r>
  <r>
    <s v="CLM00110"/>
    <s v="P0061"/>
    <s v="PR006"/>
    <s v="S013"/>
    <d v="2023-10-22T00:00:00"/>
    <d v="2023-10-27T00:00:00"/>
    <d v="2023-11-07T00:00:00"/>
    <n v="11"/>
    <s v="Oct-2023"/>
    <x v="1"/>
    <n v="4813.21"/>
    <x v="0"/>
    <n v="11"/>
  </r>
  <r>
    <s v="CLM00838"/>
    <s v="P0010"/>
    <s v="PR017"/>
    <s v="S004"/>
    <d v="2024-05-08T00:00:00"/>
    <d v="2024-05-13T00:00:00"/>
    <d v="2024-05-23T00:00:00"/>
    <n v="10"/>
    <s v="May-2024"/>
    <x v="3"/>
    <n v="4807.43"/>
    <x v="0"/>
    <n v="10"/>
  </r>
  <r>
    <s v="CLM01719"/>
    <s v="P0073"/>
    <s v="PR002"/>
    <s v="S004"/>
    <d v="2023-05-31T00:00:00"/>
    <d v="2023-06-01T00:00:00"/>
    <d v="2023-06-12T00:00:00"/>
    <n v="11"/>
    <s v="May-2023"/>
    <x v="2"/>
    <n v="4799.82"/>
    <x v="0"/>
    <n v="11"/>
  </r>
  <r>
    <s v="CLM01556"/>
    <s v="P0285"/>
    <s v="PR020"/>
    <s v="S004"/>
    <d v="2023-07-29T00:00:00"/>
    <d v="2023-08-01T00:00:00"/>
    <d v="2023-08-27T00:00:00"/>
    <n v="26"/>
    <s v="Jul-2023"/>
    <x v="4"/>
    <n v="4797.7700000000004"/>
    <x v="0"/>
    <n v="26"/>
  </r>
  <r>
    <s v="CLM00185"/>
    <s v="P0287"/>
    <s v="PR027"/>
    <s v="S013"/>
    <d v="2024-08-15T00:00:00"/>
    <d v="2024-08-17T00:00:00"/>
    <d v="2024-09-09T00:00:00"/>
    <n v="23"/>
    <s v="Aug-2024"/>
    <x v="4"/>
    <n v="4788.46"/>
    <x v="0"/>
    <n v="23"/>
  </r>
  <r>
    <s v="CLM00482"/>
    <s v="P0428"/>
    <s v="PR029"/>
    <s v="S013"/>
    <d v="2023-10-28T00:00:00"/>
    <d v="2023-10-31T00:00:00"/>
    <d v="2023-11-21T00:00:00"/>
    <n v="21"/>
    <s v="Oct-2023"/>
    <x v="3"/>
    <n v="4776.84"/>
    <x v="0"/>
    <n v="21"/>
  </r>
  <r>
    <s v="CLM01363"/>
    <s v="P0453"/>
    <s v="PR039"/>
    <s v="S013"/>
    <d v="2023-04-19T00:00:00"/>
    <d v="2023-04-24T00:00:00"/>
    <d v="2023-05-24T00:00:00"/>
    <n v="30"/>
    <s v="Apr-2023"/>
    <x v="4"/>
    <n v="4776.09"/>
    <x v="1"/>
    <n v="30"/>
  </r>
  <r>
    <s v="CLM00663"/>
    <s v="P0286"/>
    <s v="PR032"/>
    <s v="S013"/>
    <d v="2023-02-10T00:00:00"/>
    <d v="2023-02-14T00:00:00"/>
    <d v="2023-03-12T00:00:00"/>
    <n v="26"/>
    <s v="Feb-2023"/>
    <x v="4"/>
    <n v="4741.05"/>
    <x v="0"/>
    <n v="26"/>
  </r>
  <r>
    <s v="CLM01264"/>
    <s v="P0054"/>
    <s v="PR030"/>
    <s v="S013"/>
    <d v="2024-09-11T00:00:00"/>
    <d v="2024-09-15T00:00:00"/>
    <d v="2024-09-27T00:00:00"/>
    <n v="12"/>
    <s v="Sep-2024"/>
    <x v="2"/>
    <n v="4735.6400000000003"/>
    <x v="0"/>
    <n v="12"/>
  </r>
  <r>
    <s v="CLM01655"/>
    <s v="P0424"/>
    <s v="PR025"/>
    <s v="S013"/>
    <d v="2023-12-18T00:00:00"/>
    <d v="2023-12-20T00:00:00"/>
    <d v="2024-01-05T00:00:00"/>
    <n v="16"/>
    <s v="Dec-2023"/>
    <x v="1"/>
    <n v="4734.1499999999996"/>
    <x v="0"/>
    <n v="16"/>
  </r>
  <r>
    <s v="CLM00929"/>
    <s v="P0237"/>
    <s v="PR025"/>
    <s v="S013"/>
    <d v="2024-09-21T00:00:00"/>
    <d v="2024-09-24T00:00:00"/>
    <d v="2024-10-12T00:00:00"/>
    <n v="18"/>
    <s v="Sep-2024"/>
    <x v="4"/>
    <n v="4727.9399999999996"/>
    <x v="1"/>
    <n v="18"/>
  </r>
  <r>
    <s v="CLM01948"/>
    <s v="P0268"/>
    <s v="PR006"/>
    <s v="S013"/>
    <d v="2023-03-14T00:00:00"/>
    <d v="2023-03-17T00:00:00"/>
    <d v="2023-04-02T00:00:00"/>
    <n v="16"/>
    <s v="Mar-2023"/>
    <x v="4"/>
    <n v="4717.76"/>
    <x v="0"/>
    <n v="16"/>
  </r>
  <r>
    <s v="CLM00635"/>
    <s v="P0273"/>
    <s v="PR023"/>
    <s v="S004"/>
    <d v="2023-11-07T00:00:00"/>
    <d v="2023-11-11T00:00:00"/>
    <d v="2023-11-17T00:00:00"/>
    <n v="6"/>
    <s v="Nov-2023"/>
    <x v="0"/>
    <n v="4707.3100000000004"/>
    <x v="0"/>
    <n v="6"/>
  </r>
  <r>
    <s v="CLM01969"/>
    <s v="P0086"/>
    <s v="PR035"/>
    <s v="S004"/>
    <d v="2024-10-19T00:00:00"/>
    <d v="2024-10-20T00:00:00"/>
    <d v="2024-11-18T00:00:00"/>
    <n v="29"/>
    <s v="Oct-2024"/>
    <x v="2"/>
    <n v="4699.3999999999996"/>
    <x v="0"/>
    <n v="29"/>
  </r>
  <r>
    <s v="CLM00349"/>
    <s v="P0008"/>
    <s v="PR025"/>
    <s v="S004"/>
    <d v="2023-12-04T00:00:00"/>
    <d v="2023-12-07T00:00:00"/>
    <d v="2023-12-19T00:00:00"/>
    <n v="12"/>
    <s v="Dec-2023"/>
    <x v="2"/>
    <n v="4698.43"/>
    <x v="0"/>
    <n v="12"/>
  </r>
  <r>
    <s v="CLM01412"/>
    <s v="P0137"/>
    <s v="PR040"/>
    <s v="S013"/>
    <d v="2024-11-30T00:00:00"/>
    <d v="2024-12-01T00:00:00"/>
    <d v="2024-12-20T00:00:00"/>
    <n v="19"/>
    <s v="Nov-2024"/>
    <x v="0"/>
    <n v="4668.6000000000004"/>
    <x v="0"/>
    <n v="19"/>
  </r>
  <r>
    <s v="CLM00205"/>
    <s v="P0499"/>
    <s v="PR006"/>
    <s v="S004"/>
    <d v="2023-04-22T00:00:00"/>
    <d v="2023-04-24T00:00:00"/>
    <d v="2023-05-24T00:00:00"/>
    <n v="30"/>
    <s v="Apr-2023"/>
    <x v="2"/>
    <n v="4650.34"/>
    <x v="0"/>
    <n v="30"/>
  </r>
  <r>
    <s v="CLM00986"/>
    <s v="P0249"/>
    <s v="PR002"/>
    <s v="S004"/>
    <d v="2023-03-29T00:00:00"/>
    <d v="2023-04-02T00:00:00"/>
    <d v="2023-04-10T00:00:00"/>
    <n v="8"/>
    <s v="Mar-2023"/>
    <x v="2"/>
    <n v="4615.3100000000004"/>
    <x v="0"/>
    <n v="8"/>
  </r>
  <r>
    <s v="CLM00667"/>
    <s v="P0498"/>
    <s v="PR017"/>
    <s v="S004"/>
    <d v="2023-03-16T00:00:00"/>
    <d v="2023-03-19T00:00:00"/>
    <d v="2023-04-09T00:00:00"/>
    <n v="21"/>
    <s v="Mar-2023"/>
    <x v="0"/>
    <n v="4594.58"/>
    <x v="0"/>
    <n v="21"/>
  </r>
  <r>
    <s v="CLM00829"/>
    <s v="P0250"/>
    <s v="PR003"/>
    <s v="S004"/>
    <d v="2024-05-25T00:00:00"/>
    <d v="2024-05-26T00:00:00"/>
    <d v="2024-06-21T00:00:00"/>
    <n v="26"/>
    <s v="May-2024"/>
    <x v="1"/>
    <n v="4571.71"/>
    <x v="0"/>
    <n v="26"/>
  </r>
  <r>
    <s v="CLM01085"/>
    <s v="P0164"/>
    <s v="PR036"/>
    <s v="S004"/>
    <d v="2024-11-07T00:00:00"/>
    <d v="2024-11-12T00:00:00"/>
    <d v="2024-11-16T00:00:00"/>
    <n v="4"/>
    <s v="Nov-2024"/>
    <x v="2"/>
    <n v="4549.59"/>
    <x v="0"/>
    <n v="4"/>
  </r>
  <r>
    <s v="CLM01860"/>
    <s v="P0217"/>
    <s v="PR013"/>
    <s v="S013"/>
    <d v="2024-05-09T00:00:00"/>
    <d v="2024-05-10T00:00:00"/>
    <d v="2024-05-30T00:00:00"/>
    <n v="20"/>
    <s v="May-2024"/>
    <x v="1"/>
    <n v="4540.21"/>
    <x v="0"/>
    <n v="20"/>
  </r>
  <r>
    <s v="CLM01312"/>
    <s v="P0292"/>
    <s v="PR018"/>
    <s v="S004"/>
    <d v="2023-09-22T00:00:00"/>
    <d v="2023-09-27T00:00:00"/>
    <d v="2023-10-23T00:00:00"/>
    <n v="26"/>
    <s v="Sep-2023"/>
    <x v="3"/>
    <n v="4539.38"/>
    <x v="1"/>
    <n v="26"/>
  </r>
  <r>
    <s v="CLM01167"/>
    <s v="P0212"/>
    <s v="PR034"/>
    <s v="S013"/>
    <d v="2024-06-23T00:00:00"/>
    <d v="2024-06-24T00:00:00"/>
    <d v="2024-06-28T00:00:00"/>
    <n v="4"/>
    <s v="Jun-2024"/>
    <x v="3"/>
    <n v="4536.9399999999996"/>
    <x v="1"/>
    <n v="4"/>
  </r>
  <r>
    <s v="CLM00131"/>
    <s v="P0279"/>
    <s v="PR024"/>
    <s v="S013"/>
    <d v="2023-09-27T00:00:00"/>
    <d v="2023-09-30T00:00:00"/>
    <d v="2023-10-03T00:00:00"/>
    <n v="3"/>
    <s v="Sep-2023"/>
    <x v="4"/>
    <n v="4533.49"/>
    <x v="0"/>
    <n v="3"/>
  </r>
  <r>
    <s v="CLM01930"/>
    <s v="P0031"/>
    <s v="PR033"/>
    <s v="S013"/>
    <d v="2023-01-07T00:00:00"/>
    <d v="2023-01-10T00:00:00"/>
    <m/>
    <s v=""/>
    <s v="Jan-2023"/>
    <x v="1"/>
    <n v="4531.8599999999997"/>
    <x v="2"/>
    <m/>
  </r>
  <r>
    <s v="CLM01063"/>
    <s v="P0419"/>
    <s v="PR007"/>
    <s v="S013"/>
    <d v="2023-05-29T00:00:00"/>
    <d v="2023-06-01T00:00:00"/>
    <d v="2023-06-30T00:00:00"/>
    <n v="29"/>
    <s v="May-2023"/>
    <x v="1"/>
    <n v="4529.3100000000004"/>
    <x v="0"/>
    <n v="29"/>
  </r>
  <r>
    <s v="CLM01938"/>
    <s v="P0432"/>
    <s v="PR018"/>
    <s v="S013"/>
    <d v="2023-09-08T00:00:00"/>
    <d v="2023-09-13T00:00:00"/>
    <d v="2023-09-19T00:00:00"/>
    <n v="6"/>
    <s v="Sep-2023"/>
    <x v="4"/>
    <n v="4510.82"/>
    <x v="0"/>
    <n v="6"/>
  </r>
  <r>
    <s v="CLM01573"/>
    <s v="P0162"/>
    <s v="PR010"/>
    <s v="S013"/>
    <d v="2023-02-28T00:00:00"/>
    <d v="2023-03-03T00:00:00"/>
    <d v="2023-03-25T00:00:00"/>
    <n v="22"/>
    <s v="Feb-2023"/>
    <x v="4"/>
    <n v="4508.8500000000004"/>
    <x v="0"/>
    <n v="22"/>
  </r>
  <r>
    <s v="CLM00894"/>
    <s v="P0277"/>
    <s v="PR022"/>
    <s v="S013"/>
    <d v="2023-12-24T00:00:00"/>
    <d v="2023-12-28T00:00:00"/>
    <d v="2024-01-13T00:00:00"/>
    <n v="16"/>
    <s v="Dec-2023"/>
    <x v="1"/>
    <n v="4507.3999999999996"/>
    <x v="0"/>
    <n v="16"/>
  </r>
  <r>
    <s v="CLM00080"/>
    <s v="P0443"/>
    <s v="PR025"/>
    <s v="S013"/>
    <d v="2023-05-04T00:00:00"/>
    <d v="2023-05-06T00:00:00"/>
    <d v="2023-05-09T00:00:00"/>
    <n v="3"/>
    <s v="May-2023"/>
    <x v="3"/>
    <n v="4504.3900000000003"/>
    <x v="0"/>
    <n v="3"/>
  </r>
  <r>
    <s v="CLM00130"/>
    <s v="P0480"/>
    <s v="PR014"/>
    <s v="S013"/>
    <d v="2023-08-08T00:00:00"/>
    <d v="2023-08-11T00:00:00"/>
    <m/>
    <s v=""/>
    <s v="Aug-2023"/>
    <x v="0"/>
    <n v="4499.3"/>
    <x v="2"/>
    <m/>
  </r>
  <r>
    <s v="CLM00866"/>
    <s v="P0183"/>
    <s v="PR022"/>
    <s v="S013"/>
    <d v="2024-05-02T00:00:00"/>
    <d v="2024-05-06T00:00:00"/>
    <d v="2024-05-14T00:00:00"/>
    <n v="8"/>
    <s v="May-2024"/>
    <x v="2"/>
    <n v="4494.5"/>
    <x v="1"/>
    <n v="8"/>
  </r>
  <r>
    <s v="CLM01589"/>
    <s v="P0217"/>
    <s v="PR013"/>
    <s v="S013"/>
    <d v="2024-01-26T00:00:00"/>
    <d v="2024-01-30T00:00:00"/>
    <d v="2024-02-12T00:00:00"/>
    <n v="13"/>
    <s v="Jan-2024"/>
    <x v="1"/>
    <n v="4486.76"/>
    <x v="0"/>
    <n v="13"/>
  </r>
  <r>
    <s v="CLM01900"/>
    <s v="P0218"/>
    <s v="PR033"/>
    <s v="S013"/>
    <d v="2023-12-29T00:00:00"/>
    <d v="2023-12-30T00:00:00"/>
    <d v="2024-01-06T00:00:00"/>
    <n v="7"/>
    <s v="Dec-2023"/>
    <x v="1"/>
    <n v="4457.72"/>
    <x v="0"/>
    <n v="7"/>
  </r>
  <r>
    <s v="CLM00373"/>
    <s v="P0088"/>
    <s v="PR032"/>
    <s v="S013"/>
    <d v="2024-08-01T00:00:00"/>
    <d v="2024-08-06T00:00:00"/>
    <d v="2024-08-15T00:00:00"/>
    <n v="9"/>
    <s v="Aug-2024"/>
    <x v="4"/>
    <n v="4393.6499999999996"/>
    <x v="0"/>
    <n v="9"/>
  </r>
  <r>
    <s v="CLM00698"/>
    <s v="P0182"/>
    <s v="PR011"/>
    <s v="S013"/>
    <d v="2024-03-15T00:00:00"/>
    <d v="2024-03-19T00:00:00"/>
    <d v="2024-03-27T00:00:00"/>
    <n v="8"/>
    <s v="Mar-2024"/>
    <x v="2"/>
    <n v="4386.9799999999996"/>
    <x v="1"/>
    <n v="8"/>
  </r>
  <r>
    <s v="CLM00487"/>
    <s v="P0145"/>
    <s v="PR001"/>
    <s v="S012"/>
    <d v="2024-03-13T00:00:00"/>
    <d v="2024-03-18T00:00:00"/>
    <d v="2024-04-03T00:00:00"/>
    <n v="16"/>
    <s v="Mar-2024"/>
    <x v="0"/>
    <n v="4370.9399999999996"/>
    <x v="1"/>
    <n v="16"/>
  </r>
  <r>
    <s v="CLM00298"/>
    <s v="P0327"/>
    <s v="PR014"/>
    <s v="S012"/>
    <d v="2024-07-28T00:00:00"/>
    <d v="2024-08-01T00:00:00"/>
    <d v="2024-08-26T00:00:00"/>
    <n v="25"/>
    <s v="Jul-2024"/>
    <x v="4"/>
    <n v="4369.47"/>
    <x v="0"/>
    <n v="25"/>
  </r>
  <r>
    <s v="CLM00827"/>
    <s v="P0290"/>
    <s v="PR011"/>
    <s v="S012"/>
    <d v="2023-06-12T00:00:00"/>
    <d v="2023-06-16T00:00:00"/>
    <d v="2023-06-24T00:00:00"/>
    <n v="8"/>
    <s v="Jun-2023"/>
    <x v="3"/>
    <n v="4350.17"/>
    <x v="1"/>
    <n v="8"/>
  </r>
  <r>
    <s v="CLM01358"/>
    <s v="P0386"/>
    <s v="PR030"/>
    <s v="S013"/>
    <d v="2024-10-22T00:00:00"/>
    <d v="2024-10-27T00:00:00"/>
    <m/>
    <s v=""/>
    <s v="Oct-2024"/>
    <x v="2"/>
    <n v="4350.01"/>
    <x v="2"/>
    <m/>
  </r>
  <r>
    <s v="CLM00664"/>
    <s v="P0359"/>
    <s v="PR015"/>
    <s v="S013"/>
    <d v="2023-03-04T00:00:00"/>
    <d v="2023-03-07T00:00:00"/>
    <d v="2023-03-31T00:00:00"/>
    <n v="24"/>
    <s v="Mar-2023"/>
    <x v="1"/>
    <n v="4348.96"/>
    <x v="0"/>
    <n v="24"/>
  </r>
  <r>
    <s v="CLM01038"/>
    <s v="P0005"/>
    <s v="PR004"/>
    <s v="S012"/>
    <d v="2024-05-10T00:00:00"/>
    <d v="2024-05-14T00:00:00"/>
    <d v="2024-05-29T00:00:00"/>
    <n v="15"/>
    <s v="May-2024"/>
    <x v="4"/>
    <n v="4348.67"/>
    <x v="0"/>
    <n v="15"/>
  </r>
  <r>
    <s v="CLM00405"/>
    <s v="P0494"/>
    <s v="PR017"/>
    <s v="S012"/>
    <d v="2024-10-20T00:00:00"/>
    <d v="2024-10-21T00:00:00"/>
    <d v="2024-11-10T00:00:00"/>
    <n v="20"/>
    <s v="Oct-2024"/>
    <x v="2"/>
    <n v="4339.74"/>
    <x v="0"/>
    <n v="20"/>
  </r>
  <r>
    <s v="CLM00990"/>
    <s v="P0426"/>
    <s v="PR013"/>
    <s v="S013"/>
    <d v="2024-10-29T00:00:00"/>
    <d v="2024-11-01T00:00:00"/>
    <d v="2024-11-12T00:00:00"/>
    <n v="11"/>
    <s v="Oct-2024"/>
    <x v="2"/>
    <n v="4334.5600000000004"/>
    <x v="0"/>
    <n v="11"/>
  </r>
  <r>
    <s v="CLM00924"/>
    <s v="P0203"/>
    <s v="PR012"/>
    <s v="S012"/>
    <d v="2024-03-26T00:00:00"/>
    <d v="2024-03-28T00:00:00"/>
    <d v="2024-04-10T00:00:00"/>
    <n v="13"/>
    <s v="Mar-2024"/>
    <x v="2"/>
    <n v="4330.68"/>
    <x v="0"/>
    <n v="13"/>
  </r>
  <r>
    <s v="CLM00920"/>
    <s v="P0345"/>
    <s v="PR033"/>
    <s v="S013"/>
    <d v="2023-04-21T00:00:00"/>
    <d v="2023-04-26T00:00:00"/>
    <d v="2023-05-12T00:00:00"/>
    <n v="16"/>
    <s v="Apr-2023"/>
    <x v="1"/>
    <n v="4329.2"/>
    <x v="0"/>
    <n v="16"/>
  </r>
  <r>
    <s v="CLM00250"/>
    <s v="P0408"/>
    <s v="PR024"/>
    <s v="S013"/>
    <d v="2024-03-11T00:00:00"/>
    <d v="2024-03-15T00:00:00"/>
    <d v="2024-03-24T00:00:00"/>
    <n v="9"/>
    <s v="Mar-2024"/>
    <x v="2"/>
    <n v="4321.3900000000003"/>
    <x v="0"/>
    <n v="9"/>
  </r>
  <r>
    <s v="CLM01561"/>
    <s v="P0340"/>
    <s v="PR005"/>
    <s v="S012"/>
    <d v="2023-01-12T00:00:00"/>
    <d v="2023-01-15T00:00:00"/>
    <d v="2023-02-01T00:00:00"/>
    <n v="17"/>
    <s v="Jan-2023"/>
    <x v="0"/>
    <n v="4310.97"/>
    <x v="0"/>
    <n v="17"/>
  </r>
  <r>
    <s v="CLM01734"/>
    <s v="P0052"/>
    <s v="PR019"/>
    <s v="S012"/>
    <d v="2024-06-11T00:00:00"/>
    <d v="2024-06-15T00:00:00"/>
    <d v="2024-07-14T00:00:00"/>
    <n v="29"/>
    <s v="Jun-2024"/>
    <x v="3"/>
    <n v="4290.24"/>
    <x v="1"/>
    <n v="29"/>
  </r>
  <r>
    <s v="CLM01730"/>
    <s v="P0188"/>
    <s v="PR030"/>
    <s v="S012"/>
    <d v="2023-03-02T00:00:00"/>
    <d v="2023-03-03T00:00:00"/>
    <d v="2023-03-06T00:00:00"/>
    <n v="3"/>
    <s v="Mar-2023"/>
    <x v="4"/>
    <n v="4288.34"/>
    <x v="0"/>
    <n v="3"/>
  </r>
  <r>
    <s v="CLM01617"/>
    <s v="P0493"/>
    <s v="PR016"/>
    <s v="S013"/>
    <d v="2024-04-18T00:00:00"/>
    <d v="2024-04-23T00:00:00"/>
    <d v="2024-05-11T00:00:00"/>
    <n v="18"/>
    <s v="Apr-2024"/>
    <x v="3"/>
    <n v="4284.2700000000004"/>
    <x v="0"/>
    <n v="18"/>
  </r>
  <r>
    <s v="CLM00038"/>
    <s v="P0485"/>
    <s v="PR007"/>
    <s v="S012"/>
    <d v="2024-05-14T00:00:00"/>
    <d v="2024-05-19T00:00:00"/>
    <d v="2024-06-06T00:00:00"/>
    <n v="18"/>
    <s v="May-2024"/>
    <x v="4"/>
    <n v="4270.07"/>
    <x v="0"/>
    <n v="18"/>
  </r>
  <r>
    <s v="CLM01688"/>
    <s v="P0016"/>
    <s v="PR016"/>
    <s v="S012"/>
    <d v="2023-08-25T00:00:00"/>
    <d v="2023-08-30T00:00:00"/>
    <d v="2023-09-18T00:00:00"/>
    <n v="19"/>
    <s v="Aug-2023"/>
    <x v="3"/>
    <n v="4267.92"/>
    <x v="0"/>
    <n v="19"/>
  </r>
  <r>
    <s v="CLM01947"/>
    <s v="P0108"/>
    <s v="PR022"/>
    <s v="S012"/>
    <d v="2024-10-29T00:00:00"/>
    <d v="2024-10-30T00:00:00"/>
    <d v="2024-11-28T00:00:00"/>
    <n v="29"/>
    <s v="Oct-2024"/>
    <x v="0"/>
    <n v="4263.5"/>
    <x v="0"/>
    <n v="29"/>
  </r>
  <r>
    <s v="CLM01550"/>
    <s v="P0411"/>
    <s v="PR031"/>
    <s v="S012"/>
    <d v="2023-07-25T00:00:00"/>
    <d v="2023-07-26T00:00:00"/>
    <d v="2023-08-19T00:00:00"/>
    <n v="24"/>
    <s v="Jul-2023"/>
    <x v="1"/>
    <n v="4250.83"/>
    <x v="0"/>
    <n v="24"/>
  </r>
  <r>
    <s v="CLM01473"/>
    <s v="P0280"/>
    <s v="PR006"/>
    <s v="S013"/>
    <d v="2023-03-22T00:00:00"/>
    <d v="2023-03-25T00:00:00"/>
    <d v="2023-03-29T00:00:00"/>
    <n v="4"/>
    <s v="Mar-2023"/>
    <x v="2"/>
    <n v="4244.01"/>
    <x v="0"/>
    <n v="4"/>
  </r>
  <r>
    <s v="CLM00670"/>
    <s v="P0094"/>
    <s v="PR007"/>
    <s v="S012"/>
    <d v="2023-04-28T00:00:00"/>
    <d v="2023-04-29T00:00:00"/>
    <d v="2023-05-06T00:00:00"/>
    <n v="7"/>
    <s v="Apr-2023"/>
    <x v="3"/>
    <n v="4237.58"/>
    <x v="1"/>
    <n v="7"/>
  </r>
  <r>
    <s v="CLM00459"/>
    <s v="P0383"/>
    <s v="PR021"/>
    <s v="S012"/>
    <d v="2023-03-03T00:00:00"/>
    <d v="2023-03-07T00:00:00"/>
    <d v="2023-04-06T00:00:00"/>
    <n v="30"/>
    <s v="Mar-2023"/>
    <x v="0"/>
    <n v="4231.47"/>
    <x v="0"/>
    <n v="30"/>
  </r>
  <r>
    <s v="CLM01611"/>
    <s v="P0479"/>
    <s v="PR009"/>
    <s v="S012"/>
    <d v="2024-07-23T00:00:00"/>
    <d v="2024-07-24T00:00:00"/>
    <m/>
    <s v=""/>
    <s v="Jul-2024"/>
    <x v="0"/>
    <n v="4226.2"/>
    <x v="2"/>
    <m/>
  </r>
  <r>
    <s v="CLM01732"/>
    <s v="P0086"/>
    <s v="PR025"/>
    <s v="S012"/>
    <d v="2023-06-10T00:00:00"/>
    <d v="2023-06-15T00:00:00"/>
    <d v="2023-06-23T00:00:00"/>
    <n v="8"/>
    <s v="Jun-2023"/>
    <x v="2"/>
    <n v="4208.32"/>
    <x v="0"/>
    <n v="8"/>
  </r>
  <r>
    <s v="CLM00907"/>
    <s v="P0091"/>
    <s v="PR022"/>
    <s v="S013"/>
    <d v="2023-03-07T00:00:00"/>
    <d v="2023-03-08T00:00:00"/>
    <d v="2023-04-04T00:00:00"/>
    <n v="27"/>
    <s v="Mar-2023"/>
    <x v="1"/>
    <n v="4206.28"/>
    <x v="0"/>
    <n v="27"/>
  </r>
  <r>
    <s v="CLM01599"/>
    <s v="P0480"/>
    <s v="PR008"/>
    <s v="S012"/>
    <d v="2023-12-04T00:00:00"/>
    <d v="2023-12-07T00:00:00"/>
    <d v="2023-12-26T00:00:00"/>
    <n v="19"/>
    <s v="Dec-2023"/>
    <x v="0"/>
    <n v="4186.04"/>
    <x v="0"/>
    <n v="19"/>
  </r>
  <r>
    <s v="CLM01807"/>
    <s v="P0309"/>
    <s v="PR003"/>
    <s v="S013"/>
    <d v="2023-10-30T00:00:00"/>
    <d v="2023-11-03T00:00:00"/>
    <m/>
    <s v=""/>
    <s v="Oct-2023"/>
    <x v="3"/>
    <n v="4180.66"/>
    <x v="2"/>
    <m/>
  </r>
  <r>
    <s v="CLM01098"/>
    <s v="P0208"/>
    <s v="PR012"/>
    <s v="S013"/>
    <d v="2024-02-13T00:00:00"/>
    <d v="2024-02-15T00:00:00"/>
    <d v="2024-02-27T00:00:00"/>
    <n v="12"/>
    <s v="Feb-2024"/>
    <x v="2"/>
    <n v="4177.8900000000003"/>
    <x v="0"/>
    <n v="12"/>
  </r>
  <r>
    <s v="CLM00689"/>
    <s v="P0053"/>
    <s v="PR002"/>
    <s v="S013"/>
    <d v="2024-04-23T00:00:00"/>
    <d v="2024-04-28T00:00:00"/>
    <d v="2024-05-03T00:00:00"/>
    <n v="5"/>
    <s v="Apr-2024"/>
    <x v="3"/>
    <n v="4175.6099999999997"/>
    <x v="0"/>
    <n v="5"/>
  </r>
  <r>
    <s v="CLM00744"/>
    <s v="P0192"/>
    <s v="PR008"/>
    <s v="S012"/>
    <d v="2024-05-03T00:00:00"/>
    <d v="2024-05-07T00:00:00"/>
    <m/>
    <s v=""/>
    <s v="May-2024"/>
    <x v="0"/>
    <n v="4168.68"/>
    <x v="2"/>
    <m/>
  </r>
  <r>
    <s v="CLM01558"/>
    <s v="P0012"/>
    <s v="PR002"/>
    <s v="S013"/>
    <d v="2024-04-08T00:00:00"/>
    <d v="2024-04-13T00:00:00"/>
    <d v="2024-04-23T00:00:00"/>
    <n v="10"/>
    <s v="Apr-2024"/>
    <x v="1"/>
    <n v="4166.97"/>
    <x v="0"/>
    <n v="10"/>
  </r>
  <r>
    <s v="CLM01086"/>
    <s v="P0141"/>
    <s v="PR037"/>
    <s v="S012"/>
    <d v="2023-04-12T00:00:00"/>
    <d v="2023-04-17T00:00:00"/>
    <m/>
    <s v=""/>
    <s v="Apr-2023"/>
    <x v="2"/>
    <n v="4164.95"/>
    <x v="2"/>
    <m/>
  </r>
  <r>
    <s v="CLM00246"/>
    <s v="P0276"/>
    <s v="PR031"/>
    <s v="S013"/>
    <d v="2023-04-07T00:00:00"/>
    <d v="2023-04-08T00:00:00"/>
    <d v="2023-04-22T00:00:00"/>
    <n v="14"/>
    <s v="Apr-2023"/>
    <x v="0"/>
    <n v="4157.93"/>
    <x v="0"/>
    <n v="14"/>
  </r>
  <r>
    <s v="CLM00595"/>
    <s v="P0387"/>
    <s v="PR002"/>
    <s v="S013"/>
    <d v="2023-11-20T00:00:00"/>
    <d v="2023-11-25T00:00:00"/>
    <d v="2023-12-10T00:00:00"/>
    <n v="15"/>
    <s v="Nov-2023"/>
    <x v="4"/>
    <n v="4157.72"/>
    <x v="1"/>
    <n v="15"/>
  </r>
  <r>
    <s v="CLM00963"/>
    <s v="P0378"/>
    <s v="PR019"/>
    <s v="S013"/>
    <d v="2024-12-03T00:00:00"/>
    <d v="2024-12-06T00:00:00"/>
    <d v="2024-12-17T00:00:00"/>
    <n v="11"/>
    <s v="Dec-2024"/>
    <x v="4"/>
    <n v="4126.93"/>
    <x v="0"/>
    <n v="11"/>
  </r>
  <r>
    <s v="CLM01154"/>
    <s v="P0093"/>
    <s v="PR017"/>
    <s v="S012"/>
    <d v="2023-05-04T00:00:00"/>
    <d v="2023-05-09T00:00:00"/>
    <d v="2023-05-23T00:00:00"/>
    <n v="14"/>
    <s v="May-2023"/>
    <x v="2"/>
    <n v="4117.58"/>
    <x v="0"/>
    <n v="14"/>
  </r>
  <r>
    <s v="CLM00802"/>
    <s v="P0210"/>
    <s v="PR012"/>
    <s v="S012"/>
    <d v="2024-08-04T00:00:00"/>
    <d v="2024-08-08T00:00:00"/>
    <d v="2024-09-06T00:00:00"/>
    <n v="29"/>
    <s v="Aug-2024"/>
    <x v="1"/>
    <n v="4095.99"/>
    <x v="0"/>
    <n v="29"/>
  </r>
  <r>
    <s v="CLM00673"/>
    <s v="P0171"/>
    <s v="PR025"/>
    <s v="S013"/>
    <d v="2024-11-09T00:00:00"/>
    <d v="2024-11-10T00:00:00"/>
    <m/>
    <s v=""/>
    <s v="Nov-2024"/>
    <x v="2"/>
    <n v="4088.77"/>
    <x v="2"/>
    <m/>
  </r>
  <r>
    <s v="CLM00145"/>
    <s v="P0022"/>
    <s v="PR035"/>
    <s v="S013"/>
    <d v="2024-03-16T00:00:00"/>
    <d v="2024-03-19T00:00:00"/>
    <m/>
    <s v=""/>
    <s v="Mar-2024"/>
    <x v="4"/>
    <n v="4069.75"/>
    <x v="2"/>
    <m/>
  </r>
  <r>
    <s v="CLM00404"/>
    <s v="P0403"/>
    <s v="PR031"/>
    <s v="S012"/>
    <d v="2024-06-30T00:00:00"/>
    <d v="2024-07-02T00:00:00"/>
    <d v="2024-07-24T00:00:00"/>
    <n v="22"/>
    <s v="Jun-2024"/>
    <x v="4"/>
    <n v="4061.91"/>
    <x v="1"/>
    <n v="22"/>
  </r>
  <r>
    <s v="CLM01862"/>
    <s v="P0358"/>
    <s v="PR026"/>
    <s v="S012"/>
    <d v="2023-02-14T00:00:00"/>
    <d v="2023-02-15T00:00:00"/>
    <d v="2023-03-03T00:00:00"/>
    <n v="16"/>
    <s v="Feb-2023"/>
    <x v="4"/>
    <n v="4057.46"/>
    <x v="0"/>
    <n v="16"/>
  </r>
  <r>
    <s v="CLM01476"/>
    <s v="P0019"/>
    <s v="PR022"/>
    <s v="S013"/>
    <d v="2023-07-13T00:00:00"/>
    <d v="2023-07-16T00:00:00"/>
    <d v="2023-08-01T00:00:00"/>
    <n v="16"/>
    <s v="Jul-2023"/>
    <x v="2"/>
    <n v="4056.45"/>
    <x v="0"/>
    <n v="16"/>
  </r>
  <r>
    <s v="CLM01292"/>
    <s v="P0283"/>
    <s v="PR035"/>
    <s v="S012"/>
    <d v="2023-03-15T00:00:00"/>
    <d v="2023-03-19T00:00:00"/>
    <d v="2023-03-28T00:00:00"/>
    <n v="9"/>
    <s v="Mar-2023"/>
    <x v="3"/>
    <n v="4048.33"/>
    <x v="0"/>
    <n v="9"/>
  </r>
  <r>
    <s v="CLM00903"/>
    <s v="P0364"/>
    <s v="PR001"/>
    <s v="S012"/>
    <d v="2023-03-24T00:00:00"/>
    <d v="2023-03-29T00:00:00"/>
    <d v="2023-04-10T00:00:00"/>
    <n v="12"/>
    <s v="Mar-2023"/>
    <x v="4"/>
    <n v="4045.6"/>
    <x v="0"/>
    <n v="12"/>
  </r>
  <r>
    <s v="CLM00045"/>
    <s v="P0092"/>
    <s v="PR015"/>
    <s v="S012"/>
    <d v="2023-03-01T00:00:00"/>
    <d v="2023-03-04T00:00:00"/>
    <d v="2023-03-09T00:00:00"/>
    <n v="5"/>
    <s v="Mar-2023"/>
    <x v="3"/>
    <n v="4032.46"/>
    <x v="1"/>
    <n v="5"/>
  </r>
  <r>
    <s v="CLM01714"/>
    <s v="P0364"/>
    <s v="PR007"/>
    <s v="S013"/>
    <d v="2023-07-31T00:00:00"/>
    <d v="2023-08-02T00:00:00"/>
    <d v="2023-08-06T00:00:00"/>
    <n v="4"/>
    <s v="Jul-2023"/>
    <x v="4"/>
    <n v="4021.35"/>
    <x v="0"/>
    <n v="4"/>
  </r>
  <r>
    <s v="CLM01818"/>
    <s v="P0118"/>
    <s v="PR037"/>
    <s v="S012"/>
    <d v="2024-10-26T00:00:00"/>
    <d v="2024-10-29T00:00:00"/>
    <d v="2024-11-02T00:00:00"/>
    <n v="4"/>
    <s v="Oct-2024"/>
    <x v="2"/>
    <n v="4020.01"/>
    <x v="0"/>
    <n v="4"/>
  </r>
  <r>
    <s v="CLM01089"/>
    <s v="P0128"/>
    <s v="PR018"/>
    <s v="S012"/>
    <d v="2024-11-05T00:00:00"/>
    <d v="2024-11-10T00:00:00"/>
    <d v="2024-11-19T00:00:00"/>
    <n v="9"/>
    <s v="Nov-2024"/>
    <x v="4"/>
    <n v="4018.13"/>
    <x v="0"/>
    <n v="9"/>
  </r>
  <r>
    <s v="CLM00537"/>
    <s v="P0048"/>
    <s v="PR001"/>
    <s v="S013"/>
    <d v="2024-10-14T00:00:00"/>
    <d v="2024-10-16T00:00:00"/>
    <d v="2024-11-06T00:00:00"/>
    <n v="21"/>
    <s v="Oct-2024"/>
    <x v="4"/>
    <n v="4012.68"/>
    <x v="0"/>
    <n v="21"/>
  </r>
  <r>
    <s v="CLM01711"/>
    <s v="P0163"/>
    <s v="PR039"/>
    <s v="S013"/>
    <d v="2024-01-12T00:00:00"/>
    <d v="2024-01-16T00:00:00"/>
    <d v="2024-02-10T00:00:00"/>
    <n v="25"/>
    <s v="Jan-2024"/>
    <x v="2"/>
    <n v="4011.53"/>
    <x v="0"/>
    <n v="25"/>
  </r>
  <r>
    <s v="CLM00129"/>
    <s v="P0388"/>
    <s v="PR026"/>
    <s v="S012"/>
    <d v="2023-06-12T00:00:00"/>
    <d v="2023-06-14T00:00:00"/>
    <m/>
    <s v=""/>
    <s v="Jun-2023"/>
    <x v="4"/>
    <n v="3999.98"/>
    <x v="2"/>
    <m/>
  </r>
  <r>
    <s v="CLM01567"/>
    <s v="P0110"/>
    <s v="PR010"/>
    <s v="S013"/>
    <d v="2024-02-05T00:00:00"/>
    <d v="2024-02-07T00:00:00"/>
    <d v="2024-03-02T00:00:00"/>
    <n v="24"/>
    <s v="Feb-2024"/>
    <x v="4"/>
    <n v="3990.33"/>
    <x v="1"/>
    <n v="24"/>
  </r>
  <r>
    <s v="CLM01579"/>
    <s v="P0036"/>
    <s v="PR026"/>
    <s v="S013"/>
    <d v="2024-12-26T00:00:00"/>
    <d v="2024-12-29T00:00:00"/>
    <m/>
    <s v=""/>
    <s v="Dec-2024"/>
    <x v="1"/>
    <n v="3986.76"/>
    <x v="2"/>
    <m/>
  </r>
  <r>
    <s v="CLM00372"/>
    <s v="P0215"/>
    <s v="PR020"/>
    <s v="S012"/>
    <d v="2023-07-10T00:00:00"/>
    <d v="2023-07-13T00:00:00"/>
    <m/>
    <s v=""/>
    <s v="Jul-2023"/>
    <x v="4"/>
    <n v="3977.03"/>
    <x v="2"/>
    <m/>
  </r>
  <r>
    <s v="CLM00743"/>
    <s v="P0493"/>
    <s v="PR035"/>
    <s v="S012"/>
    <d v="2023-06-14T00:00:00"/>
    <d v="2023-06-19T00:00:00"/>
    <d v="2023-07-11T00:00:00"/>
    <n v="22"/>
    <s v="Jun-2023"/>
    <x v="3"/>
    <n v="3969.95"/>
    <x v="1"/>
    <n v="22"/>
  </r>
  <r>
    <s v="CLM01803"/>
    <s v="P0051"/>
    <s v="PR039"/>
    <s v="S013"/>
    <d v="2023-01-21T00:00:00"/>
    <d v="2023-01-22T00:00:00"/>
    <d v="2023-02-03T00:00:00"/>
    <n v="12"/>
    <s v="Jan-2023"/>
    <x v="2"/>
    <n v="3932.55"/>
    <x v="0"/>
    <n v="12"/>
  </r>
  <r>
    <s v="CLM00758"/>
    <s v="P0063"/>
    <s v="PR028"/>
    <s v="S012"/>
    <d v="2024-06-16T00:00:00"/>
    <d v="2024-06-21T00:00:00"/>
    <d v="2024-07-03T00:00:00"/>
    <n v="12"/>
    <s v="Jun-2024"/>
    <x v="2"/>
    <n v="3930.38"/>
    <x v="1"/>
    <n v="12"/>
  </r>
  <r>
    <s v="CLM01884"/>
    <s v="P0496"/>
    <s v="PR025"/>
    <s v="S013"/>
    <d v="2024-11-04T00:00:00"/>
    <d v="2024-11-07T00:00:00"/>
    <m/>
    <s v=""/>
    <s v="Nov-2024"/>
    <x v="2"/>
    <n v="3906.79"/>
    <x v="2"/>
    <m/>
  </r>
  <r>
    <s v="CLM01701"/>
    <s v="P0413"/>
    <s v="PR005"/>
    <s v="S013"/>
    <d v="2023-05-07T00:00:00"/>
    <d v="2023-05-12T00:00:00"/>
    <d v="2023-05-29T00:00:00"/>
    <n v="17"/>
    <s v="May-2023"/>
    <x v="0"/>
    <n v="3903.19"/>
    <x v="1"/>
    <n v="17"/>
  </r>
  <r>
    <s v="CLM00527"/>
    <s v="P0201"/>
    <s v="PR026"/>
    <s v="S012"/>
    <d v="2023-12-28T00:00:00"/>
    <d v="2023-12-30T00:00:00"/>
    <d v="2024-01-23T00:00:00"/>
    <n v="24"/>
    <s v="Dec-2023"/>
    <x v="0"/>
    <n v="3889.6"/>
    <x v="0"/>
    <n v="24"/>
  </r>
  <r>
    <s v="CLM00426"/>
    <s v="P0126"/>
    <s v="PR013"/>
    <s v="S013"/>
    <d v="2023-03-14T00:00:00"/>
    <d v="2023-03-18T00:00:00"/>
    <d v="2023-03-28T00:00:00"/>
    <n v="10"/>
    <s v="Mar-2023"/>
    <x v="4"/>
    <n v="3815.11"/>
    <x v="0"/>
    <n v="10"/>
  </r>
  <r>
    <s v="CLM00264"/>
    <s v="P0388"/>
    <s v="PR005"/>
    <s v="S013"/>
    <d v="2023-06-13T00:00:00"/>
    <d v="2023-06-17T00:00:00"/>
    <d v="2023-07-10T00:00:00"/>
    <n v="23"/>
    <s v="Jun-2023"/>
    <x v="4"/>
    <n v="3798.77"/>
    <x v="1"/>
    <n v="23"/>
  </r>
  <r>
    <s v="CLM01467"/>
    <s v="P0476"/>
    <s v="PR039"/>
    <s v="S013"/>
    <d v="2023-06-02T00:00:00"/>
    <d v="2023-06-05T00:00:00"/>
    <d v="2023-06-13T00:00:00"/>
    <n v="8"/>
    <s v="Jun-2023"/>
    <x v="0"/>
    <n v="3793.59"/>
    <x v="0"/>
    <n v="8"/>
  </r>
  <r>
    <s v="CLM00344"/>
    <s v="P0364"/>
    <s v="PR007"/>
    <s v="S012"/>
    <d v="2024-11-05T00:00:00"/>
    <d v="2024-11-10T00:00:00"/>
    <d v="2024-11-28T00:00:00"/>
    <n v="18"/>
    <s v="Nov-2024"/>
    <x v="4"/>
    <n v="3772.17"/>
    <x v="0"/>
    <n v="18"/>
  </r>
  <r>
    <s v="CLM00139"/>
    <s v="P0161"/>
    <s v="PR028"/>
    <s v="S012"/>
    <d v="2024-07-09T00:00:00"/>
    <d v="2024-07-10T00:00:00"/>
    <m/>
    <s v=""/>
    <s v="Jul-2024"/>
    <x v="2"/>
    <n v="3757.96"/>
    <x v="2"/>
    <m/>
  </r>
  <r>
    <s v="CLM01546"/>
    <s v="P0435"/>
    <s v="PR018"/>
    <s v="S012"/>
    <d v="2024-01-11T00:00:00"/>
    <d v="2024-01-16T00:00:00"/>
    <d v="2024-02-04T00:00:00"/>
    <n v="19"/>
    <s v="Jan-2024"/>
    <x v="2"/>
    <n v="3752.55"/>
    <x v="0"/>
    <n v="19"/>
  </r>
  <r>
    <s v="CLM00681"/>
    <s v="P0467"/>
    <s v="PR037"/>
    <s v="S012"/>
    <d v="2023-07-12T00:00:00"/>
    <d v="2023-07-13T00:00:00"/>
    <d v="2023-07-23T00:00:00"/>
    <n v="10"/>
    <s v="Jul-2023"/>
    <x v="2"/>
    <n v="3751"/>
    <x v="0"/>
    <n v="10"/>
  </r>
  <r>
    <s v="CLM01831"/>
    <s v="P0429"/>
    <s v="PR003"/>
    <s v="S012"/>
    <d v="2023-12-28T00:00:00"/>
    <d v="2024-01-01T00:00:00"/>
    <d v="2024-01-16T00:00:00"/>
    <n v="15"/>
    <s v="Dec-2023"/>
    <x v="1"/>
    <n v="3708.76"/>
    <x v="0"/>
    <n v="15"/>
  </r>
  <r>
    <s v="CLM00105"/>
    <s v="P0239"/>
    <s v="PR004"/>
    <s v="S012"/>
    <d v="2023-12-22T00:00:00"/>
    <d v="2023-12-23T00:00:00"/>
    <d v="2024-01-03T00:00:00"/>
    <n v="11"/>
    <s v="Dec-2023"/>
    <x v="1"/>
    <n v="3692.35"/>
    <x v="0"/>
    <n v="11"/>
  </r>
  <r>
    <s v="CLM01500"/>
    <s v="P0284"/>
    <s v="PR034"/>
    <s v="S012"/>
    <d v="2023-12-03T00:00:00"/>
    <d v="2023-12-08T00:00:00"/>
    <m/>
    <s v=""/>
    <s v="Dec-2023"/>
    <x v="1"/>
    <n v="3672.58"/>
    <x v="2"/>
    <m/>
  </r>
  <r>
    <s v="CLM00514"/>
    <s v="P0167"/>
    <s v="PR034"/>
    <s v="S012"/>
    <d v="2024-08-06T00:00:00"/>
    <d v="2024-08-11T00:00:00"/>
    <d v="2024-08-15T00:00:00"/>
    <n v="4"/>
    <s v="Aug-2024"/>
    <x v="4"/>
    <n v="3670.1"/>
    <x v="0"/>
    <n v="4"/>
  </r>
  <r>
    <s v="CLM01226"/>
    <s v="P0237"/>
    <s v="PR035"/>
    <s v="S012"/>
    <d v="2023-10-29T00:00:00"/>
    <d v="2023-11-03T00:00:00"/>
    <d v="2023-11-11T00:00:00"/>
    <n v="8"/>
    <s v="Oct-2023"/>
    <x v="4"/>
    <n v="3657.06"/>
    <x v="0"/>
    <n v="8"/>
  </r>
  <r>
    <s v="CLM01932"/>
    <s v="P0421"/>
    <s v="PR001"/>
    <s v="S012"/>
    <d v="2023-04-13T00:00:00"/>
    <d v="2023-04-18T00:00:00"/>
    <d v="2023-05-08T00:00:00"/>
    <n v="20"/>
    <s v="Apr-2023"/>
    <x v="1"/>
    <n v="3653.53"/>
    <x v="0"/>
    <n v="20"/>
  </r>
  <r>
    <s v="CLM00325"/>
    <s v="P0222"/>
    <s v="PR025"/>
    <s v="S012"/>
    <d v="2024-10-07T00:00:00"/>
    <d v="2024-10-08T00:00:00"/>
    <d v="2024-10-29T00:00:00"/>
    <n v="21"/>
    <s v="Oct-2024"/>
    <x v="1"/>
    <n v="3645.7"/>
    <x v="0"/>
    <n v="21"/>
  </r>
  <r>
    <s v="CLM01717"/>
    <s v="P0109"/>
    <s v="PR037"/>
    <s v="S012"/>
    <d v="2023-02-08T00:00:00"/>
    <d v="2023-02-09T00:00:00"/>
    <m/>
    <s v=""/>
    <s v="Feb-2023"/>
    <x v="2"/>
    <n v="3632.31"/>
    <x v="2"/>
    <m/>
  </r>
  <r>
    <s v="CLM00326"/>
    <s v="P0166"/>
    <s v="PR035"/>
    <s v="S012"/>
    <d v="2023-07-30T00:00:00"/>
    <d v="2023-08-03T00:00:00"/>
    <d v="2023-08-29T00:00:00"/>
    <n v="26"/>
    <s v="Jul-2023"/>
    <x v="2"/>
    <n v="3632.26"/>
    <x v="0"/>
    <n v="26"/>
  </r>
  <r>
    <s v="CLM00889"/>
    <s v="P0366"/>
    <s v="PR036"/>
    <s v="S012"/>
    <d v="2024-06-18T00:00:00"/>
    <d v="2024-06-19T00:00:00"/>
    <d v="2024-07-10T00:00:00"/>
    <n v="21"/>
    <s v="Jun-2024"/>
    <x v="4"/>
    <n v="3626.34"/>
    <x v="1"/>
    <n v="21"/>
  </r>
  <r>
    <s v="CLM01773"/>
    <s v="P0275"/>
    <s v="PR016"/>
    <s v="S012"/>
    <d v="2024-02-24T00:00:00"/>
    <d v="2024-02-29T00:00:00"/>
    <d v="2024-03-17T00:00:00"/>
    <n v="17"/>
    <s v="Feb-2024"/>
    <x v="0"/>
    <n v="3610.65"/>
    <x v="0"/>
    <n v="17"/>
  </r>
  <r>
    <s v="CLM00865"/>
    <s v="P0176"/>
    <s v="PR021"/>
    <s v="S012"/>
    <d v="2023-04-23T00:00:00"/>
    <d v="2023-04-28T00:00:00"/>
    <d v="2023-05-13T00:00:00"/>
    <n v="15"/>
    <s v="Apr-2023"/>
    <x v="2"/>
    <n v="3602.93"/>
    <x v="0"/>
    <n v="15"/>
  </r>
  <r>
    <s v="CLM01828"/>
    <s v="P0438"/>
    <s v="PR030"/>
    <s v="S012"/>
    <d v="2024-07-01T00:00:00"/>
    <d v="2024-07-05T00:00:00"/>
    <d v="2024-07-12T00:00:00"/>
    <n v="7"/>
    <s v="Jul-2024"/>
    <x v="1"/>
    <n v="3537.46"/>
    <x v="0"/>
    <n v="7"/>
  </r>
  <r>
    <s v="CLM00099"/>
    <s v="P0318"/>
    <s v="PR009"/>
    <s v="S012"/>
    <d v="2024-08-03T00:00:00"/>
    <d v="2024-08-07T00:00:00"/>
    <d v="2024-08-11T00:00:00"/>
    <n v="4"/>
    <s v="Aug-2024"/>
    <x v="2"/>
    <n v="3521.52"/>
    <x v="0"/>
    <n v="4"/>
  </r>
  <r>
    <s v="CLM00535"/>
    <s v="P0249"/>
    <s v="PR038"/>
    <s v="S012"/>
    <d v="2024-03-07T00:00:00"/>
    <d v="2024-03-12T00:00:00"/>
    <d v="2024-03-20T00:00:00"/>
    <n v="8"/>
    <s v="Mar-2024"/>
    <x v="2"/>
    <n v="3520.73"/>
    <x v="0"/>
    <n v="8"/>
  </r>
  <r>
    <s v="CLM01415"/>
    <s v="P0135"/>
    <s v="PR014"/>
    <s v="S012"/>
    <d v="2023-12-23T00:00:00"/>
    <d v="2023-12-27T00:00:00"/>
    <d v="2023-12-30T00:00:00"/>
    <n v="3"/>
    <s v="Dec-2023"/>
    <x v="4"/>
    <n v="3497.24"/>
    <x v="0"/>
    <n v="3"/>
  </r>
  <r>
    <s v="CLM00452"/>
    <s v="P0282"/>
    <s v="PR035"/>
    <s v="S012"/>
    <d v="2024-08-20T00:00:00"/>
    <d v="2024-08-23T00:00:00"/>
    <d v="2024-09-20T00:00:00"/>
    <n v="28"/>
    <s v="Aug-2024"/>
    <x v="2"/>
    <n v="3489.85"/>
    <x v="0"/>
    <n v="28"/>
  </r>
  <r>
    <s v="CLM00721"/>
    <s v="P0232"/>
    <s v="PR027"/>
    <s v="S012"/>
    <d v="2024-06-25T00:00:00"/>
    <d v="2024-06-29T00:00:00"/>
    <d v="2024-07-08T00:00:00"/>
    <n v="9"/>
    <s v="Jun-2024"/>
    <x v="2"/>
    <n v="3471.57"/>
    <x v="0"/>
    <n v="9"/>
  </r>
  <r>
    <s v="CLM00047"/>
    <s v="P0383"/>
    <s v="PR006"/>
    <s v="S012"/>
    <d v="2023-07-30T00:00:00"/>
    <d v="2023-08-04T00:00:00"/>
    <d v="2023-08-12T00:00:00"/>
    <n v="8"/>
    <s v="Jul-2023"/>
    <x v="0"/>
    <n v="3463.96"/>
    <x v="0"/>
    <n v="8"/>
  </r>
  <r>
    <s v="CLM01853"/>
    <s v="P0238"/>
    <s v="PR025"/>
    <s v="S012"/>
    <d v="2023-08-27T00:00:00"/>
    <d v="2023-08-30T00:00:00"/>
    <d v="2023-09-03T00:00:00"/>
    <n v="4"/>
    <s v="Aug-2023"/>
    <x v="0"/>
    <n v="3460.41"/>
    <x v="0"/>
    <n v="4"/>
  </r>
  <r>
    <s v="CLM01394"/>
    <s v="P0288"/>
    <s v="PR010"/>
    <s v="S012"/>
    <d v="2023-02-09T00:00:00"/>
    <d v="2023-02-14T00:00:00"/>
    <d v="2023-03-07T00:00:00"/>
    <n v="21"/>
    <s v="Feb-2023"/>
    <x v="1"/>
    <n v="3456.09"/>
    <x v="1"/>
    <n v="21"/>
  </r>
  <r>
    <s v="CLM00819"/>
    <s v="P0184"/>
    <s v="PR032"/>
    <s v="S012"/>
    <d v="2024-05-13T00:00:00"/>
    <d v="2024-05-15T00:00:00"/>
    <d v="2024-06-04T00:00:00"/>
    <n v="20"/>
    <s v="May-2024"/>
    <x v="1"/>
    <n v="3450.9"/>
    <x v="1"/>
    <n v="20"/>
  </r>
  <r>
    <s v="CLM01629"/>
    <s v="P0495"/>
    <s v="PR038"/>
    <s v="S012"/>
    <d v="2024-09-27T00:00:00"/>
    <d v="2024-10-01T00:00:00"/>
    <m/>
    <s v=""/>
    <s v="Sep-2024"/>
    <x v="2"/>
    <n v="3446.36"/>
    <x v="2"/>
    <m/>
  </r>
  <r>
    <s v="CLM01194"/>
    <s v="P0368"/>
    <s v="PR019"/>
    <s v="S012"/>
    <d v="2023-04-12T00:00:00"/>
    <d v="2023-04-16T00:00:00"/>
    <d v="2023-05-06T00:00:00"/>
    <n v="20"/>
    <s v="Apr-2023"/>
    <x v="0"/>
    <n v="3445.85"/>
    <x v="0"/>
    <n v="20"/>
  </r>
  <r>
    <s v="CLM00844"/>
    <s v="P0442"/>
    <s v="PR038"/>
    <s v="S012"/>
    <d v="2023-01-22T00:00:00"/>
    <d v="2023-01-26T00:00:00"/>
    <d v="2023-01-31T00:00:00"/>
    <n v="5"/>
    <s v="Jan-2023"/>
    <x v="2"/>
    <n v="3437.24"/>
    <x v="0"/>
    <n v="5"/>
  </r>
  <r>
    <s v="CLM00778"/>
    <s v="P0177"/>
    <s v="PR030"/>
    <s v="S012"/>
    <d v="2024-06-03T00:00:00"/>
    <d v="2024-06-08T00:00:00"/>
    <d v="2024-06-20T00:00:00"/>
    <n v="12"/>
    <s v="Jun-2024"/>
    <x v="1"/>
    <n v="3429.82"/>
    <x v="0"/>
    <n v="12"/>
  </r>
  <r>
    <s v="CLM00617"/>
    <s v="P0406"/>
    <s v="PR026"/>
    <s v="S012"/>
    <d v="2024-01-12T00:00:00"/>
    <d v="2024-01-14T00:00:00"/>
    <d v="2024-01-19T00:00:00"/>
    <n v="5"/>
    <s v="Jan-2024"/>
    <x v="2"/>
    <n v="3395.57"/>
    <x v="0"/>
    <n v="5"/>
  </r>
  <r>
    <s v="CLM00653"/>
    <s v="P0497"/>
    <s v="PR026"/>
    <s v="S012"/>
    <d v="2024-01-10T00:00:00"/>
    <d v="2024-01-15T00:00:00"/>
    <d v="2024-02-14T00:00:00"/>
    <n v="30"/>
    <s v="Jan-2024"/>
    <x v="1"/>
    <n v="3387.3"/>
    <x v="0"/>
    <n v="30"/>
  </r>
  <r>
    <s v="CLM00219"/>
    <s v="P0356"/>
    <s v="PR036"/>
    <s v="S012"/>
    <d v="2024-09-02T00:00:00"/>
    <d v="2024-09-07T00:00:00"/>
    <m/>
    <s v=""/>
    <s v="Sep-2024"/>
    <x v="0"/>
    <n v="3386.97"/>
    <x v="2"/>
    <m/>
  </r>
  <r>
    <s v="CLM00584"/>
    <s v="P0422"/>
    <s v="PR007"/>
    <s v="S012"/>
    <d v="2024-03-28T00:00:00"/>
    <d v="2024-03-29T00:00:00"/>
    <d v="2024-04-02T00:00:00"/>
    <n v="4"/>
    <s v="Mar-2024"/>
    <x v="2"/>
    <n v="3351.54"/>
    <x v="0"/>
    <n v="4"/>
  </r>
  <r>
    <s v="CLM01406"/>
    <s v="P0324"/>
    <s v="PR004"/>
    <s v="S012"/>
    <d v="2023-10-06T00:00:00"/>
    <d v="2023-10-08T00:00:00"/>
    <d v="2023-10-29T00:00:00"/>
    <n v="21"/>
    <s v="Oct-2023"/>
    <x v="2"/>
    <n v="3347.35"/>
    <x v="0"/>
    <n v="21"/>
  </r>
  <r>
    <s v="CLM00290"/>
    <s v="P0345"/>
    <s v="PR002"/>
    <s v="S012"/>
    <d v="2024-09-04T00:00:00"/>
    <d v="2024-09-06T00:00:00"/>
    <d v="2024-09-29T00:00:00"/>
    <n v="23"/>
    <s v="Sep-2024"/>
    <x v="1"/>
    <n v="3308.98"/>
    <x v="1"/>
    <n v="23"/>
  </r>
  <r>
    <s v="CLM01942"/>
    <s v="P0030"/>
    <s v="PR010"/>
    <s v="S012"/>
    <d v="2024-09-20T00:00:00"/>
    <d v="2024-09-24T00:00:00"/>
    <d v="2024-10-17T00:00:00"/>
    <n v="23"/>
    <s v="Sep-2024"/>
    <x v="2"/>
    <n v="3304.52"/>
    <x v="0"/>
    <n v="23"/>
  </r>
  <r>
    <s v="CLM00370"/>
    <s v="P0155"/>
    <s v="PR030"/>
    <s v="S012"/>
    <d v="2023-01-01T00:00:00"/>
    <d v="2023-01-03T00:00:00"/>
    <d v="2023-01-23T00:00:00"/>
    <n v="20"/>
    <s v="Jan-2023"/>
    <x v="4"/>
    <n v="3297.2"/>
    <x v="0"/>
    <n v="20"/>
  </r>
  <r>
    <s v="CLM00381"/>
    <s v="P0465"/>
    <s v="PR035"/>
    <s v="S012"/>
    <d v="2024-09-20T00:00:00"/>
    <d v="2024-09-22T00:00:00"/>
    <d v="2024-10-21T00:00:00"/>
    <n v="29"/>
    <s v="Sep-2024"/>
    <x v="4"/>
    <n v="3294.01"/>
    <x v="0"/>
    <n v="29"/>
  </r>
  <r>
    <s v="CLM00820"/>
    <s v="P0076"/>
    <s v="PR019"/>
    <s v="S012"/>
    <d v="2024-04-09T00:00:00"/>
    <d v="2024-04-10T00:00:00"/>
    <d v="2024-04-18T00:00:00"/>
    <n v="8"/>
    <s v="Apr-2024"/>
    <x v="3"/>
    <n v="3283.87"/>
    <x v="1"/>
    <n v="8"/>
  </r>
  <r>
    <s v="CLM01058"/>
    <s v="P0019"/>
    <s v="PR014"/>
    <s v="S012"/>
    <d v="2023-09-20T00:00:00"/>
    <d v="2023-09-23T00:00:00"/>
    <d v="2023-10-04T00:00:00"/>
    <n v="11"/>
    <s v="Sep-2023"/>
    <x v="2"/>
    <n v="3282.25"/>
    <x v="0"/>
    <n v="11"/>
  </r>
  <r>
    <s v="CLM01534"/>
    <s v="P0076"/>
    <s v="PR038"/>
    <s v="S012"/>
    <d v="2024-10-20T00:00:00"/>
    <d v="2024-10-24T00:00:00"/>
    <d v="2024-11-23T00:00:00"/>
    <n v="30"/>
    <s v="Oct-2024"/>
    <x v="3"/>
    <n v="3277.2"/>
    <x v="1"/>
    <n v="30"/>
  </r>
  <r>
    <s v="CLM01525"/>
    <s v="P0336"/>
    <s v="PR019"/>
    <s v="S012"/>
    <d v="2023-12-05T00:00:00"/>
    <d v="2023-12-06T00:00:00"/>
    <d v="2023-12-24T00:00:00"/>
    <n v="18"/>
    <s v="Dec-2023"/>
    <x v="1"/>
    <n v="3260.04"/>
    <x v="0"/>
    <n v="18"/>
  </r>
  <r>
    <s v="CLM00752"/>
    <s v="P0139"/>
    <s v="PR010"/>
    <s v="S012"/>
    <d v="2024-02-20T00:00:00"/>
    <d v="2024-02-23T00:00:00"/>
    <d v="2024-03-24T00:00:00"/>
    <n v="30"/>
    <s v="Feb-2024"/>
    <x v="1"/>
    <n v="3187.94"/>
    <x v="0"/>
    <n v="30"/>
  </r>
  <r>
    <s v="CLM01318"/>
    <s v="P0292"/>
    <s v="PR018"/>
    <s v="S012"/>
    <d v="2023-05-09T00:00:00"/>
    <d v="2023-05-12T00:00:00"/>
    <d v="2023-05-18T00:00:00"/>
    <n v="6"/>
    <s v="May-2023"/>
    <x v="3"/>
    <n v="3172.09"/>
    <x v="1"/>
    <n v="6"/>
  </r>
  <r>
    <s v="CLM00636"/>
    <s v="P0408"/>
    <s v="PR029"/>
    <s v="S012"/>
    <d v="2023-12-23T00:00:00"/>
    <d v="2023-12-25T00:00:00"/>
    <d v="2024-01-21T00:00:00"/>
    <n v="27"/>
    <s v="Dec-2023"/>
    <x v="2"/>
    <n v="3166.71"/>
    <x v="0"/>
    <n v="27"/>
  </r>
  <r>
    <s v="CLM01039"/>
    <s v="P0474"/>
    <s v="PR040"/>
    <s v="S012"/>
    <d v="2024-10-19T00:00:00"/>
    <d v="2024-10-20T00:00:00"/>
    <d v="2024-11-15T00:00:00"/>
    <n v="26"/>
    <s v="Oct-2024"/>
    <x v="2"/>
    <n v="3163.07"/>
    <x v="0"/>
    <n v="26"/>
  </r>
  <r>
    <s v="CLM01739"/>
    <s v="P0043"/>
    <s v="PR037"/>
    <s v="S012"/>
    <d v="2024-10-11T00:00:00"/>
    <d v="2024-10-14T00:00:00"/>
    <d v="2024-11-03T00:00:00"/>
    <n v="20"/>
    <s v="Oct-2024"/>
    <x v="3"/>
    <n v="3156.52"/>
    <x v="0"/>
    <n v="20"/>
  </r>
  <r>
    <s v="CLM00519"/>
    <s v="P0040"/>
    <s v="PR007"/>
    <s v="S012"/>
    <d v="2024-12-22T00:00:00"/>
    <d v="2024-12-24T00:00:00"/>
    <d v="2025-01-19T00:00:00"/>
    <n v="26"/>
    <s v="Dec-2024"/>
    <x v="2"/>
    <n v="3150.97"/>
    <x v="0"/>
    <n v="26"/>
  </r>
  <r>
    <s v="CLM01716"/>
    <s v="P0212"/>
    <s v="PR033"/>
    <s v="S011"/>
    <d v="2024-11-10T00:00:00"/>
    <d v="2024-11-13T00:00:00"/>
    <d v="2024-12-08T00:00:00"/>
    <n v="25"/>
    <s v="Nov-2024"/>
    <x v="3"/>
    <n v="2734.64"/>
    <x v="1"/>
    <n v="25"/>
  </r>
  <r>
    <s v="CLM01912"/>
    <s v="P0467"/>
    <s v="PR005"/>
    <s v="S011"/>
    <d v="2024-05-13T00:00:00"/>
    <d v="2024-05-14T00:00:00"/>
    <d v="2024-05-22T00:00:00"/>
    <n v="8"/>
    <s v="May-2024"/>
    <x v="2"/>
    <n v="2720.56"/>
    <x v="0"/>
    <n v="8"/>
  </r>
  <r>
    <s v="CLM01179"/>
    <s v="P0388"/>
    <s v="PR021"/>
    <s v="S011"/>
    <d v="2024-01-29T00:00:00"/>
    <d v="2024-01-31T00:00:00"/>
    <d v="2024-02-10T00:00:00"/>
    <n v="10"/>
    <s v="Jan-2024"/>
    <x v="4"/>
    <n v="2718.61"/>
    <x v="0"/>
    <n v="10"/>
  </r>
  <r>
    <s v="CLM00292"/>
    <s v="P0182"/>
    <s v="PR039"/>
    <s v="S011"/>
    <d v="2024-01-01T00:00:00"/>
    <d v="2024-01-03T00:00:00"/>
    <d v="2024-01-09T00:00:00"/>
    <n v="6"/>
    <s v="Jan-2024"/>
    <x v="2"/>
    <n v="2708.71"/>
    <x v="0"/>
    <n v="6"/>
  </r>
  <r>
    <s v="CLM00007"/>
    <s v="P0347"/>
    <s v="PR033"/>
    <s v="S011"/>
    <d v="2024-08-09T00:00:00"/>
    <d v="2024-08-12T00:00:00"/>
    <d v="2024-09-05T00:00:00"/>
    <n v="24"/>
    <s v="Aug-2024"/>
    <x v="2"/>
    <n v="2708.48"/>
    <x v="0"/>
    <n v="24"/>
  </r>
  <r>
    <s v="CLM00337"/>
    <s v="P0230"/>
    <s v="PR008"/>
    <s v="S011"/>
    <d v="2024-08-10T00:00:00"/>
    <d v="2024-08-14T00:00:00"/>
    <d v="2024-09-05T00:00:00"/>
    <n v="22"/>
    <s v="Aug-2024"/>
    <x v="2"/>
    <n v="2708.17"/>
    <x v="0"/>
    <n v="22"/>
  </r>
  <r>
    <s v="CLM01188"/>
    <s v="P0454"/>
    <s v="PR009"/>
    <s v="S011"/>
    <d v="2023-03-09T00:00:00"/>
    <d v="2023-03-10T00:00:00"/>
    <d v="2023-03-20T00:00:00"/>
    <n v="10"/>
    <s v="Mar-2023"/>
    <x v="2"/>
    <n v="2697.28"/>
    <x v="0"/>
    <n v="10"/>
  </r>
  <r>
    <s v="CLM01847"/>
    <s v="P0035"/>
    <s v="PR002"/>
    <s v="S011"/>
    <d v="2023-03-17T00:00:00"/>
    <d v="2023-03-20T00:00:00"/>
    <m/>
    <s v=""/>
    <s v="Mar-2023"/>
    <x v="0"/>
    <n v="2690.32"/>
    <x v="2"/>
    <m/>
  </r>
  <r>
    <s v="CLM00511"/>
    <s v="P0271"/>
    <s v="PR018"/>
    <s v="S011"/>
    <d v="2023-06-11T00:00:00"/>
    <d v="2023-06-15T00:00:00"/>
    <d v="2023-06-30T00:00:00"/>
    <n v="15"/>
    <s v="Jun-2023"/>
    <x v="1"/>
    <n v="2675.35"/>
    <x v="0"/>
    <n v="15"/>
  </r>
  <r>
    <s v="CLM00413"/>
    <s v="P0251"/>
    <s v="PR027"/>
    <s v="S011"/>
    <d v="2024-09-05T00:00:00"/>
    <d v="2024-09-06T00:00:00"/>
    <d v="2024-09-16T00:00:00"/>
    <n v="10"/>
    <s v="Sep-2024"/>
    <x v="3"/>
    <n v="2665.06"/>
    <x v="0"/>
    <n v="10"/>
  </r>
  <r>
    <s v="CLM00569"/>
    <s v="P0191"/>
    <s v="PR037"/>
    <s v="S011"/>
    <d v="2023-01-01T00:00:00"/>
    <d v="2023-01-04T00:00:00"/>
    <d v="2023-01-21T00:00:00"/>
    <n v="17"/>
    <s v="Jan-2023"/>
    <x v="2"/>
    <n v="2656.99"/>
    <x v="0"/>
    <n v="17"/>
  </r>
  <r>
    <s v="CLM01630"/>
    <s v="P0044"/>
    <s v="PR031"/>
    <s v="S011"/>
    <d v="2024-08-08T00:00:00"/>
    <d v="2024-08-13T00:00:00"/>
    <d v="2024-08-25T00:00:00"/>
    <n v="12"/>
    <s v="Aug-2024"/>
    <x v="2"/>
    <n v="2654.75"/>
    <x v="0"/>
    <n v="12"/>
  </r>
  <r>
    <s v="CLM01882"/>
    <s v="P0441"/>
    <s v="PR020"/>
    <s v="S011"/>
    <d v="2024-10-11T00:00:00"/>
    <d v="2024-10-13T00:00:00"/>
    <d v="2024-10-17T00:00:00"/>
    <n v="4"/>
    <s v="Oct-2024"/>
    <x v="2"/>
    <n v="2651.52"/>
    <x v="0"/>
    <n v="4"/>
  </r>
  <r>
    <s v="CLM01115"/>
    <s v="P0171"/>
    <s v="PR009"/>
    <s v="S011"/>
    <d v="2024-02-25T00:00:00"/>
    <d v="2024-02-27T00:00:00"/>
    <d v="2024-03-12T00:00:00"/>
    <n v="14"/>
    <s v="Feb-2024"/>
    <x v="2"/>
    <n v="2645.46"/>
    <x v="0"/>
    <n v="14"/>
  </r>
  <r>
    <s v="CLM00407"/>
    <s v="P0098"/>
    <s v="PR023"/>
    <s v="S011"/>
    <d v="2024-05-21T00:00:00"/>
    <d v="2024-05-23T00:00:00"/>
    <d v="2024-05-29T00:00:00"/>
    <n v="6"/>
    <s v="May-2024"/>
    <x v="1"/>
    <n v="2643"/>
    <x v="0"/>
    <n v="6"/>
  </r>
  <r>
    <s v="CLM01542"/>
    <s v="P0039"/>
    <s v="PR002"/>
    <s v="S011"/>
    <d v="2024-03-27T00:00:00"/>
    <d v="2024-03-29T00:00:00"/>
    <d v="2024-04-20T00:00:00"/>
    <n v="22"/>
    <s v="Mar-2024"/>
    <x v="2"/>
    <n v="2638.06"/>
    <x v="0"/>
    <n v="22"/>
  </r>
  <r>
    <s v="CLM00797"/>
    <s v="P0360"/>
    <s v="PR017"/>
    <s v="S011"/>
    <d v="2024-05-31T00:00:00"/>
    <d v="2024-06-01T00:00:00"/>
    <d v="2024-06-17T00:00:00"/>
    <n v="16"/>
    <s v="May-2024"/>
    <x v="4"/>
    <n v="2626.34"/>
    <x v="1"/>
    <n v="16"/>
  </r>
  <r>
    <s v="CLM00297"/>
    <s v="P0064"/>
    <s v="PR029"/>
    <s v="S011"/>
    <d v="2023-05-09T00:00:00"/>
    <d v="2023-05-13T00:00:00"/>
    <d v="2023-06-04T00:00:00"/>
    <n v="22"/>
    <s v="May-2023"/>
    <x v="4"/>
    <n v="2624.43"/>
    <x v="0"/>
    <n v="22"/>
  </r>
  <r>
    <s v="CLM00861"/>
    <s v="P0140"/>
    <s v="PR039"/>
    <s v="S011"/>
    <d v="2023-06-12T00:00:00"/>
    <d v="2023-06-15T00:00:00"/>
    <d v="2023-06-27T00:00:00"/>
    <n v="12"/>
    <s v="Jun-2023"/>
    <x v="3"/>
    <n v="2621.62"/>
    <x v="1"/>
    <n v="12"/>
  </r>
  <r>
    <s v="CLM00887"/>
    <s v="P0143"/>
    <s v="PR020"/>
    <s v="S011"/>
    <d v="2024-12-03T00:00:00"/>
    <d v="2024-12-05T00:00:00"/>
    <d v="2024-12-09T00:00:00"/>
    <n v="4"/>
    <s v="Dec-2024"/>
    <x v="2"/>
    <n v="2608.5"/>
    <x v="1"/>
    <n v="4"/>
  </r>
  <r>
    <s v="CLM01456"/>
    <s v="P0367"/>
    <s v="PR011"/>
    <s v="S011"/>
    <d v="2023-06-11T00:00:00"/>
    <d v="2023-06-15T00:00:00"/>
    <d v="2023-07-10T00:00:00"/>
    <n v="25"/>
    <s v="Jun-2023"/>
    <x v="4"/>
    <n v="2604.2600000000002"/>
    <x v="0"/>
    <n v="25"/>
  </r>
  <r>
    <s v="CLM01497"/>
    <s v="P0030"/>
    <s v="PR016"/>
    <s v="S011"/>
    <d v="2023-11-04T00:00:00"/>
    <d v="2023-11-09T00:00:00"/>
    <d v="2023-12-01T00:00:00"/>
    <n v="22"/>
    <s v="Nov-2023"/>
    <x v="2"/>
    <n v="2600.6"/>
    <x v="0"/>
    <n v="22"/>
  </r>
  <r>
    <s v="CLM00941"/>
    <s v="P0240"/>
    <s v="PR002"/>
    <s v="S011"/>
    <d v="2024-12-26T00:00:00"/>
    <d v="2024-12-28T00:00:00"/>
    <m/>
    <s v=""/>
    <s v="Dec-2024"/>
    <x v="4"/>
    <n v="2592.21"/>
    <x v="2"/>
    <m/>
  </r>
  <r>
    <s v="CLM01931"/>
    <s v="P0260"/>
    <s v="PR026"/>
    <s v="S011"/>
    <d v="2023-11-10T00:00:00"/>
    <d v="2023-11-13T00:00:00"/>
    <d v="2023-11-28T00:00:00"/>
    <n v="15"/>
    <s v="Nov-2023"/>
    <x v="1"/>
    <n v="2545.12"/>
    <x v="0"/>
    <n v="15"/>
  </r>
  <r>
    <s v="CLM00364"/>
    <s v="P0464"/>
    <s v="PR011"/>
    <s v="S011"/>
    <d v="2023-06-05T00:00:00"/>
    <d v="2023-06-07T00:00:00"/>
    <d v="2023-06-16T00:00:00"/>
    <n v="9"/>
    <s v="Jun-2023"/>
    <x v="2"/>
    <n v="2530.08"/>
    <x v="0"/>
    <n v="9"/>
  </r>
  <r>
    <s v="CLM01182"/>
    <s v="P0337"/>
    <s v="PR028"/>
    <s v="S011"/>
    <d v="2023-12-05T00:00:00"/>
    <d v="2023-12-09T00:00:00"/>
    <m/>
    <s v=""/>
    <s v="Dec-2023"/>
    <x v="1"/>
    <n v="2522.16"/>
    <x v="2"/>
    <m/>
  </r>
  <r>
    <s v="CLM00177"/>
    <s v="P0256"/>
    <s v="PR039"/>
    <s v="S011"/>
    <d v="2023-06-10T00:00:00"/>
    <d v="2023-06-13T00:00:00"/>
    <d v="2023-06-21T00:00:00"/>
    <n v="8"/>
    <s v="Jun-2023"/>
    <x v="2"/>
    <n v="2480.4"/>
    <x v="1"/>
    <n v="8"/>
  </r>
  <r>
    <s v="CLM01136"/>
    <s v="P0197"/>
    <s v="PR036"/>
    <s v="S011"/>
    <d v="2023-11-27T00:00:00"/>
    <d v="2023-11-30T00:00:00"/>
    <d v="2023-12-23T00:00:00"/>
    <n v="23"/>
    <s v="Nov-2023"/>
    <x v="4"/>
    <n v="2477.9"/>
    <x v="0"/>
    <n v="23"/>
  </r>
  <r>
    <s v="CLM01040"/>
    <s v="P0020"/>
    <s v="PR016"/>
    <s v="S011"/>
    <d v="2023-08-15T00:00:00"/>
    <d v="2023-08-18T00:00:00"/>
    <d v="2023-09-05T00:00:00"/>
    <n v="18"/>
    <s v="Aug-2023"/>
    <x v="2"/>
    <n v="2459.5100000000002"/>
    <x v="0"/>
    <n v="18"/>
  </r>
  <r>
    <s v="CLM00623"/>
    <s v="P0114"/>
    <s v="PR002"/>
    <s v="S011"/>
    <d v="2024-09-20T00:00:00"/>
    <d v="2024-09-22T00:00:00"/>
    <d v="2024-10-04T00:00:00"/>
    <n v="12"/>
    <s v="Sep-2024"/>
    <x v="4"/>
    <n v="2446.39"/>
    <x v="1"/>
    <n v="12"/>
  </r>
  <r>
    <s v="CLM01426"/>
    <s v="P0415"/>
    <s v="PR002"/>
    <s v="S011"/>
    <d v="2023-12-08T00:00:00"/>
    <d v="2023-12-13T00:00:00"/>
    <d v="2024-01-12T00:00:00"/>
    <n v="30"/>
    <s v="Dec-2023"/>
    <x v="1"/>
    <n v="2445.2800000000002"/>
    <x v="0"/>
    <n v="30"/>
  </r>
  <r>
    <s v="CLM00313"/>
    <s v="P0404"/>
    <s v="PR035"/>
    <s v="S011"/>
    <d v="2023-07-15T00:00:00"/>
    <d v="2023-07-18T00:00:00"/>
    <d v="2023-07-23T00:00:00"/>
    <n v="5"/>
    <s v="Jul-2023"/>
    <x v="1"/>
    <n v="2430.7399999999998"/>
    <x v="1"/>
    <n v="5"/>
  </r>
  <r>
    <s v="CLM00067"/>
    <s v="P0332"/>
    <s v="PR013"/>
    <s v="S011"/>
    <d v="2024-04-20T00:00:00"/>
    <d v="2024-04-24T00:00:00"/>
    <d v="2024-05-04T00:00:00"/>
    <n v="10"/>
    <s v="Apr-2024"/>
    <x v="4"/>
    <n v="2419.14"/>
    <x v="0"/>
    <n v="10"/>
  </r>
  <r>
    <s v="CLM00309"/>
    <s v="P0093"/>
    <s v="PR039"/>
    <s v="S011"/>
    <d v="2024-10-01T00:00:00"/>
    <d v="2024-10-02T00:00:00"/>
    <d v="2024-10-29T00:00:00"/>
    <n v="27"/>
    <s v="Oct-2024"/>
    <x v="2"/>
    <n v="2411.4699999999998"/>
    <x v="1"/>
    <n v="27"/>
  </r>
  <r>
    <s v="CLM01452"/>
    <s v="P0341"/>
    <s v="PR034"/>
    <s v="S011"/>
    <d v="2024-07-24T00:00:00"/>
    <d v="2024-07-27T00:00:00"/>
    <d v="2024-08-25T00:00:00"/>
    <n v="29"/>
    <s v="Jul-2024"/>
    <x v="4"/>
    <n v="2410.31"/>
    <x v="0"/>
    <n v="29"/>
  </r>
  <r>
    <s v="CLM00699"/>
    <s v="P0367"/>
    <s v="PR021"/>
    <s v="S011"/>
    <d v="2023-07-23T00:00:00"/>
    <d v="2023-07-24T00:00:00"/>
    <d v="2023-08-10T00:00:00"/>
    <n v="17"/>
    <s v="Jul-2023"/>
    <x v="4"/>
    <n v="2393.87"/>
    <x v="0"/>
    <n v="17"/>
  </r>
  <r>
    <s v="CLM00906"/>
    <s v="P0452"/>
    <s v="PR038"/>
    <s v="S011"/>
    <d v="2024-06-11T00:00:00"/>
    <d v="2024-06-15T00:00:00"/>
    <m/>
    <s v=""/>
    <s v="Jun-2024"/>
    <x v="1"/>
    <n v="2387.9699999999998"/>
    <x v="2"/>
    <m/>
  </r>
  <r>
    <s v="CLM00517"/>
    <s v="P0032"/>
    <s v="PR007"/>
    <s v="S011"/>
    <d v="2023-08-02T00:00:00"/>
    <d v="2023-08-03T00:00:00"/>
    <d v="2023-08-13T00:00:00"/>
    <n v="10"/>
    <s v="Aug-2023"/>
    <x v="1"/>
    <n v="2386.14"/>
    <x v="0"/>
    <n v="10"/>
  </r>
  <r>
    <s v="CLM01254"/>
    <s v="P0391"/>
    <s v="PR018"/>
    <s v="S011"/>
    <d v="2023-11-28T00:00:00"/>
    <d v="2023-11-29T00:00:00"/>
    <d v="2023-12-03T00:00:00"/>
    <n v="4"/>
    <s v="Nov-2023"/>
    <x v="4"/>
    <n v="2380.54"/>
    <x v="0"/>
    <n v="4"/>
  </r>
  <r>
    <s v="CLM01506"/>
    <s v="P0298"/>
    <s v="PR005"/>
    <s v="S011"/>
    <d v="2023-07-02T00:00:00"/>
    <d v="2023-07-03T00:00:00"/>
    <d v="2023-07-24T00:00:00"/>
    <n v="21"/>
    <s v="Jul-2023"/>
    <x v="4"/>
    <n v="2361.6999999999998"/>
    <x v="0"/>
    <n v="21"/>
  </r>
  <r>
    <s v="CLM01809"/>
    <s v="P0208"/>
    <s v="PR018"/>
    <s v="S011"/>
    <d v="2024-08-17T00:00:00"/>
    <d v="2024-08-22T00:00:00"/>
    <d v="2024-09-09T00:00:00"/>
    <n v="18"/>
    <s v="Aug-2024"/>
    <x v="2"/>
    <n v="2353.44"/>
    <x v="1"/>
    <n v="18"/>
  </r>
  <r>
    <s v="CLM01424"/>
    <s v="P0341"/>
    <s v="PR002"/>
    <s v="S011"/>
    <d v="2024-01-19T00:00:00"/>
    <d v="2024-01-24T00:00:00"/>
    <d v="2024-02-14T00:00:00"/>
    <n v="21"/>
    <s v="Jan-2024"/>
    <x v="4"/>
    <n v="2331.91"/>
    <x v="0"/>
    <n v="21"/>
  </r>
  <r>
    <s v="CLM00774"/>
    <s v="P0244"/>
    <s v="PR026"/>
    <s v="S011"/>
    <d v="2023-04-14T00:00:00"/>
    <d v="2023-04-16T00:00:00"/>
    <d v="2023-04-24T00:00:00"/>
    <n v="8"/>
    <s v="Apr-2023"/>
    <x v="3"/>
    <n v="2329.0100000000002"/>
    <x v="0"/>
    <n v="8"/>
  </r>
  <r>
    <s v="CLM00540"/>
    <s v="P0439"/>
    <s v="PR019"/>
    <s v="S011"/>
    <d v="2023-10-29T00:00:00"/>
    <d v="2023-10-30T00:00:00"/>
    <m/>
    <s v=""/>
    <s v="Oct-2023"/>
    <x v="0"/>
    <n v="2307.52"/>
    <x v="2"/>
    <m/>
  </r>
  <r>
    <s v="CLM00642"/>
    <s v="P0279"/>
    <s v="PR032"/>
    <s v="S011"/>
    <d v="2023-10-06T00:00:00"/>
    <d v="2023-10-09T00:00:00"/>
    <d v="2023-10-18T00:00:00"/>
    <n v="9"/>
    <s v="Oct-2023"/>
    <x v="4"/>
    <n v="2304.2600000000002"/>
    <x v="0"/>
    <n v="9"/>
  </r>
  <r>
    <s v="CLM01397"/>
    <s v="P0338"/>
    <s v="PR013"/>
    <s v="S011"/>
    <d v="2024-06-19T00:00:00"/>
    <d v="2024-06-20T00:00:00"/>
    <d v="2024-07-17T00:00:00"/>
    <n v="27"/>
    <s v="Jun-2024"/>
    <x v="2"/>
    <n v="2301.96"/>
    <x v="0"/>
    <n v="27"/>
  </r>
  <r>
    <s v="CLM00210"/>
    <s v="P0291"/>
    <s v="PR003"/>
    <s v="S011"/>
    <d v="2024-03-10T00:00:00"/>
    <d v="2024-03-15T00:00:00"/>
    <d v="2024-04-10T00:00:00"/>
    <n v="26"/>
    <s v="Mar-2024"/>
    <x v="4"/>
    <n v="2300.15"/>
    <x v="0"/>
    <n v="26"/>
  </r>
  <r>
    <s v="CLM01379"/>
    <s v="P0436"/>
    <s v="PR012"/>
    <s v="S011"/>
    <d v="2024-07-06T00:00:00"/>
    <d v="2024-07-10T00:00:00"/>
    <d v="2024-07-29T00:00:00"/>
    <n v="19"/>
    <s v="Jul-2024"/>
    <x v="2"/>
    <n v="2290.23"/>
    <x v="0"/>
    <n v="19"/>
  </r>
  <r>
    <s v="CLM00695"/>
    <s v="P0313"/>
    <s v="PR017"/>
    <s v="S011"/>
    <d v="2024-01-27T00:00:00"/>
    <d v="2024-01-29T00:00:00"/>
    <d v="2024-02-11T00:00:00"/>
    <n v="13"/>
    <s v="Jan-2024"/>
    <x v="0"/>
    <n v="2283.98"/>
    <x v="0"/>
    <n v="13"/>
  </r>
  <r>
    <s v="CLM01054"/>
    <s v="P0384"/>
    <s v="PR034"/>
    <s v="S011"/>
    <d v="2024-09-12T00:00:00"/>
    <d v="2024-09-13T00:00:00"/>
    <d v="2024-10-02T00:00:00"/>
    <n v="19"/>
    <s v="Sep-2024"/>
    <x v="3"/>
    <n v="2261.12"/>
    <x v="0"/>
    <n v="19"/>
  </r>
  <r>
    <s v="CLM00056"/>
    <s v="P0387"/>
    <s v="PR020"/>
    <s v="S011"/>
    <d v="2023-01-19T00:00:00"/>
    <d v="2023-01-20T00:00:00"/>
    <d v="2023-02-09T00:00:00"/>
    <n v="20"/>
    <s v="Jan-2023"/>
    <x v="4"/>
    <n v="2253.35"/>
    <x v="0"/>
    <n v="20"/>
  </r>
  <r>
    <s v="CLM00324"/>
    <s v="P0020"/>
    <s v="PR015"/>
    <s v="S011"/>
    <d v="2024-03-09T00:00:00"/>
    <d v="2024-03-14T00:00:00"/>
    <d v="2024-03-18T00:00:00"/>
    <n v="4"/>
    <s v="Mar-2024"/>
    <x v="2"/>
    <n v="2250.25"/>
    <x v="0"/>
    <n v="4"/>
  </r>
  <r>
    <s v="CLM01365"/>
    <s v="P0356"/>
    <s v="PR006"/>
    <s v="S011"/>
    <d v="2023-07-18T00:00:00"/>
    <d v="2023-07-19T00:00:00"/>
    <d v="2023-08-02T00:00:00"/>
    <n v="14"/>
    <s v="Jul-2023"/>
    <x v="0"/>
    <n v="2245.27"/>
    <x v="0"/>
    <n v="14"/>
  </r>
  <r>
    <s v="CLM01606"/>
    <s v="P0149"/>
    <s v="PR021"/>
    <s v="S011"/>
    <d v="2024-10-30T00:00:00"/>
    <d v="2024-11-02T00:00:00"/>
    <d v="2024-11-14T00:00:00"/>
    <n v="12"/>
    <s v="Oct-2024"/>
    <x v="3"/>
    <n v="2243.54"/>
    <x v="0"/>
    <n v="12"/>
  </r>
  <r>
    <s v="CLM00573"/>
    <s v="P0053"/>
    <s v="PR021"/>
    <s v="S011"/>
    <d v="2023-11-28T00:00:00"/>
    <d v="2023-11-30T00:00:00"/>
    <d v="2023-12-20T00:00:00"/>
    <n v="20"/>
    <s v="Nov-2023"/>
    <x v="3"/>
    <n v="2243.29"/>
    <x v="0"/>
    <n v="20"/>
  </r>
  <r>
    <s v="CLM01094"/>
    <s v="P0239"/>
    <s v="PR029"/>
    <s v="S011"/>
    <d v="2023-07-01T00:00:00"/>
    <d v="2023-07-04T00:00:00"/>
    <d v="2023-07-19T00:00:00"/>
    <n v="15"/>
    <s v="Jul-2023"/>
    <x v="1"/>
    <n v="2240.0700000000002"/>
    <x v="0"/>
    <n v="15"/>
  </r>
  <r>
    <s v="CLM01784"/>
    <s v="P0232"/>
    <s v="PR010"/>
    <s v="S010"/>
    <d v="2023-05-19T00:00:00"/>
    <d v="2023-05-20T00:00:00"/>
    <d v="2023-05-29T00:00:00"/>
    <n v="9"/>
    <s v="May-2023"/>
    <x v="2"/>
    <n v="2235.96"/>
    <x v="0"/>
    <n v="9"/>
  </r>
  <r>
    <s v="CLM01742"/>
    <s v="P0500"/>
    <s v="PR004"/>
    <s v="S011"/>
    <d v="2024-09-30T00:00:00"/>
    <d v="2024-10-04T00:00:00"/>
    <m/>
    <s v=""/>
    <s v="Sep-2024"/>
    <x v="4"/>
    <n v="2228.4699999999998"/>
    <x v="2"/>
    <m/>
  </r>
  <r>
    <s v="CLM00933"/>
    <s v="P0056"/>
    <s v="PR040"/>
    <s v="S011"/>
    <d v="2023-08-21T00:00:00"/>
    <d v="2023-08-26T00:00:00"/>
    <m/>
    <s v=""/>
    <s v="Aug-2023"/>
    <x v="1"/>
    <n v="2213.87"/>
    <x v="2"/>
    <m/>
  </r>
  <r>
    <s v="CLM01731"/>
    <s v="P0441"/>
    <s v="PR036"/>
    <s v="S011"/>
    <d v="2023-11-10T00:00:00"/>
    <d v="2023-11-14T00:00:00"/>
    <d v="2023-12-13T00:00:00"/>
    <n v="29"/>
    <s v="Nov-2023"/>
    <x v="2"/>
    <n v="2213.66"/>
    <x v="0"/>
    <n v="29"/>
  </r>
  <r>
    <s v="CLM00005"/>
    <s v="P0107"/>
    <s v="PR038"/>
    <s v="S010"/>
    <d v="2024-01-12T00:00:00"/>
    <d v="2024-01-17T00:00:00"/>
    <m/>
    <s v=""/>
    <s v="Jan-2024"/>
    <x v="4"/>
    <n v="2210.75"/>
    <x v="2"/>
    <m/>
  </r>
  <r>
    <s v="CLM00960"/>
    <s v="P0381"/>
    <s v="PR040"/>
    <s v="S011"/>
    <d v="2024-02-12T00:00:00"/>
    <d v="2024-02-17T00:00:00"/>
    <d v="2024-02-25T00:00:00"/>
    <n v="8"/>
    <s v="Feb-2024"/>
    <x v="2"/>
    <n v="2209.81"/>
    <x v="0"/>
    <n v="8"/>
  </r>
  <r>
    <s v="CLM00504"/>
    <s v="P0018"/>
    <s v="PR013"/>
    <s v="S010"/>
    <d v="2023-12-14T00:00:00"/>
    <d v="2023-12-18T00:00:00"/>
    <d v="2024-01-02T00:00:00"/>
    <n v="15"/>
    <s v="Dec-2023"/>
    <x v="2"/>
    <n v="2201.0500000000002"/>
    <x v="0"/>
    <n v="15"/>
  </r>
  <r>
    <s v="CLM01359"/>
    <s v="P0406"/>
    <s v="PR017"/>
    <s v="S011"/>
    <d v="2023-04-09T00:00:00"/>
    <d v="2023-04-14T00:00:00"/>
    <d v="2023-05-05T00:00:00"/>
    <n v="21"/>
    <s v="Apr-2023"/>
    <x v="2"/>
    <n v="2200.89"/>
    <x v="0"/>
    <n v="21"/>
  </r>
  <r>
    <s v="CLM01337"/>
    <s v="P0195"/>
    <s v="PR022"/>
    <s v="S010"/>
    <d v="2023-04-01T00:00:00"/>
    <d v="2023-04-04T00:00:00"/>
    <d v="2023-04-29T00:00:00"/>
    <n v="25"/>
    <s v="Apr-2023"/>
    <x v="2"/>
    <n v="2196.19"/>
    <x v="0"/>
    <n v="25"/>
  </r>
  <r>
    <s v="CLM01398"/>
    <s v="P0005"/>
    <s v="PR019"/>
    <s v="S010"/>
    <d v="2024-06-19T00:00:00"/>
    <d v="2024-06-21T00:00:00"/>
    <d v="2024-07-19T00:00:00"/>
    <n v="28"/>
    <s v="Jun-2024"/>
    <x v="4"/>
    <n v="2193.94"/>
    <x v="0"/>
    <n v="28"/>
  </r>
  <r>
    <s v="CLM00415"/>
    <s v="P0050"/>
    <s v="PR036"/>
    <s v="S010"/>
    <d v="2024-10-23T00:00:00"/>
    <d v="2024-10-26T00:00:00"/>
    <d v="2024-11-09T00:00:00"/>
    <n v="14"/>
    <s v="Oct-2024"/>
    <x v="2"/>
    <n v="2187.7399999999998"/>
    <x v="0"/>
    <n v="14"/>
  </r>
  <r>
    <s v="CLM01577"/>
    <s v="P0150"/>
    <s v="PR026"/>
    <s v="S010"/>
    <d v="2024-05-03T00:00:00"/>
    <d v="2024-05-08T00:00:00"/>
    <m/>
    <s v=""/>
    <s v="May-2024"/>
    <x v="4"/>
    <n v="2184.36"/>
    <x v="2"/>
    <m/>
  </r>
  <r>
    <s v="CLM01088"/>
    <s v="P0314"/>
    <s v="PR009"/>
    <s v="S011"/>
    <d v="2023-05-18T00:00:00"/>
    <d v="2023-05-21T00:00:00"/>
    <d v="2023-06-15T00:00:00"/>
    <n v="25"/>
    <s v="May-2023"/>
    <x v="3"/>
    <n v="2179.46"/>
    <x v="1"/>
    <n v="25"/>
  </r>
  <r>
    <s v="CLM01557"/>
    <s v="P0015"/>
    <s v="PR003"/>
    <s v="S011"/>
    <d v="2024-05-14T00:00:00"/>
    <d v="2024-05-19T00:00:00"/>
    <d v="2024-06-14T00:00:00"/>
    <n v="26"/>
    <s v="May-2024"/>
    <x v="2"/>
    <n v="2176.13"/>
    <x v="0"/>
    <n v="26"/>
  </r>
  <r>
    <s v="CLM01326"/>
    <s v="P0151"/>
    <s v="PR014"/>
    <s v="S010"/>
    <d v="2024-11-05T00:00:00"/>
    <d v="2024-11-07T00:00:00"/>
    <d v="2024-11-16T00:00:00"/>
    <n v="9"/>
    <s v="Nov-2024"/>
    <x v="2"/>
    <n v="2173.21"/>
    <x v="0"/>
    <n v="9"/>
  </r>
  <r>
    <s v="CLM00916"/>
    <s v="P0451"/>
    <s v="PR006"/>
    <s v="S011"/>
    <d v="2024-03-25T00:00:00"/>
    <d v="2024-03-30T00:00:00"/>
    <m/>
    <s v=""/>
    <s v="Mar-2024"/>
    <x v="0"/>
    <n v="2159.88"/>
    <x v="2"/>
    <m/>
  </r>
  <r>
    <s v="CLM01139"/>
    <s v="P0423"/>
    <s v="PR022"/>
    <s v="S010"/>
    <d v="2024-05-18T00:00:00"/>
    <d v="2024-05-22T00:00:00"/>
    <d v="2024-05-26T00:00:00"/>
    <n v="4"/>
    <s v="May-2024"/>
    <x v="2"/>
    <n v="2157.04"/>
    <x v="0"/>
    <n v="4"/>
  </r>
  <r>
    <s v="CLM00224"/>
    <s v="P0235"/>
    <s v="PR034"/>
    <s v="S011"/>
    <d v="2024-01-26T00:00:00"/>
    <d v="2024-01-30T00:00:00"/>
    <d v="2024-02-26T00:00:00"/>
    <n v="27"/>
    <s v="Jan-2024"/>
    <x v="0"/>
    <n v="2155.1999999999998"/>
    <x v="0"/>
    <n v="27"/>
  </r>
  <r>
    <s v="CLM01164"/>
    <s v="P0457"/>
    <s v="PR019"/>
    <s v="S011"/>
    <d v="2024-03-09T00:00:00"/>
    <d v="2024-03-14T00:00:00"/>
    <d v="2024-03-29T00:00:00"/>
    <n v="15"/>
    <s v="Mar-2024"/>
    <x v="2"/>
    <n v="2154.66"/>
    <x v="0"/>
    <n v="15"/>
  </r>
  <r>
    <s v="CLM01082"/>
    <s v="P0065"/>
    <s v="PR023"/>
    <s v="S010"/>
    <d v="2024-08-08T00:00:00"/>
    <d v="2024-08-13T00:00:00"/>
    <d v="2024-08-25T00:00:00"/>
    <n v="12"/>
    <s v="Aug-2024"/>
    <x v="1"/>
    <n v="2150.11"/>
    <x v="1"/>
    <n v="12"/>
  </r>
  <r>
    <s v="CLM00657"/>
    <s v="P0272"/>
    <s v="PR021"/>
    <s v="S010"/>
    <d v="2023-07-07T00:00:00"/>
    <d v="2023-07-09T00:00:00"/>
    <d v="2023-08-03T00:00:00"/>
    <n v="25"/>
    <s v="Jul-2023"/>
    <x v="2"/>
    <n v="2148.6999999999998"/>
    <x v="0"/>
    <n v="25"/>
  </r>
  <r>
    <s v="CLM01981"/>
    <s v="P0229"/>
    <s v="PR011"/>
    <s v="S010"/>
    <d v="2023-04-26T00:00:00"/>
    <d v="2023-04-30T00:00:00"/>
    <d v="2023-05-20T00:00:00"/>
    <n v="20"/>
    <s v="Apr-2023"/>
    <x v="4"/>
    <n v="2147.4499999999998"/>
    <x v="0"/>
    <n v="20"/>
  </r>
  <r>
    <s v="CLM01346"/>
    <s v="P0021"/>
    <s v="PR001"/>
    <s v="S010"/>
    <d v="2023-11-11T00:00:00"/>
    <d v="2023-11-14T00:00:00"/>
    <d v="2023-11-20T00:00:00"/>
    <n v="6"/>
    <s v="Nov-2023"/>
    <x v="4"/>
    <n v="2141.77"/>
    <x v="1"/>
    <n v="6"/>
  </r>
  <r>
    <s v="CLM01228"/>
    <s v="P0368"/>
    <s v="PR003"/>
    <s v="S011"/>
    <d v="2023-01-03T00:00:00"/>
    <d v="2023-01-08T00:00:00"/>
    <m/>
    <s v=""/>
    <s v="Jan-2023"/>
    <x v="0"/>
    <n v="2139.2600000000002"/>
    <x v="2"/>
    <m/>
  </r>
  <r>
    <s v="CLM00257"/>
    <s v="P0191"/>
    <s v="PR009"/>
    <s v="S010"/>
    <d v="2024-05-18T00:00:00"/>
    <d v="2024-05-22T00:00:00"/>
    <d v="2024-06-16T00:00:00"/>
    <n v="25"/>
    <s v="May-2024"/>
    <x v="2"/>
    <n v="2135.2800000000002"/>
    <x v="0"/>
    <n v="25"/>
  </r>
  <r>
    <s v="CLM01141"/>
    <s v="P0098"/>
    <s v="PR021"/>
    <s v="S011"/>
    <d v="2023-02-14T00:00:00"/>
    <d v="2023-02-16T00:00:00"/>
    <d v="2023-03-15T00:00:00"/>
    <n v="27"/>
    <s v="Feb-2023"/>
    <x v="1"/>
    <n v="2131.9299999999998"/>
    <x v="0"/>
    <n v="27"/>
  </r>
  <r>
    <s v="CLM01277"/>
    <s v="P0491"/>
    <s v="PR018"/>
    <s v="S010"/>
    <d v="2024-04-22T00:00:00"/>
    <d v="2024-04-23T00:00:00"/>
    <d v="2024-05-11T00:00:00"/>
    <n v="18"/>
    <s v="Apr-2024"/>
    <x v="4"/>
    <n v="2130.4899999999998"/>
    <x v="0"/>
    <n v="18"/>
  </r>
  <r>
    <s v="CLM01119"/>
    <s v="P0045"/>
    <s v="PR002"/>
    <s v="S010"/>
    <d v="2024-10-26T00:00:00"/>
    <d v="2024-10-27T00:00:00"/>
    <d v="2024-11-13T00:00:00"/>
    <n v="17"/>
    <s v="Oct-2024"/>
    <x v="2"/>
    <n v="2125.94"/>
    <x v="0"/>
    <n v="17"/>
  </r>
  <r>
    <s v="CLM01019"/>
    <s v="P0143"/>
    <s v="PR015"/>
    <s v="S010"/>
    <d v="2023-01-13T00:00:00"/>
    <d v="2023-01-17T00:00:00"/>
    <m/>
    <s v=""/>
    <s v="Jan-2023"/>
    <x v="2"/>
    <n v="2122.08"/>
    <x v="2"/>
    <m/>
  </r>
  <r>
    <s v="CLM01048"/>
    <s v="P0273"/>
    <s v="PR009"/>
    <s v="S011"/>
    <d v="2024-06-11T00:00:00"/>
    <d v="2024-06-14T00:00:00"/>
    <m/>
    <s v=""/>
    <s v="Jun-2024"/>
    <x v="0"/>
    <n v="2121.2600000000002"/>
    <x v="2"/>
    <m/>
  </r>
  <r>
    <s v="CLM00942"/>
    <s v="P0002"/>
    <s v="PR018"/>
    <s v="S011"/>
    <d v="2023-01-31T00:00:00"/>
    <d v="2023-02-02T00:00:00"/>
    <d v="2023-02-27T00:00:00"/>
    <n v="25"/>
    <s v="Jan-2023"/>
    <x v="2"/>
    <n v="2119.56"/>
    <x v="0"/>
    <n v="25"/>
  </r>
  <r>
    <s v="CLM00775"/>
    <s v="P0068"/>
    <s v="PR011"/>
    <s v="S010"/>
    <d v="2023-08-02T00:00:00"/>
    <d v="2023-08-07T00:00:00"/>
    <d v="2023-08-30T00:00:00"/>
    <n v="23"/>
    <s v="Aug-2023"/>
    <x v="3"/>
    <n v="2119.08"/>
    <x v="0"/>
    <n v="23"/>
  </r>
  <r>
    <s v="CLM00398"/>
    <s v="P0433"/>
    <s v="PR005"/>
    <s v="S011"/>
    <d v="2024-07-11T00:00:00"/>
    <d v="2024-07-14T00:00:00"/>
    <d v="2024-08-02T00:00:00"/>
    <n v="19"/>
    <s v="Jul-2024"/>
    <x v="0"/>
    <n v="2117.71"/>
    <x v="0"/>
    <n v="19"/>
  </r>
  <r>
    <s v="CLM00759"/>
    <s v="P0104"/>
    <s v="PR006"/>
    <s v="S011"/>
    <d v="2023-10-27T00:00:00"/>
    <d v="2023-10-31T00:00:00"/>
    <d v="2023-11-11T00:00:00"/>
    <n v="11"/>
    <s v="Oct-2023"/>
    <x v="0"/>
    <n v="2104.46"/>
    <x v="1"/>
    <n v="11"/>
  </r>
  <r>
    <s v="CLM01858"/>
    <s v="P0079"/>
    <s v="PR006"/>
    <s v="S010"/>
    <d v="2024-07-11T00:00:00"/>
    <d v="2024-07-13T00:00:00"/>
    <d v="2024-08-08T00:00:00"/>
    <n v="26"/>
    <s v="Jul-2024"/>
    <x v="1"/>
    <n v="2093.56"/>
    <x v="1"/>
    <n v="26"/>
  </r>
  <r>
    <s v="CLM01872"/>
    <s v="P0217"/>
    <s v="PR018"/>
    <s v="S011"/>
    <d v="2024-08-28T00:00:00"/>
    <d v="2024-08-30T00:00:00"/>
    <d v="2024-09-02T00:00:00"/>
    <n v="3"/>
    <s v="Aug-2024"/>
    <x v="1"/>
    <n v="2086.44"/>
    <x v="0"/>
    <n v="3"/>
  </r>
  <r>
    <s v="CLM00206"/>
    <s v="P0438"/>
    <s v="PR011"/>
    <s v="S010"/>
    <d v="2023-02-26T00:00:00"/>
    <d v="2023-03-01T00:00:00"/>
    <d v="2023-03-21T00:00:00"/>
    <n v="20"/>
    <s v="Feb-2023"/>
    <x v="1"/>
    <n v="2069.9"/>
    <x v="0"/>
    <n v="20"/>
  </r>
  <r>
    <s v="CLM00336"/>
    <s v="P0433"/>
    <s v="PR040"/>
    <s v="S010"/>
    <d v="2023-05-11T00:00:00"/>
    <d v="2023-05-13T00:00:00"/>
    <d v="2023-05-18T00:00:00"/>
    <n v="5"/>
    <s v="May-2023"/>
    <x v="0"/>
    <n v="2063.48"/>
    <x v="1"/>
    <n v="5"/>
  </r>
  <r>
    <s v="CLM01536"/>
    <s v="P0201"/>
    <s v="PR027"/>
    <s v="S011"/>
    <d v="2024-08-14T00:00:00"/>
    <d v="2024-08-19T00:00:00"/>
    <d v="2024-08-22T00:00:00"/>
    <n v="3"/>
    <s v="Aug-2024"/>
    <x v="0"/>
    <n v="2057.79"/>
    <x v="0"/>
    <n v="3"/>
  </r>
  <r>
    <s v="CLM00832"/>
    <s v="P0490"/>
    <s v="PR037"/>
    <s v="S011"/>
    <d v="2023-12-03T00:00:00"/>
    <d v="2023-12-07T00:00:00"/>
    <d v="2023-12-17T00:00:00"/>
    <n v="10"/>
    <s v="Dec-2023"/>
    <x v="2"/>
    <n v="2057.58"/>
    <x v="0"/>
    <n v="10"/>
  </r>
  <r>
    <s v="CLM01676"/>
    <s v="P0428"/>
    <s v="PR011"/>
    <s v="S011"/>
    <d v="2023-01-25T00:00:00"/>
    <d v="2023-01-26T00:00:00"/>
    <d v="2023-02-20T00:00:00"/>
    <n v="25"/>
    <s v="Jan-2023"/>
    <x v="3"/>
    <n v="2056.7399999999998"/>
    <x v="0"/>
    <n v="25"/>
  </r>
  <r>
    <s v="CLM00616"/>
    <s v="P0383"/>
    <s v="PR027"/>
    <s v="S011"/>
    <d v="2024-12-13T00:00:00"/>
    <d v="2024-12-17T00:00:00"/>
    <d v="2025-01-03T00:00:00"/>
    <n v="17"/>
    <s v="Dec-2024"/>
    <x v="0"/>
    <n v="2053.19"/>
    <x v="0"/>
    <n v="17"/>
  </r>
  <r>
    <s v="CLM01417"/>
    <s v="P0147"/>
    <s v="PR027"/>
    <s v="S010"/>
    <d v="2024-11-10T00:00:00"/>
    <d v="2024-11-14T00:00:00"/>
    <d v="2024-12-08T00:00:00"/>
    <n v="24"/>
    <s v="Nov-2024"/>
    <x v="3"/>
    <n v="2044.76"/>
    <x v="0"/>
    <n v="24"/>
  </r>
  <r>
    <s v="CLM00282"/>
    <s v="P0471"/>
    <s v="PR013"/>
    <s v="S011"/>
    <d v="2023-02-09T00:00:00"/>
    <d v="2023-02-11T00:00:00"/>
    <d v="2023-02-27T00:00:00"/>
    <n v="16"/>
    <s v="Feb-2023"/>
    <x v="1"/>
    <n v="2040.32"/>
    <x v="0"/>
    <n v="16"/>
  </r>
  <r>
    <s v="CLM00525"/>
    <s v="P0333"/>
    <s v="PR029"/>
    <s v="S010"/>
    <d v="2024-04-11T00:00:00"/>
    <d v="2024-04-14T00:00:00"/>
    <d v="2024-04-18T00:00:00"/>
    <n v="4"/>
    <s v="Apr-2024"/>
    <x v="2"/>
    <n v="2039.12"/>
    <x v="0"/>
    <n v="4"/>
  </r>
  <r>
    <s v="CLM00465"/>
    <s v="P0130"/>
    <s v="PR039"/>
    <s v="S011"/>
    <d v="2024-05-08T00:00:00"/>
    <d v="2024-05-13T00:00:00"/>
    <d v="2024-06-01T00:00:00"/>
    <n v="19"/>
    <s v="May-2024"/>
    <x v="2"/>
    <n v="2036.64"/>
    <x v="0"/>
    <n v="19"/>
  </r>
  <r>
    <s v="CLM00283"/>
    <s v="P0075"/>
    <s v="PR036"/>
    <s v="S011"/>
    <d v="2024-04-30T00:00:00"/>
    <d v="2024-05-03T00:00:00"/>
    <d v="2024-05-21T00:00:00"/>
    <n v="18"/>
    <s v="Apr-2024"/>
    <x v="0"/>
    <n v="2035.88"/>
    <x v="0"/>
    <n v="18"/>
  </r>
  <r>
    <s v="CLM01053"/>
    <s v="P0391"/>
    <s v="PR005"/>
    <s v="S010"/>
    <d v="2023-04-10T00:00:00"/>
    <d v="2023-04-13T00:00:00"/>
    <d v="2023-05-03T00:00:00"/>
    <n v="20"/>
    <s v="Apr-2023"/>
    <x v="4"/>
    <n v="2033.98"/>
    <x v="0"/>
    <n v="20"/>
  </r>
  <r>
    <s v="CLM01059"/>
    <s v="P0063"/>
    <s v="PR011"/>
    <s v="S011"/>
    <d v="2023-10-01T00:00:00"/>
    <d v="2023-10-03T00:00:00"/>
    <d v="2023-10-22T00:00:00"/>
    <n v="19"/>
    <s v="Oct-2023"/>
    <x v="2"/>
    <n v="2033.63"/>
    <x v="1"/>
    <n v="19"/>
  </r>
  <r>
    <s v="CLM01111"/>
    <s v="P0246"/>
    <s v="PR038"/>
    <s v="S011"/>
    <d v="2024-11-12T00:00:00"/>
    <d v="2024-11-16T00:00:00"/>
    <d v="2024-11-22T00:00:00"/>
    <n v="6"/>
    <s v="Nov-2024"/>
    <x v="1"/>
    <n v="2030.05"/>
    <x v="0"/>
    <n v="6"/>
  </r>
  <r>
    <s v="CLM01395"/>
    <s v="P0388"/>
    <s v="PR009"/>
    <s v="S010"/>
    <d v="2023-07-08T00:00:00"/>
    <d v="2023-07-09T00:00:00"/>
    <d v="2023-07-12T00:00:00"/>
    <n v="3"/>
    <s v="Jul-2023"/>
    <x v="4"/>
    <n v="2023.36"/>
    <x v="0"/>
    <n v="3"/>
  </r>
  <r>
    <s v="CLM00332"/>
    <s v="P0013"/>
    <s v="PR030"/>
    <s v="S011"/>
    <d v="2024-04-01T00:00:00"/>
    <d v="2024-04-06T00:00:00"/>
    <d v="2024-04-17T00:00:00"/>
    <n v="11"/>
    <s v="Apr-2024"/>
    <x v="4"/>
    <n v="2015.95"/>
    <x v="0"/>
    <n v="11"/>
  </r>
  <r>
    <s v="CLM00424"/>
    <s v="P0387"/>
    <s v="PR032"/>
    <s v="S010"/>
    <d v="2024-12-18T00:00:00"/>
    <d v="2024-12-20T00:00:00"/>
    <d v="2025-01-12T00:00:00"/>
    <n v="23"/>
    <s v="Dec-2024"/>
    <x v="4"/>
    <n v="2012.69"/>
    <x v="0"/>
    <n v="23"/>
  </r>
  <r>
    <s v="CLM01595"/>
    <s v="P0018"/>
    <s v="PR026"/>
    <s v="S011"/>
    <d v="2023-05-08T00:00:00"/>
    <d v="2023-05-10T00:00:00"/>
    <d v="2023-05-24T00:00:00"/>
    <n v="14"/>
    <s v="May-2023"/>
    <x v="2"/>
    <n v="2011.19"/>
    <x v="0"/>
    <n v="14"/>
  </r>
  <r>
    <s v="CLM01944"/>
    <s v="P0278"/>
    <s v="PR029"/>
    <s v="S010"/>
    <d v="2024-01-15T00:00:00"/>
    <d v="2024-01-20T00:00:00"/>
    <d v="2024-02-15T00:00:00"/>
    <n v="26"/>
    <s v="Jan-2024"/>
    <x v="2"/>
    <n v="2001.12"/>
    <x v="0"/>
    <n v="26"/>
  </r>
  <r>
    <s v="CLM00418"/>
    <s v="P0394"/>
    <s v="PR003"/>
    <s v="S010"/>
    <d v="2024-03-01T00:00:00"/>
    <d v="2024-03-02T00:00:00"/>
    <d v="2024-03-29T00:00:00"/>
    <n v="27"/>
    <s v="Mar-2024"/>
    <x v="1"/>
    <n v="2000.03"/>
    <x v="0"/>
    <n v="27"/>
  </r>
  <r>
    <s v="CLM01327"/>
    <s v="P0400"/>
    <s v="PR028"/>
    <s v="S010"/>
    <d v="2024-09-02T00:00:00"/>
    <d v="2024-09-03T00:00:00"/>
    <d v="2024-09-17T00:00:00"/>
    <n v="14"/>
    <s v="Sep-2024"/>
    <x v="0"/>
    <n v="1989.09"/>
    <x v="0"/>
    <n v="14"/>
  </r>
  <r>
    <s v="CLM00649"/>
    <s v="P0187"/>
    <s v="PR006"/>
    <s v="S011"/>
    <d v="2024-10-19T00:00:00"/>
    <d v="2024-10-24T00:00:00"/>
    <d v="2024-11-10T00:00:00"/>
    <n v="17"/>
    <s v="Oct-2024"/>
    <x v="3"/>
    <n v="1987.08"/>
    <x v="1"/>
    <n v="17"/>
  </r>
  <r>
    <s v="CLM00154"/>
    <s v="P0120"/>
    <s v="PR016"/>
    <s v="S010"/>
    <d v="2023-07-22T00:00:00"/>
    <d v="2023-07-26T00:00:00"/>
    <m/>
    <s v=""/>
    <s v="Jul-2023"/>
    <x v="2"/>
    <n v="1984.85"/>
    <x v="2"/>
    <m/>
  </r>
  <r>
    <s v="CLM00912"/>
    <s v="P0214"/>
    <s v="PR024"/>
    <s v="S011"/>
    <d v="2024-10-17T00:00:00"/>
    <d v="2024-10-19T00:00:00"/>
    <m/>
    <s v=""/>
    <s v="Oct-2024"/>
    <x v="1"/>
    <n v="1980.19"/>
    <x v="2"/>
    <m/>
  </r>
  <r>
    <s v="CLM00495"/>
    <s v="P0106"/>
    <s v="PR032"/>
    <s v="S010"/>
    <d v="2024-02-10T00:00:00"/>
    <d v="2024-02-11T00:00:00"/>
    <d v="2024-03-06T00:00:00"/>
    <n v="24"/>
    <s v="Feb-2024"/>
    <x v="0"/>
    <n v="1958.55"/>
    <x v="0"/>
    <n v="24"/>
  </r>
  <r>
    <s v="CLM00881"/>
    <s v="P0469"/>
    <s v="PR002"/>
    <s v="S010"/>
    <d v="2023-07-20T00:00:00"/>
    <d v="2023-07-25T00:00:00"/>
    <m/>
    <s v=""/>
    <s v="Jul-2023"/>
    <x v="4"/>
    <n v="1955.35"/>
    <x v="2"/>
    <m/>
  </r>
  <r>
    <s v="CLM00461"/>
    <s v="P0383"/>
    <s v="PR034"/>
    <s v="S010"/>
    <d v="2024-10-31T00:00:00"/>
    <d v="2024-11-04T00:00:00"/>
    <d v="2024-11-27T00:00:00"/>
    <n v="23"/>
    <s v="Oct-2024"/>
    <x v="0"/>
    <n v="1946.11"/>
    <x v="0"/>
    <n v="23"/>
  </r>
  <r>
    <s v="CLM01881"/>
    <s v="P0138"/>
    <s v="PR009"/>
    <s v="S010"/>
    <d v="2024-09-25T00:00:00"/>
    <d v="2024-09-28T00:00:00"/>
    <d v="2024-10-25T00:00:00"/>
    <n v="27"/>
    <s v="Sep-2024"/>
    <x v="0"/>
    <n v="1943.33"/>
    <x v="0"/>
    <n v="27"/>
  </r>
  <r>
    <s v="CLM00450"/>
    <s v="P0036"/>
    <s v="PR021"/>
    <s v="S010"/>
    <d v="2024-09-28T00:00:00"/>
    <d v="2024-09-30T00:00:00"/>
    <d v="2024-10-26T00:00:00"/>
    <n v="26"/>
    <s v="Sep-2024"/>
    <x v="1"/>
    <n v="1935.23"/>
    <x v="0"/>
    <n v="26"/>
  </r>
  <r>
    <s v="CLM00320"/>
    <s v="P0207"/>
    <s v="PR019"/>
    <s v="S010"/>
    <d v="2024-04-21T00:00:00"/>
    <d v="2024-04-25T00:00:00"/>
    <m/>
    <s v=""/>
    <s v="Apr-2024"/>
    <x v="4"/>
    <n v="1935.12"/>
    <x v="2"/>
    <m/>
  </r>
  <r>
    <s v="CLM00897"/>
    <s v="P0378"/>
    <s v="PR039"/>
    <s v="S010"/>
    <d v="2024-08-06T00:00:00"/>
    <d v="2024-08-11T00:00:00"/>
    <d v="2024-08-21T00:00:00"/>
    <n v="10"/>
    <s v="Aug-2024"/>
    <x v="4"/>
    <n v="1934.76"/>
    <x v="0"/>
    <n v="10"/>
  </r>
  <r>
    <s v="CLM01187"/>
    <s v="P0214"/>
    <s v="PR021"/>
    <s v="S010"/>
    <d v="2023-12-26T00:00:00"/>
    <d v="2023-12-30T00:00:00"/>
    <d v="2024-01-28T00:00:00"/>
    <n v="29"/>
    <s v="Dec-2023"/>
    <x v="1"/>
    <n v="1934.39"/>
    <x v="0"/>
    <n v="29"/>
  </r>
  <r>
    <s v="CLM01106"/>
    <s v="P0352"/>
    <s v="PR027"/>
    <s v="S010"/>
    <d v="2023-04-14T00:00:00"/>
    <d v="2023-04-15T00:00:00"/>
    <d v="2023-04-29T00:00:00"/>
    <n v="14"/>
    <s v="Apr-2023"/>
    <x v="1"/>
    <n v="1931.84"/>
    <x v="0"/>
    <n v="14"/>
  </r>
  <r>
    <s v="CLM00959"/>
    <s v="P0445"/>
    <s v="PR013"/>
    <s v="S010"/>
    <d v="2023-02-22T00:00:00"/>
    <d v="2023-02-25T00:00:00"/>
    <d v="2023-03-02T00:00:00"/>
    <n v="5"/>
    <s v="Feb-2023"/>
    <x v="0"/>
    <n v="1926.43"/>
    <x v="0"/>
    <n v="5"/>
  </r>
  <r>
    <s v="CLM00750"/>
    <s v="P0227"/>
    <s v="PR001"/>
    <s v="S010"/>
    <d v="2024-07-07T00:00:00"/>
    <d v="2024-07-10T00:00:00"/>
    <d v="2024-07-29T00:00:00"/>
    <n v="19"/>
    <s v="Jul-2024"/>
    <x v="0"/>
    <n v="1915.13"/>
    <x v="0"/>
    <n v="19"/>
  </r>
  <r>
    <s v="CLM01371"/>
    <s v="P0141"/>
    <s v="PR037"/>
    <s v="S010"/>
    <d v="2024-02-09T00:00:00"/>
    <d v="2024-02-14T00:00:00"/>
    <d v="2024-03-15T00:00:00"/>
    <n v="30"/>
    <s v="Feb-2024"/>
    <x v="2"/>
    <n v="1912.04"/>
    <x v="0"/>
    <n v="30"/>
  </r>
  <r>
    <s v="CLM01191"/>
    <s v="P0193"/>
    <s v="PR031"/>
    <s v="S010"/>
    <d v="2023-02-18T00:00:00"/>
    <d v="2023-02-20T00:00:00"/>
    <d v="2023-03-03T00:00:00"/>
    <n v="11"/>
    <s v="Feb-2023"/>
    <x v="4"/>
    <n v="1906.32"/>
    <x v="1"/>
    <n v="11"/>
  </r>
  <r>
    <s v="CLM00611"/>
    <s v="P0254"/>
    <s v="PR023"/>
    <s v="S010"/>
    <d v="2024-03-25T00:00:00"/>
    <d v="2024-03-27T00:00:00"/>
    <d v="2024-04-21T00:00:00"/>
    <n v="25"/>
    <s v="Mar-2024"/>
    <x v="2"/>
    <n v="1904.53"/>
    <x v="0"/>
    <n v="25"/>
  </r>
  <r>
    <s v="CLM00831"/>
    <s v="P0118"/>
    <s v="PR023"/>
    <s v="S010"/>
    <d v="2023-04-26T00:00:00"/>
    <d v="2023-04-27T00:00:00"/>
    <d v="2023-05-08T00:00:00"/>
    <n v="11"/>
    <s v="Apr-2023"/>
    <x v="2"/>
    <n v="1904.12"/>
    <x v="0"/>
    <n v="11"/>
  </r>
  <r>
    <s v="CLM01197"/>
    <s v="P0461"/>
    <s v="PR013"/>
    <s v="S010"/>
    <d v="2024-11-30T00:00:00"/>
    <d v="2024-12-01T00:00:00"/>
    <m/>
    <s v=""/>
    <s v="Nov-2024"/>
    <x v="1"/>
    <n v="1902.55"/>
    <x v="2"/>
    <m/>
  </r>
  <r>
    <s v="CLM00680"/>
    <s v="P0424"/>
    <s v="PR025"/>
    <s v="S010"/>
    <d v="2024-07-21T00:00:00"/>
    <d v="2024-07-22T00:00:00"/>
    <d v="2024-08-10T00:00:00"/>
    <n v="19"/>
    <s v="Jul-2024"/>
    <x v="1"/>
    <n v="1898.17"/>
    <x v="0"/>
    <n v="19"/>
  </r>
  <r>
    <s v="CLM01433"/>
    <s v="P0372"/>
    <s v="PR024"/>
    <s v="S010"/>
    <d v="2024-06-25T00:00:00"/>
    <d v="2024-06-29T00:00:00"/>
    <d v="2024-07-23T00:00:00"/>
    <n v="24"/>
    <s v="Jun-2024"/>
    <x v="4"/>
    <n v="1897.28"/>
    <x v="1"/>
    <n v="24"/>
  </r>
  <r>
    <s v="CLM00483"/>
    <s v="P0112"/>
    <s v="PR038"/>
    <s v="S010"/>
    <d v="2023-12-09T00:00:00"/>
    <d v="2023-12-10T00:00:00"/>
    <d v="2024-01-07T00:00:00"/>
    <n v="28"/>
    <s v="Dec-2023"/>
    <x v="4"/>
    <n v="1881.09"/>
    <x v="0"/>
    <n v="28"/>
  </r>
  <r>
    <s v="CLM00618"/>
    <s v="P0388"/>
    <s v="PR033"/>
    <s v="S010"/>
    <d v="2024-07-04T00:00:00"/>
    <d v="2024-07-07T00:00:00"/>
    <d v="2024-07-13T00:00:00"/>
    <n v="6"/>
    <s v="Jul-2024"/>
    <x v="4"/>
    <n v="1880.48"/>
    <x v="1"/>
    <n v="6"/>
  </r>
  <r>
    <s v="CLM01438"/>
    <s v="P0472"/>
    <s v="PR013"/>
    <s v="S010"/>
    <d v="2023-07-25T00:00:00"/>
    <d v="2023-07-27T00:00:00"/>
    <d v="2023-08-21T00:00:00"/>
    <n v="25"/>
    <s v="Jul-2023"/>
    <x v="3"/>
    <n v="1880.04"/>
    <x v="1"/>
    <n v="25"/>
  </r>
  <r>
    <s v="CLM01833"/>
    <s v="P0498"/>
    <s v="PR030"/>
    <s v="S010"/>
    <d v="2023-04-07T00:00:00"/>
    <d v="2023-04-11T00:00:00"/>
    <d v="2023-04-30T00:00:00"/>
    <n v="19"/>
    <s v="Apr-2023"/>
    <x v="0"/>
    <n v="1870.25"/>
    <x v="0"/>
    <n v="19"/>
  </r>
  <r>
    <s v="CLM01725"/>
    <s v="P0475"/>
    <s v="PR032"/>
    <s v="S010"/>
    <d v="2024-01-01T00:00:00"/>
    <d v="2024-01-02T00:00:00"/>
    <d v="2024-01-18T00:00:00"/>
    <n v="16"/>
    <s v="Jan-2024"/>
    <x v="2"/>
    <n v="1865.24"/>
    <x v="0"/>
    <n v="16"/>
  </r>
  <r>
    <s v="CLM01812"/>
    <s v="P0089"/>
    <s v="PR038"/>
    <s v="S010"/>
    <d v="2023-07-15T00:00:00"/>
    <d v="2023-07-20T00:00:00"/>
    <d v="2023-08-06T00:00:00"/>
    <n v="17"/>
    <s v="Jul-2023"/>
    <x v="1"/>
    <n v="1860.63"/>
    <x v="0"/>
    <n v="17"/>
  </r>
  <r>
    <s v="CLM01196"/>
    <s v="P0267"/>
    <s v="PR033"/>
    <s v="S010"/>
    <d v="2024-03-13T00:00:00"/>
    <d v="2024-03-15T00:00:00"/>
    <d v="2024-03-22T00:00:00"/>
    <n v="7"/>
    <s v="Mar-2024"/>
    <x v="3"/>
    <n v="1859.37"/>
    <x v="0"/>
    <n v="7"/>
  </r>
  <r>
    <s v="CLM01950"/>
    <s v="P0292"/>
    <s v="PR039"/>
    <s v="S010"/>
    <d v="2023-04-03T00:00:00"/>
    <d v="2023-04-06T00:00:00"/>
    <d v="2023-04-11T00:00:00"/>
    <n v="5"/>
    <s v="Apr-2023"/>
    <x v="3"/>
    <n v="1852.19"/>
    <x v="1"/>
    <n v="5"/>
  </r>
  <r>
    <s v="CLM01819"/>
    <s v="P0260"/>
    <s v="PR008"/>
    <s v="S010"/>
    <d v="2023-10-04T00:00:00"/>
    <d v="2023-10-08T00:00:00"/>
    <d v="2023-10-27T00:00:00"/>
    <n v="19"/>
    <s v="Oct-2023"/>
    <x v="1"/>
    <n v="1849.26"/>
    <x v="0"/>
    <n v="19"/>
  </r>
  <r>
    <s v="CLM00727"/>
    <s v="P0171"/>
    <s v="PR026"/>
    <s v="S010"/>
    <d v="2023-05-04T00:00:00"/>
    <d v="2023-05-05T00:00:00"/>
    <d v="2023-05-30T00:00:00"/>
    <n v="25"/>
    <s v="May-2023"/>
    <x v="2"/>
    <n v="1849.01"/>
    <x v="1"/>
    <n v="25"/>
  </r>
  <r>
    <s v="CLM01566"/>
    <s v="P0394"/>
    <s v="PR031"/>
    <s v="S010"/>
    <d v="2023-05-20T00:00:00"/>
    <d v="2023-05-22T00:00:00"/>
    <d v="2023-05-27T00:00:00"/>
    <n v="5"/>
    <s v="May-2023"/>
    <x v="1"/>
    <n v="1833.55"/>
    <x v="0"/>
    <n v="5"/>
  </r>
  <r>
    <s v="CLM00720"/>
    <s v="P0107"/>
    <s v="PR015"/>
    <s v="S010"/>
    <d v="2023-09-02T00:00:00"/>
    <d v="2023-09-03T00:00:00"/>
    <d v="2023-09-20T00:00:00"/>
    <n v="17"/>
    <s v="Sep-2023"/>
    <x v="4"/>
    <n v="1832.44"/>
    <x v="0"/>
    <n v="17"/>
  </r>
  <r>
    <s v="CLM01462"/>
    <s v="P0459"/>
    <s v="PR034"/>
    <s v="S010"/>
    <d v="2024-12-26T00:00:00"/>
    <d v="2024-12-28T00:00:00"/>
    <m/>
    <s v=""/>
    <s v="Dec-2024"/>
    <x v="1"/>
    <n v="1825.07"/>
    <x v="2"/>
    <m/>
  </r>
  <r>
    <s v="CLM01670"/>
    <s v="P0219"/>
    <s v="PR001"/>
    <s v="S010"/>
    <d v="2023-11-11T00:00:00"/>
    <d v="2023-11-15T00:00:00"/>
    <d v="2023-11-24T00:00:00"/>
    <n v="9"/>
    <s v="Nov-2023"/>
    <x v="3"/>
    <n v="1821.38"/>
    <x v="0"/>
    <n v="9"/>
  </r>
  <r>
    <s v="CLM01840"/>
    <s v="P0054"/>
    <s v="PR013"/>
    <s v="S010"/>
    <d v="2024-10-23T00:00:00"/>
    <d v="2024-10-25T00:00:00"/>
    <m/>
    <s v=""/>
    <s v="Oct-2024"/>
    <x v="2"/>
    <n v="1818.46"/>
    <x v="2"/>
    <m/>
  </r>
  <r>
    <s v="CLM00867"/>
    <s v="P0368"/>
    <s v="PR004"/>
    <s v="S010"/>
    <d v="2023-11-23T00:00:00"/>
    <d v="2023-11-28T00:00:00"/>
    <d v="2023-12-27T00:00:00"/>
    <n v="29"/>
    <s v="Nov-2023"/>
    <x v="0"/>
    <n v="1817.68"/>
    <x v="0"/>
    <n v="29"/>
  </r>
  <r>
    <s v="CLM00474"/>
    <s v="P0192"/>
    <s v="PR005"/>
    <s v="S010"/>
    <d v="2024-03-20T00:00:00"/>
    <d v="2024-03-25T00:00:00"/>
    <d v="2024-04-06T00:00:00"/>
    <n v="12"/>
    <s v="Mar-2024"/>
    <x v="0"/>
    <n v="1816.37"/>
    <x v="0"/>
    <n v="12"/>
  </r>
  <r>
    <s v="CLM01793"/>
    <s v="P0359"/>
    <s v="PR029"/>
    <s v="S010"/>
    <d v="2023-07-26T00:00:00"/>
    <d v="2023-07-31T00:00:00"/>
    <d v="2023-08-13T00:00:00"/>
    <n v="13"/>
    <s v="Jul-2023"/>
    <x v="1"/>
    <n v="1809.73"/>
    <x v="0"/>
    <n v="13"/>
  </r>
  <r>
    <s v="CLM01227"/>
    <s v="P0248"/>
    <s v="PR040"/>
    <s v="S010"/>
    <d v="2023-08-11T00:00:00"/>
    <d v="2023-08-16T00:00:00"/>
    <d v="2023-09-10T00:00:00"/>
    <n v="25"/>
    <s v="Aug-2023"/>
    <x v="4"/>
    <n v="1790.14"/>
    <x v="0"/>
    <n v="25"/>
  </r>
  <r>
    <s v="CLM00132"/>
    <s v="P0375"/>
    <s v="PR001"/>
    <s v="S010"/>
    <d v="2024-09-23T00:00:00"/>
    <d v="2024-09-26T00:00:00"/>
    <d v="2024-10-26T00:00:00"/>
    <n v="30"/>
    <s v="Sep-2024"/>
    <x v="2"/>
    <n v="1788.7"/>
    <x v="1"/>
    <n v="30"/>
  </r>
  <r>
    <s v="CLM01491"/>
    <s v="P0450"/>
    <s v="PR031"/>
    <s v="S010"/>
    <d v="2024-04-21T00:00:00"/>
    <d v="2024-04-22T00:00:00"/>
    <d v="2024-05-06T00:00:00"/>
    <n v="14"/>
    <s v="Apr-2024"/>
    <x v="1"/>
    <n v="1785.46"/>
    <x v="0"/>
    <n v="14"/>
  </r>
  <r>
    <s v="CLM01275"/>
    <s v="P0441"/>
    <s v="PR019"/>
    <s v="S010"/>
    <d v="2023-12-28T00:00:00"/>
    <d v="2023-12-30T00:00:00"/>
    <d v="2024-01-15T00:00:00"/>
    <n v="16"/>
    <s v="Dec-2023"/>
    <x v="2"/>
    <n v="1765.9"/>
    <x v="0"/>
    <n v="16"/>
  </r>
  <r>
    <s v="CLM01090"/>
    <s v="P0398"/>
    <s v="PR035"/>
    <s v="S010"/>
    <d v="2024-01-22T00:00:00"/>
    <d v="2024-01-24T00:00:00"/>
    <d v="2024-02-01T00:00:00"/>
    <n v="8"/>
    <s v="Jan-2024"/>
    <x v="4"/>
    <n v="1755.36"/>
    <x v="1"/>
    <n v="8"/>
  </r>
  <r>
    <s v="CLM01192"/>
    <s v="P0468"/>
    <s v="PR040"/>
    <s v="S010"/>
    <d v="2024-11-17T00:00:00"/>
    <d v="2024-11-20T00:00:00"/>
    <d v="2024-12-05T00:00:00"/>
    <n v="15"/>
    <s v="Nov-2024"/>
    <x v="4"/>
    <n v="1751.85"/>
    <x v="0"/>
    <n v="15"/>
  </r>
  <r>
    <s v="CLM01815"/>
    <s v="P0054"/>
    <s v="PR014"/>
    <s v="S020"/>
    <d v="2023-10-10T00:00:00"/>
    <d v="2023-10-11T00:00:00"/>
    <m/>
    <s v=""/>
    <s v="Oct-2023"/>
    <x v="2"/>
    <n v="1748.53"/>
    <x v="2"/>
    <m/>
  </r>
  <r>
    <s v="CLM00207"/>
    <s v="P0459"/>
    <s v="PR014"/>
    <s v="S010"/>
    <d v="2023-03-07T00:00:00"/>
    <d v="2023-03-09T00:00:00"/>
    <d v="2023-04-07T00:00:00"/>
    <n v="29"/>
    <s v="Mar-2023"/>
    <x v="1"/>
    <n v="1743.63"/>
    <x v="1"/>
    <n v="29"/>
  </r>
  <r>
    <s v="CLM00589"/>
    <s v="P0185"/>
    <s v="PR014"/>
    <s v="S020"/>
    <d v="2024-10-31T00:00:00"/>
    <d v="2024-11-05T00:00:00"/>
    <d v="2024-11-13T00:00:00"/>
    <n v="8"/>
    <s v="Oct-2024"/>
    <x v="4"/>
    <n v="1743.31"/>
    <x v="0"/>
    <n v="8"/>
  </r>
  <r>
    <s v="CLM00082"/>
    <s v="P0094"/>
    <s v="PR025"/>
    <s v="S020"/>
    <d v="2023-05-17T00:00:00"/>
    <d v="2023-05-19T00:00:00"/>
    <d v="2023-06-16T00:00:00"/>
    <n v="28"/>
    <s v="May-2023"/>
    <x v="3"/>
    <n v="1739.35"/>
    <x v="1"/>
    <n v="28"/>
  </r>
  <r>
    <s v="CLM01517"/>
    <s v="P0237"/>
    <s v="PR005"/>
    <s v="S010"/>
    <d v="2024-05-02T00:00:00"/>
    <d v="2024-05-04T00:00:00"/>
    <d v="2024-05-19T00:00:00"/>
    <n v="15"/>
    <s v="May-2024"/>
    <x v="4"/>
    <n v="1730.94"/>
    <x v="0"/>
    <n v="15"/>
  </r>
  <r>
    <s v="CLM01835"/>
    <s v="P0235"/>
    <s v="PR026"/>
    <s v="S020"/>
    <d v="2023-05-17T00:00:00"/>
    <d v="2023-05-20T00:00:00"/>
    <d v="2023-06-09T00:00:00"/>
    <n v="20"/>
    <s v="May-2023"/>
    <x v="0"/>
    <n v="1727.03"/>
    <x v="0"/>
    <n v="20"/>
  </r>
  <r>
    <s v="CLM00035"/>
    <s v="P0500"/>
    <s v="PR010"/>
    <s v="S010"/>
    <d v="2023-12-02T00:00:00"/>
    <d v="2023-12-05T00:00:00"/>
    <d v="2023-12-28T00:00:00"/>
    <n v="23"/>
    <s v="Dec-2023"/>
    <x v="4"/>
    <n v="1722.63"/>
    <x v="0"/>
    <n v="23"/>
  </r>
  <r>
    <s v="CLM01621"/>
    <s v="P0199"/>
    <s v="PR022"/>
    <s v="S020"/>
    <d v="2024-11-19T00:00:00"/>
    <d v="2024-11-20T00:00:00"/>
    <d v="2024-11-29T00:00:00"/>
    <n v="9"/>
    <s v="Nov-2024"/>
    <x v="2"/>
    <n v="1722.35"/>
    <x v="0"/>
    <n v="9"/>
  </r>
  <r>
    <s v="CLM01991"/>
    <s v="P0247"/>
    <s v="PR013"/>
    <s v="S020"/>
    <d v="2023-11-19T00:00:00"/>
    <d v="2023-11-21T00:00:00"/>
    <d v="2023-12-09T00:00:00"/>
    <n v="18"/>
    <s v="Nov-2023"/>
    <x v="1"/>
    <n v="1717.09"/>
    <x v="1"/>
    <n v="18"/>
  </r>
  <r>
    <s v="CLM00790"/>
    <s v="P0188"/>
    <s v="PR040"/>
    <s v="S020"/>
    <d v="2024-07-12T00:00:00"/>
    <d v="2024-07-14T00:00:00"/>
    <d v="2024-08-03T00:00:00"/>
    <n v="20"/>
    <s v="Jul-2024"/>
    <x v="4"/>
    <n v="1712.06"/>
    <x v="0"/>
    <n v="20"/>
  </r>
  <r>
    <s v="CLM01323"/>
    <s v="P0076"/>
    <s v="PR035"/>
    <s v="S010"/>
    <d v="2024-02-08T00:00:00"/>
    <d v="2024-02-12T00:00:00"/>
    <d v="2024-03-12T00:00:00"/>
    <n v="29"/>
    <s v="Feb-2024"/>
    <x v="3"/>
    <n v="1705.84"/>
    <x v="0"/>
    <n v="29"/>
  </r>
  <r>
    <s v="CLM01380"/>
    <s v="P0367"/>
    <s v="PR029"/>
    <s v="S020"/>
    <d v="2024-01-03T00:00:00"/>
    <d v="2024-01-04T00:00:00"/>
    <d v="2024-01-24T00:00:00"/>
    <n v="20"/>
    <s v="Jan-2024"/>
    <x v="4"/>
    <n v="1704.55"/>
    <x v="0"/>
    <n v="20"/>
  </r>
  <r>
    <s v="CLM01201"/>
    <s v="P0393"/>
    <s v="PR036"/>
    <s v="S010"/>
    <d v="2024-05-03T00:00:00"/>
    <d v="2024-05-08T00:00:00"/>
    <d v="2024-05-18T00:00:00"/>
    <n v="10"/>
    <s v="May-2024"/>
    <x v="4"/>
    <n v="1704.11"/>
    <x v="1"/>
    <n v="10"/>
  </r>
  <r>
    <s v="CLM00760"/>
    <s v="P0339"/>
    <s v="PR016"/>
    <s v="S020"/>
    <d v="2023-05-19T00:00:00"/>
    <d v="2023-05-23T00:00:00"/>
    <d v="2023-06-22T00:00:00"/>
    <n v="30"/>
    <s v="May-2023"/>
    <x v="2"/>
    <n v="1703.87"/>
    <x v="0"/>
    <n v="30"/>
  </r>
  <r>
    <s v="CLM00009"/>
    <s v="P0235"/>
    <s v="PR011"/>
    <s v="S010"/>
    <d v="2023-07-30T00:00:00"/>
    <d v="2023-08-04T00:00:00"/>
    <d v="2023-08-18T00:00:00"/>
    <n v="14"/>
    <s v="Jul-2023"/>
    <x v="0"/>
    <n v="1702.89"/>
    <x v="0"/>
    <n v="14"/>
  </r>
  <r>
    <s v="CLM01348"/>
    <s v="P0165"/>
    <s v="PR031"/>
    <s v="S020"/>
    <d v="2023-02-10T00:00:00"/>
    <d v="2023-02-14T00:00:00"/>
    <d v="2023-03-07T00:00:00"/>
    <n v="21"/>
    <s v="Feb-2023"/>
    <x v="1"/>
    <n v="1699.74"/>
    <x v="1"/>
    <n v="21"/>
  </r>
  <r>
    <s v="CLM00876"/>
    <s v="P0473"/>
    <s v="PR006"/>
    <s v="S020"/>
    <d v="2024-07-02T00:00:00"/>
    <d v="2024-07-05T00:00:00"/>
    <d v="2024-07-20T00:00:00"/>
    <n v="15"/>
    <s v="Jul-2024"/>
    <x v="2"/>
    <n v="1693.28"/>
    <x v="0"/>
    <n v="15"/>
  </r>
  <r>
    <s v="CLM00277"/>
    <s v="P0155"/>
    <s v="PR009"/>
    <s v="S010"/>
    <d v="2024-01-21T00:00:00"/>
    <d v="2024-01-25T00:00:00"/>
    <d v="2024-02-11T00:00:00"/>
    <n v="17"/>
    <s v="Jan-2024"/>
    <x v="4"/>
    <n v="1688.89"/>
    <x v="0"/>
    <n v="17"/>
  </r>
  <r>
    <s v="CLM00599"/>
    <s v="P0177"/>
    <s v="PR012"/>
    <s v="S010"/>
    <d v="2024-08-16T00:00:00"/>
    <d v="2024-08-19T00:00:00"/>
    <d v="2024-08-22T00:00:00"/>
    <n v="3"/>
    <s v="Aug-2024"/>
    <x v="1"/>
    <n v="1685.14"/>
    <x v="0"/>
    <n v="3"/>
  </r>
  <r>
    <s v="CLM00822"/>
    <s v="P0472"/>
    <s v="PR020"/>
    <s v="S010"/>
    <d v="2024-12-31T00:00:00"/>
    <d v="2025-01-02T00:00:00"/>
    <d v="2025-01-16T00:00:00"/>
    <n v="14"/>
    <s v="Dec-2024"/>
    <x v="3"/>
    <n v="1682.35"/>
    <x v="0"/>
    <n v="14"/>
  </r>
  <r>
    <s v="CLM01404"/>
    <s v="P0278"/>
    <s v="PR035"/>
    <s v="S010"/>
    <d v="2023-09-05T00:00:00"/>
    <d v="2023-09-07T00:00:00"/>
    <m/>
    <s v=""/>
    <s v="Sep-2023"/>
    <x v="2"/>
    <n v="1681.56"/>
    <x v="2"/>
    <m/>
  </r>
  <r>
    <s v="CLM00824"/>
    <s v="P0142"/>
    <s v="PR037"/>
    <s v="S020"/>
    <d v="2024-08-26T00:00:00"/>
    <d v="2024-08-30T00:00:00"/>
    <d v="2024-09-16T00:00:00"/>
    <n v="17"/>
    <s v="Aug-2024"/>
    <x v="2"/>
    <n v="1679"/>
    <x v="0"/>
    <n v="17"/>
  </r>
  <r>
    <s v="CLM00548"/>
    <s v="P0397"/>
    <s v="PR029"/>
    <s v="S010"/>
    <d v="2023-11-14T00:00:00"/>
    <d v="2023-11-19T00:00:00"/>
    <d v="2023-12-15T00:00:00"/>
    <n v="26"/>
    <s v="Nov-2023"/>
    <x v="4"/>
    <n v="1675.26"/>
    <x v="0"/>
    <n v="26"/>
  </r>
  <r>
    <s v="CLM01427"/>
    <s v="P0339"/>
    <s v="PR028"/>
    <s v="S020"/>
    <d v="2023-02-07T00:00:00"/>
    <d v="2023-02-10T00:00:00"/>
    <d v="2023-03-08T00:00:00"/>
    <n v="26"/>
    <s v="Feb-2023"/>
    <x v="2"/>
    <n v="1665.31"/>
    <x v="0"/>
    <n v="26"/>
  </r>
  <r>
    <s v="CLM01495"/>
    <s v="P0316"/>
    <s v="PR023"/>
    <s v="S010"/>
    <d v="2023-09-19T00:00:00"/>
    <d v="2023-09-20T00:00:00"/>
    <d v="2023-09-23T00:00:00"/>
    <n v="3"/>
    <s v="Sep-2023"/>
    <x v="1"/>
    <n v="1662.71"/>
    <x v="0"/>
    <n v="3"/>
  </r>
  <r>
    <s v="CLM00302"/>
    <s v="P0104"/>
    <s v="PR025"/>
    <s v="S020"/>
    <d v="2023-09-26T00:00:00"/>
    <d v="2023-09-27T00:00:00"/>
    <d v="2023-10-24T00:00:00"/>
    <n v="27"/>
    <s v="Sep-2023"/>
    <x v="0"/>
    <n v="1662.08"/>
    <x v="0"/>
    <n v="27"/>
  </r>
  <r>
    <s v="CLM01366"/>
    <s v="P0030"/>
    <s v="PR038"/>
    <s v="S010"/>
    <d v="2023-10-30T00:00:00"/>
    <d v="2023-11-04T00:00:00"/>
    <m/>
    <s v=""/>
    <s v="Oct-2023"/>
    <x v="2"/>
    <n v="1658.77"/>
    <x v="2"/>
    <m/>
  </r>
  <r>
    <s v="CLM00816"/>
    <s v="P0137"/>
    <s v="PR030"/>
    <s v="S020"/>
    <d v="2024-02-03T00:00:00"/>
    <d v="2024-02-04T00:00:00"/>
    <m/>
    <s v=""/>
    <s v="Feb-2024"/>
    <x v="0"/>
    <n v="1654.99"/>
    <x v="2"/>
    <m/>
  </r>
  <r>
    <s v="CLM00679"/>
    <s v="P0337"/>
    <s v="PR010"/>
    <s v="S020"/>
    <d v="2024-02-25T00:00:00"/>
    <d v="2024-02-26T00:00:00"/>
    <m/>
    <s v=""/>
    <s v="Feb-2024"/>
    <x v="1"/>
    <n v="1652.8"/>
    <x v="2"/>
    <m/>
  </r>
  <r>
    <s v="CLM01622"/>
    <s v="P0046"/>
    <s v="PR007"/>
    <s v="S010"/>
    <d v="2023-07-23T00:00:00"/>
    <d v="2023-07-27T00:00:00"/>
    <d v="2023-08-15T00:00:00"/>
    <n v="19"/>
    <s v="Jul-2023"/>
    <x v="4"/>
    <n v="1646.38"/>
    <x v="1"/>
    <n v="19"/>
  </r>
  <r>
    <s v="CLM01839"/>
    <s v="P0409"/>
    <s v="PR025"/>
    <s v="S010"/>
    <d v="2023-02-08T00:00:00"/>
    <d v="2023-02-09T00:00:00"/>
    <m/>
    <s v=""/>
    <s v="Feb-2023"/>
    <x v="3"/>
    <n v="1645.69"/>
    <x v="2"/>
    <m/>
  </r>
  <r>
    <s v="CLM00772"/>
    <s v="P0293"/>
    <s v="PR003"/>
    <s v="S020"/>
    <d v="2023-09-30T00:00:00"/>
    <d v="2023-10-02T00:00:00"/>
    <d v="2023-10-27T00:00:00"/>
    <n v="25"/>
    <s v="Sep-2023"/>
    <x v="0"/>
    <n v="1643.18"/>
    <x v="0"/>
    <n v="25"/>
  </r>
  <r>
    <s v="CLM01689"/>
    <s v="P0099"/>
    <s v="PR040"/>
    <s v="S020"/>
    <d v="2023-02-15T00:00:00"/>
    <d v="2023-02-16T00:00:00"/>
    <m/>
    <s v=""/>
    <s v="Feb-2023"/>
    <x v="1"/>
    <n v="1642.46"/>
    <x v="2"/>
    <m/>
  </r>
  <r>
    <s v="CLM01256"/>
    <s v="P0448"/>
    <s v="PR017"/>
    <s v="S010"/>
    <d v="2023-12-23T00:00:00"/>
    <d v="2023-12-24T00:00:00"/>
    <d v="2024-01-23T00:00:00"/>
    <n v="30"/>
    <s v="Dec-2023"/>
    <x v="2"/>
    <n v="1629.62"/>
    <x v="0"/>
    <n v="30"/>
  </r>
  <r>
    <s v="CLM01052"/>
    <s v="P0013"/>
    <s v="PR035"/>
    <s v="S010"/>
    <d v="2024-04-03T00:00:00"/>
    <d v="2024-04-06T00:00:00"/>
    <d v="2024-04-17T00:00:00"/>
    <n v="11"/>
    <s v="Apr-2024"/>
    <x v="4"/>
    <n v="1628.79"/>
    <x v="0"/>
    <n v="11"/>
  </r>
  <r>
    <s v="CLM01918"/>
    <s v="P0283"/>
    <s v="PR015"/>
    <s v="S020"/>
    <d v="2024-03-08T00:00:00"/>
    <d v="2024-03-13T00:00:00"/>
    <d v="2024-03-17T00:00:00"/>
    <n v="4"/>
    <s v="Mar-2024"/>
    <x v="3"/>
    <n v="1625.6"/>
    <x v="0"/>
    <n v="4"/>
  </r>
  <r>
    <s v="CLM00859"/>
    <s v="P0434"/>
    <s v="PR001"/>
    <s v="S020"/>
    <d v="2023-02-26T00:00:00"/>
    <d v="2023-02-28T00:00:00"/>
    <d v="2023-03-25T00:00:00"/>
    <n v="25"/>
    <s v="Feb-2023"/>
    <x v="1"/>
    <n v="1619.03"/>
    <x v="0"/>
    <n v="25"/>
  </r>
  <r>
    <s v="CLM01632"/>
    <s v="P0261"/>
    <s v="PR033"/>
    <s v="S020"/>
    <d v="2023-01-22T00:00:00"/>
    <d v="2023-01-27T00:00:00"/>
    <d v="2023-02-08T00:00:00"/>
    <n v="12"/>
    <s v="Jan-2023"/>
    <x v="0"/>
    <n v="1618.9"/>
    <x v="1"/>
    <n v="12"/>
  </r>
  <r>
    <s v="CLM01915"/>
    <s v="P0244"/>
    <s v="PR026"/>
    <s v="S020"/>
    <d v="2023-08-27T00:00:00"/>
    <d v="2023-08-30T00:00:00"/>
    <d v="2023-09-09T00:00:00"/>
    <n v="10"/>
    <s v="Aug-2023"/>
    <x v="3"/>
    <n v="1607.8"/>
    <x v="0"/>
    <n v="10"/>
  </r>
  <r>
    <s v="CLM00125"/>
    <s v="P0487"/>
    <s v="PR011"/>
    <s v="S020"/>
    <d v="2024-09-09T00:00:00"/>
    <d v="2024-09-14T00:00:00"/>
    <d v="2024-10-13T00:00:00"/>
    <n v="29"/>
    <s v="Sep-2024"/>
    <x v="1"/>
    <n v="1580.58"/>
    <x v="0"/>
    <n v="29"/>
  </r>
  <r>
    <s v="CLM01118"/>
    <s v="P0487"/>
    <s v="PR023"/>
    <s v="S020"/>
    <d v="2024-05-15T00:00:00"/>
    <d v="2024-05-19T00:00:00"/>
    <d v="2024-05-23T00:00:00"/>
    <n v="4"/>
    <s v="May-2024"/>
    <x v="1"/>
    <n v="1563.53"/>
    <x v="0"/>
    <n v="4"/>
  </r>
  <r>
    <s v="CLM01537"/>
    <s v="P0010"/>
    <s v="PR033"/>
    <s v="S020"/>
    <d v="2024-07-08T00:00:00"/>
    <d v="2024-07-10T00:00:00"/>
    <d v="2024-08-01T00:00:00"/>
    <n v="22"/>
    <s v="Jul-2024"/>
    <x v="3"/>
    <n v="1558.76"/>
    <x v="0"/>
    <n v="22"/>
  </r>
  <r>
    <s v="CLM01903"/>
    <s v="P0071"/>
    <s v="PR019"/>
    <s v="S020"/>
    <d v="2023-06-24T00:00:00"/>
    <d v="2023-06-29T00:00:00"/>
    <d v="2023-07-23T00:00:00"/>
    <n v="24"/>
    <s v="Jun-2023"/>
    <x v="4"/>
    <n v="1555.38"/>
    <x v="1"/>
    <n v="24"/>
  </r>
  <r>
    <s v="CLM00275"/>
    <s v="P0189"/>
    <s v="PR008"/>
    <s v="S020"/>
    <d v="2024-03-29T00:00:00"/>
    <d v="2024-03-30T00:00:00"/>
    <d v="2024-04-15T00:00:00"/>
    <n v="16"/>
    <s v="Mar-2024"/>
    <x v="2"/>
    <n v="1553.65"/>
    <x v="0"/>
    <n v="16"/>
  </r>
  <r>
    <s v="CLM00462"/>
    <s v="P0376"/>
    <s v="PR030"/>
    <s v="S020"/>
    <d v="2023-09-25T00:00:00"/>
    <d v="2023-09-28T00:00:00"/>
    <d v="2023-10-17T00:00:00"/>
    <n v="19"/>
    <s v="Sep-2023"/>
    <x v="0"/>
    <n v="1543.16"/>
    <x v="0"/>
    <n v="19"/>
  </r>
  <r>
    <s v="CLM00116"/>
    <s v="P0405"/>
    <s v="PR005"/>
    <s v="S020"/>
    <d v="2023-12-30T00:00:00"/>
    <d v="2023-12-31T00:00:00"/>
    <m/>
    <s v=""/>
    <s v="Dec-2023"/>
    <x v="4"/>
    <n v="1541.01"/>
    <x v="2"/>
    <m/>
  </r>
  <r>
    <s v="CLM01207"/>
    <s v="P0018"/>
    <s v="PR027"/>
    <s v="S020"/>
    <d v="2024-04-03T00:00:00"/>
    <d v="2024-04-04T00:00:00"/>
    <d v="2024-04-24T00:00:00"/>
    <n v="20"/>
    <s v="Apr-2024"/>
    <x v="2"/>
    <n v="1540.2"/>
    <x v="0"/>
    <n v="20"/>
  </r>
  <r>
    <s v="CLM00606"/>
    <s v="P0308"/>
    <s v="PR019"/>
    <s v="S020"/>
    <d v="2024-01-13T00:00:00"/>
    <d v="2024-01-18T00:00:00"/>
    <d v="2024-02-09T00:00:00"/>
    <n v="22"/>
    <s v="Jan-2024"/>
    <x v="4"/>
    <n v="1537.73"/>
    <x v="0"/>
    <n v="22"/>
  </r>
  <r>
    <s v="CLM01190"/>
    <s v="P0022"/>
    <s v="PR005"/>
    <s v="S020"/>
    <d v="2024-05-05T00:00:00"/>
    <d v="2024-05-06T00:00:00"/>
    <d v="2024-05-30T00:00:00"/>
    <n v="24"/>
    <s v="May-2024"/>
    <x v="4"/>
    <n v="1523.81"/>
    <x v="0"/>
    <n v="24"/>
  </r>
  <r>
    <s v="CLM00180"/>
    <s v="P0027"/>
    <s v="PR018"/>
    <s v="S020"/>
    <d v="2024-12-08T00:00:00"/>
    <d v="2024-12-09T00:00:00"/>
    <d v="2024-12-26T00:00:00"/>
    <n v="17"/>
    <s v="Dec-2024"/>
    <x v="1"/>
    <n v="1522.92"/>
    <x v="0"/>
    <n v="17"/>
  </r>
  <r>
    <s v="CLM01703"/>
    <s v="P0326"/>
    <s v="PR013"/>
    <s v="S020"/>
    <d v="2024-01-02T00:00:00"/>
    <d v="2024-01-04T00:00:00"/>
    <d v="2024-01-26T00:00:00"/>
    <n v="22"/>
    <s v="Jan-2024"/>
    <x v="3"/>
    <n v="1511.9"/>
    <x v="0"/>
    <n v="22"/>
  </r>
  <r>
    <s v="CLM01096"/>
    <s v="P0296"/>
    <s v="PR028"/>
    <s v="S020"/>
    <d v="2024-06-24T00:00:00"/>
    <d v="2024-06-25T00:00:00"/>
    <d v="2024-07-16T00:00:00"/>
    <n v="21"/>
    <s v="Jun-2024"/>
    <x v="2"/>
    <n v="1509.18"/>
    <x v="0"/>
    <n v="21"/>
  </r>
  <r>
    <s v="CLM01584"/>
    <s v="P0127"/>
    <s v="PR001"/>
    <s v="S020"/>
    <d v="2024-03-27T00:00:00"/>
    <d v="2024-03-29T00:00:00"/>
    <d v="2024-04-06T00:00:00"/>
    <n v="8"/>
    <s v="Mar-2024"/>
    <x v="0"/>
    <n v="1508.32"/>
    <x v="0"/>
    <n v="8"/>
  </r>
  <r>
    <s v="CLM00417"/>
    <s v="P0216"/>
    <s v="PR015"/>
    <s v="S020"/>
    <d v="2024-09-13T00:00:00"/>
    <d v="2024-09-15T00:00:00"/>
    <d v="2024-10-02T00:00:00"/>
    <n v="17"/>
    <s v="Sep-2024"/>
    <x v="4"/>
    <n v="1499.42"/>
    <x v="0"/>
    <n v="17"/>
  </r>
  <r>
    <s v="CLM00084"/>
    <s v="P0204"/>
    <s v="PR026"/>
    <s v="S020"/>
    <d v="2024-02-04T00:00:00"/>
    <d v="2024-02-08T00:00:00"/>
    <m/>
    <s v=""/>
    <s v="Feb-2024"/>
    <x v="2"/>
    <n v="1498.86"/>
    <x v="2"/>
    <m/>
  </r>
  <r>
    <s v="CLM01282"/>
    <s v="P0076"/>
    <s v="PR035"/>
    <s v="S003"/>
    <d v="2023-02-08T00:00:00"/>
    <d v="2023-02-09T00:00:00"/>
    <d v="2023-02-14T00:00:00"/>
    <n v="5"/>
    <s v="Feb-2023"/>
    <x v="3"/>
    <n v="1490.76"/>
    <x v="0"/>
    <n v="5"/>
  </r>
  <r>
    <s v="CLM01727"/>
    <s v="P0171"/>
    <s v="PR013"/>
    <s v="S020"/>
    <d v="2023-10-26T00:00:00"/>
    <d v="2023-10-28T00:00:00"/>
    <d v="2023-11-19T00:00:00"/>
    <n v="22"/>
    <s v="Oct-2023"/>
    <x v="2"/>
    <n v="1486.56"/>
    <x v="0"/>
    <n v="22"/>
  </r>
  <r>
    <s v="CLM00058"/>
    <s v="P0064"/>
    <s v="PR021"/>
    <s v="S003"/>
    <d v="2024-11-15T00:00:00"/>
    <d v="2024-11-19T00:00:00"/>
    <d v="2024-12-15T00:00:00"/>
    <n v="26"/>
    <s v="Nov-2024"/>
    <x v="4"/>
    <n v="1484.84"/>
    <x v="0"/>
    <n v="26"/>
  </r>
  <r>
    <s v="CLM00238"/>
    <s v="P0383"/>
    <s v="PR018"/>
    <s v="S020"/>
    <d v="2024-01-16T00:00:00"/>
    <d v="2024-01-18T00:00:00"/>
    <d v="2024-01-28T00:00:00"/>
    <n v="10"/>
    <s v="Jan-2024"/>
    <x v="0"/>
    <n v="1474.2"/>
    <x v="0"/>
    <n v="10"/>
  </r>
  <r>
    <s v="CLM00467"/>
    <s v="P0375"/>
    <s v="PR005"/>
    <s v="S003"/>
    <d v="2024-04-13T00:00:00"/>
    <d v="2024-04-18T00:00:00"/>
    <d v="2024-05-16T00:00:00"/>
    <n v="28"/>
    <s v="Apr-2024"/>
    <x v="2"/>
    <n v="1473.77"/>
    <x v="0"/>
    <n v="28"/>
  </r>
  <r>
    <s v="CLM01428"/>
    <s v="P0095"/>
    <s v="PR026"/>
    <s v="S020"/>
    <d v="2024-05-25T00:00:00"/>
    <d v="2024-05-30T00:00:00"/>
    <d v="2024-06-11T00:00:00"/>
    <n v="12"/>
    <s v="May-2024"/>
    <x v="4"/>
    <n v="1468.25"/>
    <x v="1"/>
    <n v="12"/>
  </r>
  <r>
    <s v="CLM00574"/>
    <s v="P0222"/>
    <s v="PR016"/>
    <s v="S003"/>
    <d v="2024-08-06T00:00:00"/>
    <d v="2024-08-08T00:00:00"/>
    <d v="2024-08-25T00:00:00"/>
    <n v="17"/>
    <s v="Aug-2024"/>
    <x v="1"/>
    <n v="1468.17"/>
    <x v="0"/>
    <n v="17"/>
  </r>
  <r>
    <s v="CLM00092"/>
    <s v="P0002"/>
    <s v="PR013"/>
    <s v="S003"/>
    <d v="2023-09-11T00:00:00"/>
    <d v="2023-09-16T00:00:00"/>
    <d v="2023-10-05T00:00:00"/>
    <n v="19"/>
    <s v="Sep-2023"/>
    <x v="2"/>
    <n v="1463.77"/>
    <x v="0"/>
    <n v="19"/>
  </r>
  <r>
    <s v="CLM01035"/>
    <s v="P0418"/>
    <s v="PR023"/>
    <s v="S003"/>
    <d v="2024-07-06T00:00:00"/>
    <d v="2024-07-08T00:00:00"/>
    <d v="2024-07-12T00:00:00"/>
    <n v="4"/>
    <s v="Jul-2024"/>
    <x v="2"/>
    <n v="1463.55"/>
    <x v="1"/>
    <n v="4"/>
  </r>
  <r>
    <s v="CLM00988"/>
    <s v="P0490"/>
    <s v="PR028"/>
    <s v="S020"/>
    <d v="2023-11-21T00:00:00"/>
    <d v="2023-11-24T00:00:00"/>
    <d v="2023-11-28T00:00:00"/>
    <n v="4"/>
    <s v="Nov-2023"/>
    <x v="2"/>
    <n v="1459.63"/>
    <x v="0"/>
    <n v="4"/>
  </r>
  <r>
    <s v="CLM01555"/>
    <s v="P0194"/>
    <s v="PR038"/>
    <s v="S020"/>
    <d v="2023-06-28T00:00:00"/>
    <d v="2023-06-29T00:00:00"/>
    <d v="2023-07-27T00:00:00"/>
    <n v="28"/>
    <s v="Jun-2023"/>
    <x v="1"/>
    <n v="1455.29"/>
    <x v="0"/>
    <n v="28"/>
  </r>
  <r>
    <s v="CLM00128"/>
    <s v="P0207"/>
    <s v="PR039"/>
    <s v="S020"/>
    <d v="2023-08-08T00:00:00"/>
    <d v="2023-08-10T00:00:00"/>
    <d v="2023-08-30T00:00:00"/>
    <n v="20"/>
    <s v="Aug-2023"/>
    <x v="4"/>
    <n v="1454.18"/>
    <x v="0"/>
    <n v="20"/>
  </r>
  <r>
    <s v="CLM01850"/>
    <s v="P0273"/>
    <s v="PR013"/>
    <s v="S020"/>
    <d v="2024-12-26T00:00:00"/>
    <d v="2024-12-31T00:00:00"/>
    <d v="2025-01-22T00:00:00"/>
    <n v="22"/>
    <s v="Dec-2024"/>
    <x v="0"/>
    <n v="1452.44"/>
    <x v="1"/>
    <n v="22"/>
  </r>
  <r>
    <s v="CLM01510"/>
    <s v="P0361"/>
    <s v="PR024"/>
    <s v="S020"/>
    <d v="2023-04-10T00:00:00"/>
    <d v="2023-04-15T00:00:00"/>
    <d v="2023-04-25T00:00:00"/>
    <n v="10"/>
    <s v="Apr-2023"/>
    <x v="4"/>
    <n v="1450.38"/>
    <x v="1"/>
    <n v="10"/>
  </r>
  <r>
    <s v="CLM00281"/>
    <s v="P0376"/>
    <s v="PR037"/>
    <s v="S003"/>
    <d v="2024-09-17T00:00:00"/>
    <d v="2024-09-22T00:00:00"/>
    <d v="2024-10-16T00:00:00"/>
    <n v="24"/>
    <s v="Sep-2024"/>
    <x v="0"/>
    <n v="1441.67"/>
    <x v="0"/>
    <n v="24"/>
  </r>
  <r>
    <s v="CLM01746"/>
    <s v="P0240"/>
    <s v="PR018"/>
    <s v="S003"/>
    <d v="2023-11-15T00:00:00"/>
    <d v="2023-11-16T00:00:00"/>
    <m/>
    <s v=""/>
    <s v="Nov-2023"/>
    <x v="4"/>
    <n v="1438.33"/>
    <x v="2"/>
    <m/>
  </r>
  <r>
    <s v="CLM00321"/>
    <s v="P0268"/>
    <s v="PR016"/>
    <s v="S003"/>
    <d v="2023-09-22T00:00:00"/>
    <d v="2023-09-27T00:00:00"/>
    <d v="2023-09-30T00:00:00"/>
    <n v="3"/>
    <s v="Sep-2023"/>
    <x v="4"/>
    <n v="1432.99"/>
    <x v="0"/>
    <n v="3"/>
  </r>
  <r>
    <s v="CLM01656"/>
    <s v="P0397"/>
    <s v="PR003"/>
    <s v="S020"/>
    <d v="2024-07-13T00:00:00"/>
    <d v="2024-07-16T00:00:00"/>
    <d v="2024-08-13T00:00:00"/>
    <n v="28"/>
    <s v="Jul-2024"/>
    <x v="4"/>
    <n v="1431.62"/>
    <x v="0"/>
    <n v="28"/>
  </r>
  <r>
    <s v="CLM01600"/>
    <s v="P0365"/>
    <s v="PR008"/>
    <s v="S020"/>
    <d v="2024-12-14T00:00:00"/>
    <d v="2024-12-16T00:00:00"/>
    <m/>
    <s v=""/>
    <s v="Dec-2024"/>
    <x v="2"/>
    <n v="1429.67"/>
    <x v="2"/>
    <m/>
  </r>
  <r>
    <s v="CLM00485"/>
    <s v="P0446"/>
    <s v="PR018"/>
    <s v="S020"/>
    <d v="2024-02-28T00:00:00"/>
    <d v="2024-03-02T00:00:00"/>
    <d v="2024-04-01T00:00:00"/>
    <n v="30"/>
    <s v="Feb-2024"/>
    <x v="1"/>
    <n v="1428.55"/>
    <x v="0"/>
    <n v="30"/>
  </r>
  <r>
    <s v="CLM00267"/>
    <s v="P0170"/>
    <s v="PR015"/>
    <s v="S020"/>
    <d v="2023-03-13T00:00:00"/>
    <d v="2023-03-17T00:00:00"/>
    <d v="2023-03-24T00:00:00"/>
    <n v="7"/>
    <s v="Mar-2023"/>
    <x v="1"/>
    <n v="1428.05"/>
    <x v="0"/>
    <n v="7"/>
  </r>
  <r>
    <s v="CLM00231"/>
    <s v="P0125"/>
    <s v="PR009"/>
    <s v="S020"/>
    <d v="2024-10-16T00:00:00"/>
    <d v="2024-10-20T00:00:00"/>
    <d v="2024-10-31T00:00:00"/>
    <n v="11"/>
    <s v="Oct-2024"/>
    <x v="4"/>
    <n v="1426.43"/>
    <x v="0"/>
    <n v="11"/>
  </r>
  <r>
    <s v="CLM00355"/>
    <s v="P0128"/>
    <s v="PR029"/>
    <s v="S003"/>
    <d v="2023-09-30T00:00:00"/>
    <d v="2023-10-01T00:00:00"/>
    <d v="2023-10-06T00:00:00"/>
    <n v="5"/>
    <s v="Sep-2023"/>
    <x v="4"/>
    <n v="1424.67"/>
    <x v="0"/>
    <n v="5"/>
  </r>
  <r>
    <s v="CLM01952"/>
    <s v="P0090"/>
    <s v="PR035"/>
    <s v="S003"/>
    <d v="2024-08-20T00:00:00"/>
    <d v="2024-08-24T00:00:00"/>
    <d v="2024-09-23T00:00:00"/>
    <n v="30"/>
    <s v="Aug-2024"/>
    <x v="2"/>
    <n v="1424.59"/>
    <x v="0"/>
    <n v="30"/>
  </r>
  <r>
    <s v="CLM00323"/>
    <s v="P0118"/>
    <s v="PR004"/>
    <s v="S003"/>
    <d v="2024-04-30T00:00:00"/>
    <d v="2024-05-04T00:00:00"/>
    <d v="2024-05-07T00:00:00"/>
    <n v="3"/>
    <s v="Apr-2024"/>
    <x v="2"/>
    <n v="1411.4"/>
    <x v="0"/>
    <n v="3"/>
  </r>
  <r>
    <s v="CLM01215"/>
    <s v="P0125"/>
    <s v="PR028"/>
    <s v="S020"/>
    <d v="2023-10-04T00:00:00"/>
    <d v="2023-10-05T00:00:00"/>
    <d v="2023-10-19T00:00:00"/>
    <n v="14"/>
    <s v="Oct-2023"/>
    <x v="4"/>
    <n v="1411.23"/>
    <x v="0"/>
    <n v="14"/>
  </r>
  <r>
    <s v="CLM01181"/>
    <s v="P0452"/>
    <s v="PR001"/>
    <s v="S003"/>
    <d v="2023-10-28T00:00:00"/>
    <d v="2023-10-31T00:00:00"/>
    <d v="2023-11-23T00:00:00"/>
    <n v="23"/>
    <s v="Oct-2023"/>
    <x v="1"/>
    <n v="1411.03"/>
    <x v="0"/>
    <n v="23"/>
  </r>
  <r>
    <s v="CLM00203"/>
    <s v="P0187"/>
    <s v="PR011"/>
    <s v="S020"/>
    <d v="2024-05-28T00:00:00"/>
    <d v="2024-05-29T00:00:00"/>
    <d v="2024-06-14T00:00:00"/>
    <n v="16"/>
    <s v="May-2024"/>
    <x v="3"/>
    <n v="1409.33"/>
    <x v="0"/>
    <n v="16"/>
  </r>
  <r>
    <s v="CLM00640"/>
    <s v="P0219"/>
    <s v="PR007"/>
    <s v="S020"/>
    <d v="2023-05-07T00:00:00"/>
    <d v="2023-05-12T00:00:00"/>
    <d v="2023-05-22T00:00:00"/>
    <n v="10"/>
    <s v="May-2023"/>
    <x v="3"/>
    <n v="1404.92"/>
    <x v="0"/>
    <n v="10"/>
  </r>
  <r>
    <s v="CLM01081"/>
    <s v="P0050"/>
    <s v="PR025"/>
    <s v="S003"/>
    <d v="2023-02-22T00:00:00"/>
    <d v="2023-02-23T00:00:00"/>
    <d v="2023-03-13T00:00:00"/>
    <n v="18"/>
    <s v="Feb-2023"/>
    <x v="2"/>
    <n v="1403.96"/>
    <x v="0"/>
    <n v="18"/>
  </r>
  <r>
    <s v="CLM01272"/>
    <s v="P0346"/>
    <s v="PR014"/>
    <s v="S003"/>
    <d v="2023-09-04T00:00:00"/>
    <d v="2023-09-05T00:00:00"/>
    <d v="2023-09-13T00:00:00"/>
    <n v="8"/>
    <s v="Sep-2023"/>
    <x v="3"/>
    <n v="1401.62"/>
    <x v="1"/>
    <n v="8"/>
  </r>
  <r>
    <s v="CLM01508"/>
    <s v="P0225"/>
    <s v="PR039"/>
    <s v="S003"/>
    <d v="2023-03-06T00:00:00"/>
    <d v="2023-03-09T00:00:00"/>
    <d v="2023-03-12T00:00:00"/>
    <n v="3"/>
    <s v="Mar-2023"/>
    <x v="2"/>
    <n v="1396.54"/>
    <x v="0"/>
    <n v="3"/>
  </r>
  <r>
    <s v="CLM00416"/>
    <s v="P0358"/>
    <s v="PR008"/>
    <s v="S003"/>
    <d v="2023-03-24T00:00:00"/>
    <d v="2023-03-28T00:00:00"/>
    <d v="2023-03-31T00:00:00"/>
    <n v="3"/>
    <s v="Mar-2023"/>
    <x v="4"/>
    <n v="1395.28"/>
    <x v="0"/>
    <n v="3"/>
  </r>
  <r>
    <s v="CLM01737"/>
    <s v="P0365"/>
    <s v="PR022"/>
    <s v="S020"/>
    <d v="2023-10-31T00:00:00"/>
    <d v="2023-11-01T00:00:00"/>
    <d v="2023-11-21T00:00:00"/>
    <n v="20"/>
    <s v="Oct-2023"/>
    <x v="2"/>
    <n v="1394.53"/>
    <x v="0"/>
    <n v="20"/>
  </r>
  <r>
    <s v="CLM00114"/>
    <s v="P0480"/>
    <s v="PR030"/>
    <s v="S003"/>
    <d v="2023-07-01T00:00:00"/>
    <d v="2023-07-03T00:00:00"/>
    <d v="2023-07-22T00:00:00"/>
    <n v="19"/>
    <s v="Jul-2023"/>
    <x v="0"/>
    <n v="1390.02"/>
    <x v="0"/>
    <n v="19"/>
  </r>
  <r>
    <s v="CLM01747"/>
    <s v="P0115"/>
    <s v="PR022"/>
    <s v="S020"/>
    <d v="2024-08-11T00:00:00"/>
    <d v="2024-08-16T00:00:00"/>
    <d v="2024-09-09T00:00:00"/>
    <n v="24"/>
    <s v="Aug-2024"/>
    <x v="1"/>
    <n v="1389.65"/>
    <x v="0"/>
    <n v="24"/>
  </r>
  <r>
    <s v="CLM01801"/>
    <s v="P0140"/>
    <s v="PR004"/>
    <s v="S020"/>
    <d v="2024-10-06T00:00:00"/>
    <d v="2024-10-11T00:00:00"/>
    <d v="2024-10-24T00:00:00"/>
    <n v="13"/>
    <s v="Oct-2024"/>
    <x v="3"/>
    <n v="1384.19"/>
    <x v="1"/>
    <n v="13"/>
  </r>
  <r>
    <s v="CLM01252"/>
    <s v="P0214"/>
    <s v="PR005"/>
    <s v="S020"/>
    <d v="2023-03-31T00:00:00"/>
    <d v="2023-04-01T00:00:00"/>
    <d v="2023-04-07T00:00:00"/>
    <n v="6"/>
    <s v="Mar-2023"/>
    <x v="1"/>
    <n v="1383.8"/>
    <x v="0"/>
    <n v="6"/>
  </r>
  <r>
    <s v="CLM00559"/>
    <s v="P0095"/>
    <s v="PR015"/>
    <s v="S020"/>
    <d v="2023-02-10T00:00:00"/>
    <d v="2023-02-15T00:00:00"/>
    <d v="2023-03-12T00:00:00"/>
    <n v="25"/>
    <s v="Feb-2023"/>
    <x v="4"/>
    <n v="1381.98"/>
    <x v="0"/>
    <n v="25"/>
  </r>
  <r>
    <s v="CLM01896"/>
    <s v="P0004"/>
    <s v="PR027"/>
    <s v="S003"/>
    <d v="2024-01-17T00:00:00"/>
    <d v="2024-01-19T00:00:00"/>
    <d v="2024-01-23T00:00:00"/>
    <n v="4"/>
    <s v="Jan-2024"/>
    <x v="4"/>
    <n v="1381.31"/>
    <x v="0"/>
    <n v="4"/>
  </r>
  <r>
    <s v="CLM00541"/>
    <s v="P0295"/>
    <s v="PR022"/>
    <s v="S020"/>
    <d v="2023-07-09T00:00:00"/>
    <d v="2023-07-13T00:00:00"/>
    <d v="2023-07-28T00:00:00"/>
    <n v="15"/>
    <s v="Jul-2023"/>
    <x v="3"/>
    <n v="1381.13"/>
    <x v="0"/>
    <n v="15"/>
  </r>
  <r>
    <s v="CLM01890"/>
    <s v="P0161"/>
    <s v="PR019"/>
    <s v="S003"/>
    <d v="2024-11-09T00:00:00"/>
    <d v="2024-11-12T00:00:00"/>
    <d v="2024-12-02T00:00:00"/>
    <n v="20"/>
    <s v="Nov-2024"/>
    <x v="2"/>
    <n v="1380.79"/>
    <x v="0"/>
    <n v="20"/>
  </r>
  <r>
    <s v="CLM01149"/>
    <s v="P0440"/>
    <s v="PR028"/>
    <s v="S020"/>
    <d v="2024-09-01T00:00:00"/>
    <d v="2024-09-06T00:00:00"/>
    <d v="2024-09-27T00:00:00"/>
    <n v="21"/>
    <s v="Sep-2024"/>
    <x v="2"/>
    <n v="1374.36"/>
    <x v="1"/>
    <n v="21"/>
  </r>
  <r>
    <s v="CLM00638"/>
    <s v="P0328"/>
    <s v="PR033"/>
    <s v="S003"/>
    <d v="2024-07-27T00:00:00"/>
    <d v="2024-07-29T00:00:00"/>
    <d v="2024-08-22T00:00:00"/>
    <n v="24"/>
    <s v="Jul-2024"/>
    <x v="3"/>
    <n v="1373.16"/>
    <x v="1"/>
    <n v="24"/>
  </r>
  <r>
    <s v="CLM01543"/>
    <s v="P0060"/>
    <s v="PR027"/>
    <s v="S020"/>
    <d v="2024-03-03T00:00:00"/>
    <d v="2024-03-06T00:00:00"/>
    <d v="2024-03-30T00:00:00"/>
    <n v="24"/>
    <s v="Mar-2024"/>
    <x v="4"/>
    <n v="1372.94"/>
    <x v="0"/>
    <n v="24"/>
  </r>
  <r>
    <s v="CLM01504"/>
    <s v="P0266"/>
    <s v="PR013"/>
    <s v="S003"/>
    <d v="2023-06-24T00:00:00"/>
    <d v="2023-06-29T00:00:00"/>
    <d v="2023-07-28T00:00:00"/>
    <n v="29"/>
    <s v="Jun-2023"/>
    <x v="3"/>
    <n v="1370.43"/>
    <x v="0"/>
    <n v="29"/>
  </r>
  <r>
    <s v="CLM00216"/>
    <s v="P0114"/>
    <s v="PR024"/>
    <s v="S003"/>
    <d v="2023-10-21T00:00:00"/>
    <d v="2023-10-26T00:00:00"/>
    <m/>
    <s v=""/>
    <s v="Oct-2023"/>
    <x v="4"/>
    <n v="1359.63"/>
    <x v="2"/>
    <m/>
  </r>
  <r>
    <s v="CLM01597"/>
    <s v="P0195"/>
    <s v="PR025"/>
    <s v="S020"/>
    <d v="2024-02-08T00:00:00"/>
    <d v="2024-02-13T00:00:00"/>
    <d v="2024-03-05T00:00:00"/>
    <n v="21"/>
    <s v="Feb-2024"/>
    <x v="2"/>
    <n v="1359.5"/>
    <x v="0"/>
    <n v="21"/>
  </r>
  <r>
    <s v="CLM00025"/>
    <s v="P0201"/>
    <s v="PR028"/>
    <s v="S003"/>
    <d v="2023-02-26T00:00:00"/>
    <d v="2023-03-01T00:00:00"/>
    <d v="2023-03-07T00:00:00"/>
    <n v="6"/>
    <s v="Feb-2023"/>
    <x v="0"/>
    <n v="1358"/>
    <x v="0"/>
    <n v="6"/>
  </r>
  <r>
    <s v="CLM00104"/>
    <s v="P0294"/>
    <s v="PR033"/>
    <s v="S003"/>
    <d v="2023-09-18T00:00:00"/>
    <d v="2023-09-22T00:00:00"/>
    <d v="2023-10-22T00:00:00"/>
    <n v="30"/>
    <s v="Sep-2023"/>
    <x v="2"/>
    <n v="1355.06"/>
    <x v="0"/>
    <n v="30"/>
  </r>
  <r>
    <s v="CLM00343"/>
    <s v="P0456"/>
    <s v="PR013"/>
    <s v="S020"/>
    <d v="2024-02-21T00:00:00"/>
    <d v="2024-02-23T00:00:00"/>
    <d v="2024-03-18T00:00:00"/>
    <n v="24"/>
    <s v="Feb-2024"/>
    <x v="0"/>
    <n v="1352.43"/>
    <x v="0"/>
    <n v="24"/>
  </r>
  <r>
    <s v="CLM00707"/>
    <s v="P0288"/>
    <s v="PR020"/>
    <s v="S003"/>
    <d v="2024-03-18T00:00:00"/>
    <d v="2024-03-22T00:00:00"/>
    <d v="2024-03-26T00:00:00"/>
    <n v="4"/>
    <s v="Mar-2024"/>
    <x v="1"/>
    <n v="1352.09"/>
    <x v="0"/>
    <n v="4"/>
  </r>
  <r>
    <s v="CLM01129"/>
    <s v="P0464"/>
    <s v="PR013"/>
    <s v="S020"/>
    <d v="2024-04-28T00:00:00"/>
    <d v="2024-04-29T00:00:00"/>
    <d v="2024-05-22T00:00:00"/>
    <n v="23"/>
    <s v="Apr-2024"/>
    <x v="2"/>
    <n v="1348.1"/>
    <x v="0"/>
    <n v="23"/>
  </r>
  <r>
    <s v="CLM00997"/>
    <s v="P0493"/>
    <s v="PR026"/>
    <s v="S020"/>
    <d v="2024-11-04T00:00:00"/>
    <d v="2024-11-05T00:00:00"/>
    <d v="2024-11-19T00:00:00"/>
    <n v="14"/>
    <s v="Nov-2024"/>
    <x v="3"/>
    <n v="1345.27"/>
    <x v="1"/>
    <n v="14"/>
  </r>
  <r>
    <s v="CLM00716"/>
    <s v="P0155"/>
    <s v="PR018"/>
    <s v="S020"/>
    <d v="2023-08-22T00:00:00"/>
    <d v="2023-08-26T00:00:00"/>
    <d v="2023-09-03T00:00:00"/>
    <n v="8"/>
    <s v="Aug-2023"/>
    <x v="4"/>
    <n v="1342.73"/>
    <x v="1"/>
    <n v="8"/>
  </r>
  <r>
    <s v="CLM00730"/>
    <s v="P0481"/>
    <s v="PR026"/>
    <s v="S020"/>
    <d v="2024-10-07T00:00:00"/>
    <d v="2024-10-10T00:00:00"/>
    <d v="2024-11-01T00:00:00"/>
    <n v="22"/>
    <s v="Oct-2024"/>
    <x v="0"/>
    <n v="1340.32"/>
    <x v="0"/>
    <n v="22"/>
  </r>
  <r>
    <s v="CLM01691"/>
    <s v="P0046"/>
    <s v="PR017"/>
    <s v="S003"/>
    <d v="2023-09-19T00:00:00"/>
    <d v="2023-09-23T00:00:00"/>
    <d v="2023-10-09T00:00:00"/>
    <n v="16"/>
    <s v="Sep-2023"/>
    <x v="4"/>
    <n v="1334.82"/>
    <x v="0"/>
    <n v="16"/>
  </r>
  <r>
    <s v="CLM01893"/>
    <s v="P0437"/>
    <s v="PR040"/>
    <s v="S020"/>
    <d v="2023-05-07T00:00:00"/>
    <d v="2023-05-09T00:00:00"/>
    <d v="2023-06-02T00:00:00"/>
    <n v="24"/>
    <s v="May-2023"/>
    <x v="2"/>
    <n v="1330.91"/>
    <x v="0"/>
    <n v="24"/>
  </r>
  <r>
    <s v="CLM00645"/>
    <s v="P0264"/>
    <s v="PR007"/>
    <s v="S020"/>
    <d v="2023-10-21T00:00:00"/>
    <d v="2023-10-22T00:00:00"/>
    <d v="2023-11-10T00:00:00"/>
    <n v="19"/>
    <s v="Oct-2023"/>
    <x v="4"/>
    <n v="1326.82"/>
    <x v="0"/>
    <n v="19"/>
  </r>
  <r>
    <s v="CLM01189"/>
    <s v="P0291"/>
    <s v="PR017"/>
    <s v="S003"/>
    <d v="2024-02-16T00:00:00"/>
    <d v="2024-02-18T00:00:00"/>
    <d v="2024-03-09T00:00:00"/>
    <n v="20"/>
    <s v="Feb-2024"/>
    <x v="4"/>
    <n v="1325"/>
    <x v="0"/>
    <n v="20"/>
  </r>
  <r>
    <s v="CLM01684"/>
    <s v="P0459"/>
    <s v="PR035"/>
    <s v="S003"/>
    <d v="2023-03-24T00:00:00"/>
    <d v="2023-03-27T00:00:00"/>
    <d v="2023-04-13T00:00:00"/>
    <n v="17"/>
    <s v="Mar-2023"/>
    <x v="1"/>
    <n v="1323.01"/>
    <x v="0"/>
    <n v="17"/>
  </r>
  <r>
    <s v="CLM01554"/>
    <s v="P0078"/>
    <s v="PR025"/>
    <s v="S020"/>
    <d v="2024-08-17T00:00:00"/>
    <d v="2024-08-21T00:00:00"/>
    <d v="2024-08-31T00:00:00"/>
    <n v="10"/>
    <s v="Aug-2024"/>
    <x v="4"/>
    <n v="1322.32"/>
    <x v="0"/>
    <n v="10"/>
  </r>
  <r>
    <s v="CLM00781"/>
    <s v="P0058"/>
    <s v="PR033"/>
    <s v="S020"/>
    <d v="2024-10-18T00:00:00"/>
    <d v="2024-10-19T00:00:00"/>
    <d v="2024-10-30T00:00:00"/>
    <n v="11"/>
    <s v="Oct-2024"/>
    <x v="4"/>
    <n v="1317.23"/>
    <x v="0"/>
    <n v="11"/>
  </r>
  <r>
    <s v="CLM00458"/>
    <s v="P0166"/>
    <s v="PR004"/>
    <s v="S003"/>
    <d v="2024-04-21T00:00:00"/>
    <d v="2024-04-23T00:00:00"/>
    <d v="2024-05-06T00:00:00"/>
    <n v="13"/>
    <s v="Apr-2024"/>
    <x v="2"/>
    <n v="1315.77"/>
    <x v="0"/>
    <n v="13"/>
  </r>
  <r>
    <s v="CLM00615"/>
    <s v="P0487"/>
    <s v="PR015"/>
    <s v="S003"/>
    <d v="2023-04-28T00:00:00"/>
    <d v="2023-04-29T00:00:00"/>
    <m/>
    <s v=""/>
    <s v="Apr-2023"/>
    <x v="1"/>
    <n v="1315.49"/>
    <x v="2"/>
    <m/>
  </r>
  <r>
    <s v="CLM01156"/>
    <s v="P0006"/>
    <s v="PR013"/>
    <s v="S020"/>
    <d v="2023-08-06T00:00:00"/>
    <d v="2023-08-08T00:00:00"/>
    <d v="2023-08-12T00:00:00"/>
    <n v="4"/>
    <s v="Aug-2023"/>
    <x v="4"/>
    <n v="1315.42"/>
    <x v="0"/>
    <n v="4"/>
  </r>
  <r>
    <s v="CLM00300"/>
    <s v="P0193"/>
    <s v="PR005"/>
    <s v="S020"/>
    <d v="2024-06-16T00:00:00"/>
    <d v="2024-06-18T00:00:00"/>
    <d v="2024-07-17T00:00:00"/>
    <n v="29"/>
    <s v="Jun-2024"/>
    <x v="4"/>
    <n v="1315.3"/>
    <x v="0"/>
    <n v="29"/>
  </r>
  <r>
    <s v="CLM00507"/>
    <s v="P0424"/>
    <s v="PR037"/>
    <s v="S003"/>
    <d v="2023-03-17T00:00:00"/>
    <d v="2023-03-20T00:00:00"/>
    <m/>
    <s v=""/>
    <s v="Mar-2023"/>
    <x v="1"/>
    <n v="1312.7"/>
    <x v="2"/>
    <m/>
  </r>
  <r>
    <s v="CLM00079"/>
    <s v="P0237"/>
    <s v="PR008"/>
    <s v="S020"/>
    <d v="2023-03-19T00:00:00"/>
    <d v="2023-03-21T00:00:00"/>
    <d v="2023-04-17T00:00:00"/>
    <n v="27"/>
    <s v="Mar-2023"/>
    <x v="4"/>
    <n v="1312"/>
    <x v="0"/>
    <n v="27"/>
  </r>
  <r>
    <s v="CLM01012"/>
    <s v="P0262"/>
    <s v="PR013"/>
    <s v="S003"/>
    <d v="2023-08-06T00:00:00"/>
    <d v="2023-08-08T00:00:00"/>
    <d v="2023-09-06T00:00:00"/>
    <n v="29"/>
    <s v="Aug-2023"/>
    <x v="3"/>
    <n v="1311.55"/>
    <x v="0"/>
    <n v="29"/>
  </r>
  <r>
    <s v="CLM00073"/>
    <s v="P0016"/>
    <s v="PR022"/>
    <s v="S003"/>
    <d v="2023-09-17T00:00:00"/>
    <d v="2023-09-20T00:00:00"/>
    <d v="2023-10-15T00:00:00"/>
    <n v="25"/>
    <s v="Sep-2023"/>
    <x v="3"/>
    <n v="1308.8499999999999"/>
    <x v="0"/>
    <n v="25"/>
  </r>
  <r>
    <s v="CLM01009"/>
    <s v="P0496"/>
    <s v="PR005"/>
    <s v="S020"/>
    <d v="2024-02-05T00:00:00"/>
    <d v="2024-02-07T00:00:00"/>
    <d v="2024-02-11T00:00:00"/>
    <n v="4"/>
    <s v="Feb-2024"/>
    <x v="2"/>
    <n v="1307.83"/>
    <x v="1"/>
    <n v="4"/>
  </r>
  <r>
    <s v="CLM01336"/>
    <s v="P0285"/>
    <s v="PR014"/>
    <s v="S020"/>
    <d v="2024-11-23T00:00:00"/>
    <d v="2024-11-25T00:00:00"/>
    <d v="2024-12-18T00:00:00"/>
    <n v="23"/>
    <s v="Nov-2024"/>
    <x v="4"/>
    <n v="1306.8900000000001"/>
    <x v="0"/>
    <n v="23"/>
  </r>
  <r>
    <s v="CLM00237"/>
    <s v="P0029"/>
    <s v="PR040"/>
    <s v="S003"/>
    <d v="2024-08-26T00:00:00"/>
    <d v="2024-08-30T00:00:00"/>
    <d v="2024-09-14T00:00:00"/>
    <n v="15"/>
    <s v="Aug-2024"/>
    <x v="2"/>
    <n v="1305.29"/>
    <x v="0"/>
    <n v="15"/>
  </r>
  <r>
    <s v="CLM01047"/>
    <s v="P0388"/>
    <s v="PR028"/>
    <s v="S020"/>
    <d v="2023-01-31T00:00:00"/>
    <d v="2023-02-05T00:00:00"/>
    <d v="2023-03-02T00:00:00"/>
    <n v="25"/>
    <s v="Jan-2023"/>
    <x v="4"/>
    <n v="1301.94"/>
    <x v="0"/>
    <n v="25"/>
  </r>
  <r>
    <s v="CLM00761"/>
    <s v="P0359"/>
    <s v="PR020"/>
    <s v="S003"/>
    <d v="2023-12-25T00:00:00"/>
    <d v="2023-12-30T00:00:00"/>
    <d v="2024-01-25T00:00:00"/>
    <n v="26"/>
    <s v="Dec-2023"/>
    <x v="1"/>
    <n v="1296.82"/>
    <x v="0"/>
    <n v="26"/>
  </r>
  <r>
    <s v="CLM01494"/>
    <s v="P0386"/>
    <s v="PR018"/>
    <s v="S003"/>
    <d v="2024-08-04T00:00:00"/>
    <d v="2024-08-09T00:00:00"/>
    <d v="2024-09-03T00:00:00"/>
    <n v="25"/>
    <s v="Aug-2024"/>
    <x v="2"/>
    <n v="1291.3499999999999"/>
    <x v="0"/>
    <n v="25"/>
  </r>
  <r>
    <s v="CLM00043"/>
    <s v="P0059"/>
    <s v="PR028"/>
    <s v="S020"/>
    <d v="2023-06-08T00:00:00"/>
    <d v="2023-06-11T00:00:00"/>
    <d v="2023-07-11T00:00:00"/>
    <n v="30"/>
    <s v="Jun-2023"/>
    <x v="4"/>
    <n v="1284.75"/>
    <x v="0"/>
    <n v="30"/>
  </r>
  <r>
    <s v="CLM00965"/>
    <s v="P0457"/>
    <s v="PR037"/>
    <s v="S020"/>
    <d v="2023-07-24T00:00:00"/>
    <d v="2023-07-25T00:00:00"/>
    <d v="2023-08-14T00:00:00"/>
    <n v="20"/>
    <s v="Jul-2023"/>
    <x v="2"/>
    <n v="1279.76"/>
    <x v="0"/>
    <n v="20"/>
  </r>
  <r>
    <s v="CLM01134"/>
    <s v="P0146"/>
    <s v="PR030"/>
    <s v="S020"/>
    <d v="2024-04-01T00:00:00"/>
    <d v="2024-04-04T00:00:00"/>
    <d v="2024-04-07T00:00:00"/>
    <n v="3"/>
    <s v="Apr-2024"/>
    <x v="2"/>
    <n v="1276.08"/>
    <x v="1"/>
    <n v="3"/>
  </r>
  <r>
    <s v="CLM01639"/>
    <s v="P0379"/>
    <s v="PR028"/>
    <s v="S020"/>
    <d v="2023-08-18T00:00:00"/>
    <d v="2023-08-22T00:00:00"/>
    <d v="2023-08-29T00:00:00"/>
    <n v="7"/>
    <s v="Aug-2023"/>
    <x v="2"/>
    <n v="1274.21"/>
    <x v="0"/>
    <n v="7"/>
  </r>
  <r>
    <s v="CLM01110"/>
    <s v="P0259"/>
    <s v="PR026"/>
    <s v="S003"/>
    <d v="2024-11-23T00:00:00"/>
    <d v="2024-11-25T00:00:00"/>
    <d v="2024-12-01T00:00:00"/>
    <n v="6"/>
    <s v="Nov-2024"/>
    <x v="4"/>
    <n v="1265.32"/>
    <x v="0"/>
    <n v="6"/>
  </r>
  <r>
    <s v="CLM00967"/>
    <s v="P0223"/>
    <s v="PR019"/>
    <s v="S020"/>
    <d v="2024-04-15T00:00:00"/>
    <d v="2024-04-19T00:00:00"/>
    <d v="2024-05-13T00:00:00"/>
    <n v="24"/>
    <s v="Apr-2024"/>
    <x v="1"/>
    <n v="1263.33"/>
    <x v="0"/>
    <n v="24"/>
  </r>
  <r>
    <s v="CLM01967"/>
    <s v="P0200"/>
    <s v="PR034"/>
    <s v="S003"/>
    <d v="2023-02-26T00:00:00"/>
    <d v="2023-02-28T00:00:00"/>
    <d v="2023-03-25T00:00:00"/>
    <n v="25"/>
    <s v="Feb-2023"/>
    <x v="1"/>
    <n v="1260.32"/>
    <x v="0"/>
    <n v="25"/>
  </r>
  <r>
    <s v="CLM00273"/>
    <s v="P0288"/>
    <s v="PR010"/>
    <s v="S003"/>
    <d v="2024-07-07T00:00:00"/>
    <d v="2024-07-08T00:00:00"/>
    <d v="2024-08-02T00:00:00"/>
    <n v="25"/>
    <s v="Jul-2024"/>
    <x v="1"/>
    <n v="1256.78"/>
    <x v="0"/>
    <n v="25"/>
  </r>
  <r>
    <s v="CLM00164"/>
    <s v="P0255"/>
    <s v="PR001"/>
    <s v="S003"/>
    <d v="2023-06-14T00:00:00"/>
    <d v="2023-06-15T00:00:00"/>
    <d v="2023-07-03T00:00:00"/>
    <n v="18"/>
    <s v="Jun-2023"/>
    <x v="4"/>
    <n v="1249.17"/>
    <x v="0"/>
    <n v="18"/>
  </r>
  <r>
    <s v="CLM01598"/>
    <s v="P0151"/>
    <s v="PR011"/>
    <s v="S003"/>
    <d v="2023-01-29T00:00:00"/>
    <d v="2023-02-03T00:00:00"/>
    <d v="2023-02-07T00:00:00"/>
    <n v="4"/>
    <s v="Jan-2023"/>
    <x v="2"/>
    <n v="1248.82"/>
    <x v="0"/>
    <n v="4"/>
  </r>
  <r>
    <s v="CLM01523"/>
    <s v="P0283"/>
    <s v="PR026"/>
    <s v="S003"/>
    <d v="2023-11-11T00:00:00"/>
    <d v="2023-11-16T00:00:00"/>
    <d v="2023-11-27T00:00:00"/>
    <n v="11"/>
    <s v="Nov-2023"/>
    <x v="3"/>
    <n v="1244.26"/>
    <x v="1"/>
    <n v="11"/>
  </r>
  <r>
    <s v="CLM01031"/>
    <s v="P0058"/>
    <s v="PR027"/>
    <s v="S003"/>
    <d v="2023-04-11T00:00:00"/>
    <d v="2023-04-14T00:00:00"/>
    <d v="2023-04-29T00:00:00"/>
    <n v="15"/>
    <s v="Apr-2023"/>
    <x v="4"/>
    <n v="1219.8399999999999"/>
    <x v="0"/>
    <n v="15"/>
  </r>
  <r>
    <s v="CLM01889"/>
    <s v="P0308"/>
    <s v="PR008"/>
    <s v="S003"/>
    <d v="2023-07-25T00:00:00"/>
    <d v="2023-07-28T00:00:00"/>
    <d v="2023-08-12T00:00:00"/>
    <n v="15"/>
    <s v="Jul-2023"/>
    <x v="4"/>
    <n v="1216.21"/>
    <x v="0"/>
    <n v="15"/>
  </r>
  <r>
    <s v="CLM00553"/>
    <s v="P0390"/>
    <s v="PR018"/>
    <s v="S003"/>
    <d v="2023-12-10T00:00:00"/>
    <d v="2023-12-14T00:00:00"/>
    <d v="2023-12-20T00:00:00"/>
    <n v="6"/>
    <s v="Dec-2023"/>
    <x v="2"/>
    <n v="1198.67"/>
    <x v="0"/>
    <n v="6"/>
  </r>
  <r>
    <s v="CLM00823"/>
    <s v="P0375"/>
    <s v="PR027"/>
    <s v="S003"/>
    <d v="2023-03-23T00:00:00"/>
    <d v="2023-03-24T00:00:00"/>
    <m/>
    <s v=""/>
    <s v="Mar-2023"/>
    <x v="2"/>
    <n v="1193.98"/>
    <x v="2"/>
    <m/>
  </r>
  <r>
    <s v="CLM01367"/>
    <s v="P0045"/>
    <s v="PR034"/>
    <s v="S003"/>
    <d v="2023-11-23T00:00:00"/>
    <d v="2023-11-25T00:00:00"/>
    <d v="2023-12-10T00:00:00"/>
    <n v="15"/>
    <s v="Nov-2023"/>
    <x v="2"/>
    <n v="1193.3900000000001"/>
    <x v="0"/>
    <n v="15"/>
  </r>
  <r>
    <s v="CLM00848"/>
    <s v="P0271"/>
    <s v="PR014"/>
    <s v="S003"/>
    <d v="2024-07-19T00:00:00"/>
    <d v="2024-07-23T00:00:00"/>
    <d v="2024-08-06T00:00:00"/>
    <n v="14"/>
    <s v="Jul-2024"/>
    <x v="1"/>
    <n v="1187.99"/>
    <x v="0"/>
    <n v="14"/>
  </r>
  <r>
    <s v="CLM00199"/>
    <s v="P0369"/>
    <s v="PR028"/>
    <s v="S003"/>
    <d v="2023-07-17T00:00:00"/>
    <d v="2023-07-21T00:00:00"/>
    <m/>
    <s v=""/>
    <s v="Jul-2023"/>
    <x v="1"/>
    <n v="1186.74"/>
    <x v="2"/>
    <m/>
  </r>
  <r>
    <s v="CLM00702"/>
    <s v="P0227"/>
    <s v="PR029"/>
    <s v="S003"/>
    <d v="2024-01-23T00:00:00"/>
    <d v="2024-01-25T00:00:00"/>
    <d v="2024-01-28T00:00:00"/>
    <n v="3"/>
    <s v="Jan-2024"/>
    <x v="0"/>
    <n v="1182.82"/>
    <x v="1"/>
    <n v="3"/>
  </r>
  <r>
    <s v="CLM00814"/>
    <s v="P0492"/>
    <s v="PR018"/>
    <s v="S003"/>
    <d v="2023-08-04T00:00:00"/>
    <d v="2023-08-08T00:00:00"/>
    <d v="2023-08-18T00:00:00"/>
    <n v="10"/>
    <s v="Aug-2023"/>
    <x v="3"/>
    <n v="1175.6099999999999"/>
    <x v="1"/>
    <n v="10"/>
  </r>
  <r>
    <s v="CLM01845"/>
    <s v="P0270"/>
    <s v="PR002"/>
    <s v="S003"/>
    <d v="2023-03-28T00:00:00"/>
    <d v="2023-03-31T00:00:00"/>
    <d v="2023-04-15T00:00:00"/>
    <n v="15"/>
    <s v="Mar-2023"/>
    <x v="4"/>
    <n v="1172.45"/>
    <x v="0"/>
    <n v="15"/>
  </r>
  <r>
    <s v="CLM00220"/>
    <s v="P0416"/>
    <s v="PR025"/>
    <s v="S003"/>
    <d v="2024-12-04T00:00:00"/>
    <d v="2024-12-09T00:00:00"/>
    <d v="2025-01-08T00:00:00"/>
    <n v="30"/>
    <s v="Dec-2024"/>
    <x v="2"/>
    <n v="1168.3599999999999"/>
    <x v="0"/>
    <n v="30"/>
  </r>
  <r>
    <s v="CLM01538"/>
    <s v="P0352"/>
    <s v="PR021"/>
    <s v="S003"/>
    <d v="2024-04-02T00:00:00"/>
    <d v="2024-04-05T00:00:00"/>
    <d v="2024-04-15T00:00:00"/>
    <n v="10"/>
    <s v="Apr-2024"/>
    <x v="1"/>
    <n v="1162.52"/>
    <x v="0"/>
    <n v="10"/>
  </r>
  <r>
    <s v="CLM00327"/>
    <s v="P0131"/>
    <s v="PR014"/>
    <s v="S003"/>
    <d v="2024-07-25T00:00:00"/>
    <d v="2024-07-30T00:00:00"/>
    <d v="2024-08-11T00:00:00"/>
    <n v="12"/>
    <s v="Jul-2024"/>
    <x v="4"/>
    <n v="1160.5899999999999"/>
    <x v="0"/>
    <n v="12"/>
  </r>
  <r>
    <s v="CLM01390"/>
    <s v="P0335"/>
    <s v="PR006"/>
    <s v="S003"/>
    <d v="2024-12-07T00:00:00"/>
    <d v="2024-12-09T00:00:00"/>
    <d v="2024-12-17T00:00:00"/>
    <n v="8"/>
    <s v="Dec-2024"/>
    <x v="2"/>
    <n v="1144.97"/>
    <x v="1"/>
    <n v="8"/>
  </r>
  <r>
    <s v="CLM00968"/>
    <s v="P0186"/>
    <s v="PR023"/>
    <s v="S003"/>
    <d v="2024-04-10T00:00:00"/>
    <d v="2024-04-15T00:00:00"/>
    <d v="2024-04-25T00:00:00"/>
    <n v="10"/>
    <s v="Apr-2024"/>
    <x v="0"/>
    <n v="1144.24"/>
    <x v="0"/>
    <n v="10"/>
  </r>
  <r>
    <s v="CLM00001"/>
    <s v="P0372"/>
    <s v="PR018"/>
    <s v="S003"/>
    <d v="2023-01-14T00:00:00"/>
    <d v="2023-01-19T00:00:00"/>
    <d v="2023-02-16T00:00:00"/>
    <n v="28"/>
    <s v="Jan-2023"/>
    <x v="4"/>
    <n v="1141.93"/>
    <x v="0"/>
    <n v="28"/>
  </r>
  <r>
    <s v="CLM01113"/>
    <s v="P0280"/>
    <s v="PR022"/>
    <s v="S003"/>
    <d v="2023-06-24T00:00:00"/>
    <d v="2023-06-27T00:00:00"/>
    <d v="2023-06-30T00:00:00"/>
    <n v="3"/>
    <s v="Jun-2023"/>
    <x v="2"/>
    <n v="1132.9000000000001"/>
    <x v="0"/>
    <n v="3"/>
  </r>
  <r>
    <s v="CLM01757"/>
    <s v="P0240"/>
    <s v="PR016"/>
    <s v="S003"/>
    <d v="2024-05-23T00:00:00"/>
    <d v="2024-05-25T00:00:00"/>
    <d v="2024-06-21T00:00:00"/>
    <n v="27"/>
    <s v="May-2024"/>
    <x v="4"/>
    <n v="1128.9100000000001"/>
    <x v="0"/>
    <n v="27"/>
  </r>
  <r>
    <s v="CLM01785"/>
    <s v="P0328"/>
    <s v="PR017"/>
    <s v="S003"/>
    <d v="2024-11-28T00:00:00"/>
    <d v="2024-12-03T00:00:00"/>
    <d v="2024-12-12T00:00:00"/>
    <n v="9"/>
    <s v="Nov-2024"/>
    <x v="3"/>
    <n v="1125.33"/>
    <x v="0"/>
    <n v="9"/>
  </r>
  <r>
    <s v="CLM00757"/>
    <s v="P0450"/>
    <s v="PR039"/>
    <s v="S006"/>
    <d v="2024-01-18T00:00:00"/>
    <d v="2024-01-19T00:00:00"/>
    <d v="2024-02-08T00:00:00"/>
    <n v="20"/>
    <s v="Jan-2024"/>
    <x v="1"/>
    <n v="1119.54"/>
    <x v="0"/>
    <n v="20"/>
  </r>
  <r>
    <s v="CLM01474"/>
    <s v="P0260"/>
    <s v="PR038"/>
    <s v="S003"/>
    <d v="2024-05-03T00:00:00"/>
    <d v="2024-05-05T00:00:00"/>
    <d v="2024-05-27T00:00:00"/>
    <n v="22"/>
    <s v="May-2024"/>
    <x v="1"/>
    <n v="1116.51"/>
    <x v="0"/>
    <n v="22"/>
  </r>
  <r>
    <s v="CLM01524"/>
    <s v="P0041"/>
    <s v="PR031"/>
    <s v="S003"/>
    <d v="2023-06-17T00:00:00"/>
    <d v="2023-06-18T00:00:00"/>
    <d v="2023-07-17T00:00:00"/>
    <n v="29"/>
    <s v="Jun-2023"/>
    <x v="2"/>
    <n v="1113.5899999999999"/>
    <x v="0"/>
    <n v="29"/>
  </r>
  <r>
    <s v="CLM00947"/>
    <s v="P0030"/>
    <s v="PR035"/>
    <s v="S006"/>
    <d v="2024-03-21T00:00:00"/>
    <d v="2024-03-22T00:00:00"/>
    <d v="2024-04-09T00:00:00"/>
    <n v="18"/>
    <s v="Mar-2024"/>
    <x v="2"/>
    <n v="1113.28"/>
    <x v="0"/>
    <n v="18"/>
  </r>
  <r>
    <s v="CLM01960"/>
    <s v="P0346"/>
    <s v="PR021"/>
    <s v="S003"/>
    <d v="2024-02-17T00:00:00"/>
    <d v="2024-02-20T00:00:00"/>
    <m/>
    <s v=""/>
    <s v="Feb-2024"/>
    <x v="3"/>
    <n v="1111.96"/>
    <x v="2"/>
    <m/>
  </r>
  <r>
    <s v="CLM01975"/>
    <s v="P0357"/>
    <s v="PR018"/>
    <s v="S006"/>
    <d v="2024-06-17T00:00:00"/>
    <d v="2024-06-22T00:00:00"/>
    <d v="2024-07-22T00:00:00"/>
    <n v="30"/>
    <s v="Jun-2024"/>
    <x v="1"/>
    <n v="1110.49"/>
    <x v="0"/>
    <n v="30"/>
  </r>
  <r>
    <s v="CLM00940"/>
    <s v="P0059"/>
    <s v="PR021"/>
    <s v="S006"/>
    <d v="2023-10-08T00:00:00"/>
    <d v="2023-10-09T00:00:00"/>
    <d v="2023-10-20T00:00:00"/>
    <n v="11"/>
    <s v="Oct-2023"/>
    <x v="4"/>
    <n v="1107.05"/>
    <x v="0"/>
    <n v="11"/>
  </r>
  <r>
    <s v="CLM01661"/>
    <s v="P0201"/>
    <s v="PR023"/>
    <s v="S006"/>
    <d v="2024-05-22T00:00:00"/>
    <d v="2024-05-25T00:00:00"/>
    <d v="2024-06-10T00:00:00"/>
    <n v="16"/>
    <s v="May-2024"/>
    <x v="0"/>
    <n v="1101.27"/>
    <x v="1"/>
    <n v="16"/>
  </r>
  <r>
    <s v="CLM00763"/>
    <s v="P0273"/>
    <s v="PR007"/>
    <s v="S006"/>
    <d v="2024-01-20T00:00:00"/>
    <d v="2024-01-23T00:00:00"/>
    <d v="2024-01-26T00:00:00"/>
    <n v="3"/>
    <s v="Jan-2024"/>
    <x v="0"/>
    <n v="1100.3399999999999"/>
    <x v="0"/>
    <n v="3"/>
  </r>
  <r>
    <s v="CLM00890"/>
    <s v="P0436"/>
    <s v="PR029"/>
    <s v="S003"/>
    <d v="2023-09-22T00:00:00"/>
    <d v="2023-09-23T00:00:00"/>
    <d v="2023-10-03T00:00:00"/>
    <n v="10"/>
    <s v="Sep-2023"/>
    <x v="2"/>
    <n v="1099.9100000000001"/>
    <x v="0"/>
    <n v="10"/>
  </r>
  <r>
    <s v="CLM00019"/>
    <s v="P0317"/>
    <s v="PR025"/>
    <s v="S003"/>
    <d v="2023-06-03T00:00:00"/>
    <d v="2023-06-06T00:00:00"/>
    <d v="2023-07-06T00:00:00"/>
    <n v="30"/>
    <s v="Jun-2023"/>
    <x v="0"/>
    <n v="1099.3499999999999"/>
    <x v="1"/>
    <n v="30"/>
  </r>
  <r>
    <s v="CLM01295"/>
    <s v="P0263"/>
    <s v="PR019"/>
    <s v="S006"/>
    <d v="2024-05-26T00:00:00"/>
    <d v="2024-05-27T00:00:00"/>
    <d v="2024-06-16T00:00:00"/>
    <n v="20"/>
    <s v="May-2024"/>
    <x v="2"/>
    <n v="1098.52"/>
    <x v="0"/>
    <n v="20"/>
  </r>
  <r>
    <s v="CLM00044"/>
    <s v="P0071"/>
    <s v="PR029"/>
    <s v="S003"/>
    <d v="2023-07-07T00:00:00"/>
    <d v="2023-07-08T00:00:00"/>
    <d v="2023-07-27T00:00:00"/>
    <n v="19"/>
    <s v="Jul-2023"/>
    <x v="4"/>
    <n v="1098.43"/>
    <x v="0"/>
    <n v="19"/>
  </r>
  <r>
    <s v="CLM01669"/>
    <s v="P0325"/>
    <s v="PR020"/>
    <s v="S003"/>
    <d v="2023-03-20T00:00:00"/>
    <d v="2023-03-24T00:00:00"/>
    <d v="2023-04-14T00:00:00"/>
    <n v="21"/>
    <s v="Mar-2023"/>
    <x v="2"/>
    <n v="1094.3499999999999"/>
    <x v="0"/>
    <n v="21"/>
  </r>
  <r>
    <s v="CLM00562"/>
    <s v="P0039"/>
    <s v="PR019"/>
    <s v="S003"/>
    <d v="2024-12-04T00:00:00"/>
    <d v="2024-12-05T00:00:00"/>
    <d v="2024-12-30T00:00:00"/>
    <n v="25"/>
    <s v="Dec-2024"/>
    <x v="2"/>
    <n v="1090.81"/>
    <x v="0"/>
    <n v="25"/>
  </r>
  <r>
    <s v="CLM01660"/>
    <s v="P0133"/>
    <s v="PR018"/>
    <s v="S003"/>
    <d v="2023-02-28T00:00:00"/>
    <d v="2023-03-03T00:00:00"/>
    <d v="2023-03-18T00:00:00"/>
    <n v="15"/>
    <s v="Feb-2023"/>
    <x v="4"/>
    <n v="1081.83"/>
    <x v="0"/>
    <n v="15"/>
  </r>
  <r>
    <s v="CLM00369"/>
    <s v="P0432"/>
    <s v="PR039"/>
    <s v="S003"/>
    <d v="2023-05-04T00:00:00"/>
    <d v="2023-05-07T00:00:00"/>
    <d v="2023-05-19T00:00:00"/>
    <n v="12"/>
    <s v="May-2023"/>
    <x v="4"/>
    <n v="1080.54"/>
    <x v="0"/>
    <n v="12"/>
  </r>
  <r>
    <s v="CLM01958"/>
    <s v="P0383"/>
    <s v="PR025"/>
    <s v="S006"/>
    <d v="2023-07-18T00:00:00"/>
    <d v="2023-07-19T00:00:00"/>
    <m/>
    <s v=""/>
    <s v="Jul-2023"/>
    <x v="0"/>
    <n v="1079.45"/>
    <x v="2"/>
    <m/>
  </r>
  <r>
    <s v="CLM01377"/>
    <s v="P0022"/>
    <s v="PR010"/>
    <s v="S006"/>
    <d v="2023-04-19T00:00:00"/>
    <d v="2023-04-20T00:00:00"/>
    <m/>
    <s v=""/>
    <s v="Apr-2023"/>
    <x v="4"/>
    <n v="1076.92"/>
    <x v="2"/>
    <m/>
  </r>
  <r>
    <s v="CLM01112"/>
    <s v="P0136"/>
    <s v="PR023"/>
    <s v="S006"/>
    <d v="2024-11-29T00:00:00"/>
    <d v="2024-11-30T00:00:00"/>
    <d v="2024-12-25T00:00:00"/>
    <n v="25"/>
    <s v="Nov-2024"/>
    <x v="1"/>
    <n v="1069.97"/>
    <x v="0"/>
    <n v="25"/>
  </r>
  <r>
    <s v="CLM00957"/>
    <s v="P0447"/>
    <s v="PR036"/>
    <s v="S006"/>
    <d v="2023-06-27T00:00:00"/>
    <d v="2023-07-02T00:00:00"/>
    <d v="2023-07-08T00:00:00"/>
    <n v="6"/>
    <s v="Jun-2023"/>
    <x v="4"/>
    <n v="1067.05"/>
    <x v="0"/>
    <n v="6"/>
  </r>
  <r>
    <s v="CLM00036"/>
    <s v="P0209"/>
    <s v="PR039"/>
    <s v="S006"/>
    <d v="2024-11-28T00:00:00"/>
    <d v="2024-12-02T00:00:00"/>
    <d v="2024-12-22T00:00:00"/>
    <n v="20"/>
    <s v="Nov-2024"/>
    <x v="4"/>
    <n v="1065.9100000000001"/>
    <x v="0"/>
    <n v="20"/>
  </r>
  <r>
    <s v="CLM01423"/>
    <s v="P0441"/>
    <s v="PR017"/>
    <s v="S006"/>
    <d v="2024-05-29T00:00:00"/>
    <d v="2024-06-01T00:00:00"/>
    <d v="2024-06-16T00:00:00"/>
    <n v="15"/>
    <s v="May-2024"/>
    <x v="2"/>
    <n v="1062.1099999999999"/>
    <x v="0"/>
    <n v="15"/>
  </r>
  <r>
    <s v="CLM01087"/>
    <s v="P0454"/>
    <s v="PR003"/>
    <s v="S006"/>
    <d v="2024-02-02T00:00:00"/>
    <d v="2024-02-03T00:00:00"/>
    <d v="2024-02-07T00:00:00"/>
    <n v="4"/>
    <s v="Feb-2024"/>
    <x v="2"/>
    <n v="1058.31"/>
    <x v="1"/>
    <n v="4"/>
  </r>
  <r>
    <s v="CLM01565"/>
    <s v="P0405"/>
    <s v="PR038"/>
    <s v="S006"/>
    <d v="2023-10-10T00:00:00"/>
    <d v="2023-10-13T00:00:00"/>
    <m/>
    <s v=""/>
    <s v="Oct-2023"/>
    <x v="4"/>
    <n v="1053.46"/>
    <x v="2"/>
    <m/>
  </r>
  <r>
    <s v="CLM00534"/>
    <s v="P0327"/>
    <s v="PR027"/>
    <s v="S006"/>
    <d v="2023-10-18T00:00:00"/>
    <d v="2023-10-20T00:00:00"/>
    <d v="2023-10-23T00:00:00"/>
    <n v="3"/>
    <s v="Oct-2023"/>
    <x v="4"/>
    <n v="1043.6199999999999"/>
    <x v="0"/>
    <n v="3"/>
  </r>
  <r>
    <s v="CLM00833"/>
    <s v="P0073"/>
    <s v="PR009"/>
    <s v="S006"/>
    <d v="2023-05-27T00:00:00"/>
    <d v="2023-05-31T00:00:00"/>
    <d v="2023-06-16T00:00:00"/>
    <n v="16"/>
    <s v="May-2023"/>
    <x v="2"/>
    <n v="1032.8699999999999"/>
    <x v="0"/>
    <n v="16"/>
  </r>
  <r>
    <s v="CLM00366"/>
    <s v="P0443"/>
    <s v="PR014"/>
    <s v="S006"/>
    <d v="2024-03-29T00:00:00"/>
    <d v="2024-03-31T00:00:00"/>
    <d v="2024-04-24T00:00:00"/>
    <n v="24"/>
    <s v="Mar-2024"/>
    <x v="3"/>
    <n v="1032.23"/>
    <x v="0"/>
    <n v="24"/>
  </r>
  <r>
    <s v="CLM01108"/>
    <s v="P0194"/>
    <s v="PR035"/>
    <s v="S006"/>
    <d v="2024-11-28T00:00:00"/>
    <d v="2024-12-01T00:00:00"/>
    <d v="2024-12-18T00:00:00"/>
    <n v="17"/>
    <s v="Nov-2024"/>
    <x v="1"/>
    <n v="1029.31"/>
    <x v="0"/>
    <n v="17"/>
  </r>
  <r>
    <s v="CLM01078"/>
    <s v="P0145"/>
    <s v="PR016"/>
    <s v="S006"/>
    <d v="2024-10-11T00:00:00"/>
    <d v="2024-10-16T00:00:00"/>
    <d v="2024-11-07T00:00:00"/>
    <n v="22"/>
    <s v="Oct-2024"/>
    <x v="0"/>
    <n v="1028.3599999999999"/>
    <x v="0"/>
    <n v="22"/>
  </r>
  <r>
    <s v="CLM01548"/>
    <s v="P0164"/>
    <s v="PR035"/>
    <s v="S006"/>
    <d v="2023-11-09T00:00:00"/>
    <d v="2023-11-12T00:00:00"/>
    <d v="2023-11-24T00:00:00"/>
    <n v="12"/>
    <s v="Nov-2023"/>
    <x v="2"/>
    <n v="1021.48"/>
    <x v="0"/>
    <n v="12"/>
  </r>
  <r>
    <s v="CLM00387"/>
    <s v="P0207"/>
    <s v="PR027"/>
    <s v="S006"/>
    <d v="2024-01-28T00:00:00"/>
    <d v="2024-01-30T00:00:00"/>
    <d v="2024-02-02T00:00:00"/>
    <n v="3"/>
    <s v="Jan-2024"/>
    <x v="4"/>
    <n v="1020.43"/>
    <x v="0"/>
    <n v="3"/>
  </r>
  <r>
    <s v="CLM01499"/>
    <s v="P0166"/>
    <s v="PR035"/>
    <s v="S006"/>
    <d v="2024-05-29T00:00:00"/>
    <d v="2024-05-30T00:00:00"/>
    <d v="2024-06-07T00:00:00"/>
    <n v="8"/>
    <s v="May-2024"/>
    <x v="2"/>
    <n v="1019.2"/>
    <x v="1"/>
    <n v="8"/>
  </r>
  <r>
    <s v="CLM00448"/>
    <s v="P0013"/>
    <s v="PR029"/>
    <s v="S006"/>
    <d v="2023-03-09T00:00:00"/>
    <d v="2023-03-10T00:00:00"/>
    <d v="2023-03-25T00:00:00"/>
    <n v="15"/>
    <s v="Mar-2023"/>
    <x v="4"/>
    <n v="1005.76"/>
    <x v="0"/>
    <n v="15"/>
  </r>
  <r>
    <s v="CLM01055"/>
    <s v="P0044"/>
    <s v="PR034"/>
    <s v="S006"/>
    <d v="2023-06-22T00:00:00"/>
    <d v="2023-06-24T00:00:00"/>
    <d v="2023-07-04T00:00:00"/>
    <n v="10"/>
    <s v="Jun-2023"/>
    <x v="2"/>
    <n v="1002.62"/>
    <x v="0"/>
    <n v="10"/>
  </r>
  <r>
    <s v="CLM00739"/>
    <s v="P0342"/>
    <s v="PR033"/>
    <s v="S006"/>
    <d v="2023-04-19T00:00:00"/>
    <d v="2023-04-23T00:00:00"/>
    <d v="2023-05-01T00:00:00"/>
    <n v="8"/>
    <s v="Apr-2023"/>
    <x v="2"/>
    <n v="999.95"/>
    <x v="0"/>
    <n v="8"/>
  </r>
  <r>
    <s v="CLM01914"/>
    <s v="P0434"/>
    <s v="PR005"/>
    <s v="S006"/>
    <d v="2023-04-03T00:00:00"/>
    <d v="2023-04-07T00:00:00"/>
    <d v="2023-05-07T00:00:00"/>
    <n v="30"/>
    <s v="Apr-2023"/>
    <x v="1"/>
    <n v="999.34"/>
    <x v="0"/>
    <n v="30"/>
  </r>
  <r>
    <s v="CLM01175"/>
    <s v="P0139"/>
    <s v="PR010"/>
    <s v="S006"/>
    <d v="2023-12-28T00:00:00"/>
    <d v="2023-12-30T00:00:00"/>
    <d v="2024-01-09T00:00:00"/>
    <n v="10"/>
    <s v="Dec-2023"/>
    <x v="1"/>
    <n v="997.44"/>
    <x v="1"/>
    <n v="10"/>
  </r>
  <r>
    <s v="CLM00330"/>
    <s v="P0090"/>
    <s v="PR036"/>
    <s v="S014"/>
    <d v="2024-03-25T00:00:00"/>
    <d v="2024-03-29T00:00:00"/>
    <d v="2024-04-13T00:00:00"/>
    <n v="15"/>
    <s v="Mar-2024"/>
    <x v="2"/>
    <n v="996.98"/>
    <x v="0"/>
    <n v="15"/>
  </r>
  <r>
    <s v="CLM01484"/>
    <s v="P0195"/>
    <s v="PR022"/>
    <s v="S006"/>
    <d v="2023-06-16T00:00:00"/>
    <d v="2023-06-20T00:00:00"/>
    <d v="2023-07-01T00:00:00"/>
    <n v="11"/>
    <s v="Jun-2023"/>
    <x v="2"/>
    <n v="995.68"/>
    <x v="0"/>
    <n v="11"/>
  </r>
  <r>
    <s v="CLM00420"/>
    <s v="P0052"/>
    <s v="PR034"/>
    <s v="S014"/>
    <d v="2024-12-13T00:00:00"/>
    <d v="2024-12-18T00:00:00"/>
    <m/>
    <s v=""/>
    <s v="Dec-2024"/>
    <x v="3"/>
    <n v="995.41"/>
    <x v="2"/>
    <m/>
  </r>
  <r>
    <s v="CLM01624"/>
    <s v="P0015"/>
    <s v="PR040"/>
    <s v="S006"/>
    <d v="2024-01-22T00:00:00"/>
    <d v="2024-01-23T00:00:00"/>
    <m/>
    <s v=""/>
    <s v="Jan-2024"/>
    <x v="2"/>
    <n v="994.03"/>
    <x v="2"/>
    <m/>
  </r>
  <r>
    <s v="CLM01541"/>
    <s v="P0276"/>
    <s v="PR038"/>
    <s v="S014"/>
    <d v="2023-04-05T00:00:00"/>
    <d v="2023-04-06T00:00:00"/>
    <d v="2023-05-06T00:00:00"/>
    <n v="30"/>
    <s v="Apr-2023"/>
    <x v="0"/>
    <n v="988.19"/>
    <x v="0"/>
    <n v="30"/>
  </r>
  <r>
    <s v="CLM01451"/>
    <s v="P0375"/>
    <s v="PR010"/>
    <s v="S006"/>
    <d v="2023-09-29T00:00:00"/>
    <d v="2023-10-02T00:00:00"/>
    <d v="2023-10-27T00:00:00"/>
    <n v="25"/>
    <s v="Sep-2023"/>
    <x v="2"/>
    <n v="984.56"/>
    <x v="0"/>
    <n v="25"/>
  </r>
  <r>
    <s v="CLM00577"/>
    <s v="P0131"/>
    <s v="PR016"/>
    <s v="S006"/>
    <d v="2023-09-25T00:00:00"/>
    <d v="2023-09-29T00:00:00"/>
    <d v="2023-10-24T00:00:00"/>
    <n v="25"/>
    <s v="Sep-2023"/>
    <x v="4"/>
    <n v="982.91"/>
    <x v="0"/>
    <n v="25"/>
  </r>
  <r>
    <s v="CLM00974"/>
    <s v="P0031"/>
    <s v="PR008"/>
    <s v="S014"/>
    <d v="2023-03-16T00:00:00"/>
    <d v="2023-03-17T00:00:00"/>
    <d v="2023-03-29T00:00:00"/>
    <n v="12"/>
    <s v="Mar-2023"/>
    <x v="1"/>
    <n v="982.12"/>
    <x v="1"/>
    <n v="12"/>
  </r>
  <r>
    <s v="CLM00516"/>
    <s v="P0337"/>
    <s v="PR003"/>
    <s v="S006"/>
    <d v="2023-09-19T00:00:00"/>
    <d v="2023-09-20T00:00:00"/>
    <d v="2023-10-05T00:00:00"/>
    <n v="15"/>
    <s v="Sep-2023"/>
    <x v="1"/>
    <n v="980.85"/>
    <x v="0"/>
    <n v="15"/>
  </r>
  <r>
    <s v="CLM01899"/>
    <s v="P0427"/>
    <s v="PR039"/>
    <s v="S006"/>
    <d v="2024-08-06T00:00:00"/>
    <d v="2024-08-07T00:00:00"/>
    <d v="2024-08-12T00:00:00"/>
    <n v="5"/>
    <s v="Aug-2024"/>
    <x v="2"/>
    <n v="980.11"/>
    <x v="0"/>
    <n v="5"/>
  </r>
  <r>
    <s v="CLM01037"/>
    <s v="P0303"/>
    <s v="PR030"/>
    <s v="S014"/>
    <d v="2023-10-30T00:00:00"/>
    <d v="2023-11-01T00:00:00"/>
    <d v="2023-11-07T00:00:00"/>
    <n v="6"/>
    <s v="Oct-2023"/>
    <x v="4"/>
    <n v="978.01"/>
    <x v="0"/>
    <n v="6"/>
  </r>
  <r>
    <s v="CLM01625"/>
    <s v="P0044"/>
    <s v="PR029"/>
    <s v="S014"/>
    <d v="2023-04-08T00:00:00"/>
    <d v="2023-04-13T00:00:00"/>
    <d v="2023-04-28T00:00:00"/>
    <n v="15"/>
    <s v="Apr-2023"/>
    <x v="2"/>
    <n v="977.66"/>
    <x v="0"/>
    <n v="15"/>
  </r>
  <r>
    <s v="CLM00815"/>
    <s v="P0411"/>
    <s v="PR012"/>
    <s v="S006"/>
    <d v="2024-02-11T00:00:00"/>
    <d v="2024-02-14T00:00:00"/>
    <d v="2024-03-10T00:00:00"/>
    <n v="25"/>
    <s v="Feb-2024"/>
    <x v="1"/>
    <n v="975.2"/>
    <x v="0"/>
    <n v="25"/>
  </r>
  <r>
    <s v="CLM01910"/>
    <s v="P0253"/>
    <s v="PR012"/>
    <s v="S014"/>
    <d v="2024-03-24T00:00:00"/>
    <d v="2024-03-29T00:00:00"/>
    <d v="2024-04-16T00:00:00"/>
    <n v="18"/>
    <s v="Mar-2024"/>
    <x v="1"/>
    <n v="970.62"/>
    <x v="0"/>
    <n v="18"/>
  </r>
  <r>
    <s v="CLM00380"/>
    <s v="P0234"/>
    <s v="PR004"/>
    <s v="S014"/>
    <d v="2023-11-09T00:00:00"/>
    <d v="2023-11-10T00:00:00"/>
    <d v="2023-12-04T00:00:00"/>
    <n v="24"/>
    <s v="Nov-2023"/>
    <x v="2"/>
    <n v="970.53"/>
    <x v="0"/>
    <n v="24"/>
  </r>
  <r>
    <s v="CLM00641"/>
    <s v="P0109"/>
    <s v="PR003"/>
    <s v="S006"/>
    <d v="2023-08-11T00:00:00"/>
    <d v="2023-08-16T00:00:00"/>
    <m/>
    <s v=""/>
    <s v="Aug-2023"/>
    <x v="2"/>
    <n v="966.13"/>
    <x v="2"/>
    <m/>
  </r>
  <r>
    <s v="CLM00259"/>
    <s v="P0389"/>
    <s v="PR004"/>
    <s v="S014"/>
    <d v="2024-08-08T00:00:00"/>
    <d v="2024-08-13T00:00:00"/>
    <d v="2024-08-21T00:00:00"/>
    <n v="8"/>
    <s v="Aug-2024"/>
    <x v="0"/>
    <n v="963.82"/>
    <x v="1"/>
    <n v="8"/>
  </r>
  <r>
    <s v="CLM01306"/>
    <s v="P0043"/>
    <s v="PR032"/>
    <s v="S014"/>
    <d v="2023-06-04T00:00:00"/>
    <d v="2023-06-06T00:00:00"/>
    <m/>
    <s v=""/>
    <s v="Jun-2023"/>
    <x v="3"/>
    <n v="956.93"/>
    <x v="2"/>
    <m/>
  </r>
  <r>
    <s v="CLM00198"/>
    <s v="P0269"/>
    <s v="PR017"/>
    <s v="S006"/>
    <d v="2024-05-08T00:00:00"/>
    <d v="2024-05-10T00:00:00"/>
    <m/>
    <s v=""/>
    <s v="May-2024"/>
    <x v="0"/>
    <n v="950.71"/>
    <x v="2"/>
    <m/>
  </r>
  <r>
    <s v="CLM01705"/>
    <s v="P0029"/>
    <s v="PR011"/>
    <s v="S006"/>
    <d v="2024-10-05T00:00:00"/>
    <d v="2024-10-07T00:00:00"/>
    <d v="2024-10-14T00:00:00"/>
    <n v="7"/>
    <s v="Oct-2024"/>
    <x v="2"/>
    <n v="949.79"/>
    <x v="0"/>
    <n v="7"/>
  </r>
  <r>
    <s v="CLM01775"/>
    <s v="P0390"/>
    <s v="PR012"/>
    <s v="S014"/>
    <d v="2023-09-09T00:00:00"/>
    <d v="2023-09-13T00:00:00"/>
    <m/>
    <s v=""/>
    <s v="Sep-2023"/>
    <x v="2"/>
    <n v="949.04"/>
    <x v="2"/>
    <m/>
  </r>
  <r>
    <s v="CLM00179"/>
    <s v="P0176"/>
    <s v="PR027"/>
    <s v="S014"/>
    <d v="2024-09-20T00:00:00"/>
    <d v="2024-09-23T00:00:00"/>
    <d v="2024-10-10T00:00:00"/>
    <n v="17"/>
    <s v="Sep-2024"/>
    <x v="2"/>
    <n v="946.87"/>
    <x v="0"/>
    <n v="17"/>
  </r>
  <r>
    <s v="CLM01877"/>
    <s v="P0210"/>
    <s v="PR030"/>
    <s v="S006"/>
    <d v="2024-09-29T00:00:00"/>
    <d v="2024-10-02T00:00:00"/>
    <d v="2024-10-16T00:00:00"/>
    <n v="14"/>
    <s v="Sep-2024"/>
    <x v="1"/>
    <n v="946.39"/>
    <x v="1"/>
    <n v="14"/>
  </r>
  <r>
    <s v="CLM01120"/>
    <s v="P0450"/>
    <s v="PR024"/>
    <s v="S006"/>
    <d v="2023-02-02T00:00:00"/>
    <d v="2023-02-04T00:00:00"/>
    <d v="2023-02-23T00:00:00"/>
    <n v="19"/>
    <s v="Feb-2023"/>
    <x v="1"/>
    <n v="946.02"/>
    <x v="0"/>
    <n v="19"/>
  </r>
  <r>
    <s v="CLM00600"/>
    <s v="P0315"/>
    <s v="PR006"/>
    <s v="S006"/>
    <d v="2024-04-29T00:00:00"/>
    <d v="2024-05-04T00:00:00"/>
    <m/>
    <s v=""/>
    <s v="Apr-2024"/>
    <x v="4"/>
    <n v="945.93"/>
    <x v="2"/>
    <m/>
  </r>
  <r>
    <s v="CLM00564"/>
    <s v="P0281"/>
    <s v="PR035"/>
    <s v="S014"/>
    <d v="2024-10-20T00:00:00"/>
    <d v="2024-10-21T00:00:00"/>
    <d v="2024-11-02T00:00:00"/>
    <n v="12"/>
    <s v="Oct-2024"/>
    <x v="4"/>
    <n v="944.93"/>
    <x v="1"/>
    <n v="12"/>
  </r>
  <r>
    <s v="CLM00809"/>
    <s v="P0472"/>
    <s v="PR034"/>
    <s v="S014"/>
    <d v="2024-11-25T00:00:00"/>
    <d v="2024-11-26T00:00:00"/>
    <d v="2024-12-25T00:00:00"/>
    <n v="29"/>
    <s v="Nov-2024"/>
    <x v="3"/>
    <n v="944.38"/>
    <x v="1"/>
    <n v="29"/>
  </r>
  <r>
    <s v="CLM00016"/>
    <s v="P0159"/>
    <s v="PR022"/>
    <s v="S006"/>
    <d v="2023-01-20T00:00:00"/>
    <d v="2023-01-23T00:00:00"/>
    <d v="2023-02-12T00:00:00"/>
    <n v="20"/>
    <s v="Jan-2023"/>
    <x v="1"/>
    <n v="943.36"/>
    <x v="0"/>
    <n v="20"/>
  </r>
  <r>
    <s v="CLM00706"/>
    <s v="P0265"/>
    <s v="PR018"/>
    <s v="S006"/>
    <d v="2023-12-10T00:00:00"/>
    <d v="2023-12-15T00:00:00"/>
    <d v="2024-01-01T00:00:00"/>
    <n v="17"/>
    <s v="Dec-2023"/>
    <x v="2"/>
    <n v="939.45"/>
    <x v="0"/>
    <n v="17"/>
  </r>
  <r>
    <s v="CLM01927"/>
    <s v="P0047"/>
    <s v="PR016"/>
    <s v="S006"/>
    <d v="2023-11-21T00:00:00"/>
    <d v="2023-11-23T00:00:00"/>
    <d v="2023-11-29T00:00:00"/>
    <n v="6"/>
    <s v="Nov-2023"/>
    <x v="3"/>
    <n v="937.55"/>
    <x v="1"/>
    <n v="6"/>
  </r>
  <r>
    <s v="CLM02000"/>
    <s v="P0487"/>
    <s v="PR029"/>
    <s v="S006"/>
    <d v="2024-07-25T00:00:00"/>
    <d v="2024-07-29T00:00:00"/>
    <d v="2024-08-10T00:00:00"/>
    <n v="12"/>
    <s v="Jul-2024"/>
    <x v="1"/>
    <n v="936.75"/>
    <x v="0"/>
    <n v="12"/>
  </r>
  <r>
    <s v="CLM01065"/>
    <s v="P0419"/>
    <s v="PR037"/>
    <s v="S006"/>
    <d v="2024-05-02T00:00:00"/>
    <d v="2024-05-03T00:00:00"/>
    <d v="2024-05-10T00:00:00"/>
    <n v="7"/>
    <s v="May-2024"/>
    <x v="1"/>
    <n v="935.4"/>
    <x v="0"/>
    <n v="7"/>
  </r>
  <r>
    <s v="CLM00718"/>
    <s v="P0268"/>
    <s v="PR009"/>
    <s v="S014"/>
    <d v="2023-09-19T00:00:00"/>
    <d v="2023-09-24T00:00:00"/>
    <d v="2023-10-03T00:00:00"/>
    <n v="9"/>
    <s v="Sep-2023"/>
    <x v="4"/>
    <n v="935.39"/>
    <x v="0"/>
    <n v="9"/>
  </r>
  <r>
    <s v="CLM00472"/>
    <s v="P0190"/>
    <s v="PR040"/>
    <s v="S014"/>
    <d v="2024-11-14T00:00:00"/>
    <d v="2024-11-16T00:00:00"/>
    <d v="2024-11-20T00:00:00"/>
    <n v="4"/>
    <s v="Nov-2024"/>
    <x v="0"/>
    <n v="935.07"/>
    <x v="0"/>
    <n v="4"/>
  </r>
  <r>
    <s v="CLM01767"/>
    <s v="P0042"/>
    <s v="PR039"/>
    <s v="S014"/>
    <d v="2024-03-20T00:00:00"/>
    <d v="2024-03-25T00:00:00"/>
    <d v="2024-04-09T00:00:00"/>
    <n v="15"/>
    <s v="Mar-2024"/>
    <x v="4"/>
    <n v="931.36"/>
    <x v="0"/>
    <n v="15"/>
  </r>
  <r>
    <s v="CLM01068"/>
    <s v="P0100"/>
    <s v="PR038"/>
    <s v="S018"/>
    <d v="2023-12-22T00:00:00"/>
    <d v="2023-12-26T00:00:00"/>
    <d v="2024-01-15T00:00:00"/>
    <n v="20"/>
    <s v="Dec-2023"/>
    <x v="0"/>
    <n v="931.21"/>
    <x v="0"/>
    <n v="20"/>
  </r>
  <r>
    <s v="CLM01441"/>
    <s v="P0144"/>
    <s v="PR010"/>
    <s v="S006"/>
    <d v="2024-05-10T00:00:00"/>
    <d v="2024-05-12T00:00:00"/>
    <d v="2024-06-01T00:00:00"/>
    <n v="20"/>
    <s v="May-2024"/>
    <x v="1"/>
    <n v="927.01"/>
    <x v="0"/>
    <n v="20"/>
  </r>
  <r>
    <s v="CLM01983"/>
    <s v="P0118"/>
    <s v="PR004"/>
    <s v="S014"/>
    <d v="2024-11-15T00:00:00"/>
    <d v="2024-11-20T00:00:00"/>
    <m/>
    <s v=""/>
    <s v="Nov-2024"/>
    <x v="2"/>
    <n v="926.86"/>
    <x v="2"/>
    <m/>
  </r>
  <r>
    <s v="CLM01006"/>
    <s v="P0145"/>
    <s v="PR015"/>
    <s v="S014"/>
    <d v="2024-07-21T00:00:00"/>
    <d v="2024-07-24T00:00:00"/>
    <d v="2024-07-30T00:00:00"/>
    <n v="6"/>
    <s v="Jul-2024"/>
    <x v="0"/>
    <n v="925.35"/>
    <x v="0"/>
    <n v="6"/>
  </r>
  <r>
    <s v="CLM00849"/>
    <s v="P0163"/>
    <s v="PR014"/>
    <s v="S018"/>
    <d v="2023-11-16T00:00:00"/>
    <d v="2023-11-19T00:00:00"/>
    <d v="2023-12-05T00:00:00"/>
    <n v="16"/>
    <s v="Nov-2023"/>
    <x v="2"/>
    <n v="924.02"/>
    <x v="0"/>
    <n v="16"/>
  </r>
  <r>
    <s v="CLM00144"/>
    <s v="P0063"/>
    <s v="PR026"/>
    <s v="S018"/>
    <d v="2023-09-07T00:00:00"/>
    <d v="2023-09-09T00:00:00"/>
    <d v="2023-09-25T00:00:00"/>
    <n v="16"/>
    <s v="Sep-2023"/>
    <x v="2"/>
    <n v="923.27"/>
    <x v="0"/>
    <n v="16"/>
  </r>
  <r>
    <s v="CLM01512"/>
    <s v="P0042"/>
    <s v="PR030"/>
    <s v="S014"/>
    <d v="2023-05-08T00:00:00"/>
    <d v="2023-05-13T00:00:00"/>
    <d v="2023-05-21T00:00:00"/>
    <n v="8"/>
    <s v="May-2023"/>
    <x v="4"/>
    <n v="922.84"/>
    <x v="0"/>
    <n v="8"/>
  </r>
  <r>
    <s v="CLM00127"/>
    <s v="P0463"/>
    <s v="PR035"/>
    <s v="S018"/>
    <d v="2023-12-08T00:00:00"/>
    <d v="2023-12-09T00:00:00"/>
    <d v="2023-12-31T00:00:00"/>
    <n v="22"/>
    <s v="Dec-2023"/>
    <x v="1"/>
    <n v="922.81"/>
    <x v="0"/>
    <n v="22"/>
  </r>
  <r>
    <s v="CLM01123"/>
    <s v="P0364"/>
    <s v="PR031"/>
    <s v="S018"/>
    <d v="2024-09-29T00:00:00"/>
    <d v="2024-10-02T00:00:00"/>
    <d v="2024-10-10T00:00:00"/>
    <n v="8"/>
    <s v="Sep-2024"/>
    <x v="4"/>
    <n v="922"/>
    <x v="0"/>
    <n v="8"/>
  </r>
  <r>
    <s v="CLM00350"/>
    <s v="P0029"/>
    <s v="PR006"/>
    <s v="S014"/>
    <d v="2023-11-10T00:00:00"/>
    <d v="2023-11-12T00:00:00"/>
    <d v="2023-11-30T00:00:00"/>
    <n v="18"/>
    <s v="Nov-2023"/>
    <x v="2"/>
    <n v="921.77"/>
    <x v="0"/>
    <n v="18"/>
  </r>
  <r>
    <s v="CLM00787"/>
    <s v="P0105"/>
    <s v="PR021"/>
    <s v="S014"/>
    <d v="2023-04-27T00:00:00"/>
    <d v="2023-05-02T00:00:00"/>
    <d v="2023-05-21T00:00:00"/>
    <n v="19"/>
    <s v="Apr-2023"/>
    <x v="0"/>
    <n v="921.68"/>
    <x v="0"/>
    <n v="19"/>
  </r>
  <r>
    <s v="CLM00296"/>
    <s v="P0321"/>
    <s v="PR023"/>
    <s v="S018"/>
    <d v="2023-01-16T00:00:00"/>
    <d v="2023-01-20T00:00:00"/>
    <d v="2023-02-10T00:00:00"/>
    <n v="21"/>
    <s v="Jan-2023"/>
    <x v="2"/>
    <n v="919.24"/>
    <x v="0"/>
    <n v="21"/>
  </r>
  <r>
    <s v="CLM01602"/>
    <s v="P0400"/>
    <s v="PR007"/>
    <s v="S014"/>
    <d v="2024-07-22T00:00:00"/>
    <d v="2024-07-27T00:00:00"/>
    <d v="2024-08-22T00:00:00"/>
    <n v="26"/>
    <s v="Jul-2024"/>
    <x v="0"/>
    <n v="918.61"/>
    <x v="0"/>
    <n v="26"/>
  </r>
  <r>
    <s v="CLM00135"/>
    <s v="P0340"/>
    <s v="PR019"/>
    <s v="S014"/>
    <d v="2024-09-09T00:00:00"/>
    <d v="2024-09-10T00:00:00"/>
    <d v="2024-10-02T00:00:00"/>
    <n v="22"/>
    <s v="Sep-2024"/>
    <x v="0"/>
    <n v="917.86"/>
    <x v="0"/>
    <n v="22"/>
  </r>
  <r>
    <s v="CLM00456"/>
    <s v="P0338"/>
    <s v="PR016"/>
    <s v="S006"/>
    <d v="2024-11-25T00:00:00"/>
    <d v="2024-11-30T00:00:00"/>
    <d v="2024-12-17T00:00:00"/>
    <n v="17"/>
    <s v="Nov-2024"/>
    <x v="2"/>
    <n v="917.84"/>
    <x v="0"/>
    <n v="17"/>
  </r>
  <r>
    <s v="CLM01067"/>
    <s v="P0404"/>
    <s v="PR015"/>
    <s v="S006"/>
    <d v="2023-03-06T00:00:00"/>
    <d v="2023-03-10T00:00:00"/>
    <d v="2023-03-14T00:00:00"/>
    <n v="4"/>
    <s v="Mar-2023"/>
    <x v="1"/>
    <n v="915.7"/>
    <x v="0"/>
    <n v="4"/>
  </r>
  <r>
    <s v="CLM00854"/>
    <s v="P0282"/>
    <s v="PR010"/>
    <s v="S006"/>
    <d v="2024-11-11T00:00:00"/>
    <d v="2024-11-13T00:00:00"/>
    <d v="2024-11-30T00:00:00"/>
    <n v="17"/>
    <s v="Nov-2024"/>
    <x v="2"/>
    <n v="915.01"/>
    <x v="0"/>
    <n v="17"/>
  </r>
  <r>
    <s v="CLM00188"/>
    <s v="P0061"/>
    <s v="PR009"/>
    <s v="S014"/>
    <d v="2024-07-26T00:00:00"/>
    <d v="2024-07-31T00:00:00"/>
    <d v="2024-08-25T00:00:00"/>
    <n v="25"/>
    <s v="Jul-2024"/>
    <x v="1"/>
    <n v="913.37"/>
    <x v="0"/>
    <n v="25"/>
  </r>
  <r>
    <s v="CLM01322"/>
    <s v="P0175"/>
    <s v="PR008"/>
    <s v="S006"/>
    <d v="2023-11-23T00:00:00"/>
    <d v="2023-11-27T00:00:00"/>
    <d v="2023-12-01T00:00:00"/>
    <n v="4"/>
    <s v="Nov-2023"/>
    <x v="1"/>
    <n v="912.03"/>
    <x v="0"/>
    <n v="4"/>
  </r>
  <r>
    <s v="CLM00729"/>
    <s v="P0273"/>
    <s v="PR026"/>
    <s v="S018"/>
    <d v="2023-03-28T00:00:00"/>
    <d v="2023-03-31T00:00:00"/>
    <d v="2023-04-15T00:00:00"/>
    <n v="15"/>
    <s v="Mar-2023"/>
    <x v="0"/>
    <n v="911.58"/>
    <x v="0"/>
    <n v="15"/>
  </r>
  <r>
    <s v="CLM00156"/>
    <s v="P0178"/>
    <s v="PR035"/>
    <s v="S018"/>
    <d v="2024-04-16T00:00:00"/>
    <d v="2024-04-17T00:00:00"/>
    <d v="2024-05-13T00:00:00"/>
    <n v="26"/>
    <s v="Apr-2024"/>
    <x v="3"/>
    <n v="911.49"/>
    <x v="0"/>
    <n v="26"/>
  </r>
  <r>
    <s v="CLM00935"/>
    <s v="P0237"/>
    <s v="PR029"/>
    <s v="S006"/>
    <d v="2024-03-12T00:00:00"/>
    <d v="2024-03-16T00:00:00"/>
    <m/>
    <s v=""/>
    <s v="Mar-2024"/>
    <x v="4"/>
    <n v="911.09"/>
    <x v="2"/>
    <m/>
  </r>
  <r>
    <s v="CLM00780"/>
    <s v="P0164"/>
    <s v="PR026"/>
    <s v="S006"/>
    <d v="2024-05-31T00:00:00"/>
    <d v="2024-06-02T00:00:00"/>
    <m/>
    <s v=""/>
    <s v="May-2024"/>
    <x v="2"/>
    <n v="909.17"/>
    <x v="2"/>
    <m/>
  </r>
  <r>
    <s v="CLM00146"/>
    <s v="P0070"/>
    <s v="PR034"/>
    <s v="S018"/>
    <d v="2024-06-16T00:00:00"/>
    <d v="2024-06-18T00:00:00"/>
    <d v="2024-07-05T00:00:00"/>
    <n v="17"/>
    <s v="Jun-2024"/>
    <x v="1"/>
    <n v="904.78"/>
    <x v="0"/>
    <n v="17"/>
  </r>
  <r>
    <s v="CLM01084"/>
    <s v="P0288"/>
    <s v="PR034"/>
    <s v="S014"/>
    <d v="2024-06-08T00:00:00"/>
    <d v="2024-06-10T00:00:00"/>
    <d v="2024-07-03T00:00:00"/>
    <n v="23"/>
    <s v="Jun-2024"/>
    <x v="1"/>
    <n v="900.44"/>
    <x v="0"/>
    <n v="23"/>
  </r>
  <r>
    <s v="CLM01744"/>
    <s v="P0298"/>
    <s v="PR018"/>
    <s v="S018"/>
    <d v="2023-06-13T00:00:00"/>
    <d v="2023-06-14T00:00:00"/>
    <d v="2023-07-02T00:00:00"/>
    <n v="18"/>
    <s v="Jun-2023"/>
    <x v="4"/>
    <n v="898.51"/>
    <x v="0"/>
    <n v="18"/>
  </r>
  <r>
    <s v="CLM00089"/>
    <s v="P0336"/>
    <s v="PR005"/>
    <s v="S006"/>
    <d v="2023-02-19T00:00:00"/>
    <d v="2023-02-24T00:00:00"/>
    <d v="2023-03-18T00:00:00"/>
    <n v="22"/>
    <s v="Feb-2023"/>
    <x v="1"/>
    <n v="896.53"/>
    <x v="1"/>
    <n v="22"/>
  </r>
  <r>
    <s v="CLM01791"/>
    <s v="P0263"/>
    <s v="PR018"/>
    <s v="S014"/>
    <d v="2024-07-26T00:00:00"/>
    <d v="2024-07-31T00:00:00"/>
    <d v="2024-08-26T00:00:00"/>
    <n v="26"/>
    <s v="Jul-2024"/>
    <x v="2"/>
    <n v="896.41"/>
    <x v="0"/>
    <n v="26"/>
  </r>
  <r>
    <s v="CLM01920"/>
    <s v="P0334"/>
    <s v="PR028"/>
    <s v="S006"/>
    <d v="2023-11-13T00:00:00"/>
    <d v="2023-11-17T00:00:00"/>
    <d v="2023-12-08T00:00:00"/>
    <n v="21"/>
    <s v="Nov-2023"/>
    <x v="1"/>
    <n v="894.6"/>
    <x v="0"/>
    <n v="21"/>
  </r>
  <r>
    <s v="CLM00239"/>
    <s v="P0019"/>
    <s v="PR034"/>
    <s v="S006"/>
    <d v="2024-11-10T00:00:00"/>
    <d v="2024-11-12T00:00:00"/>
    <d v="2024-12-11T00:00:00"/>
    <n v="29"/>
    <s v="Nov-2024"/>
    <x v="2"/>
    <n v="894.38"/>
    <x v="0"/>
    <n v="29"/>
  </r>
  <r>
    <s v="CLM00255"/>
    <s v="P0028"/>
    <s v="PR040"/>
    <s v="S014"/>
    <d v="2024-12-09T00:00:00"/>
    <d v="2024-12-10T00:00:00"/>
    <d v="2024-12-29T00:00:00"/>
    <n v="19"/>
    <s v="Dec-2024"/>
    <x v="2"/>
    <n v="891.97"/>
    <x v="0"/>
    <n v="19"/>
  </r>
  <r>
    <s v="CLM01127"/>
    <s v="P0125"/>
    <s v="PR026"/>
    <s v="S018"/>
    <d v="2024-07-08T00:00:00"/>
    <d v="2024-07-11T00:00:00"/>
    <d v="2024-07-14T00:00:00"/>
    <n v="3"/>
    <s v="Jul-2024"/>
    <x v="4"/>
    <n v="890.66"/>
    <x v="0"/>
    <n v="3"/>
  </r>
  <r>
    <s v="CLM00027"/>
    <s v="P0314"/>
    <s v="PR028"/>
    <s v="S018"/>
    <d v="2023-09-30T00:00:00"/>
    <d v="2023-10-05T00:00:00"/>
    <d v="2023-10-26T00:00:00"/>
    <n v="21"/>
    <s v="Sep-2023"/>
    <x v="3"/>
    <n v="890.1"/>
    <x v="0"/>
    <n v="21"/>
  </r>
  <r>
    <s v="CLM01302"/>
    <s v="P0380"/>
    <s v="PR032"/>
    <s v="S006"/>
    <d v="2024-07-20T00:00:00"/>
    <d v="2024-07-24T00:00:00"/>
    <d v="2024-08-12T00:00:00"/>
    <n v="19"/>
    <s v="Jul-2024"/>
    <x v="2"/>
    <n v="889.44"/>
    <x v="0"/>
    <n v="19"/>
  </r>
  <r>
    <s v="CLM01976"/>
    <s v="P0030"/>
    <s v="PR039"/>
    <s v="S018"/>
    <d v="2024-06-01T00:00:00"/>
    <d v="2024-06-04T00:00:00"/>
    <d v="2024-06-18T00:00:00"/>
    <n v="14"/>
    <s v="Jun-2024"/>
    <x v="2"/>
    <n v="888.73"/>
    <x v="0"/>
    <n v="14"/>
  </r>
  <r>
    <s v="CLM01329"/>
    <s v="P0458"/>
    <s v="PR004"/>
    <s v="S018"/>
    <d v="2023-12-25T00:00:00"/>
    <d v="2023-12-26T00:00:00"/>
    <d v="2024-01-15T00:00:00"/>
    <n v="20"/>
    <s v="Dec-2023"/>
    <x v="3"/>
    <n v="886.12"/>
    <x v="1"/>
    <n v="20"/>
  </r>
  <r>
    <s v="CLM00958"/>
    <s v="P0448"/>
    <s v="PR033"/>
    <s v="S018"/>
    <d v="2024-02-16T00:00:00"/>
    <d v="2024-02-20T00:00:00"/>
    <d v="2024-03-03T00:00:00"/>
    <n v="12"/>
    <s v="Feb-2024"/>
    <x v="2"/>
    <n v="885.67"/>
    <x v="0"/>
    <n v="12"/>
  </r>
  <r>
    <s v="CLM00576"/>
    <s v="P0412"/>
    <s v="PR026"/>
    <s v="S014"/>
    <d v="2023-04-19T00:00:00"/>
    <d v="2023-04-20T00:00:00"/>
    <d v="2023-05-16T00:00:00"/>
    <n v="26"/>
    <s v="Apr-2023"/>
    <x v="1"/>
    <n v="882.8"/>
    <x v="0"/>
    <n v="26"/>
  </r>
  <r>
    <s v="CLM01161"/>
    <s v="P0424"/>
    <s v="PR036"/>
    <s v="S014"/>
    <d v="2024-09-22T00:00:00"/>
    <d v="2024-09-27T00:00:00"/>
    <d v="2024-10-17T00:00:00"/>
    <n v="20"/>
    <s v="Sep-2024"/>
    <x v="1"/>
    <n v="882.61"/>
    <x v="1"/>
    <n v="20"/>
  </r>
  <r>
    <s v="CLM00305"/>
    <s v="P0214"/>
    <s v="PR017"/>
    <s v="S018"/>
    <d v="2023-04-12T00:00:00"/>
    <d v="2023-04-13T00:00:00"/>
    <d v="2023-05-08T00:00:00"/>
    <n v="25"/>
    <s v="Apr-2023"/>
    <x v="1"/>
    <n v="881.58"/>
    <x v="0"/>
    <n v="25"/>
  </r>
  <r>
    <s v="CLM00687"/>
    <s v="P0364"/>
    <s v="PR024"/>
    <s v="S014"/>
    <d v="2024-02-23T00:00:00"/>
    <d v="2024-02-28T00:00:00"/>
    <d v="2024-03-23T00:00:00"/>
    <n v="24"/>
    <s v="Feb-2024"/>
    <x v="4"/>
    <n v="881.57"/>
    <x v="0"/>
    <n v="24"/>
  </r>
  <r>
    <s v="CLM00245"/>
    <s v="P0153"/>
    <s v="PR039"/>
    <s v="S006"/>
    <d v="2023-02-13T00:00:00"/>
    <d v="2023-02-16T00:00:00"/>
    <d v="2023-03-11T00:00:00"/>
    <n v="23"/>
    <s v="Feb-2023"/>
    <x v="2"/>
    <n v="880.94"/>
    <x v="0"/>
    <n v="23"/>
  </r>
  <r>
    <s v="CLM01733"/>
    <s v="P0476"/>
    <s v="PR016"/>
    <s v="S018"/>
    <d v="2023-11-27T00:00:00"/>
    <d v="2023-11-28T00:00:00"/>
    <d v="2023-12-08T00:00:00"/>
    <n v="10"/>
    <s v="Nov-2023"/>
    <x v="0"/>
    <n v="880.15"/>
    <x v="0"/>
    <n v="10"/>
  </r>
  <r>
    <s v="CLM01921"/>
    <s v="P0377"/>
    <s v="PR033"/>
    <s v="S018"/>
    <d v="2023-10-22T00:00:00"/>
    <d v="2023-10-26T00:00:00"/>
    <d v="2023-11-06T00:00:00"/>
    <n v="11"/>
    <s v="Oct-2023"/>
    <x v="2"/>
    <n v="878.86"/>
    <x v="0"/>
    <n v="11"/>
  </r>
  <r>
    <s v="CLM01826"/>
    <s v="P0011"/>
    <s v="PR033"/>
    <s v="S006"/>
    <d v="2024-07-20T00:00:00"/>
    <d v="2024-07-21T00:00:00"/>
    <d v="2024-07-31T00:00:00"/>
    <n v="10"/>
    <s v="Jul-2024"/>
    <x v="2"/>
    <n v="876.69"/>
    <x v="0"/>
    <n v="10"/>
  </r>
  <r>
    <s v="CLM00142"/>
    <s v="P0257"/>
    <s v="PR028"/>
    <s v="S018"/>
    <d v="2024-09-10T00:00:00"/>
    <d v="2024-09-12T00:00:00"/>
    <m/>
    <s v=""/>
    <s v="Sep-2024"/>
    <x v="4"/>
    <n v="874.62"/>
    <x v="2"/>
    <m/>
  </r>
  <r>
    <s v="CLM01022"/>
    <s v="P0269"/>
    <s v="PR006"/>
    <s v="S014"/>
    <d v="2024-06-06T00:00:00"/>
    <d v="2024-06-08T00:00:00"/>
    <d v="2024-06-17T00:00:00"/>
    <n v="9"/>
    <s v="Jun-2024"/>
    <x v="0"/>
    <n v="873.45"/>
    <x v="0"/>
    <n v="9"/>
  </r>
  <r>
    <s v="CLM00020"/>
    <s v="P0207"/>
    <s v="PR021"/>
    <s v="S014"/>
    <d v="2024-04-13T00:00:00"/>
    <d v="2024-04-14T00:00:00"/>
    <d v="2024-04-26T00:00:00"/>
    <n v="12"/>
    <s v="Apr-2024"/>
    <x v="4"/>
    <n v="872.29"/>
    <x v="0"/>
    <n v="12"/>
  </r>
  <r>
    <s v="CLM00510"/>
    <s v="P0106"/>
    <s v="PR015"/>
    <s v="S018"/>
    <d v="2023-07-13T00:00:00"/>
    <d v="2023-07-18T00:00:00"/>
    <m/>
    <s v=""/>
    <s v="Jul-2023"/>
    <x v="0"/>
    <n v="871.41"/>
    <x v="2"/>
    <m/>
  </r>
  <r>
    <s v="CLM01044"/>
    <s v="P0448"/>
    <s v="PR026"/>
    <s v="S021"/>
    <d v="2023-07-29T00:00:00"/>
    <d v="2023-07-31T00:00:00"/>
    <d v="2023-08-18T00:00:00"/>
    <n v="18"/>
    <s v="Jul-2023"/>
    <x v="2"/>
    <n v="870.35"/>
    <x v="0"/>
    <n v="18"/>
  </r>
  <r>
    <s v="CLM00987"/>
    <s v="P0191"/>
    <s v="PR011"/>
    <s v="S006"/>
    <d v="2024-01-25T00:00:00"/>
    <d v="2024-01-30T00:00:00"/>
    <d v="2024-02-06T00:00:00"/>
    <n v="7"/>
    <s v="Jan-2024"/>
    <x v="2"/>
    <n v="870.26"/>
    <x v="0"/>
    <n v="7"/>
  </r>
  <r>
    <s v="CLM01518"/>
    <s v="P0022"/>
    <s v="PR023"/>
    <s v="S018"/>
    <d v="2023-03-19T00:00:00"/>
    <d v="2023-03-24T00:00:00"/>
    <m/>
    <s v=""/>
    <s v="Mar-2023"/>
    <x v="4"/>
    <n v="870.12"/>
    <x v="2"/>
    <m/>
  </r>
  <r>
    <s v="CLM00393"/>
    <s v="P0380"/>
    <s v="PR033"/>
    <s v="S006"/>
    <d v="2023-08-07T00:00:00"/>
    <d v="2023-08-09T00:00:00"/>
    <m/>
    <s v=""/>
    <s v="Aug-2023"/>
    <x v="2"/>
    <n v="869.19"/>
    <x v="2"/>
    <m/>
  </r>
  <r>
    <s v="CLM01829"/>
    <s v="P0489"/>
    <s v="PR012"/>
    <s v="S021"/>
    <d v="2024-09-13T00:00:00"/>
    <d v="2024-09-14T00:00:00"/>
    <d v="2024-09-28T00:00:00"/>
    <n v="14"/>
    <s v="Sep-2024"/>
    <x v="1"/>
    <n v="869.14"/>
    <x v="1"/>
    <n v="14"/>
  </r>
  <r>
    <s v="CLM01231"/>
    <s v="P0074"/>
    <s v="PR020"/>
    <s v="S006"/>
    <d v="2024-06-03T00:00:00"/>
    <d v="2024-06-04T00:00:00"/>
    <d v="2024-06-14T00:00:00"/>
    <n v="10"/>
    <s v="Jun-2024"/>
    <x v="1"/>
    <n v="866.59"/>
    <x v="0"/>
    <n v="10"/>
  </r>
  <r>
    <s v="CLM00723"/>
    <s v="P0190"/>
    <s v="PR028"/>
    <s v="S014"/>
    <d v="2023-05-02T00:00:00"/>
    <d v="2023-05-06T00:00:00"/>
    <d v="2023-05-28T00:00:00"/>
    <n v="22"/>
    <s v="May-2023"/>
    <x v="0"/>
    <n v="862.73"/>
    <x v="0"/>
    <n v="22"/>
  </r>
  <r>
    <s v="CLM01623"/>
    <s v="P0288"/>
    <s v="PR023"/>
    <s v="S014"/>
    <d v="2024-08-05T00:00:00"/>
    <d v="2024-08-10T00:00:00"/>
    <d v="2024-09-03T00:00:00"/>
    <n v="24"/>
    <s v="Aug-2024"/>
    <x v="1"/>
    <n v="860.86"/>
    <x v="0"/>
    <n v="24"/>
  </r>
  <r>
    <s v="CLM00083"/>
    <s v="P0222"/>
    <s v="PR017"/>
    <s v="S006"/>
    <d v="2024-08-24T00:00:00"/>
    <d v="2024-08-26T00:00:00"/>
    <d v="2024-09-25T00:00:00"/>
    <n v="30"/>
    <s v="Aug-2024"/>
    <x v="1"/>
    <n v="859.93"/>
    <x v="1"/>
    <n v="30"/>
  </r>
  <r>
    <s v="CLM00989"/>
    <s v="P0182"/>
    <s v="PR018"/>
    <s v="S021"/>
    <d v="2023-06-06T00:00:00"/>
    <d v="2023-06-11T00:00:00"/>
    <d v="2023-06-24T00:00:00"/>
    <n v="13"/>
    <s v="Jun-2023"/>
    <x v="2"/>
    <n v="859.55"/>
    <x v="0"/>
    <n v="13"/>
  </r>
  <r>
    <s v="CLM00795"/>
    <s v="P0355"/>
    <s v="PR013"/>
    <s v="S018"/>
    <d v="2024-05-01T00:00:00"/>
    <d v="2024-05-06T00:00:00"/>
    <d v="2024-05-22T00:00:00"/>
    <n v="16"/>
    <s v="May-2024"/>
    <x v="3"/>
    <n v="857.05"/>
    <x v="1"/>
    <n v="16"/>
  </r>
  <r>
    <s v="CLM00445"/>
    <s v="P0049"/>
    <s v="PR014"/>
    <s v="S014"/>
    <d v="2023-08-10T00:00:00"/>
    <d v="2023-08-13T00:00:00"/>
    <d v="2023-08-31T00:00:00"/>
    <n v="18"/>
    <s v="Aug-2023"/>
    <x v="4"/>
    <n v="853.56"/>
    <x v="0"/>
    <n v="18"/>
  </r>
  <r>
    <s v="CLM00229"/>
    <s v="P0197"/>
    <s v="PR025"/>
    <s v="S006"/>
    <d v="2023-03-09T00:00:00"/>
    <d v="2023-03-10T00:00:00"/>
    <d v="2023-03-27T00:00:00"/>
    <n v="17"/>
    <s v="Mar-2023"/>
    <x v="4"/>
    <n v="852.27"/>
    <x v="0"/>
    <n v="17"/>
  </r>
  <r>
    <s v="CLM00421"/>
    <s v="P0271"/>
    <s v="PR024"/>
    <s v="S018"/>
    <d v="2023-10-11T00:00:00"/>
    <d v="2023-10-15T00:00:00"/>
    <d v="2023-10-23T00:00:00"/>
    <n v="8"/>
    <s v="Oct-2023"/>
    <x v="1"/>
    <n v="850.18"/>
    <x v="0"/>
    <n v="8"/>
  </r>
  <r>
    <s v="CLM00222"/>
    <s v="P0207"/>
    <s v="PR025"/>
    <s v="S021"/>
    <d v="2024-07-14T00:00:00"/>
    <d v="2024-07-16T00:00:00"/>
    <d v="2024-08-02T00:00:00"/>
    <n v="17"/>
    <s v="Jul-2024"/>
    <x v="4"/>
    <n v="849.7"/>
    <x v="0"/>
    <n v="17"/>
  </r>
  <r>
    <s v="CLM00927"/>
    <s v="P0005"/>
    <s v="PR032"/>
    <s v="S006"/>
    <d v="2024-07-20T00:00:00"/>
    <d v="2024-07-25T00:00:00"/>
    <d v="2024-08-24T00:00:00"/>
    <n v="30"/>
    <s v="Jul-2024"/>
    <x v="4"/>
    <n v="847.89"/>
    <x v="0"/>
    <n v="30"/>
  </r>
  <r>
    <s v="CLM00029"/>
    <s v="P0368"/>
    <s v="PR022"/>
    <s v="S006"/>
    <d v="2024-08-05T00:00:00"/>
    <d v="2024-08-07T00:00:00"/>
    <m/>
    <s v=""/>
    <s v="Aug-2024"/>
    <x v="0"/>
    <n v="847.72"/>
    <x v="2"/>
    <m/>
  </r>
  <r>
    <s v="CLM00567"/>
    <s v="P0187"/>
    <s v="PR029"/>
    <s v="S014"/>
    <d v="2024-07-11T00:00:00"/>
    <d v="2024-07-14T00:00:00"/>
    <d v="2024-07-31T00:00:00"/>
    <n v="17"/>
    <s v="Jul-2024"/>
    <x v="3"/>
    <n v="847.54"/>
    <x v="0"/>
    <n v="17"/>
  </r>
  <r>
    <s v="CLM00236"/>
    <s v="P0061"/>
    <s v="PR016"/>
    <s v="S006"/>
    <d v="2024-09-19T00:00:00"/>
    <d v="2024-09-20T00:00:00"/>
    <d v="2024-10-05T00:00:00"/>
    <n v="15"/>
    <s v="Sep-2024"/>
    <x v="1"/>
    <n v="846.63"/>
    <x v="0"/>
    <n v="15"/>
  </r>
  <r>
    <s v="CLM01265"/>
    <s v="P0331"/>
    <s v="PR012"/>
    <s v="S018"/>
    <d v="2024-07-24T00:00:00"/>
    <d v="2024-07-29T00:00:00"/>
    <d v="2024-08-24T00:00:00"/>
    <n v="26"/>
    <s v="Jul-2024"/>
    <x v="4"/>
    <n v="846.58"/>
    <x v="0"/>
    <n v="26"/>
  </r>
  <r>
    <s v="CLM01749"/>
    <s v="P0407"/>
    <s v="PR021"/>
    <s v="S014"/>
    <d v="2024-11-16T00:00:00"/>
    <d v="2024-11-18T00:00:00"/>
    <d v="2024-11-24T00:00:00"/>
    <n v="6"/>
    <s v="Nov-2024"/>
    <x v="0"/>
    <n v="846.15"/>
    <x v="0"/>
    <n v="6"/>
  </r>
  <r>
    <s v="CLM01442"/>
    <s v="P0016"/>
    <s v="PR033"/>
    <s v="S014"/>
    <d v="2024-01-14T00:00:00"/>
    <d v="2024-01-15T00:00:00"/>
    <d v="2024-01-24T00:00:00"/>
    <n v="9"/>
    <s v="Jan-2024"/>
    <x v="3"/>
    <n v="845.7"/>
    <x v="1"/>
    <n v="9"/>
  </r>
  <r>
    <s v="CLM01613"/>
    <s v="P0198"/>
    <s v="PR030"/>
    <s v="S018"/>
    <d v="2024-02-16T00:00:00"/>
    <d v="2024-02-19T00:00:00"/>
    <d v="2024-02-25T00:00:00"/>
    <n v="6"/>
    <s v="Feb-2024"/>
    <x v="1"/>
    <n v="845.7"/>
    <x v="0"/>
    <n v="6"/>
  </r>
  <r>
    <s v="CLM01373"/>
    <s v="P0318"/>
    <s v="PR003"/>
    <s v="S021"/>
    <d v="2023-05-12T00:00:00"/>
    <d v="2023-05-13T00:00:00"/>
    <d v="2023-06-05T00:00:00"/>
    <n v="23"/>
    <s v="May-2023"/>
    <x v="2"/>
    <n v="844.03"/>
    <x v="0"/>
    <n v="23"/>
  </r>
  <r>
    <s v="CLM00977"/>
    <s v="P0076"/>
    <s v="PR026"/>
    <s v="S021"/>
    <d v="2024-08-13T00:00:00"/>
    <d v="2024-08-16T00:00:00"/>
    <m/>
    <s v=""/>
    <s v="Aug-2024"/>
    <x v="3"/>
    <n v="843.98"/>
    <x v="2"/>
    <m/>
  </r>
  <r>
    <s v="CLM01823"/>
    <s v="P0007"/>
    <s v="PR031"/>
    <s v="S006"/>
    <d v="2023-06-02T00:00:00"/>
    <d v="2023-06-04T00:00:00"/>
    <d v="2023-06-16T00:00:00"/>
    <n v="12"/>
    <s v="Jun-2023"/>
    <x v="1"/>
    <n v="843.85"/>
    <x v="0"/>
    <n v="12"/>
  </r>
  <r>
    <s v="CLM01400"/>
    <s v="P0343"/>
    <s v="PR024"/>
    <s v="S006"/>
    <d v="2023-10-17T00:00:00"/>
    <d v="2023-10-18T00:00:00"/>
    <d v="2023-11-09T00:00:00"/>
    <n v="22"/>
    <s v="Oct-2023"/>
    <x v="3"/>
    <n v="843.42"/>
    <x v="0"/>
    <n v="22"/>
  </r>
  <r>
    <s v="CLM01225"/>
    <s v="P0482"/>
    <s v="PR021"/>
    <s v="S018"/>
    <d v="2024-12-14T00:00:00"/>
    <d v="2024-12-15T00:00:00"/>
    <d v="2024-12-24T00:00:00"/>
    <n v="9"/>
    <s v="Dec-2024"/>
    <x v="3"/>
    <n v="843.19"/>
    <x v="0"/>
    <n v="9"/>
  </r>
  <r>
    <s v="CLM00315"/>
    <s v="P0112"/>
    <s v="PR011"/>
    <s v="S018"/>
    <d v="2024-01-17T00:00:00"/>
    <d v="2024-01-21T00:00:00"/>
    <d v="2024-02-06T00:00:00"/>
    <n v="16"/>
    <s v="Jan-2024"/>
    <x v="4"/>
    <n v="843.13"/>
    <x v="1"/>
    <n v="16"/>
  </r>
  <r>
    <s v="CLM00628"/>
    <s v="P0337"/>
    <s v="PR016"/>
    <s v="S014"/>
    <d v="2023-12-16T00:00:00"/>
    <d v="2023-12-20T00:00:00"/>
    <d v="2024-01-18T00:00:00"/>
    <n v="29"/>
    <s v="Dec-2023"/>
    <x v="1"/>
    <n v="843.06"/>
    <x v="1"/>
    <n v="29"/>
  </r>
  <r>
    <s v="CLM00269"/>
    <s v="P0166"/>
    <s v="PR002"/>
    <s v="S014"/>
    <d v="2024-07-12T00:00:00"/>
    <d v="2024-07-16T00:00:00"/>
    <d v="2024-08-07T00:00:00"/>
    <n v="22"/>
    <s v="Jul-2024"/>
    <x v="2"/>
    <n v="843.05"/>
    <x v="0"/>
    <n v="22"/>
  </r>
  <r>
    <s v="CLM00024"/>
    <s v="P0136"/>
    <s v="PR039"/>
    <s v="S021"/>
    <d v="2023-07-07T00:00:00"/>
    <d v="2023-07-12T00:00:00"/>
    <d v="2023-07-23T00:00:00"/>
    <n v="11"/>
    <s v="Jul-2023"/>
    <x v="1"/>
    <n v="842.86"/>
    <x v="0"/>
    <n v="11"/>
  </r>
  <r>
    <s v="CLM00034"/>
    <s v="P0314"/>
    <s v="PR032"/>
    <s v="S021"/>
    <d v="2024-12-28T00:00:00"/>
    <d v="2025-01-01T00:00:00"/>
    <d v="2025-01-10T00:00:00"/>
    <n v="9"/>
    <s v="Dec-2024"/>
    <x v="3"/>
    <n v="841.38"/>
    <x v="0"/>
    <n v="9"/>
  </r>
  <r>
    <s v="CLM01414"/>
    <s v="P0095"/>
    <s v="PR004"/>
    <s v="S021"/>
    <d v="2023-11-22T00:00:00"/>
    <d v="2023-11-26T00:00:00"/>
    <d v="2023-12-16T00:00:00"/>
    <n v="20"/>
    <s v="Nov-2023"/>
    <x v="4"/>
    <n v="841.27"/>
    <x v="0"/>
    <n v="20"/>
  </r>
  <r>
    <s v="CLM00158"/>
    <s v="P0390"/>
    <s v="PR022"/>
    <s v="S018"/>
    <d v="2023-07-18T00:00:00"/>
    <d v="2023-07-21T00:00:00"/>
    <d v="2023-08-17T00:00:00"/>
    <n v="27"/>
    <s v="Jul-2023"/>
    <x v="2"/>
    <n v="841.23"/>
    <x v="0"/>
    <n v="27"/>
  </r>
  <r>
    <s v="CLM01906"/>
    <s v="P0457"/>
    <s v="PR023"/>
    <s v="S021"/>
    <d v="2023-01-19T00:00:00"/>
    <d v="2023-01-20T00:00:00"/>
    <d v="2023-01-31T00:00:00"/>
    <n v="11"/>
    <s v="Jan-2023"/>
    <x v="2"/>
    <n v="841.23"/>
    <x v="0"/>
    <n v="11"/>
  </r>
  <r>
    <s v="CLM01982"/>
    <s v="P0012"/>
    <s v="PR030"/>
    <s v="S006"/>
    <d v="2023-02-18T00:00:00"/>
    <d v="2023-02-19T00:00:00"/>
    <d v="2023-02-28T00:00:00"/>
    <n v="9"/>
    <s v="Feb-2023"/>
    <x v="1"/>
    <n v="839.39"/>
    <x v="0"/>
    <n v="9"/>
  </r>
  <r>
    <s v="CLM00804"/>
    <s v="P0296"/>
    <s v="PR002"/>
    <s v="S018"/>
    <d v="2023-05-27T00:00:00"/>
    <d v="2023-05-29T00:00:00"/>
    <d v="2023-06-22T00:00:00"/>
    <n v="24"/>
    <s v="May-2023"/>
    <x v="2"/>
    <n v="837.15"/>
    <x v="0"/>
    <n v="24"/>
  </r>
  <r>
    <s v="CLM00609"/>
    <s v="P0425"/>
    <s v="PR033"/>
    <s v="S014"/>
    <d v="2023-04-15T00:00:00"/>
    <d v="2023-04-17T00:00:00"/>
    <d v="2023-05-15T00:00:00"/>
    <n v="28"/>
    <s v="Apr-2023"/>
    <x v="2"/>
    <n v="835.32"/>
    <x v="0"/>
    <n v="28"/>
  </r>
  <r>
    <s v="CLM01341"/>
    <s v="P0430"/>
    <s v="PR038"/>
    <s v="S014"/>
    <d v="2023-02-27T00:00:00"/>
    <d v="2023-03-01T00:00:00"/>
    <d v="2023-03-11T00:00:00"/>
    <n v="10"/>
    <s v="Feb-2023"/>
    <x v="4"/>
    <n v="833.57"/>
    <x v="0"/>
    <n v="10"/>
  </r>
  <r>
    <s v="CLM00335"/>
    <s v="P0293"/>
    <s v="PR016"/>
    <s v="S021"/>
    <d v="2023-08-14T00:00:00"/>
    <d v="2023-08-17T00:00:00"/>
    <d v="2023-09-06T00:00:00"/>
    <n v="20"/>
    <s v="Aug-2023"/>
    <x v="0"/>
    <n v="833.26"/>
    <x v="0"/>
    <n v="20"/>
  </r>
  <r>
    <s v="CLM01582"/>
    <s v="P0022"/>
    <s v="PR015"/>
    <s v="S014"/>
    <d v="2024-07-12T00:00:00"/>
    <d v="2024-07-14T00:00:00"/>
    <d v="2024-07-29T00:00:00"/>
    <n v="15"/>
    <s v="Jul-2024"/>
    <x v="4"/>
    <n v="832.99"/>
    <x v="0"/>
    <n v="15"/>
  </r>
  <r>
    <s v="CLM01079"/>
    <s v="P0327"/>
    <s v="PR040"/>
    <s v="S006"/>
    <d v="2024-07-18T00:00:00"/>
    <d v="2024-07-22T00:00:00"/>
    <d v="2024-08-21T00:00:00"/>
    <n v="30"/>
    <s v="Jul-2024"/>
    <x v="4"/>
    <n v="832.34"/>
    <x v="0"/>
    <n v="30"/>
  </r>
  <r>
    <s v="CLM00368"/>
    <s v="P0440"/>
    <s v="PR021"/>
    <s v="S014"/>
    <d v="2024-10-21T00:00:00"/>
    <d v="2024-10-24T00:00:00"/>
    <d v="2024-10-31T00:00:00"/>
    <n v="7"/>
    <s v="Oct-2024"/>
    <x v="2"/>
    <n v="830.42"/>
    <x v="0"/>
    <n v="7"/>
  </r>
  <r>
    <s v="CLM01020"/>
    <s v="P0310"/>
    <s v="PR036"/>
    <s v="S018"/>
    <d v="2023-04-11T00:00:00"/>
    <d v="2023-04-15T00:00:00"/>
    <d v="2023-05-07T00:00:00"/>
    <n v="22"/>
    <s v="Apr-2023"/>
    <x v="1"/>
    <n v="829.99"/>
    <x v="0"/>
    <n v="22"/>
  </r>
  <r>
    <s v="CLM00738"/>
    <s v="P0390"/>
    <s v="PR017"/>
    <s v="S006"/>
    <d v="2024-05-14T00:00:00"/>
    <d v="2024-05-19T00:00:00"/>
    <d v="2024-05-31T00:00:00"/>
    <n v="12"/>
    <s v="May-2024"/>
    <x v="2"/>
    <n v="829.93"/>
    <x v="0"/>
    <n v="12"/>
  </r>
  <r>
    <s v="CLM01615"/>
    <s v="P0400"/>
    <s v="PR010"/>
    <s v="S014"/>
    <d v="2024-11-11T00:00:00"/>
    <d v="2024-11-16T00:00:00"/>
    <d v="2024-12-16T00:00:00"/>
    <n v="30"/>
    <s v="Nov-2024"/>
    <x v="0"/>
    <n v="829.61"/>
    <x v="1"/>
    <n v="30"/>
  </r>
  <r>
    <s v="CLM00165"/>
    <s v="P0413"/>
    <s v="PR006"/>
    <s v="S018"/>
    <d v="2023-11-10T00:00:00"/>
    <d v="2023-11-12T00:00:00"/>
    <d v="2023-11-26T00:00:00"/>
    <n v="14"/>
    <s v="Nov-2023"/>
    <x v="0"/>
    <n v="829.56"/>
    <x v="1"/>
    <n v="14"/>
  </r>
  <r>
    <s v="CLM00306"/>
    <s v="P0242"/>
    <s v="PR002"/>
    <s v="S006"/>
    <d v="2024-05-20T00:00:00"/>
    <d v="2024-05-21T00:00:00"/>
    <d v="2024-06-12T00:00:00"/>
    <n v="22"/>
    <s v="May-2024"/>
    <x v="4"/>
    <n v="827.76"/>
    <x v="0"/>
    <n v="22"/>
  </r>
  <r>
    <s v="CLM00252"/>
    <s v="P0110"/>
    <s v="PR031"/>
    <s v="S014"/>
    <d v="2024-01-14T00:00:00"/>
    <d v="2024-01-17T00:00:00"/>
    <d v="2024-02-14T00:00:00"/>
    <n v="28"/>
    <s v="Jan-2024"/>
    <x v="4"/>
    <n v="827.39"/>
    <x v="1"/>
    <n v="28"/>
  </r>
  <r>
    <s v="CLM01138"/>
    <s v="P0221"/>
    <s v="PR022"/>
    <s v="S006"/>
    <d v="2024-12-29T00:00:00"/>
    <d v="2024-12-31T00:00:00"/>
    <d v="2025-01-07T00:00:00"/>
    <n v="7"/>
    <s v="Dec-2024"/>
    <x v="2"/>
    <n v="825.52"/>
    <x v="0"/>
    <n v="7"/>
  </r>
  <r>
    <s v="CLM01553"/>
    <s v="P0057"/>
    <s v="PR001"/>
    <s v="S021"/>
    <d v="2024-09-17T00:00:00"/>
    <d v="2024-09-21T00:00:00"/>
    <d v="2024-09-30T00:00:00"/>
    <n v="9"/>
    <s v="Sep-2024"/>
    <x v="0"/>
    <n v="824.03"/>
    <x v="0"/>
    <n v="9"/>
  </r>
  <r>
    <s v="CLM00792"/>
    <s v="P0083"/>
    <s v="PR009"/>
    <s v="S014"/>
    <d v="2023-09-03T00:00:00"/>
    <d v="2023-09-07T00:00:00"/>
    <d v="2023-09-26T00:00:00"/>
    <n v="19"/>
    <s v="Sep-2023"/>
    <x v="3"/>
    <n v="821.84"/>
    <x v="1"/>
    <n v="19"/>
  </r>
  <r>
    <s v="CLM01314"/>
    <s v="P0008"/>
    <s v="PR031"/>
    <s v="S021"/>
    <d v="2023-09-04T00:00:00"/>
    <d v="2023-09-07T00:00:00"/>
    <d v="2023-09-18T00:00:00"/>
    <n v="11"/>
    <s v="Sep-2023"/>
    <x v="2"/>
    <n v="821.43"/>
    <x v="0"/>
    <n v="11"/>
  </r>
  <r>
    <s v="CLM01128"/>
    <s v="P0313"/>
    <s v="PR016"/>
    <s v="S018"/>
    <d v="2024-01-08T00:00:00"/>
    <d v="2024-01-13T00:00:00"/>
    <d v="2024-02-12T00:00:00"/>
    <n v="30"/>
    <s v="Jan-2024"/>
    <x v="0"/>
    <n v="820.55"/>
    <x v="0"/>
    <n v="30"/>
  </r>
  <r>
    <s v="CLM01762"/>
    <s v="P0479"/>
    <s v="PR037"/>
    <s v="S018"/>
    <d v="2024-11-24T00:00:00"/>
    <d v="2024-11-25T00:00:00"/>
    <d v="2024-11-30T00:00:00"/>
    <n v="5"/>
    <s v="Nov-2024"/>
    <x v="0"/>
    <n v="820.51"/>
    <x v="0"/>
    <n v="5"/>
  </r>
  <r>
    <s v="CLM01698"/>
    <s v="P0129"/>
    <s v="PR015"/>
    <s v="S021"/>
    <d v="2024-02-23T00:00:00"/>
    <d v="2024-02-28T00:00:00"/>
    <d v="2024-03-18T00:00:00"/>
    <n v="19"/>
    <s v="Feb-2024"/>
    <x v="4"/>
    <n v="820.35"/>
    <x v="0"/>
    <n v="19"/>
  </r>
  <r>
    <s v="CLM01849"/>
    <s v="P0348"/>
    <s v="PR018"/>
    <s v="S021"/>
    <d v="2024-02-18T00:00:00"/>
    <d v="2024-02-20T00:00:00"/>
    <m/>
    <s v=""/>
    <s v="Feb-2024"/>
    <x v="2"/>
    <n v="819.85"/>
    <x v="2"/>
    <m/>
  </r>
  <r>
    <s v="CLM00834"/>
    <s v="P0282"/>
    <s v="PR015"/>
    <s v="S006"/>
    <d v="2024-07-28T00:00:00"/>
    <d v="2024-07-29T00:00:00"/>
    <d v="2024-08-19T00:00:00"/>
    <n v="21"/>
    <s v="Jul-2024"/>
    <x v="2"/>
    <n v="819.82"/>
    <x v="0"/>
    <n v="21"/>
  </r>
  <r>
    <s v="CLM00358"/>
    <s v="P0439"/>
    <s v="PR024"/>
    <s v="S018"/>
    <d v="2023-10-16T00:00:00"/>
    <d v="2023-10-17T00:00:00"/>
    <d v="2023-10-31T00:00:00"/>
    <n v="14"/>
    <s v="Oct-2023"/>
    <x v="0"/>
    <n v="817.35"/>
    <x v="0"/>
    <n v="14"/>
  </r>
  <r>
    <s v="CLM00345"/>
    <s v="P0424"/>
    <s v="PR027"/>
    <s v="S018"/>
    <d v="2024-11-22T00:00:00"/>
    <d v="2024-11-27T00:00:00"/>
    <d v="2024-12-02T00:00:00"/>
    <n v="5"/>
    <s v="Nov-2024"/>
    <x v="1"/>
    <n v="813.75"/>
    <x v="0"/>
    <n v="5"/>
  </r>
  <r>
    <s v="CLM00384"/>
    <s v="P0119"/>
    <s v="PR007"/>
    <s v="S006"/>
    <d v="2024-04-04T00:00:00"/>
    <d v="2024-04-06T00:00:00"/>
    <d v="2024-05-04T00:00:00"/>
    <n v="28"/>
    <s v="Apr-2024"/>
    <x v="4"/>
    <n v="813.71"/>
    <x v="0"/>
    <n v="28"/>
  </r>
  <r>
    <s v="CLM01766"/>
    <s v="P0154"/>
    <s v="PR035"/>
    <s v="S014"/>
    <d v="2023-07-06T00:00:00"/>
    <d v="2023-07-10T00:00:00"/>
    <d v="2023-07-22T00:00:00"/>
    <n v="12"/>
    <s v="Jul-2023"/>
    <x v="2"/>
    <n v="813.19"/>
    <x v="0"/>
    <n v="12"/>
  </r>
  <r>
    <s v="CLM01375"/>
    <s v="P0221"/>
    <s v="PR022"/>
    <s v="S018"/>
    <d v="2024-02-03T00:00:00"/>
    <d v="2024-02-05T00:00:00"/>
    <m/>
    <s v=""/>
    <s v="Feb-2024"/>
    <x v="2"/>
    <n v="809.68"/>
    <x v="2"/>
    <m/>
  </r>
  <r>
    <s v="CLM00874"/>
    <s v="P0378"/>
    <s v="PR010"/>
    <s v="S021"/>
    <d v="2024-07-02T00:00:00"/>
    <d v="2024-07-06T00:00:00"/>
    <d v="2024-07-28T00:00:00"/>
    <n v="22"/>
    <s v="Jul-2024"/>
    <x v="4"/>
    <n v="808.77"/>
    <x v="0"/>
    <n v="22"/>
  </r>
  <r>
    <s v="CLM01004"/>
    <s v="P0090"/>
    <s v="PR009"/>
    <s v="S014"/>
    <d v="2023-07-17T00:00:00"/>
    <d v="2023-07-22T00:00:00"/>
    <d v="2023-08-10T00:00:00"/>
    <n v="19"/>
    <s v="Jul-2023"/>
    <x v="2"/>
    <n v="807.74"/>
    <x v="0"/>
    <n v="19"/>
  </r>
  <r>
    <s v="CLM00077"/>
    <s v="P0313"/>
    <s v="PR010"/>
    <s v="S021"/>
    <d v="2024-12-10T00:00:00"/>
    <d v="2024-12-14T00:00:00"/>
    <d v="2025-01-12T00:00:00"/>
    <n v="29"/>
    <s v="Dec-2024"/>
    <x v="0"/>
    <n v="806.98"/>
    <x v="0"/>
    <n v="29"/>
  </r>
  <r>
    <s v="CLM00270"/>
    <s v="P0409"/>
    <s v="PR029"/>
    <s v="S018"/>
    <d v="2023-08-26T00:00:00"/>
    <d v="2023-08-27T00:00:00"/>
    <d v="2023-09-12T00:00:00"/>
    <n v="16"/>
    <s v="Aug-2023"/>
    <x v="3"/>
    <n v="805.28"/>
    <x v="1"/>
    <n v="16"/>
  </r>
  <r>
    <s v="CLM01124"/>
    <s v="P0371"/>
    <s v="PR040"/>
    <s v="S018"/>
    <d v="2023-01-12T00:00:00"/>
    <d v="2023-01-14T00:00:00"/>
    <d v="2023-01-28T00:00:00"/>
    <n v="14"/>
    <s v="Jan-2023"/>
    <x v="2"/>
    <n v="802.67"/>
    <x v="0"/>
    <n v="14"/>
  </r>
  <r>
    <s v="CLM01498"/>
    <s v="P0084"/>
    <s v="PR038"/>
    <s v="S014"/>
    <d v="2023-09-02T00:00:00"/>
    <d v="2023-09-07T00:00:00"/>
    <d v="2023-10-01T00:00:00"/>
    <n v="24"/>
    <s v="Sep-2023"/>
    <x v="1"/>
    <n v="801.06"/>
    <x v="0"/>
    <n v="24"/>
  </r>
  <r>
    <s v="CLM00971"/>
    <s v="P0495"/>
    <s v="PR012"/>
    <s v="S014"/>
    <d v="2023-10-17T00:00:00"/>
    <d v="2023-10-19T00:00:00"/>
    <d v="2023-10-28T00:00:00"/>
    <n v="9"/>
    <s v="Oct-2023"/>
    <x v="2"/>
    <n v="800.87"/>
    <x v="0"/>
    <n v="9"/>
  </r>
  <r>
    <s v="CLM01325"/>
    <s v="P0414"/>
    <s v="PR005"/>
    <s v="S018"/>
    <d v="2024-08-28T00:00:00"/>
    <d v="2024-09-01T00:00:00"/>
    <d v="2024-09-25T00:00:00"/>
    <n v="24"/>
    <s v="Aug-2024"/>
    <x v="1"/>
    <n v="798.58"/>
    <x v="0"/>
    <n v="24"/>
  </r>
  <r>
    <s v="CLM00486"/>
    <s v="P0343"/>
    <s v="PR007"/>
    <s v="S014"/>
    <d v="2023-11-28T00:00:00"/>
    <d v="2023-12-01T00:00:00"/>
    <d v="2023-12-18T00:00:00"/>
    <n v="17"/>
    <s v="Nov-2023"/>
    <x v="3"/>
    <n v="797.63"/>
    <x v="1"/>
    <n v="17"/>
  </r>
  <r>
    <s v="CLM01821"/>
    <s v="P0480"/>
    <s v="PR005"/>
    <s v="S018"/>
    <d v="2023-11-15T00:00:00"/>
    <d v="2023-11-18T00:00:00"/>
    <d v="2023-12-15T00:00:00"/>
    <n v="27"/>
    <s v="Nov-2023"/>
    <x v="0"/>
    <n v="794.25"/>
    <x v="1"/>
    <n v="27"/>
  </r>
  <r>
    <s v="CLM01432"/>
    <s v="P0187"/>
    <s v="PR012"/>
    <s v="S018"/>
    <d v="2023-11-02T00:00:00"/>
    <d v="2023-11-04T00:00:00"/>
    <d v="2023-11-20T00:00:00"/>
    <n v="16"/>
    <s v="Nov-2023"/>
    <x v="3"/>
    <n v="792.9"/>
    <x v="0"/>
    <n v="16"/>
  </r>
  <r>
    <s v="CLM01830"/>
    <s v="P0215"/>
    <s v="PR029"/>
    <s v="S014"/>
    <d v="2023-06-26T00:00:00"/>
    <d v="2023-07-01T00:00:00"/>
    <d v="2023-07-10T00:00:00"/>
    <n v="9"/>
    <s v="Jun-2023"/>
    <x v="4"/>
    <n v="791.91"/>
    <x v="0"/>
    <n v="9"/>
  </r>
  <r>
    <s v="CLM01668"/>
    <s v="P0429"/>
    <s v="PR024"/>
    <s v="S018"/>
    <d v="2023-09-23T00:00:00"/>
    <d v="2023-09-26T00:00:00"/>
    <d v="2023-09-30T00:00:00"/>
    <n v="4"/>
    <s v="Sep-2023"/>
    <x v="1"/>
    <n v="791.26"/>
    <x v="0"/>
    <n v="4"/>
  </r>
  <r>
    <s v="CLM01253"/>
    <s v="P0173"/>
    <s v="PR039"/>
    <s v="S018"/>
    <d v="2024-03-21T00:00:00"/>
    <d v="2024-03-24T00:00:00"/>
    <d v="2024-04-20T00:00:00"/>
    <n v="27"/>
    <s v="Mar-2024"/>
    <x v="4"/>
    <n v="789.65"/>
    <x v="0"/>
    <n v="27"/>
  </r>
  <r>
    <s v="CLM00235"/>
    <s v="P0068"/>
    <s v="PR034"/>
    <s v="S021"/>
    <d v="2024-12-26T00:00:00"/>
    <d v="2024-12-27T00:00:00"/>
    <d v="2025-01-26T00:00:00"/>
    <n v="30"/>
    <s v="Dec-2024"/>
    <x v="3"/>
    <n v="789.45"/>
    <x v="0"/>
    <n v="30"/>
  </r>
  <r>
    <s v="CLM00446"/>
    <s v="P0420"/>
    <s v="PR025"/>
    <s v="S021"/>
    <d v="2023-02-10T00:00:00"/>
    <d v="2023-02-13T00:00:00"/>
    <m/>
    <s v=""/>
    <s v="Feb-2023"/>
    <x v="4"/>
    <n v="787.36"/>
    <x v="2"/>
    <m/>
  </r>
  <r>
    <s v="CLM00755"/>
    <s v="P0149"/>
    <s v="PR008"/>
    <s v="S018"/>
    <d v="2024-05-11T00:00:00"/>
    <d v="2024-05-13T00:00:00"/>
    <d v="2024-05-25T00:00:00"/>
    <n v="12"/>
    <s v="May-2024"/>
    <x v="3"/>
    <n v="785.34"/>
    <x v="1"/>
    <n v="12"/>
  </r>
  <r>
    <s v="CLM00858"/>
    <s v="P0351"/>
    <s v="PR031"/>
    <s v="S018"/>
    <d v="2023-10-13T00:00:00"/>
    <d v="2023-10-17T00:00:00"/>
    <m/>
    <s v=""/>
    <s v="Oct-2023"/>
    <x v="2"/>
    <n v="783.9"/>
    <x v="2"/>
    <m/>
  </r>
  <r>
    <s v="CLM01718"/>
    <s v="P0276"/>
    <s v="PR015"/>
    <s v="S014"/>
    <d v="2024-01-04T00:00:00"/>
    <d v="2024-01-05T00:00:00"/>
    <d v="2024-01-29T00:00:00"/>
    <n v="24"/>
    <s v="Jan-2024"/>
    <x v="0"/>
    <n v="783.68"/>
    <x v="0"/>
    <n v="24"/>
  </r>
  <r>
    <s v="CLM01420"/>
    <s v="P0159"/>
    <s v="PR036"/>
    <s v="S018"/>
    <d v="2023-03-26T00:00:00"/>
    <d v="2023-03-27T00:00:00"/>
    <d v="2023-04-21T00:00:00"/>
    <n v="25"/>
    <s v="Mar-2023"/>
    <x v="1"/>
    <n v="782.43"/>
    <x v="0"/>
    <n v="25"/>
  </r>
  <r>
    <s v="CLM01418"/>
    <s v="P0490"/>
    <s v="PR006"/>
    <s v="S014"/>
    <d v="2024-01-26T00:00:00"/>
    <d v="2024-01-28T00:00:00"/>
    <d v="2024-02-08T00:00:00"/>
    <n v="11"/>
    <s v="Jan-2024"/>
    <x v="2"/>
    <n v="782.02"/>
    <x v="0"/>
    <n v="11"/>
  </r>
  <r>
    <s v="CLM01643"/>
    <s v="P0353"/>
    <s v="PR029"/>
    <s v="S014"/>
    <d v="2023-04-18T00:00:00"/>
    <d v="2023-04-23T00:00:00"/>
    <d v="2023-05-09T00:00:00"/>
    <n v="16"/>
    <s v="Apr-2023"/>
    <x v="2"/>
    <n v="780"/>
    <x v="0"/>
    <n v="16"/>
  </r>
  <r>
    <s v="CLM00869"/>
    <s v="P0246"/>
    <s v="PR005"/>
    <s v="S014"/>
    <d v="2024-10-08T00:00:00"/>
    <d v="2024-10-11T00:00:00"/>
    <d v="2024-10-26T00:00:00"/>
    <n v="15"/>
    <s v="Oct-2024"/>
    <x v="1"/>
    <n v="779.86"/>
    <x v="0"/>
    <n v="15"/>
  </r>
  <r>
    <s v="CLM01436"/>
    <s v="P0194"/>
    <s v="PR039"/>
    <s v="S014"/>
    <d v="2023-04-22T00:00:00"/>
    <d v="2023-04-27T00:00:00"/>
    <d v="2023-05-11T00:00:00"/>
    <n v="14"/>
    <s v="Apr-2023"/>
    <x v="1"/>
    <n v="779.85"/>
    <x v="0"/>
    <n v="14"/>
  </r>
  <r>
    <s v="CLM01873"/>
    <s v="P0490"/>
    <s v="PR021"/>
    <s v="S018"/>
    <d v="2024-10-23T00:00:00"/>
    <d v="2024-10-24T00:00:00"/>
    <d v="2024-11-16T00:00:00"/>
    <n v="23"/>
    <s v="Oct-2024"/>
    <x v="2"/>
    <n v="779.75"/>
    <x v="1"/>
    <n v="23"/>
  </r>
  <r>
    <s v="CLM00383"/>
    <s v="P0223"/>
    <s v="PR040"/>
    <s v="S014"/>
    <d v="2024-10-15T00:00:00"/>
    <d v="2024-10-20T00:00:00"/>
    <d v="2024-11-09T00:00:00"/>
    <n v="20"/>
    <s v="Oct-2024"/>
    <x v="1"/>
    <n v="778.63"/>
    <x v="0"/>
    <n v="20"/>
  </r>
  <r>
    <s v="CLM01425"/>
    <s v="P0189"/>
    <s v="PR013"/>
    <s v="S021"/>
    <d v="2024-11-21T00:00:00"/>
    <d v="2024-11-26T00:00:00"/>
    <d v="2024-12-26T00:00:00"/>
    <n v="30"/>
    <s v="Nov-2024"/>
    <x v="2"/>
    <n v="778.6"/>
    <x v="0"/>
    <n v="30"/>
  </r>
  <r>
    <s v="CLM00674"/>
    <s v="P0469"/>
    <s v="PR023"/>
    <s v="S018"/>
    <d v="2023-10-17T00:00:00"/>
    <d v="2023-10-21T00:00:00"/>
    <m/>
    <s v=""/>
    <s v="Oct-2023"/>
    <x v="4"/>
    <n v="778.45"/>
    <x v="2"/>
    <m/>
  </r>
  <r>
    <s v="CLM01928"/>
    <s v="P0251"/>
    <s v="PR013"/>
    <s v="S014"/>
    <d v="2023-11-01T00:00:00"/>
    <d v="2023-11-04T00:00:00"/>
    <d v="2023-11-16T00:00:00"/>
    <n v="12"/>
    <s v="Nov-2023"/>
    <x v="3"/>
    <n v="775.54"/>
    <x v="1"/>
    <n v="12"/>
  </r>
  <r>
    <s v="CLM00554"/>
    <s v="P0467"/>
    <s v="PR017"/>
    <s v="S018"/>
    <d v="2024-07-02T00:00:00"/>
    <d v="2024-07-03T00:00:00"/>
    <d v="2024-07-14T00:00:00"/>
    <n v="11"/>
    <s v="Jul-2024"/>
    <x v="2"/>
    <n v="774.23"/>
    <x v="0"/>
    <n v="11"/>
  </r>
  <r>
    <s v="CLM01665"/>
    <s v="P0095"/>
    <s v="PR037"/>
    <s v="S018"/>
    <d v="2023-03-06T00:00:00"/>
    <d v="2023-03-11T00:00:00"/>
    <d v="2023-03-15T00:00:00"/>
    <n v="4"/>
    <s v="Mar-2023"/>
    <x v="4"/>
    <n v="773.06"/>
    <x v="0"/>
    <n v="4"/>
  </r>
  <r>
    <s v="CLM00085"/>
    <s v="P0138"/>
    <s v="PR014"/>
    <s v="S018"/>
    <d v="2024-05-19T00:00:00"/>
    <d v="2024-05-22T00:00:00"/>
    <d v="2024-06-05T00:00:00"/>
    <n v="14"/>
    <s v="May-2024"/>
    <x v="0"/>
    <n v="770.58"/>
    <x v="1"/>
    <n v="14"/>
  </r>
  <r>
    <s v="CLM00280"/>
    <s v="P0210"/>
    <s v="PR035"/>
    <s v="S021"/>
    <d v="2023-10-10T00:00:00"/>
    <d v="2023-10-13T00:00:00"/>
    <d v="2023-10-24T00:00:00"/>
    <n v="11"/>
    <s v="Oct-2023"/>
    <x v="1"/>
    <n v="769.52"/>
    <x v="0"/>
    <n v="11"/>
  </r>
  <r>
    <s v="CLM00627"/>
    <s v="P0205"/>
    <s v="PR038"/>
    <s v="S021"/>
    <d v="2024-01-22T00:00:00"/>
    <d v="2024-01-27T00:00:00"/>
    <d v="2024-02-16T00:00:00"/>
    <n v="20"/>
    <s v="Jan-2024"/>
    <x v="1"/>
    <n v="769.24"/>
    <x v="1"/>
    <n v="20"/>
  </r>
  <r>
    <s v="CLM00168"/>
    <s v="P0077"/>
    <s v="PR023"/>
    <s v="S014"/>
    <d v="2024-08-03T00:00:00"/>
    <d v="2024-08-06T00:00:00"/>
    <d v="2024-08-24T00:00:00"/>
    <n v="18"/>
    <s v="Aug-2024"/>
    <x v="1"/>
    <n v="768.94"/>
    <x v="0"/>
    <n v="18"/>
  </r>
  <r>
    <s v="CLM00451"/>
    <s v="P0101"/>
    <s v="PR022"/>
    <s v="S018"/>
    <d v="2024-09-13T00:00:00"/>
    <d v="2024-09-17T00:00:00"/>
    <d v="2024-09-28T00:00:00"/>
    <n v="11"/>
    <s v="Sep-2024"/>
    <x v="4"/>
    <n v="768.85"/>
    <x v="0"/>
    <n v="11"/>
  </r>
  <r>
    <s v="CLM01364"/>
    <s v="P0438"/>
    <s v="PR034"/>
    <s v="S014"/>
    <d v="2024-11-30T00:00:00"/>
    <d v="2024-12-02T00:00:00"/>
    <d v="2024-12-23T00:00:00"/>
    <n v="21"/>
    <s v="Nov-2024"/>
    <x v="1"/>
    <n v="768.39"/>
    <x v="1"/>
    <n v="21"/>
  </r>
  <r>
    <s v="CLM01740"/>
    <s v="P0211"/>
    <s v="PR036"/>
    <s v="S021"/>
    <d v="2023-12-04T00:00:00"/>
    <d v="2023-12-08T00:00:00"/>
    <d v="2024-01-05T00:00:00"/>
    <n v="28"/>
    <s v="Dec-2023"/>
    <x v="4"/>
    <n v="768.38"/>
    <x v="0"/>
    <n v="28"/>
  </r>
  <r>
    <s v="CLM01003"/>
    <s v="P0017"/>
    <s v="PR040"/>
    <s v="S021"/>
    <d v="2023-06-26T00:00:00"/>
    <d v="2023-07-01T00:00:00"/>
    <d v="2023-07-05T00:00:00"/>
    <n v="4"/>
    <s v="Jun-2023"/>
    <x v="4"/>
    <n v="767.89"/>
    <x v="0"/>
    <n v="4"/>
  </r>
  <r>
    <s v="CLM00825"/>
    <s v="P0237"/>
    <s v="PR007"/>
    <s v="S018"/>
    <d v="2024-11-17T00:00:00"/>
    <d v="2024-11-21T00:00:00"/>
    <d v="2024-12-21T00:00:00"/>
    <n v="30"/>
    <s v="Nov-2024"/>
    <x v="4"/>
    <n v="765.95"/>
    <x v="0"/>
    <n v="30"/>
  </r>
  <r>
    <s v="CLM01871"/>
    <s v="P0087"/>
    <s v="PR026"/>
    <s v="S018"/>
    <d v="2023-01-18T00:00:00"/>
    <d v="2023-01-20T00:00:00"/>
    <d v="2023-02-18T00:00:00"/>
    <n v="29"/>
    <s v="Jan-2023"/>
    <x v="1"/>
    <n v="761.46"/>
    <x v="0"/>
    <n v="29"/>
  </r>
  <r>
    <s v="CLM00419"/>
    <s v="P0416"/>
    <s v="PR013"/>
    <s v="S018"/>
    <d v="2023-10-02T00:00:00"/>
    <d v="2023-10-03T00:00:00"/>
    <d v="2023-10-23T00:00:00"/>
    <n v="20"/>
    <s v="Oct-2023"/>
    <x v="2"/>
    <n v="760.47"/>
    <x v="0"/>
    <n v="20"/>
  </r>
  <r>
    <s v="CLM00560"/>
    <s v="P0310"/>
    <s v="PR022"/>
    <s v="S018"/>
    <d v="2024-07-04T00:00:00"/>
    <d v="2024-07-05T00:00:00"/>
    <d v="2024-07-10T00:00:00"/>
    <n v="5"/>
    <s v="Jul-2024"/>
    <x v="1"/>
    <n v="760.17"/>
    <x v="0"/>
    <n v="5"/>
  </r>
  <r>
    <s v="CLM00403"/>
    <s v="P0413"/>
    <s v="PR031"/>
    <s v="S018"/>
    <d v="2024-12-02T00:00:00"/>
    <d v="2024-12-06T00:00:00"/>
    <m/>
    <s v=""/>
    <s v="Dec-2024"/>
    <x v="0"/>
    <n v="759.14"/>
    <x v="2"/>
    <m/>
  </r>
  <r>
    <s v="CLM01939"/>
    <s v="P0039"/>
    <s v="PR027"/>
    <s v="S014"/>
    <d v="2024-01-22T00:00:00"/>
    <d v="2024-01-27T00:00:00"/>
    <d v="2024-02-14T00:00:00"/>
    <n v="18"/>
    <s v="Jan-2024"/>
    <x v="2"/>
    <n v="757.74"/>
    <x v="0"/>
    <n v="18"/>
  </r>
  <r>
    <s v="CLM01151"/>
    <s v="P0494"/>
    <s v="PR037"/>
    <s v="S021"/>
    <d v="2024-02-16T00:00:00"/>
    <d v="2024-02-18T00:00:00"/>
    <d v="2024-03-06T00:00:00"/>
    <n v="17"/>
    <s v="Feb-2024"/>
    <x v="2"/>
    <n v="756.69"/>
    <x v="0"/>
    <n v="17"/>
  </r>
  <r>
    <s v="CLM01211"/>
    <s v="P0329"/>
    <s v="PR023"/>
    <s v="S014"/>
    <d v="2024-02-26T00:00:00"/>
    <d v="2024-02-27T00:00:00"/>
    <m/>
    <s v=""/>
    <s v="Feb-2024"/>
    <x v="4"/>
    <n v="756.5"/>
    <x v="2"/>
    <m/>
  </r>
  <r>
    <s v="CLM01332"/>
    <s v="P0180"/>
    <s v="PR025"/>
    <s v="S021"/>
    <d v="2023-01-17T00:00:00"/>
    <d v="2023-01-19T00:00:00"/>
    <d v="2023-02-17T00:00:00"/>
    <n v="29"/>
    <s v="Jan-2023"/>
    <x v="0"/>
    <n v="755.84"/>
    <x v="0"/>
    <n v="29"/>
  </r>
  <r>
    <s v="CLM00411"/>
    <s v="P0058"/>
    <s v="PR015"/>
    <s v="S021"/>
    <d v="2023-09-27T00:00:00"/>
    <d v="2023-10-01T00:00:00"/>
    <d v="2023-10-12T00:00:00"/>
    <n v="11"/>
    <s v="Sep-2023"/>
    <x v="4"/>
    <n v="755.79"/>
    <x v="0"/>
    <n v="11"/>
  </r>
  <r>
    <s v="CLM00588"/>
    <s v="P0318"/>
    <s v="PR004"/>
    <s v="S014"/>
    <d v="2023-12-09T00:00:00"/>
    <d v="2023-12-10T00:00:00"/>
    <d v="2023-12-16T00:00:00"/>
    <n v="6"/>
    <s v="Dec-2023"/>
    <x v="2"/>
    <n v="754.45"/>
    <x v="0"/>
    <n v="6"/>
  </r>
  <r>
    <s v="CLM00557"/>
    <s v="P0346"/>
    <s v="PR023"/>
    <s v="S021"/>
    <d v="2024-07-24T00:00:00"/>
    <d v="2024-07-29T00:00:00"/>
    <d v="2024-08-10T00:00:00"/>
    <n v="12"/>
    <s v="Jul-2024"/>
    <x v="3"/>
    <n v="753.45"/>
    <x v="1"/>
    <n v="12"/>
  </r>
  <r>
    <s v="CLM00318"/>
    <s v="P0059"/>
    <s v="PR019"/>
    <s v="S014"/>
    <d v="2024-12-01T00:00:00"/>
    <d v="2024-12-06T00:00:00"/>
    <d v="2024-12-22T00:00:00"/>
    <n v="16"/>
    <s v="Dec-2024"/>
    <x v="4"/>
    <n v="753.4"/>
    <x v="1"/>
    <n v="16"/>
  </r>
  <r>
    <s v="CLM00242"/>
    <s v="P0074"/>
    <s v="PR021"/>
    <s v="S023"/>
    <d v="2024-03-22T00:00:00"/>
    <d v="2024-03-23T00:00:00"/>
    <d v="2024-03-31T00:00:00"/>
    <n v="8"/>
    <s v="Mar-2024"/>
    <x v="1"/>
    <n v="749.77"/>
    <x v="0"/>
    <n v="8"/>
  </r>
  <r>
    <s v="CLM00055"/>
    <s v="P0479"/>
    <s v="PR008"/>
    <s v="S021"/>
    <d v="2024-12-04T00:00:00"/>
    <d v="2024-12-07T00:00:00"/>
    <d v="2025-01-01T00:00:00"/>
    <n v="25"/>
    <s v="Dec-2024"/>
    <x v="0"/>
    <n v="748.79"/>
    <x v="0"/>
    <n v="25"/>
  </r>
  <r>
    <s v="CLM01925"/>
    <s v="P0016"/>
    <s v="PR030"/>
    <s v="S021"/>
    <d v="2023-03-12T00:00:00"/>
    <d v="2023-03-13T00:00:00"/>
    <m/>
    <s v=""/>
    <s v="Mar-2023"/>
    <x v="3"/>
    <n v="747.91"/>
    <x v="2"/>
    <m/>
  </r>
  <r>
    <s v="CLM00845"/>
    <s v="P0283"/>
    <s v="PR008"/>
    <s v="S021"/>
    <d v="2023-12-15T00:00:00"/>
    <d v="2023-12-20T00:00:00"/>
    <d v="2024-01-10T00:00:00"/>
    <n v="21"/>
    <s v="Dec-2023"/>
    <x v="3"/>
    <n v="747.76"/>
    <x v="0"/>
    <n v="21"/>
  </r>
  <r>
    <s v="CLM01696"/>
    <s v="P0437"/>
    <s v="PR011"/>
    <s v="S023"/>
    <d v="2023-02-23T00:00:00"/>
    <d v="2023-02-28T00:00:00"/>
    <d v="2023-03-29T00:00:00"/>
    <n v="29"/>
    <s v="Feb-2023"/>
    <x v="2"/>
    <n v="747.15"/>
    <x v="0"/>
    <n v="29"/>
  </r>
  <r>
    <s v="CLM00143"/>
    <s v="P0165"/>
    <s v="PR037"/>
    <s v="S023"/>
    <d v="2024-08-18T00:00:00"/>
    <d v="2024-08-20T00:00:00"/>
    <m/>
    <s v=""/>
    <s v="Aug-2024"/>
    <x v="1"/>
    <n v="746.84"/>
    <x v="2"/>
    <m/>
  </r>
  <r>
    <s v="CLM01663"/>
    <s v="P0326"/>
    <s v="PR012"/>
    <s v="S014"/>
    <d v="2024-02-17T00:00:00"/>
    <d v="2024-02-19T00:00:00"/>
    <d v="2024-03-11T00:00:00"/>
    <n v="21"/>
    <s v="Feb-2024"/>
    <x v="3"/>
    <n v="746.57"/>
    <x v="0"/>
    <n v="21"/>
  </r>
  <r>
    <s v="CLM00064"/>
    <s v="P0470"/>
    <s v="PR003"/>
    <s v="S014"/>
    <d v="2023-05-26T00:00:00"/>
    <d v="2023-05-31T00:00:00"/>
    <d v="2023-06-10T00:00:00"/>
    <n v="10"/>
    <s v="May-2023"/>
    <x v="4"/>
    <n v="746.48"/>
    <x v="0"/>
    <n v="10"/>
  </r>
  <r>
    <s v="CLM00124"/>
    <s v="P0074"/>
    <s v="PR013"/>
    <s v="S018"/>
    <d v="2024-02-12T00:00:00"/>
    <d v="2024-02-17T00:00:00"/>
    <d v="2024-03-18T00:00:00"/>
    <n v="30"/>
    <s v="Feb-2024"/>
    <x v="1"/>
    <n v="745.48"/>
    <x v="1"/>
    <n v="30"/>
  </r>
  <r>
    <s v="CLM01176"/>
    <s v="P0299"/>
    <s v="PR010"/>
    <s v="S014"/>
    <d v="2024-03-16T00:00:00"/>
    <d v="2024-03-18T00:00:00"/>
    <d v="2024-04-14T00:00:00"/>
    <n v="27"/>
    <s v="Mar-2024"/>
    <x v="0"/>
    <n v="745.25"/>
    <x v="1"/>
    <n v="27"/>
  </r>
  <r>
    <s v="CLM01430"/>
    <s v="P0288"/>
    <s v="PR003"/>
    <s v="S018"/>
    <d v="2023-06-18T00:00:00"/>
    <d v="2023-06-19T00:00:00"/>
    <d v="2023-07-16T00:00:00"/>
    <n v="27"/>
    <s v="Jun-2023"/>
    <x v="1"/>
    <n v="744.57"/>
    <x v="1"/>
    <n v="27"/>
  </r>
  <r>
    <s v="CLM00712"/>
    <s v="P0462"/>
    <s v="PR014"/>
    <s v="S018"/>
    <d v="2023-06-04T00:00:00"/>
    <d v="2023-06-05T00:00:00"/>
    <d v="2023-06-24T00:00:00"/>
    <n v="19"/>
    <s v="Jun-2023"/>
    <x v="0"/>
    <n v="743.42"/>
    <x v="0"/>
    <n v="19"/>
  </r>
  <r>
    <s v="CLM00479"/>
    <s v="P0238"/>
    <s v="PR022"/>
    <s v="S018"/>
    <d v="2024-04-24T00:00:00"/>
    <d v="2024-04-27T00:00:00"/>
    <d v="2024-05-11T00:00:00"/>
    <n v="14"/>
    <s v="Apr-2024"/>
    <x v="0"/>
    <n v="742.37"/>
    <x v="0"/>
    <n v="14"/>
  </r>
  <r>
    <s v="CLM00186"/>
    <s v="P0091"/>
    <s v="PR006"/>
    <s v="S018"/>
    <d v="2024-10-25T00:00:00"/>
    <d v="2024-10-27T00:00:00"/>
    <d v="2024-10-31T00:00:00"/>
    <n v="4"/>
    <s v="Oct-2024"/>
    <x v="1"/>
    <n v="740.6"/>
    <x v="0"/>
    <n v="4"/>
  </r>
  <r>
    <s v="CLM00501"/>
    <s v="P0397"/>
    <s v="PR034"/>
    <s v="S014"/>
    <d v="2023-06-28T00:00:00"/>
    <d v="2023-06-30T00:00:00"/>
    <d v="2023-07-16T00:00:00"/>
    <n v="16"/>
    <s v="Jun-2023"/>
    <x v="4"/>
    <n v="740.27"/>
    <x v="0"/>
    <n v="16"/>
  </r>
  <r>
    <s v="CLM00427"/>
    <s v="P0296"/>
    <s v="PR001"/>
    <s v="S021"/>
    <d v="2024-09-27T00:00:00"/>
    <d v="2024-10-02T00:00:00"/>
    <d v="2024-10-31T00:00:00"/>
    <n v="29"/>
    <s v="Sep-2024"/>
    <x v="2"/>
    <n v="740.26"/>
    <x v="0"/>
    <n v="29"/>
  </r>
  <r>
    <s v="CLM00342"/>
    <s v="P0075"/>
    <s v="PR017"/>
    <s v="S021"/>
    <d v="2023-07-09T00:00:00"/>
    <d v="2023-07-14T00:00:00"/>
    <d v="2023-08-11T00:00:00"/>
    <n v="28"/>
    <s v="Jul-2023"/>
    <x v="0"/>
    <n v="740.15"/>
    <x v="1"/>
    <n v="28"/>
  </r>
  <r>
    <s v="CLM00711"/>
    <s v="P0237"/>
    <s v="PR009"/>
    <s v="S023"/>
    <d v="2024-10-27T00:00:00"/>
    <d v="2024-11-01T00:00:00"/>
    <d v="2024-11-08T00:00:00"/>
    <n v="7"/>
    <s v="Oct-2024"/>
    <x v="4"/>
    <n v="737.48"/>
    <x v="0"/>
    <n v="7"/>
  </r>
  <r>
    <s v="CLM01401"/>
    <s v="P0126"/>
    <s v="PR038"/>
    <s v="S018"/>
    <d v="2024-03-08T00:00:00"/>
    <d v="2024-03-11T00:00:00"/>
    <d v="2024-03-18T00:00:00"/>
    <n v="7"/>
    <s v="Mar-2024"/>
    <x v="4"/>
    <n v="736.18"/>
    <x v="0"/>
    <n v="7"/>
  </r>
  <r>
    <s v="CLM01786"/>
    <s v="P0443"/>
    <s v="PR005"/>
    <s v="S023"/>
    <d v="2023-07-04T00:00:00"/>
    <d v="2023-07-06T00:00:00"/>
    <d v="2023-07-18T00:00:00"/>
    <n v="12"/>
    <s v="Jul-2023"/>
    <x v="3"/>
    <n v="735.71"/>
    <x v="0"/>
    <n v="12"/>
  </r>
  <r>
    <s v="CLM00167"/>
    <s v="P0104"/>
    <s v="PR023"/>
    <s v="S021"/>
    <d v="2023-03-23T00:00:00"/>
    <d v="2023-03-27T00:00:00"/>
    <d v="2023-04-08T00:00:00"/>
    <n v="12"/>
    <s v="Mar-2023"/>
    <x v="0"/>
    <n v="735.59"/>
    <x v="0"/>
    <n v="12"/>
  </r>
  <r>
    <s v="CLM01530"/>
    <s v="P0322"/>
    <s v="PR003"/>
    <s v="S014"/>
    <d v="2024-01-25T00:00:00"/>
    <d v="2024-01-30T00:00:00"/>
    <d v="2024-02-19T00:00:00"/>
    <n v="20"/>
    <s v="Jan-2024"/>
    <x v="4"/>
    <n v="735.1"/>
    <x v="0"/>
    <n v="20"/>
  </r>
  <r>
    <s v="CLM01477"/>
    <s v="P0410"/>
    <s v="PR020"/>
    <s v="S021"/>
    <d v="2023-04-14T00:00:00"/>
    <d v="2023-04-17T00:00:00"/>
    <d v="2023-05-07T00:00:00"/>
    <n v="20"/>
    <s v="Apr-2023"/>
    <x v="4"/>
    <n v="734.86"/>
    <x v="0"/>
    <n v="20"/>
  </r>
  <r>
    <s v="CLM01875"/>
    <s v="P0278"/>
    <s v="PR040"/>
    <s v="S018"/>
    <d v="2024-02-18T00:00:00"/>
    <d v="2024-02-20T00:00:00"/>
    <d v="2024-03-10T00:00:00"/>
    <n v="19"/>
    <s v="Feb-2024"/>
    <x v="2"/>
    <n v="734.29"/>
    <x v="0"/>
    <n v="19"/>
  </r>
  <r>
    <s v="CLM01509"/>
    <s v="P0333"/>
    <s v="PR020"/>
    <s v="S018"/>
    <d v="2024-04-18T00:00:00"/>
    <d v="2024-04-20T00:00:00"/>
    <d v="2024-04-30T00:00:00"/>
    <n v="10"/>
    <s v="Apr-2024"/>
    <x v="2"/>
    <n v="732.77"/>
    <x v="0"/>
    <n v="10"/>
  </r>
  <r>
    <s v="CLM00192"/>
    <s v="P0347"/>
    <s v="PR040"/>
    <s v="S018"/>
    <d v="2024-11-11T00:00:00"/>
    <d v="2024-11-15T00:00:00"/>
    <d v="2024-12-06T00:00:00"/>
    <n v="21"/>
    <s v="Nov-2024"/>
    <x v="2"/>
    <n v="731.91"/>
    <x v="0"/>
    <n v="21"/>
  </r>
  <r>
    <s v="CLM00768"/>
    <s v="P0028"/>
    <s v="PR007"/>
    <s v="S018"/>
    <d v="2023-04-21T00:00:00"/>
    <d v="2023-04-23T00:00:00"/>
    <d v="2023-05-05T00:00:00"/>
    <n v="12"/>
    <s v="Apr-2023"/>
    <x v="2"/>
    <n v="730.39"/>
    <x v="0"/>
    <n v="12"/>
  </r>
  <r>
    <s v="CLM00223"/>
    <s v="P0256"/>
    <s v="PR016"/>
    <s v="S018"/>
    <d v="2023-02-01T00:00:00"/>
    <d v="2023-02-04T00:00:00"/>
    <d v="2023-02-18T00:00:00"/>
    <n v="14"/>
    <s v="Feb-2023"/>
    <x v="2"/>
    <n v="730.31"/>
    <x v="0"/>
    <n v="14"/>
  </r>
  <r>
    <s v="CLM01935"/>
    <s v="P0304"/>
    <s v="PR006"/>
    <s v="S021"/>
    <d v="2024-06-12T00:00:00"/>
    <d v="2024-06-14T00:00:00"/>
    <m/>
    <s v=""/>
    <s v="Jun-2024"/>
    <x v="2"/>
    <n v="730.25"/>
    <x v="2"/>
    <m/>
  </r>
  <r>
    <s v="CLM01846"/>
    <s v="P0334"/>
    <s v="PR031"/>
    <s v="S018"/>
    <d v="2024-04-09T00:00:00"/>
    <d v="2024-04-12T00:00:00"/>
    <d v="2024-05-01T00:00:00"/>
    <n v="19"/>
    <s v="Apr-2024"/>
    <x v="1"/>
    <n v="727.81"/>
    <x v="0"/>
    <n v="19"/>
  </r>
  <r>
    <s v="CLM01962"/>
    <s v="P0090"/>
    <s v="PR009"/>
    <s v="S018"/>
    <d v="2024-10-20T00:00:00"/>
    <d v="2024-10-25T00:00:00"/>
    <d v="2024-11-13T00:00:00"/>
    <n v="19"/>
    <s v="Oct-2024"/>
    <x v="2"/>
    <n v="727.47"/>
    <x v="0"/>
    <n v="19"/>
  </r>
  <r>
    <s v="CLM00923"/>
    <s v="P0200"/>
    <s v="PR032"/>
    <s v="S021"/>
    <d v="2023-10-22T00:00:00"/>
    <d v="2023-10-27T00:00:00"/>
    <d v="2023-10-31T00:00:00"/>
    <n v="4"/>
    <s v="Oct-2023"/>
    <x v="1"/>
    <n v="727.08"/>
    <x v="0"/>
    <n v="4"/>
  </r>
  <r>
    <s v="CLM01029"/>
    <s v="P0197"/>
    <s v="PR029"/>
    <s v="S014"/>
    <d v="2024-10-13T00:00:00"/>
    <d v="2024-10-17T00:00:00"/>
    <d v="2024-11-14T00:00:00"/>
    <n v="28"/>
    <s v="Oct-2024"/>
    <x v="4"/>
    <n v="726.84"/>
    <x v="0"/>
    <n v="28"/>
  </r>
  <r>
    <s v="CLM00209"/>
    <s v="P0304"/>
    <s v="PR040"/>
    <s v="S021"/>
    <d v="2023-05-24T00:00:00"/>
    <d v="2023-05-25T00:00:00"/>
    <d v="2023-06-18T00:00:00"/>
    <n v="24"/>
    <s v="May-2023"/>
    <x v="2"/>
    <n v="725.64"/>
    <x v="0"/>
    <n v="24"/>
  </r>
  <r>
    <s v="CLM00999"/>
    <s v="P0008"/>
    <s v="PR024"/>
    <s v="S014"/>
    <d v="2024-03-27T00:00:00"/>
    <d v="2024-04-01T00:00:00"/>
    <d v="2024-04-11T00:00:00"/>
    <n v="10"/>
    <s v="Mar-2024"/>
    <x v="2"/>
    <n v="724.43"/>
    <x v="0"/>
    <n v="10"/>
  </r>
  <r>
    <s v="CLM00388"/>
    <s v="P0095"/>
    <s v="PR016"/>
    <s v="S018"/>
    <d v="2023-07-26T00:00:00"/>
    <d v="2023-07-28T00:00:00"/>
    <d v="2023-08-22T00:00:00"/>
    <n v="25"/>
    <s v="Jul-2023"/>
    <x v="4"/>
    <n v="721.38"/>
    <x v="0"/>
    <n v="25"/>
  </r>
  <r>
    <s v="CLM01193"/>
    <s v="P0150"/>
    <s v="PR038"/>
    <s v="S014"/>
    <d v="2024-07-17T00:00:00"/>
    <d v="2024-07-22T00:00:00"/>
    <d v="2024-07-27T00:00:00"/>
    <n v="5"/>
    <s v="Jul-2024"/>
    <x v="4"/>
    <n v="721.04"/>
    <x v="0"/>
    <n v="5"/>
  </r>
  <r>
    <s v="CLM01649"/>
    <s v="P0083"/>
    <s v="PR025"/>
    <s v="S023"/>
    <d v="2023-11-05T00:00:00"/>
    <d v="2023-11-06T00:00:00"/>
    <d v="2023-11-22T00:00:00"/>
    <n v="16"/>
    <s v="Nov-2023"/>
    <x v="3"/>
    <n v="720.81"/>
    <x v="0"/>
    <n v="16"/>
  </r>
  <r>
    <s v="CLM00050"/>
    <s v="P0413"/>
    <s v="PR013"/>
    <s v="S014"/>
    <d v="2023-04-19T00:00:00"/>
    <d v="2023-04-20T00:00:00"/>
    <d v="2023-04-29T00:00:00"/>
    <n v="9"/>
    <s v="Apr-2023"/>
    <x v="0"/>
    <n v="720.11"/>
    <x v="0"/>
    <n v="9"/>
  </r>
  <r>
    <s v="CLM00357"/>
    <s v="P0116"/>
    <s v="PR017"/>
    <s v="S021"/>
    <d v="2024-10-12T00:00:00"/>
    <d v="2024-10-17T00:00:00"/>
    <d v="2024-11-01T00:00:00"/>
    <n v="15"/>
    <s v="Oct-2024"/>
    <x v="4"/>
    <n v="719.96"/>
    <x v="0"/>
    <n v="15"/>
  </r>
  <r>
    <s v="CLM01941"/>
    <s v="P0132"/>
    <s v="PR028"/>
    <s v="S018"/>
    <d v="2024-06-24T00:00:00"/>
    <d v="2024-06-29T00:00:00"/>
    <m/>
    <s v=""/>
    <s v="Jun-2024"/>
    <x v="4"/>
    <n v="719.39"/>
    <x v="2"/>
    <m/>
  </r>
  <r>
    <s v="CLM00037"/>
    <s v="P0355"/>
    <s v="PR015"/>
    <s v="S023"/>
    <d v="2023-02-24T00:00:00"/>
    <d v="2023-02-27T00:00:00"/>
    <d v="2023-03-13T00:00:00"/>
    <n v="14"/>
    <s v="Feb-2023"/>
    <x v="3"/>
    <n v="719.21"/>
    <x v="0"/>
    <n v="14"/>
  </r>
  <r>
    <s v="CLM01604"/>
    <s v="P0453"/>
    <s v="PR021"/>
    <s v="S021"/>
    <d v="2023-08-06T00:00:00"/>
    <d v="2023-08-09T00:00:00"/>
    <d v="2023-08-27T00:00:00"/>
    <n v="18"/>
    <s v="Aug-2023"/>
    <x v="4"/>
    <n v="717.52"/>
    <x v="0"/>
    <n v="18"/>
  </r>
  <r>
    <s v="CLM00808"/>
    <s v="P0456"/>
    <s v="PR019"/>
    <s v="S023"/>
    <d v="2024-08-04T00:00:00"/>
    <d v="2024-08-07T00:00:00"/>
    <d v="2024-08-31T00:00:00"/>
    <n v="24"/>
    <s v="Aug-2024"/>
    <x v="0"/>
    <n v="716.78"/>
    <x v="0"/>
    <n v="24"/>
  </r>
  <r>
    <s v="CLM01157"/>
    <s v="P0288"/>
    <s v="PR019"/>
    <s v="S018"/>
    <d v="2024-05-30T00:00:00"/>
    <d v="2024-06-03T00:00:00"/>
    <d v="2024-07-02T00:00:00"/>
    <n v="29"/>
    <s v="May-2024"/>
    <x v="1"/>
    <n v="716.04"/>
    <x v="0"/>
    <n v="29"/>
  </r>
  <r>
    <s v="CLM00288"/>
    <s v="P0425"/>
    <s v="PR009"/>
    <s v="S023"/>
    <d v="2024-11-18T00:00:00"/>
    <d v="2024-11-21T00:00:00"/>
    <d v="2024-12-15T00:00:00"/>
    <n v="24"/>
    <s v="Nov-2024"/>
    <x v="2"/>
    <n v="714.91"/>
    <x v="0"/>
    <n v="24"/>
  </r>
  <r>
    <s v="CLM01792"/>
    <s v="P0267"/>
    <s v="PR009"/>
    <s v="S021"/>
    <d v="2023-03-29T00:00:00"/>
    <d v="2023-04-01T00:00:00"/>
    <d v="2023-05-01T00:00:00"/>
    <n v="30"/>
    <s v="Mar-2023"/>
    <x v="3"/>
    <n v="713.44"/>
    <x v="1"/>
    <n v="30"/>
  </r>
  <r>
    <s v="CLM00268"/>
    <s v="P0468"/>
    <s v="PR018"/>
    <s v="S018"/>
    <d v="2024-07-20T00:00:00"/>
    <d v="2024-07-24T00:00:00"/>
    <d v="2024-08-13T00:00:00"/>
    <n v="20"/>
    <s v="Jul-2024"/>
    <x v="4"/>
    <n v="711.29"/>
    <x v="0"/>
    <n v="20"/>
  </r>
  <r>
    <s v="CLM00346"/>
    <s v="P0299"/>
    <s v="PR010"/>
    <s v="S023"/>
    <d v="2024-06-29T00:00:00"/>
    <d v="2024-06-30T00:00:00"/>
    <d v="2024-07-13T00:00:00"/>
    <n v="13"/>
    <s v="Jun-2024"/>
    <x v="0"/>
    <n v="710.23"/>
    <x v="0"/>
    <n v="13"/>
  </r>
  <r>
    <s v="CLM01901"/>
    <s v="P0260"/>
    <s v="PR019"/>
    <s v="S021"/>
    <d v="2024-05-23T00:00:00"/>
    <d v="2024-05-27T00:00:00"/>
    <d v="2024-06-23T00:00:00"/>
    <n v="27"/>
    <s v="May-2024"/>
    <x v="1"/>
    <n v="709.84"/>
    <x v="0"/>
    <n v="27"/>
  </r>
  <r>
    <s v="CLM00690"/>
    <s v="P0471"/>
    <s v="PR032"/>
    <s v="S023"/>
    <d v="2024-04-19T00:00:00"/>
    <d v="2024-04-22T00:00:00"/>
    <d v="2024-05-22T00:00:00"/>
    <n v="30"/>
    <s v="Apr-2024"/>
    <x v="1"/>
    <n v="708.66"/>
    <x v="0"/>
    <n v="30"/>
  </r>
  <r>
    <s v="CLM01046"/>
    <s v="P0146"/>
    <s v="PR033"/>
    <s v="S023"/>
    <d v="2023-04-10T00:00:00"/>
    <d v="2023-04-12T00:00:00"/>
    <d v="2023-04-27T00:00:00"/>
    <n v="15"/>
    <s v="Apr-2023"/>
    <x v="2"/>
    <n v="706.64"/>
    <x v="0"/>
    <n v="15"/>
  </r>
  <r>
    <s v="CLM01892"/>
    <s v="P0236"/>
    <s v="PR027"/>
    <s v="S021"/>
    <d v="2024-07-12T00:00:00"/>
    <d v="2024-07-13T00:00:00"/>
    <d v="2024-08-04T00:00:00"/>
    <n v="22"/>
    <s v="Jul-2024"/>
    <x v="2"/>
    <n v="701.37"/>
    <x v="0"/>
    <n v="22"/>
  </r>
  <r>
    <s v="CLM00031"/>
    <s v="P0318"/>
    <s v="PR005"/>
    <s v="S021"/>
    <d v="2023-08-09T00:00:00"/>
    <d v="2023-08-12T00:00:00"/>
    <d v="2023-08-31T00:00:00"/>
    <n v="19"/>
    <s v="Aug-2023"/>
    <x v="2"/>
    <n v="699.71"/>
    <x v="0"/>
    <n v="19"/>
  </r>
  <r>
    <s v="CLM01429"/>
    <s v="P0181"/>
    <s v="PR022"/>
    <s v="S021"/>
    <d v="2024-02-24T00:00:00"/>
    <d v="2024-02-28T00:00:00"/>
    <d v="2024-03-21T00:00:00"/>
    <n v="22"/>
    <s v="Feb-2024"/>
    <x v="0"/>
    <n v="697.48"/>
    <x v="0"/>
    <n v="22"/>
  </r>
  <r>
    <s v="CLM00317"/>
    <s v="P0375"/>
    <s v="PR005"/>
    <s v="S018"/>
    <d v="2023-08-15T00:00:00"/>
    <d v="2023-08-19T00:00:00"/>
    <d v="2023-09-12T00:00:00"/>
    <n v="24"/>
    <s v="Aug-2023"/>
    <x v="2"/>
    <n v="697.22"/>
    <x v="0"/>
    <n v="24"/>
  </r>
  <r>
    <s v="CLM00779"/>
    <s v="P0299"/>
    <s v="PR012"/>
    <s v="S021"/>
    <d v="2023-10-11T00:00:00"/>
    <d v="2023-10-12T00:00:00"/>
    <d v="2023-10-16T00:00:00"/>
    <n v="4"/>
    <s v="Oct-2023"/>
    <x v="0"/>
    <n v="697.13"/>
    <x v="0"/>
    <n v="4"/>
  </r>
  <r>
    <s v="CLM01104"/>
    <s v="P0346"/>
    <s v="PR026"/>
    <s v="S023"/>
    <d v="2024-11-17T00:00:00"/>
    <d v="2024-11-21T00:00:00"/>
    <d v="2024-12-02T00:00:00"/>
    <n v="11"/>
    <s v="Nov-2024"/>
    <x v="3"/>
    <n v="696.82"/>
    <x v="0"/>
    <n v="11"/>
  </r>
  <r>
    <s v="CLM00895"/>
    <s v="P0472"/>
    <s v="PR021"/>
    <s v="S023"/>
    <d v="2023-03-16T00:00:00"/>
    <d v="2023-03-18T00:00:00"/>
    <d v="2023-04-15T00:00:00"/>
    <n v="28"/>
    <s v="Mar-2023"/>
    <x v="3"/>
    <n v="695.89"/>
    <x v="0"/>
    <n v="28"/>
  </r>
  <r>
    <s v="CLM01697"/>
    <s v="P0111"/>
    <s v="PR001"/>
    <s v="S023"/>
    <d v="2024-11-20T00:00:00"/>
    <d v="2024-11-23T00:00:00"/>
    <d v="2024-12-01T00:00:00"/>
    <n v="8"/>
    <s v="Nov-2024"/>
    <x v="2"/>
    <n v="693.78"/>
    <x v="0"/>
    <n v="8"/>
  </r>
  <r>
    <s v="CLM00969"/>
    <s v="P0469"/>
    <s v="PR016"/>
    <s v="S018"/>
    <d v="2023-01-12T00:00:00"/>
    <d v="2023-01-15T00:00:00"/>
    <d v="2023-02-01T00:00:00"/>
    <n v="17"/>
    <s v="Jan-2023"/>
    <x v="4"/>
    <n v="693.11"/>
    <x v="0"/>
    <n v="17"/>
  </r>
  <r>
    <s v="CLM01789"/>
    <s v="P0431"/>
    <s v="PR036"/>
    <s v="S023"/>
    <d v="2023-09-13T00:00:00"/>
    <d v="2023-09-16T00:00:00"/>
    <d v="2023-09-30T00:00:00"/>
    <n v="14"/>
    <s v="Sep-2023"/>
    <x v="2"/>
    <n v="692.23"/>
    <x v="0"/>
    <n v="14"/>
  </r>
  <r>
    <s v="CLM01539"/>
    <s v="P0226"/>
    <s v="PR039"/>
    <s v="S021"/>
    <d v="2023-03-30T00:00:00"/>
    <d v="2023-04-03T00:00:00"/>
    <d v="2023-04-22T00:00:00"/>
    <n v="19"/>
    <s v="Mar-2023"/>
    <x v="2"/>
    <n v="691.6"/>
    <x v="0"/>
    <n v="19"/>
  </r>
  <r>
    <s v="CLM00499"/>
    <s v="P0265"/>
    <s v="PR006"/>
    <s v="S021"/>
    <d v="2024-05-19T00:00:00"/>
    <d v="2024-05-24T00:00:00"/>
    <d v="2024-06-18T00:00:00"/>
    <n v="25"/>
    <s v="May-2024"/>
    <x v="2"/>
    <n v="688.08"/>
    <x v="0"/>
    <n v="25"/>
  </r>
  <r>
    <s v="CLM00830"/>
    <s v="P0408"/>
    <s v="PR005"/>
    <s v="S023"/>
    <d v="2023-11-25T00:00:00"/>
    <d v="2023-11-26T00:00:00"/>
    <d v="2023-12-18T00:00:00"/>
    <n v="22"/>
    <s v="Nov-2023"/>
    <x v="2"/>
    <n v="688.06"/>
    <x v="0"/>
    <n v="22"/>
  </r>
  <r>
    <s v="CLM01399"/>
    <s v="P0404"/>
    <s v="PR021"/>
    <s v="S022"/>
    <d v="2023-01-04T00:00:00"/>
    <d v="2023-01-07T00:00:00"/>
    <d v="2023-01-20T00:00:00"/>
    <n v="13"/>
    <s v="Jan-2023"/>
    <x v="1"/>
    <n v="686.18"/>
    <x v="0"/>
    <n v="13"/>
  </r>
  <r>
    <s v="CLM01091"/>
    <s v="P0421"/>
    <s v="PR034"/>
    <s v="S018"/>
    <d v="2023-04-21T00:00:00"/>
    <d v="2023-04-24T00:00:00"/>
    <d v="2023-04-27T00:00:00"/>
    <n v="3"/>
    <s v="Apr-2023"/>
    <x v="1"/>
    <n v="685.59"/>
    <x v="0"/>
    <n v="3"/>
  </r>
  <r>
    <s v="CLM00447"/>
    <s v="P0125"/>
    <s v="PR030"/>
    <s v="S018"/>
    <d v="2024-12-08T00:00:00"/>
    <d v="2024-12-10T00:00:00"/>
    <d v="2025-01-07T00:00:00"/>
    <n v="28"/>
    <s v="Dec-2024"/>
    <x v="4"/>
    <n v="685.07"/>
    <x v="0"/>
    <n v="28"/>
  </r>
  <r>
    <s v="CLM00410"/>
    <s v="P0364"/>
    <s v="PR015"/>
    <s v="S023"/>
    <d v="2024-02-28T00:00:00"/>
    <d v="2024-02-29T00:00:00"/>
    <d v="2024-03-22T00:00:00"/>
    <n v="22"/>
    <s v="Feb-2024"/>
    <x v="4"/>
    <n v="685.03"/>
    <x v="0"/>
    <n v="22"/>
  </r>
  <r>
    <s v="CLM01708"/>
    <s v="P0161"/>
    <s v="PR039"/>
    <s v="S018"/>
    <d v="2023-03-14T00:00:00"/>
    <d v="2023-03-15T00:00:00"/>
    <d v="2023-03-28T00:00:00"/>
    <n v="13"/>
    <s v="Mar-2023"/>
    <x v="2"/>
    <n v="685.03"/>
    <x v="0"/>
    <n v="13"/>
  </r>
  <r>
    <s v="CLM00506"/>
    <s v="P0460"/>
    <s v="PR013"/>
    <s v="S022"/>
    <d v="2024-02-10T00:00:00"/>
    <d v="2024-02-12T00:00:00"/>
    <d v="2024-03-13T00:00:00"/>
    <n v="30"/>
    <s v="Feb-2024"/>
    <x v="1"/>
    <n v="684.71"/>
    <x v="0"/>
    <n v="30"/>
  </r>
  <r>
    <s v="CLM00597"/>
    <s v="P0187"/>
    <s v="PR017"/>
    <s v="S021"/>
    <d v="2024-09-30T00:00:00"/>
    <d v="2024-10-04T00:00:00"/>
    <d v="2024-10-13T00:00:00"/>
    <n v="9"/>
    <s v="Sep-2024"/>
    <x v="3"/>
    <n v="684.66"/>
    <x v="0"/>
    <n v="9"/>
  </r>
  <r>
    <s v="CLM01393"/>
    <s v="P0009"/>
    <s v="PR032"/>
    <s v="S023"/>
    <d v="2023-10-10T00:00:00"/>
    <d v="2023-10-14T00:00:00"/>
    <d v="2023-10-18T00:00:00"/>
    <n v="4"/>
    <s v="Oct-2023"/>
    <x v="4"/>
    <n v="684.37"/>
    <x v="0"/>
    <n v="4"/>
  </r>
  <r>
    <s v="CLM01099"/>
    <s v="P0220"/>
    <s v="PR005"/>
    <s v="S018"/>
    <d v="2024-01-13T00:00:00"/>
    <d v="2024-01-14T00:00:00"/>
    <d v="2024-02-02T00:00:00"/>
    <n v="19"/>
    <s v="Jan-2024"/>
    <x v="2"/>
    <n v="682.66"/>
    <x v="1"/>
    <n v="19"/>
  </r>
  <r>
    <s v="CLM01411"/>
    <s v="P0298"/>
    <s v="PR025"/>
    <s v="S018"/>
    <d v="2024-05-23T00:00:00"/>
    <d v="2024-05-26T00:00:00"/>
    <d v="2024-06-02T00:00:00"/>
    <n v="7"/>
    <s v="May-2024"/>
    <x v="4"/>
    <n v="680.36"/>
    <x v="1"/>
    <n v="7"/>
  </r>
  <r>
    <s v="CLM01247"/>
    <s v="P0099"/>
    <s v="PR027"/>
    <s v="S022"/>
    <d v="2024-08-02T00:00:00"/>
    <d v="2024-08-04T00:00:00"/>
    <d v="2024-08-23T00:00:00"/>
    <n v="19"/>
    <s v="Aug-2024"/>
    <x v="1"/>
    <n v="680.22"/>
    <x v="0"/>
    <n v="19"/>
  </r>
  <r>
    <s v="CLM00115"/>
    <s v="P0156"/>
    <s v="PR013"/>
    <s v="S021"/>
    <d v="2024-11-16T00:00:00"/>
    <d v="2024-11-19T00:00:00"/>
    <d v="2024-12-02T00:00:00"/>
    <n v="13"/>
    <s v="Nov-2024"/>
    <x v="0"/>
    <n v="676.34"/>
    <x v="0"/>
    <n v="13"/>
  </r>
  <r>
    <s v="CLM00665"/>
    <s v="P0013"/>
    <s v="PR027"/>
    <s v="S023"/>
    <d v="2023-01-23T00:00:00"/>
    <d v="2023-01-24T00:00:00"/>
    <d v="2023-01-31T00:00:00"/>
    <n v="7"/>
    <s v="Jan-2023"/>
    <x v="4"/>
    <n v="675.92"/>
    <x v="0"/>
    <n v="7"/>
  </r>
  <r>
    <s v="CLM00515"/>
    <s v="P0013"/>
    <s v="PR004"/>
    <s v="S022"/>
    <d v="2023-03-28T00:00:00"/>
    <d v="2023-03-30T00:00:00"/>
    <d v="2023-04-10T00:00:00"/>
    <n v="11"/>
    <s v="Mar-2023"/>
    <x v="4"/>
    <n v="674.73"/>
    <x v="0"/>
    <n v="11"/>
  </r>
  <r>
    <s v="CLM01633"/>
    <s v="P0109"/>
    <s v="PR009"/>
    <s v="S022"/>
    <d v="2023-06-03T00:00:00"/>
    <d v="2023-06-08T00:00:00"/>
    <d v="2023-07-07T00:00:00"/>
    <n v="29"/>
    <s v="Jun-2023"/>
    <x v="2"/>
    <n v="674.62"/>
    <x v="0"/>
    <n v="29"/>
  </r>
  <r>
    <s v="CLM01408"/>
    <s v="P0300"/>
    <s v="PR040"/>
    <s v="S021"/>
    <d v="2023-09-11T00:00:00"/>
    <d v="2023-09-13T00:00:00"/>
    <d v="2023-09-18T00:00:00"/>
    <n v="5"/>
    <s v="Sep-2023"/>
    <x v="0"/>
    <n v="674.1"/>
    <x v="0"/>
    <n v="5"/>
  </r>
  <r>
    <s v="CLM00850"/>
    <s v="P0460"/>
    <s v="PR010"/>
    <s v="S021"/>
    <d v="2023-05-06T00:00:00"/>
    <d v="2023-05-10T00:00:00"/>
    <d v="2023-06-09T00:00:00"/>
    <n v="30"/>
    <s v="May-2023"/>
    <x v="1"/>
    <n v="671.59"/>
    <x v="0"/>
    <n v="30"/>
  </r>
  <r>
    <s v="CLM00552"/>
    <s v="P0229"/>
    <s v="PR030"/>
    <s v="S023"/>
    <d v="2023-08-21T00:00:00"/>
    <d v="2023-08-25T00:00:00"/>
    <d v="2023-09-09T00:00:00"/>
    <n v="15"/>
    <s v="Aug-2023"/>
    <x v="4"/>
    <n v="671.19"/>
    <x v="0"/>
    <n v="15"/>
  </r>
  <r>
    <s v="CLM01317"/>
    <s v="P0208"/>
    <s v="PR036"/>
    <s v="S022"/>
    <d v="2024-05-13T00:00:00"/>
    <d v="2024-05-16T00:00:00"/>
    <d v="2024-06-14T00:00:00"/>
    <n v="29"/>
    <s v="May-2024"/>
    <x v="2"/>
    <n v="670.09"/>
    <x v="0"/>
    <n v="29"/>
  </r>
  <r>
    <s v="CLM00081"/>
    <s v="P0386"/>
    <s v="PR012"/>
    <s v="S021"/>
    <d v="2023-03-16T00:00:00"/>
    <d v="2023-03-20T00:00:00"/>
    <d v="2023-03-23T00:00:00"/>
    <n v="3"/>
    <s v="Mar-2023"/>
    <x v="2"/>
    <n v="669.37"/>
    <x v="1"/>
    <n v="3"/>
  </r>
  <r>
    <s v="CLM00399"/>
    <s v="P0273"/>
    <s v="PR032"/>
    <s v="S022"/>
    <d v="2024-07-03T00:00:00"/>
    <d v="2024-07-05T00:00:00"/>
    <d v="2024-07-10T00:00:00"/>
    <n v="5"/>
    <s v="Jul-2024"/>
    <x v="0"/>
    <n v="668.62"/>
    <x v="1"/>
    <n v="5"/>
  </r>
  <r>
    <s v="CLM01309"/>
    <s v="P0253"/>
    <s v="PR018"/>
    <s v="S021"/>
    <d v="2024-10-14T00:00:00"/>
    <d v="2024-10-16T00:00:00"/>
    <d v="2024-11-02T00:00:00"/>
    <n v="17"/>
    <s v="Oct-2024"/>
    <x v="1"/>
    <n v="668.41"/>
    <x v="1"/>
    <n v="17"/>
  </r>
  <r>
    <s v="CLM01533"/>
    <s v="P0073"/>
    <s v="PR033"/>
    <s v="S021"/>
    <d v="2024-04-27T00:00:00"/>
    <d v="2024-04-29T00:00:00"/>
    <m/>
    <s v=""/>
    <s v="Apr-2024"/>
    <x v="2"/>
    <n v="666.64"/>
    <x v="2"/>
    <m/>
  </r>
  <r>
    <s v="CLM01907"/>
    <s v="P0189"/>
    <s v="PR007"/>
    <s v="S022"/>
    <d v="2023-07-14T00:00:00"/>
    <d v="2023-07-19T00:00:00"/>
    <d v="2023-08-16T00:00:00"/>
    <n v="28"/>
    <s v="Jul-2023"/>
    <x v="2"/>
    <n v="666.16"/>
    <x v="0"/>
    <n v="28"/>
  </r>
  <r>
    <s v="CLM01713"/>
    <s v="P0475"/>
    <s v="PR012"/>
    <s v="S023"/>
    <d v="2023-06-19T00:00:00"/>
    <d v="2023-06-23T00:00:00"/>
    <m/>
    <s v=""/>
    <s v="Jun-2023"/>
    <x v="2"/>
    <n v="664.66"/>
    <x v="2"/>
    <m/>
  </r>
  <r>
    <s v="CLM01060"/>
    <s v="P0491"/>
    <s v="PR038"/>
    <s v="S023"/>
    <d v="2023-01-03T00:00:00"/>
    <d v="2023-01-04T00:00:00"/>
    <d v="2023-01-29T00:00:00"/>
    <n v="25"/>
    <s v="Jan-2023"/>
    <x v="4"/>
    <n v="663.68"/>
    <x v="0"/>
    <n v="25"/>
  </r>
  <r>
    <s v="CLM01069"/>
    <s v="P0163"/>
    <s v="PR015"/>
    <s v="S022"/>
    <d v="2024-06-16T00:00:00"/>
    <d v="2024-06-18T00:00:00"/>
    <d v="2024-06-30T00:00:00"/>
    <n v="12"/>
    <s v="Jun-2024"/>
    <x v="2"/>
    <n v="663.16"/>
    <x v="1"/>
    <n v="12"/>
  </r>
  <r>
    <s v="CLM01278"/>
    <s v="P0431"/>
    <s v="PR017"/>
    <s v="S021"/>
    <d v="2023-12-18T00:00:00"/>
    <d v="2023-12-19T00:00:00"/>
    <d v="2024-01-09T00:00:00"/>
    <n v="21"/>
    <s v="Dec-2023"/>
    <x v="2"/>
    <n v="663.08"/>
    <x v="0"/>
    <n v="21"/>
  </r>
  <r>
    <s v="CLM00265"/>
    <s v="P0246"/>
    <s v="PR005"/>
    <s v="S022"/>
    <d v="2024-04-29T00:00:00"/>
    <d v="2024-05-04T00:00:00"/>
    <d v="2024-05-14T00:00:00"/>
    <n v="10"/>
    <s v="Apr-2024"/>
    <x v="1"/>
    <n v="662.77"/>
    <x v="0"/>
    <n v="10"/>
  </r>
  <r>
    <s v="CLM01148"/>
    <s v="P0390"/>
    <s v="PR023"/>
    <s v="S021"/>
    <d v="2023-06-06T00:00:00"/>
    <d v="2023-06-08T00:00:00"/>
    <m/>
    <s v=""/>
    <s v="Jun-2023"/>
    <x v="2"/>
    <n v="662.49"/>
    <x v="2"/>
    <m/>
  </r>
  <r>
    <s v="CLM01996"/>
    <s v="P0117"/>
    <s v="PR035"/>
    <s v="S023"/>
    <d v="2023-02-28T00:00:00"/>
    <d v="2023-03-04T00:00:00"/>
    <d v="2023-03-11T00:00:00"/>
    <n v="7"/>
    <s v="Feb-2023"/>
    <x v="4"/>
    <n v="662.43"/>
    <x v="0"/>
    <n v="7"/>
  </r>
  <r>
    <s v="CLM01216"/>
    <s v="P0175"/>
    <s v="PR005"/>
    <s v="S021"/>
    <d v="2024-07-11T00:00:00"/>
    <d v="2024-07-12T00:00:00"/>
    <m/>
    <s v=""/>
    <s v="Jul-2024"/>
    <x v="1"/>
    <n v="661.93"/>
    <x v="2"/>
    <m/>
  </r>
  <r>
    <s v="CLM01185"/>
    <s v="P0389"/>
    <s v="PR021"/>
    <s v="S022"/>
    <d v="2024-11-23T00:00:00"/>
    <d v="2024-11-28T00:00:00"/>
    <d v="2024-12-01T00:00:00"/>
    <n v="3"/>
    <s v="Nov-2024"/>
    <x v="0"/>
    <n v="660.24"/>
    <x v="0"/>
    <n v="3"/>
  </r>
  <r>
    <s v="CLM01628"/>
    <s v="P0310"/>
    <s v="PR028"/>
    <s v="S022"/>
    <d v="2024-05-28T00:00:00"/>
    <d v="2024-06-02T00:00:00"/>
    <d v="2024-06-18T00:00:00"/>
    <n v="16"/>
    <s v="May-2024"/>
    <x v="1"/>
    <n v="659.32"/>
    <x v="0"/>
    <n v="16"/>
  </r>
  <r>
    <s v="CLM00713"/>
    <s v="P0441"/>
    <s v="PR029"/>
    <s v="S022"/>
    <d v="2024-03-05T00:00:00"/>
    <d v="2024-03-06T00:00:00"/>
    <d v="2024-03-31T00:00:00"/>
    <n v="25"/>
    <s v="Mar-2024"/>
    <x v="2"/>
    <n v="659.27"/>
    <x v="0"/>
    <n v="25"/>
  </r>
  <r>
    <s v="CLM00253"/>
    <s v="P0482"/>
    <s v="PR015"/>
    <s v="S022"/>
    <d v="2023-06-27T00:00:00"/>
    <d v="2023-07-02T00:00:00"/>
    <d v="2023-07-19T00:00:00"/>
    <n v="17"/>
    <s v="Jun-2023"/>
    <x v="3"/>
    <n v="656.05"/>
    <x v="1"/>
    <n v="17"/>
  </r>
  <r>
    <s v="CLM01922"/>
    <s v="P0146"/>
    <s v="PR023"/>
    <s v="S023"/>
    <d v="2024-10-01T00:00:00"/>
    <d v="2024-10-04T00:00:00"/>
    <d v="2024-10-22T00:00:00"/>
    <n v="18"/>
    <s v="Oct-2024"/>
    <x v="2"/>
    <n v="655.97"/>
    <x v="0"/>
    <n v="18"/>
  </r>
  <r>
    <s v="CLM00173"/>
    <s v="P0331"/>
    <s v="PR023"/>
    <s v="S021"/>
    <d v="2024-01-06T00:00:00"/>
    <d v="2024-01-08T00:00:00"/>
    <d v="2024-02-06T00:00:00"/>
    <n v="29"/>
    <s v="Jan-2024"/>
    <x v="4"/>
    <n v="653.21"/>
    <x v="1"/>
    <n v="29"/>
  </r>
  <r>
    <s v="CLM01465"/>
    <s v="P0321"/>
    <s v="PR012"/>
    <s v="S023"/>
    <d v="2024-03-11T00:00:00"/>
    <d v="2024-03-14T00:00:00"/>
    <d v="2024-03-18T00:00:00"/>
    <n v="4"/>
    <s v="Mar-2024"/>
    <x v="2"/>
    <n v="652.08000000000004"/>
    <x v="0"/>
    <n v="4"/>
  </r>
  <r>
    <s v="CLM00030"/>
    <s v="P0429"/>
    <s v="PR032"/>
    <s v="S023"/>
    <d v="2024-05-30T00:00:00"/>
    <d v="2024-06-02T00:00:00"/>
    <d v="2024-06-12T00:00:00"/>
    <n v="10"/>
    <s v="May-2024"/>
    <x v="1"/>
    <n v="651.71"/>
    <x v="0"/>
    <n v="10"/>
  </r>
  <r>
    <s v="CLM01575"/>
    <s v="P0314"/>
    <s v="PR026"/>
    <s v="S021"/>
    <d v="2023-11-14T00:00:00"/>
    <d v="2023-11-15T00:00:00"/>
    <d v="2023-11-27T00:00:00"/>
    <n v="12"/>
    <s v="Nov-2023"/>
    <x v="3"/>
    <n v="651.5"/>
    <x v="1"/>
    <n v="12"/>
  </r>
  <r>
    <s v="CLM00468"/>
    <s v="P0011"/>
    <s v="PR005"/>
    <s v="S023"/>
    <d v="2024-10-22T00:00:00"/>
    <d v="2024-10-26T00:00:00"/>
    <d v="2024-11-25T00:00:00"/>
    <n v="30"/>
    <s v="Oct-2024"/>
    <x v="2"/>
    <n v="651.27"/>
    <x v="0"/>
    <n v="30"/>
  </r>
  <r>
    <s v="CLM00276"/>
    <s v="P0402"/>
    <s v="PR003"/>
    <s v="S022"/>
    <d v="2023-09-25T00:00:00"/>
    <d v="2023-09-27T00:00:00"/>
    <d v="2023-10-06T00:00:00"/>
    <n v="9"/>
    <s v="Sep-2023"/>
    <x v="0"/>
    <n v="650.44000000000005"/>
    <x v="0"/>
    <n v="9"/>
  </r>
  <r>
    <s v="CLM00051"/>
    <s v="P0442"/>
    <s v="PR029"/>
    <s v="S022"/>
    <d v="2023-03-17T00:00:00"/>
    <d v="2023-03-18T00:00:00"/>
    <m/>
    <s v=""/>
    <s v="Mar-2023"/>
    <x v="2"/>
    <n v="650.13"/>
    <x v="2"/>
    <m/>
  </r>
  <r>
    <s v="CLM01061"/>
    <s v="P0239"/>
    <s v="PR004"/>
    <s v="S023"/>
    <d v="2023-01-28T00:00:00"/>
    <d v="2023-01-30T00:00:00"/>
    <d v="2023-02-03T00:00:00"/>
    <n v="4"/>
    <s v="Jan-2023"/>
    <x v="1"/>
    <n v="649.34"/>
    <x v="1"/>
    <n v="4"/>
  </r>
  <r>
    <s v="CLM01647"/>
    <s v="P0273"/>
    <s v="PR027"/>
    <s v="S023"/>
    <d v="2024-01-02T00:00:00"/>
    <d v="2024-01-06T00:00:00"/>
    <d v="2024-01-17T00:00:00"/>
    <n v="11"/>
    <s v="Jan-2024"/>
    <x v="0"/>
    <n v="646.21"/>
    <x v="1"/>
    <n v="11"/>
  </r>
  <r>
    <s v="CLM01863"/>
    <s v="P0106"/>
    <s v="PR024"/>
    <s v="S022"/>
    <d v="2024-02-05T00:00:00"/>
    <d v="2024-02-10T00:00:00"/>
    <d v="2024-02-28T00:00:00"/>
    <n v="18"/>
    <s v="Feb-2024"/>
    <x v="0"/>
    <n v="645.96"/>
    <x v="0"/>
    <n v="18"/>
  </r>
  <r>
    <s v="CLM01492"/>
    <s v="P0305"/>
    <s v="PR010"/>
    <s v="S023"/>
    <d v="2023-03-14T00:00:00"/>
    <d v="2023-03-16T00:00:00"/>
    <d v="2023-03-21T00:00:00"/>
    <n v="5"/>
    <s v="Mar-2023"/>
    <x v="4"/>
    <n v="645.92999999999995"/>
    <x v="0"/>
    <n v="5"/>
  </r>
  <r>
    <s v="CLM00773"/>
    <s v="P0371"/>
    <s v="PR004"/>
    <s v="S022"/>
    <d v="2023-04-09T00:00:00"/>
    <d v="2023-04-11T00:00:00"/>
    <d v="2023-05-03T00:00:00"/>
    <n v="22"/>
    <s v="Apr-2023"/>
    <x v="2"/>
    <n v="645.91"/>
    <x v="0"/>
    <n v="22"/>
  </r>
  <r>
    <s v="CLM00182"/>
    <s v="P0140"/>
    <s v="PR040"/>
    <s v="S021"/>
    <d v="2023-11-23T00:00:00"/>
    <d v="2023-11-28T00:00:00"/>
    <d v="2023-12-22T00:00:00"/>
    <n v="24"/>
    <s v="Nov-2023"/>
    <x v="3"/>
    <n v="645.09"/>
    <x v="0"/>
    <n v="24"/>
  </r>
  <r>
    <s v="CLM00328"/>
    <s v="P0156"/>
    <s v="PR019"/>
    <s v="S021"/>
    <d v="2024-01-12T00:00:00"/>
    <d v="2024-01-16T00:00:00"/>
    <d v="2024-01-22T00:00:00"/>
    <n v="6"/>
    <s v="Jan-2024"/>
    <x v="0"/>
    <n v="645"/>
    <x v="0"/>
    <n v="6"/>
  </r>
  <r>
    <s v="CLM00740"/>
    <s v="P0434"/>
    <s v="PR012"/>
    <s v="S021"/>
    <d v="2023-10-05T00:00:00"/>
    <d v="2023-10-06T00:00:00"/>
    <d v="2023-10-26T00:00:00"/>
    <n v="20"/>
    <s v="Oct-2023"/>
    <x v="1"/>
    <n v="644"/>
    <x v="0"/>
    <n v="20"/>
  </r>
  <r>
    <s v="CLM00684"/>
    <s v="P0201"/>
    <s v="PR040"/>
    <s v="S023"/>
    <d v="2024-10-30T00:00:00"/>
    <d v="2024-11-01T00:00:00"/>
    <m/>
    <s v=""/>
    <s v="Oct-2024"/>
    <x v="0"/>
    <n v="643"/>
    <x v="2"/>
    <m/>
  </r>
  <r>
    <s v="CLM01879"/>
    <s v="P0169"/>
    <s v="PR008"/>
    <s v="S023"/>
    <d v="2024-02-20T00:00:00"/>
    <d v="2024-02-22T00:00:00"/>
    <d v="2024-03-20T00:00:00"/>
    <n v="27"/>
    <s v="Feb-2024"/>
    <x v="2"/>
    <n v="642.45000000000005"/>
    <x v="0"/>
    <n v="27"/>
  </r>
  <r>
    <s v="CLM00470"/>
    <s v="P0302"/>
    <s v="PR016"/>
    <s v="S023"/>
    <d v="2023-10-31T00:00:00"/>
    <d v="2023-11-03T00:00:00"/>
    <d v="2023-11-09T00:00:00"/>
    <n v="6"/>
    <s v="Oct-2023"/>
    <x v="0"/>
    <n v="641.30999999999995"/>
    <x v="1"/>
    <n v="6"/>
  </r>
  <r>
    <s v="CLM00691"/>
    <s v="P0384"/>
    <s v="PR024"/>
    <s v="S021"/>
    <d v="2023-05-06T00:00:00"/>
    <d v="2023-05-09T00:00:00"/>
    <d v="2023-05-17T00:00:00"/>
    <n v="8"/>
    <s v="May-2023"/>
    <x v="3"/>
    <n v="640.82000000000005"/>
    <x v="1"/>
    <n v="8"/>
  </r>
  <r>
    <s v="CLM00726"/>
    <s v="P0103"/>
    <s v="PR026"/>
    <s v="S023"/>
    <d v="2023-06-19T00:00:00"/>
    <d v="2023-06-20T00:00:00"/>
    <m/>
    <s v=""/>
    <s v="Jun-2023"/>
    <x v="1"/>
    <n v="639.83000000000004"/>
    <x v="2"/>
    <m/>
  </r>
  <r>
    <s v="CLM00765"/>
    <s v="P0147"/>
    <s v="PR026"/>
    <s v="S022"/>
    <d v="2023-10-07T00:00:00"/>
    <d v="2023-10-12T00:00:00"/>
    <d v="2023-10-18T00:00:00"/>
    <n v="6"/>
    <s v="Oct-2023"/>
    <x v="3"/>
    <n v="635.85"/>
    <x v="1"/>
    <n v="6"/>
  </r>
  <r>
    <s v="CLM01150"/>
    <s v="P0122"/>
    <s v="PR016"/>
    <s v="S023"/>
    <d v="2023-08-14T00:00:00"/>
    <d v="2023-08-15T00:00:00"/>
    <d v="2023-09-07T00:00:00"/>
    <n v="23"/>
    <s v="Aug-2023"/>
    <x v="1"/>
    <n v="635.21"/>
    <x v="1"/>
    <n v="23"/>
  </r>
  <r>
    <s v="CLM00596"/>
    <s v="P0256"/>
    <s v="PR010"/>
    <s v="S021"/>
    <d v="2024-11-03T00:00:00"/>
    <d v="2024-11-06T00:00:00"/>
    <d v="2024-11-16T00:00:00"/>
    <n v="10"/>
    <s v="Nov-2024"/>
    <x v="2"/>
    <n v="635.12"/>
    <x v="0"/>
    <n v="10"/>
  </r>
  <r>
    <s v="CLM00878"/>
    <s v="P0433"/>
    <s v="PR011"/>
    <s v="S023"/>
    <d v="2024-10-09T00:00:00"/>
    <d v="2024-10-13T00:00:00"/>
    <d v="2024-10-23T00:00:00"/>
    <n v="10"/>
    <s v="Oct-2024"/>
    <x v="0"/>
    <n v="633.1"/>
    <x v="0"/>
    <n v="10"/>
  </r>
  <r>
    <s v="CLM01988"/>
    <s v="P0246"/>
    <s v="PR029"/>
    <s v="S023"/>
    <d v="2024-06-15T00:00:00"/>
    <d v="2024-06-19T00:00:00"/>
    <d v="2024-06-29T00:00:00"/>
    <n v="10"/>
    <s v="Jun-2024"/>
    <x v="1"/>
    <n v="633.02"/>
    <x v="0"/>
    <n v="10"/>
  </r>
  <r>
    <s v="CLM01388"/>
    <s v="P0116"/>
    <s v="PR024"/>
    <s v="S022"/>
    <d v="2023-09-28T00:00:00"/>
    <d v="2023-09-29T00:00:00"/>
    <d v="2023-10-27T00:00:00"/>
    <n v="28"/>
    <s v="Sep-2023"/>
    <x v="4"/>
    <n v="632.47"/>
    <x v="0"/>
    <n v="28"/>
  </r>
  <r>
    <s v="CLM00558"/>
    <s v="P0270"/>
    <s v="PR025"/>
    <s v="S022"/>
    <d v="2023-07-02T00:00:00"/>
    <d v="2023-07-03T00:00:00"/>
    <d v="2023-07-13T00:00:00"/>
    <n v="10"/>
    <s v="Jul-2023"/>
    <x v="4"/>
    <n v="631.44000000000005"/>
    <x v="0"/>
    <n v="10"/>
  </r>
  <r>
    <s v="CLM01880"/>
    <s v="P0330"/>
    <s v="PR034"/>
    <s v="S022"/>
    <d v="2024-05-13T00:00:00"/>
    <d v="2024-05-14T00:00:00"/>
    <d v="2024-06-05T00:00:00"/>
    <n v="22"/>
    <s v="May-2024"/>
    <x v="4"/>
    <n v="630.16999999999996"/>
    <x v="0"/>
    <n v="22"/>
  </r>
  <r>
    <s v="CLM01166"/>
    <s v="P0202"/>
    <s v="PR004"/>
    <s v="S023"/>
    <d v="2023-05-23T00:00:00"/>
    <d v="2023-05-25T00:00:00"/>
    <d v="2023-06-08T00:00:00"/>
    <n v="14"/>
    <s v="May-2023"/>
    <x v="2"/>
    <n v="628.91999999999996"/>
    <x v="0"/>
    <n v="14"/>
  </r>
  <r>
    <s v="CLM01859"/>
    <s v="P0110"/>
    <s v="PR003"/>
    <s v="S023"/>
    <d v="2024-01-07T00:00:00"/>
    <d v="2024-01-11T00:00:00"/>
    <d v="2024-02-04T00:00:00"/>
    <n v="24"/>
    <s v="Jan-2024"/>
    <x v="4"/>
    <n v="628.79999999999995"/>
    <x v="0"/>
    <n v="24"/>
  </r>
  <r>
    <s v="CLM00624"/>
    <s v="P0433"/>
    <s v="PR033"/>
    <s v="S022"/>
    <d v="2024-05-28T00:00:00"/>
    <d v="2024-05-30T00:00:00"/>
    <d v="2024-06-23T00:00:00"/>
    <n v="24"/>
    <s v="May-2024"/>
    <x v="0"/>
    <n v="628.17999999999995"/>
    <x v="0"/>
    <n v="24"/>
  </r>
  <r>
    <s v="CLM00788"/>
    <s v="P0228"/>
    <s v="PR028"/>
    <s v="S022"/>
    <d v="2023-09-24T00:00:00"/>
    <d v="2023-09-26T00:00:00"/>
    <d v="2023-10-15T00:00:00"/>
    <n v="19"/>
    <s v="Sep-2023"/>
    <x v="2"/>
    <n v="627.29999999999995"/>
    <x v="0"/>
    <n v="19"/>
  </r>
  <r>
    <s v="CLM00643"/>
    <s v="P0174"/>
    <s v="PR031"/>
    <s v="S023"/>
    <d v="2024-02-12T00:00:00"/>
    <d v="2024-02-15T00:00:00"/>
    <d v="2024-03-07T00:00:00"/>
    <n v="21"/>
    <s v="Feb-2024"/>
    <x v="0"/>
    <n v="626.21"/>
    <x v="0"/>
    <n v="21"/>
  </r>
  <r>
    <s v="CLM01968"/>
    <s v="P0152"/>
    <s v="PR034"/>
    <s v="S023"/>
    <d v="2023-08-20T00:00:00"/>
    <d v="2023-08-21T00:00:00"/>
    <d v="2023-09-08T00:00:00"/>
    <n v="18"/>
    <s v="Aug-2023"/>
    <x v="4"/>
    <n v="625.66"/>
    <x v="1"/>
    <n v="18"/>
  </r>
  <r>
    <s v="CLM00983"/>
    <s v="P0111"/>
    <s v="PR026"/>
    <s v="S022"/>
    <d v="2023-10-21T00:00:00"/>
    <d v="2023-10-22T00:00:00"/>
    <d v="2023-11-09T00:00:00"/>
    <n v="18"/>
    <s v="Oct-2023"/>
    <x v="2"/>
    <n v="625.38"/>
    <x v="0"/>
    <n v="18"/>
  </r>
  <r>
    <s v="CLM00801"/>
    <s v="P0426"/>
    <s v="PR003"/>
    <s v="S022"/>
    <d v="2024-06-07T00:00:00"/>
    <d v="2024-06-10T00:00:00"/>
    <d v="2024-06-17T00:00:00"/>
    <n v="7"/>
    <s v="Jun-2024"/>
    <x v="2"/>
    <n v="625.34"/>
    <x v="0"/>
    <n v="7"/>
  </r>
  <r>
    <s v="CLM00367"/>
    <s v="P0239"/>
    <s v="PR026"/>
    <s v="S022"/>
    <d v="2023-07-20T00:00:00"/>
    <d v="2023-07-21T00:00:00"/>
    <d v="2023-08-12T00:00:00"/>
    <n v="22"/>
    <s v="Jul-2023"/>
    <x v="1"/>
    <n v="624.32000000000005"/>
    <x v="0"/>
    <n v="22"/>
  </r>
  <r>
    <s v="CLM01659"/>
    <s v="P0291"/>
    <s v="PR002"/>
    <s v="S022"/>
    <d v="2023-04-10T00:00:00"/>
    <d v="2023-04-15T00:00:00"/>
    <d v="2023-05-15T00:00:00"/>
    <n v="30"/>
    <s v="Apr-2023"/>
    <x v="4"/>
    <n v="624.27"/>
    <x v="0"/>
    <n v="30"/>
  </r>
  <r>
    <s v="CLM00991"/>
    <s v="P0405"/>
    <s v="PR037"/>
    <s v="S022"/>
    <d v="2024-10-12T00:00:00"/>
    <d v="2024-10-13T00:00:00"/>
    <d v="2024-10-21T00:00:00"/>
    <n v="8"/>
    <s v="Oct-2024"/>
    <x v="4"/>
    <n v="622.83000000000004"/>
    <x v="0"/>
    <n v="8"/>
  </r>
  <r>
    <s v="CLM01478"/>
    <s v="P0459"/>
    <s v="PR025"/>
    <s v="S022"/>
    <d v="2023-04-06T00:00:00"/>
    <d v="2023-04-11T00:00:00"/>
    <d v="2023-04-15T00:00:00"/>
    <n v="4"/>
    <s v="Apr-2023"/>
    <x v="1"/>
    <n v="621.72"/>
    <x v="0"/>
    <n v="4"/>
  </r>
  <r>
    <s v="CLM00307"/>
    <s v="P0431"/>
    <s v="PR025"/>
    <s v="S023"/>
    <d v="2024-07-24T00:00:00"/>
    <d v="2024-07-28T00:00:00"/>
    <d v="2024-08-01T00:00:00"/>
    <n v="4"/>
    <s v="Jul-2024"/>
    <x v="2"/>
    <n v="617.57000000000005"/>
    <x v="0"/>
    <n v="4"/>
  </r>
  <r>
    <s v="CLM01687"/>
    <s v="P0218"/>
    <s v="PR036"/>
    <s v="S023"/>
    <d v="2023-03-14T00:00:00"/>
    <d v="2023-03-17T00:00:00"/>
    <d v="2023-04-16T00:00:00"/>
    <n v="30"/>
    <s v="Mar-2023"/>
    <x v="1"/>
    <n v="616.66999999999996"/>
    <x v="0"/>
    <n v="30"/>
  </r>
  <r>
    <s v="CLM00341"/>
    <s v="P0026"/>
    <s v="PR019"/>
    <s v="S022"/>
    <d v="2023-08-06T00:00:00"/>
    <d v="2023-08-10T00:00:00"/>
    <d v="2023-09-07T00:00:00"/>
    <n v="28"/>
    <s v="Aug-2023"/>
    <x v="1"/>
    <n v="616.39"/>
    <x v="0"/>
    <n v="28"/>
  </r>
  <r>
    <s v="CLM00655"/>
    <s v="P0473"/>
    <s v="PR030"/>
    <s v="S023"/>
    <d v="2024-09-25T00:00:00"/>
    <d v="2024-09-29T00:00:00"/>
    <d v="2024-10-14T00:00:00"/>
    <n v="15"/>
    <s v="Sep-2024"/>
    <x v="2"/>
    <n v="615.15"/>
    <x v="1"/>
    <n v="15"/>
  </r>
  <r>
    <s v="CLM01155"/>
    <s v="P0407"/>
    <s v="PR037"/>
    <s v="S022"/>
    <d v="2024-04-15T00:00:00"/>
    <d v="2024-04-17T00:00:00"/>
    <d v="2024-04-24T00:00:00"/>
    <n v="7"/>
    <s v="Apr-2024"/>
    <x v="0"/>
    <n v="614.03"/>
    <x v="0"/>
    <n v="7"/>
  </r>
  <r>
    <s v="CLM00563"/>
    <s v="P0072"/>
    <s v="PR034"/>
    <s v="S023"/>
    <d v="2024-05-08T00:00:00"/>
    <d v="2024-05-09T00:00:00"/>
    <d v="2024-05-18T00:00:00"/>
    <n v="9"/>
    <s v="May-2024"/>
    <x v="0"/>
    <n v="611.62"/>
    <x v="0"/>
    <n v="9"/>
  </r>
  <r>
    <s v="CLM01614"/>
    <s v="P0396"/>
    <s v="PR026"/>
    <s v="S023"/>
    <d v="2023-11-14T00:00:00"/>
    <d v="2023-11-17T00:00:00"/>
    <d v="2023-12-13T00:00:00"/>
    <n v="26"/>
    <s v="Nov-2023"/>
    <x v="4"/>
    <n v="609.09"/>
    <x v="1"/>
    <n v="26"/>
  </r>
  <r>
    <s v="CLM01526"/>
    <s v="P0162"/>
    <s v="PR009"/>
    <s v="S022"/>
    <d v="2023-07-12T00:00:00"/>
    <d v="2023-07-14T00:00:00"/>
    <d v="2023-08-09T00:00:00"/>
    <n v="26"/>
    <s v="Jul-2023"/>
    <x v="4"/>
    <n v="608.72"/>
    <x v="0"/>
    <n v="26"/>
  </r>
  <r>
    <s v="CLM00982"/>
    <s v="P0101"/>
    <s v="PR003"/>
    <s v="S023"/>
    <d v="2024-12-26T00:00:00"/>
    <d v="2024-12-27T00:00:00"/>
    <d v="2025-01-22T00:00:00"/>
    <n v="26"/>
    <s v="Dec-2024"/>
    <x v="4"/>
    <n v="606.5"/>
    <x v="1"/>
    <n v="26"/>
  </r>
  <r>
    <s v="CLM01834"/>
    <s v="P0028"/>
    <s v="PR009"/>
    <s v="S022"/>
    <d v="2023-08-01T00:00:00"/>
    <d v="2023-08-04T00:00:00"/>
    <d v="2023-08-10T00:00:00"/>
    <n v="6"/>
    <s v="Aug-2023"/>
    <x v="2"/>
    <n v="604.98"/>
    <x v="0"/>
    <n v="6"/>
  </r>
  <r>
    <s v="CLM01288"/>
    <s v="P0130"/>
    <s v="PR009"/>
    <s v="S023"/>
    <d v="2023-03-27T00:00:00"/>
    <d v="2023-04-01T00:00:00"/>
    <d v="2023-04-25T00:00:00"/>
    <n v="24"/>
    <s v="Mar-2023"/>
    <x v="2"/>
    <n v="604.96"/>
    <x v="0"/>
    <n v="24"/>
  </r>
  <r>
    <s v="CLM00995"/>
    <s v="P0166"/>
    <s v="PR037"/>
    <s v="S023"/>
    <d v="2024-10-20T00:00:00"/>
    <d v="2024-10-21T00:00:00"/>
    <d v="2024-11-01T00:00:00"/>
    <n v="11"/>
    <s v="Oct-2024"/>
    <x v="2"/>
    <n v="604.14"/>
    <x v="0"/>
    <n v="11"/>
  </r>
  <r>
    <s v="CLM00003"/>
    <s v="P0122"/>
    <s v="PR007"/>
    <s v="S022"/>
    <d v="2024-02-22T00:00:00"/>
    <d v="2024-02-23T00:00:00"/>
    <d v="2024-03-08T00:00:00"/>
    <n v="14"/>
    <s v="Feb-2024"/>
    <x v="1"/>
    <n v="603.91"/>
    <x v="0"/>
    <n v="14"/>
  </r>
  <r>
    <s v="CLM01296"/>
    <s v="P0191"/>
    <s v="PR012"/>
    <s v="S023"/>
    <d v="2023-06-05T00:00:00"/>
    <d v="2023-06-10T00:00:00"/>
    <d v="2023-06-21T00:00:00"/>
    <n v="11"/>
    <s v="Jun-2023"/>
    <x v="2"/>
    <n v="600.47"/>
    <x v="0"/>
    <n v="11"/>
  </r>
  <r>
    <s v="CLM00175"/>
    <s v="P0182"/>
    <s v="PR033"/>
    <s v="S023"/>
    <d v="2024-03-20T00:00:00"/>
    <d v="2024-03-22T00:00:00"/>
    <d v="2024-04-12T00:00:00"/>
    <n v="21"/>
    <s v="Mar-2024"/>
    <x v="2"/>
    <n v="600.11"/>
    <x v="0"/>
    <n v="21"/>
  </r>
  <r>
    <s v="CLM01759"/>
    <s v="P0435"/>
    <s v="PR009"/>
    <s v="S023"/>
    <d v="2024-09-10T00:00:00"/>
    <d v="2024-09-15T00:00:00"/>
    <d v="2024-10-12T00:00:00"/>
    <n v="27"/>
    <s v="Sep-2024"/>
    <x v="2"/>
    <n v="597.75"/>
    <x v="0"/>
    <n v="27"/>
  </r>
  <r>
    <s v="CLM01356"/>
    <s v="P0319"/>
    <s v="PR010"/>
    <s v="S023"/>
    <d v="2023-09-13T00:00:00"/>
    <d v="2023-09-15T00:00:00"/>
    <d v="2023-09-24T00:00:00"/>
    <n v="9"/>
    <s v="Sep-2023"/>
    <x v="4"/>
    <n v="597.63"/>
    <x v="0"/>
    <n v="9"/>
  </r>
  <r>
    <s v="CLM00108"/>
    <s v="P0451"/>
    <s v="PR026"/>
    <s v="S022"/>
    <d v="2023-09-17T00:00:00"/>
    <d v="2023-09-21T00:00:00"/>
    <d v="2023-10-19T00:00:00"/>
    <n v="28"/>
    <s v="Sep-2023"/>
    <x v="0"/>
    <n v="597.42999999999995"/>
    <x v="1"/>
    <n v="28"/>
  </r>
  <r>
    <s v="CLM00120"/>
    <s v="P0411"/>
    <s v="PR018"/>
    <s v="S022"/>
    <d v="2024-08-18T00:00:00"/>
    <d v="2024-08-19T00:00:00"/>
    <d v="2024-09-13T00:00:00"/>
    <n v="25"/>
    <s v="Aug-2024"/>
    <x v="1"/>
    <n v="594.80999999999995"/>
    <x v="0"/>
    <n v="25"/>
  </r>
  <r>
    <s v="CLM00316"/>
    <s v="P0417"/>
    <s v="PR020"/>
    <s v="S023"/>
    <d v="2024-10-06T00:00:00"/>
    <d v="2024-10-09T00:00:00"/>
    <d v="2024-11-07T00:00:00"/>
    <n v="29"/>
    <s v="Oct-2024"/>
    <x v="4"/>
    <n v="594.48"/>
    <x v="1"/>
    <n v="29"/>
  </r>
  <r>
    <s v="CLM00807"/>
    <s v="P0460"/>
    <s v="PR016"/>
    <s v="S022"/>
    <d v="2024-09-11T00:00:00"/>
    <d v="2024-09-15T00:00:00"/>
    <d v="2024-10-04T00:00:00"/>
    <n v="19"/>
    <s v="Sep-2024"/>
    <x v="1"/>
    <n v="590.84"/>
    <x v="0"/>
    <n v="19"/>
  </r>
  <r>
    <s v="CLM01459"/>
    <s v="P0095"/>
    <s v="PR006"/>
    <s v="S022"/>
    <d v="2024-10-12T00:00:00"/>
    <d v="2024-10-16T00:00:00"/>
    <d v="2024-10-30T00:00:00"/>
    <n v="14"/>
    <s v="Oct-2024"/>
    <x v="4"/>
    <n v="590.79999999999995"/>
    <x v="0"/>
    <n v="14"/>
  </r>
  <r>
    <s v="CLM00973"/>
    <s v="P0247"/>
    <s v="PR034"/>
    <s v="S023"/>
    <d v="2024-09-30T00:00:00"/>
    <d v="2024-10-02T00:00:00"/>
    <d v="2024-10-12T00:00:00"/>
    <n v="10"/>
    <s v="Sep-2024"/>
    <x v="1"/>
    <n v="590.61"/>
    <x v="1"/>
    <n v="10"/>
  </r>
  <r>
    <s v="CLM00634"/>
    <s v="P0461"/>
    <s v="PR003"/>
    <s v="S022"/>
    <d v="2023-08-23T00:00:00"/>
    <d v="2023-08-26T00:00:00"/>
    <d v="2023-09-12T00:00:00"/>
    <n v="17"/>
    <s v="Aug-2023"/>
    <x v="1"/>
    <n v="590.1"/>
    <x v="0"/>
    <n v="17"/>
  </r>
  <r>
    <s v="CLM00696"/>
    <s v="P0308"/>
    <s v="PR030"/>
    <s v="S022"/>
    <d v="2024-11-18T00:00:00"/>
    <d v="2024-11-22T00:00:00"/>
    <d v="2024-12-05T00:00:00"/>
    <n v="13"/>
    <s v="Nov-2024"/>
    <x v="4"/>
    <n v="589.75"/>
    <x v="0"/>
    <n v="13"/>
  </r>
  <r>
    <s v="CLM01172"/>
    <s v="P0447"/>
    <s v="PR013"/>
    <s v="S022"/>
    <d v="2023-03-31T00:00:00"/>
    <d v="2023-04-03T00:00:00"/>
    <d v="2023-04-30T00:00:00"/>
    <n v="27"/>
    <s v="Mar-2023"/>
    <x v="4"/>
    <n v="589.62"/>
    <x v="0"/>
    <n v="27"/>
  </r>
  <r>
    <s v="CLM01844"/>
    <s v="P0164"/>
    <s v="PR009"/>
    <s v="S023"/>
    <d v="2024-03-01T00:00:00"/>
    <d v="2024-03-03T00:00:00"/>
    <d v="2024-03-23T00:00:00"/>
    <n v="20"/>
    <s v="Mar-2024"/>
    <x v="2"/>
    <n v="587.95000000000005"/>
    <x v="1"/>
    <n v="20"/>
  </r>
  <r>
    <s v="CLM01439"/>
    <s v="P0273"/>
    <s v="PR012"/>
    <s v="S023"/>
    <d v="2023-07-04T00:00:00"/>
    <d v="2023-07-05T00:00:00"/>
    <d v="2023-07-14T00:00:00"/>
    <n v="9"/>
    <s v="Jul-2023"/>
    <x v="0"/>
    <n v="587.83000000000004"/>
    <x v="1"/>
    <n v="9"/>
  </r>
  <r>
    <s v="CLM00151"/>
    <s v="P0079"/>
    <s v="PR013"/>
    <s v="S022"/>
    <d v="2024-09-30T00:00:00"/>
    <d v="2024-10-04T00:00:00"/>
    <d v="2024-10-18T00:00:00"/>
    <n v="14"/>
    <s v="Sep-2024"/>
    <x v="1"/>
    <n v="587.42999999999995"/>
    <x v="0"/>
    <n v="14"/>
  </r>
  <r>
    <s v="CLM01485"/>
    <s v="P0012"/>
    <s v="PR005"/>
    <s v="S022"/>
    <d v="2024-05-23T00:00:00"/>
    <d v="2024-05-25T00:00:00"/>
    <d v="2024-06-05T00:00:00"/>
    <n v="11"/>
    <s v="May-2024"/>
    <x v="1"/>
    <n v="585.70000000000005"/>
    <x v="0"/>
    <n v="11"/>
  </r>
  <r>
    <s v="CLM01638"/>
    <s v="P0256"/>
    <s v="PR029"/>
    <s v="S022"/>
    <d v="2024-05-09T00:00:00"/>
    <d v="2024-05-14T00:00:00"/>
    <d v="2024-05-25T00:00:00"/>
    <n v="11"/>
    <s v="May-2024"/>
    <x v="2"/>
    <n v="585.53"/>
    <x v="0"/>
    <n v="11"/>
  </r>
  <r>
    <s v="CLM01868"/>
    <s v="P0244"/>
    <s v="PR011"/>
    <s v="S022"/>
    <d v="2024-04-29T00:00:00"/>
    <d v="2024-05-02T00:00:00"/>
    <d v="2024-05-27T00:00:00"/>
    <n v="25"/>
    <s v="Apr-2024"/>
    <x v="3"/>
    <n v="585.45000000000005"/>
    <x v="0"/>
    <n v="25"/>
  </r>
  <r>
    <s v="CLM00531"/>
    <s v="P0038"/>
    <s v="PR006"/>
    <s v="S022"/>
    <d v="2024-09-12T00:00:00"/>
    <d v="2024-09-17T00:00:00"/>
    <d v="2024-10-04T00:00:00"/>
    <n v="17"/>
    <s v="Sep-2024"/>
    <x v="2"/>
    <n v="584.20000000000005"/>
    <x v="0"/>
    <n v="17"/>
  </r>
  <r>
    <s v="CLM00783"/>
    <s v="P0308"/>
    <s v="PR014"/>
    <s v="S023"/>
    <d v="2023-06-13T00:00:00"/>
    <d v="2023-06-16T00:00:00"/>
    <d v="2023-06-28T00:00:00"/>
    <n v="12"/>
    <s v="Jun-2023"/>
    <x v="4"/>
    <n v="584"/>
    <x v="1"/>
    <n v="12"/>
  </r>
  <r>
    <s v="CLM01778"/>
    <s v="P0230"/>
    <s v="PR014"/>
    <s v="S023"/>
    <d v="2023-12-01T00:00:00"/>
    <d v="2023-12-02T00:00:00"/>
    <d v="2023-12-06T00:00:00"/>
    <n v="4"/>
    <s v="Dec-2023"/>
    <x v="2"/>
    <n v="582.78"/>
    <x v="0"/>
    <n v="4"/>
  </r>
  <r>
    <s v="CLM01018"/>
    <s v="P0445"/>
    <s v="PR035"/>
    <s v="S022"/>
    <d v="2023-08-23T00:00:00"/>
    <d v="2023-08-26T00:00:00"/>
    <d v="2023-09-22T00:00:00"/>
    <n v="27"/>
    <s v="Aug-2023"/>
    <x v="0"/>
    <n v="581.98"/>
    <x v="0"/>
    <n v="27"/>
  </r>
  <r>
    <s v="CLM00798"/>
    <s v="P0184"/>
    <s v="PR002"/>
    <s v="S022"/>
    <d v="2023-07-03T00:00:00"/>
    <d v="2023-07-05T00:00:00"/>
    <d v="2023-07-24T00:00:00"/>
    <n v="19"/>
    <s v="Jul-2023"/>
    <x v="1"/>
    <n v="581.27"/>
    <x v="0"/>
    <n v="19"/>
  </r>
  <r>
    <s v="CLM00377"/>
    <s v="P0179"/>
    <s v="PR001"/>
    <s v="S023"/>
    <d v="2023-07-10T00:00:00"/>
    <d v="2023-07-14T00:00:00"/>
    <d v="2023-08-03T00:00:00"/>
    <n v="20"/>
    <s v="Jul-2023"/>
    <x v="1"/>
    <n v="580.32000000000005"/>
    <x v="0"/>
    <n v="20"/>
  </r>
  <r>
    <s v="CLM00414"/>
    <s v="P0276"/>
    <s v="PR015"/>
    <s v="S022"/>
    <d v="2024-12-27T00:00:00"/>
    <d v="2025-01-01T00:00:00"/>
    <d v="2025-01-08T00:00:00"/>
    <n v="7"/>
    <s v="Dec-2024"/>
    <x v="0"/>
    <n v="579.78"/>
    <x v="1"/>
    <n v="7"/>
  </r>
  <r>
    <s v="CLM00026"/>
    <s v="P0250"/>
    <s v="PR032"/>
    <s v="S022"/>
    <d v="2023-01-20T00:00:00"/>
    <d v="2023-01-23T00:00:00"/>
    <d v="2023-02-09T00:00:00"/>
    <n v="17"/>
    <s v="Jan-2023"/>
    <x v="1"/>
    <n v="578.54999999999995"/>
    <x v="0"/>
    <n v="17"/>
  </r>
  <r>
    <s v="CLM01761"/>
    <s v="P0207"/>
    <s v="PR014"/>
    <s v="S022"/>
    <d v="2024-01-04T00:00:00"/>
    <d v="2024-01-05T00:00:00"/>
    <d v="2024-01-26T00:00:00"/>
    <n v="21"/>
    <s v="Jan-2024"/>
    <x v="4"/>
    <n v="577.70000000000005"/>
    <x v="0"/>
    <n v="21"/>
  </r>
  <r>
    <s v="CLM00579"/>
    <s v="P0246"/>
    <s v="PR001"/>
    <s v="S022"/>
    <d v="2023-08-28T00:00:00"/>
    <d v="2023-09-02T00:00:00"/>
    <d v="2023-09-27T00:00:00"/>
    <n v="25"/>
    <s v="Aug-2023"/>
    <x v="1"/>
    <n v="577.55999999999995"/>
    <x v="0"/>
    <n v="25"/>
  </r>
  <r>
    <s v="CLM01653"/>
    <s v="P0471"/>
    <s v="PR023"/>
    <s v="S022"/>
    <d v="2023-03-14T00:00:00"/>
    <d v="2023-03-18T00:00:00"/>
    <d v="2023-04-11T00:00:00"/>
    <n v="24"/>
    <s v="Mar-2023"/>
    <x v="1"/>
    <n v="575.46"/>
    <x v="0"/>
    <n v="24"/>
  </r>
  <r>
    <s v="CLM00528"/>
    <s v="P0447"/>
    <s v="PR014"/>
    <s v="S023"/>
    <d v="2024-03-24T00:00:00"/>
    <d v="2024-03-27T00:00:00"/>
    <d v="2024-04-19T00:00:00"/>
    <n v="23"/>
    <s v="Mar-2024"/>
    <x v="4"/>
    <n v="574.42999999999995"/>
    <x v="0"/>
    <n v="23"/>
  </r>
  <r>
    <s v="CLM01392"/>
    <s v="P0148"/>
    <s v="PR005"/>
    <s v="S022"/>
    <d v="2023-10-07T00:00:00"/>
    <d v="2023-10-10T00:00:00"/>
    <d v="2023-10-28T00:00:00"/>
    <n v="18"/>
    <s v="Oct-2023"/>
    <x v="2"/>
    <n v="573.54"/>
    <x v="0"/>
    <n v="18"/>
  </r>
  <r>
    <s v="CLM00812"/>
    <s v="P0388"/>
    <s v="PR036"/>
    <s v="S022"/>
    <d v="2024-08-09T00:00:00"/>
    <d v="2024-08-13T00:00:00"/>
    <d v="2024-09-04T00:00:00"/>
    <n v="22"/>
    <s v="Aug-2024"/>
    <x v="4"/>
    <n v="573.16999999999996"/>
    <x v="0"/>
    <n v="22"/>
  </r>
  <r>
    <s v="CLM01291"/>
    <s v="P0411"/>
    <s v="PR024"/>
    <s v="S023"/>
    <d v="2024-02-25T00:00:00"/>
    <d v="2024-02-29T00:00:00"/>
    <m/>
    <s v=""/>
    <s v="Feb-2024"/>
    <x v="1"/>
    <n v="572.21"/>
    <x v="2"/>
    <m/>
  </r>
  <r>
    <s v="CLM00745"/>
    <s v="P0499"/>
    <s v="PR036"/>
    <s v="S023"/>
    <d v="2023-11-01T00:00:00"/>
    <d v="2023-11-06T00:00:00"/>
    <d v="2023-11-17T00:00:00"/>
    <n v="11"/>
    <s v="Nov-2023"/>
    <x v="2"/>
    <n v="571.57000000000005"/>
    <x v="0"/>
    <n v="11"/>
  </r>
  <r>
    <s v="CLM00278"/>
    <s v="P0055"/>
    <s v="PR030"/>
    <s v="S022"/>
    <d v="2024-01-22T00:00:00"/>
    <d v="2024-01-27T00:00:00"/>
    <d v="2024-02-15T00:00:00"/>
    <n v="19"/>
    <s v="Jan-2024"/>
    <x v="3"/>
    <n v="571.48"/>
    <x v="0"/>
    <n v="19"/>
  </r>
  <r>
    <s v="CLM00400"/>
    <s v="P0064"/>
    <s v="PR003"/>
    <s v="S022"/>
    <d v="2023-05-22T00:00:00"/>
    <d v="2023-05-26T00:00:00"/>
    <d v="2023-06-13T00:00:00"/>
    <n v="18"/>
    <s v="May-2023"/>
    <x v="4"/>
    <n v="571.46"/>
    <x v="0"/>
    <n v="18"/>
  </r>
  <r>
    <s v="CLM01244"/>
    <s v="P0048"/>
    <s v="PR020"/>
    <s v="S022"/>
    <d v="2024-08-04T00:00:00"/>
    <d v="2024-08-09T00:00:00"/>
    <d v="2024-09-01T00:00:00"/>
    <n v="23"/>
    <s v="Aug-2024"/>
    <x v="4"/>
    <n v="568.53"/>
    <x v="0"/>
    <n v="23"/>
  </r>
  <r>
    <s v="CLM00993"/>
    <s v="P0209"/>
    <s v="PR012"/>
    <s v="S023"/>
    <d v="2024-07-30T00:00:00"/>
    <d v="2024-08-01T00:00:00"/>
    <m/>
    <s v=""/>
    <s v="Jul-2024"/>
    <x v="4"/>
    <n v="566.67999999999995"/>
    <x v="2"/>
    <m/>
  </r>
  <r>
    <s v="CLM01515"/>
    <s v="P0246"/>
    <s v="PR007"/>
    <s v="S022"/>
    <d v="2023-02-12T00:00:00"/>
    <d v="2023-02-16T00:00:00"/>
    <d v="2023-02-19T00:00:00"/>
    <n v="3"/>
    <s v="Feb-2023"/>
    <x v="1"/>
    <n v="563.52"/>
    <x v="0"/>
    <n v="3"/>
  </r>
  <r>
    <s v="CLM00014"/>
    <s v="P0393"/>
    <s v="PR029"/>
    <s v="S023"/>
    <d v="2024-01-16T00:00:00"/>
    <d v="2024-01-18T00:00:00"/>
    <d v="2024-01-23T00:00:00"/>
    <n v="5"/>
    <s v="Jan-2024"/>
    <x v="4"/>
    <n v="563.1"/>
    <x v="1"/>
    <n v="5"/>
  </r>
  <r>
    <s v="CLM00870"/>
    <s v="P0089"/>
    <s v="PR019"/>
    <s v="S023"/>
    <d v="2024-08-01T00:00:00"/>
    <d v="2024-08-05T00:00:00"/>
    <d v="2024-09-01T00:00:00"/>
    <n v="27"/>
    <s v="Aug-2024"/>
    <x v="1"/>
    <n v="562.16"/>
    <x v="0"/>
    <n v="27"/>
  </r>
  <r>
    <s v="CLM00843"/>
    <s v="P0195"/>
    <s v="PR011"/>
    <s v="S022"/>
    <d v="2024-04-24T00:00:00"/>
    <d v="2024-04-29T00:00:00"/>
    <d v="2024-05-04T00:00:00"/>
    <n v="5"/>
    <s v="Apr-2024"/>
    <x v="2"/>
    <n v="559.74"/>
    <x v="0"/>
    <n v="5"/>
  </r>
  <r>
    <s v="CLM00979"/>
    <s v="P0439"/>
    <s v="PR013"/>
    <s v="S022"/>
    <d v="2023-08-29T00:00:00"/>
    <d v="2023-08-30T00:00:00"/>
    <d v="2023-09-27T00:00:00"/>
    <n v="28"/>
    <s v="Aug-2023"/>
    <x v="0"/>
    <n v="559.49"/>
    <x v="0"/>
    <n v="28"/>
  </r>
  <r>
    <s v="CLM01679"/>
    <s v="P0075"/>
    <s v="PR026"/>
    <s v="S007"/>
    <d v="2023-10-28T00:00:00"/>
    <d v="2023-10-29T00:00:00"/>
    <d v="2023-11-24T00:00:00"/>
    <n v="26"/>
    <s v="Oct-2023"/>
    <x v="0"/>
    <n v="559.41999999999996"/>
    <x v="1"/>
    <n v="26"/>
  </r>
  <r>
    <s v="CLM01874"/>
    <s v="P0007"/>
    <s v="PR036"/>
    <s v="S007"/>
    <d v="2023-10-16T00:00:00"/>
    <d v="2023-10-20T00:00:00"/>
    <d v="2023-11-18T00:00:00"/>
    <n v="29"/>
    <s v="Oct-2023"/>
    <x v="1"/>
    <n v="559.34"/>
    <x v="0"/>
    <n v="29"/>
  </r>
  <r>
    <s v="CLM01338"/>
    <s v="P0399"/>
    <s v="PR031"/>
    <s v="S023"/>
    <d v="2023-03-23T00:00:00"/>
    <d v="2023-03-25T00:00:00"/>
    <d v="2023-04-21T00:00:00"/>
    <n v="27"/>
    <s v="Mar-2023"/>
    <x v="0"/>
    <n v="559.12"/>
    <x v="0"/>
    <n v="27"/>
  </r>
  <r>
    <s v="CLM00166"/>
    <s v="P0455"/>
    <s v="PR023"/>
    <s v="S023"/>
    <d v="2023-01-21T00:00:00"/>
    <d v="2023-01-22T00:00:00"/>
    <d v="2023-02-02T00:00:00"/>
    <n v="11"/>
    <s v="Jan-2023"/>
    <x v="3"/>
    <n v="558.74"/>
    <x v="0"/>
    <n v="11"/>
  </r>
  <r>
    <s v="CLM00880"/>
    <s v="P0214"/>
    <s v="PR009"/>
    <s v="S007"/>
    <d v="2023-05-08T00:00:00"/>
    <d v="2023-05-13T00:00:00"/>
    <d v="2023-05-28T00:00:00"/>
    <n v="15"/>
    <s v="May-2023"/>
    <x v="1"/>
    <n v="558.73"/>
    <x v="1"/>
    <n v="15"/>
  </r>
  <r>
    <s v="CLM00899"/>
    <s v="P0070"/>
    <s v="PR024"/>
    <s v="S007"/>
    <d v="2024-11-15T00:00:00"/>
    <d v="2024-11-17T00:00:00"/>
    <d v="2024-12-12T00:00:00"/>
    <n v="25"/>
    <s v="Nov-2024"/>
    <x v="1"/>
    <n v="558.36"/>
    <x v="0"/>
    <n v="25"/>
  </r>
  <r>
    <s v="CLM00652"/>
    <s v="P0229"/>
    <s v="PR007"/>
    <s v="S007"/>
    <d v="2024-03-04T00:00:00"/>
    <d v="2024-03-06T00:00:00"/>
    <d v="2024-03-10T00:00:00"/>
    <n v="4"/>
    <s v="Mar-2024"/>
    <x v="4"/>
    <n v="558.27"/>
    <x v="0"/>
    <n v="4"/>
  </r>
  <r>
    <s v="CLM00919"/>
    <s v="P0138"/>
    <s v="PR024"/>
    <s v="S007"/>
    <d v="2023-07-03T00:00:00"/>
    <d v="2023-07-07T00:00:00"/>
    <d v="2023-07-31T00:00:00"/>
    <n v="24"/>
    <s v="Jul-2023"/>
    <x v="0"/>
    <n v="557.91999999999996"/>
    <x v="0"/>
    <n v="24"/>
  </r>
  <r>
    <s v="CLM00052"/>
    <s v="P0401"/>
    <s v="PR019"/>
    <s v="S023"/>
    <d v="2024-06-25T00:00:00"/>
    <d v="2024-06-28T00:00:00"/>
    <d v="2024-07-11T00:00:00"/>
    <n v="13"/>
    <s v="Jun-2024"/>
    <x v="3"/>
    <n v="556.64"/>
    <x v="0"/>
    <n v="13"/>
  </r>
  <r>
    <s v="CLM00162"/>
    <s v="P0187"/>
    <s v="PR021"/>
    <s v="S023"/>
    <d v="2023-05-22T00:00:00"/>
    <d v="2023-05-27T00:00:00"/>
    <d v="2023-06-18T00:00:00"/>
    <n v="22"/>
    <s v="May-2023"/>
    <x v="3"/>
    <n v="556.53"/>
    <x v="0"/>
    <n v="22"/>
  </r>
  <r>
    <s v="CLM01286"/>
    <s v="P0487"/>
    <s v="PR015"/>
    <s v="S022"/>
    <d v="2024-08-22T00:00:00"/>
    <d v="2024-08-23T00:00:00"/>
    <d v="2024-09-08T00:00:00"/>
    <n v="16"/>
    <s v="Aug-2024"/>
    <x v="1"/>
    <n v="555.85"/>
    <x v="0"/>
    <n v="16"/>
  </r>
  <r>
    <s v="CLM01186"/>
    <s v="P0416"/>
    <s v="PR030"/>
    <s v="S007"/>
    <d v="2024-03-31T00:00:00"/>
    <d v="2024-04-05T00:00:00"/>
    <d v="2024-04-20T00:00:00"/>
    <n v="15"/>
    <s v="Mar-2024"/>
    <x v="2"/>
    <n v="555.70000000000005"/>
    <x v="0"/>
    <n v="15"/>
  </r>
  <r>
    <s v="CLM00590"/>
    <s v="P0006"/>
    <s v="PR014"/>
    <s v="S022"/>
    <d v="2024-03-06T00:00:00"/>
    <d v="2024-03-11T00:00:00"/>
    <d v="2024-04-05T00:00:00"/>
    <n v="25"/>
    <s v="Mar-2024"/>
    <x v="4"/>
    <n v="555.67999999999995"/>
    <x v="0"/>
    <n v="25"/>
  </r>
  <r>
    <s v="CLM01842"/>
    <s v="P0467"/>
    <s v="PR035"/>
    <s v="S007"/>
    <d v="2024-09-21T00:00:00"/>
    <d v="2024-09-24T00:00:00"/>
    <d v="2024-10-23T00:00:00"/>
    <n v="29"/>
    <s v="Sep-2024"/>
    <x v="2"/>
    <n v="554.72"/>
    <x v="0"/>
    <n v="29"/>
  </r>
  <r>
    <s v="CLM00075"/>
    <s v="P0104"/>
    <s v="PR037"/>
    <s v="S007"/>
    <d v="2023-02-16T00:00:00"/>
    <d v="2023-02-18T00:00:00"/>
    <d v="2023-03-19T00:00:00"/>
    <n v="29"/>
    <s v="Feb-2023"/>
    <x v="0"/>
    <n v="554.38"/>
    <x v="0"/>
    <n v="29"/>
  </r>
  <r>
    <s v="CLM01457"/>
    <s v="P0306"/>
    <s v="PR007"/>
    <s v="S007"/>
    <d v="2023-09-11T00:00:00"/>
    <d v="2023-09-12T00:00:00"/>
    <d v="2023-10-12T00:00:00"/>
    <n v="30"/>
    <s v="Sep-2023"/>
    <x v="2"/>
    <n v="554.17999999999995"/>
    <x v="1"/>
    <n v="30"/>
  </r>
  <r>
    <s v="CLM01810"/>
    <s v="P0377"/>
    <s v="PR020"/>
    <s v="S022"/>
    <d v="2023-03-10T00:00:00"/>
    <d v="2023-03-15T00:00:00"/>
    <d v="2023-04-12T00:00:00"/>
    <n v="28"/>
    <s v="Mar-2023"/>
    <x v="2"/>
    <n v="553.82000000000005"/>
    <x v="0"/>
    <n v="28"/>
  </r>
  <r>
    <s v="CLM00187"/>
    <s v="P0480"/>
    <s v="PR027"/>
    <s v="S023"/>
    <d v="2024-07-26T00:00:00"/>
    <d v="2024-07-28T00:00:00"/>
    <m/>
    <s v=""/>
    <s v="Jul-2024"/>
    <x v="0"/>
    <n v="553.78"/>
    <x v="2"/>
    <m/>
  </r>
  <r>
    <s v="CLM00914"/>
    <s v="P0151"/>
    <s v="PR008"/>
    <s v="S007"/>
    <d v="2023-07-07T00:00:00"/>
    <d v="2023-07-10T00:00:00"/>
    <m/>
    <s v=""/>
    <s v="Jul-2023"/>
    <x v="2"/>
    <n v="552.04"/>
    <x v="2"/>
    <m/>
  </r>
  <r>
    <s v="CLM00068"/>
    <s v="P0170"/>
    <s v="PR007"/>
    <s v="S023"/>
    <d v="2023-10-30T00:00:00"/>
    <d v="2023-11-02T00:00:00"/>
    <d v="2023-11-25T00:00:00"/>
    <n v="23"/>
    <s v="Oct-2023"/>
    <x v="1"/>
    <n v="551.25"/>
    <x v="1"/>
    <n v="23"/>
  </r>
  <r>
    <s v="CLM01800"/>
    <s v="P0366"/>
    <s v="PR029"/>
    <s v="S023"/>
    <d v="2023-12-07T00:00:00"/>
    <d v="2023-12-08T00:00:00"/>
    <d v="2023-12-11T00:00:00"/>
    <n v="3"/>
    <s v="Dec-2023"/>
    <x v="4"/>
    <n v="550.98"/>
    <x v="0"/>
    <n v="3"/>
  </r>
  <r>
    <s v="CLM00491"/>
    <s v="P0479"/>
    <s v="PR004"/>
    <s v="S023"/>
    <d v="2024-06-10T00:00:00"/>
    <d v="2024-06-15T00:00:00"/>
    <d v="2024-07-01T00:00:00"/>
    <n v="16"/>
    <s v="Jun-2024"/>
    <x v="0"/>
    <n v="550.32000000000005"/>
    <x v="0"/>
    <n v="16"/>
  </r>
  <r>
    <s v="CLM00666"/>
    <s v="P0096"/>
    <s v="PR028"/>
    <s v="S023"/>
    <d v="2023-12-26T00:00:00"/>
    <d v="2023-12-27T00:00:00"/>
    <d v="2024-01-01T00:00:00"/>
    <n v="5"/>
    <s v="Dec-2023"/>
    <x v="0"/>
    <n v="549.4"/>
    <x v="0"/>
    <n v="5"/>
  </r>
  <r>
    <s v="CLM01832"/>
    <s v="P0279"/>
    <s v="PR026"/>
    <s v="S023"/>
    <d v="2023-11-10T00:00:00"/>
    <d v="2023-11-12T00:00:00"/>
    <d v="2023-11-27T00:00:00"/>
    <n v="15"/>
    <s v="Nov-2023"/>
    <x v="4"/>
    <n v="546.29999999999995"/>
    <x v="0"/>
    <n v="15"/>
  </r>
  <r>
    <s v="CLM01857"/>
    <s v="P0173"/>
    <s v="PR007"/>
    <s v="S007"/>
    <d v="2024-11-02T00:00:00"/>
    <d v="2024-11-06T00:00:00"/>
    <d v="2024-11-18T00:00:00"/>
    <n v="12"/>
    <s v="Nov-2024"/>
    <x v="4"/>
    <n v="544.64"/>
    <x v="0"/>
    <n v="12"/>
  </r>
  <r>
    <s v="CLM01446"/>
    <s v="P0415"/>
    <s v="PR003"/>
    <s v="S007"/>
    <d v="2024-05-18T00:00:00"/>
    <d v="2024-05-22T00:00:00"/>
    <d v="2024-06-04T00:00:00"/>
    <n v="13"/>
    <s v="May-2024"/>
    <x v="1"/>
    <n v="543.66999999999996"/>
    <x v="0"/>
    <n v="13"/>
  </r>
  <r>
    <s v="CLM00455"/>
    <s v="P0223"/>
    <s v="PR017"/>
    <s v="S007"/>
    <d v="2023-09-12T00:00:00"/>
    <d v="2023-09-14T00:00:00"/>
    <d v="2023-10-01T00:00:00"/>
    <n v="17"/>
    <s v="Sep-2023"/>
    <x v="1"/>
    <n v="542.17999999999995"/>
    <x v="0"/>
    <n v="17"/>
  </r>
  <r>
    <s v="CLM00626"/>
    <s v="P0500"/>
    <s v="PR023"/>
    <s v="S007"/>
    <d v="2024-11-08T00:00:00"/>
    <d v="2024-11-13T00:00:00"/>
    <m/>
    <s v=""/>
    <s v="Nov-2024"/>
    <x v="4"/>
    <n v="541.88"/>
    <x v="2"/>
    <m/>
  </r>
  <r>
    <s v="CLM00304"/>
    <s v="P0406"/>
    <s v="PR020"/>
    <s v="S022"/>
    <d v="2023-09-17T00:00:00"/>
    <d v="2023-09-21T00:00:00"/>
    <d v="2023-09-29T00:00:00"/>
    <n v="8"/>
    <s v="Sep-2023"/>
    <x v="2"/>
    <n v="541.04999999999995"/>
    <x v="0"/>
    <n v="8"/>
  </r>
  <r>
    <s v="CLM01568"/>
    <s v="P0334"/>
    <s v="PR012"/>
    <s v="S007"/>
    <d v="2023-04-07T00:00:00"/>
    <d v="2023-04-09T00:00:00"/>
    <d v="2023-05-02T00:00:00"/>
    <n v="23"/>
    <s v="Apr-2023"/>
    <x v="1"/>
    <n v="540.12"/>
    <x v="0"/>
    <n v="23"/>
  </r>
  <r>
    <s v="CLM01963"/>
    <s v="P0237"/>
    <s v="PR015"/>
    <s v="S022"/>
    <d v="2024-03-04T00:00:00"/>
    <d v="2024-03-07T00:00:00"/>
    <d v="2024-03-23T00:00:00"/>
    <n v="16"/>
    <s v="Mar-2024"/>
    <x v="4"/>
    <n v="539.63"/>
    <x v="0"/>
    <n v="16"/>
  </r>
  <r>
    <s v="CLM01209"/>
    <s v="P0251"/>
    <s v="PR028"/>
    <s v="S022"/>
    <d v="2024-07-19T00:00:00"/>
    <d v="2024-07-20T00:00:00"/>
    <d v="2024-08-06T00:00:00"/>
    <n v="17"/>
    <s v="Jul-2024"/>
    <x v="3"/>
    <n v="538.9"/>
    <x v="0"/>
    <n v="17"/>
  </r>
  <r>
    <s v="CLM01824"/>
    <s v="P0366"/>
    <s v="PR009"/>
    <s v="S007"/>
    <d v="2023-11-07T00:00:00"/>
    <d v="2023-11-11T00:00:00"/>
    <d v="2023-11-19T00:00:00"/>
    <n v="8"/>
    <s v="Nov-2023"/>
    <x v="4"/>
    <n v="538.26"/>
    <x v="0"/>
    <n v="8"/>
  </r>
  <r>
    <s v="CLM00319"/>
    <s v="P0043"/>
    <s v="PR022"/>
    <s v="S022"/>
    <d v="2024-04-20T00:00:00"/>
    <d v="2024-04-21T00:00:00"/>
    <d v="2024-04-26T00:00:00"/>
    <n v="5"/>
    <s v="Apr-2024"/>
    <x v="3"/>
    <n v="538.23"/>
    <x v="0"/>
    <n v="5"/>
  </r>
  <r>
    <s v="CLM00113"/>
    <s v="P0173"/>
    <s v="PR039"/>
    <s v="S022"/>
    <d v="2024-09-03T00:00:00"/>
    <d v="2024-09-04T00:00:00"/>
    <d v="2024-09-25T00:00:00"/>
    <n v="21"/>
    <s v="Sep-2024"/>
    <x v="4"/>
    <n v="536.29999999999995"/>
    <x v="0"/>
    <n v="21"/>
  </r>
  <r>
    <s v="CLM01137"/>
    <s v="P0373"/>
    <s v="PR003"/>
    <s v="S007"/>
    <d v="2023-08-13T00:00:00"/>
    <d v="2023-08-18T00:00:00"/>
    <d v="2023-08-26T00:00:00"/>
    <n v="8"/>
    <s v="Aug-2023"/>
    <x v="4"/>
    <n v="535.73"/>
    <x v="0"/>
    <n v="8"/>
  </r>
  <r>
    <s v="CLM00938"/>
    <s v="P0197"/>
    <s v="PR040"/>
    <s v="S007"/>
    <d v="2023-02-22T00:00:00"/>
    <d v="2023-02-24T00:00:00"/>
    <d v="2023-03-17T00:00:00"/>
    <n v="21"/>
    <s v="Feb-2023"/>
    <x v="4"/>
    <n v="534.75"/>
    <x v="0"/>
    <n v="21"/>
  </r>
  <r>
    <s v="CLM01837"/>
    <s v="P0313"/>
    <s v="PR003"/>
    <s v="S007"/>
    <d v="2023-04-19T00:00:00"/>
    <d v="2023-04-22T00:00:00"/>
    <d v="2023-04-27T00:00:00"/>
    <n v="5"/>
    <s v="Apr-2023"/>
    <x v="0"/>
    <n v="534.01"/>
    <x v="0"/>
    <n v="5"/>
  </r>
  <r>
    <s v="CLM00648"/>
    <s v="P0111"/>
    <s v="PR032"/>
    <s v="S022"/>
    <d v="2023-04-17T00:00:00"/>
    <d v="2023-04-21T00:00:00"/>
    <d v="2023-05-06T00:00:00"/>
    <n v="15"/>
    <s v="Apr-2023"/>
    <x v="2"/>
    <n v="533.14"/>
    <x v="0"/>
    <n v="15"/>
  </r>
  <r>
    <s v="CLM01980"/>
    <s v="P0458"/>
    <s v="PR003"/>
    <s v="S007"/>
    <d v="2023-12-01T00:00:00"/>
    <d v="2023-12-03T00:00:00"/>
    <m/>
    <s v=""/>
    <s v="Dec-2023"/>
    <x v="3"/>
    <n v="532.54"/>
    <x v="2"/>
    <m/>
  </r>
  <r>
    <s v="CLM01080"/>
    <s v="P0363"/>
    <s v="PR036"/>
    <s v="S022"/>
    <d v="2023-02-13T00:00:00"/>
    <d v="2023-02-16T00:00:00"/>
    <m/>
    <s v=""/>
    <s v="Feb-2023"/>
    <x v="0"/>
    <n v="531.45000000000005"/>
    <x v="2"/>
    <m/>
  </r>
  <r>
    <s v="CLM00195"/>
    <s v="P0143"/>
    <s v="PR020"/>
    <s v="S022"/>
    <d v="2023-06-26T00:00:00"/>
    <d v="2023-07-01T00:00:00"/>
    <d v="2023-07-18T00:00:00"/>
    <n v="17"/>
    <s v="Jun-2023"/>
    <x v="2"/>
    <n v="528.83000000000004"/>
    <x v="0"/>
    <n v="17"/>
  </r>
  <r>
    <s v="CLM01347"/>
    <s v="P0064"/>
    <s v="PR007"/>
    <s v="S022"/>
    <d v="2024-12-15T00:00:00"/>
    <d v="2024-12-18T00:00:00"/>
    <d v="2025-01-05T00:00:00"/>
    <n v="18"/>
    <s v="Dec-2024"/>
    <x v="4"/>
    <n v="527.83000000000004"/>
    <x v="0"/>
    <n v="18"/>
  </r>
  <r>
    <s v="CLM00333"/>
    <s v="P0461"/>
    <s v="PR019"/>
    <s v="S007"/>
    <d v="2024-12-25T00:00:00"/>
    <d v="2024-12-28T00:00:00"/>
    <d v="2025-01-06T00:00:00"/>
    <n v="9"/>
    <s v="Dec-2024"/>
    <x v="1"/>
    <n v="527.78"/>
    <x v="0"/>
    <n v="9"/>
  </r>
  <r>
    <s v="CLM01345"/>
    <s v="P0106"/>
    <s v="PR025"/>
    <s v="S007"/>
    <d v="2023-09-23T00:00:00"/>
    <d v="2023-09-28T00:00:00"/>
    <d v="2023-10-28T00:00:00"/>
    <n v="30"/>
    <s v="Sep-2023"/>
    <x v="0"/>
    <n v="526.6"/>
    <x v="0"/>
    <n v="30"/>
  </r>
  <r>
    <s v="CLM01205"/>
    <s v="P0270"/>
    <s v="PR001"/>
    <s v="S007"/>
    <d v="2024-08-18T00:00:00"/>
    <d v="2024-08-21T00:00:00"/>
    <d v="2024-08-30T00:00:00"/>
    <n v="9"/>
    <s v="Aug-2024"/>
    <x v="4"/>
    <n v="524.80999999999995"/>
    <x v="0"/>
    <n v="9"/>
  </r>
  <r>
    <s v="CLM00793"/>
    <s v="P0186"/>
    <s v="PR023"/>
    <s v="S007"/>
    <d v="2024-10-22T00:00:00"/>
    <d v="2024-10-25T00:00:00"/>
    <d v="2024-11-05T00:00:00"/>
    <n v="11"/>
    <s v="Oct-2024"/>
    <x v="0"/>
    <n v="524.15"/>
    <x v="0"/>
    <n v="11"/>
  </r>
  <r>
    <s v="CLM00441"/>
    <s v="P0060"/>
    <s v="PR027"/>
    <s v="S007"/>
    <d v="2023-03-30T00:00:00"/>
    <d v="2023-04-01T00:00:00"/>
    <d v="2023-04-07T00:00:00"/>
    <n v="6"/>
    <s v="Mar-2023"/>
    <x v="4"/>
    <n v="523.5"/>
    <x v="0"/>
    <n v="6"/>
  </r>
  <r>
    <s v="CLM01609"/>
    <s v="P0462"/>
    <s v="PR031"/>
    <s v="S022"/>
    <d v="2023-11-18T00:00:00"/>
    <d v="2023-11-23T00:00:00"/>
    <d v="2023-12-11T00:00:00"/>
    <n v="18"/>
    <s v="Nov-2023"/>
    <x v="0"/>
    <n v="519.48"/>
    <x v="1"/>
    <n v="18"/>
  </r>
  <r>
    <s v="CLM00379"/>
    <s v="P0293"/>
    <s v="PR008"/>
    <s v="S007"/>
    <d v="2023-08-15T00:00:00"/>
    <d v="2023-08-20T00:00:00"/>
    <m/>
    <s v=""/>
    <s v="Aug-2023"/>
    <x v="0"/>
    <n v="519.16999999999996"/>
    <x v="2"/>
    <m/>
  </r>
  <r>
    <s v="CLM01619"/>
    <s v="P0142"/>
    <s v="PR020"/>
    <s v="S007"/>
    <d v="2024-02-29T00:00:00"/>
    <d v="2024-03-04T00:00:00"/>
    <d v="2024-04-02T00:00:00"/>
    <n v="29"/>
    <s v="Feb-2024"/>
    <x v="2"/>
    <n v="518.47"/>
    <x v="0"/>
    <n v="29"/>
  </r>
  <r>
    <s v="CLM00443"/>
    <s v="P0039"/>
    <s v="PR017"/>
    <s v="S007"/>
    <d v="2023-07-22T00:00:00"/>
    <d v="2023-07-25T00:00:00"/>
    <d v="2023-08-05T00:00:00"/>
    <n v="11"/>
    <s v="Jul-2023"/>
    <x v="2"/>
    <n v="517.82000000000005"/>
    <x v="1"/>
    <n v="11"/>
  </r>
  <r>
    <s v="CLM00943"/>
    <s v="P0449"/>
    <s v="PR033"/>
    <s v="S007"/>
    <d v="2023-12-03T00:00:00"/>
    <d v="2023-12-04T00:00:00"/>
    <d v="2023-12-31T00:00:00"/>
    <n v="27"/>
    <s v="Dec-2023"/>
    <x v="2"/>
    <n v="517.14"/>
    <x v="0"/>
    <n v="27"/>
  </r>
  <r>
    <s v="CLM01662"/>
    <s v="P0285"/>
    <s v="PR002"/>
    <s v="S022"/>
    <d v="2023-09-15T00:00:00"/>
    <d v="2023-09-18T00:00:00"/>
    <d v="2023-09-29T00:00:00"/>
    <n v="11"/>
    <s v="Sep-2023"/>
    <x v="4"/>
    <n v="516.66"/>
    <x v="0"/>
    <n v="11"/>
  </r>
  <r>
    <s v="CLM00786"/>
    <s v="P0465"/>
    <s v="PR026"/>
    <s v="S022"/>
    <d v="2023-04-01T00:00:00"/>
    <d v="2023-04-02T00:00:00"/>
    <d v="2023-04-28T00:00:00"/>
    <n v="26"/>
    <s v="Apr-2023"/>
    <x v="4"/>
    <n v="515.11"/>
    <x v="0"/>
    <n v="26"/>
  </r>
  <r>
    <s v="CLM01021"/>
    <s v="P0283"/>
    <s v="PR021"/>
    <s v="S022"/>
    <d v="2024-06-19T00:00:00"/>
    <d v="2024-06-22T00:00:00"/>
    <d v="2024-06-29T00:00:00"/>
    <n v="7"/>
    <s v="Jun-2024"/>
    <x v="3"/>
    <n v="513.66"/>
    <x v="1"/>
    <n v="7"/>
  </r>
  <r>
    <s v="CLM01672"/>
    <s v="P0072"/>
    <s v="PR017"/>
    <s v="S007"/>
    <d v="2024-07-13T00:00:00"/>
    <d v="2024-07-18T00:00:00"/>
    <m/>
    <s v=""/>
    <s v="Jul-2024"/>
    <x v="0"/>
    <n v="513.63"/>
    <x v="2"/>
    <m/>
  </r>
  <r>
    <s v="CLM01328"/>
    <s v="P0270"/>
    <s v="PR030"/>
    <s v="S007"/>
    <d v="2024-09-16T00:00:00"/>
    <d v="2024-09-19T00:00:00"/>
    <d v="2024-09-27T00:00:00"/>
    <n v="8"/>
    <s v="Sep-2024"/>
    <x v="4"/>
    <n v="511.19"/>
    <x v="0"/>
    <n v="8"/>
  </r>
  <r>
    <s v="CLM00444"/>
    <s v="P0028"/>
    <s v="PR037"/>
    <s v="S007"/>
    <d v="2023-11-30T00:00:00"/>
    <d v="2023-12-04T00:00:00"/>
    <d v="2023-12-28T00:00:00"/>
    <n v="24"/>
    <s v="Nov-2023"/>
    <x v="2"/>
    <n v="510.43"/>
    <x v="0"/>
    <n v="24"/>
  </r>
  <r>
    <s v="CLM00286"/>
    <s v="P0133"/>
    <s v="PR037"/>
    <s v="S007"/>
    <d v="2024-06-03T00:00:00"/>
    <d v="2024-06-08T00:00:00"/>
    <d v="2024-06-23T00:00:00"/>
    <n v="15"/>
    <s v="Jun-2024"/>
    <x v="4"/>
    <n v="510.33"/>
    <x v="0"/>
    <n v="15"/>
  </r>
  <r>
    <s v="CLM01229"/>
    <s v="P0495"/>
    <s v="PR025"/>
    <s v="S007"/>
    <d v="2024-06-01T00:00:00"/>
    <d v="2024-06-05T00:00:00"/>
    <m/>
    <s v=""/>
    <s v="Jun-2024"/>
    <x v="2"/>
    <n v="508.01"/>
    <x v="2"/>
    <m/>
  </r>
  <r>
    <s v="CLM00254"/>
    <s v="P0183"/>
    <s v="PR004"/>
    <s v="S007"/>
    <d v="2024-03-02T00:00:00"/>
    <d v="2024-03-04T00:00:00"/>
    <d v="2024-03-30T00:00:00"/>
    <n v="26"/>
    <s v="Mar-2024"/>
    <x v="2"/>
    <n v="507.5"/>
    <x v="1"/>
    <n v="26"/>
  </r>
  <r>
    <s v="CLM01578"/>
    <s v="P0454"/>
    <s v="PR038"/>
    <s v="S022"/>
    <d v="2023-01-19T00:00:00"/>
    <d v="2023-01-21T00:00:00"/>
    <d v="2023-02-18T00:00:00"/>
    <n v="28"/>
    <s v="Jan-2023"/>
    <x v="2"/>
    <n v="506.12"/>
    <x v="0"/>
    <n v="28"/>
  </r>
  <r>
    <s v="CLM00425"/>
    <s v="P0293"/>
    <s v="PR030"/>
    <s v="S022"/>
    <d v="2023-03-04T00:00:00"/>
    <d v="2023-03-09T00:00:00"/>
    <d v="2023-04-06T00:00:00"/>
    <n v="28"/>
    <s v="Mar-2023"/>
    <x v="0"/>
    <n v="505.84"/>
    <x v="0"/>
    <n v="28"/>
  </r>
  <r>
    <s v="CLM01694"/>
    <s v="P0383"/>
    <s v="PR015"/>
    <s v="S007"/>
    <d v="2024-10-18T00:00:00"/>
    <d v="2024-10-23T00:00:00"/>
    <d v="2024-10-27T00:00:00"/>
    <n v="4"/>
    <s v="Oct-2024"/>
    <x v="0"/>
    <n v="504.02"/>
    <x v="0"/>
    <n v="4"/>
  </r>
  <r>
    <s v="CLM00469"/>
    <s v="P0476"/>
    <s v="PR020"/>
    <s v="S007"/>
    <d v="2023-11-21T00:00:00"/>
    <d v="2023-11-25T00:00:00"/>
    <d v="2023-12-15T00:00:00"/>
    <n v="20"/>
    <s v="Nov-2023"/>
    <x v="0"/>
    <n v="501.85"/>
    <x v="0"/>
    <n v="20"/>
  </r>
  <r>
    <s v="CLM00568"/>
    <s v="P0486"/>
    <s v="PR006"/>
    <s v="S022"/>
    <d v="2024-07-10T00:00:00"/>
    <d v="2024-07-11T00:00:00"/>
    <d v="2024-07-22T00:00:00"/>
    <n v="11"/>
    <s v="Jul-2024"/>
    <x v="0"/>
    <n v="500.93"/>
    <x v="0"/>
    <n v="11"/>
  </r>
  <r>
    <s v="CLM00240"/>
    <s v="P0171"/>
    <s v="PR025"/>
    <s v="S007"/>
    <d v="2023-02-27T00:00:00"/>
    <d v="2023-03-03T00:00:00"/>
    <d v="2023-03-18T00:00:00"/>
    <n v="15"/>
    <s v="Feb-2023"/>
    <x v="2"/>
    <n v="500.13"/>
    <x v="0"/>
    <n v="15"/>
  </r>
  <r>
    <s v="CLM01989"/>
    <s v="P0405"/>
    <s v="PR018"/>
    <s v="S007"/>
    <d v="2023-08-09T00:00:00"/>
    <d v="2023-08-10T00:00:00"/>
    <d v="2023-09-02T00:00:00"/>
    <n v="23"/>
    <s v="Aug-2023"/>
    <x v="4"/>
    <n v="499.39"/>
    <x v="0"/>
    <n v="23"/>
  </r>
  <r>
    <s v="CLM01224"/>
    <s v="P0412"/>
    <s v="PR003"/>
    <s v="S022"/>
    <d v="2024-08-12T00:00:00"/>
    <d v="2024-08-15T00:00:00"/>
    <d v="2024-09-04T00:00:00"/>
    <n v="20"/>
    <s v="Aug-2024"/>
    <x v="1"/>
    <n v="499.26"/>
    <x v="0"/>
    <n v="20"/>
  </r>
  <r>
    <s v="CLM00436"/>
    <s v="P0192"/>
    <s v="PR031"/>
    <s v="S007"/>
    <d v="2023-10-13T00:00:00"/>
    <d v="2023-10-15T00:00:00"/>
    <d v="2023-10-29T00:00:00"/>
    <n v="14"/>
    <s v="Oct-2023"/>
    <x v="0"/>
    <n v="498.21"/>
    <x v="0"/>
    <n v="14"/>
  </r>
  <r>
    <s v="CLM00329"/>
    <s v="P0184"/>
    <s v="PR038"/>
    <s v="S007"/>
    <d v="2024-01-30T00:00:00"/>
    <d v="2024-01-31T00:00:00"/>
    <d v="2024-02-06T00:00:00"/>
    <n v="6"/>
    <s v="Jan-2024"/>
    <x v="1"/>
    <n v="498.07"/>
    <x v="0"/>
    <n v="6"/>
  </r>
  <r>
    <s v="CLM01290"/>
    <s v="P0315"/>
    <s v="PR028"/>
    <s v="S024"/>
    <d v="2023-05-17T00:00:00"/>
    <d v="2023-05-18T00:00:00"/>
    <d v="2023-05-29T00:00:00"/>
    <n v="11"/>
    <s v="May-2023"/>
    <x v="4"/>
    <n v="496.11"/>
    <x v="0"/>
    <n v="11"/>
  </r>
  <r>
    <s v="CLM01131"/>
    <s v="P0286"/>
    <s v="PR027"/>
    <s v="S024"/>
    <d v="2023-08-16T00:00:00"/>
    <d v="2023-08-18T00:00:00"/>
    <d v="2023-09-03T00:00:00"/>
    <n v="16"/>
    <s v="Aug-2023"/>
    <x v="4"/>
    <n v="495.53"/>
    <x v="1"/>
    <n v="16"/>
  </r>
  <r>
    <s v="CLM01929"/>
    <s v="P0187"/>
    <s v="PR039"/>
    <s v="S024"/>
    <d v="2024-03-26T00:00:00"/>
    <d v="2024-03-27T00:00:00"/>
    <d v="2024-04-17T00:00:00"/>
    <n v="21"/>
    <s v="Mar-2024"/>
    <x v="3"/>
    <n v="494.63"/>
    <x v="0"/>
    <n v="21"/>
  </r>
  <r>
    <s v="CLM01266"/>
    <s v="P0272"/>
    <s v="PR004"/>
    <s v="S024"/>
    <d v="2023-05-05T00:00:00"/>
    <d v="2023-05-06T00:00:00"/>
    <d v="2023-05-09T00:00:00"/>
    <n v="3"/>
    <s v="May-2023"/>
    <x v="2"/>
    <n v="493.87"/>
    <x v="0"/>
    <n v="3"/>
  </r>
  <r>
    <s v="CLM00136"/>
    <s v="P0357"/>
    <s v="PR018"/>
    <s v="S024"/>
    <d v="2024-12-29T00:00:00"/>
    <d v="2025-01-03T00:00:00"/>
    <d v="2025-01-15T00:00:00"/>
    <n v="12"/>
    <s v="Dec-2024"/>
    <x v="1"/>
    <n v="491.69"/>
    <x v="1"/>
    <n v="12"/>
  </r>
  <r>
    <s v="CLM00735"/>
    <s v="P0424"/>
    <s v="PR002"/>
    <s v="S024"/>
    <d v="2023-02-28T00:00:00"/>
    <d v="2023-03-02T00:00:00"/>
    <d v="2023-03-13T00:00:00"/>
    <n v="11"/>
    <s v="Feb-2023"/>
    <x v="1"/>
    <n v="490.47"/>
    <x v="0"/>
    <n v="11"/>
  </r>
  <r>
    <s v="CLM00934"/>
    <s v="P0443"/>
    <s v="PR023"/>
    <s v="S024"/>
    <d v="2024-10-31T00:00:00"/>
    <d v="2024-11-04T00:00:00"/>
    <d v="2024-12-02T00:00:00"/>
    <n v="28"/>
    <s v="Oct-2024"/>
    <x v="3"/>
    <n v="488.95"/>
    <x v="0"/>
    <n v="28"/>
  </r>
  <r>
    <s v="CLM01114"/>
    <s v="P0271"/>
    <s v="PR004"/>
    <s v="S024"/>
    <d v="2024-11-04T00:00:00"/>
    <d v="2024-11-09T00:00:00"/>
    <d v="2024-12-07T00:00:00"/>
    <n v="28"/>
    <s v="Nov-2024"/>
    <x v="1"/>
    <n v="486.43"/>
    <x v="0"/>
    <n v="28"/>
  </r>
  <r>
    <s v="CLM01274"/>
    <s v="P0262"/>
    <s v="PR018"/>
    <s v="S007"/>
    <d v="2023-05-21T00:00:00"/>
    <d v="2023-05-25T00:00:00"/>
    <d v="2023-05-30T00:00:00"/>
    <n v="5"/>
    <s v="May-2023"/>
    <x v="3"/>
    <n v="485.94"/>
    <x v="1"/>
    <n v="5"/>
  </r>
  <r>
    <s v="CLM00565"/>
    <s v="P0333"/>
    <s v="PR001"/>
    <s v="S024"/>
    <d v="2023-11-29T00:00:00"/>
    <d v="2023-12-01T00:00:00"/>
    <d v="2023-12-06T00:00:00"/>
    <n v="5"/>
    <s v="Nov-2023"/>
    <x v="2"/>
    <n v="485.62"/>
    <x v="0"/>
    <n v="5"/>
  </r>
  <r>
    <s v="CLM00184"/>
    <s v="P0445"/>
    <s v="PR020"/>
    <s v="S024"/>
    <d v="2023-10-16T00:00:00"/>
    <d v="2023-10-18T00:00:00"/>
    <d v="2023-11-03T00:00:00"/>
    <n v="16"/>
    <s v="Oct-2023"/>
    <x v="0"/>
    <n v="485.3"/>
    <x v="0"/>
    <n v="16"/>
  </r>
  <r>
    <s v="CLM00572"/>
    <s v="P0220"/>
    <s v="PR027"/>
    <s v="S007"/>
    <d v="2023-01-19T00:00:00"/>
    <d v="2023-01-24T00:00:00"/>
    <d v="2023-02-15T00:00:00"/>
    <n v="22"/>
    <s v="Jan-2023"/>
    <x v="2"/>
    <n v="482.05"/>
    <x v="0"/>
    <n v="22"/>
  </r>
  <r>
    <s v="CLM01808"/>
    <s v="P0088"/>
    <s v="PR038"/>
    <s v="S024"/>
    <d v="2024-08-18T00:00:00"/>
    <d v="2024-08-21T00:00:00"/>
    <d v="2024-09-11T00:00:00"/>
    <n v="21"/>
    <s v="Aug-2024"/>
    <x v="4"/>
    <n v="482.02"/>
    <x v="0"/>
    <n v="21"/>
  </r>
  <r>
    <s v="CLM00109"/>
    <s v="P0222"/>
    <s v="PR008"/>
    <s v="S007"/>
    <d v="2024-09-29T00:00:00"/>
    <d v="2024-10-04T00:00:00"/>
    <d v="2024-10-16T00:00:00"/>
    <n v="12"/>
    <s v="Sep-2024"/>
    <x v="1"/>
    <n v="480.97"/>
    <x v="0"/>
    <n v="12"/>
  </r>
  <r>
    <s v="CLM00877"/>
    <s v="P0340"/>
    <s v="PR008"/>
    <s v="S024"/>
    <d v="2023-05-21T00:00:00"/>
    <d v="2023-05-26T00:00:00"/>
    <d v="2023-06-11T00:00:00"/>
    <n v="16"/>
    <s v="May-2023"/>
    <x v="0"/>
    <n v="480.77"/>
    <x v="0"/>
    <n v="16"/>
  </r>
  <r>
    <s v="CLM00118"/>
    <s v="P0110"/>
    <s v="PR020"/>
    <s v="S024"/>
    <d v="2024-07-22T00:00:00"/>
    <d v="2024-07-27T00:00:00"/>
    <d v="2024-08-08T00:00:00"/>
    <n v="12"/>
    <s v="Jul-2024"/>
    <x v="4"/>
    <n v="480.63"/>
    <x v="0"/>
    <n v="12"/>
  </r>
  <r>
    <s v="CLM00013"/>
    <s v="P0049"/>
    <s v="PR034"/>
    <s v="S024"/>
    <d v="2024-09-14T00:00:00"/>
    <d v="2024-09-18T00:00:00"/>
    <d v="2024-10-18T00:00:00"/>
    <n v="30"/>
    <s v="Sep-2024"/>
    <x v="4"/>
    <n v="480.31"/>
    <x v="0"/>
    <n v="30"/>
  </r>
  <r>
    <s v="CLM01125"/>
    <s v="P0103"/>
    <s v="PR034"/>
    <s v="S007"/>
    <d v="2024-06-11T00:00:00"/>
    <d v="2024-06-14T00:00:00"/>
    <d v="2024-07-05T00:00:00"/>
    <n v="21"/>
    <s v="Jun-2024"/>
    <x v="1"/>
    <n v="477.86"/>
    <x v="0"/>
    <n v="21"/>
  </r>
  <r>
    <s v="CLM00776"/>
    <s v="P0214"/>
    <s v="PR002"/>
    <s v="S024"/>
    <d v="2024-10-25T00:00:00"/>
    <d v="2024-10-26T00:00:00"/>
    <m/>
    <s v=""/>
    <s v="Oct-2024"/>
    <x v="1"/>
    <n v="477.41"/>
    <x v="2"/>
    <m/>
  </r>
  <r>
    <s v="CLM00805"/>
    <s v="P0097"/>
    <s v="PR036"/>
    <s v="S007"/>
    <d v="2024-10-27T00:00:00"/>
    <d v="2024-11-01T00:00:00"/>
    <d v="2024-11-19T00:00:00"/>
    <n v="18"/>
    <s v="Oct-2024"/>
    <x v="0"/>
    <n v="476.87"/>
    <x v="0"/>
    <n v="18"/>
  </r>
  <r>
    <s v="CLM00133"/>
    <s v="P0326"/>
    <s v="PR022"/>
    <s v="S007"/>
    <d v="2024-02-04T00:00:00"/>
    <d v="2024-02-05T00:00:00"/>
    <d v="2024-02-10T00:00:00"/>
    <n v="5"/>
    <s v="Feb-2024"/>
    <x v="3"/>
    <n v="476.65"/>
    <x v="1"/>
    <n v="5"/>
  </r>
  <r>
    <s v="CLM00633"/>
    <s v="P0399"/>
    <s v="PR015"/>
    <s v="S024"/>
    <d v="2024-02-23T00:00:00"/>
    <d v="2024-02-27T00:00:00"/>
    <d v="2024-03-20T00:00:00"/>
    <n v="22"/>
    <s v="Feb-2024"/>
    <x v="0"/>
    <n v="476.5"/>
    <x v="1"/>
    <n v="22"/>
  </r>
  <r>
    <s v="CLM00200"/>
    <s v="P0291"/>
    <s v="PR002"/>
    <s v="S024"/>
    <d v="2024-09-01T00:00:00"/>
    <d v="2024-09-03T00:00:00"/>
    <d v="2024-09-29T00:00:00"/>
    <n v="26"/>
    <s v="Sep-2024"/>
    <x v="4"/>
    <n v="475.52"/>
    <x v="0"/>
    <n v="26"/>
  </r>
  <r>
    <s v="CLM00046"/>
    <s v="P0265"/>
    <s v="PR035"/>
    <s v="S007"/>
    <d v="2023-11-15T00:00:00"/>
    <d v="2023-11-16T00:00:00"/>
    <d v="2023-11-29T00:00:00"/>
    <n v="13"/>
    <s v="Nov-2023"/>
    <x v="2"/>
    <n v="475.01"/>
    <x v="0"/>
    <n v="13"/>
  </r>
  <r>
    <s v="CLM00885"/>
    <s v="P0294"/>
    <s v="PR010"/>
    <s v="S007"/>
    <d v="2024-06-30T00:00:00"/>
    <d v="2024-07-02T00:00:00"/>
    <d v="2024-07-05T00:00:00"/>
    <n v="3"/>
    <s v="Jun-2024"/>
    <x v="2"/>
    <n v="474.42"/>
    <x v="0"/>
    <n v="3"/>
  </r>
  <r>
    <s v="CLM00190"/>
    <s v="P0451"/>
    <s v="PR021"/>
    <s v="S007"/>
    <d v="2023-01-28T00:00:00"/>
    <d v="2023-02-01T00:00:00"/>
    <d v="2023-02-23T00:00:00"/>
    <n v="22"/>
    <s v="Jan-2023"/>
    <x v="0"/>
    <n v="468.71"/>
    <x v="0"/>
    <n v="22"/>
  </r>
  <r>
    <s v="CLM01331"/>
    <s v="P0493"/>
    <s v="PR020"/>
    <s v="S007"/>
    <d v="2024-12-18T00:00:00"/>
    <d v="2024-12-20T00:00:00"/>
    <d v="2025-01-10T00:00:00"/>
    <n v="21"/>
    <s v="Dec-2024"/>
    <x v="3"/>
    <n v="467.69"/>
    <x v="1"/>
    <n v="21"/>
  </r>
  <r>
    <s v="CLM01152"/>
    <s v="P0108"/>
    <s v="PR021"/>
    <s v="S024"/>
    <d v="2023-07-24T00:00:00"/>
    <d v="2023-07-27T00:00:00"/>
    <d v="2023-08-11T00:00:00"/>
    <n v="15"/>
    <s v="Jul-2023"/>
    <x v="0"/>
    <n v="466.91"/>
    <x v="0"/>
    <n v="15"/>
  </r>
  <r>
    <s v="CLM01864"/>
    <s v="P0047"/>
    <s v="PR006"/>
    <s v="S024"/>
    <d v="2023-09-04T00:00:00"/>
    <d v="2023-09-08T00:00:00"/>
    <d v="2023-09-17T00:00:00"/>
    <n v="9"/>
    <s v="Sep-2023"/>
    <x v="3"/>
    <n v="466.86"/>
    <x v="0"/>
    <n v="9"/>
  </r>
  <r>
    <s v="CLM00764"/>
    <s v="P0006"/>
    <s v="PR014"/>
    <s v="S024"/>
    <d v="2024-08-26T00:00:00"/>
    <d v="2024-08-30T00:00:00"/>
    <m/>
    <s v=""/>
    <s v="Aug-2024"/>
    <x v="4"/>
    <n v="466.05"/>
    <x v="2"/>
    <m/>
  </r>
  <r>
    <s v="CLM01886"/>
    <s v="P0306"/>
    <s v="PR005"/>
    <s v="S007"/>
    <d v="2023-08-22T00:00:00"/>
    <d v="2023-08-27T00:00:00"/>
    <d v="2023-09-13T00:00:00"/>
    <n v="17"/>
    <s v="Aug-2023"/>
    <x v="2"/>
    <n v="464.57"/>
    <x v="1"/>
    <n v="17"/>
  </r>
  <r>
    <s v="CLM00951"/>
    <s v="P0332"/>
    <s v="PR030"/>
    <s v="S007"/>
    <d v="2024-03-31T00:00:00"/>
    <d v="2024-04-05T00:00:00"/>
    <d v="2024-04-17T00:00:00"/>
    <n v="12"/>
    <s v="Mar-2024"/>
    <x v="4"/>
    <n v="464.27"/>
    <x v="1"/>
    <n v="12"/>
  </r>
  <r>
    <s v="CLM01160"/>
    <s v="P0271"/>
    <s v="PR014"/>
    <s v="S024"/>
    <d v="2024-01-28T00:00:00"/>
    <d v="2024-02-02T00:00:00"/>
    <d v="2024-03-02T00:00:00"/>
    <n v="29"/>
    <s v="Jan-2024"/>
    <x v="1"/>
    <n v="464.1"/>
    <x v="0"/>
    <n v="29"/>
  </r>
  <r>
    <s v="CLM00310"/>
    <s v="P0430"/>
    <s v="PR028"/>
    <s v="S024"/>
    <d v="2024-06-20T00:00:00"/>
    <d v="2024-06-25T00:00:00"/>
    <d v="2024-07-12T00:00:00"/>
    <n v="17"/>
    <s v="Jun-2024"/>
    <x v="4"/>
    <n v="462.01"/>
    <x v="0"/>
    <n v="17"/>
  </r>
  <r>
    <s v="CLM00490"/>
    <s v="P0223"/>
    <s v="PR024"/>
    <s v="S007"/>
    <d v="2024-07-12T00:00:00"/>
    <d v="2024-07-14T00:00:00"/>
    <m/>
    <s v=""/>
    <s v="Jul-2024"/>
    <x v="1"/>
    <n v="460.96"/>
    <x v="2"/>
    <m/>
  </r>
  <r>
    <s v="CLM00654"/>
    <s v="P0156"/>
    <s v="PR034"/>
    <s v="S007"/>
    <d v="2023-03-14T00:00:00"/>
    <d v="2023-03-17T00:00:00"/>
    <d v="2023-03-29T00:00:00"/>
    <n v="12"/>
    <s v="Mar-2023"/>
    <x v="0"/>
    <n v="459.47"/>
    <x v="0"/>
    <n v="12"/>
  </r>
  <r>
    <s v="CLM00208"/>
    <s v="P0414"/>
    <s v="PR002"/>
    <s v="S024"/>
    <d v="2023-04-08T00:00:00"/>
    <d v="2023-04-13T00:00:00"/>
    <d v="2023-05-13T00:00:00"/>
    <n v="30"/>
    <s v="Apr-2023"/>
    <x v="1"/>
    <n v="456.61"/>
    <x v="0"/>
    <n v="30"/>
  </r>
  <r>
    <s v="CLM00392"/>
    <s v="P0276"/>
    <s v="PR011"/>
    <s v="S024"/>
    <d v="2023-09-08T00:00:00"/>
    <d v="2023-09-12T00:00:00"/>
    <d v="2023-09-20T00:00:00"/>
    <n v="8"/>
    <s v="Sep-2023"/>
    <x v="0"/>
    <n v="453.84"/>
    <x v="1"/>
    <n v="8"/>
  </r>
  <r>
    <s v="CLM00049"/>
    <s v="P0390"/>
    <s v="PR038"/>
    <s v="S024"/>
    <d v="2024-10-25T00:00:00"/>
    <d v="2024-10-30T00:00:00"/>
    <d v="2024-11-16T00:00:00"/>
    <n v="17"/>
    <s v="Oct-2024"/>
    <x v="2"/>
    <n v="453.79"/>
    <x v="0"/>
    <n v="17"/>
  </r>
  <r>
    <s v="CLM00214"/>
    <s v="P0462"/>
    <s v="PR019"/>
    <s v="S007"/>
    <d v="2024-08-10T00:00:00"/>
    <d v="2024-08-12T00:00:00"/>
    <d v="2024-08-26T00:00:00"/>
    <n v="14"/>
    <s v="Aug-2024"/>
    <x v="0"/>
    <n v="453.77"/>
    <x v="1"/>
    <n v="14"/>
  </r>
  <r>
    <s v="CLM00263"/>
    <s v="P0050"/>
    <s v="PR035"/>
    <s v="S024"/>
    <d v="2023-10-24T00:00:00"/>
    <d v="2023-10-27T00:00:00"/>
    <d v="2023-11-14T00:00:00"/>
    <n v="18"/>
    <s v="Oct-2023"/>
    <x v="2"/>
    <n v="453.44"/>
    <x v="1"/>
    <n v="18"/>
  </r>
  <r>
    <s v="CLM00900"/>
    <s v="P0113"/>
    <s v="PR023"/>
    <s v="S024"/>
    <d v="2023-10-17T00:00:00"/>
    <d v="2023-10-21T00:00:00"/>
    <d v="2023-11-15T00:00:00"/>
    <n v="25"/>
    <s v="Oct-2023"/>
    <x v="4"/>
    <n v="452.87"/>
    <x v="0"/>
    <n v="25"/>
  </r>
  <r>
    <s v="CLM01169"/>
    <s v="P0112"/>
    <s v="PR005"/>
    <s v="S024"/>
    <d v="2023-08-21T00:00:00"/>
    <d v="2023-08-22T00:00:00"/>
    <d v="2023-09-08T00:00:00"/>
    <n v="17"/>
    <s v="Aug-2023"/>
    <x v="4"/>
    <n v="452.81"/>
    <x v="0"/>
    <n v="17"/>
  </r>
  <r>
    <s v="CLM00063"/>
    <s v="P0245"/>
    <s v="PR013"/>
    <s v="S007"/>
    <d v="2024-04-25T00:00:00"/>
    <d v="2024-04-30T00:00:00"/>
    <d v="2024-05-29T00:00:00"/>
    <n v="29"/>
    <s v="Apr-2024"/>
    <x v="1"/>
    <n v="452.48"/>
    <x v="0"/>
    <n v="29"/>
  </r>
  <r>
    <s v="CLM00551"/>
    <s v="P0497"/>
    <s v="PR031"/>
    <s v="S024"/>
    <d v="2024-01-17T00:00:00"/>
    <d v="2024-01-20T00:00:00"/>
    <d v="2024-02-01T00:00:00"/>
    <n v="12"/>
    <s v="Jan-2024"/>
    <x v="1"/>
    <n v="452.32"/>
    <x v="1"/>
    <n v="12"/>
  </r>
  <r>
    <s v="CLM01806"/>
    <s v="P0046"/>
    <s v="PR014"/>
    <s v="S024"/>
    <d v="2024-09-12T00:00:00"/>
    <d v="2024-09-14T00:00:00"/>
    <d v="2024-09-17T00:00:00"/>
    <n v="3"/>
    <s v="Sep-2024"/>
    <x v="4"/>
    <n v="452.25"/>
    <x v="1"/>
    <n v="3"/>
  </r>
  <r>
    <s v="CLM01570"/>
    <s v="P0146"/>
    <s v="PR021"/>
    <s v="S024"/>
    <d v="2024-07-22T00:00:00"/>
    <d v="2024-07-26T00:00:00"/>
    <d v="2024-08-12T00:00:00"/>
    <n v="17"/>
    <s v="Jul-2024"/>
    <x v="2"/>
    <n v="452.24"/>
    <x v="0"/>
    <n v="17"/>
  </r>
  <r>
    <s v="CLM01634"/>
    <s v="P0283"/>
    <s v="PR027"/>
    <s v="S024"/>
    <d v="2024-03-14T00:00:00"/>
    <d v="2024-03-18T00:00:00"/>
    <d v="2024-04-01T00:00:00"/>
    <n v="14"/>
    <s v="Mar-2024"/>
    <x v="3"/>
    <n v="452.01"/>
    <x v="1"/>
    <n v="14"/>
  </r>
  <r>
    <s v="CLM00926"/>
    <s v="P0192"/>
    <s v="PR010"/>
    <s v="S007"/>
    <d v="2024-09-23T00:00:00"/>
    <d v="2024-09-26T00:00:00"/>
    <d v="2024-10-19T00:00:00"/>
    <n v="23"/>
    <s v="Sep-2024"/>
    <x v="0"/>
    <n v="450.34"/>
    <x v="0"/>
    <n v="23"/>
  </r>
  <r>
    <s v="CLM00230"/>
    <s v="P0341"/>
    <s v="PR016"/>
    <s v="S024"/>
    <d v="2023-08-02T00:00:00"/>
    <d v="2023-08-05T00:00:00"/>
    <d v="2023-08-19T00:00:00"/>
    <n v="14"/>
    <s v="Aug-2023"/>
    <x v="4"/>
    <n v="450.27"/>
    <x v="0"/>
    <n v="14"/>
  </r>
  <r>
    <s v="CLM01289"/>
    <s v="P0474"/>
    <s v="PR015"/>
    <s v="S007"/>
    <d v="2023-02-13T00:00:00"/>
    <d v="2023-02-18T00:00:00"/>
    <d v="2023-03-11T00:00:00"/>
    <n v="21"/>
    <s v="Feb-2023"/>
    <x v="2"/>
    <n v="449.2"/>
    <x v="0"/>
    <n v="21"/>
  </r>
  <r>
    <s v="CLM00650"/>
    <s v="P0269"/>
    <s v="PR039"/>
    <s v="S024"/>
    <d v="2024-02-24T00:00:00"/>
    <d v="2024-02-29T00:00:00"/>
    <d v="2024-03-28T00:00:00"/>
    <n v="28"/>
    <s v="Feb-2024"/>
    <x v="0"/>
    <n v="447.82"/>
    <x v="1"/>
    <n v="28"/>
  </r>
  <r>
    <s v="CLM01926"/>
    <s v="P0355"/>
    <s v="PR026"/>
    <s v="S024"/>
    <d v="2023-09-26T00:00:00"/>
    <d v="2023-09-27T00:00:00"/>
    <d v="2023-10-27T00:00:00"/>
    <n v="30"/>
    <s v="Sep-2023"/>
    <x v="3"/>
    <n v="446.43"/>
    <x v="1"/>
    <n v="30"/>
  </r>
  <r>
    <s v="CLM01721"/>
    <s v="P0260"/>
    <s v="PR032"/>
    <s v="S024"/>
    <d v="2024-04-24T00:00:00"/>
    <d v="2024-04-28T00:00:00"/>
    <d v="2024-05-15T00:00:00"/>
    <n v="17"/>
    <s v="Apr-2024"/>
    <x v="1"/>
    <n v="445.32"/>
    <x v="0"/>
    <n v="17"/>
  </r>
  <r>
    <s v="CLM00936"/>
    <s v="P0358"/>
    <s v="PR031"/>
    <s v="S007"/>
    <d v="2024-06-16T00:00:00"/>
    <d v="2024-06-17T00:00:00"/>
    <d v="2024-07-13T00:00:00"/>
    <n v="26"/>
    <s v="Jun-2024"/>
    <x v="4"/>
    <n v="444.73"/>
    <x v="0"/>
    <n v="26"/>
  </r>
  <r>
    <s v="CLM00862"/>
    <s v="P0471"/>
    <s v="PR004"/>
    <s v="S007"/>
    <d v="2023-01-19T00:00:00"/>
    <d v="2023-01-22T00:00:00"/>
    <d v="2023-02-11T00:00:00"/>
    <n v="20"/>
    <s v="Jan-2023"/>
    <x v="1"/>
    <n v="444.37"/>
    <x v="0"/>
    <n v="20"/>
  </r>
  <r>
    <s v="CLM01071"/>
    <s v="P0122"/>
    <s v="PR029"/>
    <s v="S024"/>
    <d v="2023-08-23T00:00:00"/>
    <d v="2023-08-28T00:00:00"/>
    <d v="2023-09-09T00:00:00"/>
    <n v="12"/>
    <s v="Aug-2023"/>
    <x v="1"/>
    <n v="442.29"/>
    <x v="0"/>
    <n v="12"/>
  </r>
  <r>
    <s v="CLM01776"/>
    <s v="P0430"/>
    <s v="PR029"/>
    <s v="S024"/>
    <d v="2024-09-10T00:00:00"/>
    <d v="2024-09-11T00:00:00"/>
    <d v="2024-09-15T00:00:00"/>
    <n v="4"/>
    <s v="Sep-2024"/>
    <x v="4"/>
    <n v="442.28"/>
    <x v="0"/>
    <n v="4"/>
  </r>
  <r>
    <s v="CLM00886"/>
    <s v="P0253"/>
    <s v="PR021"/>
    <s v="S024"/>
    <d v="2023-07-13T00:00:00"/>
    <d v="2023-07-14T00:00:00"/>
    <d v="2023-08-07T00:00:00"/>
    <n v="24"/>
    <s v="Jul-2023"/>
    <x v="1"/>
    <n v="441.87"/>
    <x v="0"/>
    <n v="24"/>
  </r>
  <r>
    <s v="CLM00811"/>
    <s v="P0370"/>
    <s v="PR013"/>
    <s v="S007"/>
    <d v="2023-04-12T00:00:00"/>
    <d v="2023-04-14T00:00:00"/>
    <m/>
    <s v=""/>
    <s v="Apr-2023"/>
    <x v="0"/>
    <n v="441.24"/>
    <x v="2"/>
    <m/>
  </r>
  <r>
    <s v="CLM00389"/>
    <s v="P0373"/>
    <s v="PR038"/>
    <s v="S024"/>
    <d v="2023-07-29T00:00:00"/>
    <d v="2023-08-01T00:00:00"/>
    <d v="2023-08-13T00:00:00"/>
    <n v="12"/>
    <s v="Jul-2023"/>
    <x v="4"/>
    <n v="441.23"/>
    <x v="0"/>
    <n v="12"/>
  </r>
  <r>
    <s v="CLM01165"/>
    <s v="P0229"/>
    <s v="PR007"/>
    <s v="S024"/>
    <d v="2023-11-27T00:00:00"/>
    <d v="2023-11-28T00:00:00"/>
    <m/>
    <s v=""/>
    <s v="Nov-2023"/>
    <x v="4"/>
    <n v="440.57"/>
    <x v="2"/>
    <m/>
  </r>
  <r>
    <s v="CLM01204"/>
    <s v="P0087"/>
    <s v="PR006"/>
    <s v="S024"/>
    <d v="2023-01-05T00:00:00"/>
    <d v="2023-01-06T00:00:00"/>
    <d v="2023-02-01T00:00:00"/>
    <n v="26"/>
    <s v="Jan-2023"/>
    <x v="1"/>
    <n v="439.9"/>
    <x v="0"/>
    <n v="26"/>
  </r>
  <r>
    <s v="CLM01000"/>
    <s v="P0190"/>
    <s v="PR012"/>
    <s v="S024"/>
    <d v="2024-09-03T00:00:00"/>
    <d v="2024-09-05T00:00:00"/>
    <d v="2024-09-10T00:00:00"/>
    <n v="5"/>
    <s v="Sep-2024"/>
    <x v="0"/>
    <n v="438.09"/>
    <x v="0"/>
    <n v="5"/>
  </r>
  <r>
    <s v="CLM00669"/>
    <s v="P0238"/>
    <s v="PR036"/>
    <s v="S024"/>
    <d v="2024-11-02T00:00:00"/>
    <d v="2024-11-03T00:00:00"/>
    <d v="2024-11-18T00:00:00"/>
    <n v="15"/>
    <s v="Nov-2024"/>
    <x v="0"/>
    <n v="436.95"/>
    <x v="0"/>
    <n v="15"/>
  </r>
  <r>
    <s v="CLM01092"/>
    <s v="P0368"/>
    <s v="PR014"/>
    <s v="S007"/>
    <d v="2024-09-05T00:00:00"/>
    <d v="2024-09-07T00:00:00"/>
    <m/>
    <s v=""/>
    <s v="Sep-2024"/>
    <x v="0"/>
    <n v="436.68"/>
    <x v="2"/>
    <m/>
  </r>
  <r>
    <s v="CLM00382"/>
    <s v="P0239"/>
    <s v="PR003"/>
    <s v="S017"/>
    <d v="2023-10-29T00:00:00"/>
    <d v="2023-11-02T00:00:00"/>
    <d v="2023-11-16T00:00:00"/>
    <n v="14"/>
    <s v="Oct-2023"/>
    <x v="1"/>
    <n v="436.3"/>
    <x v="0"/>
    <n v="14"/>
  </r>
  <r>
    <s v="CLM01937"/>
    <s v="P0474"/>
    <s v="PR024"/>
    <s v="S024"/>
    <d v="2024-06-20T00:00:00"/>
    <d v="2024-06-22T00:00:00"/>
    <d v="2024-07-03T00:00:00"/>
    <n v="11"/>
    <s v="Jun-2024"/>
    <x v="2"/>
    <n v="436.09"/>
    <x v="0"/>
    <n v="11"/>
  </r>
  <r>
    <s v="CLM00174"/>
    <s v="P0481"/>
    <s v="PR015"/>
    <s v="S017"/>
    <d v="2024-01-19T00:00:00"/>
    <d v="2024-01-21T00:00:00"/>
    <d v="2024-02-20T00:00:00"/>
    <n v="30"/>
    <s v="Jan-2024"/>
    <x v="0"/>
    <n v="434.54"/>
    <x v="0"/>
    <n v="30"/>
  </r>
  <r>
    <s v="CLM01144"/>
    <s v="P0173"/>
    <s v="PR031"/>
    <s v="S024"/>
    <d v="2024-10-05T00:00:00"/>
    <d v="2024-10-08T00:00:00"/>
    <d v="2024-11-06T00:00:00"/>
    <n v="29"/>
    <s v="Oct-2024"/>
    <x v="4"/>
    <n v="434.32"/>
    <x v="0"/>
    <n v="29"/>
  </r>
  <r>
    <s v="CLM01898"/>
    <s v="P0132"/>
    <s v="PR029"/>
    <s v="S024"/>
    <d v="2024-10-25T00:00:00"/>
    <d v="2024-10-26T00:00:00"/>
    <d v="2024-10-30T00:00:00"/>
    <n v="4"/>
    <s v="Oct-2024"/>
    <x v="4"/>
    <n v="433.89"/>
    <x v="0"/>
    <n v="4"/>
  </r>
  <r>
    <s v="CLM01093"/>
    <s v="P0463"/>
    <s v="PR004"/>
    <s v="S007"/>
    <d v="2023-01-17T00:00:00"/>
    <d v="2023-01-22T00:00:00"/>
    <d v="2023-02-05T00:00:00"/>
    <n v="14"/>
    <s v="Jan-2023"/>
    <x v="1"/>
    <n v="433.13"/>
    <x v="1"/>
    <n v="14"/>
  </r>
  <r>
    <s v="CLM00709"/>
    <s v="P0140"/>
    <s v="PR018"/>
    <s v="S007"/>
    <d v="2023-03-16T00:00:00"/>
    <d v="2023-03-18T00:00:00"/>
    <d v="2023-03-23T00:00:00"/>
    <n v="5"/>
    <s v="Mar-2023"/>
    <x v="3"/>
    <n v="433.11"/>
    <x v="0"/>
    <n v="5"/>
  </r>
  <r>
    <s v="CLM01984"/>
    <s v="P0350"/>
    <s v="PR005"/>
    <s v="S017"/>
    <d v="2023-03-23T00:00:00"/>
    <d v="2023-03-28T00:00:00"/>
    <d v="2023-04-18T00:00:00"/>
    <n v="21"/>
    <s v="Mar-2023"/>
    <x v="4"/>
    <n v="432.59"/>
    <x v="0"/>
    <n v="21"/>
  </r>
  <r>
    <s v="CLM00905"/>
    <s v="P0471"/>
    <s v="PR038"/>
    <s v="S007"/>
    <d v="2023-12-24T00:00:00"/>
    <d v="2023-12-28T00:00:00"/>
    <d v="2024-01-09T00:00:00"/>
    <n v="12"/>
    <s v="Dec-2023"/>
    <x v="1"/>
    <n v="432.04"/>
    <x v="0"/>
    <n v="12"/>
  </r>
  <r>
    <s v="CLM01076"/>
    <s v="P0317"/>
    <s v="PR031"/>
    <s v="S024"/>
    <d v="2023-04-28T00:00:00"/>
    <d v="2023-04-30T00:00:00"/>
    <d v="2023-05-29T00:00:00"/>
    <n v="29"/>
    <s v="Apr-2023"/>
    <x v="0"/>
    <n v="431.45"/>
    <x v="0"/>
    <n v="29"/>
  </r>
  <r>
    <s v="CLM00613"/>
    <s v="P0250"/>
    <s v="PR013"/>
    <s v="S017"/>
    <d v="2023-07-29T00:00:00"/>
    <d v="2023-08-02T00:00:00"/>
    <d v="2023-08-21T00:00:00"/>
    <n v="19"/>
    <s v="Jul-2023"/>
    <x v="1"/>
    <n v="430.65"/>
    <x v="0"/>
    <n v="19"/>
  </r>
  <r>
    <s v="CLM00183"/>
    <s v="P0299"/>
    <s v="PR007"/>
    <s v="S007"/>
    <d v="2024-08-20T00:00:00"/>
    <d v="2024-08-21T00:00:00"/>
    <d v="2024-08-28T00:00:00"/>
    <n v="7"/>
    <s v="Aug-2024"/>
    <x v="0"/>
    <n v="430.59"/>
    <x v="0"/>
    <n v="7"/>
  </r>
  <r>
    <s v="CLM01993"/>
    <s v="P0161"/>
    <s v="PR037"/>
    <s v="S024"/>
    <d v="2024-11-24T00:00:00"/>
    <d v="2024-11-28T00:00:00"/>
    <d v="2024-12-25T00:00:00"/>
    <n v="27"/>
    <s v="Nov-2024"/>
    <x v="2"/>
    <n v="430.16"/>
    <x v="0"/>
    <n v="27"/>
  </r>
  <r>
    <s v="CLM00996"/>
    <s v="P0099"/>
    <s v="PR007"/>
    <s v="S007"/>
    <d v="2023-05-17T00:00:00"/>
    <d v="2023-05-20T00:00:00"/>
    <d v="2023-05-30T00:00:00"/>
    <n v="10"/>
    <s v="May-2023"/>
    <x v="1"/>
    <n v="429.83"/>
    <x v="0"/>
    <n v="10"/>
  </r>
  <r>
    <s v="CLM00409"/>
    <s v="P0071"/>
    <s v="PR014"/>
    <s v="S007"/>
    <d v="2023-10-08T00:00:00"/>
    <d v="2023-10-12T00:00:00"/>
    <d v="2023-10-25T00:00:00"/>
    <n v="13"/>
    <s v="Oct-2023"/>
    <x v="4"/>
    <n v="429.76"/>
    <x v="0"/>
    <n v="13"/>
  </r>
  <r>
    <s v="CLM01940"/>
    <s v="P0489"/>
    <s v="PR008"/>
    <s v="S024"/>
    <d v="2023-07-26T00:00:00"/>
    <d v="2023-07-28T00:00:00"/>
    <d v="2023-08-27T00:00:00"/>
    <n v="30"/>
    <s v="Jul-2023"/>
    <x v="1"/>
    <n v="429.45"/>
    <x v="0"/>
    <n v="30"/>
  </r>
  <r>
    <s v="CLM01206"/>
    <s v="P0225"/>
    <s v="PR007"/>
    <s v="S007"/>
    <d v="2023-12-27T00:00:00"/>
    <d v="2023-12-30T00:00:00"/>
    <d v="2024-01-22T00:00:00"/>
    <n v="23"/>
    <s v="Dec-2023"/>
    <x v="2"/>
    <n v="428.6"/>
    <x v="0"/>
    <n v="23"/>
  </r>
  <r>
    <s v="CLM00868"/>
    <s v="P0129"/>
    <s v="PR018"/>
    <s v="S007"/>
    <d v="2024-06-25T00:00:00"/>
    <d v="2024-06-30T00:00:00"/>
    <d v="2024-07-23T00:00:00"/>
    <n v="23"/>
    <s v="Jun-2024"/>
    <x v="4"/>
    <n v="427.34"/>
    <x v="0"/>
    <n v="23"/>
  </r>
  <r>
    <s v="CLM01242"/>
    <s v="P0355"/>
    <s v="PR019"/>
    <s v="S007"/>
    <d v="2024-10-29T00:00:00"/>
    <d v="2024-10-30T00:00:00"/>
    <d v="2024-11-16T00:00:00"/>
    <n v="17"/>
    <s v="Oct-2024"/>
    <x v="3"/>
    <n v="427.3"/>
    <x v="0"/>
    <n v="17"/>
  </r>
  <r>
    <s v="CLM01787"/>
    <s v="P0052"/>
    <s v="PR009"/>
    <s v="S017"/>
    <d v="2023-07-24T00:00:00"/>
    <d v="2023-07-28T00:00:00"/>
    <d v="2023-08-05T00:00:00"/>
    <n v="8"/>
    <s v="Jul-2023"/>
    <x v="3"/>
    <n v="426.91"/>
    <x v="0"/>
    <n v="8"/>
  </r>
  <r>
    <s v="CLM00882"/>
    <s v="P0446"/>
    <s v="PR008"/>
    <s v="S017"/>
    <d v="2023-05-07T00:00:00"/>
    <d v="2023-05-08T00:00:00"/>
    <d v="2023-06-03T00:00:00"/>
    <n v="26"/>
    <s v="May-2023"/>
    <x v="1"/>
    <n v="425.9"/>
    <x v="0"/>
    <n v="26"/>
  </r>
  <r>
    <s v="CLM00749"/>
    <s v="P0433"/>
    <s v="PR024"/>
    <s v="S007"/>
    <d v="2023-12-09T00:00:00"/>
    <d v="2023-12-13T00:00:00"/>
    <d v="2023-12-30T00:00:00"/>
    <n v="17"/>
    <s v="Dec-2023"/>
    <x v="0"/>
    <n v="425.31"/>
    <x v="0"/>
    <n v="17"/>
  </r>
  <r>
    <s v="CLM00630"/>
    <s v="P0420"/>
    <s v="PR029"/>
    <s v="S024"/>
    <d v="2023-09-15T00:00:00"/>
    <d v="2023-09-17T00:00:00"/>
    <d v="2023-09-25T00:00:00"/>
    <n v="8"/>
    <s v="Sep-2023"/>
    <x v="4"/>
    <n v="425.06"/>
    <x v="0"/>
    <n v="8"/>
  </r>
  <r>
    <s v="CLM01852"/>
    <s v="P0208"/>
    <s v="PR010"/>
    <s v="S024"/>
    <d v="2023-10-12T00:00:00"/>
    <d v="2023-10-13T00:00:00"/>
    <d v="2023-11-01T00:00:00"/>
    <n v="19"/>
    <s v="Oct-2023"/>
    <x v="2"/>
    <n v="425.01"/>
    <x v="0"/>
    <n v="19"/>
  </r>
  <r>
    <s v="CLM00806"/>
    <s v="P0447"/>
    <s v="PR014"/>
    <s v="S017"/>
    <d v="2023-10-31T00:00:00"/>
    <d v="2023-11-02T00:00:00"/>
    <d v="2023-11-20T00:00:00"/>
    <n v="18"/>
    <s v="Oct-2023"/>
    <x v="4"/>
    <n v="424.53"/>
    <x v="0"/>
    <n v="18"/>
  </r>
  <r>
    <s v="CLM00545"/>
    <s v="P0224"/>
    <s v="PR022"/>
    <s v="S017"/>
    <d v="2024-08-24T00:00:00"/>
    <d v="2024-08-27T00:00:00"/>
    <d v="2024-09-24T00:00:00"/>
    <n v="28"/>
    <s v="Aug-2024"/>
    <x v="2"/>
    <n v="424.25"/>
    <x v="0"/>
    <n v="28"/>
  </r>
  <r>
    <s v="CLM00704"/>
    <s v="P0098"/>
    <s v="PR010"/>
    <s v="S007"/>
    <d v="2024-03-09T00:00:00"/>
    <d v="2024-03-12T00:00:00"/>
    <d v="2024-03-30T00:00:00"/>
    <n v="18"/>
    <s v="Mar-2024"/>
    <x v="1"/>
    <n v="424.1"/>
    <x v="0"/>
    <n v="18"/>
  </r>
  <r>
    <s v="CLM00909"/>
    <s v="P0149"/>
    <s v="PR006"/>
    <s v="S007"/>
    <d v="2024-01-10T00:00:00"/>
    <d v="2024-01-15T00:00:00"/>
    <d v="2024-02-10T00:00:00"/>
    <n v="26"/>
    <s v="Jan-2024"/>
    <x v="3"/>
    <n v="423.58"/>
    <x v="1"/>
    <n v="26"/>
  </r>
  <r>
    <s v="CLM01235"/>
    <s v="P0314"/>
    <s v="PR006"/>
    <s v="S007"/>
    <d v="2024-09-11T00:00:00"/>
    <d v="2024-09-14T00:00:00"/>
    <d v="2024-09-24T00:00:00"/>
    <n v="10"/>
    <s v="Sep-2024"/>
    <x v="3"/>
    <n v="423.5"/>
    <x v="0"/>
    <n v="10"/>
  </r>
  <r>
    <s v="CLM01200"/>
    <s v="P0003"/>
    <s v="PR029"/>
    <s v="S024"/>
    <d v="2023-06-08T00:00:00"/>
    <d v="2023-06-11T00:00:00"/>
    <d v="2023-06-19T00:00:00"/>
    <n v="8"/>
    <s v="Jun-2023"/>
    <x v="0"/>
    <n v="423.31"/>
    <x v="0"/>
    <n v="8"/>
  </r>
  <r>
    <s v="CLM00705"/>
    <s v="P0208"/>
    <s v="PR017"/>
    <s v="S007"/>
    <d v="2024-01-11T00:00:00"/>
    <d v="2024-01-13T00:00:00"/>
    <d v="2024-02-04T00:00:00"/>
    <n v="22"/>
    <s v="Jan-2024"/>
    <x v="2"/>
    <n v="422.92"/>
    <x v="0"/>
    <n v="22"/>
  </r>
  <r>
    <s v="CLM00620"/>
    <s v="P0045"/>
    <s v="PR036"/>
    <s v="S017"/>
    <d v="2023-03-25T00:00:00"/>
    <d v="2023-03-30T00:00:00"/>
    <d v="2023-04-06T00:00:00"/>
    <n v="7"/>
    <s v="Mar-2023"/>
    <x v="2"/>
    <n v="422.38"/>
    <x v="1"/>
    <n v="7"/>
  </r>
  <r>
    <s v="CLM00555"/>
    <s v="P0077"/>
    <s v="PR038"/>
    <s v="S007"/>
    <d v="2024-07-06T00:00:00"/>
    <d v="2024-07-09T00:00:00"/>
    <d v="2024-07-25T00:00:00"/>
    <n v="16"/>
    <s v="Jul-2024"/>
    <x v="1"/>
    <n v="421.21"/>
    <x v="1"/>
    <n v="16"/>
  </r>
  <r>
    <s v="CLM00159"/>
    <s v="P0217"/>
    <s v="PR021"/>
    <s v="S007"/>
    <d v="2024-03-01T00:00:00"/>
    <d v="2024-03-05T00:00:00"/>
    <d v="2024-04-02T00:00:00"/>
    <n v="28"/>
    <s v="Mar-2024"/>
    <x v="1"/>
    <n v="420.67"/>
    <x v="0"/>
    <n v="28"/>
  </r>
  <r>
    <s v="CLM01361"/>
    <s v="P0272"/>
    <s v="PR007"/>
    <s v="S017"/>
    <d v="2023-10-09T00:00:00"/>
    <d v="2023-10-14T00:00:00"/>
    <d v="2023-10-20T00:00:00"/>
    <n v="6"/>
    <s v="Oct-2023"/>
    <x v="2"/>
    <n v="420.48"/>
    <x v="1"/>
    <n v="6"/>
  </r>
  <r>
    <s v="CLM00061"/>
    <s v="P0490"/>
    <s v="PR023"/>
    <s v="S024"/>
    <d v="2023-04-23T00:00:00"/>
    <d v="2023-04-27T00:00:00"/>
    <d v="2023-05-25T00:00:00"/>
    <n v="28"/>
    <s v="Apr-2023"/>
    <x v="2"/>
    <n v="420.22"/>
    <x v="0"/>
    <n v="28"/>
  </r>
  <r>
    <s v="CLM00471"/>
    <s v="P0096"/>
    <s v="PR037"/>
    <s v="S007"/>
    <d v="2023-10-03T00:00:00"/>
    <d v="2023-10-05T00:00:00"/>
    <d v="2023-10-22T00:00:00"/>
    <n v="17"/>
    <s v="Oct-2023"/>
    <x v="0"/>
    <n v="419.75"/>
    <x v="0"/>
    <n v="17"/>
  </r>
  <r>
    <s v="CLM00594"/>
    <s v="P0394"/>
    <s v="PR019"/>
    <s v="S017"/>
    <d v="2024-10-19T00:00:00"/>
    <d v="2024-10-20T00:00:00"/>
    <d v="2024-11-02T00:00:00"/>
    <n v="13"/>
    <s v="Oct-2024"/>
    <x v="1"/>
    <n v="419.68"/>
    <x v="0"/>
    <n v="13"/>
  </r>
  <r>
    <s v="CLM00284"/>
    <s v="P0277"/>
    <s v="PR013"/>
    <s v="S017"/>
    <d v="2023-08-08T00:00:00"/>
    <d v="2023-08-09T00:00:00"/>
    <d v="2023-09-08T00:00:00"/>
    <n v="30"/>
    <s v="Aug-2023"/>
    <x v="1"/>
    <n v="419.16"/>
    <x v="0"/>
    <n v="30"/>
  </r>
  <r>
    <s v="CLM01502"/>
    <s v="P0096"/>
    <s v="PR002"/>
    <s v="S017"/>
    <d v="2024-07-14T00:00:00"/>
    <d v="2024-07-15T00:00:00"/>
    <d v="2024-07-20T00:00:00"/>
    <n v="5"/>
    <s v="Jul-2024"/>
    <x v="0"/>
    <n v="418.54"/>
    <x v="0"/>
    <n v="5"/>
  </r>
  <r>
    <s v="CLM01799"/>
    <s v="P0358"/>
    <s v="PR015"/>
    <s v="S007"/>
    <d v="2023-02-07T00:00:00"/>
    <d v="2023-02-09T00:00:00"/>
    <d v="2023-02-17T00:00:00"/>
    <n v="8"/>
    <s v="Feb-2023"/>
    <x v="4"/>
    <n v="418.21"/>
    <x v="1"/>
    <n v="8"/>
  </r>
  <r>
    <s v="CLM00883"/>
    <s v="P0481"/>
    <s v="PR011"/>
    <s v="S007"/>
    <d v="2023-09-14T00:00:00"/>
    <d v="2023-09-18T00:00:00"/>
    <d v="2023-10-05T00:00:00"/>
    <n v="17"/>
    <s v="Sep-2023"/>
    <x v="0"/>
    <n v="418.08"/>
    <x v="0"/>
    <n v="17"/>
  </r>
  <r>
    <s v="CLM00378"/>
    <s v="P0212"/>
    <s v="PR029"/>
    <s v="S017"/>
    <d v="2024-06-16T00:00:00"/>
    <d v="2024-06-21T00:00:00"/>
    <d v="2024-07-04T00:00:00"/>
    <n v="13"/>
    <s v="Jun-2024"/>
    <x v="3"/>
    <n v="417.9"/>
    <x v="0"/>
    <n v="13"/>
  </r>
  <r>
    <s v="CLM01030"/>
    <s v="P0470"/>
    <s v="PR021"/>
    <s v="S024"/>
    <d v="2023-10-20T00:00:00"/>
    <d v="2023-10-21T00:00:00"/>
    <d v="2023-10-28T00:00:00"/>
    <n v="7"/>
    <s v="Oct-2023"/>
    <x v="4"/>
    <n v="417.64"/>
    <x v="0"/>
    <n v="7"/>
  </r>
  <r>
    <s v="CLM00810"/>
    <s v="P0208"/>
    <s v="PR006"/>
    <s v="S024"/>
    <d v="2023-08-16T00:00:00"/>
    <d v="2023-08-21T00:00:00"/>
    <d v="2023-08-30T00:00:00"/>
    <n v="9"/>
    <s v="Aug-2023"/>
    <x v="2"/>
    <n v="417.47"/>
    <x v="0"/>
    <n v="9"/>
  </r>
  <r>
    <s v="CLM01992"/>
    <s v="P0029"/>
    <s v="PR002"/>
    <s v="S007"/>
    <d v="2023-01-03T00:00:00"/>
    <d v="2023-01-04T00:00:00"/>
    <d v="2023-01-25T00:00:00"/>
    <n v="21"/>
    <s v="Jan-2023"/>
    <x v="2"/>
    <n v="416.98"/>
    <x v="1"/>
    <n v="21"/>
  </r>
  <r>
    <s v="CLM01704"/>
    <s v="P0008"/>
    <s v="PR010"/>
    <s v="S017"/>
    <d v="2023-09-28T00:00:00"/>
    <d v="2023-09-30T00:00:00"/>
    <d v="2023-10-13T00:00:00"/>
    <n v="13"/>
    <s v="Sep-2023"/>
    <x v="2"/>
    <n v="416.57"/>
    <x v="0"/>
    <n v="13"/>
  </r>
  <r>
    <s v="CLM01878"/>
    <s v="P0497"/>
    <s v="PR030"/>
    <s v="S007"/>
    <d v="2023-08-23T00:00:00"/>
    <d v="2023-08-26T00:00:00"/>
    <m/>
    <s v=""/>
    <s v="Aug-2023"/>
    <x v="1"/>
    <n v="416.19"/>
    <x v="2"/>
    <m/>
  </r>
  <r>
    <s v="CLM00629"/>
    <s v="P0438"/>
    <s v="PR014"/>
    <s v="S007"/>
    <d v="2023-10-23T00:00:00"/>
    <d v="2023-10-27T00:00:00"/>
    <d v="2023-11-08T00:00:00"/>
    <n v="12"/>
    <s v="Oct-2023"/>
    <x v="1"/>
    <n v="415.59"/>
    <x v="0"/>
    <n v="12"/>
  </r>
  <r>
    <s v="CLM01101"/>
    <s v="P0190"/>
    <s v="PR001"/>
    <s v="S024"/>
    <d v="2023-08-18T00:00:00"/>
    <d v="2023-08-20T00:00:00"/>
    <m/>
    <s v=""/>
    <s v="Aug-2023"/>
    <x v="0"/>
    <n v="415.4"/>
    <x v="2"/>
    <m/>
  </r>
  <r>
    <s v="CLM01671"/>
    <s v="P0089"/>
    <s v="PR001"/>
    <s v="S017"/>
    <d v="2024-10-23T00:00:00"/>
    <d v="2024-10-25T00:00:00"/>
    <d v="2024-11-14T00:00:00"/>
    <n v="20"/>
    <s v="Oct-2024"/>
    <x v="1"/>
    <n v="414.28"/>
    <x v="0"/>
    <n v="20"/>
  </r>
  <r>
    <s v="CLM00647"/>
    <s v="P0474"/>
    <s v="PR014"/>
    <s v="S007"/>
    <d v="2024-03-13T00:00:00"/>
    <d v="2024-03-15T00:00:00"/>
    <m/>
    <s v=""/>
    <s v="Mar-2024"/>
    <x v="2"/>
    <n v="413.71"/>
    <x v="2"/>
    <m/>
  </r>
  <r>
    <s v="CLM00821"/>
    <s v="P0287"/>
    <s v="PR006"/>
    <s v="S017"/>
    <d v="2024-11-21T00:00:00"/>
    <d v="2024-11-25T00:00:00"/>
    <d v="2024-12-19T00:00:00"/>
    <n v="24"/>
    <s v="Nov-2024"/>
    <x v="4"/>
    <n v="412.31"/>
    <x v="0"/>
    <n v="24"/>
  </r>
  <r>
    <s v="CLM00754"/>
    <s v="P0305"/>
    <s v="PR016"/>
    <s v="S007"/>
    <d v="2024-07-16T00:00:00"/>
    <d v="2024-07-20T00:00:00"/>
    <d v="2024-07-30T00:00:00"/>
    <n v="10"/>
    <s v="Jul-2024"/>
    <x v="4"/>
    <n v="410.17"/>
    <x v="0"/>
    <n v="10"/>
  </r>
  <r>
    <s v="CLM01203"/>
    <s v="P0076"/>
    <s v="PR031"/>
    <s v="S017"/>
    <d v="2023-08-30T00:00:00"/>
    <d v="2023-09-04T00:00:00"/>
    <m/>
    <s v=""/>
    <s v="Aug-2023"/>
    <x v="3"/>
    <n v="409.99"/>
    <x v="2"/>
    <m/>
  </r>
  <r>
    <s v="CLM00715"/>
    <s v="P0072"/>
    <s v="PR004"/>
    <s v="S017"/>
    <d v="2024-03-23T00:00:00"/>
    <d v="2024-03-27T00:00:00"/>
    <d v="2024-04-18T00:00:00"/>
    <n v="22"/>
    <s v="Mar-2024"/>
    <x v="0"/>
    <n v="409.63"/>
    <x v="1"/>
    <n v="22"/>
  </r>
  <r>
    <s v="CLM01368"/>
    <s v="P0275"/>
    <s v="PR015"/>
    <s v="S017"/>
    <d v="2023-06-03T00:00:00"/>
    <d v="2023-06-07T00:00:00"/>
    <d v="2023-07-04T00:00:00"/>
    <n v="27"/>
    <s v="Jun-2023"/>
    <x v="0"/>
    <n v="409.13"/>
    <x v="1"/>
    <n v="27"/>
  </r>
  <r>
    <s v="CLM01594"/>
    <s v="P0148"/>
    <s v="PR038"/>
    <s v="S017"/>
    <d v="2024-02-07T00:00:00"/>
    <d v="2024-02-12T00:00:00"/>
    <d v="2024-02-16T00:00:00"/>
    <n v="4"/>
    <s v="Feb-2024"/>
    <x v="2"/>
    <n v="409.06"/>
    <x v="0"/>
    <n v="4"/>
  </r>
  <r>
    <s v="CLM01011"/>
    <s v="P0429"/>
    <s v="PR010"/>
    <s v="S024"/>
    <d v="2024-04-15T00:00:00"/>
    <d v="2024-04-18T00:00:00"/>
    <d v="2024-05-17T00:00:00"/>
    <n v="29"/>
    <s v="Apr-2024"/>
    <x v="1"/>
    <n v="408.99"/>
    <x v="0"/>
    <n v="29"/>
  </r>
  <r>
    <s v="CLM01587"/>
    <s v="P0356"/>
    <s v="PR003"/>
    <s v="S017"/>
    <d v="2023-03-25T00:00:00"/>
    <d v="2023-03-26T00:00:00"/>
    <d v="2023-04-12T00:00:00"/>
    <n v="17"/>
    <s v="Mar-2023"/>
    <x v="0"/>
    <n v="408.54"/>
    <x v="0"/>
    <n v="17"/>
  </r>
  <r>
    <s v="CLM01057"/>
    <s v="P0399"/>
    <s v="PR039"/>
    <s v="S024"/>
    <d v="2024-12-28T00:00:00"/>
    <d v="2025-01-01T00:00:00"/>
    <d v="2025-01-18T00:00:00"/>
    <n v="17"/>
    <s v="Dec-2024"/>
    <x v="0"/>
    <n v="407.95"/>
    <x v="0"/>
    <n v="17"/>
  </r>
  <r>
    <s v="CLM00256"/>
    <s v="P0197"/>
    <s v="PR009"/>
    <s v="S024"/>
    <d v="2023-11-03T00:00:00"/>
    <d v="2023-11-06T00:00:00"/>
    <d v="2023-11-18T00:00:00"/>
    <n v="12"/>
    <s v="Nov-2023"/>
    <x v="4"/>
    <n v="406.78"/>
    <x v="0"/>
    <n v="12"/>
  </r>
  <r>
    <s v="CLM00656"/>
    <s v="P0189"/>
    <s v="PR036"/>
    <s v="S007"/>
    <d v="2023-01-30T00:00:00"/>
    <d v="2023-02-04T00:00:00"/>
    <d v="2023-02-24T00:00:00"/>
    <n v="20"/>
    <s v="Jan-2023"/>
    <x v="2"/>
    <n v="406.33"/>
    <x v="0"/>
    <n v="20"/>
  </r>
  <r>
    <s v="CLM01966"/>
    <s v="P0044"/>
    <s v="PR013"/>
    <s v="S007"/>
    <d v="2024-06-25T00:00:00"/>
    <d v="2024-06-28T00:00:00"/>
    <d v="2024-07-10T00:00:00"/>
    <n v="12"/>
    <s v="Jun-2024"/>
    <x v="2"/>
    <n v="405.91"/>
    <x v="0"/>
    <n v="12"/>
  </r>
  <r>
    <s v="CLM01825"/>
    <s v="P0122"/>
    <s v="PR032"/>
    <s v="S017"/>
    <d v="2024-06-27T00:00:00"/>
    <d v="2024-06-28T00:00:00"/>
    <d v="2024-07-05T00:00:00"/>
    <n v="7"/>
    <s v="Jun-2024"/>
    <x v="1"/>
    <n v="405.13"/>
    <x v="1"/>
    <n v="7"/>
  </r>
  <r>
    <s v="CLM00391"/>
    <s v="P0366"/>
    <s v="PR023"/>
    <s v="S024"/>
    <d v="2024-10-07T00:00:00"/>
    <d v="2024-10-08T00:00:00"/>
    <d v="2024-10-11T00:00:00"/>
    <n v="3"/>
    <s v="Oct-2024"/>
    <x v="4"/>
    <n v="404.83"/>
    <x v="0"/>
    <n v="3"/>
  </r>
  <r>
    <s v="CLM00637"/>
    <s v="P0058"/>
    <s v="PR034"/>
    <s v="S024"/>
    <d v="2023-08-01T00:00:00"/>
    <d v="2023-08-05T00:00:00"/>
    <d v="2023-08-23T00:00:00"/>
    <n v="18"/>
    <s v="Aug-2023"/>
    <x v="4"/>
    <n v="402.45"/>
    <x v="0"/>
    <n v="18"/>
  </r>
  <r>
    <s v="CLM01299"/>
    <s v="P0430"/>
    <s v="PR021"/>
    <s v="S017"/>
    <d v="2024-12-28T00:00:00"/>
    <d v="2025-01-01T00:00:00"/>
    <d v="2025-01-12T00:00:00"/>
    <n v="11"/>
    <s v="Dec-2024"/>
    <x v="4"/>
    <n v="402.29"/>
    <x v="0"/>
    <n v="11"/>
  </r>
  <r>
    <s v="CLM01102"/>
    <s v="P0388"/>
    <s v="PR039"/>
    <s v="S024"/>
    <d v="2023-04-29T00:00:00"/>
    <d v="2023-05-04T00:00:00"/>
    <d v="2023-05-14T00:00:00"/>
    <n v="10"/>
    <s v="Apr-2023"/>
    <x v="4"/>
    <n v="401.81"/>
    <x v="0"/>
    <n v="10"/>
  </r>
  <r>
    <s v="CLM01023"/>
    <s v="P0241"/>
    <s v="PR001"/>
    <s v="S017"/>
    <d v="2024-03-27T00:00:00"/>
    <d v="2024-03-29T00:00:00"/>
    <d v="2024-04-18T00:00:00"/>
    <n v="20"/>
    <s v="Mar-2024"/>
    <x v="4"/>
    <n v="401.09"/>
    <x v="0"/>
    <n v="20"/>
  </r>
  <r>
    <s v="CLM00840"/>
    <s v="P0323"/>
    <s v="PR021"/>
    <s v="S017"/>
    <d v="2023-10-14T00:00:00"/>
    <d v="2023-10-15T00:00:00"/>
    <d v="2023-11-11T00:00:00"/>
    <n v="27"/>
    <s v="Oct-2023"/>
    <x v="2"/>
    <n v="399.91"/>
    <x v="0"/>
    <n v="27"/>
  </r>
  <r>
    <s v="CLM01258"/>
    <s v="P0064"/>
    <s v="PR036"/>
    <s v="S024"/>
    <d v="2023-10-01T00:00:00"/>
    <d v="2023-10-02T00:00:00"/>
    <m/>
    <s v=""/>
    <s v="Oct-2023"/>
    <x v="4"/>
    <n v="399.47"/>
    <x v="2"/>
    <m/>
  </r>
  <r>
    <s v="CLM00386"/>
    <s v="P0264"/>
    <s v="PR001"/>
    <s v="S024"/>
    <d v="2024-07-04T00:00:00"/>
    <d v="2024-07-05T00:00:00"/>
    <d v="2024-07-30T00:00:00"/>
    <n v="25"/>
    <s v="Jul-2024"/>
    <x v="4"/>
    <n v="399.35"/>
    <x v="0"/>
    <n v="25"/>
  </r>
  <r>
    <s v="CLM00736"/>
    <s v="P0407"/>
    <s v="PR033"/>
    <s v="S024"/>
    <d v="2024-03-06T00:00:00"/>
    <d v="2024-03-08T00:00:00"/>
    <d v="2024-03-26T00:00:00"/>
    <n v="18"/>
    <s v="Mar-2024"/>
    <x v="0"/>
    <n v="399.04"/>
    <x v="0"/>
    <n v="18"/>
  </r>
  <r>
    <s v="CLM00157"/>
    <s v="P0176"/>
    <s v="PR008"/>
    <s v="S017"/>
    <d v="2024-10-16T00:00:00"/>
    <d v="2024-10-19T00:00:00"/>
    <d v="2024-10-31T00:00:00"/>
    <n v="12"/>
    <s v="Oct-2024"/>
    <x v="2"/>
    <n v="397.59"/>
    <x v="0"/>
    <n v="12"/>
  </r>
  <r>
    <s v="CLM01588"/>
    <s v="P0440"/>
    <s v="PR031"/>
    <s v="S024"/>
    <d v="2024-11-24T00:00:00"/>
    <d v="2024-11-29T00:00:00"/>
    <m/>
    <s v=""/>
    <s v="Nov-2024"/>
    <x v="2"/>
    <n v="396.16"/>
    <x v="2"/>
    <m/>
  </r>
  <r>
    <s v="CLM01171"/>
    <s v="P0379"/>
    <s v="PR032"/>
    <s v="S024"/>
    <d v="2024-07-24T00:00:00"/>
    <d v="2024-07-29T00:00:00"/>
    <m/>
    <s v=""/>
    <s v="Jul-2024"/>
    <x v="2"/>
    <n v="396.11"/>
    <x v="2"/>
    <m/>
  </r>
  <r>
    <s v="CLM00872"/>
    <s v="P0158"/>
    <s v="PR012"/>
    <s v="S017"/>
    <d v="2023-10-19T00:00:00"/>
    <d v="2023-10-21T00:00:00"/>
    <d v="2023-11-12T00:00:00"/>
    <n v="22"/>
    <s v="Oct-2023"/>
    <x v="4"/>
    <n v="395.94"/>
    <x v="0"/>
    <n v="22"/>
  </r>
  <r>
    <s v="CLM01945"/>
    <s v="P0203"/>
    <s v="PR006"/>
    <s v="S017"/>
    <d v="2023-05-24T00:00:00"/>
    <d v="2023-05-29T00:00:00"/>
    <d v="2023-06-02T00:00:00"/>
    <n v="4"/>
    <s v="May-2023"/>
    <x v="2"/>
    <n v="395.79"/>
    <x v="0"/>
    <n v="4"/>
  </r>
  <r>
    <s v="CLM00401"/>
    <s v="P0298"/>
    <s v="PR035"/>
    <s v="S024"/>
    <d v="2024-09-03T00:00:00"/>
    <d v="2024-09-07T00:00:00"/>
    <d v="2024-09-14T00:00:00"/>
    <n v="7"/>
    <s v="Sep-2024"/>
    <x v="4"/>
    <n v="394.34"/>
    <x v="1"/>
    <n v="7"/>
  </r>
  <r>
    <s v="CLM00818"/>
    <s v="P0400"/>
    <s v="PR007"/>
    <s v="S017"/>
    <d v="2024-12-04T00:00:00"/>
    <d v="2024-12-05T00:00:00"/>
    <d v="2024-12-22T00:00:00"/>
    <n v="17"/>
    <s v="Dec-2024"/>
    <x v="0"/>
    <n v="393.67"/>
    <x v="1"/>
    <n v="17"/>
  </r>
  <r>
    <s v="CLM00059"/>
    <s v="P0346"/>
    <s v="PR003"/>
    <s v="S017"/>
    <d v="2023-12-16T00:00:00"/>
    <d v="2023-12-19T00:00:00"/>
    <m/>
    <s v=""/>
    <s v="Dec-2023"/>
    <x v="3"/>
    <n v="393.59"/>
    <x v="2"/>
    <m/>
  </r>
  <r>
    <s v="CLM00728"/>
    <s v="P0351"/>
    <s v="PR025"/>
    <s v="S017"/>
    <d v="2023-02-04T00:00:00"/>
    <d v="2023-02-08T00:00:00"/>
    <d v="2023-02-24T00:00:00"/>
    <n v="16"/>
    <s v="Feb-2023"/>
    <x v="2"/>
    <n v="393.52"/>
    <x v="0"/>
    <n v="16"/>
  </r>
  <r>
    <s v="CLM00227"/>
    <s v="P0003"/>
    <s v="PR023"/>
    <s v="S017"/>
    <d v="2023-06-03T00:00:00"/>
    <d v="2023-06-04T00:00:00"/>
    <d v="2023-06-12T00:00:00"/>
    <n v="8"/>
    <s v="Jun-2023"/>
    <x v="0"/>
    <n v="393.31"/>
    <x v="0"/>
    <n v="8"/>
  </r>
  <r>
    <s v="CLM00601"/>
    <s v="P0287"/>
    <s v="PR022"/>
    <s v="S024"/>
    <d v="2024-10-20T00:00:00"/>
    <d v="2024-10-24T00:00:00"/>
    <d v="2024-11-01T00:00:00"/>
    <n v="8"/>
    <s v="Oct-2024"/>
    <x v="4"/>
    <n v="392.19"/>
    <x v="1"/>
    <n v="8"/>
  </r>
  <r>
    <s v="CLM01257"/>
    <s v="P0382"/>
    <s v="PR039"/>
    <s v="S024"/>
    <d v="2024-08-23T00:00:00"/>
    <d v="2024-08-24T00:00:00"/>
    <d v="2024-09-09T00:00:00"/>
    <n v="16"/>
    <s v="Aug-2024"/>
    <x v="3"/>
    <n v="390.82"/>
    <x v="0"/>
    <n v="16"/>
  </r>
  <r>
    <s v="CLM00863"/>
    <s v="P0132"/>
    <s v="PR013"/>
    <s v="S017"/>
    <d v="2024-01-05T00:00:00"/>
    <d v="2024-01-09T00:00:00"/>
    <d v="2024-01-15T00:00:00"/>
    <n v="6"/>
    <s v="Jan-2024"/>
    <x v="4"/>
    <n v="389.67"/>
    <x v="0"/>
    <n v="6"/>
  </r>
  <r>
    <s v="CLM01527"/>
    <s v="P0160"/>
    <s v="PR029"/>
    <s v="S017"/>
    <d v="2024-03-28T00:00:00"/>
    <d v="2024-04-01T00:00:00"/>
    <d v="2024-04-16T00:00:00"/>
    <n v="15"/>
    <s v="Mar-2024"/>
    <x v="1"/>
    <n v="388.42"/>
    <x v="0"/>
    <n v="15"/>
  </r>
  <r>
    <s v="CLM00196"/>
    <s v="P0400"/>
    <s v="PR037"/>
    <s v="S017"/>
    <d v="2024-06-12T00:00:00"/>
    <d v="2024-06-16T00:00:00"/>
    <d v="2024-07-15T00:00:00"/>
    <n v="29"/>
    <s v="Jun-2024"/>
    <x v="0"/>
    <n v="388.15"/>
    <x v="0"/>
    <n v="29"/>
  </r>
  <r>
    <s v="CLM00719"/>
    <s v="P0321"/>
    <s v="PR013"/>
    <s v="S017"/>
    <d v="2023-05-05T00:00:00"/>
    <d v="2023-05-09T00:00:00"/>
    <d v="2023-06-06T00:00:00"/>
    <n v="28"/>
    <s v="May-2023"/>
    <x v="2"/>
    <n v="388.1"/>
    <x v="0"/>
    <n v="28"/>
  </r>
  <r>
    <s v="CLM01034"/>
    <s v="P0217"/>
    <s v="PR013"/>
    <s v="S017"/>
    <d v="2024-06-23T00:00:00"/>
    <d v="2024-06-28T00:00:00"/>
    <m/>
    <s v=""/>
    <s v="Jun-2024"/>
    <x v="1"/>
    <n v="387.38"/>
    <x v="2"/>
    <m/>
  </r>
  <r>
    <s v="CLM01008"/>
    <s v="P0337"/>
    <s v="PR013"/>
    <s v="S024"/>
    <d v="2024-02-25T00:00:00"/>
    <d v="2024-02-29T00:00:00"/>
    <d v="2024-03-16T00:00:00"/>
    <n v="16"/>
    <s v="Feb-2024"/>
    <x v="1"/>
    <n v="386.96"/>
    <x v="0"/>
    <n v="16"/>
  </r>
  <r>
    <s v="CLM00864"/>
    <s v="P0087"/>
    <s v="PR034"/>
    <s v="S017"/>
    <d v="2023-09-21T00:00:00"/>
    <d v="2023-09-25T00:00:00"/>
    <d v="2023-10-25T00:00:00"/>
    <n v="30"/>
    <s v="Sep-2023"/>
    <x v="1"/>
    <n v="386.69"/>
    <x v="0"/>
    <n v="30"/>
  </r>
  <r>
    <s v="CLM00155"/>
    <s v="P0302"/>
    <s v="PR028"/>
    <s v="S024"/>
    <d v="2023-05-28T00:00:00"/>
    <d v="2023-05-31T00:00:00"/>
    <d v="2023-06-27T00:00:00"/>
    <n v="27"/>
    <s v="May-2023"/>
    <x v="0"/>
    <n v="386.47"/>
    <x v="1"/>
    <n v="27"/>
  </r>
  <r>
    <s v="CLM00363"/>
    <s v="P0007"/>
    <s v="PR003"/>
    <s v="S017"/>
    <d v="2023-09-05T00:00:00"/>
    <d v="2023-09-09T00:00:00"/>
    <d v="2023-09-30T00:00:00"/>
    <n v="21"/>
    <s v="Sep-2023"/>
    <x v="1"/>
    <n v="386.15"/>
    <x v="0"/>
    <n v="21"/>
  </r>
  <r>
    <s v="CLM01605"/>
    <s v="P0452"/>
    <s v="PR008"/>
    <s v="S017"/>
    <d v="2024-07-27T00:00:00"/>
    <d v="2024-08-01T00:00:00"/>
    <d v="2024-08-08T00:00:00"/>
    <n v="7"/>
    <s v="Jul-2024"/>
    <x v="1"/>
    <n v="385.69"/>
    <x v="0"/>
    <n v="7"/>
  </r>
  <r>
    <s v="CLM00170"/>
    <s v="P0402"/>
    <s v="PR030"/>
    <s v="S017"/>
    <d v="2024-08-21T00:00:00"/>
    <d v="2024-08-25T00:00:00"/>
    <d v="2024-09-05T00:00:00"/>
    <n v="11"/>
    <s v="Aug-2024"/>
    <x v="0"/>
    <n v="383.74"/>
    <x v="0"/>
    <n v="11"/>
  </r>
  <r>
    <s v="CLM00331"/>
    <s v="P0094"/>
    <s v="PR007"/>
    <s v="S024"/>
    <d v="2023-12-30T00:00:00"/>
    <d v="2024-01-03T00:00:00"/>
    <d v="2024-01-31T00:00:00"/>
    <n v="28"/>
    <s v="Dec-2023"/>
    <x v="3"/>
    <n v="383.36"/>
    <x v="0"/>
    <n v="28"/>
  </r>
  <r>
    <s v="CLM01751"/>
    <s v="P0077"/>
    <s v="PR039"/>
    <s v="S017"/>
    <d v="2024-08-25T00:00:00"/>
    <d v="2024-08-30T00:00:00"/>
    <d v="2024-09-15T00:00:00"/>
    <n v="16"/>
    <s v="Aug-2024"/>
    <x v="1"/>
    <n v="383.21"/>
    <x v="1"/>
    <n v="16"/>
  </r>
  <r>
    <s v="CLM00149"/>
    <s v="P0096"/>
    <s v="PR016"/>
    <s v="S017"/>
    <d v="2024-06-02T00:00:00"/>
    <d v="2024-06-04T00:00:00"/>
    <d v="2024-06-30T00:00:00"/>
    <n v="26"/>
    <s v="Jun-2024"/>
    <x v="0"/>
    <n v="381.22"/>
    <x v="0"/>
    <n v="26"/>
  </r>
  <r>
    <s v="CLM01682"/>
    <s v="P0054"/>
    <s v="PR024"/>
    <s v="S024"/>
    <d v="2023-05-17T00:00:00"/>
    <d v="2023-05-22T00:00:00"/>
    <d v="2023-06-01T00:00:00"/>
    <n v="10"/>
    <s v="May-2023"/>
    <x v="2"/>
    <n v="379.61"/>
    <x v="0"/>
    <n v="10"/>
  </r>
  <r>
    <s v="CLM01458"/>
    <s v="P0396"/>
    <s v="PR002"/>
    <s v="S024"/>
    <d v="2024-06-04T00:00:00"/>
    <d v="2024-06-09T00:00:00"/>
    <d v="2024-07-08T00:00:00"/>
    <n v="29"/>
    <s v="Jun-2024"/>
    <x v="4"/>
    <n v="379.03"/>
    <x v="0"/>
    <n v="29"/>
  </r>
  <r>
    <s v="CLM01748"/>
    <s v="P0026"/>
    <s v="PR002"/>
    <s v="S017"/>
    <d v="2024-05-18T00:00:00"/>
    <d v="2024-05-21T00:00:00"/>
    <d v="2024-05-27T00:00:00"/>
    <n v="6"/>
    <s v="May-2024"/>
    <x v="1"/>
    <n v="378.64"/>
    <x v="0"/>
    <n v="6"/>
  </r>
  <r>
    <s v="CLM00433"/>
    <s v="P0360"/>
    <s v="PR018"/>
    <s v="S017"/>
    <d v="2024-03-12T00:00:00"/>
    <d v="2024-03-16T00:00:00"/>
    <m/>
    <s v=""/>
    <s v="Mar-2024"/>
    <x v="4"/>
    <n v="378.03"/>
    <x v="2"/>
    <m/>
  </r>
  <r>
    <s v="CLM01002"/>
    <s v="P0273"/>
    <s v="PR023"/>
    <s v="S017"/>
    <d v="2023-03-24T00:00:00"/>
    <d v="2023-03-26T00:00:00"/>
    <d v="2023-04-16T00:00:00"/>
    <n v="21"/>
    <s v="Mar-2023"/>
    <x v="0"/>
    <n v="377.05"/>
    <x v="1"/>
    <n v="21"/>
  </r>
  <r>
    <s v="CLM01450"/>
    <s v="P0395"/>
    <s v="PR007"/>
    <s v="S017"/>
    <d v="2024-10-22T00:00:00"/>
    <d v="2024-10-24T00:00:00"/>
    <d v="2024-11-14T00:00:00"/>
    <n v="21"/>
    <s v="Oct-2024"/>
    <x v="4"/>
    <n v="376"/>
    <x v="0"/>
    <n v="21"/>
  </r>
  <r>
    <s v="CLM01283"/>
    <s v="P0188"/>
    <s v="PR023"/>
    <s v="S025"/>
    <d v="2024-08-15T00:00:00"/>
    <d v="2024-08-18T00:00:00"/>
    <d v="2024-09-05T00:00:00"/>
    <n v="18"/>
    <s v="Aug-2024"/>
    <x v="4"/>
    <n v="374.4"/>
    <x v="0"/>
    <n v="18"/>
  </r>
  <r>
    <s v="CLM00102"/>
    <s v="P0384"/>
    <s v="PR020"/>
    <s v="S025"/>
    <d v="2023-03-15T00:00:00"/>
    <d v="2023-03-17T00:00:00"/>
    <d v="2023-04-03T00:00:00"/>
    <n v="17"/>
    <s v="Mar-2023"/>
    <x v="3"/>
    <n v="373.88"/>
    <x v="0"/>
    <n v="17"/>
  </r>
  <r>
    <s v="CLM01572"/>
    <s v="P0398"/>
    <s v="PR003"/>
    <s v="S017"/>
    <d v="2023-04-28T00:00:00"/>
    <d v="2023-04-30T00:00:00"/>
    <d v="2023-05-06T00:00:00"/>
    <n v="6"/>
    <s v="Apr-2023"/>
    <x v="4"/>
    <n v="372.79"/>
    <x v="0"/>
    <n v="6"/>
  </r>
  <r>
    <s v="CLM00839"/>
    <s v="P0211"/>
    <s v="PR026"/>
    <s v="S005"/>
    <d v="2024-12-01T00:00:00"/>
    <d v="2024-12-04T00:00:00"/>
    <d v="2024-12-08T00:00:00"/>
    <n v="4"/>
    <s v="Dec-2024"/>
    <x v="4"/>
    <n v="370.83"/>
    <x v="1"/>
    <n v="4"/>
  </r>
  <r>
    <s v="CLM01951"/>
    <s v="P0018"/>
    <s v="PR012"/>
    <s v="S025"/>
    <d v="2024-05-19T00:00:00"/>
    <d v="2024-05-21T00:00:00"/>
    <d v="2024-06-14T00:00:00"/>
    <n v="24"/>
    <s v="May-2024"/>
    <x v="2"/>
    <n v="370.8"/>
    <x v="0"/>
    <n v="24"/>
  </r>
  <r>
    <s v="CLM01245"/>
    <s v="P0226"/>
    <s v="PR009"/>
    <s v="S005"/>
    <d v="2024-11-11T00:00:00"/>
    <d v="2024-11-13T00:00:00"/>
    <d v="2024-11-30T00:00:00"/>
    <n v="17"/>
    <s v="Nov-2024"/>
    <x v="2"/>
    <n v="370.47"/>
    <x v="0"/>
    <n v="17"/>
  </r>
  <r>
    <s v="CLM01303"/>
    <s v="P0012"/>
    <s v="PR039"/>
    <s v="S005"/>
    <d v="2024-03-31T00:00:00"/>
    <d v="2024-04-01T00:00:00"/>
    <d v="2024-04-15T00:00:00"/>
    <n v="14"/>
    <s v="Mar-2024"/>
    <x v="1"/>
    <n v="370.37"/>
    <x v="0"/>
    <n v="14"/>
  </r>
  <r>
    <s v="CLM01184"/>
    <s v="P0467"/>
    <s v="PR014"/>
    <s v="S017"/>
    <d v="2024-04-05T00:00:00"/>
    <d v="2024-04-09T00:00:00"/>
    <d v="2024-04-25T00:00:00"/>
    <n v="16"/>
    <s v="Apr-2024"/>
    <x v="2"/>
    <n v="370.11"/>
    <x v="0"/>
    <n v="16"/>
  </r>
  <r>
    <s v="CLM01355"/>
    <s v="P0326"/>
    <s v="PR002"/>
    <s v="S017"/>
    <d v="2024-12-09T00:00:00"/>
    <d v="2024-12-14T00:00:00"/>
    <d v="2024-12-25T00:00:00"/>
    <n v="11"/>
    <s v="Dec-2024"/>
    <x v="3"/>
    <n v="369.9"/>
    <x v="1"/>
    <n v="11"/>
  </r>
  <r>
    <s v="CLM00106"/>
    <s v="P0195"/>
    <s v="PR034"/>
    <s v="S005"/>
    <d v="2024-08-04T00:00:00"/>
    <d v="2024-08-06T00:00:00"/>
    <d v="2024-08-10T00:00:00"/>
    <n v="4"/>
    <s v="Aug-2024"/>
    <x v="2"/>
    <n v="369.64"/>
    <x v="0"/>
    <n v="4"/>
  </r>
  <r>
    <s v="CLM01987"/>
    <s v="P0393"/>
    <s v="PR028"/>
    <s v="S005"/>
    <d v="2023-12-01T00:00:00"/>
    <d v="2023-12-06T00:00:00"/>
    <d v="2024-01-03T00:00:00"/>
    <n v="28"/>
    <s v="Dec-2023"/>
    <x v="4"/>
    <n v="369.29"/>
    <x v="0"/>
    <n v="28"/>
  </r>
  <r>
    <s v="CLM01241"/>
    <s v="P0334"/>
    <s v="PR019"/>
    <s v="S005"/>
    <d v="2024-06-06T00:00:00"/>
    <d v="2024-06-09T00:00:00"/>
    <m/>
    <s v=""/>
    <s v="Jun-2024"/>
    <x v="1"/>
    <n v="369.22"/>
    <x v="2"/>
    <m/>
  </r>
  <r>
    <s v="CLM01686"/>
    <s v="P0054"/>
    <s v="PR028"/>
    <s v="S005"/>
    <d v="2024-02-24T00:00:00"/>
    <d v="2024-02-29T00:00:00"/>
    <d v="2024-03-03T00:00:00"/>
    <n v="3"/>
    <s v="Feb-2024"/>
    <x v="2"/>
    <n v="369.05"/>
    <x v="0"/>
    <n v="3"/>
  </r>
  <r>
    <s v="CLM01447"/>
    <s v="P0107"/>
    <s v="PR005"/>
    <s v="S017"/>
    <d v="2023-01-22T00:00:00"/>
    <d v="2023-01-26T00:00:00"/>
    <d v="2023-02-09T00:00:00"/>
    <n v="14"/>
    <s v="Jan-2023"/>
    <x v="4"/>
    <n v="368.13"/>
    <x v="0"/>
    <n v="14"/>
  </r>
  <r>
    <s v="CLM01529"/>
    <s v="P0089"/>
    <s v="PR004"/>
    <s v="S017"/>
    <d v="2023-12-02T00:00:00"/>
    <d v="2023-12-06T00:00:00"/>
    <d v="2024-01-04T00:00:00"/>
    <n v="29"/>
    <s v="Dec-2023"/>
    <x v="1"/>
    <n v="367.9"/>
    <x v="0"/>
    <n v="29"/>
  </r>
  <r>
    <s v="CLM00508"/>
    <s v="P0401"/>
    <s v="PR039"/>
    <s v="S005"/>
    <d v="2024-08-01T00:00:00"/>
    <d v="2024-08-02T00:00:00"/>
    <d v="2024-08-07T00:00:00"/>
    <n v="5"/>
    <s v="Aug-2024"/>
    <x v="3"/>
    <n v="367.74"/>
    <x v="0"/>
    <n v="5"/>
  </r>
  <r>
    <s v="CLM01487"/>
    <s v="P0490"/>
    <s v="PR018"/>
    <s v="S005"/>
    <d v="2023-11-09T00:00:00"/>
    <d v="2023-11-12T00:00:00"/>
    <d v="2023-11-25T00:00:00"/>
    <n v="13"/>
    <s v="Nov-2023"/>
    <x v="2"/>
    <n v="367.43"/>
    <x v="0"/>
    <n v="13"/>
  </r>
  <r>
    <s v="CLM00123"/>
    <s v="P0278"/>
    <s v="PR012"/>
    <s v="S024"/>
    <d v="2024-12-25T00:00:00"/>
    <d v="2024-12-27T00:00:00"/>
    <d v="2025-01-14T00:00:00"/>
    <n v="18"/>
    <s v="Dec-2024"/>
    <x v="2"/>
    <n v="366.97"/>
    <x v="0"/>
    <n v="18"/>
  </r>
  <r>
    <s v="CLM01626"/>
    <s v="P0401"/>
    <s v="PR016"/>
    <s v="S024"/>
    <d v="2023-12-11T00:00:00"/>
    <d v="2023-12-13T00:00:00"/>
    <d v="2023-12-19T00:00:00"/>
    <n v="6"/>
    <s v="Dec-2023"/>
    <x v="3"/>
    <n v="366.88"/>
    <x v="0"/>
    <n v="6"/>
  </r>
  <r>
    <s v="CLM00353"/>
    <s v="P0414"/>
    <s v="PR023"/>
    <s v="S025"/>
    <d v="2023-06-25T00:00:00"/>
    <d v="2023-06-30T00:00:00"/>
    <d v="2023-07-17T00:00:00"/>
    <n v="17"/>
    <s v="Jun-2023"/>
    <x v="1"/>
    <n v="366.59"/>
    <x v="0"/>
    <n v="17"/>
  </r>
  <r>
    <s v="CLM00422"/>
    <s v="P0485"/>
    <s v="PR040"/>
    <s v="S024"/>
    <d v="2023-06-22T00:00:00"/>
    <d v="2023-06-23T00:00:00"/>
    <d v="2023-07-05T00:00:00"/>
    <n v="12"/>
    <s v="Jun-2023"/>
    <x v="4"/>
    <n v="366.14"/>
    <x v="0"/>
    <n v="12"/>
  </r>
  <r>
    <s v="CLM01041"/>
    <s v="P0390"/>
    <s v="PR031"/>
    <s v="S017"/>
    <d v="2023-08-24T00:00:00"/>
    <d v="2023-08-28T00:00:00"/>
    <d v="2023-09-05T00:00:00"/>
    <n v="8"/>
    <s v="Aug-2023"/>
    <x v="2"/>
    <n v="365.57"/>
    <x v="1"/>
    <n v="8"/>
  </r>
  <r>
    <s v="CLM00390"/>
    <s v="P0222"/>
    <s v="PR007"/>
    <s v="S005"/>
    <d v="2023-04-25T00:00:00"/>
    <d v="2023-04-26T00:00:00"/>
    <d v="2023-05-19T00:00:00"/>
    <n v="23"/>
    <s v="Apr-2023"/>
    <x v="1"/>
    <n v="364.92"/>
    <x v="0"/>
    <n v="23"/>
  </r>
  <r>
    <s v="CLM00978"/>
    <s v="P0385"/>
    <s v="PR030"/>
    <s v="S017"/>
    <d v="2024-03-16T00:00:00"/>
    <d v="2024-03-21T00:00:00"/>
    <d v="2024-04-05T00:00:00"/>
    <n v="15"/>
    <s v="Mar-2024"/>
    <x v="4"/>
    <n v="363.39"/>
    <x v="0"/>
    <n v="15"/>
  </r>
  <r>
    <s v="CLM01324"/>
    <s v="P0101"/>
    <s v="PR018"/>
    <s v="S005"/>
    <d v="2024-09-20T00:00:00"/>
    <d v="2024-09-24T00:00:00"/>
    <d v="2024-10-24T00:00:00"/>
    <n v="30"/>
    <s v="Sep-2024"/>
    <x v="4"/>
    <n v="363.19"/>
    <x v="0"/>
    <n v="30"/>
  </r>
  <r>
    <s v="CLM00544"/>
    <s v="P0345"/>
    <s v="PR029"/>
    <s v="S005"/>
    <d v="2024-02-08T00:00:00"/>
    <d v="2024-02-12T00:00:00"/>
    <d v="2024-02-28T00:00:00"/>
    <n v="16"/>
    <s v="Feb-2024"/>
    <x v="1"/>
    <n v="362.58"/>
    <x v="1"/>
    <n v="16"/>
  </r>
  <r>
    <s v="CLM00697"/>
    <s v="P0137"/>
    <s v="PR040"/>
    <s v="S005"/>
    <d v="2024-09-19T00:00:00"/>
    <d v="2024-09-22T00:00:00"/>
    <d v="2024-10-03T00:00:00"/>
    <n v="11"/>
    <s v="Sep-2024"/>
    <x v="0"/>
    <n v="362.47"/>
    <x v="0"/>
    <n v="11"/>
  </r>
  <r>
    <s v="CLM01978"/>
    <s v="P0426"/>
    <s v="PR012"/>
    <s v="S024"/>
    <d v="2023-07-04T00:00:00"/>
    <d v="2023-07-09T00:00:00"/>
    <d v="2023-07-26T00:00:00"/>
    <n v="17"/>
    <s v="Jul-2023"/>
    <x v="2"/>
    <n v="362.19"/>
    <x v="0"/>
    <n v="17"/>
  </r>
  <r>
    <s v="CLM01389"/>
    <s v="P0239"/>
    <s v="PR017"/>
    <s v="S025"/>
    <d v="2024-02-25T00:00:00"/>
    <d v="2024-02-28T00:00:00"/>
    <d v="2024-03-26T00:00:00"/>
    <n v="27"/>
    <s v="Feb-2024"/>
    <x v="1"/>
    <n v="360.43"/>
    <x v="0"/>
    <n v="27"/>
  </r>
  <r>
    <s v="CLM01843"/>
    <s v="P0353"/>
    <s v="PR023"/>
    <s v="S005"/>
    <d v="2023-09-18T00:00:00"/>
    <d v="2023-09-21T00:00:00"/>
    <d v="2023-10-04T00:00:00"/>
    <n v="13"/>
    <s v="Sep-2023"/>
    <x v="2"/>
    <n v="360.21"/>
    <x v="0"/>
    <n v="13"/>
  </r>
  <r>
    <s v="CLM00212"/>
    <s v="P0166"/>
    <s v="PR033"/>
    <s v="S017"/>
    <d v="2024-11-09T00:00:00"/>
    <d v="2024-11-10T00:00:00"/>
    <d v="2024-11-17T00:00:00"/>
    <n v="7"/>
    <s v="Nov-2024"/>
    <x v="2"/>
    <n v="360.04"/>
    <x v="0"/>
    <n v="7"/>
  </r>
  <r>
    <s v="CLM01798"/>
    <s v="P0154"/>
    <s v="PR029"/>
    <s v="S017"/>
    <d v="2024-09-05T00:00:00"/>
    <d v="2024-09-10T00:00:00"/>
    <d v="2024-10-01T00:00:00"/>
    <n v="21"/>
    <s v="Sep-2024"/>
    <x v="2"/>
    <n v="359.95"/>
    <x v="0"/>
    <n v="21"/>
  </r>
  <r>
    <s v="CLM00150"/>
    <s v="P0163"/>
    <s v="PR038"/>
    <s v="S005"/>
    <d v="2023-03-11T00:00:00"/>
    <d v="2023-03-13T00:00:00"/>
    <d v="2023-03-24T00:00:00"/>
    <n v="11"/>
    <s v="Mar-2023"/>
    <x v="2"/>
    <n v="359.21"/>
    <x v="0"/>
    <n v="11"/>
  </r>
  <r>
    <s v="CLM00682"/>
    <s v="P0116"/>
    <s v="PR038"/>
    <s v="S005"/>
    <d v="2024-07-12T00:00:00"/>
    <d v="2024-07-13T00:00:00"/>
    <d v="2024-08-10T00:00:00"/>
    <n v="28"/>
    <s v="Jul-2024"/>
    <x v="4"/>
    <n v="359.12"/>
    <x v="0"/>
    <n v="28"/>
  </r>
  <r>
    <s v="CLM01072"/>
    <s v="P0432"/>
    <s v="PR019"/>
    <s v="S025"/>
    <d v="2023-08-15T00:00:00"/>
    <d v="2023-08-17T00:00:00"/>
    <d v="2023-08-25T00:00:00"/>
    <n v="8"/>
    <s v="Aug-2023"/>
    <x v="4"/>
    <n v="358.97"/>
    <x v="0"/>
    <n v="8"/>
  </r>
  <r>
    <s v="CLM00076"/>
    <s v="P0059"/>
    <s v="PR001"/>
    <s v="S005"/>
    <d v="2024-02-03T00:00:00"/>
    <d v="2024-02-06T00:00:00"/>
    <d v="2024-02-22T00:00:00"/>
    <n v="16"/>
    <s v="Feb-2024"/>
    <x v="4"/>
    <n v="358.46"/>
    <x v="0"/>
    <n v="16"/>
  </r>
  <r>
    <s v="CLM01817"/>
    <s v="P0116"/>
    <s v="PR028"/>
    <s v="S017"/>
    <d v="2024-06-18T00:00:00"/>
    <d v="2024-06-21T00:00:00"/>
    <d v="2024-07-02T00:00:00"/>
    <n v="11"/>
    <s v="Jun-2024"/>
    <x v="4"/>
    <n v="357.66"/>
    <x v="0"/>
    <n v="11"/>
  </r>
  <r>
    <s v="CLM01820"/>
    <s v="P0075"/>
    <s v="PR034"/>
    <s v="S005"/>
    <d v="2023-03-02T00:00:00"/>
    <d v="2023-03-06T00:00:00"/>
    <m/>
    <s v=""/>
    <s v="Mar-2023"/>
    <x v="0"/>
    <n v="357.49"/>
    <x v="2"/>
    <m/>
  </r>
  <r>
    <s v="CLM01678"/>
    <s v="P0096"/>
    <s v="PR022"/>
    <s v="S005"/>
    <d v="2024-03-24T00:00:00"/>
    <d v="2024-03-29T00:00:00"/>
    <d v="2024-04-24T00:00:00"/>
    <n v="26"/>
    <s v="Mar-2024"/>
    <x v="0"/>
    <n v="357.34"/>
    <x v="0"/>
    <n v="26"/>
  </r>
  <r>
    <s v="CLM00813"/>
    <s v="P0422"/>
    <s v="PR022"/>
    <s v="S025"/>
    <d v="2024-02-21T00:00:00"/>
    <d v="2024-02-22T00:00:00"/>
    <d v="2024-03-03T00:00:00"/>
    <n v="10"/>
    <s v="Feb-2024"/>
    <x v="2"/>
    <n v="356.75"/>
    <x v="1"/>
    <n v="10"/>
  </r>
  <r>
    <s v="CLM01738"/>
    <s v="P0342"/>
    <s v="PR024"/>
    <s v="S025"/>
    <d v="2024-05-17T00:00:00"/>
    <d v="2024-05-21T00:00:00"/>
    <d v="2024-06-19T00:00:00"/>
    <n v="29"/>
    <s v="May-2024"/>
    <x v="2"/>
    <n v="356.53"/>
    <x v="0"/>
    <n v="29"/>
  </r>
  <r>
    <s v="CLM01648"/>
    <s v="P0476"/>
    <s v="PR002"/>
    <s v="S005"/>
    <d v="2024-02-18T00:00:00"/>
    <d v="2024-02-22T00:00:00"/>
    <d v="2024-02-27T00:00:00"/>
    <n v="5"/>
    <s v="Feb-2024"/>
    <x v="0"/>
    <n v="355.8"/>
    <x v="0"/>
    <n v="5"/>
  </r>
  <r>
    <s v="CLM01869"/>
    <s v="P0422"/>
    <s v="PR039"/>
    <s v="S017"/>
    <d v="2024-10-07T00:00:00"/>
    <d v="2024-10-12T00:00:00"/>
    <d v="2024-11-08T00:00:00"/>
    <n v="27"/>
    <s v="Oct-2024"/>
    <x v="2"/>
    <n v="355.52"/>
    <x v="0"/>
    <n v="27"/>
  </r>
  <r>
    <s v="CLM01246"/>
    <s v="P0266"/>
    <s v="PR017"/>
    <s v="S017"/>
    <d v="2023-09-29T00:00:00"/>
    <d v="2023-10-01T00:00:00"/>
    <d v="2023-10-27T00:00:00"/>
    <n v="26"/>
    <s v="Sep-2023"/>
    <x v="3"/>
    <n v="355.42"/>
    <x v="0"/>
    <n v="26"/>
  </r>
  <r>
    <s v="CLM01468"/>
    <s v="P0181"/>
    <s v="PR017"/>
    <s v="S025"/>
    <d v="2024-09-26T00:00:00"/>
    <d v="2024-09-28T00:00:00"/>
    <d v="2024-10-16T00:00:00"/>
    <n v="18"/>
    <s v="Sep-2024"/>
    <x v="0"/>
    <n v="354.86"/>
    <x v="1"/>
    <n v="18"/>
  </r>
  <r>
    <s v="CLM00041"/>
    <s v="P0044"/>
    <s v="PR019"/>
    <s v="S017"/>
    <d v="2024-10-31T00:00:00"/>
    <d v="2024-11-05T00:00:00"/>
    <d v="2024-11-22T00:00:00"/>
    <n v="17"/>
    <s v="Oct-2024"/>
    <x v="2"/>
    <n v="354.28"/>
    <x v="0"/>
    <n v="17"/>
  </r>
  <r>
    <s v="CLM01995"/>
    <s v="P0190"/>
    <s v="PR024"/>
    <s v="S025"/>
    <d v="2023-02-09T00:00:00"/>
    <d v="2023-02-10T00:00:00"/>
    <d v="2023-02-19T00:00:00"/>
    <n v="9"/>
    <s v="Feb-2023"/>
    <x v="0"/>
    <n v="353.15"/>
    <x v="0"/>
    <n v="9"/>
  </r>
  <r>
    <s v="CLM01212"/>
    <s v="P0279"/>
    <s v="PR020"/>
    <s v="S017"/>
    <d v="2023-01-15T00:00:00"/>
    <d v="2023-01-20T00:00:00"/>
    <m/>
    <s v=""/>
    <s v="Jan-2023"/>
    <x v="4"/>
    <n v="352.89"/>
    <x v="2"/>
    <m/>
  </r>
  <r>
    <s v="CLM00010"/>
    <s v="P0386"/>
    <s v="PR004"/>
    <s v="S017"/>
    <d v="2023-04-11T00:00:00"/>
    <d v="2023-04-13T00:00:00"/>
    <d v="2023-05-05T00:00:00"/>
    <n v="22"/>
    <s v="Apr-2023"/>
    <x v="2"/>
    <n v="352.03"/>
    <x v="0"/>
    <n v="22"/>
  </r>
  <r>
    <s v="CLM00457"/>
    <s v="P0448"/>
    <s v="PR002"/>
    <s v="S005"/>
    <d v="2023-01-16T00:00:00"/>
    <d v="2023-01-19T00:00:00"/>
    <d v="2023-01-27T00:00:00"/>
    <n v="8"/>
    <s v="Jan-2023"/>
    <x v="2"/>
    <n v="350.83"/>
    <x v="0"/>
    <n v="8"/>
  </r>
  <r>
    <s v="CLM01797"/>
    <s v="P0396"/>
    <s v="PR006"/>
    <s v="S017"/>
    <d v="2024-01-20T00:00:00"/>
    <d v="2024-01-21T00:00:00"/>
    <d v="2024-01-25T00:00:00"/>
    <n v="4"/>
    <s v="Jan-2024"/>
    <x v="4"/>
    <n v="350.12"/>
    <x v="0"/>
    <n v="4"/>
  </r>
  <r>
    <s v="CLM00065"/>
    <s v="P0062"/>
    <s v="PR009"/>
    <s v="S005"/>
    <d v="2024-09-19T00:00:00"/>
    <d v="2024-09-24T00:00:00"/>
    <d v="2024-10-20T00:00:00"/>
    <n v="26"/>
    <s v="Sep-2024"/>
    <x v="2"/>
    <n v="349.63"/>
    <x v="0"/>
    <n v="26"/>
  </r>
  <r>
    <s v="CLM01049"/>
    <s v="P0249"/>
    <s v="PR012"/>
    <s v="S025"/>
    <d v="2024-10-10T00:00:00"/>
    <d v="2024-10-12T00:00:00"/>
    <d v="2024-11-09T00:00:00"/>
    <n v="28"/>
    <s v="Oct-2024"/>
    <x v="2"/>
    <n v="349.63"/>
    <x v="0"/>
    <n v="28"/>
  </r>
  <r>
    <s v="CLM01690"/>
    <s v="P0020"/>
    <s v="PR016"/>
    <s v="S005"/>
    <d v="2024-09-09T00:00:00"/>
    <d v="2024-09-13T00:00:00"/>
    <d v="2024-09-30T00:00:00"/>
    <n v="17"/>
    <s v="Sep-2024"/>
    <x v="2"/>
    <n v="349.32"/>
    <x v="0"/>
    <n v="17"/>
  </r>
  <r>
    <s v="CLM01870"/>
    <s v="P0320"/>
    <s v="PR034"/>
    <s v="S025"/>
    <d v="2024-09-11T00:00:00"/>
    <d v="2024-09-14T00:00:00"/>
    <d v="2024-09-21T00:00:00"/>
    <n v="7"/>
    <s v="Sep-2024"/>
    <x v="4"/>
    <n v="349.27"/>
    <x v="0"/>
    <n v="7"/>
  </r>
  <r>
    <s v="CLM00488"/>
    <s v="P0065"/>
    <s v="PR033"/>
    <s v="S025"/>
    <d v="2024-08-10T00:00:00"/>
    <d v="2024-08-13T00:00:00"/>
    <d v="2024-08-31T00:00:00"/>
    <n v="18"/>
    <s v="Aug-2024"/>
    <x v="1"/>
    <n v="348.83"/>
    <x v="0"/>
    <n v="18"/>
  </r>
  <r>
    <s v="CLM01677"/>
    <s v="P0343"/>
    <s v="PR024"/>
    <s v="S017"/>
    <d v="2023-10-11T00:00:00"/>
    <d v="2023-10-14T00:00:00"/>
    <d v="2023-11-11T00:00:00"/>
    <n v="28"/>
    <s v="Oct-2023"/>
    <x v="3"/>
    <n v="348.38"/>
    <x v="1"/>
    <n v="28"/>
  </r>
  <r>
    <s v="CLM01957"/>
    <s v="P0257"/>
    <s v="PR040"/>
    <s v="S017"/>
    <d v="2024-09-21T00:00:00"/>
    <d v="2024-09-26T00:00:00"/>
    <m/>
    <s v=""/>
    <s v="Sep-2024"/>
    <x v="4"/>
    <n v="348.19"/>
    <x v="2"/>
    <m/>
  </r>
  <r>
    <s v="CLM01062"/>
    <s v="P0492"/>
    <s v="PR033"/>
    <s v="S025"/>
    <d v="2023-11-22T00:00:00"/>
    <d v="2023-11-27T00:00:00"/>
    <d v="2023-12-05T00:00:00"/>
    <n v="8"/>
    <s v="Nov-2023"/>
    <x v="3"/>
    <n v="347.93"/>
    <x v="0"/>
    <n v="8"/>
  </r>
  <r>
    <s v="CLM01360"/>
    <s v="P0224"/>
    <s v="PR004"/>
    <s v="S017"/>
    <d v="2024-08-10T00:00:00"/>
    <d v="2024-08-13T00:00:00"/>
    <d v="2024-09-10T00:00:00"/>
    <n v="28"/>
    <s v="Aug-2024"/>
    <x v="2"/>
    <n v="347.9"/>
    <x v="0"/>
    <n v="28"/>
  </r>
  <r>
    <s v="CLM00828"/>
    <s v="P0067"/>
    <s v="PR015"/>
    <s v="S017"/>
    <d v="2023-02-17T00:00:00"/>
    <d v="2023-02-20T00:00:00"/>
    <d v="2023-03-12T00:00:00"/>
    <n v="20"/>
    <s v="Feb-2023"/>
    <x v="1"/>
    <n v="347.86"/>
    <x v="0"/>
    <n v="20"/>
  </r>
  <r>
    <s v="CLM01754"/>
    <s v="P0020"/>
    <s v="PR026"/>
    <s v="S005"/>
    <d v="2024-05-04T00:00:00"/>
    <d v="2024-05-07T00:00:00"/>
    <d v="2024-05-23T00:00:00"/>
    <n v="16"/>
    <s v="May-2024"/>
    <x v="2"/>
    <n v="347.31"/>
    <x v="0"/>
    <n v="16"/>
  </r>
  <r>
    <s v="CLM00964"/>
    <s v="P0094"/>
    <s v="PR018"/>
    <s v="S005"/>
    <d v="2023-09-17T00:00:00"/>
    <d v="2023-09-22T00:00:00"/>
    <d v="2023-09-27T00:00:00"/>
    <n v="5"/>
    <s v="Sep-2023"/>
    <x v="3"/>
    <n v="346.7"/>
    <x v="0"/>
    <n v="5"/>
  </r>
  <r>
    <s v="CLM01043"/>
    <s v="P0059"/>
    <s v="PR012"/>
    <s v="S017"/>
    <d v="2023-01-13T00:00:00"/>
    <d v="2023-01-17T00:00:00"/>
    <d v="2023-01-27T00:00:00"/>
    <n v="10"/>
    <s v="Jan-2023"/>
    <x v="4"/>
    <n v="345.85"/>
    <x v="0"/>
    <n v="10"/>
  </r>
  <r>
    <s v="CLM00766"/>
    <s v="P0184"/>
    <s v="PR026"/>
    <s v="S025"/>
    <d v="2024-09-28T00:00:00"/>
    <d v="2024-10-03T00:00:00"/>
    <d v="2024-10-29T00:00:00"/>
    <n v="26"/>
    <s v="Sep-2024"/>
    <x v="1"/>
    <n v="344.46"/>
    <x v="0"/>
    <n v="26"/>
  </r>
  <r>
    <s v="CLM00232"/>
    <s v="P0138"/>
    <s v="PR001"/>
    <s v="S025"/>
    <d v="2024-01-11T00:00:00"/>
    <d v="2024-01-16T00:00:00"/>
    <d v="2024-02-06T00:00:00"/>
    <n v="21"/>
    <s v="Jan-2024"/>
    <x v="0"/>
    <n v="344.33"/>
    <x v="0"/>
    <n v="21"/>
  </r>
  <r>
    <s v="CLM01971"/>
    <s v="P0101"/>
    <s v="PR003"/>
    <s v="S005"/>
    <d v="2024-01-19T00:00:00"/>
    <d v="2024-01-24T00:00:00"/>
    <d v="2024-02-14T00:00:00"/>
    <n v="21"/>
    <s v="Jan-2024"/>
    <x v="4"/>
    <n v="343.72"/>
    <x v="0"/>
    <n v="21"/>
  </r>
  <r>
    <s v="CLM00585"/>
    <s v="P0200"/>
    <s v="PR007"/>
    <s v="S017"/>
    <d v="2024-06-03T00:00:00"/>
    <d v="2024-06-04T00:00:00"/>
    <d v="2024-06-11T00:00:00"/>
    <n v="7"/>
    <s v="Jun-2024"/>
    <x v="1"/>
    <n v="343.61"/>
    <x v="0"/>
    <n v="7"/>
  </r>
  <r>
    <s v="CLM00454"/>
    <s v="P0004"/>
    <s v="PR016"/>
    <s v="S025"/>
    <d v="2023-05-07T00:00:00"/>
    <d v="2023-05-09T00:00:00"/>
    <d v="2023-05-29T00:00:00"/>
    <n v="20"/>
    <s v="May-2023"/>
    <x v="4"/>
    <n v="342.74"/>
    <x v="0"/>
    <n v="20"/>
  </r>
  <r>
    <s v="CLM00484"/>
    <s v="P0316"/>
    <s v="PR033"/>
    <s v="S025"/>
    <d v="2024-03-06T00:00:00"/>
    <d v="2024-03-11T00:00:00"/>
    <m/>
    <s v=""/>
    <s v="Mar-2024"/>
    <x v="1"/>
    <n v="342.4"/>
    <x v="2"/>
    <m/>
  </r>
  <r>
    <s v="CLM00921"/>
    <s v="P0180"/>
    <s v="PR018"/>
    <s v="S005"/>
    <d v="2024-05-22T00:00:00"/>
    <d v="2024-05-24T00:00:00"/>
    <d v="2024-05-30T00:00:00"/>
    <n v="6"/>
    <s v="May-2024"/>
    <x v="0"/>
    <n v="341.55"/>
    <x v="0"/>
    <n v="6"/>
  </r>
  <r>
    <s v="CLM01514"/>
    <s v="P0421"/>
    <s v="PR026"/>
    <s v="S017"/>
    <d v="2024-01-04T00:00:00"/>
    <d v="2024-01-05T00:00:00"/>
    <d v="2024-01-26T00:00:00"/>
    <n v="21"/>
    <s v="Jan-2024"/>
    <x v="1"/>
    <n v="341.31"/>
    <x v="0"/>
    <n v="21"/>
  </r>
  <r>
    <s v="CLM01028"/>
    <s v="P0006"/>
    <s v="PR023"/>
    <s v="S025"/>
    <d v="2024-12-23T00:00:00"/>
    <d v="2024-12-26T00:00:00"/>
    <d v="2025-01-24T00:00:00"/>
    <n v="29"/>
    <s v="Dec-2024"/>
    <x v="4"/>
    <n v="341.12"/>
    <x v="0"/>
    <n v="29"/>
  </r>
  <r>
    <s v="CLM01237"/>
    <s v="P0375"/>
    <s v="PR023"/>
    <s v="S005"/>
    <d v="2024-12-21T00:00:00"/>
    <d v="2024-12-22T00:00:00"/>
    <d v="2024-12-27T00:00:00"/>
    <n v="5"/>
    <s v="Dec-2024"/>
    <x v="2"/>
    <n v="340.72"/>
    <x v="0"/>
    <n v="5"/>
  </r>
  <r>
    <s v="CLM01376"/>
    <s v="P0356"/>
    <s v="PR022"/>
    <s v="S005"/>
    <d v="2024-09-19T00:00:00"/>
    <d v="2024-09-23T00:00:00"/>
    <d v="2024-10-02T00:00:00"/>
    <n v="9"/>
    <s v="Sep-2024"/>
    <x v="0"/>
    <n v="340.43"/>
    <x v="0"/>
    <n v="9"/>
  </r>
  <r>
    <s v="CLM00348"/>
    <s v="P0148"/>
    <s v="PR036"/>
    <s v="S005"/>
    <d v="2023-11-03T00:00:00"/>
    <d v="2023-11-08T00:00:00"/>
    <d v="2023-12-05T00:00:00"/>
    <n v="27"/>
    <s v="Nov-2023"/>
    <x v="2"/>
    <n v="339.7"/>
    <x v="0"/>
    <n v="27"/>
  </r>
  <r>
    <s v="CLM01752"/>
    <s v="P0412"/>
    <s v="PR039"/>
    <s v="S025"/>
    <d v="2024-11-21T00:00:00"/>
    <d v="2024-11-25T00:00:00"/>
    <d v="2024-12-02T00:00:00"/>
    <n v="7"/>
    <s v="Nov-2024"/>
    <x v="1"/>
    <n v="339.46"/>
    <x v="0"/>
    <n v="7"/>
  </r>
  <r>
    <s v="CLM00777"/>
    <s v="P0218"/>
    <s v="PR014"/>
    <s v="S025"/>
    <d v="2023-06-14T00:00:00"/>
    <d v="2023-06-16T00:00:00"/>
    <d v="2023-06-20T00:00:00"/>
    <n v="4"/>
    <s v="Jun-2023"/>
    <x v="1"/>
    <n v="338.75"/>
    <x v="0"/>
    <n v="4"/>
  </r>
  <r>
    <s v="CLM00580"/>
    <s v="P0226"/>
    <s v="PR036"/>
    <s v="S005"/>
    <d v="2023-10-28T00:00:00"/>
    <d v="2023-10-31T00:00:00"/>
    <d v="2023-11-23T00:00:00"/>
    <n v="23"/>
    <s v="Oct-2023"/>
    <x v="2"/>
    <n v="338.49"/>
    <x v="0"/>
    <n v="23"/>
  </r>
  <r>
    <s v="CLM00086"/>
    <s v="P0300"/>
    <s v="PR036"/>
    <s v="S025"/>
    <d v="2024-05-14T00:00:00"/>
    <d v="2024-05-19T00:00:00"/>
    <d v="2024-06-01T00:00:00"/>
    <n v="13"/>
    <s v="May-2024"/>
    <x v="0"/>
    <n v="337.14"/>
    <x v="0"/>
    <n v="13"/>
  </r>
  <r>
    <s v="CLM01769"/>
    <s v="P0011"/>
    <s v="PR002"/>
    <s v="S025"/>
    <d v="2023-12-29T00:00:00"/>
    <d v="2024-01-03T00:00:00"/>
    <m/>
    <s v=""/>
    <s v="Dec-2023"/>
    <x v="2"/>
    <n v="336.93"/>
    <x v="2"/>
    <m/>
  </r>
  <r>
    <s v="CLM00362"/>
    <s v="P0235"/>
    <s v="PR028"/>
    <s v="S017"/>
    <d v="2024-04-27T00:00:00"/>
    <d v="2024-05-01T00:00:00"/>
    <d v="2024-05-17T00:00:00"/>
    <n v="16"/>
    <s v="Apr-2024"/>
    <x v="0"/>
    <n v="335.65"/>
    <x v="0"/>
    <n v="16"/>
  </r>
  <r>
    <s v="CLM01646"/>
    <s v="P0355"/>
    <s v="PR036"/>
    <s v="S025"/>
    <d v="2024-04-27T00:00:00"/>
    <d v="2024-05-02T00:00:00"/>
    <d v="2024-05-11T00:00:00"/>
    <n v="9"/>
    <s v="Apr-2024"/>
    <x v="3"/>
    <n v="335.31"/>
    <x v="0"/>
    <n v="9"/>
  </r>
  <r>
    <s v="CLM01650"/>
    <s v="P0110"/>
    <s v="PR009"/>
    <s v="S025"/>
    <d v="2023-05-14T00:00:00"/>
    <d v="2023-05-19T00:00:00"/>
    <d v="2023-06-07T00:00:00"/>
    <n v="19"/>
    <s v="May-2023"/>
    <x v="4"/>
    <n v="334.64"/>
    <x v="0"/>
    <n v="19"/>
  </r>
  <r>
    <s v="CLM00547"/>
    <s v="P0488"/>
    <s v="PR020"/>
    <s v="S025"/>
    <d v="2024-12-04T00:00:00"/>
    <d v="2024-12-05T00:00:00"/>
    <d v="2024-12-21T00:00:00"/>
    <n v="16"/>
    <s v="Dec-2024"/>
    <x v="0"/>
    <n v="334.45"/>
    <x v="1"/>
    <n v="16"/>
  </r>
  <r>
    <s v="CLM01045"/>
    <s v="P0242"/>
    <s v="PR037"/>
    <s v="S025"/>
    <d v="2024-02-01T00:00:00"/>
    <d v="2024-02-04T00:00:00"/>
    <m/>
    <s v=""/>
    <s v="Feb-2024"/>
    <x v="4"/>
    <n v="334.44"/>
    <x v="2"/>
    <m/>
  </r>
  <r>
    <s v="CLM00621"/>
    <s v="P0127"/>
    <s v="PR027"/>
    <s v="S017"/>
    <d v="2024-03-29T00:00:00"/>
    <d v="2024-03-30T00:00:00"/>
    <d v="2024-04-18T00:00:00"/>
    <n v="19"/>
    <s v="Mar-2024"/>
    <x v="0"/>
    <n v="334.39"/>
    <x v="0"/>
    <n v="19"/>
  </r>
  <r>
    <s v="CLM01745"/>
    <s v="P0346"/>
    <s v="PR016"/>
    <s v="S025"/>
    <d v="2024-03-18T00:00:00"/>
    <d v="2024-03-23T00:00:00"/>
    <d v="2024-04-07T00:00:00"/>
    <n v="15"/>
    <s v="Mar-2024"/>
    <x v="3"/>
    <n v="333.97"/>
    <x v="0"/>
    <n v="15"/>
  </r>
  <r>
    <s v="CLM00972"/>
    <s v="P0162"/>
    <s v="PR024"/>
    <s v="S017"/>
    <d v="2023-12-20T00:00:00"/>
    <d v="2023-12-25T00:00:00"/>
    <d v="2024-01-15T00:00:00"/>
    <n v="21"/>
    <s v="Dec-2023"/>
    <x v="4"/>
    <n v="333.29"/>
    <x v="0"/>
    <n v="21"/>
  </r>
  <r>
    <s v="CLM00732"/>
    <s v="P0221"/>
    <s v="PR018"/>
    <s v="S017"/>
    <d v="2023-07-20T00:00:00"/>
    <d v="2023-07-21T00:00:00"/>
    <d v="2023-08-19T00:00:00"/>
    <n v="29"/>
    <s v="Jul-2023"/>
    <x v="2"/>
    <n v="332.26"/>
    <x v="0"/>
    <n v="29"/>
  </r>
  <r>
    <s v="CLM01183"/>
    <s v="P0297"/>
    <s v="PR039"/>
    <s v="S005"/>
    <d v="2023-09-24T00:00:00"/>
    <d v="2023-09-29T00:00:00"/>
    <d v="2023-10-23T00:00:00"/>
    <n v="24"/>
    <s v="Sep-2023"/>
    <x v="0"/>
    <n v="331.92"/>
    <x v="0"/>
    <n v="24"/>
  </r>
  <r>
    <s v="CLM00879"/>
    <s v="P0116"/>
    <s v="PR012"/>
    <s v="S025"/>
    <d v="2023-07-07T00:00:00"/>
    <d v="2023-07-09T00:00:00"/>
    <d v="2023-07-27T00:00:00"/>
    <n v="18"/>
    <s v="Jul-2023"/>
    <x v="4"/>
    <n v="331.52"/>
    <x v="0"/>
    <n v="18"/>
  </r>
  <r>
    <s v="CLM01736"/>
    <s v="P0437"/>
    <s v="PR005"/>
    <s v="S005"/>
    <d v="2024-08-28T00:00:00"/>
    <d v="2024-08-30T00:00:00"/>
    <d v="2024-09-21T00:00:00"/>
    <n v="22"/>
    <s v="Aug-2024"/>
    <x v="2"/>
    <n v="330.58"/>
    <x v="1"/>
    <n v="22"/>
  </r>
  <r>
    <s v="CLM00948"/>
    <s v="P0267"/>
    <s v="PR018"/>
    <s v="S017"/>
    <d v="2023-03-15T00:00:00"/>
    <d v="2023-03-19T00:00:00"/>
    <m/>
    <s v=""/>
    <s v="Mar-2023"/>
    <x v="3"/>
    <n v="330.52"/>
    <x v="2"/>
    <m/>
  </r>
  <r>
    <s v="CLM01627"/>
    <s v="P0169"/>
    <s v="PR038"/>
    <s v="S025"/>
    <d v="2023-07-27T00:00:00"/>
    <d v="2023-07-30T00:00:00"/>
    <m/>
    <s v=""/>
    <s v="Jul-2023"/>
    <x v="2"/>
    <n v="330.22"/>
    <x v="2"/>
    <m/>
  </r>
  <r>
    <s v="CLM01755"/>
    <s v="P0440"/>
    <s v="PR021"/>
    <s v="S005"/>
    <d v="2024-12-21T00:00:00"/>
    <d v="2024-12-25T00:00:00"/>
    <d v="2025-01-10T00:00:00"/>
    <n v="16"/>
    <s v="Dec-2024"/>
    <x v="2"/>
    <n v="329.99"/>
    <x v="0"/>
    <n v="16"/>
  </r>
  <r>
    <s v="CLM01284"/>
    <s v="P0333"/>
    <s v="PR017"/>
    <s v="S005"/>
    <d v="2023-07-06T00:00:00"/>
    <d v="2023-07-07T00:00:00"/>
    <d v="2023-07-10T00:00:00"/>
    <n v="3"/>
    <s v="Jul-2023"/>
    <x v="2"/>
    <n v="328.34"/>
    <x v="0"/>
    <n v="3"/>
  </r>
  <r>
    <s v="CLM00671"/>
    <s v="P0338"/>
    <s v="PR013"/>
    <s v="S017"/>
    <d v="2024-09-03T00:00:00"/>
    <d v="2024-09-08T00:00:00"/>
    <d v="2024-09-22T00:00:00"/>
    <n v="14"/>
    <s v="Sep-2024"/>
    <x v="2"/>
    <n v="327.82"/>
    <x v="0"/>
    <n v="14"/>
  </r>
  <r>
    <s v="CLM01140"/>
    <s v="P0060"/>
    <s v="PR012"/>
    <s v="S005"/>
    <d v="2024-03-31T00:00:00"/>
    <d v="2024-04-01T00:00:00"/>
    <m/>
    <s v=""/>
    <s v="Mar-2024"/>
    <x v="4"/>
    <n v="327.58"/>
    <x v="2"/>
    <m/>
  </r>
  <r>
    <s v="CLM00314"/>
    <s v="P0434"/>
    <s v="PR018"/>
    <s v="S005"/>
    <d v="2024-10-27T00:00:00"/>
    <d v="2024-10-29T00:00:00"/>
    <d v="2024-11-10T00:00:00"/>
    <n v="12"/>
    <s v="Oct-2024"/>
    <x v="1"/>
    <n v="327.5"/>
    <x v="0"/>
    <n v="12"/>
  </r>
  <r>
    <s v="CLM01352"/>
    <s v="P0285"/>
    <s v="PR012"/>
    <s v="S005"/>
    <d v="2023-10-05T00:00:00"/>
    <d v="2023-10-06T00:00:00"/>
    <d v="2023-10-18T00:00:00"/>
    <n v="12"/>
    <s v="Oct-2023"/>
    <x v="4"/>
    <n v="326.91000000000003"/>
    <x v="0"/>
    <n v="12"/>
  </r>
  <r>
    <s v="CLM01431"/>
    <s v="P0322"/>
    <s v="PR035"/>
    <s v="S025"/>
    <d v="2023-12-09T00:00:00"/>
    <d v="2023-12-10T00:00:00"/>
    <d v="2024-01-02T00:00:00"/>
    <n v="23"/>
    <s v="Dec-2023"/>
    <x v="4"/>
    <n v="326.3"/>
    <x v="0"/>
    <n v="23"/>
  </r>
  <r>
    <s v="CLM00937"/>
    <s v="P0349"/>
    <s v="PR007"/>
    <s v="S025"/>
    <d v="2024-02-07T00:00:00"/>
    <d v="2024-02-12T00:00:00"/>
    <m/>
    <s v=""/>
    <s v="Feb-2024"/>
    <x v="2"/>
    <n v="326.08999999999997"/>
    <x v="2"/>
    <m/>
  </r>
  <r>
    <s v="CLM01178"/>
    <s v="P0096"/>
    <s v="PR027"/>
    <s v="S017"/>
    <d v="2023-01-25T00:00:00"/>
    <d v="2023-01-27T00:00:00"/>
    <d v="2023-02-11T00:00:00"/>
    <n v="15"/>
    <s v="Jan-2023"/>
    <x v="0"/>
    <n v="325.98"/>
    <x v="0"/>
    <n v="15"/>
  </r>
  <r>
    <s v="CLM01607"/>
    <s v="P0104"/>
    <s v="PR020"/>
    <s v="S017"/>
    <d v="2023-07-21T00:00:00"/>
    <d v="2023-07-26T00:00:00"/>
    <d v="2023-08-14T00:00:00"/>
    <n v="19"/>
    <s v="Jul-2023"/>
    <x v="0"/>
    <n v="325.27"/>
    <x v="0"/>
    <n v="19"/>
  </r>
  <r>
    <s v="CLM01851"/>
    <s v="P0451"/>
    <s v="PR005"/>
    <s v="S005"/>
    <d v="2024-04-01T00:00:00"/>
    <d v="2024-04-03T00:00:00"/>
    <d v="2024-04-24T00:00:00"/>
    <n v="21"/>
    <s v="Apr-2024"/>
    <x v="0"/>
    <n v="322.95999999999998"/>
    <x v="0"/>
    <n v="21"/>
  </r>
  <r>
    <s v="CLM00922"/>
    <s v="P0497"/>
    <s v="PR028"/>
    <s v="S017"/>
    <d v="2023-10-17T00:00:00"/>
    <d v="2023-10-21T00:00:00"/>
    <d v="2023-10-27T00:00:00"/>
    <n v="6"/>
    <s v="Oct-2023"/>
    <x v="1"/>
    <n v="322.77999999999997"/>
    <x v="0"/>
    <n v="6"/>
  </r>
  <r>
    <s v="CLM00201"/>
    <s v="P0500"/>
    <s v="PR025"/>
    <s v="S005"/>
    <d v="2024-07-30T00:00:00"/>
    <d v="2024-08-01T00:00:00"/>
    <d v="2024-08-20T00:00:00"/>
    <n v="19"/>
    <s v="Jul-2024"/>
    <x v="4"/>
    <n v="320.95"/>
    <x v="0"/>
    <n v="19"/>
  </r>
  <r>
    <s v="CLM00950"/>
    <s v="P0108"/>
    <s v="PR008"/>
    <s v="S005"/>
    <d v="2024-04-28T00:00:00"/>
    <d v="2024-04-29T00:00:00"/>
    <d v="2024-05-26T00:00:00"/>
    <n v="27"/>
    <s v="Apr-2024"/>
    <x v="0"/>
    <n v="320.5"/>
    <x v="0"/>
    <n v="27"/>
  </r>
  <r>
    <s v="CLM00746"/>
    <s v="P0310"/>
    <s v="PR007"/>
    <s v="S017"/>
    <d v="2024-11-04T00:00:00"/>
    <d v="2024-11-07T00:00:00"/>
    <d v="2024-11-28T00:00:00"/>
    <n v="21"/>
    <s v="Nov-2024"/>
    <x v="1"/>
    <n v="319.73"/>
    <x v="0"/>
    <n v="21"/>
  </r>
  <r>
    <s v="CLM00258"/>
    <s v="P0315"/>
    <s v="PR026"/>
    <s v="S017"/>
    <d v="2023-09-25T00:00:00"/>
    <d v="2023-09-27T00:00:00"/>
    <d v="2023-10-19T00:00:00"/>
    <n v="22"/>
    <s v="Sep-2023"/>
    <x v="4"/>
    <n v="319.7"/>
    <x v="0"/>
    <n v="22"/>
  </r>
  <r>
    <s v="CLM00134"/>
    <s v="P0472"/>
    <s v="PR023"/>
    <s v="S025"/>
    <d v="2023-07-01T00:00:00"/>
    <d v="2023-07-04T00:00:00"/>
    <d v="2023-07-21T00:00:00"/>
    <n v="17"/>
    <s v="Jul-2023"/>
    <x v="3"/>
    <n v="319.43"/>
    <x v="1"/>
    <n v="17"/>
  </r>
  <r>
    <s v="CLM01122"/>
    <s v="P0071"/>
    <s v="PR031"/>
    <s v="S025"/>
    <d v="2024-06-02T00:00:00"/>
    <d v="2024-06-04T00:00:00"/>
    <m/>
    <s v=""/>
    <s v="Jun-2024"/>
    <x v="4"/>
    <n v="318.56"/>
    <x v="2"/>
    <m/>
  </r>
  <r>
    <s v="CLM00178"/>
    <s v="P0038"/>
    <s v="PR023"/>
    <s v="S017"/>
    <d v="2023-06-27T00:00:00"/>
    <d v="2023-06-30T00:00:00"/>
    <d v="2023-07-08T00:00:00"/>
    <n v="8"/>
    <s v="Jun-2023"/>
    <x v="2"/>
    <n v="318.02999999999997"/>
    <x v="1"/>
    <n v="8"/>
  </r>
  <r>
    <s v="CLM00668"/>
    <s v="P0221"/>
    <s v="PR002"/>
    <s v="S025"/>
    <d v="2024-07-13T00:00:00"/>
    <d v="2024-07-17T00:00:00"/>
    <d v="2024-08-11T00:00:00"/>
    <n v="25"/>
    <s v="Jul-2024"/>
    <x v="2"/>
    <n v="318.01"/>
    <x v="0"/>
    <n v="25"/>
  </r>
  <r>
    <s v="CLM00575"/>
    <s v="P0451"/>
    <s v="PR040"/>
    <s v="S017"/>
    <d v="2024-03-31T00:00:00"/>
    <d v="2024-04-02T00:00:00"/>
    <d v="2024-04-22T00:00:00"/>
    <n v="20"/>
    <s v="Mar-2024"/>
    <x v="0"/>
    <n v="317.99"/>
    <x v="0"/>
    <n v="20"/>
  </r>
  <r>
    <s v="CLM00622"/>
    <s v="P0426"/>
    <s v="PR005"/>
    <s v="S025"/>
    <d v="2024-10-28T00:00:00"/>
    <d v="2024-10-29T00:00:00"/>
    <d v="2024-11-06T00:00:00"/>
    <n v="8"/>
    <s v="Oct-2024"/>
    <x v="2"/>
    <n v="317.83999999999997"/>
    <x v="0"/>
    <n v="8"/>
  </r>
  <r>
    <s v="CLM00221"/>
    <s v="P0183"/>
    <s v="PR034"/>
    <s v="S017"/>
    <d v="2023-08-31T00:00:00"/>
    <d v="2023-09-04T00:00:00"/>
    <d v="2023-10-01T00:00:00"/>
    <n v="27"/>
    <s v="Aug-2023"/>
    <x v="2"/>
    <n v="317.82"/>
    <x v="0"/>
    <n v="27"/>
  </r>
  <r>
    <s v="CLM00266"/>
    <s v="P0113"/>
    <s v="PR020"/>
    <s v="S025"/>
    <d v="2024-08-19T00:00:00"/>
    <d v="2024-08-24T00:00:00"/>
    <d v="2024-09-11T00:00:00"/>
    <n v="18"/>
    <s v="Aug-2024"/>
    <x v="4"/>
    <n v="316.91000000000003"/>
    <x v="0"/>
    <n v="18"/>
  </r>
  <r>
    <s v="CLM01378"/>
    <s v="P0180"/>
    <s v="PR003"/>
    <s v="S017"/>
    <d v="2023-08-09T00:00:00"/>
    <d v="2023-08-12T00:00:00"/>
    <d v="2023-08-19T00:00:00"/>
    <n v="7"/>
    <s v="Aug-2023"/>
    <x v="0"/>
    <n v="316.17"/>
    <x v="0"/>
    <n v="7"/>
  </r>
  <r>
    <s v="CLM01635"/>
    <s v="P0372"/>
    <s v="PR024"/>
    <s v="S025"/>
    <d v="2023-10-22T00:00:00"/>
    <d v="2023-10-26T00:00:00"/>
    <d v="2023-10-30T00:00:00"/>
    <n v="4"/>
    <s v="Oct-2023"/>
    <x v="4"/>
    <n v="316.10000000000002"/>
    <x v="1"/>
    <n v="4"/>
  </r>
  <r>
    <s v="CLM00771"/>
    <s v="P0119"/>
    <s v="PR020"/>
    <s v="S025"/>
    <d v="2024-05-23T00:00:00"/>
    <d v="2024-05-25T00:00:00"/>
    <m/>
    <s v=""/>
    <s v="May-2024"/>
    <x v="4"/>
    <n v="316.06"/>
    <x v="2"/>
    <m/>
  </r>
  <r>
    <s v="CLM00406"/>
    <s v="P0011"/>
    <s v="PR024"/>
    <s v="S025"/>
    <d v="2024-06-25T00:00:00"/>
    <d v="2024-06-29T00:00:00"/>
    <d v="2024-07-02T00:00:00"/>
    <n v="3"/>
    <s v="Jun-2024"/>
    <x v="2"/>
    <n v="315.99"/>
    <x v="0"/>
    <n v="3"/>
  </r>
  <r>
    <s v="CLM00088"/>
    <s v="P0207"/>
    <s v="PR006"/>
    <s v="S025"/>
    <d v="2023-05-18T00:00:00"/>
    <d v="2023-05-20T00:00:00"/>
    <d v="2023-05-23T00:00:00"/>
    <n v="3"/>
    <s v="May-2023"/>
    <x v="4"/>
    <n v="315.18"/>
    <x v="0"/>
    <n v="3"/>
  </r>
  <r>
    <s v="CLM00176"/>
    <s v="P0381"/>
    <s v="PR021"/>
    <s v="S025"/>
    <d v="2024-02-29T00:00:00"/>
    <d v="2024-03-04T00:00:00"/>
    <d v="2024-03-17T00:00:00"/>
    <n v="13"/>
    <s v="Feb-2024"/>
    <x v="2"/>
    <n v="314.5"/>
    <x v="0"/>
    <n v="13"/>
  </r>
  <r>
    <s v="CLM01064"/>
    <s v="P0337"/>
    <s v="PR008"/>
    <s v="S005"/>
    <d v="2024-06-23T00:00:00"/>
    <d v="2024-06-26T00:00:00"/>
    <m/>
    <s v=""/>
    <s v="Jun-2024"/>
    <x v="1"/>
    <n v="314.36"/>
    <x v="2"/>
    <m/>
  </r>
  <r>
    <s v="CLM00949"/>
    <s v="P0476"/>
    <s v="PR024"/>
    <s v="S025"/>
    <d v="2023-01-10T00:00:00"/>
    <d v="2023-01-12T00:00:00"/>
    <d v="2023-01-30T00:00:00"/>
    <n v="18"/>
    <s v="Jan-2023"/>
    <x v="0"/>
    <n v="314.17"/>
    <x v="0"/>
    <n v="18"/>
  </r>
  <r>
    <s v="CLM00293"/>
    <s v="P0458"/>
    <s v="PR040"/>
    <s v="S005"/>
    <d v="2024-06-27T00:00:00"/>
    <d v="2024-06-28T00:00:00"/>
    <d v="2024-07-03T00:00:00"/>
    <n v="5"/>
    <s v="Jun-2024"/>
    <x v="3"/>
    <n v="313.57"/>
    <x v="0"/>
    <n v="5"/>
  </r>
  <r>
    <s v="CLM00244"/>
    <s v="P0427"/>
    <s v="PR032"/>
    <s v="S005"/>
    <d v="2023-09-11T00:00:00"/>
    <d v="2023-09-16T00:00:00"/>
    <m/>
    <s v=""/>
    <s v="Sep-2023"/>
    <x v="2"/>
    <n v="312.49"/>
    <x v="2"/>
    <m/>
  </r>
  <r>
    <s v="CLM00271"/>
    <s v="P0014"/>
    <s v="PR013"/>
    <s v="S005"/>
    <d v="2023-04-14T00:00:00"/>
    <d v="2023-04-19T00:00:00"/>
    <d v="2023-04-23T00:00:00"/>
    <n v="4"/>
    <s v="Apr-2023"/>
    <x v="0"/>
    <n v="312.38"/>
    <x v="1"/>
    <n v="4"/>
  </r>
  <r>
    <s v="CLM00930"/>
    <s v="P0181"/>
    <s v="PR011"/>
    <s v="S005"/>
    <d v="2023-08-19T00:00:00"/>
    <d v="2023-08-20T00:00:00"/>
    <d v="2023-09-12T00:00:00"/>
    <n v="23"/>
    <s v="Aug-2023"/>
    <x v="0"/>
    <n v="309.26"/>
    <x v="0"/>
    <n v="23"/>
  </r>
  <r>
    <s v="CLM00251"/>
    <s v="P0139"/>
    <s v="PR009"/>
    <s v="S025"/>
    <d v="2024-08-23T00:00:00"/>
    <d v="2024-08-28T00:00:00"/>
    <m/>
    <s v=""/>
    <s v="Aug-2024"/>
    <x v="1"/>
    <n v="309.20999999999998"/>
    <x v="2"/>
    <m/>
  </r>
  <r>
    <s v="CLM00976"/>
    <s v="P0345"/>
    <s v="PR005"/>
    <s v="S005"/>
    <d v="2024-07-14T00:00:00"/>
    <d v="2024-07-18T00:00:00"/>
    <d v="2024-07-21T00:00:00"/>
    <n v="3"/>
    <s v="Jul-2024"/>
    <x v="1"/>
    <n v="308.31"/>
    <x v="0"/>
    <n v="3"/>
  </r>
  <r>
    <s v="CLM01013"/>
    <s v="P0163"/>
    <s v="PR015"/>
    <s v="S025"/>
    <d v="2024-12-29T00:00:00"/>
    <d v="2024-12-30T00:00:00"/>
    <d v="2025-01-22T00:00:00"/>
    <n v="23"/>
    <s v="Dec-2024"/>
    <x v="2"/>
    <n v="307.75"/>
    <x v="0"/>
    <n v="23"/>
  </r>
  <r>
    <s v="CLM00607"/>
    <s v="P0345"/>
    <s v="PR018"/>
    <s v="S025"/>
    <d v="2024-10-16T00:00:00"/>
    <d v="2024-10-20T00:00:00"/>
    <d v="2024-10-24T00:00:00"/>
    <n v="4"/>
    <s v="Oct-2024"/>
    <x v="1"/>
    <n v="307.20999999999998"/>
    <x v="0"/>
    <n v="4"/>
  </r>
  <r>
    <s v="CLM01384"/>
    <s v="P0499"/>
    <s v="PR002"/>
    <s v="S005"/>
    <d v="2024-07-11T00:00:00"/>
    <d v="2024-07-12T00:00:00"/>
    <d v="2024-08-04T00:00:00"/>
    <n v="23"/>
    <s v="Jul-2024"/>
    <x v="2"/>
    <n v="306.52"/>
    <x v="0"/>
    <n v="23"/>
  </r>
  <r>
    <s v="CLM01741"/>
    <s v="P0456"/>
    <s v="PR036"/>
    <s v="S025"/>
    <d v="2024-07-03T00:00:00"/>
    <d v="2024-07-05T00:00:00"/>
    <d v="2024-07-24T00:00:00"/>
    <n v="19"/>
    <s v="Jul-2024"/>
    <x v="0"/>
    <n v="305.62"/>
    <x v="1"/>
    <n v="19"/>
  </r>
  <r>
    <s v="CLM00021"/>
    <s v="P0048"/>
    <s v="PR016"/>
    <s v="S025"/>
    <d v="2024-02-09T00:00:00"/>
    <d v="2024-02-10T00:00:00"/>
    <d v="2024-02-29T00:00:00"/>
    <n v="19"/>
    <s v="Feb-2024"/>
    <x v="4"/>
    <n v="305.55"/>
    <x v="0"/>
    <n v="19"/>
  </r>
  <r>
    <s v="CLM00561"/>
    <s v="P0132"/>
    <s v="PR003"/>
    <s v="S025"/>
    <d v="2024-02-01T00:00:00"/>
    <d v="2024-02-04T00:00:00"/>
    <m/>
    <s v=""/>
    <s v="Feb-2024"/>
    <x v="4"/>
    <n v="305.08999999999997"/>
    <x v="2"/>
    <m/>
  </r>
  <r>
    <s v="CLM00294"/>
    <s v="P0406"/>
    <s v="PR039"/>
    <s v="S005"/>
    <d v="2024-10-10T00:00:00"/>
    <d v="2024-10-15T00:00:00"/>
    <d v="2024-11-03T00:00:00"/>
    <n v="19"/>
    <s v="Oct-2024"/>
    <x v="2"/>
    <n v="304.33"/>
    <x v="0"/>
    <n v="19"/>
  </r>
  <r>
    <s v="CLM00172"/>
    <s v="P0264"/>
    <s v="PR018"/>
    <s v="S025"/>
    <d v="2023-11-01T00:00:00"/>
    <d v="2023-11-04T00:00:00"/>
    <d v="2023-11-09T00:00:00"/>
    <n v="5"/>
    <s v="Nov-2023"/>
    <x v="4"/>
    <n v="304.17"/>
    <x v="1"/>
    <n v="5"/>
  </r>
  <r>
    <s v="CLM00057"/>
    <s v="P0277"/>
    <s v="PR004"/>
    <s v="S005"/>
    <d v="2024-03-07T00:00:00"/>
    <d v="2024-03-10T00:00:00"/>
    <d v="2024-04-03T00:00:00"/>
    <n v="24"/>
    <s v="Mar-2024"/>
    <x v="1"/>
    <n v="303.67"/>
    <x v="0"/>
    <n v="24"/>
  </r>
  <r>
    <s v="CLM01675"/>
    <s v="P0212"/>
    <s v="PR003"/>
    <s v="S025"/>
    <d v="2024-02-18T00:00:00"/>
    <d v="2024-02-21T00:00:00"/>
    <d v="2024-03-12T00:00:00"/>
    <n v="20"/>
    <s v="Feb-2024"/>
    <x v="3"/>
    <n v="302.64999999999998"/>
    <x v="1"/>
    <n v="20"/>
  </r>
  <r>
    <s v="CLM00898"/>
    <s v="P0389"/>
    <s v="PR020"/>
    <s v="S005"/>
    <d v="2023-07-07T00:00:00"/>
    <d v="2023-07-09T00:00:00"/>
    <d v="2023-07-28T00:00:00"/>
    <n v="19"/>
    <s v="Jul-2023"/>
    <x v="0"/>
    <n v="302.05"/>
    <x v="0"/>
    <n v="19"/>
  </r>
  <r>
    <s v="CLM00530"/>
    <s v="P0428"/>
    <s v="PR012"/>
    <s v="S005"/>
    <d v="2023-04-03T00:00:00"/>
    <d v="2023-04-05T00:00:00"/>
    <m/>
    <s v=""/>
    <s v="Apr-2023"/>
    <x v="3"/>
    <n v="301.63"/>
    <x v="2"/>
    <m/>
  </r>
  <r>
    <s v="CLM01255"/>
    <s v="P0209"/>
    <s v="PR007"/>
    <s v="S025"/>
    <d v="2023-05-19T00:00:00"/>
    <d v="2023-05-23T00:00:00"/>
    <m/>
    <s v=""/>
    <s v="May-2023"/>
    <x v="4"/>
    <n v="300.97000000000003"/>
    <x v="2"/>
    <m/>
  </r>
  <r>
    <s v="CLM00984"/>
    <s v="P0385"/>
    <s v="PR040"/>
    <s v="S005"/>
    <d v="2023-07-28T00:00:00"/>
    <d v="2023-07-30T00:00:00"/>
    <d v="2023-08-10T00:00:00"/>
    <n v="11"/>
    <s v="Jul-2023"/>
    <x v="4"/>
    <n v="300.41000000000003"/>
    <x v="0"/>
    <n v="11"/>
  </r>
  <r>
    <s v="CLM01883"/>
    <s v="P0391"/>
    <s v="PR040"/>
    <s v="S025"/>
    <d v="2023-04-25T00:00:00"/>
    <d v="2023-04-29T00:00:00"/>
    <d v="2023-05-24T00:00:00"/>
    <n v="25"/>
    <s v="Apr-2023"/>
    <x v="4"/>
    <n v="300.33999999999997"/>
    <x v="0"/>
    <n v="25"/>
  </r>
  <r>
    <s v="CLM01956"/>
    <s v="P0253"/>
    <s v="PR007"/>
    <s v="S025"/>
    <d v="2023-12-30T00:00:00"/>
    <d v="2024-01-04T00:00:00"/>
    <d v="2024-01-29T00:00:00"/>
    <n v="25"/>
    <s v="Dec-2023"/>
    <x v="1"/>
    <n v="299.99"/>
    <x v="0"/>
    <n v="25"/>
  </r>
  <r>
    <s v="CLM00911"/>
    <s v="P0227"/>
    <s v="PR038"/>
    <s v="S025"/>
    <d v="2024-01-15T00:00:00"/>
    <d v="2024-01-20T00:00:00"/>
    <d v="2024-01-28T00:00:00"/>
    <n v="8"/>
    <s v="Jan-2024"/>
    <x v="0"/>
    <n v="299.75"/>
    <x v="0"/>
    <n v="8"/>
  </r>
  <r>
    <s v="CLM00753"/>
    <s v="P0344"/>
    <s v="PR016"/>
    <s v="S025"/>
    <d v="2023-04-19T00:00:00"/>
    <d v="2023-04-23T00:00:00"/>
    <d v="2023-05-16T00:00:00"/>
    <n v="23"/>
    <s v="Apr-2023"/>
    <x v="2"/>
    <n v="298.86"/>
    <x v="0"/>
    <n v="23"/>
  </r>
  <r>
    <s v="CLM01961"/>
    <s v="P0087"/>
    <s v="PR010"/>
    <s v="S025"/>
    <d v="2023-12-05T00:00:00"/>
    <d v="2023-12-06T00:00:00"/>
    <d v="2023-12-17T00:00:00"/>
    <n v="11"/>
    <s v="Dec-2023"/>
    <x v="1"/>
    <n v="298.76"/>
    <x v="1"/>
    <n v="11"/>
  </r>
  <r>
    <s v="CLM00782"/>
    <s v="P0269"/>
    <s v="PR013"/>
    <s v="S005"/>
    <d v="2024-09-04T00:00:00"/>
    <d v="2024-09-05T00:00:00"/>
    <d v="2024-10-04T00:00:00"/>
    <n v="29"/>
    <s v="Sep-2024"/>
    <x v="0"/>
    <n v="298.68"/>
    <x v="1"/>
    <n v="29"/>
  </r>
  <r>
    <s v="CLM01955"/>
    <s v="P0455"/>
    <s v="PR023"/>
    <s v="S025"/>
    <d v="2024-05-13T00:00:00"/>
    <d v="2024-05-14T00:00:00"/>
    <d v="2024-05-17T00:00:00"/>
    <n v="3"/>
    <s v="May-2024"/>
    <x v="3"/>
    <n v="298.45"/>
    <x v="0"/>
    <n v="3"/>
  </r>
  <r>
    <s v="CLM00794"/>
    <s v="P0252"/>
    <s v="PR015"/>
    <s v="S005"/>
    <d v="2024-01-30T00:00:00"/>
    <d v="2024-01-31T00:00:00"/>
    <d v="2024-02-21T00:00:00"/>
    <n v="21"/>
    <s v="Jan-2024"/>
    <x v="2"/>
    <n v="297.02"/>
    <x v="0"/>
    <n v="21"/>
  </r>
  <r>
    <s v="CLM00992"/>
    <s v="P0335"/>
    <s v="PR022"/>
    <s v="S005"/>
    <d v="2024-09-24T00:00:00"/>
    <d v="2024-09-26T00:00:00"/>
    <d v="2024-10-06T00:00:00"/>
    <n v="10"/>
    <s v="Sep-2024"/>
    <x v="2"/>
    <n v="296.77999999999997"/>
    <x v="0"/>
    <n v="10"/>
  </r>
  <r>
    <s v="CLM00603"/>
    <s v="P0255"/>
    <s v="PR020"/>
    <s v="S025"/>
    <d v="2023-03-25T00:00:00"/>
    <d v="2023-03-26T00:00:00"/>
    <d v="2023-04-13T00:00:00"/>
    <n v="18"/>
    <s v="Mar-2023"/>
    <x v="4"/>
    <n v="296.62"/>
    <x v="0"/>
    <n v="18"/>
  </r>
  <r>
    <s v="CLM00334"/>
    <s v="P0322"/>
    <s v="PR025"/>
    <s v="S025"/>
    <d v="2024-12-28T00:00:00"/>
    <d v="2025-01-01T00:00:00"/>
    <d v="2025-01-19T00:00:00"/>
    <n v="18"/>
    <s v="Dec-2024"/>
    <x v="4"/>
    <n v="296.52"/>
    <x v="0"/>
    <n v="18"/>
  </r>
  <r>
    <s v="CLM01519"/>
    <s v="P0185"/>
    <s v="PR028"/>
    <s v="S025"/>
    <d v="2023-09-27T00:00:00"/>
    <d v="2023-09-29T00:00:00"/>
    <d v="2023-10-22T00:00:00"/>
    <n v="23"/>
    <s v="Sep-2023"/>
    <x v="4"/>
    <n v="296.47000000000003"/>
    <x v="0"/>
    <n v="23"/>
  </r>
  <r>
    <s v="CLM01917"/>
    <s v="P0299"/>
    <s v="PR022"/>
    <s v="S005"/>
    <d v="2024-07-13T00:00:00"/>
    <d v="2024-07-18T00:00:00"/>
    <d v="2024-07-23T00:00:00"/>
    <n v="5"/>
    <s v="Jul-2024"/>
    <x v="0"/>
    <n v="295.68"/>
    <x v="1"/>
    <n v="5"/>
  </r>
  <r>
    <s v="CLM01895"/>
    <s v="P0418"/>
    <s v="PR026"/>
    <s v="S025"/>
    <d v="2023-04-28T00:00:00"/>
    <d v="2023-04-29T00:00:00"/>
    <d v="2023-05-19T00:00:00"/>
    <n v="20"/>
    <s v="Apr-2023"/>
    <x v="2"/>
    <n v="293.38"/>
    <x v="0"/>
    <n v="20"/>
  </r>
  <r>
    <s v="CLM00688"/>
    <s v="P0479"/>
    <s v="PR037"/>
    <s v="S025"/>
    <d v="2024-03-02T00:00:00"/>
    <d v="2024-03-05T00:00:00"/>
    <d v="2024-03-24T00:00:00"/>
    <n v="19"/>
    <s v="Mar-2024"/>
    <x v="0"/>
    <n v="293.22000000000003"/>
    <x v="0"/>
    <n v="19"/>
  </r>
  <r>
    <s v="CLM00117"/>
    <s v="P0378"/>
    <s v="PR025"/>
    <s v="S005"/>
    <d v="2023-07-07T00:00:00"/>
    <d v="2023-07-11T00:00:00"/>
    <d v="2023-07-30T00:00:00"/>
    <n v="19"/>
    <s v="Jul-2023"/>
    <x v="4"/>
    <n v="292.60000000000002"/>
    <x v="0"/>
    <n v="19"/>
  </r>
  <r>
    <s v="CLM01460"/>
    <s v="P0209"/>
    <s v="PR032"/>
    <s v="S025"/>
    <d v="2024-04-24T00:00:00"/>
    <d v="2024-04-25T00:00:00"/>
    <d v="2024-05-24T00:00:00"/>
    <n v="29"/>
    <s v="Apr-2024"/>
    <x v="4"/>
    <n v="292.49"/>
    <x v="0"/>
    <n v="29"/>
  </r>
  <r>
    <s v="CLM00980"/>
    <s v="P0278"/>
    <s v="PR019"/>
    <s v="S025"/>
    <d v="2023-06-03T00:00:00"/>
    <d v="2023-06-05T00:00:00"/>
    <m/>
    <s v=""/>
    <s v="Jun-2023"/>
    <x v="2"/>
    <n v="291.76"/>
    <x v="2"/>
    <m/>
  </r>
  <r>
    <s v="CLM00619"/>
    <s v="P0013"/>
    <s v="PR015"/>
    <s v="S025"/>
    <d v="2024-06-23T00:00:00"/>
    <d v="2024-06-24T00:00:00"/>
    <d v="2024-07-08T00:00:00"/>
    <n v="14"/>
    <s v="Jun-2024"/>
    <x v="4"/>
    <n v="291.64999999999998"/>
    <x v="0"/>
    <n v="14"/>
  </r>
  <r>
    <s v="CLM00767"/>
    <s v="P0486"/>
    <s v="PR014"/>
    <s v="S005"/>
    <d v="2024-04-27T00:00:00"/>
    <d v="2024-05-02T00:00:00"/>
    <d v="2024-05-07T00:00:00"/>
    <n v="5"/>
    <s v="Apr-2024"/>
    <x v="0"/>
    <n v="291.04000000000002"/>
    <x v="0"/>
    <n v="5"/>
  </r>
  <r>
    <s v="CLM00893"/>
    <s v="P0025"/>
    <s v="PR021"/>
    <s v="S025"/>
    <d v="2024-02-18T00:00:00"/>
    <d v="2024-02-23T00:00:00"/>
    <d v="2024-03-22T00:00:00"/>
    <n v="28"/>
    <s v="Feb-2024"/>
    <x v="2"/>
    <n v="290.85000000000002"/>
    <x v="0"/>
    <n v="28"/>
  </r>
  <r>
    <s v="CLM00053"/>
    <s v="P0400"/>
    <s v="PR003"/>
    <s v="S005"/>
    <d v="2023-11-10T00:00:00"/>
    <d v="2023-11-11T00:00:00"/>
    <d v="2023-12-10T00:00:00"/>
    <n v="29"/>
    <s v="Nov-2023"/>
    <x v="0"/>
    <n v="290.11"/>
    <x v="0"/>
    <n v="29"/>
  </r>
  <r>
    <s v="CLM00204"/>
    <s v="P0405"/>
    <s v="PR038"/>
    <s v="S025"/>
    <d v="2023-01-22T00:00:00"/>
    <d v="2023-01-24T00:00:00"/>
    <d v="2023-02-18T00:00:00"/>
    <n v="25"/>
    <s v="Jan-2023"/>
    <x v="4"/>
    <n v="289.08999999999997"/>
    <x v="0"/>
    <n v="25"/>
  </r>
  <r>
    <s v="CLM01454"/>
    <s v="P0327"/>
    <s v="PR008"/>
    <s v="S025"/>
    <d v="2023-02-01T00:00:00"/>
    <d v="2023-02-02T00:00:00"/>
    <d v="2023-02-15T00:00:00"/>
    <n v="13"/>
    <s v="Feb-2023"/>
    <x v="4"/>
    <n v="288.64"/>
    <x v="0"/>
    <n v="13"/>
  </r>
  <r>
    <s v="CLM01260"/>
    <s v="P0332"/>
    <s v="PR004"/>
    <s v="S005"/>
    <d v="2023-11-07T00:00:00"/>
    <d v="2023-11-11T00:00:00"/>
    <d v="2023-11-26T00:00:00"/>
    <n v="15"/>
    <s v="Nov-2023"/>
    <x v="4"/>
    <n v="287.97000000000003"/>
    <x v="0"/>
    <n v="15"/>
  </r>
  <r>
    <s v="CLM01163"/>
    <s v="P0096"/>
    <s v="PR020"/>
    <s v="S005"/>
    <d v="2024-08-30T00:00:00"/>
    <d v="2024-09-02T00:00:00"/>
    <d v="2024-09-14T00:00:00"/>
    <n v="12"/>
    <s v="Aug-2024"/>
    <x v="0"/>
    <n v="287.93"/>
    <x v="0"/>
    <n v="12"/>
  </r>
  <r>
    <s v="CLM00431"/>
    <s v="P0056"/>
    <s v="PR029"/>
    <s v="S005"/>
    <d v="2024-02-02T00:00:00"/>
    <d v="2024-02-07T00:00:00"/>
    <d v="2024-03-06T00:00:00"/>
    <n v="28"/>
    <s v="Feb-2024"/>
    <x v="1"/>
    <n v="287.3"/>
    <x v="0"/>
    <n v="28"/>
  </r>
  <r>
    <s v="CLM01026"/>
    <s v="P0163"/>
    <s v="PR026"/>
    <s v="S005"/>
    <d v="2024-12-13T00:00:00"/>
    <d v="2024-12-16T00:00:00"/>
    <d v="2024-12-29T00:00:00"/>
    <n v="13"/>
    <s v="Dec-2024"/>
    <x v="2"/>
    <n v="286.02999999999997"/>
    <x v="0"/>
    <n v="13"/>
  </r>
  <r>
    <s v="CLM00438"/>
    <s v="P0093"/>
    <s v="PR038"/>
    <s v="S025"/>
    <d v="2023-11-16T00:00:00"/>
    <d v="2023-11-17T00:00:00"/>
    <d v="2023-12-17T00:00:00"/>
    <n v="30"/>
    <s v="Nov-2023"/>
    <x v="2"/>
    <n v="285.48"/>
    <x v="0"/>
    <n v="30"/>
  </r>
  <r>
    <s v="CLM00069"/>
    <s v="P0445"/>
    <s v="PR015"/>
    <s v="S025"/>
    <d v="2023-04-28T00:00:00"/>
    <d v="2023-05-03T00:00:00"/>
    <m/>
    <s v=""/>
    <s v="Apr-2023"/>
    <x v="0"/>
    <n v="284.75"/>
    <x v="2"/>
    <m/>
  </r>
  <r>
    <s v="CLM00693"/>
    <s v="P0414"/>
    <s v="PR004"/>
    <s v="S005"/>
    <d v="2024-07-29T00:00:00"/>
    <d v="2024-08-01T00:00:00"/>
    <d v="2024-08-18T00:00:00"/>
    <n v="17"/>
    <s v="Jul-2024"/>
    <x v="1"/>
    <n v="283.69"/>
    <x v="1"/>
    <n v="17"/>
  </r>
  <r>
    <s v="CLM01642"/>
    <s v="P0043"/>
    <s v="PR023"/>
    <s v="S025"/>
    <d v="2023-05-28T00:00:00"/>
    <d v="2023-06-02T00:00:00"/>
    <d v="2023-06-25T00:00:00"/>
    <n v="23"/>
    <s v="May-2023"/>
    <x v="3"/>
    <n v="283.06"/>
    <x v="0"/>
    <n v="23"/>
  </r>
  <r>
    <s v="CLM01535"/>
    <s v="P0346"/>
    <s v="PR011"/>
    <s v="S005"/>
    <d v="2024-12-16T00:00:00"/>
    <d v="2024-12-20T00:00:00"/>
    <d v="2025-01-03T00:00:00"/>
    <n v="14"/>
    <s v="Dec-2024"/>
    <x v="3"/>
    <n v="282.98"/>
    <x v="0"/>
    <n v="14"/>
  </r>
  <r>
    <s v="CLM00161"/>
    <s v="P0366"/>
    <s v="PR040"/>
    <s v="S005"/>
    <d v="2024-05-06T00:00:00"/>
    <d v="2024-05-11T00:00:00"/>
    <d v="2024-06-04T00:00:00"/>
    <n v="24"/>
    <s v="May-2024"/>
    <x v="4"/>
    <n v="282.7"/>
    <x v="0"/>
    <n v="24"/>
  </r>
  <r>
    <s v="CLM01273"/>
    <s v="P0144"/>
    <s v="PR005"/>
    <s v="S025"/>
    <d v="2024-06-03T00:00:00"/>
    <d v="2024-06-05T00:00:00"/>
    <d v="2024-06-09T00:00:00"/>
    <n v="4"/>
    <s v="Jun-2024"/>
    <x v="1"/>
    <n v="279.61"/>
    <x v="0"/>
    <n v="4"/>
  </r>
  <r>
    <s v="CLM01263"/>
    <s v="P0466"/>
    <s v="PR005"/>
    <s v="S025"/>
    <d v="2023-09-17T00:00:00"/>
    <d v="2023-09-20T00:00:00"/>
    <d v="2023-09-29T00:00:00"/>
    <n v="9"/>
    <s v="Sep-2023"/>
    <x v="3"/>
    <n v="278.95"/>
    <x v="0"/>
    <n v="9"/>
  </r>
  <r>
    <s v="CLM00710"/>
    <s v="P0481"/>
    <s v="PR017"/>
    <s v="S005"/>
    <d v="2024-07-10T00:00:00"/>
    <d v="2024-07-14T00:00:00"/>
    <d v="2024-07-19T00:00:00"/>
    <n v="5"/>
    <s v="Jul-2024"/>
    <x v="0"/>
    <n v="278.36"/>
    <x v="0"/>
    <n v="5"/>
  </r>
  <r>
    <s v="CLM00078"/>
    <s v="P0040"/>
    <s v="PR016"/>
    <s v="S005"/>
    <d v="2024-07-12T00:00:00"/>
    <d v="2024-07-17T00:00:00"/>
    <d v="2024-07-28T00:00:00"/>
    <n v="11"/>
    <s v="Jul-2024"/>
    <x v="2"/>
    <n v="278.19"/>
    <x v="0"/>
    <n v="11"/>
  </r>
  <r>
    <s v="CLM00439"/>
    <s v="P0350"/>
    <s v="PR014"/>
    <s v="S005"/>
    <d v="2024-11-03T00:00:00"/>
    <d v="2024-11-07T00:00:00"/>
    <d v="2024-11-16T00:00:00"/>
    <n v="9"/>
    <s v="Nov-2024"/>
    <x v="4"/>
    <n v="277.69"/>
    <x v="0"/>
    <n v="9"/>
  </r>
  <r>
    <s v="CLM00111"/>
    <s v="P0129"/>
    <s v="PR016"/>
    <s v="S025"/>
    <d v="2024-10-02T00:00:00"/>
    <d v="2024-10-04T00:00:00"/>
    <d v="2024-10-08T00:00:00"/>
    <n v="4"/>
    <s v="Oct-2024"/>
    <x v="4"/>
    <n v="277.14"/>
    <x v="0"/>
    <n v="4"/>
  </r>
  <r>
    <s v="CLM00101"/>
    <s v="P0369"/>
    <s v="PR032"/>
    <s v="S025"/>
    <d v="2023-02-18T00:00:00"/>
    <d v="2023-02-20T00:00:00"/>
    <d v="2023-03-19T00:00:00"/>
    <n v="27"/>
    <s v="Feb-2023"/>
    <x v="1"/>
    <n v="276.97000000000003"/>
    <x v="0"/>
    <n v="27"/>
  </r>
  <r>
    <s v="CLM00994"/>
    <s v="P0022"/>
    <s v="PR002"/>
    <s v="S025"/>
    <d v="2024-09-10T00:00:00"/>
    <d v="2024-09-11T00:00:00"/>
    <d v="2024-09-22T00:00:00"/>
    <n v="11"/>
    <s v="Sep-2024"/>
    <x v="4"/>
    <n v="276.14999999999998"/>
    <x v="0"/>
    <n v="11"/>
  </r>
  <r>
    <s v="CLM00598"/>
    <s v="P0076"/>
    <s v="PR037"/>
    <s v="S005"/>
    <d v="2024-02-24T00:00:00"/>
    <d v="2024-02-27T00:00:00"/>
    <d v="2024-03-13T00:00:00"/>
    <n v="15"/>
    <s v="Feb-2024"/>
    <x v="3"/>
    <n v="275.93"/>
    <x v="1"/>
    <n v="15"/>
  </r>
  <r>
    <s v="CLM00953"/>
    <s v="P0090"/>
    <s v="PR023"/>
    <s v="S025"/>
    <d v="2024-07-17T00:00:00"/>
    <d v="2024-07-22T00:00:00"/>
    <d v="2024-08-04T00:00:00"/>
    <n v="13"/>
    <s v="Jul-2024"/>
    <x v="2"/>
    <n v="275.49"/>
    <x v="0"/>
    <n v="13"/>
  </r>
  <r>
    <s v="CLM00875"/>
    <s v="P0149"/>
    <s v="PR034"/>
    <s v="S005"/>
    <d v="2023-01-01T00:00:00"/>
    <d v="2023-01-04T00:00:00"/>
    <d v="2023-01-20T00:00:00"/>
    <n v="16"/>
    <s v="Jan-2023"/>
    <x v="3"/>
    <n v="275.45999999999998"/>
    <x v="1"/>
    <n v="16"/>
  </r>
  <r>
    <s v="CLM00700"/>
    <s v="P0001"/>
    <s v="PR021"/>
    <s v="S025"/>
    <d v="2024-04-30T00:00:00"/>
    <d v="2024-05-03T00:00:00"/>
    <d v="2024-05-17T00:00:00"/>
    <n v="14"/>
    <s v="Apr-2024"/>
    <x v="4"/>
    <n v="275.18"/>
    <x v="0"/>
    <n v="14"/>
  </r>
  <r>
    <s v="CLM00032"/>
    <s v="P0295"/>
    <s v="PR023"/>
    <s v="S025"/>
    <d v="2024-06-09T00:00:00"/>
    <d v="2024-06-14T00:00:00"/>
    <d v="2024-07-07T00:00:00"/>
    <n v="23"/>
    <s v="Jun-2024"/>
    <x v="3"/>
    <n v="274.94"/>
    <x v="1"/>
    <n v="23"/>
  </r>
  <r>
    <s v="CLM00091"/>
    <s v="P0218"/>
    <s v="PR018"/>
    <s v="S025"/>
    <d v="2024-09-16T00:00:00"/>
    <d v="2024-09-18T00:00:00"/>
    <m/>
    <s v=""/>
    <s v="Sep-2024"/>
    <x v="1"/>
    <n v="274.26"/>
    <x v="2"/>
    <m/>
  </r>
  <r>
    <s v="CLM00356"/>
    <s v="P0340"/>
    <s v="PR025"/>
    <s v="S005"/>
    <d v="2024-09-11T00:00:00"/>
    <d v="2024-09-13T00:00:00"/>
    <d v="2024-09-19T00:00:00"/>
    <n v="6"/>
    <s v="Sep-2024"/>
    <x v="0"/>
    <n v="273.95999999999998"/>
    <x v="1"/>
    <n v="6"/>
  </r>
  <r>
    <s v="CLM01419"/>
    <s v="P0478"/>
    <s v="PR017"/>
    <s v="S005"/>
    <d v="2024-09-06T00:00:00"/>
    <d v="2024-09-07T00:00:00"/>
    <d v="2024-10-06T00:00:00"/>
    <n v="29"/>
    <s v="Sep-2024"/>
    <x v="2"/>
    <n v="273.64999999999998"/>
    <x v="0"/>
    <n v="29"/>
  </r>
  <r>
    <s v="CLM00096"/>
    <s v="P0346"/>
    <s v="PR028"/>
    <s v="S005"/>
    <d v="2024-03-01T00:00:00"/>
    <d v="2024-03-02T00:00:00"/>
    <d v="2024-03-20T00:00:00"/>
    <n v="18"/>
    <s v="Mar-2024"/>
    <x v="3"/>
    <n v="273.27999999999997"/>
    <x v="0"/>
    <n v="18"/>
  </r>
  <r>
    <s v="CLM01050"/>
    <s v="P0014"/>
    <s v="PR005"/>
    <s v="S025"/>
    <d v="2023-11-25T00:00:00"/>
    <d v="2023-11-28T00:00:00"/>
    <d v="2023-12-04T00:00:00"/>
    <n v="6"/>
    <s v="Nov-2023"/>
    <x v="0"/>
    <n v="272.31"/>
    <x v="1"/>
    <n v="6"/>
  </r>
  <r>
    <s v="CLM01631"/>
    <s v="P0098"/>
    <s v="PR014"/>
    <s v="S025"/>
    <d v="2023-06-15T00:00:00"/>
    <d v="2023-06-20T00:00:00"/>
    <d v="2023-07-02T00:00:00"/>
    <n v="12"/>
    <s v="Jun-2023"/>
    <x v="1"/>
    <n v="272"/>
    <x v="0"/>
    <n v="12"/>
  </r>
  <r>
    <s v="CLM01681"/>
    <s v="P0495"/>
    <s v="PR001"/>
    <s v="S025"/>
    <d v="2023-01-07T00:00:00"/>
    <d v="2023-01-12T00:00:00"/>
    <d v="2023-01-29T00:00:00"/>
    <n v="17"/>
    <s v="Jan-2023"/>
    <x v="2"/>
    <n v="271.02"/>
    <x v="0"/>
    <n v="17"/>
  </r>
  <r>
    <s v="CLM01293"/>
    <s v="P0079"/>
    <s v="PR022"/>
    <s v="S025"/>
    <d v="2024-07-01T00:00:00"/>
    <d v="2024-07-02T00:00:00"/>
    <d v="2024-07-18T00:00:00"/>
    <n v="16"/>
    <s v="Jul-2024"/>
    <x v="1"/>
    <n v="270.04000000000002"/>
    <x v="0"/>
    <n v="16"/>
  </r>
  <r>
    <s v="CLM01407"/>
    <s v="P0477"/>
    <s v="PR037"/>
    <s v="S001"/>
    <d v="2024-08-03T00:00:00"/>
    <d v="2024-08-06T00:00:00"/>
    <d v="2024-08-22T00:00:00"/>
    <n v="16"/>
    <s v="Aug-2024"/>
    <x v="1"/>
    <n v="249.72"/>
    <x v="0"/>
    <n v="16"/>
  </r>
  <r>
    <s v="CLM00194"/>
    <s v="P0351"/>
    <s v="PR023"/>
    <s v="S001"/>
    <d v="2024-08-20T00:00:00"/>
    <d v="2024-08-23T00:00:00"/>
    <d v="2024-09-14T00:00:00"/>
    <n v="22"/>
    <s v="Aug-2024"/>
    <x v="2"/>
    <n v="247.95"/>
    <x v="0"/>
    <n v="22"/>
  </r>
  <r>
    <s v="CLM00502"/>
    <s v="P0089"/>
    <s v="PR023"/>
    <s v="S001"/>
    <d v="2023-05-12T00:00:00"/>
    <d v="2023-05-13T00:00:00"/>
    <d v="2023-05-29T00:00:00"/>
    <n v="16"/>
    <s v="May-2023"/>
    <x v="1"/>
    <n v="246.79"/>
    <x v="0"/>
    <n v="16"/>
  </r>
  <r>
    <s v="CLM01905"/>
    <s v="P0178"/>
    <s v="PR016"/>
    <s v="S001"/>
    <d v="2024-04-25T00:00:00"/>
    <d v="2024-04-29T00:00:00"/>
    <d v="2024-05-13T00:00:00"/>
    <n v="14"/>
    <s v="Apr-2024"/>
    <x v="3"/>
    <n v="245.64"/>
    <x v="1"/>
    <n v="14"/>
  </r>
  <r>
    <s v="CLM01269"/>
    <s v="P0018"/>
    <s v="PR009"/>
    <s v="S001"/>
    <d v="2024-09-10T00:00:00"/>
    <d v="2024-09-14T00:00:00"/>
    <d v="2024-10-14T00:00:00"/>
    <n v="30"/>
    <s v="Sep-2024"/>
    <x v="2"/>
    <n v="244.95"/>
    <x v="0"/>
    <n v="30"/>
  </r>
  <r>
    <s v="CLM00605"/>
    <s v="P0190"/>
    <s v="PR006"/>
    <s v="S001"/>
    <d v="2023-11-28T00:00:00"/>
    <d v="2023-11-30T00:00:00"/>
    <d v="2023-12-17T00:00:00"/>
    <n v="17"/>
    <s v="Nov-2023"/>
    <x v="0"/>
    <n v="243.42"/>
    <x v="0"/>
    <n v="17"/>
  </r>
  <r>
    <s v="CLM00062"/>
    <s v="P0485"/>
    <s v="PR016"/>
    <s v="S001"/>
    <d v="2023-07-02T00:00:00"/>
    <d v="2023-07-05T00:00:00"/>
    <d v="2023-07-26T00:00:00"/>
    <n v="21"/>
    <s v="Jul-2023"/>
    <x v="4"/>
    <n v="241.25"/>
    <x v="0"/>
    <n v="21"/>
  </r>
  <r>
    <s v="CLM00241"/>
    <s v="P0450"/>
    <s v="PR006"/>
    <s v="S001"/>
    <d v="2023-01-26T00:00:00"/>
    <d v="2023-01-27T00:00:00"/>
    <d v="2023-02-02T00:00:00"/>
    <n v="6"/>
    <s v="Jan-2023"/>
    <x v="1"/>
    <n v="240.99"/>
    <x v="1"/>
    <n v="6"/>
  </r>
  <r>
    <s v="CLM00093"/>
    <s v="P0178"/>
    <s v="PR014"/>
    <s v="S001"/>
    <d v="2024-09-21T00:00:00"/>
    <d v="2024-09-22T00:00:00"/>
    <d v="2024-10-09T00:00:00"/>
    <n v="17"/>
    <s v="Sep-2024"/>
    <x v="3"/>
    <n v="238.31"/>
    <x v="0"/>
    <n v="17"/>
  </r>
  <r>
    <s v="CLM00717"/>
    <s v="P0190"/>
    <s v="PR020"/>
    <s v="S001"/>
    <d v="2024-07-16T00:00:00"/>
    <d v="2024-07-17T00:00:00"/>
    <d v="2024-07-20T00:00:00"/>
    <n v="3"/>
    <s v="Jul-2024"/>
    <x v="0"/>
    <n v="237.53"/>
    <x v="1"/>
    <n v="3"/>
  </r>
  <r>
    <s v="CLM01333"/>
    <s v="P0124"/>
    <s v="PR028"/>
    <s v="S001"/>
    <d v="2023-10-01T00:00:00"/>
    <d v="2023-10-06T00:00:00"/>
    <d v="2023-10-21T00:00:00"/>
    <n v="15"/>
    <s v="Oct-2023"/>
    <x v="1"/>
    <n v="236.21"/>
    <x v="1"/>
    <n v="15"/>
  </r>
  <r>
    <s v="CLM01964"/>
    <s v="P0390"/>
    <s v="PR002"/>
    <s v="S001"/>
    <d v="2023-05-19T00:00:00"/>
    <d v="2023-05-22T00:00:00"/>
    <d v="2023-06-10T00:00:00"/>
    <n v="19"/>
    <s v="May-2023"/>
    <x v="2"/>
    <n v="235.86"/>
    <x v="1"/>
    <n v="19"/>
  </r>
  <r>
    <s v="CLM00998"/>
    <s v="P0208"/>
    <s v="PR026"/>
    <s v="S001"/>
    <d v="2024-03-03T00:00:00"/>
    <d v="2024-03-06T00:00:00"/>
    <d v="2024-04-03T00:00:00"/>
    <n v="28"/>
    <s v="Mar-2024"/>
    <x v="2"/>
    <n v="233.25"/>
    <x v="0"/>
    <n v="28"/>
  </r>
  <r>
    <s v="CLM00542"/>
    <s v="P0196"/>
    <s v="PR035"/>
    <s v="S001"/>
    <d v="2023-05-16T00:00:00"/>
    <d v="2023-05-20T00:00:00"/>
    <d v="2023-06-08T00:00:00"/>
    <n v="19"/>
    <s v="May-2023"/>
    <x v="1"/>
    <n v="232.39"/>
    <x v="0"/>
    <n v="19"/>
  </r>
  <r>
    <s v="CLM01764"/>
    <s v="P0462"/>
    <s v="PR014"/>
    <s v="S001"/>
    <d v="2024-10-10T00:00:00"/>
    <d v="2024-10-12T00:00:00"/>
    <m/>
    <s v=""/>
    <s v="Oct-2024"/>
    <x v="0"/>
    <n v="230.43"/>
    <x v="2"/>
    <m/>
  </r>
  <r>
    <s v="CLM00593"/>
    <s v="P0099"/>
    <s v="PR032"/>
    <s v="S001"/>
    <d v="2024-11-17T00:00:00"/>
    <d v="2024-11-21T00:00:00"/>
    <d v="2024-12-12T00:00:00"/>
    <n v="21"/>
    <s v="Nov-2024"/>
    <x v="1"/>
    <n v="230.36"/>
    <x v="0"/>
    <n v="21"/>
  </r>
  <r>
    <s v="CLM01674"/>
    <s v="P0129"/>
    <s v="PR030"/>
    <s v="S001"/>
    <d v="2024-09-01T00:00:00"/>
    <d v="2024-09-02T00:00:00"/>
    <d v="2024-09-09T00:00:00"/>
    <n v="7"/>
    <s v="Sep-2024"/>
    <x v="4"/>
    <n v="228.87"/>
    <x v="0"/>
    <n v="7"/>
  </r>
  <r>
    <s v="CLM01239"/>
    <s v="P0425"/>
    <s v="PR017"/>
    <s v="S001"/>
    <d v="2023-11-29T00:00:00"/>
    <d v="2023-12-02T00:00:00"/>
    <m/>
    <s v=""/>
    <s v="Nov-2023"/>
    <x v="2"/>
    <n v="228.64"/>
    <x v="2"/>
    <m/>
  </r>
  <r>
    <s v="CLM01640"/>
    <s v="P0206"/>
    <s v="PR028"/>
    <s v="S001"/>
    <d v="2023-01-20T00:00:00"/>
    <d v="2023-01-22T00:00:00"/>
    <m/>
    <s v=""/>
    <s v="Jan-2023"/>
    <x v="1"/>
    <n v="228.29"/>
    <x v="2"/>
    <m/>
  </r>
  <r>
    <s v="CLM00432"/>
    <s v="P0407"/>
    <s v="PR034"/>
    <s v="S001"/>
    <d v="2023-04-30T00:00:00"/>
    <d v="2023-05-02T00:00:00"/>
    <m/>
    <s v=""/>
    <s v="Apr-2023"/>
    <x v="0"/>
    <n v="228.24"/>
    <x v="2"/>
    <m/>
  </r>
  <r>
    <s v="CLM01300"/>
    <s v="P0063"/>
    <s v="PR001"/>
    <s v="S001"/>
    <d v="2023-06-19T00:00:00"/>
    <d v="2023-06-23T00:00:00"/>
    <d v="2023-06-29T00:00:00"/>
    <n v="6"/>
    <s v="Jun-2023"/>
    <x v="2"/>
    <n v="228.16"/>
    <x v="0"/>
    <n v="6"/>
  </r>
  <r>
    <s v="CLM00171"/>
    <s v="P0258"/>
    <s v="PR013"/>
    <s v="S001"/>
    <d v="2024-12-30T00:00:00"/>
    <d v="2025-01-03T00:00:00"/>
    <d v="2025-01-31T00:00:00"/>
    <n v="28"/>
    <s v="Dec-2024"/>
    <x v="0"/>
    <n v="228.12"/>
    <x v="0"/>
    <n v="28"/>
  </r>
  <r>
    <s v="CLM00954"/>
    <s v="P0205"/>
    <s v="PR011"/>
    <s v="S001"/>
    <d v="2024-10-21T00:00:00"/>
    <d v="2024-10-26T00:00:00"/>
    <d v="2024-11-22T00:00:00"/>
    <n v="27"/>
    <s v="Oct-2024"/>
    <x v="1"/>
    <n v="227.99"/>
    <x v="0"/>
    <n v="27"/>
  </r>
  <r>
    <s v="CLM00871"/>
    <s v="P0066"/>
    <s v="PR002"/>
    <s v="S001"/>
    <d v="2023-03-06T00:00:00"/>
    <d v="2023-03-11T00:00:00"/>
    <d v="2023-04-08T00:00:00"/>
    <n v="28"/>
    <s v="Mar-2023"/>
    <x v="2"/>
    <n v="227.81"/>
    <x v="0"/>
    <n v="28"/>
  </r>
  <r>
    <s v="CLM00033"/>
    <s v="P0480"/>
    <s v="PR005"/>
    <s v="S001"/>
    <d v="2024-05-29T00:00:00"/>
    <d v="2024-05-30T00:00:00"/>
    <d v="2024-06-02T00:00:00"/>
    <n v="3"/>
    <s v="May-2024"/>
    <x v="0"/>
    <n v="226.8"/>
    <x v="0"/>
    <n v="3"/>
  </r>
  <r>
    <s v="CLM01720"/>
    <s v="P0167"/>
    <s v="PR007"/>
    <s v="S001"/>
    <d v="2023-04-21T00:00:00"/>
    <d v="2023-04-25T00:00:00"/>
    <m/>
    <s v=""/>
    <s v="Apr-2023"/>
    <x v="4"/>
    <n v="226.73"/>
    <x v="2"/>
    <m/>
  </r>
  <r>
    <s v="CLM01330"/>
    <s v="P0071"/>
    <s v="PR039"/>
    <s v="S001"/>
    <d v="2024-08-25T00:00:00"/>
    <d v="2024-08-28T00:00:00"/>
    <d v="2024-09-03T00:00:00"/>
    <n v="6"/>
    <s v="Aug-2024"/>
    <x v="4"/>
    <n v="226.14"/>
    <x v="0"/>
    <n v="6"/>
  </r>
  <r>
    <s v="CLM01349"/>
    <s v="P0027"/>
    <s v="PR012"/>
    <s v="S001"/>
    <d v="2023-04-15T00:00:00"/>
    <d v="2023-04-17T00:00:00"/>
    <d v="2023-04-29T00:00:00"/>
    <n v="12"/>
    <s v="Apr-2023"/>
    <x v="1"/>
    <n v="225.93"/>
    <x v="0"/>
    <n v="12"/>
  </r>
  <r>
    <s v="CLM01768"/>
    <s v="P0411"/>
    <s v="PR020"/>
    <s v="S001"/>
    <d v="2024-07-23T00:00:00"/>
    <d v="2024-07-24T00:00:00"/>
    <d v="2024-08-17T00:00:00"/>
    <n v="24"/>
    <s v="Jul-2024"/>
    <x v="1"/>
    <n v="225.41"/>
    <x v="0"/>
    <n v="24"/>
  </r>
  <r>
    <s v="CLM00961"/>
    <s v="P0438"/>
    <s v="PR025"/>
    <s v="S001"/>
    <d v="2023-01-22T00:00:00"/>
    <d v="2023-01-27T00:00:00"/>
    <d v="2023-02-01T00:00:00"/>
    <n v="5"/>
    <s v="Jan-2023"/>
    <x v="1"/>
    <n v="224.67"/>
    <x v="0"/>
    <n v="5"/>
  </r>
  <r>
    <s v="CLM01025"/>
    <s v="P0245"/>
    <s v="PR011"/>
    <s v="S001"/>
    <d v="2024-08-28T00:00:00"/>
    <d v="2024-08-31T00:00:00"/>
    <m/>
    <s v=""/>
    <s v="Aug-2024"/>
    <x v="1"/>
    <n v="224.04"/>
    <x v="2"/>
    <m/>
  </r>
  <r>
    <s v="CLM01522"/>
    <s v="P0363"/>
    <s v="PR032"/>
    <s v="S008"/>
    <d v="2024-12-28T00:00:00"/>
    <d v="2025-01-01T00:00:00"/>
    <d v="2025-01-06T00:00:00"/>
    <n v="5"/>
    <s v="Dec-2024"/>
    <x v="0"/>
    <n v="223.87"/>
    <x v="0"/>
    <n v="5"/>
  </r>
  <r>
    <s v="CLM01083"/>
    <s v="P0355"/>
    <s v="PR012"/>
    <s v="S001"/>
    <d v="2024-07-11T00:00:00"/>
    <d v="2024-07-16T00:00:00"/>
    <d v="2024-08-14T00:00:00"/>
    <n v="29"/>
    <s v="Jul-2024"/>
    <x v="3"/>
    <n v="223.24"/>
    <x v="1"/>
    <n v="29"/>
  </r>
  <r>
    <s v="CLM00632"/>
    <s v="P0385"/>
    <s v="PR035"/>
    <s v="S001"/>
    <d v="2023-09-25T00:00:00"/>
    <d v="2023-09-30T00:00:00"/>
    <d v="2023-10-08T00:00:00"/>
    <n v="8"/>
    <s v="Sep-2023"/>
    <x v="4"/>
    <n v="223.02"/>
    <x v="0"/>
    <n v="8"/>
  </r>
  <r>
    <s v="CLM00023"/>
    <s v="P0420"/>
    <s v="PR014"/>
    <s v="S001"/>
    <d v="2023-02-07T00:00:00"/>
    <d v="2023-02-10T00:00:00"/>
    <d v="2023-03-03T00:00:00"/>
    <n v="21"/>
    <s v="Feb-2023"/>
    <x v="4"/>
    <n v="222.92"/>
    <x v="0"/>
    <n v="21"/>
  </r>
  <r>
    <s v="CLM00274"/>
    <s v="P0395"/>
    <s v="PR031"/>
    <s v="S008"/>
    <d v="2024-04-12T00:00:00"/>
    <d v="2024-04-13T00:00:00"/>
    <d v="2024-04-18T00:00:00"/>
    <n v="5"/>
    <s v="Apr-2024"/>
    <x v="4"/>
    <n v="222.57"/>
    <x v="0"/>
    <n v="5"/>
  </r>
  <r>
    <s v="CLM00243"/>
    <s v="P0061"/>
    <s v="PR006"/>
    <s v="S001"/>
    <d v="2023-03-07T00:00:00"/>
    <d v="2023-03-08T00:00:00"/>
    <d v="2023-03-16T00:00:00"/>
    <n v="8"/>
    <s v="Mar-2023"/>
    <x v="1"/>
    <n v="222.54"/>
    <x v="0"/>
    <n v="8"/>
  </r>
  <r>
    <s v="CLM01177"/>
    <s v="P0401"/>
    <s v="PR038"/>
    <s v="S001"/>
    <d v="2023-01-26T00:00:00"/>
    <d v="2023-01-28T00:00:00"/>
    <d v="2023-02-14T00:00:00"/>
    <n v="17"/>
    <s v="Jan-2023"/>
    <x v="3"/>
    <n v="222.42"/>
    <x v="1"/>
    <n v="17"/>
  </r>
  <r>
    <s v="CLM00532"/>
    <s v="P0211"/>
    <s v="PR020"/>
    <s v="S001"/>
    <d v="2024-02-28T00:00:00"/>
    <d v="2024-03-03T00:00:00"/>
    <d v="2024-03-22T00:00:00"/>
    <n v="19"/>
    <s v="Feb-2024"/>
    <x v="4"/>
    <n v="221.96"/>
    <x v="0"/>
    <n v="19"/>
  </r>
  <r>
    <s v="CLM00737"/>
    <s v="P0056"/>
    <s v="PR019"/>
    <s v="S008"/>
    <d v="2024-09-29T00:00:00"/>
    <d v="2024-10-01T00:00:00"/>
    <d v="2024-10-15T00:00:00"/>
    <n v="14"/>
    <s v="Sep-2024"/>
    <x v="1"/>
    <n v="221.86"/>
    <x v="0"/>
    <n v="14"/>
  </r>
  <r>
    <s v="CLM00571"/>
    <s v="P0120"/>
    <s v="PR001"/>
    <s v="S008"/>
    <d v="2024-09-11T00:00:00"/>
    <d v="2024-09-12T00:00:00"/>
    <d v="2024-09-21T00:00:00"/>
    <n v="9"/>
    <s v="Sep-2024"/>
    <x v="2"/>
    <n v="221.52"/>
    <x v="0"/>
    <n v="9"/>
  </r>
  <r>
    <s v="CLM00119"/>
    <s v="P0269"/>
    <s v="PR018"/>
    <s v="S008"/>
    <d v="2024-06-26T00:00:00"/>
    <d v="2024-06-29T00:00:00"/>
    <d v="2024-07-19T00:00:00"/>
    <n v="20"/>
    <s v="Jun-2024"/>
    <x v="0"/>
    <n v="221.36"/>
    <x v="0"/>
    <n v="20"/>
  </r>
  <r>
    <s v="CLM01015"/>
    <s v="P0014"/>
    <s v="PR040"/>
    <s v="S001"/>
    <d v="2023-06-24T00:00:00"/>
    <d v="2023-06-28T00:00:00"/>
    <d v="2023-07-20T00:00:00"/>
    <n v="22"/>
    <s v="Jun-2023"/>
    <x v="0"/>
    <n v="221.25"/>
    <x v="0"/>
    <n v="22"/>
  </r>
  <r>
    <s v="CLM00659"/>
    <s v="P0002"/>
    <s v="PR033"/>
    <s v="S008"/>
    <d v="2024-03-26T00:00:00"/>
    <d v="2024-03-31T00:00:00"/>
    <d v="2024-04-15T00:00:00"/>
    <n v="15"/>
    <s v="Mar-2024"/>
    <x v="2"/>
    <n v="221.23"/>
    <x v="0"/>
    <n v="15"/>
  </r>
  <r>
    <s v="CLM01796"/>
    <s v="P0409"/>
    <s v="PR015"/>
    <s v="S001"/>
    <d v="2023-05-01T00:00:00"/>
    <d v="2023-05-04T00:00:00"/>
    <d v="2023-05-22T00:00:00"/>
    <n v="18"/>
    <s v="May-2023"/>
    <x v="3"/>
    <n v="220.57"/>
    <x v="0"/>
    <n v="18"/>
  </r>
  <r>
    <s v="CLM01794"/>
    <s v="P0317"/>
    <s v="PR014"/>
    <s v="S001"/>
    <d v="2023-05-09T00:00:00"/>
    <d v="2023-05-13T00:00:00"/>
    <d v="2023-06-02T00:00:00"/>
    <n v="20"/>
    <s v="May-2023"/>
    <x v="0"/>
    <n v="220.48"/>
    <x v="1"/>
    <n v="20"/>
  </r>
  <r>
    <s v="CLM00189"/>
    <s v="P0458"/>
    <s v="PR031"/>
    <s v="S001"/>
    <d v="2023-12-20T00:00:00"/>
    <d v="2023-12-22T00:00:00"/>
    <d v="2024-01-05T00:00:00"/>
    <n v="14"/>
    <s v="Dec-2023"/>
    <x v="3"/>
    <n v="220.07"/>
    <x v="0"/>
    <n v="14"/>
  </r>
  <r>
    <s v="CLM01248"/>
    <s v="P0459"/>
    <s v="PR002"/>
    <s v="S008"/>
    <d v="2023-09-09T00:00:00"/>
    <d v="2023-09-10T00:00:00"/>
    <d v="2023-09-30T00:00:00"/>
    <n v="20"/>
    <s v="Sep-2023"/>
    <x v="1"/>
    <n v="218.79"/>
    <x v="0"/>
    <n v="20"/>
  </r>
  <r>
    <s v="CLM01010"/>
    <s v="P0078"/>
    <s v="PR011"/>
    <s v="S008"/>
    <d v="2024-11-28T00:00:00"/>
    <d v="2024-12-01T00:00:00"/>
    <d v="2024-12-16T00:00:00"/>
    <n v="15"/>
    <s v="Nov-2024"/>
    <x v="4"/>
    <n v="218.56"/>
    <x v="0"/>
    <n v="15"/>
  </r>
  <r>
    <s v="CLM01707"/>
    <s v="P0435"/>
    <s v="PR034"/>
    <s v="S001"/>
    <d v="2024-01-14T00:00:00"/>
    <d v="2024-01-18T00:00:00"/>
    <d v="2024-01-21T00:00:00"/>
    <n v="3"/>
    <s v="Jan-2024"/>
    <x v="2"/>
    <n v="216.89"/>
    <x v="0"/>
    <n v="3"/>
  </r>
  <r>
    <s v="CLM01385"/>
    <s v="P0403"/>
    <s v="PR004"/>
    <s v="S001"/>
    <d v="2024-05-08T00:00:00"/>
    <d v="2024-05-13T00:00:00"/>
    <d v="2024-06-06T00:00:00"/>
    <n v="24"/>
    <s v="May-2024"/>
    <x v="4"/>
    <n v="216.44"/>
    <x v="0"/>
    <n v="24"/>
  </r>
  <r>
    <s v="CLM00714"/>
    <s v="P0392"/>
    <s v="PR031"/>
    <s v="S008"/>
    <d v="2023-12-29T00:00:00"/>
    <d v="2024-01-02T00:00:00"/>
    <d v="2024-01-21T00:00:00"/>
    <n v="19"/>
    <s v="Dec-2023"/>
    <x v="2"/>
    <n v="216.4"/>
    <x v="1"/>
    <n v="19"/>
  </r>
  <r>
    <s v="CLM01042"/>
    <s v="P0198"/>
    <s v="PR025"/>
    <s v="S008"/>
    <d v="2024-03-30T00:00:00"/>
    <d v="2024-03-31T00:00:00"/>
    <d v="2024-04-28T00:00:00"/>
    <n v="28"/>
    <s v="Mar-2024"/>
    <x v="1"/>
    <n v="216.17"/>
    <x v="0"/>
    <n v="28"/>
  </r>
  <r>
    <s v="CLM00678"/>
    <s v="P0055"/>
    <s v="PR011"/>
    <s v="S001"/>
    <d v="2023-07-15T00:00:00"/>
    <d v="2023-07-20T00:00:00"/>
    <d v="2023-07-31T00:00:00"/>
    <n v="11"/>
    <s v="Jul-2023"/>
    <x v="3"/>
    <n v="215.25"/>
    <x v="0"/>
    <n v="11"/>
  </r>
  <r>
    <s v="CLM01351"/>
    <s v="P0500"/>
    <s v="PR038"/>
    <s v="S001"/>
    <d v="2024-02-05T00:00:00"/>
    <d v="2024-02-09T00:00:00"/>
    <d v="2024-02-27T00:00:00"/>
    <n v="18"/>
    <s v="Feb-2024"/>
    <x v="4"/>
    <n v="213.97"/>
    <x v="0"/>
    <n v="18"/>
  </r>
  <r>
    <s v="CLM00631"/>
    <s v="P0481"/>
    <s v="PR026"/>
    <s v="S008"/>
    <d v="2023-03-22T00:00:00"/>
    <d v="2023-03-24T00:00:00"/>
    <d v="2023-04-19T00:00:00"/>
    <n v="26"/>
    <s v="Mar-2023"/>
    <x v="0"/>
    <n v="213.71"/>
    <x v="0"/>
    <n v="26"/>
  </r>
  <r>
    <s v="CLM01097"/>
    <s v="P0187"/>
    <s v="PR016"/>
    <s v="S001"/>
    <d v="2023-06-20T00:00:00"/>
    <d v="2023-06-23T00:00:00"/>
    <d v="2023-07-04T00:00:00"/>
    <n v="11"/>
    <s v="Jun-2023"/>
    <x v="3"/>
    <n v="213.37"/>
    <x v="1"/>
    <n v="11"/>
  </r>
  <r>
    <s v="CLM01586"/>
    <s v="P0445"/>
    <s v="PR037"/>
    <s v="S001"/>
    <d v="2023-05-21T00:00:00"/>
    <d v="2023-05-25T00:00:00"/>
    <d v="2023-06-12T00:00:00"/>
    <n v="18"/>
    <s v="May-2023"/>
    <x v="0"/>
    <n v="213.36"/>
    <x v="0"/>
    <n v="18"/>
  </r>
  <r>
    <s v="CLM01902"/>
    <s v="P0001"/>
    <s v="PR037"/>
    <s v="S001"/>
    <d v="2023-05-17T00:00:00"/>
    <d v="2023-05-20T00:00:00"/>
    <d v="2023-06-07T00:00:00"/>
    <n v="18"/>
    <s v="May-2023"/>
    <x v="4"/>
    <n v="213.3"/>
    <x v="1"/>
    <n v="18"/>
  </r>
  <r>
    <s v="CLM01133"/>
    <s v="P0230"/>
    <s v="PR016"/>
    <s v="S008"/>
    <d v="2023-11-03T00:00:00"/>
    <d v="2023-11-07T00:00:00"/>
    <d v="2023-11-14T00:00:00"/>
    <n v="7"/>
    <s v="Nov-2023"/>
    <x v="2"/>
    <n v="213.1"/>
    <x v="0"/>
    <n v="7"/>
  </r>
  <r>
    <s v="CLM00841"/>
    <s v="P0152"/>
    <s v="PR008"/>
    <s v="S008"/>
    <d v="2024-12-20T00:00:00"/>
    <d v="2024-12-21T00:00:00"/>
    <d v="2024-12-27T00:00:00"/>
    <n v="6"/>
    <s v="Dec-2024"/>
    <x v="4"/>
    <n v="212.49"/>
    <x v="0"/>
    <n v="6"/>
  </r>
  <r>
    <s v="CLM00402"/>
    <s v="P0350"/>
    <s v="PR014"/>
    <s v="S001"/>
    <d v="2024-05-15T00:00:00"/>
    <d v="2024-05-17T00:00:00"/>
    <m/>
    <s v=""/>
    <s v="May-2024"/>
    <x v="4"/>
    <n v="211.39"/>
    <x v="2"/>
    <m/>
  </r>
  <r>
    <s v="CLM01581"/>
    <s v="P0420"/>
    <s v="PR005"/>
    <s v="S001"/>
    <d v="2024-03-25T00:00:00"/>
    <d v="2024-03-27T00:00:00"/>
    <d v="2024-04-09T00:00:00"/>
    <n v="13"/>
    <s v="Mar-2024"/>
    <x v="4"/>
    <n v="210.61"/>
    <x v="0"/>
    <n v="13"/>
  </r>
  <r>
    <s v="CLM01158"/>
    <s v="P0106"/>
    <s v="PR030"/>
    <s v="S001"/>
    <d v="2024-08-24T00:00:00"/>
    <d v="2024-08-26T00:00:00"/>
    <d v="2024-09-01T00:00:00"/>
    <n v="6"/>
    <s v="Aug-2024"/>
    <x v="0"/>
    <n v="210.59"/>
    <x v="1"/>
    <n v="6"/>
  </r>
  <r>
    <s v="CLM00955"/>
    <s v="P0379"/>
    <s v="PR002"/>
    <s v="S001"/>
    <d v="2023-06-09T00:00:00"/>
    <d v="2023-06-10T00:00:00"/>
    <d v="2023-07-08T00:00:00"/>
    <n v="28"/>
    <s v="Jun-2023"/>
    <x v="2"/>
    <n v="210.54"/>
    <x v="0"/>
    <n v="28"/>
  </r>
  <r>
    <s v="CLM00494"/>
    <s v="P0439"/>
    <s v="PR027"/>
    <s v="S008"/>
    <d v="2024-08-27T00:00:00"/>
    <d v="2024-08-29T00:00:00"/>
    <d v="2024-09-28T00:00:00"/>
    <n v="30"/>
    <s v="Aug-2024"/>
    <x v="0"/>
    <n v="210.01"/>
    <x v="0"/>
    <n v="30"/>
  </r>
  <r>
    <s v="CLM01816"/>
    <s v="P0441"/>
    <s v="PR033"/>
    <s v="S001"/>
    <d v="2023-11-08T00:00:00"/>
    <d v="2023-11-12T00:00:00"/>
    <d v="2023-12-05T00:00:00"/>
    <n v="23"/>
    <s v="Nov-2023"/>
    <x v="2"/>
    <n v="209.79"/>
    <x v="0"/>
    <n v="23"/>
  </r>
  <r>
    <s v="CLM00442"/>
    <s v="P0138"/>
    <s v="PR002"/>
    <s v="S008"/>
    <d v="2024-10-15T00:00:00"/>
    <d v="2024-10-16T00:00:00"/>
    <d v="2024-11-08T00:00:00"/>
    <n v="23"/>
    <s v="Oct-2024"/>
    <x v="0"/>
    <n v="209.46"/>
    <x v="0"/>
    <n v="23"/>
  </r>
  <r>
    <s v="CLM00360"/>
    <s v="P0430"/>
    <s v="PR026"/>
    <s v="S008"/>
    <d v="2023-09-29T00:00:00"/>
    <d v="2023-10-02T00:00:00"/>
    <d v="2023-10-13T00:00:00"/>
    <n v="11"/>
    <s v="Sep-2023"/>
    <x v="4"/>
    <n v="209.02"/>
    <x v="0"/>
    <n v="11"/>
  </r>
  <r>
    <s v="CLM00529"/>
    <s v="P0332"/>
    <s v="PR009"/>
    <s v="S008"/>
    <d v="2024-03-16T00:00:00"/>
    <d v="2024-03-21T00:00:00"/>
    <m/>
    <s v=""/>
    <s v="Mar-2024"/>
    <x v="4"/>
    <n v="208.37"/>
    <x v="2"/>
    <m/>
  </r>
  <r>
    <s v="CLM00610"/>
    <s v="P0287"/>
    <s v="PR023"/>
    <s v="S008"/>
    <d v="2023-07-21T00:00:00"/>
    <d v="2023-07-22T00:00:00"/>
    <d v="2023-08-18T00:00:00"/>
    <n v="27"/>
    <s v="Jul-2023"/>
    <x v="4"/>
    <n v="207.84"/>
    <x v="0"/>
    <n v="27"/>
  </r>
  <r>
    <s v="CLM00581"/>
    <s v="P0208"/>
    <s v="PR010"/>
    <s v="S008"/>
    <d v="2024-08-24T00:00:00"/>
    <d v="2024-08-25T00:00:00"/>
    <d v="2024-09-22T00:00:00"/>
    <n v="28"/>
    <s v="Aug-2024"/>
    <x v="2"/>
    <n v="207.81"/>
    <x v="0"/>
    <n v="28"/>
  </r>
  <r>
    <s v="CLM01159"/>
    <s v="P0146"/>
    <s v="PR018"/>
    <s v="S001"/>
    <d v="2023-04-14T00:00:00"/>
    <d v="2023-04-16T00:00:00"/>
    <d v="2023-05-15T00:00:00"/>
    <n v="29"/>
    <s v="Apr-2023"/>
    <x v="2"/>
    <n v="207.78"/>
    <x v="0"/>
    <n v="29"/>
  </r>
  <r>
    <s v="CLM00928"/>
    <s v="P0378"/>
    <s v="PR026"/>
    <s v="S008"/>
    <d v="2023-01-27T00:00:00"/>
    <d v="2023-02-01T00:00:00"/>
    <d v="2023-02-24T00:00:00"/>
    <n v="23"/>
    <s v="Jan-2023"/>
    <x v="4"/>
    <n v="206.32"/>
    <x v="0"/>
    <n v="23"/>
  </r>
  <r>
    <s v="CLM01416"/>
    <s v="P0068"/>
    <s v="PR013"/>
    <s v="S008"/>
    <d v="2024-10-11T00:00:00"/>
    <d v="2024-10-12T00:00:00"/>
    <d v="2024-10-29T00:00:00"/>
    <n v="17"/>
    <s v="Oct-2024"/>
    <x v="3"/>
    <n v="205.27"/>
    <x v="0"/>
    <n v="17"/>
  </r>
  <r>
    <s v="CLM00121"/>
    <s v="P0356"/>
    <s v="PR002"/>
    <s v="S001"/>
    <d v="2024-10-25T00:00:00"/>
    <d v="2024-10-27T00:00:00"/>
    <d v="2024-11-26T00:00:00"/>
    <n v="30"/>
    <s v="Oct-2024"/>
    <x v="0"/>
    <n v="204.66"/>
    <x v="0"/>
    <n v="30"/>
  </r>
  <r>
    <s v="CLM01199"/>
    <s v="P0490"/>
    <s v="PR033"/>
    <s v="S001"/>
    <d v="2024-07-12T00:00:00"/>
    <d v="2024-07-17T00:00:00"/>
    <d v="2024-08-13T00:00:00"/>
    <n v="27"/>
    <s v="Jul-2024"/>
    <x v="2"/>
    <n v="204.52"/>
    <x v="0"/>
    <n v="27"/>
  </r>
  <r>
    <s v="CLM00536"/>
    <s v="P0227"/>
    <s v="PR008"/>
    <s v="S008"/>
    <d v="2024-11-19T00:00:00"/>
    <d v="2024-11-20T00:00:00"/>
    <d v="2024-11-25T00:00:00"/>
    <n v="5"/>
    <s v="Nov-2024"/>
    <x v="0"/>
    <n v="203.73"/>
    <x v="1"/>
    <n v="5"/>
  </r>
  <r>
    <s v="CLM01489"/>
    <s v="P0369"/>
    <s v="PR037"/>
    <s v="S001"/>
    <d v="2024-02-22T00:00:00"/>
    <d v="2024-02-24T00:00:00"/>
    <d v="2024-03-20T00:00:00"/>
    <n v="25"/>
    <s v="Feb-2024"/>
    <x v="1"/>
    <n v="202.61"/>
    <x v="0"/>
    <n v="25"/>
  </r>
  <r>
    <s v="CLM01142"/>
    <s v="P0171"/>
    <s v="PR004"/>
    <s v="S001"/>
    <d v="2023-08-02T00:00:00"/>
    <d v="2023-08-04T00:00:00"/>
    <d v="2023-08-27T00:00:00"/>
    <n v="23"/>
    <s v="Aug-2023"/>
    <x v="2"/>
    <n v="202.21"/>
    <x v="0"/>
    <n v="23"/>
  </r>
  <r>
    <s v="CLM00651"/>
    <s v="P0423"/>
    <s v="PR010"/>
    <s v="S001"/>
    <d v="2024-09-02T00:00:00"/>
    <d v="2024-09-07T00:00:00"/>
    <d v="2024-10-05T00:00:00"/>
    <n v="28"/>
    <s v="Sep-2024"/>
    <x v="2"/>
    <n v="202.15"/>
    <x v="0"/>
    <n v="28"/>
  </r>
  <r>
    <s v="CLM00799"/>
    <s v="P0284"/>
    <s v="PR020"/>
    <s v="S008"/>
    <d v="2023-01-20T00:00:00"/>
    <d v="2023-01-25T00:00:00"/>
    <d v="2023-01-29T00:00:00"/>
    <n v="4"/>
    <s v="Jan-2023"/>
    <x v="1"/>
    <n v="202.11"/>
    <x v="1"/>
    <n v="4"/>
  </r>
  <r>
    <s v="CLM00094"/>
    <s v="P0396"/>
    <s v="PR028"/>
    <s v="S001"/>
    <d v="2024-12-10T00:00:00"/>
    <d v="2024-12-11T00:00:00"/>
    <d v="2024-12-15T00:00:00"/>
    <n v="4"/>
    <s v="Dec-2024"/>
    <x v="4"/>
    <n v="200.83"/>
    <x v="0"/>
    <n v="4"/>
  </r>
  <r>
    <s v="CLM00312"/>
    <s v="P0434"/>
    <s v="PR003"/>
    <s v="S008"/>
    <d v="2023-12-19T00:00:00"/>
    <d v="2023-12-21T00:00:00"/>
    <d v="2024-01-04T00:00:00"/>
    <n v="14"/>
    <s v="Dec-2023"/>
    <x v="1"/>
    <n v="200.6"/>
    <x v="0"/>
    <n v="14"/>
  </r>
  <r>
    <s v="CLM01876"/>
    <s v="P0337"/>
    <s v="PR022"/>
    <s v="S008"/>
    <d v="2024-12-21T00:00:00"/>
    <d v="2024-12-23T00:00:00"/>
    <d v="2025-01-04T00:00:00"/>
    <n v="12"/>
    <s v="Dec-2024"/>
    <x v="1"/>
    <n v="200.57"/>
    <x v="0"/>
    <n v="12"/>
  </r>
  <r>
    <s v="CLM00962"/>
    <s v="P0220"/>
    <s v="PR004"/>
    <s v="S001"/>
    <d v="2023-01-30T00:00:00"/>
    <d v="2023-02-03T00:00:00"/>
    <d v="2023-03-04T00:00:00"/>
    <n v="29"/>
    <s v="Jan-2023"/>
    <x v="2"/>
    <n v="200.17"/>
    <x v="0"/>
    <n v="29"/>
  </r>
  <r>
    <s v="CLM00902"/>
    <s v="P0112"/>
    <s v="PR009"/>
    <s v="S001"/>
    <d v="2024-07-26T00:00:00"/>
    <d v="2024-07-27T00:00:00"/>
    <d v="2024-08-14T00:00:00"/>
    <n v="18"/>
    <s v="Jul-2024"/>
    <x v="4"/>
    <n v="199.63"/>
    <x v="0"/>
    <n v="18"/>
  </r>
  <r>
    <s v="CLM01712"/>
    <s v="P0197"/>
    <s v="PR003"/>
    <s v="S008"/>
    <d v="2023-02-10T00:00:00"/>
    <d v="2023-02-14T00:00:00"/>
    <d v="2023-02-24T00:00:00"/>
    <n v="10"/>
    <s v="Feb-2023"/>
    <x v="4"/>
    <n v="199.44"/>
    <x v="0"/>
    <n v="10"/>
  </r>
  <r>
    <s v="CLM01753"/>
    <s v="P0137"/>
    <s v="PR029"/>
    <s v="S008"/>
    <d v="2024-05-08T00:00:00"/>
    <d v="2024-05-12T00:00:00"/>
    <d v="2024-05-30T00:00:00"/>
    <n v="18"/>
    <s v="May-2024"/>
    <x v="0"/>
    <n v="199.29"/>
    <x v="0"/>
    <n v="18"/>
  </r>
  <r>
    <s v="CLM01249"/>
    <s v="P0011"/>
    <s v="PR036"/>
    <s v="S001"/>
    <d v="2024-07-13T00:00:00"/>
    <d v="2024-07-14T00:00:00"/>
    <d v="2024-07-18T00:00:00"/>
    <n v="4"/>
    <s v="Jul-2024"/>
    <x v="2"/>
    <n v="198.93"/>
    <x v="1"/>
    <n v="4"/>
  </r>
  <r>
    <s v="CLM00586"/>
    <s v="P0247"/>
    <s v="PR015"/>
    <s v="S001"/>
    <d v="2023-06-02T00:00:00"/>
    <d v="2023-06-06T00:00:00"/>
    <d v="2023-06-09T00:00:00"/>
    <n v="3"/>
    <s v="Jun-2023"/>
    <x v="1"/>
    <n v="198.44"/>
    <x v="1"/>
    <n v="3"/>
  </r>
  <r>
    <s v="CLM01616"/>
    <s v="P0337"/>
    <s v="PR029"/>
    <s v="S001"/>
    <d v="2023-03-23T00:00:00"/>
    <d v="2023-03-27T00:00:00"/>
    <d v="2023-04-24T00:00:00"/>
    <n v="28"/>
    <s v="Mar-2023"/>
    <x v="1"/>
    <n v="198.35"/>
    <x v="0"/>
    <n v="28"/>
  </r>
  <r>
    <s v="CLM01486"/>
    <s v="P0195"/>
    <s v="PR039"/>
    <s v="S008"/>
    <d v="2024-09-29T00:00:00"/>
    <d v="2024-09-30T00:00:00"/>
    <d v="2024-10-18T00:00:00"/>
    <n v="18"/>
    <s v="Sep-2024"/>
    <x v="2"/>
    <n v="198.12"/>
    <x v="0"/>
    <n v="18"/>
  </r>
  <r>
    <s v="CLM00856"/>
    <s v="P0162"/>
    <s v="PR017"/>
    <s v="S008"/>
    <d v="2024-06-30T00:00:00"/>
    <d v="2024-07-05T00:00:00"/>
    <d v="2024-08-02T00:00:00"/>
    <n v="28"/>
    <s v="Jun-2024"/>
    <x v="4"/>
    <n v="197.95"/>
    <x v="1"/>
    <n v="28"/>
  </r>
  <r>
    <s v="CLM00408"/>
    <s v="P0434"/>
    <s v="PR018"/>
    <s v="S008"/>
    <d v="2024-08-18T00:00:00"/>
    <d v="2024-08-20T00:00:00"/>
    <d v="2024-09-14T00:00:00"/>
    <n v="25"/>
    <s v="Aug-2024"/>
    <x v="1"/>
    <n v="197.65"/>
    <x v="0"/>
    <n v="25"/>
  </r>
  <r>
    <s v="CLM00042"/>
    <s v="P0029"/>
    <s v="PR010"/>
    <s v="S008"/>
    <d v="2024-08-16T00:00:00"/>
    <d v="2024-08-21T00:00:00"/>
    <d v="2024-08-30T00:00:00"/>
    <n v="9"/>
    <s v="Aug-2024"/>
    <x v="2"/>
    <n v="196.8"/>
    <x v="0"/>
    <n v="9"/>
  </r>
  <r>
    <s v="CLM00846"/>
    <s v="P0464"/>
    <s v="PR024"/>
    <s v="S008"/>
    <d v="2024-12-26T00:00:00"/>
    <d v="2024-12-29T00:00:00"/>
    <d v="2025-01-11T00:00:00"/>
    <n v="13"/>
    <s v="Dec-2024"/>
    <x v="2"/>
    <n v="196.77"/>
    <x v="0"/>
    <n v="13"/>
  </r>
  <r>
    <s v="CLM01321"/>
    <s v="P0349"/>
    <s v="PR009"/>
    <s v="S008"/>
    <d v="2024-08-27T00:00:00"/>
    <d v="2024-08-31T00:00:00"/>
    <d v="2024-09-04T00:00:00"/>
    <n v="4"/>
    <s v="Aug-2024"/>
    <x v="2"/>
    <n v="196.1"/>
    <x v="0"/>
    <n v="4"/>
  </r>
  <r>
    <s v="CLM01311"/>
    <s v="P0376"/>
    <s v="PR029"/>
    <s v="S008"/>
    <d v="2023-01-10T00:00:00"/>
    <d v="2023-01-11T00:00:00"/>
    <d v="2023-01-15T00:00:00"/>
    <n v="4"/>
    <s v="Jan-2023"/>
    <x v="0"/>
    <n v="195.86"/>
    <x v="0"/>
    <n v="4"/>
  </r>
  <r>
    <s v="CLM00800"/>
    <s v="P0385"/>
    <s v="PR020"/>
    <s v="S001"/>
    <d v="2024-07-11T00:00:00"/>
    <d v="2024-07-12T00:00:00"/>
    <d v="2024-07-22T00:00:00"/>
    <n v="10"/>
    <s v="Jul-2024"/>
    <x v="4"/>
    <n v="195.49"/>
    <x v="0"/>
    <n v="10"/>
  </r>
  <r>
    <s v="CLM01788"/>
    <s v="P0374"/>
    <s v="PR033"/>
    <s v="S008"/>
    <d v="2023-08-02T00:00:00"/>
    <d v="2023-08-04T00:00:00"/>
    <d v="2023-08-26T00:00:00"/>
    <n v="22"/>
    <s v="Aug-2023"/>
    <x v="2"/>
    <n v="195.1"/>
    <x v="0"/>
    <n v="22"/>
  </r>
  <r>
    <s v="CLM00524"/>
    <s v="P0082"/>
    <s v="PR004"/>
    <s v="S001"/>
    <d v="2024-10-09T00:00:00"/>
    <d v="2024-10-11T00:00:00"/>
    <d v="2024-10-31T00:00:00"/>
    <n v="20"/>
    <s v="Oct-2024"/>
    <x v="2"/>
    <n v="194.61"/>
    <x v="0"/>
    <n v="20"/>
  </r>
  <r>
    <s v="CLM01866"/>
    <s v="P0064"/>
    <s v="PR036"/>
    <s v="S001"/>
    <d v="2024-08-19T00:00:00"/>
    <d v="2024-08-20T00:00:00"/>
    <m/>
    <s v=""/>
    <s v="Aug-2024"/>
    <x v="4"/>
    <n v="194.32"/>
    <x v="2"/>
    <m/>
  </r>
  <r>
    <s v="CLM00260"/>
    <s v="P0051"/>
    <s v="PR017"/>
    <s v="S008"/>
    <d v="2023-01-08T00:00:00"/>
    <d v="2023-01-09T00:00:00"/>
    <d v="2023-01-20T00:00:00"/>
    <n v="11"/>
    <s v="Jan-2023"/>
    <x v="2"/>
    <n v="194.3"/>
    <x v="0"/>
    <n v="11"/>
  </r>
  <r>
    <s v="CLM01409"/>
    <s v="P0290"/>
    <s v="PR035"/>
    <s v="S008"/>
    <d v="2023-06-30T00:00:00"/>
    <d v="2023-07-01T00:00:00"/>
    <d v="2023-07-05T00:00:00"/>
    <n v="4"/>
    <s v="Jun-2023"/>
    <x v="3"/>
    <n v="193.66"/>
    <x v="0"/>
    <n v="4"/>
  </r>
  <r>
    <s v="CLM00351"/>
    <s v="P0296"/>
    <s v="PR024"/>
    <s v="S008"/>
    <d v="2023-03-16T00:00:00"/>
    <d v="2023-03-17T00:00:00"/>
    <d v="2023-03-27T00:00:00"/>
    <n v="10"/>
    <s v="Mar-2023"/>
    <x v="2"/>
    <n v="193.52"/>
    <x v="0"/>
    <n v="10"/>
  </r>
  <r>
    <s v="CLM00884"/>
    <s v="P0372"/>
    <s v="PR036"/>
    <s v="S001"/>
    <d v="2024-11-06T00:00:00"/>
    <d v="2024-11-11T00:00:00"/>
    <d v="2024-12-02T00:00:00"/>
    <n v="21"/>
    <s v="Nov-2024"/>
    <x v="4"/>
    <n v="193.37"/>
    <x v="0"/>
    <n v="21"/>
  </r>
  <r>
    <s v="CLM01276"/>
    <s v="P0364"/>
    <s v="PR012"/>
    <s v="S001"/>
    <d v="2023-01-08T00:00:00"/>
    <d v="2023-01-12T00:00:00"/>
    <d v="2023-01-22T00:00:00"/>
    <n v="10"/>
    <s v="Jan-2023"/>
    <x v="4"/>
    <n v="192.69"/>
    <x v="0"/>
    <n v="10"/>
  </r>
  <r>
    <s v="CLM01641"/>
    <s v="P0335"/>
    <s v="PR008"/>
    <s v="S008"/>
    <d v="2024-07-06T00:00:00"/>
    <d v="2024-07-11T00:00:00"/>
    <d v="2024-07-21T00:00:00"/>
    <n v="10"/>
    <s v="Jul-2024"/>
    <x v="2"/>
    <n v="192.36"/>
    <x v="0"/>
    <n v="10"/>
  </r>
  <r>
    <s v="CLM01372"/>
    <s v="P0427"/>
    <s v="PR032"/>
    <s v="S008"/>
    <d v="2024-04-06T00:00:00"/>
    <d v="2024-04-11T00:00:00"/>
    <d v="2024-04-23T00:00:00"/>
    <n v="12"/>
    <s v="Apr-2024"/>
    <x v="2"/>
    <n v="191.63"/>
    <x v="0"/>
    <n v="12"/>
  </r>
  <r>
    <s v="CLM00218"/>
    <s v="P0480"/>
    <s v="PR001"/>
    <s v="S008"/>
    <d v="2024-10-11T00:00:00"/>
    <d v="2024-10-13T00:00:00"/>
    <d v="2024-10-21T00:00:00"/>
    <n v="8"/>
    <s v="Oct-2024"/>
    <x v="0"/>
    <n v="190.99"/>
    <x v="0"/>
    <n v="8"/>
  </r>
  <r>
    <s v="CLM00359"/>
    <s v="P0144"/>
    <s v="PR011"/>
    <s v="S001"/>
    <d v="2024-12-24T00:00:00"/>
    <d v="2024-12-25T00:00:00"/>
    <d v="2025-01-17T00:00:00"/>
    <n v="23"/>
    <s v="Dec-2024"/>
    <x v="1"/>
    <n v="190.37"/>
    <x v="0"/>
    <n v="23"/>
  </r>
  <r>
    <s v="CLM00018"/>
    <s v="P0482"/>
    <s v="PR006"/>
    <s v="S008"/>
    <d v="2023-08-15T00:00:00"/>
    <d v="2023-08-17T00:00:00"/>
    <d v="2023-09-07T00:00:00"/>
    <n v="21"/>
    <s v="Aug-2023"/>
    <x v="3"/>
    <n v="189.87"/>
    <x v="0"/>
    <n v="21"/>
  </r>
  <r>
    <s v="CLM01891"/>
    <s v="P0001"/>
    <s v="PR023"/>
    <s v="S001"/>
    <d v="2023-09-04T00:00:00"/>
    <d v="2023-09-09T00:00:00"/>
    <d v="2023-10-09T00:00:00"/>
    <n v="30"/>
    <s v="Sep-2023"/>
    <x v="4"/>
    <n v="189.48"/>
    <x v="0"/>
    <n v="30"/>
  </r>
  <r>
    <s v="CLM01658"/>
    <s v="P0212"/>
    <s v="PR006"/>
    <s v="S001"/>
    <d v="2024-03-18T00:00:00"/>
    <d v="2024-03-19T00:00:00"/>
    <m/>
    <s v=""/>
    <s v="Mar-2024"/>
    <x v="3"/>
    <n v="189.38"/>
    <x v="2"/>
    <m/>
  </r>
  <r>
    <s v="CLM00539"/>
    <s v="P0400"/>
    <s v="PR007"/>
    <s v="S001"/>
    <d v="2023-02-18T00:00:00"/>
    <d v="2023-02-23T00:00:00"/>
    <d v="2023-03-10T00:00:00"/>
    <n v="15"/>
    <s v="Feb-2023"/>
    <x v="0"/>
    <n v="188.97"/>
    <x v="0"/>
    <n v="15"/>
  </r>
  <r>
    <s v="CLM01213"/>
    <s v="P0202"/>
    <s v="PR038"/>
    <s v="S001"/>
    <d v="2024-07-26T00:00:00"/>
    <d v="2024-07-27T00:00:00"/>
    <d v="2024-08-24T00:00:00"/>
    <n v="28"/>
    <s v="Jul-2024"/>
    <x v="2"/>
    <n v="188.18"/>
    <x v="0"/>
    <n v="28"/>
  </r>
  <r>
    <s v="CLM00970"/>
    <s v="P0184"/>
    <s v="PR001"/>
    <s v="S009"/>
    <d v="2024-09-22T00:00:00"/>
    <d v="2024-09-27T00:00:00"/>
    <d v="2024-10-12T00:00:00"/>
    <n v="15"/>
    <s v="Sep-2024"/>
    <x v="1"/>
    <n v="187.28"/>
    <x v="0"/>
    <n v="15"/>
  </r>
  <r>
    <s v="CLM00676"/>
    <s v="P0149"/>
    <s v="PR026"/>
    <s v="S008"/>
    <d v="2024-10-29T00:00:00"/>
    <d v="2024-11-03T00:00:00"/>
    <d v="2024-11-11T00:00:00"/>
    <n v="8"/>
    <s v="Oct-2024"/>
    <x v="3"/>
    <n v="187.21"/>
    <x v="0"/>
    <n v="8"/>
  </r>
  <r>
    <s v="CLM00842"/>
    <s v="P0005"/>
    <s v="PR021"/>
    <s v="S008"/>
    <d v="2023-04-24T00:00:00"/>
    <d v="2023-04-25T00:00:00"/>
    <d v="2023-05-03T00:00:00"/>
    <n v="8"/>
    <s v="Apr-2023"/>
    <x v="4"/>
    <n v="187.05"/>
    <x v="0"/>
    <n v="8"/>
  </r>
  <r>
    <s v="CLM00888"/>
    <s v="P0250"/>
    <s v="PR008"/>
    <s v="S009"/>
    <d v="2023-04-14T00:00:00"/>
    <d v="2023-04-17T00:00:00"/>
    <d v="2023-05-07T00:00:00"/>
    <n v="20"/>
    <s v="Apr-2023"/>
    <x v="1"/>
    <n v="186.88"/>
    <x v="0"/>
    <n v="20"/>
  </r>
  <r>
    <s v="CLM01214"/>
    <s v="P0083"/>
    <s v="PR025"/>
    <s v="S009"/>
    <d v="2023-05-02T00:00:00"/>
    <d v="2023-05-04T00:00:00"/>
    <d v="2023-05-27T00:00:00"/>
    <n v="23"/>
    <s v="May-2023"/>
    <x v="3"/>
    <n v="186.76"/>
    <x v="1"/>
    <n v="23"/>
  </r>
  <r>
    <s v="CLM00966"/>
    <s v="P0103"/>
    <s v="PR030"/>
    <s v="S001"/>
    <d v="2023-02-28T00:00:00"/>
    <d v="2023-03-04T00:00:00"/>
    <d v="2023-03-14T00:00:00"/>
    <n v="10"/>
    <s v="Feb-2023"/>
    <x v="1"/>
    <n v="186.63"/>
    <x v="0"/>
    <n v="10"/>
  </r>
  <r>
    <s v="CLM01521"/>
    <s v="P0242"/>
    <s v="PR015"/>
    <s v="S008"/>
    <d v="2024-12-01T00:00:00"/>
    <d v="2024-12-03T00:00:00"/>
    <d v="2024-12-07T00:00:00"/>
    <n v="4"/>
    <s v="Dec-2024"/>
    <x v="4"/>
    <n v="186.31"/>
    <x v="0"/>
    <n v="4"/>
  </r>
  <r>
    <s v="CLM01861"/>
    <s v="P0435"/>
    <s v="PR003"/>
    <s v="S008"/>
    <d v="2024-09-15T00:00:00"/>
    <d v="2024-09-20T00:00:00"/>
    <d v="2024-10-10T00:00:00"/>
    <n v="20"/>
    <s v="Sep-2024"/>
    <x v="2"/>
    <n v="185.31"/>
    <x v="0"/>
    <n v="20"/>
  </r>
  <r>
    <s v="CLM01610"/>
    <s v="P0231"/>
    <s v="PR029"/>
    <s v="S001"/>
    <d v="2024-06-01T00:00:00"/>
    <d v="2024-06-05T00:00:00"/>
    <d v="2024-06-16T00:00:00"/>
    <n v="11"/>
    <s v="Jun-2024"/>
    <x v="4"/>
    <n v="185.06"/>
    <x v="0"/>
    <n v="11"/>
  </r>
  <r>
    <s v="CLM00191"/>
    <s v="P0365"/>
    <s v="PR026"/>
    <s v="S008"/>
    <d v="2023-02-12T00:00:00"/>
    <d v="2023-02-16T00:00:00"/>
    <d v="2023-03-04T00:00:00"/>
    <n v="16"/>
    <s v="Feb-2023"/>
    <x v="2"/>
    <n v="184.91"/>
    <x v="0"/>
    <n v="16"/>
  </r>
  <r>
    <s v="CLM01916"/>
    <s v="P0123"/>
    <s v="PR005"/>
    <s v="S009"/>
    <d v="2023-07-24T00:00:00"/>
    <d v="2023-07-29T00:00:00"/>
    <d v="2023-08-16T00:00:00"/>
    <n v="18"/>
    <s v="Jul-2023"/>
    <x v="1"/>
    <n v="184.91"/>
    <x v="1"/>
    <n v="18"/>
  </r>
  <r>
    <s v="CLM01343"/>
    <s v="P0275"/>
    <s v="PR015"/>
    <s v="S001"/>
    <d v="2024-02-08T00:00:00"/>
    <d v="2024-02-11T00:00:00"/>
    <d v="2024-02-22T00:00:00"/>
    <n v="11"/>
    <s v="Feb-2024"/>
    <x v="0"/>
    <n v="184.7"/>
    <x v="0"/>
    <n v="11"/>
  </r>
  <r>
    <s v="CLM00725"/>
    <s v="P0139"/>
    <s v="PR019"/>
    <s v="S008"/>
    <d v="2024-07-02T00:00:00"/>
    <d v="2024-07-07T00:00:00"/>
    <d v="2024-07-20T00:00:00"/>
    <n v="13"/>
    <s v="Jul-2024"/>
    <x v="1"/>
    <n v="184.64"/>
    <x v="1"/>
    <n v="13"/>
  </r>
  <r>
    <s v="CLM01885"/>
    <s v="P0381"/>
    <s v="PR019"/>
    <s v="S009"/>
    <d v="2024-12-13T00:00:00"/>
    <d v="2024-12-15T00:00:00"/>
    <d v="2025-01-02T00:00:00"/>
    <n v="18"/>
    <s v="Dec-2024"/>
    <x v="2"/>
    <n v="184.17"/>
    <x v="0"/>
    <n v="18"/>
  </r>
  <r>
    <s v="CLM01145"/>
    <s v="P0151"/>
    <s v="PR023"/>
    <s v="S001"/>
    <d v="2024-09-07T00:00:00"/>
    <d v="2024-09-10T00:00:00"/>
    <d v="2024-09-17T00:00:00"/>
    <n v="7"/>
    <s v="Sep-2024"/>
    <x v="2"/>
    <n v="183.62"/>
    <x v="0"/>
    <n v="7"/>
  </r>
  <r>
    <s v="CLM00395"/>
    <s v="P0309"/>
    <s v="PR037"/>
    <s v="S008"/>
    <d v="2024-03-18T00:00:00"/>
    <d v="2024-03-23T00:00:00"/>
    <d v="2024-04-11T00:00:00"/>
    <n v="19"/>
    <s v="Mar-2024"/>
    <x v="3"/>
    <n v="183.2"/>
    <x v="0"/>
    <n v="19"/>
  </r>
  <r>
    <s v="CLM00428"/>
    <s v="P0072"/>
    <s v="PR034"/>
    <s v="S008"/>
    <d v="2024-01-10T00:00:00"/>
    <d v="2024-01-11T00:00:00"/>
    <d v="2024-01-16T00:00:00"/>
    <n v="5"/>
    <s v="Jan-2024"/>
    <x v="0"/>
    <n v="182.96"/>
    <x v="0"/>
    <n v="5"/>
  </r>
  <r>
    <s v="CLM00006"/>
    <s v="P0096"/>
    <s v="PR037"/>
    <s v="S009"/>
    <d v="2023-01-20T00:00:00"/>
    <d v="2023-01-22T00:00:00"/>
    <d v="2023-02-12T00:00:00"/>
    <n v="21"/>
    <s v="Jan-2023"/>
    <x v="0"/>
    <n v="182.89"/>
    <x v="0"/>
    <n v="21"/>
  </r>
  <r>
    <s v="CLM01544"/>
    <s v="P0066"/>
    <s v="PR036"/>
    <s v="S008"/>
    <d v="2023-05-31T00:00:00"/>
    <d v="2023-06-05T00:00:00"/>
    <d v="2023-06-14T00:00:00"/>
    <n v="9"/>
    <s v="May-2023"/>
    <x v="2"/>
    <n v="182.64"/>
    <x v="0"/>
    <n v="9"/>
  </r>
  <r>
    <s v="CLM00423"/>
    <s v="P0084"/>
    <s v="PR032"/>
    <s v="S008"/>
    <d v="2023-11-23T00:00:00"/>
    <d v="2023-11-28T00:00:00"/>
    <d v="2023-12-14T00:00:00"/>
    <n v="16"/>
    <s v="Nov-2023"/>
    <x v="1"/>
    <n v="182.58"/>
    <x v="1"/>
    <n v="16"/>
  </r>
  <r>
    <s v="CLM00028"/>
    <s v="P0357"/>
    <s v="PR009"/>
    <s v="S009"/>
    <d v="2023-04-29T00:00:00"/>
    <d v="2023-05-02T00:00:00"/>
    <d v="2023-05-20T00:00:00"/>
    <n v="18"/>
    <s v="Apr-2023"/>
    <x v="1"/>
    <n v="182.54"/>
    <x v="0"/>
    <n v="18"/>
  </r>
  <r>
    <s v="CLM00435"/>
    <s v="P0110"/>
    <s v="PR029"/>
    <s v="S008"/>
    <d v="2024-04-09T00:00:00"/>
    <d v="2024-04-14T00:00:00"/>
    <d v="2024-04-28T00:00:00"/>
    <n v="14"/>
    <s v="Apr-2024"/>
    <x v="4"/>
    <n v="182.13"/>
    <x v="0"/>
    <n v="14"/>
  </r>
  <r>
    <s v="CLM00352"/>
    <s v="P0474"/>
    <s v="PR018"/>
    <s v="S009"/>
    <d v="2023-10-06T00:00:00"/>
    <d v="2023-10-10T00:00:00"/>
    <d v="2023-10-21T00:00:00"/>
    <n v="11"/>
    <s v="Oct-2023"/>
    <x v="2"/>
    <n v="181.94"/>
    <x v="0"/>
    <n v="11"/>
  </r>
  <r>
    <s v="CLM00741"/>
    <s v="P0102"/>
    <s v="PR003"/>
    <s v="S009"/>
    <d v="2023-03-09T00:00:00"/>
    <d v="2023-03-10T00:00:00"/>
    <d v="2023-03-14T00:00:00"/>
    <n v="4"/>
    <s v="Mar-2023"/>
    <x v="4"/>
    <n v="181.92"/>
    <x v="0"/>
    <n v="4"/>
  </r>
  <r>
    <s v="CLM01724"/>
    <s v="P0102"/>
    <s v="PR036"/>
    <s v="S009"/>
    <d v="2024-07-28T00:00:00"/>
    <d v="2024-07-31T00:00:00"/>
    <d v="2024-08-29T00:00:00"/>
    <n v="29"/>
    <s v="Jul-2024"/>
    <x v="4"/>
    <n v="181.91"/>
    <x v="0"/>
    <n v="29"/>
  </r>
  <r>
    <s v="CLM01066"/>
    <s v="P0403"/>
    <s v="PR010"/>
    <s v="S001"/>
    <d v="2024-03-13T00:00:00"/>
    <d v="2024-03-16T00:00:00"/>
    <d v="2024-04-04T00:00:00"/>
    <n v="19"/>
    <s v="Mar-2024"/>
    <x v="4"/>
    <n v="181.85"/>
    <x v="0"/>
    <n v="19"/>
  </r>
  <r>
    <s v="CLM00660"/>
    <s v="P0246"/>
    <s v="PR010"/>
    <s v="S009"/>
    <d v="2023-07-14T00:00:00"/>
    <d v="2023-07-15T00:00:00"/>
    <d v="2023-08-05T00:00:00"/>
    <n v="21"/>
    <s v="Jul-2023"/>
    <x v="1"/>
    <n v="181.83"/>
    <x v="0"/>
    <n v="21"/>
  </r>
  <r>
    <s v="CLM00090"/>
    <s v="P0081"/>
    <s v="PR025"/>
    <s v="S009"/>
    <d v="2024-09-10T00:00:00"/>
    <d v="2024-09-13T00:00:00"/>
    <d v="2024-09-27T00:00:00"/>
    <n v="14"/>
    <s v="Sep-2024"/>
    <x v="1"/>
    <n v="181.61"/>
    <x v="0"/>
    <n v="14"/>
  </r>
  <r>
    <s v="CLM01750"/>
    <s v="P0299"/>
    <s v="PR036"/>
    <s v="S001"/>
    <d v="2024-01-22T00:00:00"/>
    <d v="2024-01-25T00:00:00"/>
    <d v="2024-02-17T00:00:00"/>
    <n v="23"/>
    <s v="Jan-2024"/>
    <x v="0"/>
    <n v="180.82"/>
    <x v="0"/>
    <n v="23"/>
  </r>
  <r>
    <s v="CLM00835"/>
    <s v="P0404"/>
    <s v="PR003"/>
    <s v="S009"/>
    <d v="2023-11-19T00:00:00"/>
    <d v="2023-11-21T00:00:00"/>
    <m/>
    <s v=""/>
    <s v="Nov-2023"/>
    <x v="1"/>
    <n v="180.69"/>
    <x v="2"/>
    <m/>
  </r>
  <r>
    <s v="CLM01781"/>
    <s v="P0220"/>
    <s v="PR005"/>
    <s v="S008"/>
    <d v="2023-03-04T00:00:00"/>
    <d v="2023-03-07T00:00:00"/>
    <m/>
    <s v=""/>
    <s v="Mar-2023"/>
    <x v="2"/>
    <n v="180.65"/>
    <x v="2"/>
    <m/>
  </r>
  <r>
    <s v="CLM01103"/>
    <s v="P0429"/>
    <s v="PR032"/>
    <s v="S009"/>
    <d v="2023-06-05T00:00:00"/>
    <d v="2023-06-07T00:00:00"/>
    <d v="2023-06-16T00:00:00"/>
    <n v="9"/>
    <s v="Jun-2023"/>
    <x v="1"/>
    <n v="180.51"/>
    <x v="0"/>
    <n v="9"/>
  </r>
  <r>
    <s v="CLM01105"/>
    <s v="P0284"/>
    <s v="PR017"/>
    <s v="S009"/>
    <d v="2024-04-09T00:00:00"/>
    <d v="2024-04-11T00:00:00"/>
    <d v="2024-04-23T00:00:00"/>
    <n v="12"/>
    <s v="Apr-2024"/>
    <x v="1"/>
    <n v="180.03"/>
    <x v="0"/>
    <n v="12"/>
  </r>
  <r>
    <s v="CLM00612"/>
    <s v="P0213"/>
    <s v="PR026"/>
    <s v="S009"/>
    <d v="2023-09-23T00:00:00"/>
    <d v="2023-09-25T00:00:00"/>
    <d v="2023-10-13T00:00:00"/>
    <n v="18"/>
    <s v="Sep-2023"/>
    <x v="2"/>
    <n v="179.98"/>
    <x v="0"/>
    <n v="18"/>
  </r>
  <r>
    <s v="CLM01516"/>
    <s v="P0208"/>
    <s v="PR038"/>
    <s v="S008"/>
    <d v="2024-02-23T00:00:00"/>
    <d v="2024-02-27T00:00:00"/>
    <d v="2024-03-15T00:00:00"/>
    <n v="17"/>
    <s v="Feb-2024"/>
    <x v="2"/>
    <n v="179.9"/>
    <x v="0"/>
    <n v="17"/>
  </r>
  <r>
    <s v="CLM00476"/>
    <s v="P0266"/>
    <s v="PR009"/>
    <s v="S009"/>
    <d v="2023-02-04T00:00:00"/>
    <d v="2023-02-07T00:00:00"/>
    <d v="2023-02-17T00:00:00"/>
    <n v="10"/>
    <s v="Feb-2023"/>
    <x v="3"/>
    <n v="178.99"/>
    <x v="1"/>
    <n v="10"/>
  </r>
  <r>
    <s v="CLM00543"/>
    <s v="P0187"/>
    <s v="PR030"/>
    <s v="S008"/>
    <d v="2024-07-08T00:00:00"/>
    <d v="2024-07-13T00:00:00"/>
    <d v="2024-07-16T00:00:00"/>
    <n v="3"/>
    <s v="Jul-2024"/>
    <x v="3"/>
    <n v="178.51"/>
    <x v="0"/>
    <n v="3"/>
  </r>
  <r>
    <s v="CLM01488"/>
    <s v="P0283"/>
    <s v="PR038"/>
    <s v="S009"/>
    <d v="2024-08-15T00:00:00"/>
    <d v="2024-08-18T00:00:00"/>
    <d v="2024-09-16T00:00:00"/>
    <n v="29"/>
    <s v="Aug-2024"/>
    <x v="3"/>
    <n v="178.49"/>
    <x v="0"/>
    <n v="29"/>
  </r>
  <r>
    <s v="CLM01710"/>
    <s v="P0188"/>
    <s v="PR007"/>
    <s v="S009"/>
    <d v="2023-02-12T00:00:00"/>
    <d v="2023-02-15T00:00:00"/>
    <d v="2023-02-23T00:00:00"/>
    <n v="8"/>
    <s v="Feb-2023"/>
    <x v="4"/>
    <n v="178.47"/>
    <x v="0"/>
    <n v="8"/>
  </r>
  <r>
    <s v="CLM00685"/>
    <s v="P0180"/>
    <s v="PR033"/>
    <s v="S008"/>
    <d v="2023-07-21T00:00:00"/>
    <d v="2023-07-22T00:00:00"/>
    <d v="2023-07-29T00:00:00"/>
    <n v="7"/>
    <s v="Jul-2023"/>
    <x v="0"/>
    <n v="178.23"/>
    <x v="1"/>
    <n v="7"/>
  </r>
  <r>
    <s v="CLM01455"/>
    <s v="P0410"/>
    <s v="PR031"/>
    <s v="S008"/>
    <d v="2024-03-18T00:00:00"/>
    <d v="2024-03-20T00:00:00"/>
    <d v="2024-04-07T00:00:00"/>
    <n v="18"/>
    <s v="Mar-2024"/>
    <x v="4"/>
    <n v="177.89"/>
    <x v="0"/>
    <n v="18"/>
  </r>
  <r>
    <s v="CLM00122"/>
    <s v="P0391"/>
    <s v="PR010"/>
    <s v="S008"/>
    <d v="2024-07-01T00:00:00"/>
    <d v="2024-07-02T00:00:00"/>
    <d v="2024-07-10T00:00:00"/>
    <n v="8"/>
    <s v="Jul-2024"/>
    <x v="4"/>
    <n v="176.75"/>
    <x v="0"/>
    <n v="8"/>
  </r>
  <r>
    <s v="CLM00770"/>
    <s v="P0038"/>
    <s v="PR026"/>
    <s v="S008"/>
    <d v="2024-03-10T00:00:00"/>
    <d v="2024-03-12T00:00:00"/>
    <d v="2024-04-01T00:00:00"/>
    <n v="20"/>
    <s v="Mar-2024"/>
    <x v="2"/>
    <n v="175.84"/>
    <x v="1"/>
    <n v="20"/>
  </r>
  <r>
    <s v="CLM00578"/>
    <s v="P0237"/>
    <s v="PR028"/>
    <s v="S008"/>
    <d v="2024-03-20T00:00:00"/>
    <d v="2024-03-25T00:00:00"/>
    <d v="2024-04-08T00:00:00"/>
    <n v="14"/>
    <s v="Mar-2024"/>
    <x v="4"/>
    <n v="175.82"/>
    <x v="0"/>
    <n v="14"/>
  </r>
  <r>
    <s v="CLM00071"/>
    <s v="P0267"/>
    <s v="PR038"/>
    <s v="S008"/>
    <d v="2024-02-05T00:00:00"/>
    <d v="2024-02-08T00:00:00"/>
    <d v="2024-03-02T00:00:00"/>
    <n v="23"/>
    <s v="Feb-2024"/>
    <x v="3"/>
    <n v="175.09"/>
    <x v="1"/>
    <n v="23"/>
  </r>
  <r>
    <s v="CLM00546"/>
    <s v="P0318"/>
    <s v="PR011"/>
    <s v="S008"/>
    <d v="2023-12-07T00:00:00"/>
    <d v="2023-12-09T00:00:00"/>
    <d v="2023-12-14T00:00:00"/>
    <n v="5"/>
    <s v="Dec-2023"/>
    <x v="2"/>
    <n v="174.38"/>
    <x v="0"/>
    <n v="5"/>
  </r>
  <r>
    <s v="CLM01271"/>
    <s v="P0187"/>
    <s v="PR024"/>
    <s v="S009"/>
    <d v="2024-03-25T00:00:00"/>
    <d v="2024-03-30T00:00:00"/>
    <d v="2024-04-19T00:00:00"/>
    <n v="20"/>
    <s v="Mar-2024"/>
    <x v="3"/>
    <n v="172.83"/>
    <x v="0"/>
    <n v="20"/>
  </r>
  <r>
    <s v="CLM01435"/>
    <s v="P0130"/>
    <s v="PR020"/>
    <s v="S009"/>
    <d v="2024-06-20T00:00:00"/>
    <d v="2024-06-21T00:00:00"/>
    <d v="2024-07-19T00:00:00"/>
    <n v="28"/>
    <s v="Jun-2024"/>
    <x v="2"/>
    <n v="172.73"/>
    <x v="1"/>
    <n v="28"/>
  </r>
  <r>
    <s v="CLM01580"/>
    <s v="P0173"/>
    <s v="PR008"/>
    <s v="S009"/>
    <d v="2023-07-16T00:00:00"/>
    <d v="2023-07-20T00:00:00"/>
    <d v="2023-07-27T00:00:00"/>
    <n v="7"/>
    <s v="Jul-2023"/>
    <x v="4"/>
    <n v="172.62"/>
    <x v="0"/>
    <n v="7"/>
  </r>
  <r>
    <s v="CLM00141"/>
    <s v="P0392"/>
    <s v="PR019"/>
    <s v="S008"/>
    <d v="2024-11-26T00:00:00"/>
    <d v="2024-11-30T00:00:00"/>
    <d v="2024-12-25T00:00:00"/>
    <n v="25"/>
    <s v="Nov-2024"/>
    <x v="2"/>
    <n v="172.61"/>
    <x v="0"/>
    <n v="25"/>
  </r>
  <r>
    <s v="CLM00550"/>
    <s v="P0337"/>
    <s v="PR001"/>
    <s v="S009"/>
    <d v="2023-12-29T00:00:00"/>
    <d v="2023-12-31T00:00:00"/>
    <d v="2024-01-18T00:00:00"/>
    <n v="18"/>
    <s v="Dec-2023"/>
    <x v="1"/>
    <n v="172.45"/>
    <x v="1"/>
    <n v="18"/>
  </r>
  <r>
    <s v="CLM00683"/>
    <s v="P0143"/>
    <s v="PR024"/>
    <s v="S009"/>
    <d v="2023-05-28T00:00:00"/>
    <d v="2023-05-30T00:00:00"/>
    <d v="2023-06-14T00:00:00"/>
    <n v="15"/>
    <s v="May-2023"/>
    <x v="2"/>
    <n v="172.07"/>
    <x v="0"/>
    <n v="15"/>
  </r>
  <r>
    <s v="CLM00322"/>
    <s v="P0296"/>
    <s v="PR024"/>
    <s v="S009"/>
    <d v="2024-01-07T00:00:00"/>
    <d v="2024-01-09T00:00:00"/>
    <d v="2024-01-31T00:00:00"/>
    <n v="22"/>
    <s v="Jan-2024"/>
    <x v="2"/>
    <n v="171.82"/>
    <x v="0"/>
    <n v="22"/>
  </r>
  <r>
    <s v="CLM01827"/>
    <s v="P0348"/>
    <s v="PR003"/>
    <s v="S008"/>
    <d v="2024-01-24T00:00:00"/>
    <d v="2024-01-26T00:00:00"/>
    <d v="2024-02-05T00:00:00"/>
    <n v="10"/>
    <s v="Jan-2024"/>
    <x v="2"/>
    <n v="171.15"/>
    <x v="0"/>
    <n v="10"/>
  </r>
  <r>
    <s v="CLM00518"/>
    <s v="P0393"/>
    <s v="PR018"/>
    <s v="S008"/>
    <d v="2024-10-26T00:00:00"/>
    <d v="2024-10-29T00:00:00"/>
    <d v="2024-11-16T00:00:00"/>
    <n v="18"/>
    <s v="Oct-2024"/>
    <x v="4"/>
    <n v="170.89"/>
    <x v="0"/>
    <n v="18"/>
  </r>
  <r>
    <s v="CLM00272"/>
    <s v="P0203"/>
    <s v="PR004"/>
    <s v="S009"/>
    <d v="2023-07-29T00:00:00"/>
    <d v="2023-07-31T00:00:00"/>
    <d v="2023-08-25T00:00:00"/>
    <n v="25"/>
    <s v="Jul-2023"/>
    <x v="2"/>
    <n v="170.63"/>
    <x v="0"/>
    <n v="25"/>
  </r>
  <r>
    <s v="CLM01985"/>
    <s v="P0155"/>
    <s v="PR001"/>
    <s v="S009"/>
    <d v="2023-11-29T00:00:00"/>
    <d v="2023-12-02T00:00:00"/>
    <d v="2023-12-11T00:00:00"/>
    <n v="9"/>
    <s v="Nov-2023"/>
    <x v="4"/>
    <n v="170.62"/>
    <x v="0"/>
    <n v="9"/>
  </r>
  <r>
    <s v="CLM01970"/>
    <s v="P0019"/>
    <s v="PR038"/>
    <s v="S009"/>
    <d v="2024-03-10T00:00:00"/>
    <d v="2024-03-11T00:00:00"/>
    <d v="2024-04-07T00:00:00"/>
    <n v="27"/>
    <s v="Mar-2024"/>
    <x v="2"/>
    <n v="170.5"/>
    <x v="0"/>
    <n v="27"/>
  </r>
  <r>
    <s v="CLM00193"/>
    <s v="P0163"/>
    <s v="PR013"/>
    <s v="S009"/>
    <d v="2024-02-27T00:00:00"/>
    <d v="2024-02-28T00:00:00"/>
    <d v="2024-03-25T00:00:00"/>
    <n v="26"/>
    <s v="Feb-2024"/>
    <x v="2"/>
    <n v="170.15"/>
    <x v="0"/>
    <n v="26"/>
  </r>
  <r>
    <s v="CLM01596"/>
    <s v="P0294"/>
    <s v="PR038"/>
    <s v="S008"/>
    <d v="2024-04-21T00:00:00"/>
    <d v="2024-04-24T00:00:00"/>
    <d v="2024-05-12T00:00:00"/>
    <n v="18"/>
    <s v="Apr-2024"/>
    <x v="2"/>
    <n v="169.74"/>
    <x v="0"/>
    <n v="18"/>
  </r>
  <r>
    <s v="CLM01298"/>
    <s v="P0375"/>
    <s v="PR001"/>
    <s v="S009"/>
    <d v="2023-06-20T00:00:00"/>
    <d v="2023-06-23T00:00:00"/>
    <d v="2023-07-02T00:00:00"/>
    <n v="9"/>
    <s v="Jun-2023"/>
    <x v="2"/>
    <n v="169.21"/>
    <x v="0"/>
    <n v="9"/>
  </r>
  <r>
    <s v="CLM01339"/>
    <s v="P0228"/>
    <s v="PR023"/>
    <s v="S009"/>
    <d v="2023-11-20T00:00:00"/>
    <d v="2023-11-21T00:00:00"/>
    <d v="2023-12-20T00:00:00"/>
    <n v="29"/>
    <s v="Nov-2023"/>
    <x v="2"/>
    <n v="169.03"/>
    <x v="0"/>
    <n v="29"/>
  </r>
  <r>
    <s v="CLM01743"/>
    <s v="P0200"/>
    <s v="PR036"/>
    <s v="S009"/>
    <d v="2023-10-02T00:00:00"/>
    <d v="2023-10-03T00:00:00"/>
    <d v="2023-10-26T00:00:00"/>
    <n v="23"/>
    <s v="Oct-2023"/>
    <x v="1"/>
    <n v="168.86"/>
    <x v="0"/>
    <n v="23"/>
  </r>
  <r>
    <s v="CLM01693"/>
    <s v="P0193"/>
    <s v="PR016"/>
    <s v="S009"/>
    <d v="2023-06-15T00:00:00"/>
    <d v="2023-06-18T00:00:00"/>
    <d v="2023-06-30T00:00:00"/>
    <n v="12"/>
    <s v="Jun-2023"/>
    <x v="4"/>
    <n v="168.5"/>
    <x v="0"/>
    <n v="12"/>
  </r>
  <r>
    <s v="CLM00789"/>
    <s v="P0247"/>
    <s v="PR036"/>
    <s v="S008"/>
    <d v="2024-11-15T00:00:00"/>
    <d v="2024-11-19T00:00:00"/>
    <d v="2024-11-25T00:00:00"/>
    <n v="6"/>
    <s v="Nov-2024"/>
    <x v="1"/>
    <n v="168.03"/>
    <x v="0"/>
    <n v="6"/>
  </r>
  <r>
    <s v="CLM01692"/>
    <s v="P0451"/>
    <s v="PR015"/>
    <s v="S009"/>
    <d v="2023-06-25T00:00:00"/>
    <d v="2023-06-28T00:00:00"/>
    <d v="2023-07-14T00:00:00"/>
    <n v="16"/>
    <s v="Jun-2023"/>
    <x v="0"/>
    <n v="167.91"/>
    <x v="0"/>
    <n v="16"/>
  </r>
  <r>
    <s v="CLM01100"/>
    <s v="P0400"/>
    <s v="PR034"/>
    <s v="S009"/>
    <d v="2023-07-07T00:00:00"/>
    <d v="2023-07-11T00:00:00"/>
    <d v="2023-07-31T00:00:00"/>
    <n v="20"/>
    <s v="Jul-2023"/>
    <x v="0"/>
    <n v="166.77"/>
    <x v="0"/>
    <n v="20"/>
  </r>
  <r>
    <s v="CLM01294"/>
    <s v="P0072"/>
    <s v="PR027"/>
    <s v="S009"/>
    <d v="2024-09-04T00:00:00"/>
    <d v="2024-09-08T00:00:00"/>
    <d v="2024-09-15T00:00:00"/>
    <n v="7"/>
    <s v="Sep-2024"/>
    <x v="0"/>
    <n v="166.3"/>
    <x v="0"/>
    <n v="7"/>
  </r>
  <r>
    <s v="CLM00480"/>
    <s v="P0408"/>
    <s v="PR022"/>
    <s v="S009"/>
    <d v="2023-03-06T00:00:00"/>
    <d v="2023-03-11T00:00:00"/>
    <m/>
    <s v=""/>
    <s v="Mar-2023"/>
    <x v="2"/>
    <n v="166.13"/>
    <x v="2"/>
    <m/>
  </r>
  <r>
    <s v="CLM01999"/>
    <s v="P0180"/>
    <s v="PR011"/>
    <s v="S008"/>
    <d v="2024-05-21T00:00:00"/>
    <d v="2024-05-25T00:00:00"/>
    <d v="2024-06-07T00:00:00"/>
    <n v="13"/>
    <s v="May-2024"/>
    <x v="0"/>
    <n v="166.05"/>
    <x v="0"/>
    <n v="13"/>
  </r>
  <r>
    <s v="CLM01219"/>
    <s v="P0372"/>
    <s v="PR006"/>
    <s v="S008"/>
    <d v="2023-10-21T00:00:00"/>
    <d v="2023-10-25T00:00:00"/>
    <d v="2023-11-24T00:00:00"/>
    <n v="30"/>
    <s v="Oct-2023"/>
    <x v="4"/>
    <n v="166.03"/>
    <x v="0"/>
    <n v="30"/>
  </r>
  <r>
    <s v="CLM01472"/>
    <s v="P0106"/>
    <s v="PR027"/>
    <s v="S009"/>
    <d v="2024-07-16T00:00:00"/>
    <d v="2024-07-19T00:00:00"/>
    <d v="2024-08-04T00:00:00"/>
    <n v="16"/>
    <s v="Jul-2024"/>
    <x v="0"/>
    <n v="165.74"/>
    <x v="0"/>
    <n v="16"/>
  </r>
  <r>
    <s v="CLM01667"/>
    <s v="P0450"/>
    <s v="PR039"/>
    <s v="S009"/>
    <d v="2023-06-03T00:00:00"/>
    <d v="2023-06-06T00:00:00"/>
    <d v="2023-06-25T00:00:00"/>
    <n v="19"/>
    <s v="Jun-2023"/>
    <x v="1"/>
    <n v="165.72"/>
    <x v="0"/>
    <n v="19"/>
  </r>
  <r>
    <s v="CLM00466"/>
    <s v="P0031"/>
    <s v="PR025"/>
    <s v="S008"/>
    <d v="2024-07-15T00:00:00"/>
    <d v="2024-07-16T00:00:00"/>
    <d v="2024-08-11T00:00:00"/>
    <n v="26"/>
    <s v="Jul-2024"/>
    <x v="1"/>
    <n v="165.37"/>
    <x v="0"/>
    <n v="26"/>
  </r>
  <r>
    <s v="CLM01887"/>
    <s v="P0230"/>
    <s v="PR011"/>
    <s v="S009"/>
    <d v="2024-06-23T00:00:00"/>
    <d v="2024-06-26T00:00:00"/>
    <d v="2024-07-26T00:00:00"/>
    <n v="30"/>
    <s v="Jun-2024"/>
    <x v="2"/>
    <n v="165.26"/>
    <x v="0"/>
    <n v="30"/>
  </r>
  <r>
    <s v="CLM01813"/>
    <s v="P0381"/>
    <s v="PR013"/>
    <s v="S009"/>
    <d v="2023-05-20T00:00:00"/>
    <d v="2023-05-23T00:00:00"/>
    <d v="2023-05-26T00:00:00"/>
    <n v="3"/>
    <s v="May-2023"/>
    <x v="2"/>
    <n v="164.63"/>
    <x v="0"/>
    <n v="3"/>
  </r>
  <r>
    <s v="CLM01559"/>
    <s v="P0101"/>
    <s v="PR018"/>
    <s v="S009"/>
    <d v="2023-05-04T00:00:00"/>
    <d v="2023-05-06T00:00:00"/>
    <d v="2023-05-24T00:00:00"/>
    <n v="18"/>
    <s v="May-2023"/>
    <x v="4"/>
    <n v="164.2"/>
    <x v="0"/>
    <n v="18"/>
  </r>
  <r>
    <s v="CLM01959"/>
    <s v="P0442"/>
    <s v="PR013"/>
    <s v="S008"/>
    <d v="2024-12-18T00:00:00"/>
    <d v="2024-12-23T00:00:00"/>
    <d v="2025-01-22T00:00:00"/>
    <n v="30"/>
    <s v="Dec-2024"/>
    <x v="2"/>
    <n v="164.01"/>
    <x v="1"/>
    <n v="30"/>
  </r>
  <r>
    <s v="CLM01838"/>
    <s v="P0026"/>
    <s v="PR004"/>
    <s v="S009"/>
    <d v="2024-06-30T00:00:00"/>
    <d v="2024-07-02T00:00:00"/>
    <d v="2024-07-16T00:00:00"/>
    <n v="14"/>
    <s v="Jun-2024"/>
    <x v="1"/>
    <n v="163.72"/>
    <x v="0"/>
    <n v="14"/>
  </r>
  <r>
    <s v="CLM00140"/>
    <s v="P0028"/>
    <s v="PR033"/>
    <s v="S009"/>
    <d v="2023-08-16T00:00:00"/>
    <d v="2023-08-17T00:00:00"/>
    <d v="2023-09-03T00:00:00"/>
    <n v="17"/>
    <s v="Aug-2023"/>
    <x v="2"/>
    <n v="163.58000000000001"/>
    <x v="0"/>
    <n v="17"/>
  </r>
  <r>
    <s v="CLM01382"/>
    <s v="P0329"/>
    <s v="PR007"/>
    <s v="S009"/>
    <d v="2023-04-22T00:00:00"/>
    <d v="2023-04-25T00:00:00"/>
    <d v="2023-05-08T00:00:00"/>
    <n v="13"/>
    <s v="Apr-2023"/>
    <x v="4"/>
    <n v="163.5"/>
    <x v="0"/>
    <n v="13"/>
  </r>
  <r>
    <s v="CLM01547"/>
    <s v="P0124"/>
    <s v="PR001"/>
    <s v="S008"/>
    <d v="2023-01-22T00:00:00"/>
    <d v="2023-01-25T00:00:00"/>
    <d v="2023-02-23T00:00:00"/>
    <n v="29"/>
    <s v="Jan-2023"/>
    <x v="1"/>
    <n v="163.24"/>
    <x v="0"/>
    <n v="29"/>
  </r>
  <r>
    <s v="CLM01074"/>
    <s v="P0360"/>
    <s v="PR012"/>
    <s v="S008"/>
    <d v="2023-11-09T00:00:00"/>
    <d v="2023-11-10T00:00:00"/>
    <d v="2023-11-24T00:00:00"/>
    <n v="14"/>
    <s v="Nov-2023"/>
    <x v="4"/>
    <n v="163.13"/>
    <x v="0"/>
    <n v="14"/>
  </r>
  <r>
    <s v="CLM00661"/>
    <s v="P0210"/>
    <s v="PR012"/>
    <s v="S009"/>
    <d v="2023-06-05T00:00:00"/>
    <d v="2023-06-10T00:00:00"/>
    <d v="2023-07-06T00:00:00"/>
    <n v="26"/>
    <s v="Jun-2023"/>
    <x v="1"/>
    <n v="163.11000000000001"/>
    <x v="0"/>
    <n v="26"/>
  </r>
  <r>
    <s v="CLM01651"/>
    <s v="P0438"/>
    <s v="PR027"/>
    <s v="S008"/>
    <d v="2024-12-19T00:00:00"/>
    <d v="2024-12-22T00:00:00"/>
    <d v="2025-01-11T00:00:00"/>
    <n v="20"/>
    <s v="Dec-2024"/>
    <x v="1"/>
    <n v="162.80000000000001"/>
    <x v="0"/>
    <n v="20"/>
  </r>
  <r>
    <s v="CLM01480"/>
    <s v="P0306"/>
    <s v="PR029"/>
    <s v="S008"/>
    <d v="2023-07-17T00:00:00"/>
    <d v="2023-07-21T00:00:00"/>
    <d v="2023-08-12T00:00:00"/>
    <n v="22"/>
    <s v="Jul-2023"/>
    <x v="2"/>
    <n v="162.76"/>
    <x v="0"/>
    <n v="22"/>
  </r>
  <r>
    <s v="CLM01481"/>
    <s v="P0171"/>
    <s v="PR008"/>
    <s v="S009"/>
    <d v="2023-01-01T00:00:00"/>
    <d v="2023-01-04T00:00:00"/>
    <m/>
    <s v=""/>
    <s v="Jan-2023"/>
    <x v="2"/>
    <n v="162.24"/>
    <x v="2"/>
    <m/>
  </r>
  <r>
    <s v="CLM01974"/>
    <s v="P0254"/>
    <s v="PR003"/>
    <s v="S008"/>
    <d v="2024-10-09T00:00:00"/>
    <d v="2024-10-12T00:00:00"/>
    <d v="2024-10-17T00:00:00"/>
    <n v="5"/>
    <s v="Oct-2024"/>
    <x v="2"/>
    <n v="162"/>
    <x v="0"/>
    <n v="5"/>
  </r>
  <r>
    <s v="CLM01532"/>
    <s v="P0424"/>
    <s v="PR011"/>
    <s v="S009"/>
    <d v="2023-08-28T00:00:00"/>
    <d v="2023-09-01T00:00:00"/>
    <d v="2023-09-15T00:00:00"/>
    <n v="14"/>
    <s v="Aug-2023"/>
    <x v="1"/>
    <n v="161.5"/>
    <x v="0"/>
    <n v="14"/>
  </r>
  <r>
    <s v="CLM00072"/>
    <s v="P0054"/>
    <s v="PR034"/>
    <s v="S009"/>
    <d v="2023-07-17T00:00:00"/>
    <d v="2023-07-21T00:00:00"/>
    <d v="2023-07-26T00:00:00"/>
    <n v="5"/>
    <s v="Jul-2023"/>
    <x v="2"/>
    <n v="161.46"/>
    <x v="0"/>
    <n v="5"/>
  </r>
  <r>
    <s v="CLM00153"/>
    <s v="P0316"/>
    <s v="PR022"/>
    <s v="S009"/>
    <d v="2024-11-02T00:00:00"/>
    <d v="2024-11-05T00:00:00"/>
    <d v="2024-11-12T00:00:00"/>
    <n v="7"/>
    <s v="Nov-2024"/>
    <x v="1"/>
    <n v="160.9"/>
    <x v="0"/>
    <n v="7"/>
  </r>
  <r>
    <s v="CLM01279"/>
    <s v="P0239"/>
    <s v="PR030"/>
    <s v="S009"/>
    <d v="2024-05-09T00:00:00"/>
    <d v="2024-05-13T00:00:00"/>
    <d v="2024-06-02T00:00:00"/>
    <n v="20"/>
    <s v="May-2024"/>
    <x v="1"/>
    <n v="159.6"/>
    <x v="0"/>
    <n v="20"/>
  </r>
  <r>
    <s v="CLM01130"/>
    <s v="P0483"/>
    <s v="PR015"/>
    <s v="S009"/>
    <d v="2024-10-08T00:00:00"/>
    <d v="2024-10-11T00:00:00"/>
    <d v="2024-11-08T00:00:00"/>
    <n v="28"/>
    <s v="Oct-2024"/>
    <x v="2"/>
    <n v="159.56"/>
    <x v="0"/>
    <n v="28"/>
  </r>
  <r>
    <s v="CLM01305"/>
    <s v="P0254"/>
    <s v="PR018"/>
    <s v="S009"/>
    <d v="2024-09-04T00:00:00"/>
    <d v="2024-09-06T00:00:00"/>
    <d v="2024-09-26T00:00:00"/>
    <n v="20"/>
    <s v="Sep-2024"/>
    <x v="2"/>
    <n v="159.01"/>
    <x v="0"/>
    <n v="20"/>
  </r>
  <r>
    <s v="CLM00784"/>
    <s v="P0058"/>
    <s v="PR024"/>
    <s v="S009"/>
    <d v="2024-10-20T00:00:00"/>
    <d v="2024-10-24T00:00:00"/>
    <d v="2024-10-28T00:00:00"/>
    <n v="4"/>
    <s v="Oct-2024"/>
    <x v="4"/>
    <n v="158.9"/>
    <x v="1"/>
    <n v="4"/>
  </r>
  <r>
    <s v="CLM01391"/>
    <s v="P0441"/>
    <s v="PR019"/>
    <s v="S009"/>
    <d v="2024-01-02T00:00:00"/>
    <d v="2024-01-03T00:00:00"/>
    <d v="2024-01-23T00:00:00"/>
    <n v="20"/>
    <s v="Jan-2024"/>
    <x v="2"/>
    <n v="158.71"/>
    <x v="0"/>
    <n v="20"/>
  </r>
  <r>
    <s v="CLM01223"/>
    <s v="P0281"/>
    <s v="PR001"/>
    <s v="S009"/>
    <d v="2023-07-29T00:00:00"/>
    <d v="2023-07-31T00:00:00"/>
    <d v="2023-08-17T00:00:00"/>
    <n v="17"/>
    <s v="Jul-2023"/>
    <x v="4"/>
    <n v="158.63"/>
    <x v="0"/>
    <n v="17"/>
  </r>
  <r>
    <s v="CLM01287"/>
    <s v="P0246"/>
    <s v="PR032"/>
    <s v="S009"/>
    <d v="2023-04-03T00:00:00"/>
    <d v="2023-04-04T00:00:00"/>
    <d v="2023-04-25T00:00:00"/>
    <n v="21"/>
    <s v="Apr-2023"/>
    <x v="1"/>
    <n v="157.29"/>
    <x v="0"/>
    <n v="21"/>
  </r>
  <r>
    <s v="CLM01230"/>
    <s v="P0025"/>
    <s v="PR038"/>
    <s v="S009"/>
    <d v="2023-04-03T00:00:00"/>
    <d v="2023-04-08T00:00:00"/>
    <d v="2023-04-21T00:00:00"/>
    <n v="13"/>
    <s v="Apr-2023"/>
    <x v="2"/>
    <n v="156.85"/>
    <x v="1"/>
    <n v="13"/>
  </r>
  <r>
    <s v="CLM01728"/>
    <s v="P0141"/>
    <s v="PR001"/>
    <s v="S009"/>
    <d v="2023-10-23T00:00:00"/>
    <d v="2023-10-24T00:00:00"/>
    <d v="2023-11-08T00:00:00"/>
    <n v="15"/>
    <s v="Oct-2023"/>
    <x v="2"/>
    <n v="155.47999999999999"/>
    <x v="0"/>
    <n v="15"/>
  </r>
  <r>
    <s v="CLM00054"/>
    <s v="P0215"/>
    <s v="PR008"/>
    <s v="S009"/>
    <d v="2023-04-27T00:00:00"/>
    <d v="2023-05-02T00:00:00"/>
    <d v="2023-05-21T00:00:00"/>
    <n v="19"/>
    <s v="Apr-2023"/>
    <x v="4"/>
    <n v="155.28"/>
    <x v="0"/>
    <n v="19"/>
  </r>
  <r>
    <s v="CLM00952"/>
    <s v="P0423"/>
    <s v="PR010"/>
    <s v="S009"/>
    <d v="2024-07-19T00:00:00"/>
    <d v="2024-07-23T00:00:00"/>
    <d v="2024-08-03T00:00:00"/>
    <n v="11"/>
    <s v="Jul-2024"/>
    <x v="2"/>
    <n v="154.07"/>
    <x v="0"/>
    <n v="11"/>
  </r>
  <r>
    <s v="CLM00614"/>
    <s v="P0084"/>
    <s v="PR007"/>
    <s v="S009"/>
    <d v="2024-07-16T00:00:00"/>
    <d v="2024-07-19T00:00:00"/>
    <d v="2024-08-14T00:00:00"/>
    <n v="26"/>
    <s v="Jul-2024"/>
    <x v="1"/>
    <n v="152.63999999999999"/>
    <x v="0"/>
    <n v="26"/>
  </r>
  <r>
    <s v="CLM01070"/>
    <s v="P0416"/>
    <s v="PR005"/>
    <s v="S009"/>
    <d v="2023-09-09T00:00:00"/>
    <d v="2023-09-10T00:00:00"/>
    <m/>
    <s v=""/>
    <s v="Sep-2023"/>
    <x v="2"/>
    <n v="152.29"/>
    <x v="2"/>
    <m/>
  </r>
  <r>
    <s v="CLM01924"/>
    <s v="P0413"/>
    <s v="PR018"/>
    <s v="S009"/>
    <d v="2023-01-17T00:00:00"/>
    <d v="2023-01-21T00:00:00"/>
    <d v="2023-02-18T00:00:00"/>
    <n v="28"/>
    <s v="Jan-2023"/>
    <x v="0"/>
    <n v="151.94999999999999"/>
    <x v="1"/>
    <n v="28"/>
  </r>
  <r>
    <s v="CLM00748"/>
    <s v="P0233"/>
    <s v="PR016"/>
    <s v="S009"/>
    <d v="2024-01-14T00:00:00"/>
    <d v="2024-01-19T00:00:00"/>
    <d v="2024-01-23T00:00:00"/>
    <n v="4"/>
    <s v="Jan-2024"/>
    <x v="4"/>
    <n v="151.53"/>
    <x v="0"/>
    <n v="4"/>
  </r>
  <r>
    <s v="CLM01507"/>
    <s v="P0296"/>
    <s v="PR028"/>
    <s v="S009"/>
    <d v="2023-07-11T00:00:00"/>
    <d v="2023-07-13T00:00:00"/>
    <d v="2023-07-21T00:00:00"/>
    <n v="8"/>
    <s v="Jul-2023"/>
    <x v="2"/>
    <n v="151.44999999999999"/>
    <x v="0"/>
    <n v="8"/>
  </r>
  <r>
    <s v="CLM01251"/>
    <s v="P0405"/>
    <s v="PR017"/>
    <s v="S015"/>
    <d v="2024-11-29T00:00:00"/>
    <d v="2024-12-01T00:00:00"/>
    <d v="2024-12-19T00:00:00"/>
    <n v="18"/>
    <s v="Nov-2024"/>
    <x v="4"/>
    <n v="149.82"/>
    <x v="0"/>
    <n v="18"/>
  </r>
  <r>
    <s v="CLM01590"/>
    <s v="P0096"/>
    <s v="PR016"/>
    <s v="S015"/>
    <d v="2024-08-13T00:00:00"/>
    <d v="2024-08-17T00:00:00"/>
    <d v="2024-09-08T00:00:00"/>
    <n v="22"/>
    <s v="Aug-2024"/>
    <x v="0"/>
    <n v="149.66"/>
    <x v="1"/>
    <n v="22"/>
  </r>
  <r>
    <s v="CLM00169"/>
    <s v="P0230"/>
    <s v="PR032"/>
    <s v="S015"/>
    <d v="2023-05-11T00:00:00"/>
    <d v="2023-05-14T00:00:00"/>
    <d v="2023-05-26T00:00:00"/>
    <n v="12"/>
    <s v="May-2023"/>
    <x v="2"/>
    <n v="149.46"/>
    <x v="0"/>
    <n v="12"/>
  </r>
  <r>
    <s v="CLM00234"/>
    <s v="P0025"/>
    <s v="PR033"/>
    <s v="S009"/>
    <d v="2023-03-20T00:00:00"/>
    <d v="2023-03-25T00:00:00"/>
    <d v="2023-03-29T00:00:00"/>
    <n v="4"/>
    <s v="Mar-2023"/>
    <x v="2"/>
    <n v="148.44"/>
    <x v="0"/>
    <n v="4"/>
  </r>
  <r>
    <s v="CLM01208"/>
    <s v="P0113"/>
    <s v="PR021"/>
    <s v="S009"/>
    <d v="2023-09-05T00:00:00"/>
    <d v="2023-09-10T00:00:00"/>
    <d v="2023-09-26T00:00:00"/>
    <n v="16"/>
    <s v="Sep-2023"/>
    <x v="4"/>
    <n v="148.32"/>
    <x v="0"/>
    <n v="16"/>
  </r>
  <r>
    <s v="CLM01222"/>
    <s v="P0030"/>
    <s v="PR033"/>
    <s v="S009"/>
    <d v="2024-03-21T00:00:00"/>
    <d v="2024-03-26T00:00:00"/>
    <d v="2024-04-10T00:00:00"/>
    <n v="15"/>
    <s v="Mar-2024"/>
    <x v="2"/>
    <n v="147.94999999999999"/>
    <x v="0"/>
    <n v="15"/>
  </r>
  <r>
    <s v="CLM01897"/>
    <s v="P0401"/>
    <s v="PR019"/>
    <s v="S015"/>
    <d v="2024-02-16T00:00:00"/>
    <d v="2024-02-20T00:00:00"/>
    <m/>
    <s v=""/>
    <s v="Feb-2024"/>
    <x v="3"/>
    <n v="147.62"/>
    <x v="2"/>
    <m/>
  </r>
  <r>
    <s v="CLM01490"/>
    <s v="P0182"/>
    <s v="PR030"/>
    <s v="S009"/>
    <d v="2024-11-11T00:00:00"/>
    <d v="2024-11-12T00:00:00"/>
    <d v="2024-11-20T00:00:00"/>
    <n v="8"/>
    <s v="Nov-2024"/>
    <x v="2"/>
    <n v="147.46"/>
    <x v="1"/>
    <n v="8"/>
  </r>
  <r>
    <s v="CLM01280"/>
    <s v="P0304"/>
    <s v="PR024"/>
    <s v="S015"/>
    <d v="2024-08-28T00:00:00"/>
    <d v="2024-09-02T00:00:00"/>
    <d v="2024-09-10T00:00:00"/>
    <n v="8"/>
    <s v="Aug-2024"/>
    <x v="2"/>
    <n v="147.41999999999999"/>
    <x v="0"/>
    <n v="8"/>
  </r>
  <r>
    <s v="CLM00583"/>
    <s v="P0096"/>
    <s v="PR023"/>
    <s v="S015"/>
    <d v="2023-09-07T00:00:00"/>
    <d v="2023-09-11T00:00:00"/>
    <d v="2023-09-15T00:00:00"/>
    <n v="4"/>
    <s v="Sep-2023"/>
    <x v="0"/>
    <n v="147.35"/>
    <x v="1"/>
    <n v="4"/>
  </r>
  <r>
    <s v="CLM01979"/>
    <s v="P0033"/>
    <s v="PR005"/>
    <s v="S015"/>
    <d v="2023-10-19T00:00:00"/>
    <d v="2023-10-24T00:00:00"/>
    <d v="2023-11-12T00:00:00"/>
    <n v="19"/>
    <s v="Oct-2023"/>
    <x v="4"/>
    <n v="147.22"/>
    <x v="0"/>
    <n v="19"/>
  </r>
  <r>
    <s v="CLM01475"/>
    <s v="P0108"/>
    <s v="PR002"/>
    <s v="S009"/>
    <d v="2023-03-29T00:00:00"/>
    <d v="2023-04-03T00:00:00"/>
    <d v="2023-04-23T00:00:00"/>
    <n v="20"/>
    <s v="Mar-2023"/>
    <x v="0"/>
    <n v="146.69999999999999"/>
    <x v="1"/>
    <n v="20"/>
  </r>
  <r>
    <s v="CLM01370"/>
    <s v="P0034"/>
    <s v="PR006"/>
    <s v="S009"/>
    <d v="2024-10-06T00:00:00"/>
    <d v="2024-10-08T00:00:00"/>
    <d v="2024-11-04T00:00:00"/>
    <n v="27"/>
    <s v="Oct-2024"/>
    <x v="0"/>
    <n v="146.63"/>
    <x v="0"/>
    <n v="27"/>
  </r>
  <r>
    <s v="CLM01657"/>
    <s v="P0251"/>
    <s v="PR006"/>
    <s v="S015"/>
    <d v="2023-11-22T00:00:00"/>
    <d v="2023-11-27T00:00:00"/>
    <d v="2023-12-25T00:00:00"/>
    <n v="28"/>
    <s v="Nov-2023"/>
    <x v="3"/>
    <n v="146.52000000000001"/>
    <x v="0"/>
    <n v="28"/>
  </r>
  <r>
    <s v="CLM00249"/>
    <s v="P0343"/>
    <s v="PR018"/>
    <s v="S015"/>
    <d v="2024-11-09T00:00:00"/>
    <d v="2024-11-11T00:00:00"/>
    <d v="2024-12-10T00:00:00"/>
    <n v="29"/>
    <s v="Nov-2024"/>
    <x v="3"/>
    <n v="146.38"/>
    <x v="1"/>
    <n v="29"/>
  </r>
  <r>
    <s v="CLM01700"/>
    <s v="P0194"/>
    <s v="PR004"/>
    <s v="S009"/>
    <d v="2023-12-07T00:00:00"/>
    <d v="2023-12-09T00:00:00"/>
    <d v="2023-12-16T00:00:00"/>
    <n v="7"/>
    <s v="Dec-2023"/>
    <x v="1"/>
    <n v="146.32"/>
    <x v="1"/>
    <n v="7"/>
  </r>
  <r>
    <s v="CLM01354"/>
    <s v="P0281"/>
    <s v="PR018"/>
    <s v="S015"/>
    <d v="2024-08-02T00:00:00"/>
    <d v="2024-08-07T00:00:00"/>
    <d v="2024-08-22T00:00:00"/>
    <n v="15"/>
    <s v="Aug-2024"/>
    <x v="4"/>
    <n v="145.80000000000001"/>
    <x v="0"/>
    <n v="15"/>
  </r>
  <r>
    <s v="CLM00756"/>
    <s v="P0115"/>
    <s v="PR029"/>
    <s v="S015"/>
    <d v="2023-12-07T00:00:00"/>
    <d v="2023-12-12T00:00:00"/>
    <d v="2023-12-24T00:00:00"/>
    <n v="12"/>
    <s v="Dec-2023"/>
    <x v="1"/>
    <n v="145.59"/>
    <x v="0"/>
    <n v="12"/>
  </r>
  <r>
    <s v="CLM01369"/>
    <s v="P0471"/>
    <s v="PR014"/>
    <s v="S015"/>
    <d v="2024-07-05T00:00:00"/>
    <d v="2024-07-08T00:00:00"/>
    <d v="2024-07-14T00:00:00"/>
    <n v="6"/>
    <s v="Jul-2024"/>
    <x v="1"/>
    <n v="145.16999999999999"/>
    <x v="0"/>
    <n v="6"/>
  </r>
  <r>
    <s v="CLM00747"/>
    <s v="P0200"/>
    <s v="PR036"/>
    <s v="S015"/>
    <d v="2023-12-31T00:00:00"/>
    <d v="2024-01-03T00:00:00"/>
    <d v="2024-01-11T00:00:00"/>
    <n v="8"/>
    <s v="Dec-2023"/>
    <x v="1"/>
    <n v="144.91"/>
    <x v="0"/>
    <n v="8"/>
  </r>
  <r>
    <s v="CLM01511"/>
    <s v="P0374"/>
    <s v="PR027"/>
    <s v="S015"/>
    <d v="2024-06-27T00:00:00"/>
    <d v="2024-07-01T00:00:00"/>
    <d v="2024-07-28T00:00:00"/>
    <n v="27"/>
    <s v="Jun-2024"/>
    <x v="2"/>
    <n v="144.36000000000001"/>
    <x v="0"/>
    <n v="27"/>
  </r>
  <r>
    <s v="CLM01234"/>
    <s v="P0494"/>
    <s v="PR023"/>
    <s v="S015"/>
    <d v="2023-08-23T00:00:00"/>
    <d v="2023-08-25T00:00:00"/>
    <d v="2023-09-04T00:00:00"/>
    <n v="10"/>
    <s v="Aug-2023"/>
    <x v="2"/>
    <n v="144.06"/>
    <x v="0"/>
    <n v="10"/>
  </r>
  <r>
    <s v="CLM01285"/>
    <s v="P0388"/>
    <s v="PR001"/>
    <s v="S009"/>
    <d v="2024-08-18T00:00:00"/>
    <d v="2024-08-21T00:00:00"/>
    <d v="2024-09-04T00:00:00"/>
    <n v="14"/>
    <s v="Aug-2024"/>
    <x v="4"/>
    <n v="143.93"/>
    <x v="0"/>
    <n v="14"/>
  </r>
  <r>
    <s v="CLM01953"/>
    <s v="P0181"/>
    <s v="PR014"/>
    <s v="S015"/>
    <d v="2023-12-02T00:00:00"/>
    <d v="2023-12-04T00:00:00"/>
    <d v="2023-12-29T00:00:00"/>
    <n v="25"/>
    <s v="Dec-2023"/>
    <x v="0"/>
    <n v="143.87"/>
    <x v="0"/>
    <n v="25"/>
  </r>
  <r>
    <s v="CLM01848"/>
    <s v="P0286"/>
    <s v="PR032"/>
    <s v="S015"/>
    <d v="2024-04-15T00:00:00"/>
    <d v="2024-04-19T00:00:00"/>
    <d v="2024-04-29T00:00:00"/>
    <n v="10"/>
    <s v="Apr-2024"/>
    <x v="4"/>
    <n v="143.81"/>
    <x v="0"/>
    <n v="10"/>
  </r>
  <r>
    <s v="CLM01463"/>
    <s v="P0348"/>
    <s v="PR016"/>
    <s v="S009"/>
    <d v="2024-05-19T00:00:00"/>
    <d v="2024-05-24T00:00:00"/>
    <m/>
    <s v=""/>
    <s v="May-2024"/>
    <x v="2"/>
    <n v="142.54"/>
    <x v="2"/>
    <m/>
  </r>
  <r>
    <s v="CLM01422"/>
    <s v="P0163"/>
    <s v="PR035"/>
    <s v="S015"/>
    <d v="2023-07-31T00:00:00"/>
    <d v="2023-08-05T00:00:00"/>
    <d v="2023-09-04T00:00:00"/>
    <n v="30"/>
    <s v="Jul-2023"/>
    <x v="2"/>
    <n v="141.97999999999999"/>
    <x v="1"/>
    <n v="30"/>
  </r>
  <r>
    <s v="CLM01856"/>
    <s v="P0093"/>
    <s v="PR030"/>
    <s v="S009"/>
    <d v="2024-10-14T00:00:00"/>
    <d v="2024-10-15T00:00:00"/>
    <d v="2024-10-23T00:00:00"/>
    <n v="8"/>
    <s v="Oct-2024"/>
    <x v="2"/>
    <n v="141.91999999999999"/>
    <x v="0"/>
    <n v="8"/>
  </r>
  <r>
    <s v="CLM01562"/>
    <s v="P0125"/>
    <s v="PR009"/>
    <s v="S009"/>
    <d v="2023-05-06T00:00:00"/>
    <d v="2023-05-10T00:00:00"/>
    <d v="2023-05-20T00:00:00"/>
    <n v="10"/>
    <s v="May-2023"/>
    <x v="4"/>
    <n v="141.63"/>
    <x v="0"/>
    <n v="10"/>
  </r>
  <r>
    <s v="CLM01814"/>
    <s v="P0118"/>
    <s v="PR004"/>
    <s v="S009"/>
    <d v="2024-03-19T00:00:00"/>
    <d v="2024-03-24T00:00:00"/>
    <d v="2024-04-18T00:00:00"/>
    <n v="25"/>
    <s v="Mar-2024"/>
    <x v="2"/>
    <n v="141.01"/>
    <x v="0"/>
    <n v="25"/>
  </r>
  <r>
    <s v="CLM01121"/>
    <s v="P0264"/>
    <s v="PR040"/>
    <s v="S015"/>
    <d v="2023-02-24T00:00:00"/>
    <d v="2023-03-01T00:00:00"/>
    <d v="2023-03-10T00:00:00"/>
    <n v="9"/>
    <s v="Feb-2023"/>
    <x v="4"/>
    <n v="141"/>
    <x v="0"/>
    <n v="9"/>
  </r>
  <r>
    <s v="CLM01126"/>
    <s v="P0490"/>
    <s v="PR024"/>
    <s v="S015"/>
    <d v="2024-12-20T00:00:00"/>
    <d v="2024-12-24T00:00:00"/>
    <m/>
    <s v=""/>
    <s v="Dec-2024"/>
    <x v="2"/>
    <n v="140.97"/>
    <x v="2"/>
    <m/>
  </r>
  <r>
    <s v="CLM00592"/>
    <s v="P0032"/>
    <s v="PR007"/>
    <s v="S009"/>
    <d v="2024-11-19T00:00:00"/>
    <d v="2024-11-21T00:00:00"/>
    <m/>
    <s v=""/>
    <s v="Nov-2024"/>
    <x v="1"/>
    <n v="140.62"/>
    <x v="2"/>
    <m/>
  </r>
  <r>
    <s v="CLM00521"/>
    <s v="P0218"/>
    <s v="PR006"/>
    <s v="S009"/>
    <d v="2023-09-19T00:00:00"/>
    <d v="2023-09-23T00:00:00"/>
    <m/>
    <s v=""/>
    <s v="Sep-2023"/>
    <x v="1"/>
    <n v="139.6"/>
    <x v="2"/>
    <m/>
  </r>
  <r>
    <s v="CLM01760"/>
    <s v="P0268"/>
    <s v="PR031"/>
    <s v="S009"/>
    <d v="2023-10-22T00:00:00"/>
    <d v="2023-10-27T00:00:00"/>
    <d v="2023-11-12T00:00:00"/>
    <n v="16"/>
    <s v="Oct-2023"/>
    <x v="4"/>
    <n v="139.18"/>
    <x v="0"/>
    <n v="16"/>
  </r>
  <r>
    <s v="CLM00228"/>
    <s v="P0208"/>
    <s v="PR019"/>
    <s v="S009"/>
    <d v="2024-01-18T00:00:00"/>
    <d v="2024-01-20T00:00:00"/>
    <d v="2024-02-03T00:00:00"/>
    <n v="14"/>
    <s v="Jan-2024"/>
    <x v="2"/>
    <n v="138.94999999999999"/>
    <x v="0"/>
    <n v="14"/>
  </r>
  <r>
    <s v="CLM01973"/>
    <s v="P0095"/>
    <s v="PR019"/>
    <s v="S015"/>
    <d v="2023-07-13T00:00:00"/>
    <d v="2023-07-15T00:00:00"/>
    <d v="2023-08-11T00:00:00"/>
    <n v="27"/>
    <s v="Jul-2023"/>
    <x v="4"/>
    <n v="138.6"/>
    <x v="0"/>
    <n v="27"/>
  </r>
  <r>
    <s v="CLM01756"/>
    <s v="P0211"/>
    <s v="PR017"/>
    <s v="S009"/>
    <d v="2023-03-14T00:00:00"/>
    <d v="2023-03-19T00:00:00"/>
    <d v="2023-04-04T00:00:00"/>
    <n v="16"/>
    <s v="Mar-2023"/>
    <x v="4"/>
    <n v="138.5"/>
    <x v="0"/>
    <n v="16"/>
  </r>
  <r>
    <s v="CLM01673"/>
    <s v="P0247"/>
    <s v="PR001"/>
    <s v="S015"/>
    <d v="2023-09-05T00:00:00"/>
    <d v="2023-09-06T00:00:00"/>
    <d v="2023-09-21T00:00:00"/>
    <n v="15"/>
    <s v="Sep-2023"/>
    <x v="1"/>
    <n v="138.44"/>
    <x v="0"/>
    <n v="15"/>
  </r>
  <r>
    <s v="CLM01496"/>
    <s v="P0182"/>
    <s v="PR033"/>
    <s v="S015"/>
    <d v="2023-12-06T00:00:00"/>
    <d v="2023-12-11T00:00:00"/>
    <d v="2023-12-22T00:00:00"/>
    <n v="11"/>
    <s v="Dec-2023"/>
    <x v="2"/>
    <n v="138.38999999999999"/>
    <x v="0"/>
    <n v="11"/>
  </r>
  <r>
    <s v="CLM01644"/>
    <s v="P0245"/>
    <s v="PR005"/>
    <s v="S009"/>
    <d v="2024-02-07T00:00:00"/>
    <d v="2024-02-12T00:00:00"/>
    <d v="2024-02-21T00:00:00"/>
    <n v="9"/>
    <s v="Feb-2024"/>
    <x v="1"/>
    <n v="138.38999999999999"/>
    <x v="0"/>
    <n v="9"/>
  </r>
  <r>
    <s v="CLM01822"/>
    <s v="P0305"/>
    <s v="PR005"/>
    <s v="S015"/>
    <d v="2023-02-21T00:00:00"/>
    <d v="2023-02-25T00:00:00"/>
    <d v="2023-03-23T00:00:00"/>
    <n v="26"/>
    <s v="Feb-2023"/>
    <x v="4"/>
    <n v="138.22"/>
    <x v="1"/>
    <n v="26"/>
  </r>
  <r>
    <s v="CLM00556"/>
    <s v="P0188"/>
    <s v="PR014"/>
    <s v="S015"/>
    <d v="2024-06-12T00:00:00"/>
    <d v="2024-06-15T00:00:00"/>
    <d v="2024-06-21T00:00:00"/>
    <n v="6"/>
    <s v="Jun-2024"/>
    <x v="4"/>
    <n v="138.19999999999999"/>
    <x v="0"/>
    <n v="6"/>
  </r>
  <r>
    <s v="CLM00004"/>
    <s v="P0479"/>
    <s v="PR018"/>
    <s v="S015"/>
    <d v="2024-03-12T00:00:00"/>
    <d v="2024-03-13T00:00:00"/>
    <d v="2024-03-28T00:00:00"/>
    <n v="15"/>
    <s v="Mar-2024"/>
    <x v="0"/>
    <n v="138.02000000000001"/>
    <x v="1"/>
    <n v="15"/>
  </r>
  <r>
    <s v="CLM00147"/>
    <s v="P0381"/>
    <s v="PR035"/>
    <s v="S015"/>
    <d v="2023-07-15T00:00:00"/>
    <d v="2023-07-18T00:00:00"/>
    <d v="2023-07-30T00:00:00"/>
    <n v="12"/>
    <s v="Jul-2023"/>
    <x v="2"/>
    <n v="137.59"/>
    <x v="0"/>
    <n v="12"/>
  </r>
  <r>
    <s v="CLM01772"/>
    <s v="P0427"/>
    <s v="PR018"/>
    <s v="S015"/>
    <d v="2024-11-10T00:00:00"/>
    <d v="2024-11-12T00:00:00"/>
    <d v="2024-11-29T00:00:00"/>
    <n v="17"/>
    <s v="Nov-2024"/>
    <x v="2"/>
    <n v="137.25"/>
    <x v="0"/>
    <n v="17"/>
  </r>
  <r>
    <s v="CLM00703"/>
    <s v="P0331"/>
    <s v="PR024"/>
    <s v="S015"/>
    <d v="2024-09-16T00:00:00"/>
    <d v="2024-09-18T00:00:00"/>
    <d v="2024-10-15T00:00:00"/>
    <n v="27"/>
    <s v="Sep-2024"/>
    <x v="4"/>
    <n v="136.58000000000001"/>
    <x v="0"/>
    <n v="27"/>
  </r>
  <r>
    <s v="CLM00932"/>
    <s v="P0037"/>
    <s v="PR034"/>
    <s v="S009"/>
    <d v="2023-11-17T00:00:00"/>
    <d v="2023-11-20T00:00:00"/>
    <d v="2023-11-23T00:00:00"/>
    <n v="3"/>
    <s v="Nov-2023"/>
    <x v="0"/>
    <n v="136.16999999999999"/>
    <x v="1"/>
    <n v="3"/>
  </r>
  <r>
    <s v="CLM01032"/>
    <s v="P0305"/>
    <s v="PR039"/>
    <s v="S015"/>
    <d v="2024-05-16T00:00:00"/>
    <d v="2024-05-17T00:00:00"/>
    <d v="2024-06-16T00:00:00"/>
    <n v="30"/>
    <s v="May-2024"/>
    <x v="4"/>
    <n v="136.12"/>
    <x v="1"/>
    <n v="30"/>
  </r>
  <r>
    <s v="CLM01909"/>
    <s v="P0008"/>
    <s v="PR032"/>
    <s v="S015"/>
    <d v="2023-06-24T00:00:00"/>
    <d v="2023-06-26T00:00:00"/>
    <d v="2023-07-19T00:00:00"/>
    <n v="23"/>
    <s v="Jun-2023"/>
    <x v="2"/>
    <n v="135.61000000000001"/>
    <x v="0"/>
    <n v="23"/>
  </r>
  <r>
    <s v="CLM00910"/>
    <s v="P0476"/>
    <s v="PR017"/>
    <s v="S015"/>
    <d v="2023-06-11T00:00:00"/>
    <d v="2023-06-15T00:00:00"/>
    <m/>
    <s v=""/>
    <s v="Jun-2023"/>
    <x v="0"/>
    <n v="135.51"/>
    <x v="2"/>
    <m/>
  </r>
  <r>
    <s v="CLM00509"/>
    <s v="P0399"/>
    <s v="PR017"/>
    <s v="S009"/>
    <d v="2024-05-06T00:00:00"/>
    <d v="2024-05-11T00:00:00"/>
    <m/>
    <s v=""/>
    <s v="May-2024"/>
    <x v="0"/>
    <n v="135.28"/>
    <x v="2"/>
    <m/>
  </r>
  <r>
    <s v="CLM00522"/>
    <s v="P0219"/>
    <s v="PR022"/>
    <s v="S015"/>
    <d v="2024-12-30T00:00:00"/>
    <d v="2024-12-31T00:00:00"/>
    <d v="2025-01-15T00:00:00"/>
    <n v="15"/>
    <s v="Dec-2024"/>
    <x v="3"/>
    <n v="134.62"/>
    <x v="0"/>
    <n v="15"/>
  </r>
  <r>
    <s v="CLM00301"/>
    <s v="P0143"/>
    <s v="PR031"/>
    <s v="S015"/>
    <d v="2024-10-31T00:00:00"/>
    <d v="2024-11-05T00:00:00"/>
    <d v="2024-11-15T00:00:00"/>
    <n v="10"/>
    <s v="Oct-2024"/>
    <x v="2"/>
    <n v="133.6"/>
    <x v="0"/>
    <n v="10"/>
  </r>
  <r>
    <s v="CLM00295"/>
    <s v="P0339"/>
    <s v="PR021"/>
    <s v="S015"/>
    <d v="2024-06-07T00:00:00"/>
    <d v="2024-06-11T00:00:00"/>
    <d v="2024-06-15T00:00:00"/>
    <n v="4"/>
    <s v="Jun-2024"/>
    <x v="2"/>
    <n v="133.47999999999999"/>
    <x v="0"/>
    <n v="4"/>
  </r>
  <r>
    <s v="CLM00291"/>
    <s v="P0489"/>
    <s v="PR023"/>
    <s v="S015"/>
    <d v="2023-09-17T00:00:00"/>
    <d v="2023-09-22T00:00:00"/>
    <d v="2023-10-19T00:00:00"/>
    <n v="27"/>
    <s v="Sep-2023"/>
    <x v="1"/>
    <n v="131.38999999999999"/>
    <x v="0"/>
    <n v="27"/>
  </r>
  <r>
    <s v="CLM00460"/>
    <s v="P0344"/>
    <s v="PR039"/>
    <s v="S015"/>
    <d v="2024-03-07T00:00:00"/>
    <d v="2024-03-12T00:00:00"/>
    <d v="2024-03-22T00:00:00"/>
    <n v="10"/>
    <s v="Mar-2024"/>
    <x v="2"/>
    <n v="130.16999999999999"/>
    <x v="0"/>
    <n v="10"/>
  </r>
  <r>
    <s v="CLM01549"/>
    <s v="P0408"/>
    <s v="PR035"/>
    <s v="S015"/>
    <d v="2024-06-02T00:00:00"/>
    <d v="2024-06-04T00:00:00"/>
    <d v="2024-06-10T00:00:00"/>
    <n v="6"/>
    <s v="Jun-2024"/>
    <x v="2"/>
    <n v="129.97"/>
    <x v="0"/>
    <n v="6"/>
  </r>
  <r>
    <s v="CLM01811"/>
    <s v="P0269"/>
    <s v="PR025"/>
    <s v="S015"/>
    <d v="2023-05-09T00:00:00"/>
    <d v="2023-05-11T00:00:00"/>
    <d v="2023-05-20T00:00:00"/>
    <n v="9"/>
    <s v="May-2023"/>
    <x v="0"/>
    <n v="129.74"/>
    <x v="0"/>
    <n v="9"/>
  </r>
  <r>
    <s v="CLM01836"/>
    <s v="P0367"/>
    <s v="PR002"/>
    <s v="S015"/>
    <d v="2023-01-06T00:00:00"/>
    <d v="2023-01-07T00:00:00"/>
    <d v="2023-01-19T00:00:00"/>
    <n v="12"/>
    <s v="Jan-2023"/>
    <x v="4"/>
    <n v="129.69999999999999"/>
    <x v="0"/>
    <n v="12"/>
  </r>
  <r>
    <s v="CLM01620"/>
    <s v="P0317"/>
    <s v="PR037"/>
    <s v="S015"/>
    <d v="2024-12-31T00:00:00"/>
    <d v="2025-01-05T00:00:00"/>
    <d v="2025-01-18T00:00:00"/>
    <n v="13"/>
    <s v="Dec-2024"/>
    <x v="0"/>
    <n v="129.47999999999999"/>
    <x v="0"/>
    <n v="13"/>
  </r>
  <r>
    <s v="CLM01195"/>
    <s v="P0247"/>
    <s v="PR036"/>
    <s v="S015"/>
    <d v="2023-08-04T00:00:00"/>
    <d v="2023-08-07T00:00:00"/>
    <d v="2023-08-19T00:00:00"/>
    <n v="12"/>
    <s v="Aug-2023"/>
    <x v="1"/>
    <n v="129.41"/>
    <x v="0"/>
    <n v="12"/>
  </r>
  <r>
    <s v="CLM00853"/>
    <s v="P0044"/>
    <s v="PR034"/>
    <s v="S015"/>
    <d v="2023-07-13T00:00:00"/>
    <d v="2023-07-16T00:00:00"/>
    <d v="2023-07-27T00:00:00"/>
    <n v="11"/>
    <s v="Jul-2023"/>
    <x v="2"/>
    <n v="128.21"/>
    <x v="0"/>
    <n v="11"/>
  </r>
  <r>
    <s v="CLM01116"/>
    <s v="P0159"/>
    <s v="PR004"/>
    <s v="S015"/>
    <d v="2023-05-14T00:00:00"/>
    <d v="2023-05-15T00:00:00"/>
    <d v="2023-06-11T00:00:00"/>
    <n v="27"/>
    <s v="May-2023"/>
    <x v="1"/>
    <n v="127.51"/>
    <x v="1"/>
    <n v="27"/>
  </r>
  <r>
    <s v="CLM00500"/>
    <s v="P0278"/>
    <s v="PR016"/>
    <s v="S015"/>
    <d v="2024-10-30T00:00:00"/>
    <d v="2024-11-01T00:00:00"/>
    <d v="2024-12-01T00:00:00"/>
    <n v="30"/>
    <s v="Oct-2024"/>
    <x v="2"/>
    <n v="126.79"/>
    <x v="0"/>
    <n v="30"/>
  </r>
  <r>
    <s v="CLM01073"/>
    <s v="P0044"/>
    <s v="PR010"/>
    <s v="S015"/>
    <d v="2024-06-08T00:00:00"/>
    <d v="2024-06-09T00:00:00"/>
    <d v="2024-07-08T00:00:00"/>
    <n v="29"/>
    <s v="Jun-2024"/>
    <x v="2"/>
    <n v="126.53"/>
    <x v="0"/>
    <n v="29"/>
  </r>
  <r>
    <s v="CLM01310"/>
    <s v="P0465"/>
    <s v="PR039"/>
    <s v="S015"/>
    <d v="2023-06-22T00:00:00"/>
    <d v="2023-06-24T00:00:00"/>
    <d v="2023-06-29T00:00:00"/>
    <n v="5"/>
    <s v="Jun-2023"/>
    <x v="4"/>
    <n v="125.91"/>
    <x v="0"/>
    <n v="5"/>
  </r>
  <r>
    <s v="CLM01913"/>
    <s v="P0292"/>
    <s v="PR028"/>
    <s v="S015"/>
    <d v="2023-05-21T00:00:00"/>
    <d v="2023-05-26T00:00:00"/>
    <d v="2023-06-07T00:00:00"/>
    <n v="12"/>
    <s v="May-2023"/>
    <x v="3"/>
    <n v="125.46"/>
    <x v="1"/>
    <n v="12"/>
  </r>
  <r>
    <s v="CLM01618"/>
    <s v="P0087"/>
    <s v="PR036"/>
    <s v="S015"/>
    <d v="2024-04-12T00:00:00"/>
    <d v="2024-04-14T00:00:00"/>
    <d v="2024-05-09T00:00:00"/>
    <n v="25"/>
    <s v="Apr-2024"/>
    <x v="1"/>
    <n v="125.25"/>
    <x v="0"/>
    <n v="25"/>
  </r>
  <r>
    <s v="CLM00338"/>
    <s v="P0322"/>
    <s v="PR018"/>
    <s v="S015"/>
    <d v="2024-04-20T00:00:00"/>
    <d v="2024-04-23T00:00:00"/>
    <d v="2024-05-15T00:00:00"/>
    <n v="22"/>
    <s v="Apr-2024"/>
    <x v="4"/>
    <n v="125.17"/>
    <x v="1"/>
    <n v="22"/>
  </r>
  <r>
    <s v="CLM00608"/>
    <s v="P0127"/>
    <s v="PR006"/>
    <s v="S015"/>
    <d v="2023-02-10T00:00:00"/>
    <d v="2023-02-14T00:00:00"/>
    <m/>
    <s v=""/>
    <s v="Feb-2023"/>
    <x v="0"/>
    <n v="124.01"/>
    <x v="2"/>
    <m/>
  </r>
  <r>
    <s v="CLM01077"/>
    <s v="P0381"/>
    <s v="PR018"/>
    <s v="S016"/>
    <d v="2023-02-23T00:00:00"/>
    <d v="2023-02-26T00:00:00"/>
    <d v="2023-03-13T00:00:00"/>
    <n v="15"/>
    <s v="Feb-2023"/>
    <x v="2"/>
    <n v="123.93"/>
    <x v="0"/>
    <n v="15"/>
  </r>
  <r>
    <s v="CLM00464"/>
    <s v="P0278"/>
    <s v="PR017"/>
    <s v="S016"/>
    <d v="2024-07-29T00:00:00"/>
    <d v="2024-08-03T00:00:00"/>
    <d v="2024-08-30T00:00:00"/>
    <n v="27"/>
    <s v="Jul-2024"/>
    <x v="2"/>
    <n v="123.76"/>
    <x v="0"/>
    <n v="27"/>
  </r>
  <r>
    <s v="CLM01334"/>
    <s v="P0381"/>
    <s v="PR012"/>
    <s v="S015"/>
    <d v="2024-11-15T00:00:00"/>
    <d v="2024-11-20T00:00:00"/>
    <m/>
    <s v=""/>
    <s v="Nov-2024"/>
    <x v="2"/>
    <n v="123.69"/>
    <x v="2"/>
    <m/>
  </r>
  <r>
    <s v="CLM00248"/>
    <s v="P0211"/>
    <s v="PR030"/>
    <s v="S015"/>
    <d v="2023-08-15T00:00:00"/>
    <d v="2023-08-18T00:00:00"/>
    <d v="2023-09-06T00:00:00"/>
    <n v="19"/>
    <s v="Aug-2023"/>
    <x v="4"/>
    <n v="123.43"/>
    <x v="0"/>
    <n v="19"/>
  </r>
  <r>
    <s v="CLM01774"/>
    <s v="P0448"/>
    <s v="PR004"/>
    <s v="S016"/>
    <d v="2024-09-17T00:00:00"/>
    <d v="2024-09-19T00:00:00"/>
    <d v="2024-10-15T00:00:00"/>
    <n v="26"/>
    <s v="Sep-2024"/>
    <x v="2"/>
    <n v="122.99"/>
    <x v="0"/>
    <n v="26"/>
  </r>
  <r>
    <s v="CLM00481"/>
    <s v="P0355"/>
    <s v="PR034"/>
    <s v="S016"/>
    <d v="2023-01-08T00:00:00"/>
    <d v="2023-01-12T00:00:00"/>
    <d v="2023-02-09T00:00:00"/>
    <n v="28"/>
    <s v="Jan-2023"/>
    <x v="3"/>
    <n v="122.76"/>
    <x v="0"/>
    <n v="28"/>
  </r>
  <r>
    <s v="CLM01779"/>
    <s v="P0369"/>
    <s v="PR012"/>
    <s v="S015"/>
    <d v="2023-04-02T00:00:00"/>
    <d v="2023-04-06T00:00:00"/>
    <d v="2023-05-01T00:00:00"/>
    <n v="25"/>
    <s v="Apr-2023"/>
    <x v="1"/>
    <n v="122.3"/>
    <x v="1"/>
    <n v="25"/>
  </r>
  <r>
    <s v="CLM01353"/>
    <s v="P0148"/>
    <s v="PR039"/>
    <s v="S016"/>
    <d v="2023-12-20T00:00:00"/>
    <d v="2023-12-24T00:00:00"/>
    <m/>
    <s v=""/>
    <s v="Dec-2023"/>
    <x v="2"/>
    <n v="122.17"/>
    <x v="2"/>
    <m/>
  </r>
  <r>
    <s v="CLM01997"/>
    <s v="P0271"/>
    <s v="PR022"/>
    <s v="S016"/>
    <d v="2024-07-27T00:00:00"/>
    <d v="2024-07-29T00:00:00"/>
    <d v="2024-08-23T00:00:00"/>
    <n v="25"/>
    <s v="Jul-2024"/>
    <x v="1"/>
    <n v="121.81"/>
    <x v="0"/>
    <n v="25"/>
  </r>
  <r>
    <s v="CLM00785"/>
    <s v="P0288"/>
    <s v="PR034"/>
    <s v="S016"/>
    <d v="2023-03-05T00:00:00"/>
    <d v="2023-03-08T00:00:00"/>
    <d v="2023-03-18T00:00:00"/>
    <n v="10"/>
    <s v="Mar-2023"/>
    <x v="1"/>
    <n v="121.8"/>
    <x v="0"/>
    <n v="10"/>
  </r>
  <r>
    <s v="CLM01683"/>
    <s v="P0344"/>
    <s v="PR010"/>
    <s v="S015"/>
    <d v="2023-06-13T00:00:00"/>
    <d v="2023-06-16T00:00:00"/>
    <d v="2023-07-14T00:00:00"/>
    <n v="28"/>
    <s v="Jun-2023"/>
    <x v="2"/>
    <n v="121.53"/>
    <x v="0"/>
    <n v="28"/>
  </r>
  <r>
    <s v="CLM00675"/>
    <s v="P0094"/>
    <s v="PR022"/>
    <s v="S015"/>
    <d v="2024-03-15T00:00:00"/>
    <d v="2024-03-19T00:00:00"/>
    <d v="2024-04-04T00:00:00"/>
    <n v="16"/>
    <s v="Mar-2024"/>
    <x v="3"/>
    <n v="121.3"/>
    <x v="0"/>
    <n v="16"/>
  </r>
  <r>
    <s v="CLM00397"/>
    <s v="P0268"/>
    <s v="PR035"/>
    <s v="S015"/>
    <d v="2023-12-20T00:00:00"/>
    <d v="2023-12-25T00:00:00"/>
    <d v="2024-01-03T00:00:00"/>
    <n v="9"/>
    <s v="Dec-2023"/>
    <x v="4"/>
    <n v="121.15"/>
    <x v="0"/>
    <n v="9"/>
  </r>
  <r>
    <s v="CLM00686"/>
    <s v="P0202"/>
    <s v="PR017"/>
    <s v="S016"/>
    <d v="2024-03-19T00:00:00"/>
    <d v="2024-03-23T00:00:00"/>
    <d v="2024-04-16T00:00:00"/>
    <n v="24"/>
    <s v="Mar-2024"/>
    <x v="2"/>
    <n v="120.97"/>
    <x v="0"/>
    <n v="24"/>
  </r>
  <r>
    <s v="CLM01612"/>
    <s v="P0206"/>
    <s v="PR015"/>
    <s v="S015"/>
    <d v="2023-11-21T00:00:00"/>
    <d v="2023-11-26T00:00:00"/>
    <d v="2023-12-22T00:00:00"/>
    <n v="26"/>
    <s v="Nov-2023"/>
    <x v="1"/>
    <n v="120.68"/>
    <x v="0"/>
    <n v="26"/>
  </r>
  <r>
    <s v="CLM01699"/>
    <s v="P0337"/>
    <s v="PR026"/>
    <s v="S016"/>
    <d v="2024-05-21T00:00:00"/>
    <d v="2024-05-24T00:00:00"/>
    <d v="2024-05-31T00:00:00"/>
    <n v="7"/>
    <s v="May-2024"/>
    <x v="1"/>
    <n v="120.54"/>
    <x v="0"/>
    <n v="7"/>
  </r>
  <r>
    <s v="CLM01007"/>
    <s v="P0166"/>
    <s v="PR037"/>
    <s v="S016"/>
    <d v="2024-11-21T00:00:00"/>
    <d v="2024-11-24T00:00:00"/>
    <d v="2024-12-14T00:00:00"/>
    <n v="20"/>
    <s v="Nov-2024"/>
    <x v="2"/>
    <n v="120.49"/>
    <x v="0"/>
    <n v="20"/>
  </r>
  <r>
    <s v="CLM01410"/>
    <s v="P0077"/>
    <s v="PR031"/>
    <s v="S016"/>
    <d v="2024-11-11T00:00:00"/>
    <d v="2024-11-13T00:00:00"/>
    <d v="2024-12-09T00:00:00"/>
    <n v="26"/>
    <s v="Nov-2024"/>
    <x v="1"/>
    <n v="119.69"/>
    <x v="1"/>
    <n v="26"/>
  </r>
  <r>
    <s v="CLM01413"/>
    <s v="P0106"/>
    <s v="PR013"/>
    <s v="S015"/>
    <d v="2024-07-19T00:00:00"/>
    <d v="2024-07-23T00:00:00"/>
    <d v="2024-08-22T00:00:00"/>
    <n v="30"/>
    <s v="Jul-2024"/>
    <x v="0"/>
    <n v="119.64"/>
    <x v="1"/>
    <n v="30"/>
  </r>
  <r>
    <s v="CLM01592"/>
    <s v="P0429"/>
    <s v="PR002"/>
    <s v="S016"/>
    <d v="2024-06-09T00:00:00"/>
    <d v="2024-06-12T00:00:00"/>
    <d v="2024-07-12T00:00:00"/>
    <n v="30"/>
    <s v="Jun-2024"/>
    <x v="1"/>
    <n v="119.45"/>
    <x v="0"/>
    <n v="30"/>
  </r>
  <r>
    <s v="CLM01777"/>
    <s v="P0372"/>
    <s v="PR007"/>
    <s v="S015"/>
    <d v="2024-07-02T00:00:00"/>
    <d v="2024-07-07T00:00:00"/>
    <d v="2024-07-20T00:00:00"/>
    <n v="13"/>
    <s v="Jul-2024"/>
    <x v="4"/>
    <n v="118.59"/>
    <x v="0"/>
    <n v="13"/>
  </r>
  <r>
    <s v="CLM01552"/>
    <s v="P0159"/>
    <s v="PR039"/>
    <s v="S016"/>
    <d v="2024-03-26T00:00:00"/>
    <d v="2024-03-30T00:00:00"/>
    <d v="2024-04-08T00:00:00"/>
    <n v="9"/>
    <s v="Mar-2024"/>
    <x v="1"/>
    <n v="118.14"/>
    <x v="0"/>
    <n v="9"/>
  </r>
  <r>
    <s v="CLM01036"/>
    <s v="P0026"/>
    <s v="PR016"/>
    <s v="S016"/>
    <d v="2023-12-21T00:00:00"/>
    <d v="2023-12-24T00:00:00"/>
    <d v="2024-01-15T00:00:00"/>
    <n v="22"/>
    <s v="Dec-2023"/>
    <x v="1"/>
    <n v="117.92"/>
    <x v="0"/>
    <n v="22"/>
  </r>
  <r>
    <s v="CLM00694"/>
    <s v="P0417"/>
    <s v="PR017"/>
    <s v="S016"/>
    <d v="2023-11-21T00:00:00"/>
    <d v="2023-11-22T00:00:00"/>
    <d v="2023-12-08T00:00:00"/>
    <n v="16"/>
    <s v="Nov-2023"/>
    <x v="4"/>
    <n v="117.86"/>
    <x v="0"/>
    <n v="16"/>
  </r>
  <r>
    <s v="CLM01236"/>
    <s v="P0094"/>
    <s v="PR013"/>
    <s v="S016"/>
    <d v="2023-06-10T00:00:00"/>
    <d v="2023-06-14T00:00:00"/>
    <d v="2023-07-05T00:00:00"/>
    <n v="21"/>
    <s v="Jun-2023"/>
    <x v="3"/>
    <n v="117.5"/>
    <x v="1"/>
    <n v="21"/>
  </r>
  <r>
    <s v="CLM01666"/>
    <s v="P0278"/>
    <s v="PR020"/>
    <s v="S015"/>
    <d v="2024-08-17T00:00:00"/>
    <d v="2024-08-18T00:00:00"/>
    <d v="2024-08-31T00:00:00"/>
    <n v="13"/>
    <s v="Aug-2024"/>
    <x v="2"/>
    <n v="117"/>
    <x v="1"/>
    <n v="13"/>
  </r>
  <r>
    <s v="CLM00396"/>
    <s v="P0119"/>
    <s v="PR017"/>
    <s v="S015"/>
    <d v="2024-08-25T00:00:00"/>
    <d v="2024-08-27T00:00:00"/>
    <d v="2024-09-07T00:00:00"/>
    <n v="11"/>
    <s v="Aug-2024"/>
    <x v="4"/>
    <n v="116.87"/>
    <x v="0"/>
    <n v="11"/>
  </r>
  <r>
    <s v="CLM01109"/>
    <s v="P0287"/>
    <s v="PR039"/>
    <s v="S015"/>
    <d v="2024-05-16T00:00:00"/>
    <d v="2024-05-20T00:00:00"/>
    <d v="2024-06-19T00:00:00"/>
    <n v="30"/>
    <s v="May-2024"/>
    <x v="4"/>
    <n v="116.66"/>
    <x v="1"/>
    <n v="30"/>
  </r>
  <r>
    <s v="CLM01444"/>
    <s v="P0423"/>
    <s v="PR016"/>
    <s v="S015"/>
    <d v="2024-07-04T00:00:00"/>
    <d v="2024-07-05T00:00:00"/>
    <d v="2024-07-27T00:00:00"/>
    <n v="22"/>
    <s v="Jul-2024"/>
    <x v="2"/>
    <n v="116.55"/>
    <x v="0"/>
    <n v="22"/>
  </r>
  <r>
    <s v="CLM01017"/>
    <s v="P0072"/>
    <s v="PR032"/>
    <s v="S015"/>
    <d v="2024-12-25T00:00:00"/>
    <d v="2024-12-28T00:00:00"/>
    <d v="2025-01-14T00:00:00"/>
    <n v="17"/>
    <s v="Dec-2024"/>
    <x v="0"/>
    <n v="116.53"/>
    <x v="0"/>
    <n v="17"/>
  </r>
  <r>
    <s v="CLM00112"/>
    <s v="P0478"/>
    <s v="PR024"/>
    <s v="S015"/>
    <d v="2023-11-09T00:00:00"/>
    <d v="2023-11-12T00:00:00"/>
    <d v="2023-12-08T00:00:00"/>
    <n v="26"/>
    <s v="Nov-2023"/>
    <x v="2"/>
    <n v="116.14"/>
    <x v="1"/>
    <n v="26"/>
  </r>
  <r>
    <s v="CLM01381"/>
    <s v="P0420"/>
    <s v="PR017"/>
    <s v="S016"/>
    <d v="2023-05-27T00:00:00"/>
    <d v="2023-05-29T00:00:00"/>
    <m/>
    <s v=""/>
    <s v="May-2023"/>
    <x v="4"/>
    <n v="115.91"/>
    <x v="2"/>
    <m/>
  </r>
  <r>
    <s v="CLM01281"/>
    <s v="P0298"/>
    <s v="PR011"/>
    <s v="S015"/>
    <d v="2024-03-02T00:00:00"/>
    <d v="2024-03-03T00:00:00"/>
    <d v="2024-03-19T00:00:00"/>
    <n v="16"/>
    <s v="Mar-2024"/>
    <x v="4"/>
    <n v="115.8"/>
    <x v="0"/>
    <n v="16"/>
  </r>
  <r>
    <s v="CLM01540"/>
    <s v="P0176"/>
    <s v="PR031"/>
    <s v="S015"/>
    <d v="2024-10-21T00:00:00"/>
    <d v="2024-10-25T00:00:00"/>
    <d v="2024-11-17T00:00:00"/>
    <n v="23"/>
    <s v="Oct-2024"/>
    <x v="2"/>
    <n v="115.29"/>
    <x v="0"/>
    <n v="23"/>
  </r>
  <r>
    <s v="CLM00533"/>
    <s v="P0444"/>
    <s v="PR024"/>
    <s v="S015"/>
    <d v="2023-05-22T00:00:00"/>
    <d v="2023-05-27T00:00:00"/>
    <d v="2023-06-08T00:00:00"/>
    <n v="12"/>
    <s v="May-2023"/>
    <x v="2"/>
    <n v="115.19"/>
    <x v="0"/>
    <n v="12"/>
  </r>
  <r>
    <s v="CLM01453"/>
    <s v="P0004"/>
    <s v="PR003"/>
    <s v="S016"/>
    <d v="2023-07-21T00:00:00"/>
    <d v="2023-07-22T00:00:00"/>
    <d v="2023-08-12T00:00:00"/>
    <n v="21"/>
    <s v="Jul-2023"/>
    <x v="4"/>
    <n v="114.75"/>
    <x v="0"/>
    <n v="21"/>
  </r>
  <r>
    <s v="CLM01652"/>
    <s v="P0190"/>
    <s v="PR001"/>
    <s v="S016"/>
    <d v="2023-10-10T00:00:00"/>
    <d v="2023-10-15T00:00:00"/>
    <d v="2023-10-29T00:00:00"/>
    <n v="14"/>
    <s v="Oct-2023"/>
    <x v="0"/>
    <n v="114.33"/>
    <x v="1"/>
    <n v="14"/>
  </r>
  <r>
    <s v="CLM00677"/>
    <s v="P0112"/>
    <s v="PR033"/>
    <s v="S015"/>
    <d v="2023-01-07T00:00:00"/>
    <d v="2023-01-11T00:00:00"/>
    <d v="2023-02-04T00:00:00"/>
    <n v="24"/>
    <s v="Jan-2023"/>
    <x v="4"/>
    <n v="114.32"/>
    <x v="0"/>
    <n v="24"/>
  </r>
  <r>
    <s v="CLM00769"/>
    <s v="P0450"/>
    <s v="PR033"/>
    <s v="S016"/>
    <d v="2023-05-19T00:00:00"/>
    <d v="2023-05-21T00:00:00"/>
    <d v="2023-06-04T00:00:00"/>
    <n v="14"/>
    <s v="May-2023"/>
    <x v="1"/>
    <n v="114.09"/>
    <x v="0"/>
    <n v="14"/>
  </r>
  <r>
    <s v="CLM01466"/>
    <s v="P0047"/>
    <s v="PR007"/>
    <s v="S015"/>
    <d v="2023-04-21T00:00:00"/>
    <d v="2023-04-22T00:00:00"/>
    <d v="2023-05-22T00:00:00"/>
    <n v="30"/>
    <s v="Apr-2023"/>
    <x v="3"/>
    <n v="114.04"/>
    <x v="0"/>
    <n v="30"/>
  </r>
  <r>
    <s v="CLM01591"/>
    <s v="P0417"/>
    <s v="PR021"/>
    <s v="S016"/>
    <d v="2023-08-03T00:00:00"/>
    <d v="2023-08-06T00:00:00"/>
    <d v="2023-08-10T00:00:00"/>
    <n v="4"/>
    <s v="Aug-2023"/>
    <x v="4"/>
    <n v="114.03"/>
    <x v="1"/>
    <n v="4"/>
  </r>
  <r>
    <s v="CLM00860"/>
    <s v="P0340"/>
    <s v="PR012"/>
    <s v="S016"/>
    <d v="2023-10-30T00:00:00"/>
    <d v="2023-11-02T00:00:00"/>
    <d v="2023-11-15T00:00:00"/>
    <n v="13"/>
    <s v="Oct-2023"/>
    <x v="0"/>
    <n v="114.01"/>
    <x v="0"/>
    <n v="13"/>
  </r>
  <r>
    <s v="CLM00836"/>
    <s v="P0448"/>
    <s v="PR029"/>
    <s v="S015"/>
    <d v="2024-03-18T00:00:00"/>
    <d v="2024-03-20T00:00:00"/>
    <d v="2024-04-10T00:00:00"/>
    <n v="21"/>
    <s v="Mar-2024"/>
    <x v="2"/>
    <n v="113.82"/>
    <x v="1"/>
    <n v="21"/>
  </r>
  <r>
    <s v="CLM01342"/>
    <s v="P0436"/>
    <s v="PR004"/>
    <s v="S016"/>
    <d v="2023-06-03T00:00:00"/>
    <d v="2023-06-06T00:00:00"/>
    <d v="2023-06-27T00:00:00"/>
    <n v="21"/>
    <s v="Jun-2023"/>
    <x v="2"/>
    <n v="113.78"/>
    <x v="0"/>
    <n v="21"/>
  </r>
  <r>
    <s v="CLM01585"/>
    <s v="P0336"/>
    <s v="PR016"/>
    <s v="S015"/>
    <d v="2023-10-16T00:00:00"/>
    <d v="2023-10-17T00:00:00"/>
    <m/>
    <s v=""/>
    <s v="Oct-2023"/>
    <x v="1"/>
    <n v="113.31"/>
    <x v="2"/>
    <m/>
  </r>
  <r>
    <s v="CLM00215"/>
    <s v="P0408"/>
    <s v="PR018"/>
    <s v="S016"/>
    <d v="2023-12-10T00:00:00"/>
    <d v="2023-12-13T00:00:00"/>
    <d v="2023-12-25T00:00:00"/>
    <n v="12"/>
    <s v="Dec-2023"/>
    <x v="2"/>
    <n v="113.23"/>
    <x v="0"/>
    <n v="12"/>
  </r>
  <r>
    <s v="CLM01715"/>
    <s v="P0204"/>
    <s v="PR026"/>
    <s v="S015"/>
    <d v="2024-05-07T00:00:00"/>
    <d v="2024-05-08T00:00:00"/>
    <d v="2024-05-25T00:00:00"/>
    <n v="17"/>
    <s v="May-2024"/>
    <x v="2"/>
    <n v="113.19"/>
    <x v="0"/>
    <n v="17"/>
  </r>
  <r>
    <s v="CLM01601"/>
    <s v="P0123"/>
    <s v="PR033"/>
    <s v="S016"/>
    <d v="2023-12-27T00:00:00"/>
    <d v="2023-12-30T00:00:00"/>
    <d v="2024-01-15T00:00:00"/>
    <n v="16"/>
    <s v="Dec-2023"/>
    <x v="1"/>
    <n v="112.91"/>
    <x v="0"/>
    <n v="16"/>
  </r>
  <r>
    <s v="CLM00453"/>
    <s v="P0086"/>
    <s v="PR037"/>
    <s v="S016"/>
    <d v="2024-09-23T00:00:00"/>
    <d v="2024-09-27T00:00:00"/>
    <d v="2024-10-20T00:00:00"/>
    <n v="23"/>
    <s v="Sep-2024"/>
    <x v="2"/>
    <n v="112.5"/>
    <x v="0"/>
    <n v="23"/>
  </r>
  <r>
    <s v="CLM01316"/>
    <s v="P0090"/>
    <s v="PR007"/>
    <s v="S016"/>
    <d v="2024-06-29T00:00:00"/>
    <d v="2024-06-30T00:00:00"/>
    <d v="2024-07-10T00:00:00"/>
    <n v="10"/>
    <s v="Jun-2024"/>
    <x v="2"/>
    <n v="112.23"/>
    <x v="0"/>
    <n v="10"/>
  </r>
  <r>
    <s v="CLM00733"/>
    <s v="P0213"/>
    <s v="PR032"/>
    <s v="S016"/>
    <d v="2024-01-04T00:00:00"/>
    <d v="2024-01-08T00:00:00"/>
    <d v="2024-02-04T00:00:00"/>
    <n v="27"/>
    <s v="Jan-2024"/>
    <x v="2"/>
    <n v="111.87"/>
    <x v="0"/>
    <n v="27"/>
  </r>
  <r>
    <s v="CLM00002"/>
    <s v="P0331"/>
    <s v="PR003"/>
    <s v="S016"/>
    <d v="2024-09-24T00:00:00"/>
    <d v="2024-09-27T00:00:00"/>
    <d v="2024-10-22T00:00:00"/>
    <n v="25"/>
    <s v="Sep-2024"/>
    <x v="4"/>
    <n v="111.41"/>
    <x v="0"/>
    <n v="25"/>
  </r>
  <r>
    <s v="CLM00918"/>
    <s v="P0242"/>
    <s v="PR039"/>
    <s v="S016"/>
    <d v="2023-01-13T00:00:00"/>
    <d v="2023-01-16T00:00:00"/>
    <d v="2023-02-02T00:00:00"/>
    <n v="17"/>
    <s v="Jan-2023"/>
    <x v="4"/>
    <n v="111.3"/>
    <x v="0"/>
    <n v="17"/>
  </r>
  <r>
    <s v="CLM01482"/>
    <s v="P0331"/>
    <s v="PR037"/>
    <s v="S016"/>
    <d v="2024-02-11T00:00:00"/>
    <d v="2024-02-15T00:00:00"/>
    <m/>
    <s v=""/>
    <s v="Feb-2024"/>
    <x v="4"/>
    <n v="111.2"/>
    <x v="2"/>
    <m/>
  </r>
  <r>
    <s v="CLM01685"/>
    <s v="P0413"/>
    <s v="PR024"/>
    <s v="S015"/>
    <d v="2024-10-11T00:00:00"/>
    <d v="2024-10-13T00:00:00"/>
    <d v="2024-11-09T00:00:00"/>
    <n v="27"/>
    <s v="Oct-2024"/>
    <x v="0"/>
    <n v="111.15"/>
    <x v="0"/>
    <n v="27"/>
  </r>
  <r>
    <s v="CLM00376"/>
    <s v="P0419"/>
    <s v="PR009"/>
    <s v="S015"/>
    <d v="2023-05-23T00:00:00"/>
    <d v="2023-05-26T00:00:00"/>
    <m/>
    <s v=""/>
    <s v="May-2023"/>
    <x v="1"/>
    <n v="111.12"/>
    <x v="2"/>
    <m/>
  </r>
  <r>
    <s v="CLM01802"/>
    <s v="P0427"/>
    <s v="PR018"/>
    <s v="S015"/>
    <d v="2024-12-14T00:00:00"/>
    <d v="2024-12-16T00:00:00"/>
    <d v="2025-01-05T00:00:00"/>
    <n v="20"/>
    <s v="Dec-2024"/>
    <x v="2"/>
    <n v="111.12"/>
    <x v="1"/>
    <n v="20"/>
  </r>
  <r>
    <s v="CLM00437"/>
    <s v="P0392"/>
    <s v="PR025"/>
    <s v="S015"/>
    <d v="2023-09-22T00:00:00"/>
    <d v="2023-09-25T00:00:00"/>
    <d v="2023-10-12T00:00:00"/>
    <n v="17"/>
    <s v="Sep-2023"/>
    <x v="2"/>
    <n v="111.03"/>
    <x v="0"/>
    <n v="17"/>
  </r>
  <r>
    <s v="CLM00751"/>
    <s v="P0371"/>
    <s v="PR025"/>
    <s v="S016"/>
    <d v="2023-12-20T00:00:00"/>
    <d v="2023-12-24T00:00:00"/>
    <d v="2024-01-11T00:00:00"/>
    <n v="18"/>
    <s v="Dec-2023"/>
    <x v="2"/>
    <n v="110.94"/>
    <x v="0"/>
    <n v="18"/>
  </r>
  <r>
    <s v="CLM01603"/>
    <s v="P0187"/>
    <s v="PR038"/>
    <s v="S016"/>
    <d v="2024-01-27T00:00:00"/>
    <d v="2024-01-28T00:00:00"/>
    <d v="2024-02-27T00:00:00"/>
    <n v="30"/>
    <s v="Jan-2024"/>
    <x v="3"/>
    <n v="110.52"/>
    <x v="1"/>
    <n v="30"/>
  </r>
  <r>
    <s v="CLM00724"/>
    <s v="P0371"/>
    <s v="PR037"/>
    <s v="S016"/>
    <d v="2023-05-05T00:00:00"/>
    <d v="2023-05-06T00:00:00"/>
    <d v="2023-05-30T00:00:00"/>
    <n v="24"/>
    <s v="May-2023"/>
    <x v="2"/>
    <n v="110.48"/>
    <x v="0"/>
    <n v="24"/>
  </r>
  <r>
    <s v="CLM01841"/>
    <s v="P0029"/>
    <s v="PR039"/>
    <s v="S016"/>
    <d v="2024-02-29T00:00:00"/>
    <d v="2024-03-02T00:00:00"/>
    <d v="2024-03-05T00:00:00"/>
    <n v="3"/>
    <s v="Feb-2024"/>
    <x v="2"/>
    <n v="110.14"/>
    <x v="1"/>
    <n v="3"/>
  </r>
  <r>
    <s v="CLM01654"/>
    <s v="P0288"/>
    <s v="PR010"/>
    <s v="S016"/>
    <d v="2024-04-25T00:00:00"/>
    <d v="2024-04-27T00:00:00"/>
    <m/>
    <s v=""/>
    <s v="Apr-2024"/>
    <x v="1"/>
    <n v="109.79"/>
    <x v="2"/>
    <m/>
  </r>
  <r>
    <s v="CLM01233"/>
    <s v="P0490"/>
    <s v="PR021"/>
    <s v="S016"/>
    <d v="2024-05-07T00:00:00"/>
    <d v="2024-05-08T00:00:00"/>
    <d v="2024-05-11T00:00:00"/>
    <n v="3"/>
    <s v="May-2024"/>
    <x v="2"/>
    <n v="109.78"/>
    <x v="0"/>
    <n v="3"/>
  </r>
  <r>
    <s v="CLM00138"/>
    <s v="P0204"/>
    <s v="PR028"/>
    <s v="S015"/>
    <d v="2024-08-04T00:00:00"/>
    <d v="2024-08-09T00:00:00"/>
    <d v="2024-08-16T00:00:00"/>
    <n v="7"/>
    <s v="Aug-2024"/>
    <x v="2"/>
    <n v="109.77"/>
    <x v="0"/>
    <n v="7"/>
  </r>
  <r>
    <s v="CLM01965"/>
    <s v="P0070"/>
    <s v="PR025"/>
    <s v="S016"/>
    <d v="2024-11-23T00:00:00"/>
    <d v="2024-11-27T00:00:00"/>
    <d v="2024-11-30T00:00:00"/>
    <n v="3"/>
    <s v="Nov-2024"/>
    <x v="1"/>
    <n v="109.71"/>
    <x v="0"/>
    <n v="3"/>
  </r>
  <r>
    <s v="CLM00587"/>
    <s v="P0072"/>
    <s v="PR034"/>
    <s v="S015"/>
    <d v="2023-06-23T00:00:00"/>
    <d v="2023-06-25T00:00:00"/>
    <d v="2023-07-19T00:00:00"/>
    <n v="24"/>
    <s v="Jun-2023"/>
    <x v="0"/>
    <n v="109.59"/>
    <x v="1"/>
    <n v="24"/>
  </r>
  <r>
    <s v="CLM01319"/>
    <s v="P0284"/>
    <s v="PR038"/>
    <s v="S016"/>
    <d v="2024-11-02T00:00:00"/>
    <d v="2024-11-04T00:00:00"/>
    <d v="2024-11-08T00:00:00"/>
    <n v="4"/>
    <s v="Nov-2024"/>
    <x v="1"/>
    <n v="109.5"/>
    <x v="1"/>
    <n v="4"/>
  </r>
  <r>
    <s v="CLM00493"/>
    <s v="P0313"/>
    <s v="PR018"/>
    <s v="S016"/>
    <d v="2023-01-26T00:00:00"/>
    <d v="2023-01-29T00:00:00"/>
    <d v="2023-02-18T00:00:00"/>
    <n v="20"/>
    <s v="Jan-2023"/>
    <x v="0"/>
    <n v="109.4"/>
    <x v="0"/>
    <n v="20"/>
  </r>
  <r>
    <s v="CLM01770"/>
    <s v="P0294"/>
    <s v="PR019"/>
    <s v="S016"/>
    <d v="2023-05-03T00:00:00"/>
    <d v="2023-05-08T00:00:00"/>
    <d v="2023-05-14T00:00:00"/>
    <n v="6"/>
    <s v="May-2023"/>
    <x v="2"/>
    <n v="109.37"/>
    <x v="0"/>
    <n v="6"/>
  </r>
  <r>
    <s v="CLM00492"/>
    <s v="P0490"/>
    <s v="PR004"/>
    <s v="S015"/>
    <d v="2024-10-20T00:00:00"/>
    <d v="2024-10-21T00:00:00"/>
    <d v="2024-10-26T00:00:00"/>
    <n v="5"/>
    <s v="Oct-2024"/>
    <x v="2"/>
    <n v="109.3"/>
    <x v="0"/>
    <n v="5"/>
  </r>
  <r>
    <s v="CLM01855"/>
    <s v="P0500"/>
    <s v="PR037"/>
    <s v="S015"/>
    <d v="2024-08-21T00:00:00"/>
    <d v="2024-08-26T00:00:00"/>
    <d v="2024-08-31T00:00:00"/>
    <n v="5"/>
    <s v="Aug-2024"/>
    <x v="4"/>
    <n v="109.28"/>
    <x v="0"/>
    <n v="5"/>
  </r>
  <r>
    <s v="CLM00126"/>
    <s v="P0437"/>
    <s v="PR019"/>
    <s v="S016"/>
    <d v="2024-02-18T00:00:00"/>
    <d v="2024-02-19T00:00:00"/>
    <d v="2024-03-10T00:00:00"/>
    <n v="20"/>
    <s v="Feb-2024"/>
    <x v="2"/>
    <n v="108.68"/>
    <x v="0"/>
    <n v="20"/>
  </r>
  <r>
    <s v="CLM01771"/>
    <s v="P0098"/>
    <s v="PR037"/>
    <s v="S015"/>
    <d v="2023-07-07T00:00:00"/>
    <d v="2023-07-09T00:00:00"/>
    <d v="2023-07-22T00:00:00"/>
    <n v="13"/>
    <s v="Jul-2023"/>
    <x v="1"/>
    <n v="108.48"/>
    <x v="0"/>
    <n v="13"/>
  </r>
  <r>
    <s v="CLM00163"/>
    <s v="P0232"/>
    <s v="PR025"/>
    <s v="S016"/>
    <d v="2023-11-09T00:00:00"/>
    <d v="2023-11-14T00:00:00"/>
    <d v="2023-12-11T00:00:00"/>
    <n v="27"/>
    <s v="Nov-2023"/>
    <x v="2"/>
    <n v="108.46"/>
    <x v="0"/>
    <n v="27"/>
  </r>
  <r>
    <s v="CLM01503"/>
    <s v="P0381"/>
    <s v="PR030"/>
    <s v="S016"/>
    <d v="2023-03-17T00:00:00"/>
    <d v="2023-03-19T00:00:00"/>
    <d v="2023-03-25T00:00:00"/>
    <n v="6"/>
    <s v="Mar-2023"/>
    <x v="2"/>
    <n v="108.39"/>
    <x v="0"/>
    <n v="6"/>
  </r>
  <r>
    <s v="CLM00262"/>
    <s v="P0268"/>
    <s v="PR015"/>
    <s v="S016"/>
    <d v="2024-04-20T00:00:00"/>
    <d v="2024-04-24T00:00:00"/>
    <m/>
    <s v=""/>
    <s v="Apr-2024"/>
    <x v="4"/>
    <n v="107.4"/>
    <x v="2"/>
    <m/>
  </r>
  <r>
    <s v="CLM00022"/>
    <s v="P0409"/>
    <s v="PR031"/>
    <s v="S016"/>
    <d v="2023-07-21T00:00:00"/>
    <d v="2023-07-26T00:00:00"/>
    <d v="2023-08-12T00:00:00"/>
    <n v="17"/>
    <s v="Jul-2023"/>
    <x v="3"/>
    <n v="106.57"/>
    <x v="0"/>
    <n v="17"/>
  </r>
  <r>
    <s v="CLM00211"/>
    <s v="P0086"/>
    <s v="PR035"/>
    <s v="S016"/>
    <d v="2024-09-28T00:00:00"/>
    <d v="2024-10-02T00:00:00"/>
    <d v="2024-10-31T00:00:00"/>
    <n v="29"/>
    <s v="Sep-2024"/>
    <x v="2"/>
    <n v="106.42"/>
    <x v="1"/>
    <n v="29"/>
  </r>
  <r>
    <s v="CLM00340"/>
    <s v="P0438"/>
    <s v="PR016"/>
    <s v="S016"/>
    <d v="2023-06-05T00:00:00"/>
    <d v="2023-06-10T00:00:00"/>
    <d v="2023-07-06T00:00:00"/>
    <n v="26"/>
    <s v="Jun-2023"/>
    <x v="1"/>
    <n v="106.27"/>
    <x v="0"/>
    <n v="26"/>
  </r>
  <r>
    <s v="CLM00855"/>
    <s v="P0175"/>
    <s v="PR017"/>
    <s v="S016"/>
    <d v="2024-10-25T00:00:00"/>
    <d v="2024-10-30T00:00:00"/>
    <d v="2024-11-25T00:00:00"/>
    <n v="26"/>
    <s v="Oct-2024"/>
    <x v="1"/>
    <n v="105.72"/>
    <x v="0"/>
    <n v="26"/>
  </r>
  <r>
    <s v="CLM01313"/>
    <s v="P0469"/>
    <s v="PR008"/>
    <s v="S016"/>
    <d v="2024-03-13T00:00:00"/>
    <d v="2024-03-17T00:00:00"/>
    <d v="2024-04-11T00:00:00"/>
    <n v="25"/>
    <s v="Mar-2024"/>
    <x v="4"/>
    <n v="105.54"/>
    <x v="0"/>
    <n v="25"/>
  </r>
  <r>
    <s v="CLM00857"/>
    <s v="P0471"/>
    <s v="PR003"/>
    <s v="S016"/>
    <d v="2024-11-26T00:00:00"/>
    <d v="2024-12-01T00:00:00"/>
    <d v="2024-12-06T00:00:00"/>
    <n v="5"/>
    <s v="Nov-2024"/>
    <x v="1"/>
    <n v="105.25"/>
    <x v="1"/>
    <n v="5"/>
  </r>
  <r>
    <s v="CLM00901"/>
    <s v="P0363"/>
    <s v="PR007"/>
    <s v="S016"/>
    <d v="2023-02-14T00:00:00"/>
    <d v="2023-02-17T00:00:00"/>
    <d v="2023-03-15T00:00:00"/>
    <n v="26"/>
    <s v="Feb-2023"/>
    <x v="0"/>
    <n v="104.29"/>
    <x v="0"/>
    <n v="26"/>
  </r>
  <r>
    <s v="CLM01357"/>
    <s v="P0164"/>
    <s v="PR015"/>
    <s v="S016"/>
    <d v="2024-10-12T00:00:00"/>
    <d v="2024-10-14T00:00:00"/>
    <d v="2024-10-20T00:00:00"/>
    <n v="6"/>
    <s v="Oct-2024"/>
    <x v="2"/>
    <n v="103.76"/>
    <x v="0"/>
    <n v="6"/>
  </r>
  <r>
    <s v="CLM00731"/>
    <s v="P0416"/>
    <s v="PR028"/>
    <s v="S016"/>
    <d v="2024-12-08T00:00:00"/>
    <d v="2024-12-11T00:00:00"/>
    <d v="2025-01-08T00:00:00"/>
    <n v="28"/>
    <s v="Dec-2024"/>
    <x v="2"/>
    <n v="103.35"/>
    <x v="0"/>
    <n v="28"/>
  </r>
  <r>
    <s v="CLM00152"/>
    <s v="P0005"/>
    <s v="PR023"/>
    <s v="S016"/>
    <d v="2024-02-03T00:00:00"/>
    <d v="2024-02-07T00:00:00"/>
    <d v="2024-02-16T00:00:00"/>
    <n v="9"/>
    <s v="Feb-2024"/>
    <x v="4"/>
    <n v="103.06"/>
    <x v="0"/>
    <n v="9"/>
  </r>
  <r>
    <s v="CLM00100"/>
    <s v="P0224"/>
    <s v="PR040"/>
    <s v="S016"/>
    <d v="2023-12-15T00:00:00"/>
    <d v="2023-12-19T00:00:00"/>
    <d v="2024-01-04T00:00:00"/>
    <n v="16"/>
    <s v="Dec-2023"/>
    <x v="2"/>
    <n v="102.69"/>
    <x v="0"/>
    <n v="16"/>
  </r>
  <r>
    <s v="CLM01867"/>
    <s v="P0246"/>
    <s v="PR002"/>
    <s v="S016"/>
    <d v="2024-03-25T00:00:00"/>
    <d v="2024-03-26T00:00:00"/>
    <d v="2024-04-14T00:00:00"/>
    <n v="19"/>
    <s v="Mar-2024"/>
    <x v="1"/>
    <n v="101.83"/>
    <x v="1"/>
    <n v="19"/>
  </r>
  <r>
    <s v="CLM01471"/>
    <s v="P0386"/>
    <s v="PR023"/>
    <s v="S016"/>
    <d v="2024-12-29T00:00:00"/>
    <d v="2025-01-02T00:00:00"/>
    <d v="2025-01-19T00:00:00"/>
    <n v="17"/>
    <s v="Dec-2024"/>
    <x v="2"/>
    <n v="101.79"/>
    <x v="0"/>
    <n v="17"/>
  </r>
  <r>
    <s v="CLM01174"/>
    <s v="P0106"/>
    <s v="PR005"/>
    <s v="S016"/>
    <d v="2023-07-18T00:00:00"/>
    <d v="2023-07-22T00:00:00"/>
    <d v="2023-08-15T00:00:00"/>
    <n v="24"/>
    <s v="Jul-2023"/>
    <x v="0"/>
    <n v="101.66"/>
    <x v="1"/>
    <n v="24"/>
  </r>
  <r>
    <s v="CLM00137"/>
    <s v="P0340"/>
    <s v="PR012"/>
    <s v="S016"/>
    <d v="2023-07-24T00:00:00"/>
    <d v="2023-07-28T00:00:00"/>
    <d v="2023-08-20T00:00:00"/>
    <n v="23"/>
    <s v="Jul-2023"/>
    <x v="0"/>
    <n v="101.53"/>
    <x v="0"/>
    <n v="23"/>
  </r>
  <r>
    <s v="CLM01763"/>
    <s v="P0439"/>
    <s v="PR002"/>
    <s v="S016"/>
    <d v="2024-07-02T00:00:00"/>
    <d v="2024-07-04T00:00:00"/>
    <d v="2024-07-23T00:00:00"/>
    <n v="19"/>
    <s v="Jul-2024"/>
    <x v="0"/>
    <n v="101.51"/>
    <x v="1"/>
    <n v="19"/>
  </r>
  <r>
    <s v="CLM01005"/>
    <s v="P0141"/>
    <s v="PR032"/>
    <s v="S016"/>
    <d v="2024-09-15T00:00:00"/>
    <d v="2024-09-19T00:00:00"/>
    <d v="2024-10-07T00:00:00"/>
    <n v="18"/>
    <s v="Sep-2024"/>
    <x v="2"/>
    <n v="100.33"/>
    <x v="0"/>
    <n v="18"/>
  </r>
  <r>
    <s v="CLM00217"/>
    <s v="P0433"/>
    <s v="PR035"/>
    <s v="S016"/>
    <d v="2024-07-24T00:00:00"/>
    <d v="2024-07-28T00:00:00"/>
    <d v="2024-08-07T00:00:00"/>
    <n v="10"/>
    <s v="Jul-2024"/>
    <x v="0"/>
    <n v="100.02"/>
    <x v="1"/>
    <n v="10"/>
  </r>
  <r>
    <s v="CLM01268"/>
    <s v="P0243"/>
    <s v="PR029"/>
    <s v="S016"/>
    <d v="2023-09-30T00:00:00"/>
    <d v="2023-10-03T00:00:00"/>
    <d v="2023-10-30T00:00:00"/>
    <n v="27"/>
    <s v="Sep-2023"/>
    <x v="1"/>
    <n v="98.68"/>
    <x v="0"/>
    <n v="27"/>
  </r>
  <r>
    <s v="CLM01735"/>
    <s v="P0111"/>
    <s v="PR001"/>
    <s v="S016"/>
    <d v="2023-12-04T00:00:00"/>
    <d v="2023-12-08T00:00:00"/>
    <d v="2024-01-06T00:00:00"/>
    <n v="29"/>
    <s v="Dec-2023"/>
    <x v="2"/>
    <n v="98.6"/>
    <x v="0"/>
    <n v="29"/>
  </r>
  <r>
    <s v="CLM00008"/>
    <s v="P0414"/>
    <s v="PR031"/>
    <s v="S016"/>
    <d v="2023-03-11T00:00:00"/>
    <d v="2023-03-12T00:00:00"/>
    <d v="2023-03-27T00:00:00"/>
    <n v="15"/>
    <s v="Mar-2023"/>
    <x v="1"/>
    <n v="98.57"/>
    <x v="0"/>
    <n v="15"/>
  </r>
  <r>
    <s v="CLM01564"/>
    <s v="P0280"/>
    <s v="PR034"/>
    <s v="S016"/>
    <d v="2023-11-27T00:00:00"/>
    <d v="2023-11-28T00:00:00"/>
    <d v="2023-12-09T00:00:00"/>
    <n v="11"/>
    <s v="Nov-2023"/>
    <x v="2"/>
    <n v="98.07"/>
    <x v="0"/>
    <n v="11"/>
  </r>
  <r>
    <s v="CLM00503"/>
    <s v="P0176"/>
    <s v="PR024"/>
    <s v="S016"/>
    <d v="2024-03-30T00:00:00"/>
    <d v="2024-04-03T00:00:00"/>
    <d v="2024-04-25T00:00:00"/>
    <n v="22"/>
    <s v="Mar-2024"/>
    <x v="2"/>
    <n v="97.81"/>
    <x v="0"/>
    <n v="22"/>
  </r>
  <r>
    <s v="CLM00285"/>
    <s v="P0428"/>
    <s v="PR012"/>
    <s v="S016"/>
    <d v="2023-05-09T00:00:00"/>
    <d v="2023-05-12T00:00:00"/>
    <d v="2023-06-04T00:00:00"/>
    <n v="23"/>
    <s v="May-2023"/>
    <x v="3"/>
    <n v="97.45"/>
    <x v="1"/>
    <n v="23"/>
  </r>
  <r>
    <s v="CLM00646"/>
    <s v="P0315"/>
    <s v="PR001"/>
    <s v="S016"/>
    <d v="2023-10-04T00:00:00"/>
    <d v="2023-10-07T00:00:00"/>
    <d v="2023-10-30T00:00:00"/>
    <n v="23"/>
    <s v="Oct-2023"/>
    <x v="4"/>
    <n v="96.88"/>
    <x v="0"/>
    <n v="23"/>
  </r>
  <r>
    <s v="CLM01168"/>
    <s v="P0006"/>
    <s v="PR002"/>
    <s v="S016"/>
    <d v="2023-10-05T00:00:00"/>
    <d v="2023-10-06T00:00:00"/>
    <d v="2023-11-03T00:00:00"/>
    <n v="28"/>
    <s v="Oct-2023"/>
    <x v="4"/>
    <n v="95.97"/>
    <x v="0"/>
    <n v="28"/>
  </r>
  <r>
    <s v="CLM01551"/>
    <s v="P0386"/>
    <s v="PR028"/>
    <s v="S016"/>
    <d v="2024-01-10T00:00:00"/>
    <d v="2024-01-13T00:00:00"/>
    <d v="2024-02-10T00:00:00"/>
    <n v="28"/>
    <s v="Jan-2024"/>
    <x v="2"/>
    <n v="95.75"/>
    <x v="0"/>
    <n v="28"/>
  </r>
  <r>
    <s v="CLM01445"/>
    <s v="P0245"/>
    <s v="PR035"/>
    <s v="S016"/>
    <d v="2024-06-11T00:00:00"/>
    <d v="2024-06-12T00:00:00"/>
    <d v="2024-06-20T00:00:00"/>
    <n v="8"/>
    <s v="Jun-2024"/>
    <x v="1"/>
    <n v="95.45"/>
    <x v="0"/>
    <n v="8"/>
  </r>
  <r>
    <s v="CLM00512"/>
    <s v="P0463"/>
    <s v="PR023"/>
    <s v="S016"/>
    <d v="2023-12-13T00:00:00"/>
    <d v="2023-12-14T00:00:00"/>
    <d v="2024-01-09T00:00:00"/>
    <n v="26"/>
    <s v="Dec-2023"/>
    <x v="1"/>
    <n v="94.89"/>
    <x v="1"/>
    <n v="26"/>
  </r>
  <r>
    <s v="CLM01583"/>
    <s v="P0206"/>
    <s v="PR016"/>
    <s v="S016"/>
    <d v="2024-11-09T00:00:00"/>
    <d v="2024-11-13T00:00:00"/>
    <d v="2024-11-30T00:00:00"/>
    <n v="17"/>
    <s v="Nov-2024"/>
    <x v="1"/>
    <n v="94.79"/>
    <x v="0"/>
    <n v="17"/>
  </r>
  <r>
    <s v="CLM00226"/>
    <s v="P0355"/>
    <s v="PR019"/>
    <s v="S016"/>
    <d v="2024-06-15T00:00:00"/>
    <d v="2024-06-20T00:00:00"/>
    <m/>
    <s v=""/>
    <s v="Jun-2024"/>
    <x v="3"/>
    <n v="94.46"/>
    <x v="2"/>
    <m/>
  </r>
  <r>
    <s v="CLM00722"/>
    <s v="P0042"/>
    <s v="PR015"/>
    <s v="S016"/>
    <d v="2024-04-29T00:00:00"/>
    <d v="2024-05-03T00:00:00"/>
    <d v="2024-05-24T00:00:00"/>
    <n v="21"/>
    <s v="Apr-2024"/>
    <x v="4"/>
    <n v="94.27"/>
    <x v="0"/>
    <n v="21"/>
  </r>
  <r>
    <s v="CLM00591"/>
    <s v="P0206"/>
    <s v="PR016"/>
    <s v="S016"/>
    <d v="2024-12-27T00:00:00"/>
    <d v="2024-12-31T00:00:00"/>
    <d v="2025-01-15T00:00:00"/>
    <n v="15"/>
    <s v="Dec-2024"/>
    <x v="1"/>
    <n v="94.04"/>
    <x v="0"/>
    <n v="15"/>
  </r>
  <r>
    <s v="CLM01238"/>
    <s v="P0127"/>
    <s v="PR009"/>
    <s v="S016"/>
    <d v="2023-11-27T00:00:00"/>
    <d v="2023-11-29T00:00:00"/>
    <d v="2023-12-06T00:00:00"/>
    <n v="7"/>
    <s v="Nov-2023"/>
    <x v="0"/>
    <n v="94.03"/>
    <x v="1"/>
    <n v="7"/>
  </r>
  <r>
    <s v="CLM00213"/>
    <s v="P0415"/>
    <s v="PR024"/>
    <s v="S016"/>
    <d v="2023-03-27T00:00:00"/>
    <d v="2023-03-31T00:00:00"/>
    <d v="2023-04-24T00:00:00"/>
    <n v="24"/>
    <s v="Mar-2023"/>
    <x v="1"/>
    <n v="93.52"/>
    <x v="0"/>
    <n v="24"/>
  </r>
  <r>
    <s v="CLM00477"/>
    <s v="P0424"/>
    <s v="PR036"/>
    <s v="S016"/>
    <d v="2024-04-26T00:00:00"/>
    <d v="2024-04-29T00:00:00"/>
    <d v="2024-05-21T00:00:00"/>
    <n v="22"/>
    <s v="Apr-2024"/>
    <x v="1"/>
    <n v="92.53"/>
    <x v="1"/>
    <n v="22"/>
  </r>
  <r>
    <s v="CLM00658"/>
    <s v="P0375"/>
    <s v="PR017"/>
    <s v="S016"/>
    <d v="2023-12-30T00:00:00"/>
    <d v="2024-01-03T00:00:00"/>
    <d v="2024-01-16T00:00:00"/>
    <n v="13"/>
    <s v="Dec-2023"/>
    <x v="2"/>
    <n v="91.12"/>
    <x v="0"/>
    <n v="13"/>
  </r>
  <r>
    <s v="CLM01405"/>
    <s v="P0442"/>
    <s v="PR003"/>
    <s v="S016"/>
    <d v="2024-09-19T00:00:00"/>
    <d v="2024-09-23T00:00:00"/>
    <d v="2024-09-26T00:00:00"/>
    <n v="3"/>
    <s v="Sep-2024"/>
    <x v="2"/>
    <n v="90.52"/>
    <x v="0"/>
    <n v="3"/>
  </r>
  <r>
    <s v="CLM00570"/>
    <s v="P0422"/>
    <s v="PR001"/>
    <s v="S016"/>
    <d v="2023-06-17T00:00:00"/>
    <d v="2023-06-19T00:00:00"/>
    <d v="2023-07-08T00:00:00"/>
    <n v="19"/>
    <s v="Jun-2023"/>
    <x v="2"/>
    <n v="90.46"/>
    <x v="1"/>
    <n v="19"/>
  </r>
  <r>
    <s v="CLM01173"/>
    <s v="P0323"/>
    <s v="PR039"/>
    <s v="S002"/>
    <d v="2024-05-06T00:00:00"/>
    <d v="2024-05-07T00:00:00"/>
    <d v="2024-05-19T00:00:00"/>
    <n v="12"/>
    <s v="May-2024"/>
    <x v="2"/>
    <n v="62.07"/>
    <x v="0"/>
    <n v="12"/>
  </r>
  <r>
    <s v="CLM00012"/>
    <s v="P0256"/>
    <s v="PR004"/>
    <s v="S002"/>
    <d v="2023-05-12T00:00:00"/>
    <d v="2023-05-14T00:00:00"/>
    <d v="2023-05-19T00:00:00"/>
    <n v="5"/>
    <s v="May-2023"/>
    <x v="2"/>
    <n v="62.01"/>
    <x v="1"/>
    <n v="5"/>
  </r>
  <r>
    <s v="CLM01483"/>
    <s v="P0493"/>
    <s v="PR033"/>
    <s v="S002"/>
    <d v="2024-01-13T00:00:00"/>
    <d v="2024-01-17T00:00:00"/>
    <d v="2024-01-21T00:00:00"/>
    <n v="4"/>
    <s v="Jan-2024"/>
    <x v="3"/>
    <n v="61.85"/>
    <x v="1"/>
    <n v="4"/>
  </r>
  <r>
    <s v="CLM01403"/>
    <s v="P0165"/>
    <s v="PR024"/>
    <s v="S002"/>
    <d v="2023-06-30T00:00:00"/>
    <d v="2023-07-02T00:00:00"/>
    <d v="2023-07-27T00:00:00"/>
    <n v="25"/>
    <s v="Jun-2023"/>
    <x v="1"/>
    <n v="61.77"/>
    <x v="1"/>
    <n v="25"/>
  </r>
  <r>
    <s v="CLM00931"/>
    <s v="P0311"/>
    <s v="PR023"/>
    <s v="S002"/>
    <d v="2024-07-18T00:00:00"/>
    <d v="2024-07-22T00:00:00"/>
    <d v="2024-07-28T00:00:00"/>
    <n v="6"/>
    <s v="Jul-2024"/>
    <x v="0"/>
    <n v="61.64"/>
    <x v="0"/>
    <n v="6"/>
  </r>
  <r>
    <s v="CLM01402"/>
    <s v="P0075"/>
    <s v="PR004"/>
    <s v="S002"/>
    <d v="2024-04-15T00:00:00"/>
    <d v="2024-04-16T00:00:00"/>
    <d v="2024-05-04T00:00:00"/>
    <n v="18"/>
    <s v="Apr-2024"/>
    <x v="0"/>
    <n v="61.63"/>
    <x v="0"/>
    <n v="18"/>
  </r>
  <r>
    <s v="CLM00015"/>
    <s v="P0348"/>
    <s v="PR024"/>
    <s v="S002"/>
    <d v="2023-05-12T00:00:00"/>
    <d v="2023-05-17T00:00:00"/>
    <d v="2023-06-02T00:00:00"/>
    <n v="16"/>
    <s v="May-2023"/>
    <x v="2"/>
    <n v="61.58"/>
    <x v="0"/>
    <n v="16"/>
  </r>
  <r>
    <s v="CLM01304"/>
    <s v="P0141"/>
    <s v="PR022"/>
    <s v="S002"/>
    <d v="2024-08-25T00:00:00"/>
    <d v="2024-08-26T00:00:00"/>
    <d v="2024-09-03T00:00:00"/>
    <n v="8"/>
    <s v="Aug-2024"/>
    <x v="2"/>
    <n v="61.16"/>
    <x v="0"/>
    <n v="8"/>
  </r>
  <r>
    <s v="CLM01637"/>
    <s v="P0104"/>
    <s v="PR026"/>
    <s v="S002"/>
    <d v="2024-10-30T00:00:00"/>
    <d v="2024-11-02T00:00:00"/>
    <d v="2024-11-27T00:00:00"/>
    <n v="25"/>
    <s v="Oct-2024"/>
    <x v="0"/>
    <n v="61.1"/>
    <x v="0"/>
    <n v="25"/>
  </r>
  <r>
    <s v="CLM00365"/>
    <s v="P0045"/>
    <s v="PR038"/>
    <s v="S002"/>
    <d v="2023-02-16T00:00:00"/>
    <d v="2023-02-17T00:00:00"/>
    <d v="2023-03-07T00:00:00"/>
    <n v="18"/>
    <s v="Feb-2023"/>
    <x v="2"/>
    <n v="61.04"/>
    <x v="0"/>
    <n v="18"/>
  </r>
  <r>
    <s v="CLM00523"/>
    <s v="P0469"/>
    <s v="PR001"/>
    <s v="S002"/>
    <d v="2023-10-10T00:00:00"/>
    <d v="2023-10-14T00:00:00"/>
    <d v="2023-10-20T00:00:00"/>
    <n v="6"/>
    <s v="Oct-2023"/>
    <x v="4"/>
    <n v="61.01"/>
    <x v="0"/>
    <n v="6"/>
  </r>
  <r>
    <s v="CLM01505"/>
    <s v="P0444"/>
    <s v="PR016"/>
    <s v="S002"/>
    <d v="2023-04-19T00:00:00"/>
    <d v="2023-04-23T00:00:00"/>
    <d v="2023-05-05T00:00:00"/>
    <n v="12"/>
    <s v="Apr-2023"/>
    <x v="2"/>
    <n v="60.46"/>
    <x v="0"/>
    <n v="12"/>
  </r>
  <r>
    <s v="CLM01396"/>
    <s v="P0050"/>
    <s v="PR027"/>
    <s v="S002"/>
    <d v="2023-06-13T00:00:00"/>
    <d v="2023-06-17T00:00:00"/>
    <m/>
    <s v=""/>
    <s v="Jun-2023"/>
    <x v="2"/>
    <n v="60.36"/>
    <x v="2"/>
    <m/>
  </r>
  <r>
    <s v="CLM00672"/>
    <s v="P0269"/>
    <s v="PR015"/>
    <s v="S002"/>
    <d v="2024-01-15T00:00:00"/>
    <d v="2024-01-17T00:00:00"/>
    <m/>
    <s v=""/>
    <s v="Jan-2024"/>
    <x v="0"/>
    <n v="59.4"/>
    <x v="2"/>
    <m/>
  </r>
  <r>
    <s v="CLM01051"/>
    <s v="P0462"/>
    <s v="PR028"/>
    <s v="S002"/>
    <d v="2023-06-15T00:00:00"/>
    <d v="2023-06-16T00:00:00"/>
    <d v="2023-06-20T00:00:00"/>
    <n v="4"/>
    <s v="Jun-2023"/>
    <x v="0"/>
    <n v="59.3"/>
    <x v="1"/>
    <n v="4"/>
  </r>
  <r>
    <s v="CLM01804"/>
    <s v="P0117"/>
    <s v="PR016"/>
    <s v="S002"/>
    <d v="2023-08-30T00:00:00"/>
    <d v="2023-09-04T00:00:00"/>
    <d v="2023-09-24T00:00:00"/>
    <n v="20"/>
    <s v="Aug-2023"/>
    <x v="4"/>
    <n v="59.23"/>
    <x v="1"/>
    <n v="20"/>
  </r>
  <r>
    <s v="CLM00440"/>
    <s v="P0056"/>
    <s v="PR008"/>
    <s v="S002"/>
    <d v="2024-01-11T00:00:00"/>
    <d v="2024-01-16T00:00:00"/>
    <d v="2024-02-14T00:00:00"/>
    <n v="29"/>
    <s v="Jan-2024"/>
    <x v="1"/>
    <n v="59.22"/>
    <x v="0"/>
    <n v="29"/>
  </r>
  <r>
    <s v="CLM01147"/>
    <s v="P0350"/>
    <s v="PR015"/>
    <s v="S002"/>
    <d v="2024-05-03T00:00:00"/>
    <d v="2024-05-07T00:00:00"/>
    <d v="2024-05-18T00:00:00"/>
    <n v="11"/>
    <s v="May-2024"/>
    <x v="4"/>
    <n v="59.22"/>
    <x v="1"/>
    <n v="11"/>
  </r>
  <r>
    <s v="CLM01894"/>
    <s v="P0188"/>
    <s v="PR032"/>
    <s v="S002"/>
    <d v="2023-05-27T00:00:00"/>
    <d v="2023-05-28T00:00:00"/>
    <d v="2023-06-13T00:00:00"/>
    <n v="16"/>
    <s v="May-2023"/>
    <x v="4"/>
    <n v="59.2"/>
    <x v="0"/>
    <n v="16"/>
  </r>
  <r>
    <s v="CLM00520"/>
    <s v="P0148"/>
    <s v="PR040"/>
    <s v="S002"/>
    <d v="2024-07-26T00:00:00"/>
    <d v="2024-07-28T00:00:00"/>
    <d v="2024-08-02T00:00:00"/>
    <n v="5"/>
    <s v="Jul-2024"/>
    <x v="2"/>
    <n v="59.18"/>
    <x v="0"/>
    <n v="5"/>
  </r>
  <r>
    <s v="CLM01250"/>
    <s v="P0085"/>
    <s v="PR019"/>
    <s v="S002"/>
    <d v="2024-11-26T00:00:00"/>
    <d v="2024-11-27T00:00:00"/>
    <d v="2024-12-11T00:00:00"/>
    <n v="14"/>
    <s v="Nov-2024"/>
    <x v="1"/>
    <n v="59.06"/>
    <x v="1"/>
    <n v="14"/>
  </r>
  <r>
    <s v="CLM00917"/>
    <s v="P0040"/>
    <s v="PR021"/>
    <s v="S002"/>
    <d v="2024-04-18T00:00:00"/>
    <d v="2024-04-20T00:00:00"/>
    <d v="2024-05-08T00:00:00"/>
    <n v="18"/>
    <s v="Apr-2024"/>
    <x v="2"/>
    <n v="58.62"/>
    <x v="1"/>
    <n v="18"/>
  </r>
  <r>
    <s v="CLM01132"/>
    <s v="P0458"/>
    <s v="PR004"/>
    <s v="S002"/>
    <d v="2024-09-14T00:00:00"/>
    <d v="2024-09-17T00:00:00"/>
    <d v="2024-09-23T00:00:00"/>
    <n v="6"/>
    <s v="Sep-2024"/>
    <x v="3"/>
    <n v="58.18"/>
    <x v="0"/>
    <n v="6"/>
  </r>
  <r>
    <s v="CLM00473"/>
    <s v="P0453"/>
    <s v="PR009"/>
    <s v="S002"/>
    <d v="2023-07-20T00:00:00"/>
    <d v="2023-07-21T00:00:00"/>
    <d v="2023-07-25T00:00:00"/>
    <n v="4"/>
    <s v="Jul-2023"/>
    <x v="4"/>
    <n v="58.08"/>
    <x v="0"/>
    <n v="4"/>
  </r>
  <r>
    <s v="CLM00374"/>
    <s v="P0256"/>
    <s v="PR022"/>
    <s v="S002"/>
    <d v="2024-05-30T00:00:00"/>
    <d v="2024-06-03T00:00:00"/>
    <d v="2024-06-19T00:00:00"/>
    <n v="16"/>
    <s v="May-2024"/>
    <x v="2"/>
    <n v="57.79"/>
    <x v="0"/>
    <n v="16"/>
  </r>
  <r>
    <s v="CLM01994"/>
    <s v="P0235"/>
    <s v="PR016"/>
    <s v="S002"/>
    <d v="2023-07-25T00:00:00"/>
    <d v="2023-07-29T00:00:00"/>
    <d v="2023-08-15T00:00:00"/>
    <n v="17"/>
    <s v="Jul-2023"/>
    <x v="0"/>
    <n v="57.02"/>
    <x v="0"/>
    <n v="17"/>
  </r>
  <r>
    <s v="CLM01576"/>
    <s v="P0332"/>
    <s v="PR021"/>
    <s v="S002"/>
    <d v="2023-02-19T00:00:00"/>
    <d v="2023-02-24T00:00:00"/>
    <d v="2023-03-09T00:00:00"/>
    <n v="13"/>
    <s v="Feb-2023"/>
    <x v="4"/>
    <n v="56.69"/>
    <x v="0"/>
    <n v="13"/>
  </r>
  <r>
    <s v="CLM00412"/>
    <s v="P0290"/>
    <s v="PR006"/>
    <s v="S002"/>
    <d v="2023-06-03T00:00:00"/>
    <d v="2023-06-05T00:00:00"/>
    <d v="2023-06-15T00:00:00"/>
    <n v="10"/>
    <s v="Jun-2023"/>
    <x v="3"/>
    <n v="56.39"/>
    <x v="0"/>
    <n v="10"/>
  </r>
  <r>
    <s v="CLM01765"/>
    <s v="P0267"/>
    <s v="PR033"/>
    <s v="S002"/>
    <d v="2024-07-21T00:00:00"/>
    <d v="2024-07-23T00:00:00"/>
    <d v="2024-08-08T00:00:00"/>
    <n v="16"/>
    <s v="Jul-2024"/>
    <x v="3"/>
    <n v="56.27"/>
    <x v="0"/>
    <n v="16"/>
  </r>
  <r>
    <s v="CLM00908"/>
    <s v="P0018"/>
    <s v="PR010"/>
    <s v="S002"/>
    <d v="2024-10-18T00:00:00"/>
    <d v="2024-10-21T00:00:00"/>
    <d v="2024-11-17T00:00:00"/>
    <n v="27"/>
    <s v="Oct-2024"/>
    <x v="2"/>
    <n v="56.01"/>
    <x v="0"/>
    <n v="27"/>
  </r>
  <r>
    <s v="CLM00394"/>
    <s v="P0231"/>
    <s v="PR036"/>
    <s v="S002"/>
    <d v="2024-02-11T00:00:00"/>
    <d v="2024-02-15T00:00:00"/>
    <d v="2024-02-24T00:00:00"/>
    <n v="9"/>
    <s v="Feb-2024"/>
    <x v="4"/>
    <n v="55.93"/>
    <x v="0"/>
    <n v="9"/>
  </r>
  <r>
    <s v="CLM00070"/>
    <s v="P0269"/>
    <s v="PR007"/>
    <s v="S002"/>
    <d v="2023-06-10T00:00:00"/>
    <d v="2023-06-15T00:00:00"/>
    <d v="2023-06-28T00:00:00"/>
    <n v="13"/>
    <s v="Jun-2023"/>
    <x v="0"/>
    <n v="55.89"/>
    <x v="0"/>
    <n v="13"/>
  </r>
  <r>
    <s v="CLM01470"/>
    <s v="P0199"/>
    <s v="PR006"/>
    <s v="S002"/>
    <d v="2023-07-10T00:00:00"/>
    <d v="2023-07-14T00:00:00"/>
    <d v="2023-08-09T00:00:00"/>
    <n v="26"/>
    <s v="Jul-2023"/>
    <x v="2"/>
    <n v="55.61"/>
    <x v="0"/>
    <n v="26"/>
  </r>
  <r>
    <s v="CLM01344"/>
    <s v="P0461"/>
    <s v="PR024"/>
    <s v="S002"/>
    <d v="2024-09-19T00:00:00"/>
    <d v="2024-09-23T00:00:00"/>
    <d v="2024-10-21T00:00:00"/>
    <n v="28"/>
    <s v="Sep-2024"/>
    <x v="1"/>
    <n v="55.39"/>
    <x v="1"/>
    <n v="28"/>
  </r>
  <r>
    <s v="CLM01645"/>
    <s v="P0287"/>
    <s v="PR007"/>
    <s v="S002"/>
    <d v="2024-08-18T00:00:00"/>
    <d v="2024-08-19T00:00:00"/>
    <m/>
    <s v=""/>
    <s v="Aug-2024"/>
    <x v="4"/>
    <n v="55.05"/>
    <x v="2"/>
    <m/>
  </r>
  <r>
    <s v="CLM00233"/>
    <s v="P0339"/>
    <s v="PR019"/>
    <s v="S002"/>
    <d v="2023-08-01T00:00:00"/>
    <d v="2023-08-03T00:00:00"/>
    <d v="2023-08-26T00:00:00"/>
    <n v="23"/>
    <s v="Aug-2023"/>
    <x v="2"/>
    <n v="54.75"/>
    <x v="1"/>
    <n v="23"/>
  </r>
  <r>
    <s v="CLM01695"/>
    <s v="P0058"/>
    <s v="PR034"/>
    <s v="S002"/>
    <d v="2024-01-05T00:00:00"/>
    <d v="2024-01-08T00:00:00"/>
    <m/>
    <s v=""/>
    <s v="Jan-2024"/>
    <x v="4"/>
    <n v="54.69"/>
    <x v="2"/>
    <m/>
  </r>
  <r>
    <s v="CLM00202"/>
    <s v="P0459"/>
    <s v="PR006"/>
    <s v="S002"/>
    <d v="2024-05-31T00:00:00"/>
    <d v="2024-06-03T00:00:00"/>
    <d v="2024-06-30T00:00:00"/>
    <n v="27"/>
    <s v="May-2024"/>
    <x v="1"/>
    <n v="54.51"/>
    <x v="0"/>
    <n v="27"/>
  </r>
  <r>
    <s v="CLM00662"/>
    <s v="P0401"/>
    <s v="PR016"/>
    <s v="S002"/>
    <d v="2023-06-21T00:00:00"/>
    <d v="2023-06-24T00:00:00"/>
    <d v="2023-07-21T00:00:00"/>
    <n v="27"/>
    <s v="Jun-2023"/>
    <x v="3"/>
    <n v="54.51"/>
    <x v="0"/>
    <n v="27"/>
  </r>
  <r>
    <s v="CLM01383"/>
    <s v="P0231"/>
    <s v="PR013"/>
    <s v="S002"/>
    <d v="2024-09-06T00:00:00"/>
    <d v="2024-09-11T00:00:00"/>
    <d v="2024-09-28T00:00:00"/>
    <n v="17"/>
    <s v="Sep-2024"/>
    <x v="4"/>
    <n v="54.27"/>
    <x v="0"/>
    <n v="17"/>
  </r>
  <r>
    <s v="CLM01016"/>
    <s v="P0239"/>
    <s v="PR028"/>
    <s v="S002"/>
    <d v="2023-01-23T00:00:00"/>
    <d v="2023-01-28T00:00:00"/>
    <d v="2023-02-16T00:00:00"/>
    <n v="19"/>
    <s v="Jan-2023"/>
    <x v="1"/>
    <n v="54.19"/>
    <x v="0"/>
    <n v="19"/>
  </r>
  <r>
    <s v="CLM00375"/>
    <s v="P0073"/>
    <s v="PR007"/>
    <s v="S002"/>
    <d v="2024-03-17T00:00:00"/>
    <d v="2024-03-21T00:00:00"/>
    <d v="2024-04-12T00:00:00"/>
    <n v="22"/>
    <s v="Mar-2024"/>
    <x v="2"/>
    <n v="54.13"/>
    <x v="0"/>
    <n v="22"/>
  </r>
  <r>
    <s v="CLM01919"/>
    <s v="P0032"/>
    <s v="PR013"/>
    <s v="S002"/>
    <d v="2023-09-02T00:00:00"/>
    <d v="2023-09-07T00:00:00"/>
    <d v="2023-09-25T00:00:00"/>
    <n v="18"/>
    <s v="Sep-2023"/>
    <x v="1"/>
    <n v="54.11"/>
    <x v="0"/>
    <n v="18"/>
  </r>
  <r>
    <s v="CLM00566"/>
    <s v="P0160"/>
    <s v="PR021"/>
    <s v="S002"/>
    <d v="2023-05-07T00:00:00"/>
    <d v="2023-05-09T00:00:00"/>
    <d v="2023-05-13T00:00:00"/>
    <n v="4"/>
    <s v="May-2023"/>
    <x v="1"/>
    <n v="54.07"/>
    <x v="0"/>
    <n v="4"/>
  </r>
  <r>
    <s v="CLM01782"/>
    <s v="P0065"/>
    <s v="PR017"/>
    <s v="S002"/>
    <d v="2024-10-23T00:00:00"/>
    <d v="2024-10-27T00:00:00"/>
    <d v="2024-11-11T00:00:00"/>
    <n v="15"/>
    <s v="Oct-2024"/>
    <x v="1"/>
    <n v="54.01"/>
    <x v="0"/>
    <n v="15"/>
  </r>
  <r>
    <s v="CLM00247"/>
    <s v="P0048"/>
    <s v="PR010"/>
    <s v="S002"/>
    <d v="2024-07-07T00:00:00"/>
    <d v="2024-07-10T00:00:00"/>
    <d v="2024-07-24T00:00:00"/>
    <n v="14"/>
    <s v="Jul-2024"/>
    <x v="4"/>
    <n v="53.39"/>
    <x v="0"/>
    <n v="14"/>
  </r>
  <r>
    <s v="CLM00803"/>
    <s v="P0304"/>
    <s v="PR040"/>
    <s v="S002"/>
    <d v="2024-06-12T00:00:00"/>
    <d v="2024-06-17T00:00:00"/>
    <d v="2024-06-26T00:00:00"/>
    <n v="9"/>
    <s v="Jun-2024"/>
    <x v="2"/>
    <n v="53.28"/>
    <x v="0"/>
    <n v="9"/>
  </r>
  <r>
    <s v="CLM01135"/>
    <s v="P0370"/>
    <s v="PR030"/>
    <s v="S002"/>
    <d v="2023-06-09T00:00:00"/>
    <d v="2023-06-14T00:00:00"/>
    <d v="2023-06-17T00:00:00"/>
    <n v="3"/>
    <s v="Jun-2023"/>
    <x v="0"/>
    <n v="53.19"/>
    <x v="0"/>
    <n v="3"/>
  </r>
  <r>
    <s v="CLM01908"/>
    <s v="P0291"/>
    <s v="PR026"/>
    <s v="S002"/>
    <d v="2023-11-26T00:00:00"/>
    <d v="2023-11-30T00:00:00"/>
    <d v="2023-12-16T00:00:00"/>
    <n v="16"/>
    <s v="Nov-2023"/>
    <x v="4"/>
    <n v="53.19"/>
    <x v="0"/>
    <n v="16"/>
  </r>
  <r>
    <s v="CLM01593"/>
    <s v="P0164"/>
    <s v="PR027"/>
    <s v="S002"/>
    <d v="2023-08-03T00:00:00"/>
    <d v="2023-08-07T00:00:00"/>
    <d v="2023-09-06T00:00:00"/>
    <n v="30"/>
    <s v="Aug-2023"/>
    <x v="2"/>
    <n v="52.26"/>
    <x v="0"/>
    <n v="30"/>
  </r>
  <r>
    <s v="CLM01340"/>
    <s v="P0431"/>
    <s v="PR020"/>
    <s v="S002"/>
    <d v="2023-04-24T00:00:00"/>
    <d v="2023-04-27T00:00:00"/>
    <d v="2023-05-01T00:00:00"/>
    <n v="4"/>
    <s v="Apr-2023"/>
    <x v="2"/>
    <n v="52.23"/>
    <x v="0"/>
    <n v="4"/>
  </r>
  <r>
    <s v="CLM01513"/>
    <s v="P0303"/>
    <s v="PR027"/>
    <s v="S002"/>
    <d v="2024-03-27T00:00:00"/>
    <d v="2024-03-29T00:00:00"/>
    <d v="2024-04-17T00:00:00"/>
    <n v="19"/>
    <s v="Mar-2024"/>
    <x v="4"/>
    <n v="52.07"/>
    <x v="0"/>
    <n v="19"/>
  </r>
  <r>
    <s v="CLM00549"/>
    <s v="P0365"/>
    <s v="PR034"/>
    <s v="S002"/>
    <d v="2024-09-09T00:00:00"/>
    <d v="2024-09-13T00:00:00"/>
    <d v="2024-09-16T00:00:00"/>
    <n v="3"/>
    <s v="Sep-2024"/>
    <x v="2"/>
    <n v="51.85"/>
    <x v="1"/>
    <n v="3"/>
  </r>
  <r>
    <s v="CLM00944"/>
    <s v="P0360"/>
    <s v="PR037"/>
    <s v="S002"/>
    <d v="2023-07-02T00:00:00"/>
    <d v="2023-07-06T00:00:00"/>
    <d v="2023-07-21T00:00:00"/>
    <n v="15"/>
    <s v="Jul-2023"/>
    <x v="4"/>
    <n v="51.74"/>
    <x v="0"/>
    <n v="15"/>
  </r>
  <r>
    <s v="CLM00981"/>
    <s v="P0040"/>
    <s v="PR029"/>
    <s v="S002"/>
    <d v="2023-04-06T00:00:00"/>
    <d v="2023-04-09T00:00:00"/>
    <d v="2023-04-24T00:00:00"/>
    <n v="15"/>
    <s v="Apr-2023"/>
    <x v="2"/>
    <n v="51.61"/>
    <x v="0"/>
    <n v="15"/>
  </r>
  <r>
    <s v="CLM00311"/>
    <s v="P0142"/>
    <s v="PR006"/>
    <s v="S002"/>
    <d v="2023-05-11T00:00:00"/>
    <d v="2023-05-16T00:00:00"/>
    <d v="2023-06-07T00:00:00"/>
    <n v="22"/>
    <s v="May-2023"/>
    <x v="2"/>
    <n v="51.21"/>
    <x v="0"/>
    <n v="22"/>
  </r>
  <r>
    <s v="CLM00817"/>
    <s v="P0367"/>
    <s v="PR040"/>
    <s v="S002"/>
    <d v="2024-12-15T00:00:00"/>
    <d v="2024-12-16T00:00:00"/>
    <d v="2024-12-29T00:00:00"/>
    <n v="13"/>
    <s v="Dec-2024"/>
    <x v="4"/>
    <n v="51.19"/>
    <x v="0"/>
    <n v="13"/>
  </r>
  <r>
    <s v="CLM00074"/>
    <s v="P0008"/>
    <s v="PR024"/>
    <s v="S002"/>
    <d v="2024-10-21T00:00:00"/>
    <d v="2024-10-23T00:00:00"/>
    <m/>
    <s v=""/>
    <s v="Oct-2024"/>
    <x v="2"/>
    <n v="49.96"/>
    <x v="2"/>
    <m/>
  </r>
  <r>
    <s v="CLM01143"/>
    <s v="P0382"/>
    <s v="PR031"/>
    <s v="S002"/>
    <d v="2023-02-28T00:00:00"/>
    <d v="2023-03-01T00:00:00"/>
    <d v="2023-03-30T00:00:00"/>
    <n v="29"/>
    <s v="Feb-2023"/>
    <x v="3"/>
    <n v="49.93"/>
    <x v="1"/>
    <n v="29"/>
  </r>
  <r>
    <s v="CLM01479"/>
    <s v="P0296"/>
    <s v="PR015"/>
    <s v="S002"/>
    <d v="2024-02-27T00:00:00"/>
    <d v="2024-03-02T00:00:00"/>
    <d v="2024-03-05T00:00:00"/>
    <n v="3"/>
    <s v="Feb-2024"/>
    <x v="2"/>
    <n v="49.62"/>
    <x v="1"/>
    <n v="3"/>
  </r>
  <r>
    <s v="CLM00107"/>
    <s v="P0166"/>
    <s v="PR003"/>
    <s v="S002"/>
    <d v="2024-08-24T00:00:00"/>
    <d v="2024-08-25T00:00:00"/>
    <d v="2024-09-13T00:00:00"/>
    <n v="19"/>
    <s v="Aug-2024"/>
    <x v="2"/>
    <n v="49.3"/>
    <x v="0"/>
    <n v="19"/>
  </r>
  <r>
    <s v="CLM00904"/>
    <s v="P0303"/>
    <s v="PR026"/>
    <s v="S002"/>
    <d v="2023-05-03T00:00:00"/>
    <d v="2023-05-08T00:00:00"/>
    <d v="2023-05-31T00:00:00"/>
    <n v="23"/>
    <s v="May-2023"/>
    <x v="4"/>
    <n v="49.24"/>
    <x v="0"/>
    <n v="23"/>
  </r>
  <r>
    <s v="CLM00434"/>
    <s v="P0395"/>
    <s v="PR007"/>
    <s v="S002"/>
    <d v="2024-11-06T00:00:00"/>
    <d v="2024-11-09T00:00:00"/>
    <d v="2024-11-30T00:00:00"/>
    <n v="21"/>
    <s v="Nov-2024"/>
    <x v="4"/>
    <n v="48.5"/>
    <x v="0"/>
    <n v="21"/>
  </r>
  <r>
    <s v="CLM00048"/>
    <s v="P0220"/>
    <s v="PR012"/>
    <s v="S002"/>
    <d v="2024-02-10T00:00:00"/>
    <d v="2024-02-11T00:00:00"/>
    <d v="2024-02-19T00:00:00"/>
    <n v="8"/>
    <s v="Feb-2024"/>
    <x v="2"/>
    <n v="48.33"/>
    <x v="0"/>
    <n v="8"/>
  </r>
  <r>
    <s v="CLM01297"/>
    <s v="P0367"/>
    <s v="PR020"/>
    <s v="S002"/>
    <d v="2023-09-12T00:00:00"/>
    <d v="2023-09-14T00:00:00"/>
    <d v="2023-10-07T00:00:00"/>
    <n v="23"/>
    <s v="Sep-2023"/>
    <x v="4"/>
    <n v="48.25"/>
    <x v="0"/>
    <n v="23"/>
  </r>
  <r>
    <s v="CLM01469"/>
    <s v="P0106"/>
    <s v="PR011"/>
    <s v="S002"/>
    <d v="2023-04-12T00:00:00"/>
    <d v="2023-04-14T00:00:00"/>
    <d v="2023-05-06T00:00:00"/>
    <n v="22"/>
    <s v="Apr-2023"/>
    <x v="0"/>
    <n v="48.08"/>
    <x v="0"/>
    <n v="22"/>
  </r>
  <r>
    <s v="CLM01954"/>
    <s v="P0255"/>
    <s v="PR022"/>
    <s v="S002"/>
    <d v="2024-02-29T00:00:00"/>
    <d v="2024-03-05T00:00:00"/>
    <d v="2024-03-11T00:00:00"/>
    <n v="6"/>
    <s v="Feb-2024"/>
    <x v="4"/>
    <n v="48.01"/>
    <x v="0"/>
    <n v="6"/>
  </r>
  <r>
    <s v="CLM01783"/>
    <s v="P0355"/>
    <s v="PR032"/>
    <s v="S002"/>
    <d v="2024-05-26T00:00:00"/>
    <d v="2024-05-29T00:00:00"/>
    <d v="2024-06-01T00:00:00"/>
    <n v="3"/>
    <s v="May-2024"/>
    <x v="3"/>
    <n v="47.89"/>
    <x v="1"/>
    <n v="3"/>
  </r>
  <r>
    <s v="CLM00762"/>
    <s v="P0156"/>
    <s v="PR016"/>
    <s v="S002"/>
    <d v="2024-05-13T00:00:00"/>
    <d v="2024-05-17T00:00:00"/>
    <d v="2024-06-07T00:00:00"/>
    <n v="21"/>
    <s v="May-2024"/>
    <x v="0"/>
    <n v="47.69"/>
    <x v="0"/>
    <n v="21"/>
  </r>
  <r>
    <s v="CLM01107"/>
    <s v="P0237"/>
    <s v="PR024"/>
    <s v="S002"/>
    <d v="2024-08-26T00:00:00"/>
    <d v="2024-08-28T00:00:00"/>
    <d v="2024-09-14T00:00:00"/>
    <n v="17"/>
    <s v="Aug-2024"/>
    <x v="4"/>
    <n v="47.29"/>
    <x v="0"/>
    <n v="17"/>
  </r>
  <r>
    <s v="CLM00087"/>
    <s v="P0395"/>
    <s v="PR023"/>
    <s v="S002"/>
    <d v="2024-07-26T00:00:00"/>
    <d v="2024-07-31T00:00:00"/>
    <d v="2024-08-23T00:00:00"/>
    <n v="23"/>
    <s v="Jul-2024"/>
    <x v="4"/>
    <n v="47.26"/>
    <x v="0"/>
    <n v="23"/>
  </r>
  <r>
    <s v="CLM00837"/>
    <s v="P0360"/>
    <s v="PR006"/>
    <s v="S002"/>
    <d v="2023-01-13T00:00:00"/>
    <d v="2023-01-16T00:00:00"/>
    <m/>
    <s v=""/>
    <s v="Jan-2023"/>
    <x v="4"/>
    <n v="47.23"/>
    <x v="2"/>
    <m/>
  </r>
  <r>
    <s v="CLM00913"/>
    <s v="P0360"/>
    <s v="PR010"/>
    <s v="S002"/>
    <d v="2023-12-24T00:00:00"/>
    <d v="2023-12-29T00:00:00"/>
    <d v="2024-01-22T00:00:00"/>
    <n v="24"/>
    <s v="Dec-2023"/>
    <x v="4"/>
    <n v="47.22"/>
    <x v="0"/>
    <n v="24"/>
  </r>
  <r>
    <s v="CLM00513"/>
    <s v="P0319"/>
    <s v="PR030"/>
    <s v="S002"/>
    <d v="2023-12-27T00:00:00"/>
    <d v="2023-12-31T00:00:00"/>
    <m/>
    <s v=""/>
    <s v="Dec-2023"/>
    <x v="4"/>
    <n v="46.68"/>
    <x v="2"/>
    <m/>
  </r>
  <r>
    <s v="CLM01434"/>
    <s v="P0138"/>
    <s v="PR005"/>
    <s v="S002"/>
    <d v="2024-12-02T00:00:00"/>
    <d v="2024-12-05T00:00:00"/>
    <d v="2024-12-28T00:00:00"/>
    <n v="23"/>
    <s v="Dec-2024"/>
    <x v="0"/>
    <n v="46.59"/>
    <x v="1"/>
    <n v="23"/>
  </r>
  <r>
    <s v="CLM00526"/>
    <s v="P0208"/>
    <s v="PR021"/>
    <s v="S002"/>
    <d v="2024-01-15T00:00:00"/>
    <d v="2024-01-16T00:00:00"/>
    <d v="2024-02-07T00:00:00"/>
    <n v="22"/>
    <s v="Jan-2024"/>
    <x v="2"/>
    <n v="46.38"/>
    <x v="0"/>
    <n v="22"/>
  </r>
  <r>
    <s v="CLM01362"/>
    <s v="P0146"/>
    <s v="PR031"/>
    <s v="S002"/>
    <d v="2024-02-07T00:00:00"/>
    <d v="2024-02-09T00:00:00"/>
    <d v="2024-03-01T00:00:00"/>
    <n v="21"/>
    <s v="Feb-2024"/>
    <x v="2"/>
    <n v="46.22"/>
    <x v="1"/>
    <n v="21"/>
  </r>
  <r>
    <s v="CLM01202"/>
    <s v="P0316"/>
    <s v="PR010"/>
    <s v="S002"/>
    <d v="2024-11-16T00:00:00"/>
    <d v="2024-11-18T00:00:00"/>
    <m/>
    <s v=""/>
    <s v="Nov-2024"/>
    <x v="1"/>
    <n v="45.84"/>
    <x v="2"/>
    <m/>
  </r>
  <r>
    <s v="CLM00796"/>
    <s v="P0238"/>
    <s v="PR023"/>
    <s v="S002"/>
    <d v="2024-04-20T00:00:00"/>
    <d v="2024-04-21T00:00:00"/>
    <m/>
    <s v=""/>
    <s v="Apr-2024"/>
    <x v="0"/>
    <n v="45.69"/>
    <x v="2"/>
    <m/>
  </r>
  <r>
    <s v="CLM00060"/>
    <s v="P0292"/>
    <s v="PR008"/>
    <s v="S002"/>
    <d v="2023-07-02T00:00:00"/>
    <d v="2023-07-06T00:00:00"/>
    <d v="2023-07-29T00:00:00"/>
    <n v="23"/>
    <s v="Jul-2023"/>
    <x v="3"/>
    <n v="45.41"/>
    <x v="0"/>
    <n v="23"/>
  </r>
  <r>
    <s v="CLM00299"/>
    <s v="P0260"/>
    <s v="PR026"/>
    <s v="S002"/>
    <d v="2023-04-19T00:00:00"/>
    <d v="2023-04-23T00:00:00"/>
    <d v="2023-05-17T00:00:00"/>
    <n v="24"/>
    <s v="Apr-2023"/>
    <x v="1"/>
    <n v="45.39"/>
    <x v="0"/>
    <n v="24"/>
  </r>
  <r>
    <s v="CLM01210"/>
    <s v="P0233"/>
    <s v="PR016"/>
    <s v="S002"/>
    <d v="2024-11-03T00:00:00"/>
    <d v="2024-11-07T00:00:00"/>
    <d v="2024-11-19T00:00:00"/>
    <n v="12"/>
    <s v="Nov-2024"/>
    <x v="4"/>
    <n v="45.2"/>
    <x v="0"/>
    <n v="12"/>
  </r>
  <r>
    <s v="CLM01267"/>
    <s v="P0241"/>
    <s v="PR024"/>
    <s v="S002"/>
    <d v="2023-12-20T00:00:00"/>
    <d v="2023-12-25T00:00:00"/>
    <d v="2024-01-17T00:00:00"/>
    <n v="23"/>
    <s v="Dec-2023"/>
    <x v="4"/>
    <n v="45.05"/>
    <x v="0"/>
    <n v="23"/>
  </r>
  <r>
    <s v="CLM00582"/>
    <s v="P0406"/>
    <s v="PR017"/>
    <s v="S002"/>
    <d v="2023-04-13T00:00:00"/>
    <d v="2023-04-15T00:00:00"/>
    <d v="2023-04-25T00:00:00"/>
    <n v="10"/>
    <s v="Apr-2023"/>
    <x v="2"/>
    <n v="45.01"/>
    <x v="0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x v="0"/>
    <s v="CLM00004"/>
    <x v="0"/>
    <d v="2024-03-28T00:00:00"/>
    <x v="0"/>
    <n v="101.52"/>
  </r>
  <r>
    <x v="1"/>
    <s v="CLM00012"/>
    <x v="1"/>
    <d v="2023-05-19T00:00:00"/>
    <x v="1"/>
    <n v="25.1"/>
  </r>
  <r>
    <x v="2"/>
    <s v="CLM00014"/>
    <x v="1"/>
    <d v="2024-01-23T00:00:00"/>
    <x v="2"/>
    <n v="270.43"/>
  </r>
  <r>
    <x v="3"/>
    <s v="CLM00019"/>
    <x v="2"/>
    <d v="2023-07-06T00:00:00"/>
    <x v="3"/>
    <n v="652.24"/>
  </r>
  <r>
    <x v="4"/>
    <s v="CLM00032"/>
    <x v="0"/>
    <d v="2024-07-07T00:00:00"/>
    <x v="4"/>
    <n v="244.78"/>
  </r>
  <r>
    <x v="5"/>
    <s v="CLM00045"/>
    <x v="0"/>
    <d v="2023-03-09T00:00:00"/>
    <x v="5"/>
    <n v="2832.29"/>
  </r>
  <r>
    <x v="6"/>
    <s v="CLM00068"/>
    <x v="1"/>
    <d v="2023-11-25T00:00:00"/>
    <x v="6"/>
    <n v="227.15"/>
  </r>
  <r>
    <x v="7"/>
    <s v="CLM00071"/>
    <x v="3"/>
    <d v="2024-03-02T00:00:00"/>
    <x v="0"/>
    <n v="58.1"/>
  </r>
  <r>
    <x v="8"/>
    <s v="CLM00081"/>
    <x v="2"/>
    <d v="2023-03-23T00:00:00"/>
    <x v="5"/>
    <n v="276.38"/>
  </r>
  <r>
    <x v="9"/>
    <s v="CLM00082"/>
    <x v="4"/>
    <d v="2023-06-16T00:00:00"/>
    <x v="7"/>
    <n v="1150.0899999999999"/>
  </r>
  <r>
    <x v="10"/>
    <s v="CLM00083"/>
    <x v="0"/>
    <d v="2024-09-25T00:00:00"/>
    <x v="8"/>
    <n v="479.23"/>
  </r>
  <r>
    <x v="11"/>
    <s v="CLM00085"/>
    <x v="5"/>
    <d v="2024-06-05T00:00:00"/>
    <x v="9"/>
    <n v="533.45000000000005"/>
  </r>
  <r>
    <x v="12"/>
    <s v="CLM00089"/>
    <x v="4"/>
    <d v="2023-03-18T00:00:00"/>
    <x v="5"/>
    <n v="608.99"/>
  </r>
  <r>
    <x v="13"/>
    <s v="CLM00108"/>
    <x v="5"/>
    <d v="2023-10-19T00:00:00"/>
    <x v="10"/>
    <n v="222.29"/>
  </r>
  <r>
    <x v="14"/>
    <s v="CLM00112"/>
    <x v="1"/>
    <d v="2023-12-08T00:00:00"/>
    <x v="11"/>
    <n v="46.76"/>
  </r>
  <r>
    <x v="15"/>
    <s v="CLM00124"/>
    <x v="2"/>
    <d v="2024-03-18T00:00:00"/>
    <x v="0"/>
    <n v="535.76"/>
  </r>
  <r>
    <x v="16"/>
    <s v="CLM00132"/>
    <x v="2"/>
    <d v="2024-10-26T00:00:00"/>
    <x v="12"/>
    <n v="1543.57"/>
  </r>
  <r>
    <x v="17"/>
    <s v="CLM00133"/>
    <x v="4"/>
    <d v="2024-02-10T00:00:00"/>
    <x v="13"/>
    <n v="134.26"/>
  </r>
  <r>
    <x v="18"/>
    <s v="CLM00134"/>
    <x v="4"/>
    <d v="2023-07-21T00:00:00"/>
    <x v="3"/>
    <n v="162.72999999999999"/>
  </r>
  <r>
    <x v="19"/>
    <s v="CLM00136"/>
    <x v="3"/>
    <d v="2025-01-15T00:00:00"/>
    <x v="14"/>
    <n v="377.87"/>
  </r>
  <r>
    <x v="20"/>
    <s v="CLM00155"/>
    <x v="4"/>
    <d v="2023-06-27T00:00:00"/>
    <x v="7"/>
    <n v="215.56"/>
  </r>
  <r>
    <x v="21"/>
    <s v="CLM00160"/>
    <x v="2"/>
    <d v="2024-11-07T00:00:00"/>
    <x v="15"/>
    <n v="2203.27"/>
  </r>
  <r>
    <x v="22"/>
    <s v="CLM00165"/>
    <x v="0"/>
    <d v="2023-11-26T00:00:00"/>
    <x v="6"/>
    <n v="525.11"/>
  </r>
  <r>
    <x v="23"/>
    <s v="CLM00172"/>
    <x v="1"/>
    <d v="2023-11-09T00:00:00"/>
    <x v="6"/>
    <n v="263.64999999999998"/>
  </r>
  <r>
    <x v="24"/>
    <s v="CLM00173"/>
    <x v="4"/>
    <d v="2024-02-06T00:00:00"/>
    <x v="13"/>
    <n v="485.8"/>
  </r>
  <r>
    <x v="25"/>
    <s v="CLM00177"/>
    <x v="1"/>
    <d v="2023-06-21T00:00:00"/>
    <x v="7"/>
    <n v="708.09"/>
  </r>
  <r>
    <x v="26"/>
    <s v="CLM00178"/>
    <x v="0"/>
    <d v="2023-07-08T00:00:00"/>
    <x v="3"/>
    <n v="121.5"/>
  </r>
  <r>
    <x v="27"/>
    <s v="CLM00207"/>
    <x v="0"/>
    <d v="2023-04-07T00:00:00"/>
    <x v="16"/>
    <n v="809.2"/>
  </r>
  <r>
    <x v="28"/>
    <s v="CLM00211"/>
    <x v="1"/>
    <d v="2024-10-31T00:00:00"/>
    <x v="12"/>
    <n v="68.27"/>
  </r>
  <r>
    <x v="29"/>
    <s v="CLM00214"/>
    <x v="1"/>
    <d v="2024-08-26T00:00:00"/>
    <x v="17"/>
    <n v="148.13"/>
  </r>
  <r>
    <x v="30"/>
    <s v="CLM00217"/>
    <x v="3"/>
    <d v="2024-08-07T00:00:00"/>
    <x v="17"/>
    <n v="51.64"/>
  </r>
  <r>
    <x v="31"/>
    <s v="CLM00233"/>
    <x v="5"/>
    <d v="2023-08-26T00:00:00"/>
    <x v="18"/>
    <n v="46.14"/>
  </r>
  <r>
    <x v="32"/>
    <s v="CLM00241"/>
    <x v="2"/>
    <d v="2023-02-02T00:00:00"/>
    <x v="19"/>
    <n v="170.38"/>
  </r>
  <r>
    <x v="33"/>
    <s v="CLM00249"/>
    <x v="0"/>
    <d v="2024-12-10T00:00:00"/>
    <x v="20"/>
    <n v="44.65"/>
  </r>
  <r>
    <x v="34"/>
    <s v="CLM00252"/>
    <x v="2"/>
    <d v="2024-02-14T00:00:00"/>
    <x v="13"/>
    <n v="436.5"/>
  </r>
  <r>
    <x v="35"/>
    <s v="CLM00253"/>
    <x v="1"/>
    <d v="2023-07-19T00:00:00"/>
    <x v="3"/>
    <n v="525.54"/>
  </r>
  <r>
    <x v="36"/>
    <s v="CLM00254"/>
    <x v="3"/>
    <d v="2024-03-30T00:00:00"/>
    <x v="0"/>
    <n v="186.06"/>
  </r>
  <r>
    <x v="37"/>
    <s v="CLM00259"/>
    <x v="0"/>
    <d v="2024-08-21T00:00:00"/>
    <x v="17"/>
    <n v="244.95"/>
  </r>
  <r>
    <x v="38"/>
    <s v="CLM00261"/>
    <x v="3"/>
    <d v="2024-06-13T00:00:00"/>
    <x v="9"/>
    <n v="2939.64"/>
  </r>
  <r>
    <x v="39"/>
    <s v="CLM00263"/>
    <x v="5"/>
    <d v="2023-11-14T00:00:00"/>
    <x v="6"/>
    <n v="323.81"/>
  </r>
  <r>
    <x v="40"/>
    <s v="CLM00264"/>
    <x v="0"/>
    <d v="2023-07-10T00:00:00"/>
    <x v="3"/>
    <n v="1348.57"/>
  </r>
  <r>
    <x v="41"/>
    <s v="CLM00270"/>
    <x v="1"/>
    <d v="2023-09-12T00:00:00"/>
    <x v="21"/>
    <n v="685.43"/>
  </r>
  <r>
    <x v="42"/>
    <s v="CLM00271"/>
    <x v="4"/>
    <d v="2023-04-23T00:00:00"/>
    <x v="16"/>
    <n v="245.73"/>
  </r>
  <r>
    <x v="43"/>
    <s v="CLM00285"/>
    <x v="4"/>
    <d v="2023-06-04T00:00:00"/>
    <x v="7"/>
    <n v="41.46"/>
  </r>
  <r>
    <x v="44"/>
    <s v="CLM00290"/>
    <x v="5"/>
    <d v="2024-09-29T00:00:00"/>
    <x v="8"/>
    <n v="928.85"/>
  </r>
  <r>
    <x v="45"/>
    <s v="CLM00309"/>
    <x v="3"/>
    <d v="2024-10-29T00:00:00"/>
    <x v="12"/>
    <n v="670.53"/>
  </r>
  <r>
    <x v="46"/>
    <s v="CLM00313"/>
    <x v="2"/>
    <d v="2023-07-23T00:00:00"/>
    <x v="3"/>
    <n v="1918.13"/>
  </r>
  <r>
    <x v="47"/>
    <s v="CLM00315"/>
    <x v="5"/>
    <d v="2024-02-06T00:00:00"/>
    <x v="13"/>
    <n v="312.77"/>
  </r>
  <r>
    <x v="48"/>
    <s v="CLM00316"/>
    <x v="0"/>
    <d v="2024-11-07T00:00:00"/>
    <x v="15"/>
    <n v="343.19"/>
  </r>
  <r>
    <x v="49"/>
    <s v="CLM00318"/>
    <x v="4"/>
    <d v="2024-12-22T00:00:00"/>
    <x v="20"/>
    <n v="485.26"/>
  </r>
  <r>
    <x v="50"/>
    <s v="CLM00336"/>
    <x v="1"/>
    <d v="2023-05-18T00:00:00"/>
    <x v="1"/>
    <n v="710.15"/>
  </r>
  <r>
    <x v="51"/>
    <s v="CLM00338"/>
    <x v="3"/>
    <d v="2024-05-15T00:00:00"/>
    <x v="22"/>
    <n v="96.69"/>
  </r>
  <r>
    <x v="52"/>
    <s v="CLM00339"/>
    <x v="6"/>
    <d v="2023-10-18T00:00:00"/>
    <x v="10"/>
    <n v="3730.22"/>
  </r>
  <r>
    <x v="53"/>
    <s v="CLM00342"/>
    <x v="4"/>
    <d v="2023-08-11T00:00:00"/>
    <x v="18"/>
    <n v="277.52999999999997"/>
  </r>
  <r>
    <x v="54"/>
    <s v="CLM00354"/>
    <x v="0"/>
    <d v="2024-11-18T00:00:00"/>
    <x v="15"/>
    <n v="2740.86"/>
  </r>
  <r>
    <x v="55"/>
    <s v="CLM00356"/>
    <x v="6"/>
    <d v="2024-09-19T00:00:00"/>
    <x v="8"/>
    <n v="84.92"/>
  </r>
  <r>
    <x v="56"/>
    <s v="CLM00371"/>
    <x v="4"/>
    <d v="2024-10-16T00:00:00"/>
    <x v="12"/>
    <n v="1662.63"/>
  </r>
  <r>
    <x v="57"/>
    <s v="CLM00392"/>
    <x v="4"/>
    <d v="2023-09-20T00:00:00"/>
    <x v="21"/>
    <n v="140.72"/>
  </r>
  <r>
    <x v="58"/>
    <s v="CLM00399"/>
    <x v="1"/>
    <d v="2024-07-10T00:00:00"/>
    <x v="4"/>
    <n v="357.67"/>
  </r>
  <r>
    <x v="59"/>
    <s v="CLM00401"/>
    <x v="0"/>
    <d v="2024-09-14T00:00:00"/>
    <x v="8"/>
    <n v="143.38999999999999"/>
  </r>
  <r>
    <x v="60"/>
    <s v="CLM00404"/>
    <x v="3"/>
    <d v="2024-07-24T00:00:00"/>
    <x v="4"/>
    <n v="2037.57"/>
  </r>
  <r>
    <x v="61"/>
    <s v="CLM00414"/>
    <x v="0"/>
    <d v="2025-01-08T00:00:00"/>
    <x v="14"/>
    <n v="491.73"/>
  </r>
  <r>
    <x v="62"/>
    <s v="CLM00423"/>
    <x v="4"/>
    <d v="2023-12-14T00:00:00"/>
    <x v="11"/>
    <n v="115.79"/>
  </r>
  <r>
    <x v="63"/>
    <s v="CLM00443"/>
    <x v="5"/>
    <d v="2023-08-05T00:00:00"/>
    <x v="18"/>
    <n v="264.81"/>
  </r>
  <r>
    <x v="64"/>
    <s v="CLM00463"/>
    <x v="2"/>
    <d v="2023-03-07T00:00:00"/>
    <x v="5"/>
    <n v="6380.61"/>
  </r>
  <r>
    <x v="65"/>
    <s v="CLM00470"/>
    <x v="0"/>
    <d v="2023-11-09T00:00:00"/>
    <x v="6"/>
    <n v="532.36"/>
  </r>
  <r>
    <x v="66"/>
    <s v="CLM00476"/>
    <x v="0"/>
    <d v="2023-02-17T00:00:00"/>
    <x v="19"/>
    <n v="76.760000000000005"/>
  </r>
  <r>
    <x v="67"/>
    <s v="CLM00477"/>
    <x v="2"/>
    <d v="2024-05-21T00:00:00"/>
    <x v="22"/>
    <n v="77.3"/>
  </r>
  <r>
    <x v="68"/>
    <s v="CLM00486"/>
    <x v="3"/>
    <d v="2023-12-18T00:00:00"/>
    <x v="11"/>
    <n v="253.76"/>
  </r>
  <r>
    <x v="69"/>
    <s v="CLM00487"/>
    <x v="1"/>
    <d v="2024-04-03T00:00:00"/>
    <x v="23"/>
    <n v="2719.65"/>
  </r>
  <r>
    <x v="70"/>
    <s v="CLM00512"/>
    <x v="4"/>
    <d v="2024-01-09T00:00:00"/>
    <x v="2"/>
    <n v="84.86"/>
  </r>
  <r>
    <x v="71"/>
    <s v="CLM00536"/>
    <x v="4"/>
    <d v="2024-11-25T00:00:00"/>
    <x v="15"/>
    <n v="78.78"/>
  </r>
  <r>
    <x v="72"/>
    <s v="CLM00544"/>
    <x v="0"/>
    <d v="2024-02-28T00:00:00"/>
    <x v="13"/>
    <n v="179.85"/>
  </r>
  <r>
    <x v="73"/>
    <s v="CLM00547"/>
    <x v="3"/>
    <d v="2024-12-21T00:00:00"/>
    <x v="20"/>
    <n v="133.91999999999999"/>
  </r>
  <r>
    <x v="74"/>
    <s v="CLM00549"/>
    <x v="2"/>
    <d v="2024-09-16T00:00:00"/>
    <x v="8"/>
    <n v="17.53"/>
  </r>
  <r>
    <x v="75"/>
    <s v="CLM00550"/>
    <x v="1"/>
    <d v="2024-01-18T00:00:00"/>
    <x v="2"/>
    <n v="121.84"/>
  </r>
  <r>
    <x v="76"/>
    <s v="CLM00551"/>
    <x v="0"/>
    <d v="2024-02-01T00:00:00"/>
    <x v="13"/>
    <n v="288.85000000000002"/>
  </r>
  <r>
    <x v="77"/>
    <s v="CLM00555"/>
    <x v="2"/>
    <d v="2024-07-25T00:00:00"/>
    <x v="4"/>
    <n v="268.36"/>
  </r>
  <r>
    <x v="78"/>
    <s v="CLM00557"/>
    <x v="1"/>
    <d v="2024-08-10T00:00:00"/>
    <x v="17"/>
    <n v="598.91"/>
  </r>
  <r>
    <x v="79"/>
    <s v="CLM00564"/>
    <x v="6"/>
    <d v="2024-11-02T00:00:00"/>
    <x v="15"/>
    <n v="347.6"/>
  </r>
  <r>
    <x v="80"/>
    <s v="CLM00570"/>
    <x v="3"/>
    <d v="2023-07-08T00:00:00"/>
    <x v="3"/>
    <n v="27.36"/>
  </r>
  <r>
    <x v="81"/>
    <s v="CLM00583"/>
    <x v="0"/>
    <d v="2023-09-15T00:00:00"/>
    <x v="21"/>
    <n v="63.73"/>
  </r>
  <r>
    <x v="82"/>
    <s v="CLM00586"/>
    <x v="6"/>
    <d v="2023-06-09T00:00:00"/>
    <x v="7"/>
    <n v="120.84"/>
  </r>
  <r>
    <x v="83"/>
    <s v="CLM00587"/>
    <x v="4"/>
    <d v="2023-07-19T00:00:00"/>
    <x v="3"/>
    <n v="36.840000000000003"/>
  </r>
  <r>
    <x v="84"/>
    <s v="CLM00595"/>
    <x v="5"/>
    <d v="2023-12-10T00:00:00"/>
    <x v="11"/>
    <n v="2018.73"/>
  </r>
  <r>
    <x v="85"/>
    <s v="CLM00598"/>
    <x v="4"/>
    <d v="2024-03-13T00:00:00"/>
    <x v="0"/>
    <n v="222.86"/>
  </r>
  <r>
    <x v="86"/>
    <s v="CLM00601"/>
    <x v="3"/>
    <d v="2024-11-01T00:00:00"/>
    <x v="15"/>
    <n v="141.04"/>
  </r>
  <r>
    <x v="87"/>
    <s v="CLM00618"/>
    <x v="1"/>
    <d v="2024-07-13T00:00:00"/>
    <x v="4"/>
    <n v="1604.71"/>
  </r>
  <r>
    <x v="88"/>
    <s v="CLM00620"/>
    <x v="5"/>
    <d v="2023-04-06T00:00:00"/>
    <x v="16"/>
    <n v="124.84"/>
  </r>
  <r>
    <x v="89"/>
    <s v="CLM00623"/>
    <x v="4"/>
    <d v="2024-10-04T00:00:00"/>
    <x v="12"/>
    <n v="857.34"/>
  </r>
  <r>
    <x v="90"/>
    <s v="CLM00627"/>
    <x v="1"/>
    <d v="2024-02-16T00:00:00"/>
    <x v="13"/>
    <n v="567.30999999999995"/>
  </r>
  <r>
    <x v="91"/>
    <s v="CLM00628"/>
    <x v="4"/>
    <d v="2024-01-18T00:00:00"/>
    <x v="2"/>
    <n v="626.14"/>
  </r>
  <r>
    <x v="92"/>
    <s v="CLM00633"/>
    <x v="3"/>
    <d v="2024-03-20T00:00:00"/>
    <x v="0"/>
    <n v="344.67"/>
  </r>
  <r>
    <x v="93"/>
    <s v="CLM00638"/>
    <x v="5"/>
    <d v="2024-08-22T00:00:00"/>
    <x v="17"/>
    <n v="722.28"/>
  </r>
  <r>
    <x v="94"/>
    <s v="CLM00649"/>
    <x v="4"/>
    <d v="2024-11-10T00:00:00"/>
    <x v="15"/>
    <n v="1380.03"/>
  </r>
  <r>
    <x v="95"/>
    <s v="CLM00650"/>
    <x v="2"/>
    <d v="2024-03-28T00:00:00"/>
    <x v="0"/>
    <n v="167.68"/>
  </r>
  <r>
    <x v="96"/>
    <s v="CLM00655"/>
    <x v="2"/>
    <d v="2024-10-14T00:00:00"/>
    <x v="12"/>
    <n v="176.92"/>
  </r>
  <r>
    <x v="97"/>
    <s v="CLM00670"/>
    <x v="0"/>
    <d v="2023-05-06T00:00:00"/>
    <x v="1"/>
    <n v="1495.77"/>
  </r>
  <r>
    <x v="98"/>
    <s v="CLM00685"/>
    <x v="6"/>
    <d v="2023-07-29T00:00:00"/>
    <x v="3"/>
    <n v="105.21"/>
  </r>
  <r>
    <x v="99"/>
    <s v="CLM00691"/>
    <x v="0"/>
    <d v="2023-05-17T00:00:00"/>
    <x v="1"/>
    <n v="575.55999999999995"/>
  </r>
  <r>
    <x v="100"/>
    <s v="CLM00693"/>
    <x v="3"/>
    <d v="2024-08-18T00:00:00"/>
    <x v="17"/>
    <n v="225.45"/>
  </r>
  <r>
    <x v="101"/>
    <s v="CLM00698"/>
    <x v="0"/>
    <d v="2024-03-27T00:00:00"/>
    <x v="0"/>
    <n v="1397.44"/>
  </r>
  <r>
    <x v="102"/>
    <s v="CLM00702"/>
    <x v="1"/>
    <d v="2024-01-28T00:00:00"/>
    <x v="2"/>
    <n v="889.38"/>
  </r>
  <r>
    <x v="103"/>
    <s v="CLM00708"/>
    <x v="3"/>
    <d v="2024-08-25T00:00:00"/>
    <x v="17"/>
    <n v="3186.57"/>
  </r>
  <r>
    <x v="104"/>
    <s v="CLM00714"/>
    <x v="3"/>
    <d v="2024-01-21T00:00:00"/>
    <x v="2"/>
    <n v="86.03"/>
  </r>
  <r>
    <x v="105"/>
    <s v="CLM00715"/>
    <x v="3"/>
    <d v="2024-04-18T00:00:00"/>
    <x v="23"/>
    <n v="206.81"/>
  </r>
  <r>
    <x v="106"/>
    <s v="CLM00716"/>
    <x v="0"/>
    <d v="2023-09-03T00:00:00"/>
    <x v="21"/>
    <n v="512.11"/>
  </r>
  <r>
    <x v="107"/>
    <s v="CLM00717"/>
    <x v="2"/>
    <d v="2024-07-20T00:00:00"/>
    <x v="4"/>
    <n v="197.71"/>
  </r>
  <r>
    <x v="108"/>
    <s v="CLM00725"/>
    <x v="4"/>
    <d v="2024-07-20T00:00:00"/>
    <x v="4"/>
    <n v="69.010000000000005"/>
  </r>
  <r>
    <x v="109"/>
    <s v="CLM00727"/>
    <x v="0"/>
    <d v="2023-05-30T00:00:00"/>
    <x v="1"/>
    <n v="1601.25"/>
  </r>
  <r>
    <x v="110"/>
    <s v="CLM00743"/>
    <x v="3"/>
    <d v="2023-07-11T00:00:00"/>
    <x v="3"/>
    <n v="3462.07"/>
  </r>
  <r>
    <x v="111"/>
    <s v="CLM00755"/>
    <x v="5"/>
    <d v="2024-05-25T00:00:00"/>
    <x v="22"/>
    <n v="370.13"/>
  </r>
  <r>
    <x v="112"/>
    <s v="CLM00758"/>
    <x v="0"/>
    <d v="2024-07-03T00:00:00"/>
    <x v="4"/>
    <n v="2257.56"/>
  </r>
  <r>
    <x v="113"/>
    <s v="CLM00759"/>
    <x v="0"/>
    <d v="2023-11-11T00:00:00"/>
    <x v="6"/>
    <n v="731.19"/>
  </r>
  <r>
    <x v="114"/>
    <s v="CLM00765"/>
    <x v="4"/>
    <d v="2023-10-18T00:00:00"/>
    <x v="10"/>
    <n v="434.08"/>
  </r>
  <r>
    <x v="115"/>
    <s v="CLM00770"/>
    <x v="1"/>
    <d v="2024-04-01T00:00:00"/>
    <x v="23"/>
    <n v="78.53"/>
  </r>
  <r>
    <x v="116"/>
    <s v="CLM00782"/>
    <x v="1"/>
    <d v="2024-10-04T00:00:00"/>
    <x v="12"/>
    <n v="98.98"/>
  </r>
  <r>
    <x v="117"/>
    <s v="CLM00783"/>
    <x v="3"/>
    <d v="2023-06-28T00:00:00"/>
    <x v="7"/>
    <n v="416.29"/>
  </r>
  <r>
    <x v="118"/>
    <s v="CLM00784"/>
    <x v="0"/>
    <d v="2024-10-28T00:00:00"/>
    <x v="12"/>
    <n v="102.36"/>
  </r>
  <r>
    <x v="119"/>
    <s v="CLM00792"/>
    <x v="1"/>
    <d v="2023-09-26T00:00:00"/>
    <x v="21"/>
    <n v="237.95"/>
  </r>
  <r>
    <x v="120"/>
    <s v="CLM00795"/>
    <x v="4"/>
    <d v="2024-05-22T00:00:00"/>
    <x v="22"/>
    <n v="771.06"/>
  </r>
  <r>
    <x v="121"/>
    <s v="CLM00797"/>
    <x v="0"/>
    <d v="2024-06-17T00:00:00"/>
    <x v="9"/>
    <n v="1521.09"/>
  </r>
  <r>
    <x v="122"/>
    <s v="CLM00799"/>
    <x v="2"/>
    <d v="2023-01-29T00:00:00"/>
    <x v="24"/>
    <n v="90.02"/>
  </r>
  <r>
    <x v="123"/>
    <s v="CLM00809"/>
    <x v="4"/>
    <d v="2024-12-25T00:00:00"/>
    <x v="20"/>
    <n v="782.91"/>
  </r>
  <r>
    <x v="124"/>
    <s v="CLM00813"/>
    <x v="4"/>
    <d v="2024-03-03T00:00:00"/>
    <x v="0"/>
    <n v="240.26"/>
  </r>
  <r>
    <x v="125"/>
    <s v="CLM00814"/>
    <x v="3"/>
    <d v="2023-08-18T00:00:00"/>
    <x v="18"/>
    <n v="896.52"/>
  </r>
  <r>
    <x v="126"/>
    <s v="CLM00818"/>
    <x v="6"/>
    <d v="2024-12-22T00:00:00"/>
    <x v="20"/>
    <n v="303.94"/>
  </r>
  <r>
    <x v="127"/>
    <s v="CLM00819"/>
    <x v="3"/>
    <d v="2024-06-04T00:00:00"/>
    <x v="9"/>
    <n v="2871.33"/>
  </r>
  <r>
    <x v="128"/>
    <s v="CLM00820"/>
    <x v="5"/>
    <d v="2024-04-18T00:00:00"/>
    <x v="23"/>
    <n v="2898.21"/>
  </r>
  <r>
    <x v="129"/>
    <s v="CLM00827"/>
    <x v="2"/>
    <d v="2023-06-24T00:00:00"/>
    <x v="7"/>
    <n v="1638.72"/>
  </r>
  <r>
    <x v="130"/>
    <s v="CLM00836"/>
    <x v="3"/>
    <d v="2024-04-10T00:00:00"/>
    <x v="23"/>
    <n v="34.01"/>
  </r>
  <r>
    <x v="131"/>
    <s v="CLM00839"/>
    <x v="4"/>
    <d v="2024-12-08T00:00:00"/>
    <x v="20"/>
    <n v="120.62"/>
  </r>
  <r>
    <x v="132"/>
    <s v="CLM00856"/>
    <x v="5"/>
    <d v="2024-08-02T00:00:00"/>
    <x v="17"/>
    <n v="93.07"/>
  </r>
  <r>
    <x v="133"/>
    <s v="CLM00857"/>
    <x v="3"/>
    <d v="2024-12-06T00:00:00"/>
    <x v="20"/>
    <n v="65.400000000000006"/>
  </r>
  <r>
    <x v="134"/>
    <s v="CLM00861"/>
    <x v="0"/>
    <d v="2023-06-27T00:00:00"/>
    <x v="7"/>
    <n v="1611.97"/>
  </r>
  <r>
    <x v="135"/>
    <s v="CLM00866"/>
    <x v="3"/>
    <d v="2024-05-14T00:00:00"/>
    <x v="22"/>
    <n v="3698.91"/>
  </r>
  <r>
    <x v="136"/>
    <s v="CLM00875"/>
    <x v="0"/>
    <d v="2023-01-20T00:00:00"/>
    <x v="24"/>
    <n v="121.8"/>
  </r>
  <r>
    <x v="137"/>
    <s v="CLM00880"/>
    <x v="3"/>
    <d v="2023-05-28T00:00:00"/>
    <x v="1"/>
    <n v="152.15"/>
  </r>
  <r>
    <x v="138"/>
    <s v="CLM00887"/>
    <x v="0"/>
    <d v="2024-12-09T00:00:00"/>
    <x v="20"/>
    <n v="1022.89"/>
  </r>
  <r>
    <x v="139"/>
    <s v="CLM00889"/>
    <x v="3"/>
    <d v="2024-07-10T00:00:00"/>
    <x v="4"/>
    <n v="1580.63"/>
  </r>
  <r>
    <x v="140"/>
    <s v="CLM00909"/>
    <x v="1"/>
    <d v="2024-02-10T00:00:00"/>
    <x v="13"/>
    <n v="371.68"/>
  </r>
  <r>
    <x v="141"/>
    <s v="CLM00917"/>
    <x v="2"/>
    <d v="2024-05-08T00:00:00"/>
    <x v="22"/>
    <n v="27.34"/>
  </r>
  <r>
    <x v="142"/>
    <s v="CLM00929"/>
    <x v="1"/>
    <d v="2024-10-12T00:00:00"/>
    <x v="12"/>
    <n v="1798.69"/>
  </r>
  <r>
    <x v="143"/>
    <s v="CLM00932"/>
    <x v="0"/>
    <d v="2023-11-23T00:00:00"/>
    <x v="6"/>
    <n v="59.69"/>
  </r>
  <r>
    <x v="144"/>
    <s v="CLM00945"/>
    <x v="4"/>
    <d v="2023-02-15T00:00:00"/>
    <x v="19"/>
    <n v="4173.05"/>
  </r>
  <r>
    <x v="145"/>
    <s v="CLM00951"/>
    <x v="5"/>
    <d v="2024-04-17T00:00:00"/>
    <x v="23"/>
    <n v="402.11"/>
  </r>
  <r>
    <x v="146"/>
    <s v="CLM00973"/>
    <x v="0"/>
    <d v="2024-10-12T00:00:00"/>
    <x v="12"/>
    <n v="383.61"/>
  </r>
  <r>
    <x v="147"/>
    <s v="CLM00974"/>
    <x v="0"/>
    <d v="2023-03-29T00:00:00"/>
    <x v="5"/>
    <n v="659.25"/>
  </r>
  <r>
    <x v="148"/>
    <s v="CLM00982"/>
    <x v="0"/>
    <d v="2025-01-22T00:00:00"/>
    <x v="14"/>
    <n v="524.72"/>
  </r>
  <r>
    <x v="149"/>
    <s v="CLM00997"/>
    <x v="5"/>
    <d v="2024-11-19T00:00:00"/>
    <x v="15"/>
    <n v="355.84"/>
  </r>
  <r>
    <x v="150"/>
    <s v="CLM01001"/>
    <x v="2"/>
    <d v="2023-06-07T00:00:00"/>
    <x v="7"/>
    <n v="3425.49"/>
  </r>
  <r>
    <x v="151"/>
    <s v="CLM01002"/>
    <x v="1"/>
    <d v="2023-04-16T00:00:00"/>
    <x v="16"/>
    <n v="241.96"/>
  </r>
  <r>
    <x v="152"/>
    <s v="CLM01009"/>
    <x v="3"/>
    <d v="2024-02-11T00:00:00"/>
    <x v="13"/>
    <n v="1078.83"/>
  </r>
  <r>
    <x v="153"/>
    <s v="CLM01021"/>
    <x v="2"/>
    <d v="2024-06-29T00:00:00"/>
    <x v="9"/>
    <n v="320.52"/>
  </r>
  <r>
    <x v="154"/>
    <s v="CLM01032"/>
    <x v="2"/>
    <d v="2024-06-16T00:00:00"/>
    <x v="9"/>
    <n v="121.35"/>
  </r>
  <r>
    <x v="155"/>
    <s v="CLM01035"/>
    <x v="4"/>
    <d v="2024-07-12T00:00:00"/>
    <x v="4"/>
    <n v="478.54"/>
  </r>
  <r>
    <x v="156"/>
    <s v="CLM01041"/>
    <x v="3"/>
    <d v="2023-09-05T00:00:00"/>
    <x v="21"/>
    <n v="323.93"/>
  </r>
  <r>
    <x v="157"/>
    <s v="CLM01050"/>
    <x v="0"/>
    <d v="2023-12-04T00:00:00"/>
    <x v="11"/>
    <n v="144.49"/>
  </r>
  <r>
    <x v="158"/>
    <s v="CLM01051"/>
    <x v="0"/>
    <d v="2023-06-20T00:00:00"/>
    <x v="7"/>
    <n v="44.76"/>
  </r>
  <r>
    <x v="159"/>
    <s v="CLM01059"/>
    <x v="5"/>
    <d v="2023-10-22T00:00:00"/>
    <x v="10"/>
    <n v="1168.01"/>
  </r>
  <r>
    <x v="160"/>
    <s v="CLM01061"/>
    <x v="4"/>
    <d v="2023-02-03T00:00:00"/>
    <x v="19"/>
    <n v="545.46"/>
  </r>
  <r>
    <x v="161"/>
    <s v="CLM01069"/>
    <x v="0"/>
    <d v="2024-06-30T00:00:00"/>
    <x v="9"/>
    <n v="550.11"/>
  </r>
  <r>
    <x v="162"/>
    <s v="CLM01082"/>
    <x v="4"/>
    <d v="2024-08-25T00:00:00"/>
    <x v="17"/>
    <n v="1319.34"/>
  </r>
  <r>
    <x v="163"/>
    <s v="CLM01083"/>
    <x v="1"/>
    <d v="2024-08-14T00:00:00"/>
    <x v="17"/>
    <n v="145.19"/>
  </r>
  <r>
    <x v="164"/>
    <s v="CLM01087"/>
    <x v="5"/>
    <d v="2024-02-07T00:00:00"/>
    <x v="13"/>
    <n v="918.86"/>
  </r>
  <r>
    <x v="165"/>
    <s v="CLM01088"/>
    <x v="2"/>
    <d v="2023-06-15T00:00:00"/>
    <x v="7"/>
    <n v="816.22"/>
  </r>
  <r>
    <x v="166"/>
    <s v="CLM01090"/>
    <x v="4"/>
    <d v="2024-02-01T00:00:00"/>
    <x v="13"/>
    <n v="995.44"/>
  </r>
  <r>
    <x v="167"/>
    <s v="CLM01093"/>
    <x v="5"/>
    <d v="2023-02-05T00:00:00"/>
    <x v="19"/>
    <n v="254.92"/>
  </r>
  <r>
    <x v="168"/>
    <s v="CLM01095"/>
    <x v="6"/>
    <d v="2024-07-08T00:00:00"/>
    <x v="4"/>
    <n v="4654.1099999999997"/>
  </r>
  <r>
    <x v="169"/>
    <s v="CLM01097"/>
    <x v="1"/>
    <d v="2023-07-04T00:00:00"/>
    <x v="3"/>
    <n v="175.04"/>
  </r>
  <r>
    <x v="170"/>
    <s v="CLM01099"/>
    <x v="6"/>
    <d v="2024-02-02T00:00:00"/>
    <x v="13"/>
    <n v="547.71"/>
  </r>
  <r>
    <x v="171"/>
    <s v="CLM01109"/>
    <x v="3"/>
    <d v="2024-06-19T00:00:00"/>
    <x v="9"/>
    <n v="93.25"/>
  </r>
  <r>
    <x v="172"/>
    <s v="CLM01116"/>
    <x v="0"/>
    <d v="2023-06-11T00:00:00"/>
    <x v="7"/>
    <n v="84.49"/>
  </r>
  <r>
    <x v="173"/>
    <s v="CLM01131"/>
    <x v="0"/>
    <d v="2023-09-03T00:00:00"/>
    <x v="21"/>
    <n v="161.27000000000001"/>
  </r>
  <r>
    <x v="174"/>
    <s v="CLM01134"/>
    <x v="5"/>
    <d v="2024-04-07T00:00:00"/>
    <x v="23"/>
    <n v="849.57"/>
  </r>
  <r>
    <x v="175"/>
    <s v="CLM01143"/>
    <x v="4"/>
    <d v="2023-03-30T00:00:00"/>
    <x v="5"/>
    <n v="25.04"/>
  </r>
  <r>
    <x v="176"/>
    <s v="CLM01147"/>
    <x v="6"/>
    <d v="2024-05-18T00:00:00"/>
    <x v="22"/>
    <n v="47.99"/>
  </r>
  <r>
    <x v="177"/>
    <s v="CLM01149"/>
    <x v="0"/>
    <d v="2024-09-27T00:00:00"/>
    <x v="8"/>
    <n v="1218.8800000000001"/>
  </r>
  <r>
    <x v="178"/>
    <s v="CLM01150"/>
    <x v="4"/>
    <d v="2023-09-07T00:00:00"/>
    <x v="21"/>
    <n v="445.93"/>
  </r>
  <r>
    <x v="179"/>
    <s v="CLM01158"/>
    <x v="3"/>
    <d v="2024-09-01T00:00:00"/>
    <x v="8"/>
    <n v="177.44"/>
  </r>
  <r>
    <x v="180"/>
    <s v="CLM01161"/>
    <x v="5"/>
    <d v="2024-10-17T00:00:00"/>
    <x v="12"/>
    <n v="382.28"/>
  </r>
  <r>
    <x v="181"/>
    <s v="CLM01167"/>
    <x v="3"/>
    <d v="2024-06-28T00:00:00"/>
    <x v="9"/>
    <n v="2295.2800000000002"/>
  </r>
  <r>
    <x v="182"/>
    <s v="CLM01170"/>
    <x v="1"/>
    <d v="2024-06-29T00:00:00"/>
    <x v="9"/>
    <n v="3072.99"/>
  </r>
  <r>
    <x v="183"/>
    <s v="CLM01174"/>
    <x v="4"/>
    <d v="2023-08-15T00:00:00"/>
    <x v="18"/>
    <n v="56.07"/>
  </r>
  <r>
    <x v="184"/>
    <s v="CLM01175"/>
    <x v="0"/>
    <d v="2024-01-09T00:00:00"/>
    <x v="2"/>
    <n v="643.32000000000005"/>
  </r>
  <r>
    <x v="185"/>
    <s v="CLM01176"/>
    <x v="3"/>
    <d v="2024-04-14T00:00:00"/>
    <x v="23"/>
    <n v="394.48"/>
  </r>
  <r>
    <x v="186"/>
    <s v="CLM01177"/>
    <x v="6"/>
    <d v="2023-02-14T00:00:00"/>
    <x v="19"/>
    <n v="63.88"/>
  </r>
  <r>
    <x v="187"/>
    <s v="CLM01191"/>
    <x v="1"/>
    <d v="2023-03-03T00:00:00"/>
    <x v="5"/>
    <n v="1199.72"/>
  </r>
  <r>
    <x v="188"/>
    <s v="CLM01198"/>
    <x v="0"/>
    <d v="2024-08-24T00:00:00"/>
    <x v="17"/>
    <n v="3199.83"/>
  </r>
  <r>
    <x v="189"/>
    <s v="CLM01201"/>
    <x v="5"/>
    <d v="2024-05-18T00:00:00"/>
    <x v="22"/>
    <n v="1029.17"/>
  </r>
  <r>
    <x v="190"/>
    <s v="CLM01214"/>
    <x v="1"/>
    <d v="2023-05-27T00:00:00"/>
    <x v="1"/>
    <n v="97.13"/>
  </r>
  <r>
    <x v="191"/>
    <s v="CLM01221"/>
    <x v="5"/>
    <d v="2024-09-07T00:00:00"/>
    <x v="8"/>
    <n v="3020.64"/>
  </r>
  <r>
    <x v="192"/>
    <s v="CLM01230"/>
    <x v="2"/>
    <d v="2023-04-21T00:00:00"/>
    <x v="16"/>
    <n v="70.739999999999995"/>
  </r>
  <r>
    <x v="193"/>
    <s v="CLM01236"/>
    <x v="1"/>
    <d v="2023-07-05T00:00:00"/>
    <x v="3"/>
    <n v="40.36"/>
  </r>
  <r>
    <x v="194"/>
    <s v="CLM01238"/>
    <x v="2"/>
    <d v="2023-12-06T00:00:00"/>
    <x v="11"/>
    <n v="68.489999999999995"/>
  </r>
  <r>
    <x v="195"/>
    <s v="CLM01240"/>
    <x v="1"/>
    <d v="2023-02-27T00:00:00"/>
    <x v="19"/>
    <n v="1829.03"/>
  </r>
  <r>
    <x v="196"/>
    <s v="CLM01249"/>
    <x v="1"/>
    <d v="2024-07-18T00:00:00"/>
    <x v="4"/>
    <n v="78.849999999999994"/>
  </r>
  <r>
    <x v="197"/>
    <s v="CLM01250"/>
    <x v="4"/>
    <d v="2024-12-11T00:00:00"/>
    <x v="20"/>
    <n v="47.64"/>
  </r>
  <r>
    <x v="198"/>
    <s v="CLM01259"/>
    <x v="2"/>
    <d v="2023-02-02T00:00:00"/>
    <x v="19"/>
    <n v="2148.88"/>
  </r>
  <r>
    <x v="199"/>
    <s v="CLM01272"/>
    <x v="6"/>
    <d v="2023-09-13T00:00:00"/>
    <x v="21"/>
    <n v="1173.28"/>
  </r>
  <r>
    <x v="200"/>
    <s v="CLM01274"/>
    <x v="1"/>
    <d v="2023-05-30T00:00:00"/>
    <x v="1"/>
    <n v="288.94"/>
  </r>
  <r>
    <x v="201"/>
    <s v="CLM01309"/>
    <x v="5"/>
    <d v="2024-11-02T00:00:00"/>
    <x v="15"/>
    <n v="443.49"/>
  </r>
  <r>
    <x v="202"/>
    <s v="CLM01312"/>
    <x v="1"/>
    <d v="2023-10-23T00:00:00"/>
    <x v="10"/>
    <n v="3345.28"/>
  </r>
  <r>
    <x v="203"/>
    <s v="CLM01318"/>
    <x v="4"/>
    <d v="2023-05-18T00:00:00"/>
    <x v="1"/>
    <n v="2604.11"/>
  </r>
  <r>
    <x v="204"/>
    <s v="CLM01319"/>
    <x v="1"/>
    <d v="2024-11-08T00:00:00"/>
    <x v="15"/>
    <n v="70.33"/>
  </r>
  <r>
    <x v="205"/>
    <s v="CLM01329"/>
    <x v="0"/>
    <d v="2024-01-15T00:00:00"/>
    <x v="2"/>
    <n v="399.8"/>
  </r>
  <r>
    <x v="206"/>
    <s v="CLM01331"/>
    <x v="1"/>
    <d v="2025-01-10T00:00:00"/>
    <x v="14"/>
    <n v="242.75"/>
  </r>
  <r>
    <x v="207"/>
    <s v="CLM01333"/>
    <x v="2"/>
    <d v="2023-10-21T00:00:00"/>
    <x v="10"/>
    <n v="102.4"/>
  </r>
  <r>
    <x v="208"/>
    <s v="CLM01344"/>
    <x v="0"/>
    <d v="2024-10-21T00:00:00"/>
    <x v="12"/>
    <n v="34.82"/>
  </r>
  <r>
    <x v="209"/>
    <s v="CLM01346"/>
    <x v="3"/>
    <d v="2023-11-20T00:00:00"/>
    <x v="6"/>
    <n v="704.7"/>
  </r>
  <r>
    <x v="210"/>
    <s v="CLM01348"/>
    <x v="0"/>
    <d v="2023-03-07T00:00:00"/>
    <x v="5"/>
    <n v="1438.78"/>
  </r>
  <r>
    <x v="211"/>
    <s v="CLM01355"/>
    <x v="0"/>
    <d v="2024-12-25T00:00:00"/>
    <x v="20"/>
    <n v="308.35000000000002"/>
  </r>
  <r>
    <x v="212"/>
    <s v="CLM01361"/>
    <x v="4"/>
    <d v="2023-10-20T00:00:00"/>
    <x v="10"/>
    <n v="283.61"/>
  </r>
  <r>
    <x v="213"/>
    <s v="CLM01362"/>
    <x v="0"/>
    <d v="2024-03-01T00:00:00"/>
    <x v="0"/>
    <n v="36.31"/>
  </r>
  <r>
    <x v="214"/>
    <s v="CLM01363"/>
    <x v="0"/>
    <d v="2023-05-24T00:00:00"/>
    <x v="1"/>
    <n v="2393.92"/>
  </r>
  <r>
    <x v="215"/>
    <s v="CLM01364"/>
    <x v="4"/>
    <d v="2024-12-23T00:00:00"/>
    <x v="20"/>
    <n v="610.39"/>
  </r>
  <r>
    <x v="216"/>
    <s v="CLM01368"/>
    <x v="2"/>
    <d v="2023-07-04T00:00:00"/>
    <x v="3"/>
    <n v="201.22"/>
  </r>
  <r>
    <x v="217"/>
    <s v="CLM01390"/>
    <x v="4"/>
    <d v="2024-12-17T00:00:00"/>
    <x v="20"/>
    <n v="861.95"/>
  </r>
  <r>
    <x v="218"/>
    <s v="CLM01394"/>
    <x v="5"/>
    <d v="2023-03-07T00:00:00"/>
    <x v="5"/>
    <n v="2265.86"/>
  </r>
  <r>
    <x v="219"/>
    <s v="CLM01403"/>
    <x v="5"/>
    <d v="2023-07-27T00:00:00"/>
    <x v="3"/>
    <n v="30.82"/>
  </r>
  <r>
    <x v="220"/>
    <s v="CLM01410"/>
    <x v="0"/>
    <d v="2024-12-09T00:00:00"/>
    <x v="20"/>
    <n v="43.9"/>
  </r>
  <r>
    <x v="221"/>
    <s v="CLM01411"/>
    <x v="3"/>
    <d v="2024-06-02T00:00:00"/>
    <x v="9"/>
    <n v="350.31"/>
  </r>
  <r>
    <x v="222"/>
    <s v="CLM01413"/>
    <x v="0"/>
    <d v="2024-08-22T00:00:00"/>
    <x v="17"/>
    <n v="52.64"/>
  </r>
  <r>
    <x v="223"/>
    <s v="CLM01422"/>
    <x v="1"/>
    <d v="2023-09-04T00:00:00"/>
    <x v="21"/>
    <n v="46.7"/>
  </r>
  <r>
    <x v="224"/>
    <s v="CLM01428"/>
    <x v="0"/>
    <d v="2024-06-11T00:00:00"/>
    <x v="9"/>
    <n v="1242.5"/>
  </r>
  <r>
    <x v="225"/>
    <s v="CLM01430"/>
    <x v="4"/>
    <d v="2023-07-16T00:00:00"/>
    <x v="3"/>
    <n v="293.33999999999997"/>
  </r>
  <r>
    <x v="226"/>
    <s v="CLM01433"/>
    <x v="3"/>
    <d v="2024-07-23T00:00:00"/>
    <x v="4"/>
    <n v="1526.76"/>
  </r>
  <r>
    <x v="227"/>
    <s v="CLM01434"/>
    <x v="3"/>
    <d v="2024-12-28T00:00:00"/>
    <x v="20"/>
    <n v="19.350000000000001"/>
  </r>
  <r>
    <x v="228"/>
    <s v="CLM01435"/>
    <x v="5"/>
    <d v="2024-07-19T00:00:00"/>
    <x v="4"/>
    <n v="100.49"/>
  </r>
  <r>
    <x v="229"/>
    <s v="CLM01437"/>
    <x v="4"/>
    <d v="2024-03-01T00:00:00"/>
    <x v="0"/>
    <n v="4050.11"/>
  </r>
  <r>
    <x v="230"/>
    <s v="CLM01438"/>
    <x v="3"/>
    <d v="2023-08-21T00:00:00"/>
    <x v="18"/>
    <n v="1195.69"/>
  </r>
  <r>
    <x v="231"/>
    <s v="CLM01439"/>
    <x v="5"/>
    <d v="2023-07-14T00:00:00"/>
    <x v="3"/>
    <n v="386.92"/>
  </r>
  <r>
    <x v="232"/>
    <s v="CLM01442"/>
    <x v="5"/>
    <d v="2024-01-24T00:00:00"/>
    <x v="2"/>
    <n v="534.08000000000004"/>
  </r>
  <r>
    <x v="233"/>
    <s v="CLM01449"/>
    <x v="4"/>
    <d v="2023-11-25T00:00:00"/>
    <x v="6"/>
    <n v="3534.85"/>
  </r>
  <r>
    <x v="234"/>
    <s v="CLM01457"/>
    <x v="0"/>
    <d v="2023-10-12T00:00:00"/>
    <x v="10"/>
    <n v="221.46"/>
  </r>
  <r>
    <x v="235"/>
    <s v="CLM01468"/>
    <x v="2"/>
    <d v="2024-10-16T00:00:00"/>
    <x v="12"/>
    <n v="241.29"/>
  </r>
  <r>
    <x v="236"/>
    <s v="CLM01475"/>
    <x v="0"/>
    <d v="2023-04-23T00:00:00"/>
    <x v="16"/>
    <n v="78.44"/>
  </r>
  <r>
    <x v="237"/>
    <s v="CLM01479"/>
    <x v="0"/>
    <d v="2024-03-05T00:00:00"/>
    <x v="0"/>
    <n v="40.01"/>
  </r>
  <r>
    <x v="238"/>
    <s v="CLM01483"/>
    <x v="0"/>
    <d v="2024-01-21T00:00:00"/>
    <x v="2"/>
    <n v="41.76"/>
  </r>
  <r>
    <x v="239"/>
    <s v="CLM01490"/>
    <x v="3"/>
    <d v="2024-11-20T00:00:00"/>
    <x v="15"/>
    <n v="82.18"/>
  </r>
  <r>
    <x v="240"/>
    <s v="CLM01499"/>
    <x v="4"/>
    <d v="2024-06-07T00:00:00"/>
    <x v="9"/>
    <n v="522.41"/>
  </r>
  <r>
    <x v="241"/>
    <s v="CLM01501"/>
    <x v="2"/>
    <d v="2024-08-13T00:00:00"/>
    <x v="17"/>
    <n v="3789.86"/>
  </r>
  <r>
    <x v="242"/>
    <s v="CLM01510"/>
    <x v="3"/>
    <d v="2023-04-25T00:00:00"/>
    <x v="16"/>
    <n v="1069.49"/>
  </r>
  <r>
    <x v="243"/>
    <s v="CLM01523"/>
    <x v="0"/>
    <d v="2023-11-27T00:00:00"/>
    <x v="6"/>
    <n v="391.21"/>
  </r>
  <r>
    <x v="244"/>
    <s v="CLM01534"/>
    <x v="5"/>
    <d v="2024-11-23T00:00:00"/>
    <x v="15"/>
    <n v="2602.63"/>
  </r>
  <r>
    <x v="245"/>
    <s v="CLM01567"/>
    <x v="3"/>
    <d v="2024-03-02T00:00:00"/>
    <x v="0"/>
    <n v="2569.13"/>
  </r>
  <r>
    <x v="246"/>
    <s v="CLM01569"/>
    <x v="4"/>
    <d v="2024-06-22T00:00:00"/>
    <x v="9"/>
    <n v="2592.58"/>
  </r>
  <r>
    <x v="247"/>
    <s v="CLM01575"/>
    <x v="3"/>
    <d v="2023-11-27T00:00:00"/>
    <x v="6"/>
    <n v="549.52"/>
  </r>
  <r>
    <x v="248"/>
    <s v="CLM01590"/>
    <x v="1"/>
    <d v="2024-09-08T00:00:00"/>
    <x v="8"/>
    <n v="66.91"/>
  </r>
  <r>
    <x v="249"/>
    <s v="CLM01591"/>
    <x v="4"/>
    <d v="2023-08-10T00:00:00"/>
    <x v="18"/>
    <n v="30.26"/>
  </r>
  <r>
    <x v="250"/>
    <s v="CLM01603"/>
    <x v="1"/>
    <d v="2024-02-27T00:00:00"/>
    <x v="13"/>
    <n v="98.62"/>
  </r>
  <r>
    <x v="251"/>
    <s v="CLM01609"/>
    <x v="2"/>
    <d v="2023-12-11T00:00:00"/>
    <x v="11"/>
    <n v="432.91"/>
  </r>
  <r>
    <x v="252"/>
    <s v="CLM01614"/>
    <x v="3"/>
    <d v="2023-12-13T00:00:00"/>
    <x v="11"/>
    <n v="342.88"/>
  </r>
  <r>
    <x v="253"/>
    <s v="CLM01615"/>
    <x v="6"/>
    <d v="2024-12-16T00:00:00"/>
    <x v="20"/>
    <n v="448.53"/>
  </r>
  <r>
    <x v="254"/>
    <s v="CLM01622"/>
    <x v="5"/>
    <d v="2023-08-15T00:00:00"/>
    <x v="18"/>
    <n v="1226.8800000000001"/>
  </r>
  <r>
    <x v="255"/>
    <s v="CLM01632"/>
    <x v="4"/>
    <d v="2023-02-08T00:00:00"/>
    <x v="19"/>
    <n v="934.09"/>
  </r>
  <r>
    <x v="256"/>
    <s v="CLM01634"/>
    <x v="4"/>
    <d v="2024-04-01T00:00:00"/>
    <x v="23"/>
    <n v="153.03"/>
  </r>
  <r>
    <x v="257"/>
    <s v="CLM01635"/>
    <x v="4"/>
    <d v="2023-10-30T00:00:00"/>
    <x v="10"/>
    <n v="261.68"/>
  </r>
  <r>
    <x v="258"/>
    <s v="CLM01647"/>
    <x v="3"/>
    <d v="2024-01-17T00:00:00"/>
    <x v="2"/>
    <n v="278.14999999999998"/>
  </r>
  <r>
    <x v="259"/>
    <s v="CLM01652"/>
    <x v="4"/>
    <d v="2023-10-29T00:00:00"/>
    <x v="10"/>
    <n v="74.39"/>
  </r>
  <r>
    <x v="260"/>
    <s v="CLM01661"/>
    <x v="4"/>
    <d v="2024-06-10T00:00:00"/>
    <x v="9"/>
    <n v="635.41"/>
  </r>
  <r>
    <x v="261"/>
    <s v="CLM01666"/>
    <x v="3"/>
    <d v="2024-08-31T00:00:00"/>
    <x v="17"/>
    <n v="64.78"/>
  </r>
  <r>
    <x v="262"/>
    <s v="CLM01675"/>
    <x v="0"/>
    <d v="2024-03-12T00:00:00"/>
    <x v="0"/>
    <n v="178.07"/>
  </r>
  <r>
    <x v="263"/>
    <s v="CLM01677"/>
    <x v="4"/>
    <d v="2023-11-11T00:00:00"/>
    <x v="6"/>
    <n v="152.93"/>
  </r>
  <r>
    <x v="264"/>
    <s v="CLM01679"/>
    <x v="4"/>
    <d v="2023-11-24T00:00:00"/>
    <x v="6"/>
    <n v="299.49"/>
  </r>
  <r>
    <x v="265"/>
    <s v="CLM01700"/>
    <x v="5"/>
    <d v="2023-12-16T00:00:00"/>
    <x v="11"/>
    <n v="106.39"/>
  </r>
  <r>
    <x v="266"/>
    <s v="CLM01701"/>
    <x v="3"/>
    <d v="2023-05-29T00:00:00"/>
    <x v="1"/>
    <n v="2171.42"/>
  </r>
  <r>
    <x v="267"/>
    <s v="CLM01716"/>
    <x v="0"/>
    <d v="2024-12-08T00:00:00"/>
    <x v="20"/>
    <n v="1288.99"/>
  </r>
  <r>
    <x v="268"/>
    <s v="CLM01723"/>
    <x v="2"/>
    <d v="2023-03-09T00:00:00"/>
    <x v="5"/>
    <n v="3039.09"/>
  </r>
  <r>
    <x v="269"/>
    <s v="CLM01734"/>
    <x v="1"/>
    <d v="2024-07-14T00:00:00"/>
    <x v="4"/>
    <n v="1643.51"/>
  </r>
  <r>
    <x v="270"/>
    <s v="CLM01736"/>
    <x v="5"/>
    <d v="2024-09-21T00:00:00"/>
    <x v="8"/>
    <n v="281.01"/>
  </r>
  <r>
    <x v="271"/>
    <s v="CLM01741"/>
    <x v="0"/>
    <d v="2024-07-24T00:00:00"/>
    <x v="4"/>
    <n v="220.26"/>
  </r>
  <r>
    <x v="272"/>
    <s v="CLM01751"/>
    <x v="0"/>
    <d v="2024-09-15T00:00:00"/>
    <x v="8"/>
    <n v="244.89"/>
  </r>
  <r>
    <x v="273"/>
    <s v="CLM01758"/>
    <x v="0"/>
    <d v="2024-02-21T00:00:00"/>
    <x v="13"/>
    <n v="2484.31"/>
  </r>
  <r>
    <x v="274"/>
    <s v="CLM01763"/>
    <x v="0"/>
    <d v="2024-07-23T00:00:00"/>
    <x v="4"/>
    <n v="87.46"/>
  </r>
  <r>
    <x v="275"/>
    <s v="CLM01779"/>
    <x v="2"/>
    <d v="2023-05-01T00:00:00"/>
    <x v="1"/>
    <n v="36.729999999999997"/>
  </r>
  <r>
    <x v="276"/>
    <s v="CLM01783"/>
    <x v="1"/>
    <d v="2024-06-01T00:00:00"/>
    <x v="9"/>
    <n v="19.22"/>
  </r>
  <r>
    <x v="277"/>
    <s v="CLM01792"/>
    <x v="4"/>
    <d v="2023-05-01T00:00:00"/>
    <x v="1"/>
    <n v="583.74"/>
  </r>
  <r>
    <x v="278"/>
    <s v="CLM01794"/>
    <x v="0"/>
    <d v="2023-06-02T00:00:00"/>
    <x v="7"/>
    <n v="141.32"/>
  </r>
  <r>
    <x v="279"/>
    <s v="CLM01799"/>
    <x v="4"/>
    <d v="2023-02-17T00:00:00"/>
    <x v="19"/>
    <n v="156.41999999999999"/>
  </r>
  <r>
    <x v="280"/>
    <s v="CLM01801"/>
    <x v="1"/>
    <d v="2024-10-24T00:00:00"/>
    <x v="12"/>
    <n v="1192.23"/>
  </r>
  <r>
    <x v="281"/>
    <s v="CLM01802"/>
    <x v="2"/>
    <d v="2025-01-05T00:00:00"/>
    <x v="14"/>
    <n v="37.32"/>
  </r>
  <r>
    <x v="282"/>
    <s v="CLM01804"/>
    <x v="2"/>
    <d v="2023-09-24T00:00:00"/>
    <x v="21"/>
    <n v="50.9"/>
  </r>
  <r>
    <x v="283"/>
    <s v="CLM01806"/>
    <x v="4"/>
    <d v="2024-09-17T00:00:00"/>
    <x v="8"/>
    <n v="211.08"/>
  </r>
  <r>
    <x v="284"/>
    <s v="CLM01809"/>
    <x v="0"/>
    <d v="2024-09-09T00:00:00"/>
    <x v="8"/>
    <n v="1116.03"/>
  </r>
  <r>
    <x v="285"/>
    <s v="CLM01821"/>
    <x v="3"/>
    <d v="2023-12-15T00:00:00"/>
    <x v="11"/>
    <n v="339.07"/>
  </r>
  <r>
    <x v="286"/>
    <s v="CLM01822"/>
    <x v="0"/>
    <d v="2023-03-23T00:00:00"/>
    <x v="5"/>
    <n v="64.97"/>
  </r>
  <r>
    <x v="287"/>
    <s v="CLM01825"/>
    <x v="1"/>
    <d v="2024-07-05T00:00:00"/>
    <x v="4"/>
    <n v="250.42"/>
  </r>
  <r>
    <x v="288"/>
    <s v="CLM01829"/>
    <x v="3"/>
    <d v="2024-09-28T00:00:00"/>
    <x v="8"/>
    <n v="252.19"/>
  </r>
  <r>
    <x v="289"/>
    <s v="CLM01841"/>
    <x v="1"/>
    <d v="2024-03-05T00:00:00"/>
    <x v="0"/>
    <n v="46.6"/>
  </r>
  <r>
    <x v="290"/>
    <s v="CLM01844"/>
    <x v="5"/>
    <d v="2024-03-23T00:00:00"/>
    <x v="0"/>
    <n v="284.52999999999997"/>
  </r>
  <r>
    <x v="291"/>
    <s v="CLM01850"/>
    <x v="0"/>
    <d v="2025-01-22T00:00:00"/>
    <x v="14"/>
    <n v="402.28"/>
  </r>
  <r>
    <x v="292"/>
    <s v="CLM01858"/>
    <x v="4"/>
    <d v="2024-08-08T00:00:00"/>
    <x v="17"/>
    <n v="766.81"/>
  </r>
  <r>
    <x v="293"/>
    <s v="CLM01867"/>
    <x v="3"/>
    <d v="2024-04-14T00:00:00"/>
    <x v="23"/>
    <n v="81.52"/>
  </r>
  <r>
    <x v="294"/>
    <s v="CLM01873"/>
    <x v="4"/>
    <d v="2024-11-16T00:00:00"/>
    <x v="15"/>
    <n v="487.78"/>
  </r>
  <r>
    <x v="295"/>
    <s v="CLM01877"/>
    <x v="3"/>
    <d v="2024-10-16T00:00:00"/>
    <x v="12"/>
    <n v="481.73"/>
  </r>
  <r>
    <x v="296"/>
    <s v="CLM01886"/>
    <x v="0"/>
    <d v="2023-09-13T00:00:00"/>
    <x v="21"/>
    <n v="185.35"/>
  </r>
  <r>
    <x v="297"/>
    <s v="CLM01902"/>
    <x v="5"/>
    <d v="2023-06-07T00:00:00"/>
    <x v="7"/>
    <n v="167.64"/>
  </r>
  <r>
    <x v="298"/>
    <s v="CLM01903"/>
    <x v="0"/>
    <d v="2023-07-23T00:00:00"/>
    <x v="3"/>
    <n v="615.26"/>
  </r>
  <r>
    <x v="299"/>
    <s v="CLM01905"/>
    <x v="2"/>
    <d v="2024-05-13T00:00:00"/>
    <x v="22"/>
    <n v="138.99"/>
  </r>
  <r>
    <x v="300"/>
    <s v="CLM01913"/>
    <x v="3"/>
    <d v="2023-06-07T00:00:00"/>
    <x v="7"/>
    <n v="48.58"/>
  </r>
  <r>
    <x v="301"/>
    <s v="CLM01916"/>
    <x v="6"/>
    <d v="2023-08-16T00:00:00"/>
    <x v="18"/>
    <n v="140.41"/>
  </r>
  <r>
    <x v="302"/>
    <s v="CLM01917"/>
    <x v="0"/>
    <d v="2024-07-23T00:00:00"/>
    <x v="4"/>
    <n v="181.25"/>
  </r>
  <r>
    <x v="303"/>
    <s v="CLM01924"/>
    <x v="0"/>
    <d v="2023-02-18T00:00:00"/>
    <x v="19"/>
    <n v="73.69"/>
  </r>
  <r>
    <x v="304"/>
    <s v="CLM01926"/>
    <x v="3"/>
    <d v="2023-10-27T00:00:00"/>
    <x v="10"/>
    <n v="207.4"/>
  </r>
  <r>
    <x v="305"/>
    <s v="CLM01927"/>
    <x v="3"/>
    <d v="2023-11-29T00:00:00"/>
    <x v="6"/>
    <n v="383.56"/>
  </r>
  <r>
    <x v="306"/>
    <s v="CLM01928"/>
    <x v="3"/>
    <d v="2023-11-16T00:00:00"/>
    <x v="6"/>
    <n v="375.15"/>
  </r>
  <r>
    <x v="307"/>
    <s v="CLM01943"/>
    <x v="2"/>
    <d v="2024-03-12T00:00:00"/>
    <x v="0"/>
    <n v="2077.86"/>
  </r>
  <r>
    <x v="308"/>
    <s v="CLM01950"/>
    <x v="4"/>
    <d v="2023-04-11T00:00:00"/>
    <x v="16"/>
    <n v="1021.59"/>
  </r>
  <r>
    <x v="309"/>
    <s v="CLM01959"/>
    <x v="1"/>
    <d v="2025-01-22T00:00:00"/>
    <x v="14"/>
    <n v="87.17"/>
  </r>
  <r>
    <x v="310"/>
    <s v="CLM01961"/>
    <x v="1"/>
    <d v="2023-12-17T00:00:00"/>
    <x v="11"/>
    <n v="266.70999999999998"/>
  </r>
  <r>
    <x v="311"/>
    <s v="CLM01964"/>
    <x v="0"/>
    <d v="2023-06-10T00:00:00"/>
    <x v="7"/>
    <n v="176.81"/>
  </r>
  <r>
    <x v="312"/>
    <s v="CLM01968"/>
    <x v="1"/>
    <d v="2023-09-08T00:00:00"/>
    <x v="21"/>
    <n v="324.63"/>
  </r>
  <r>
    <x v="313"/>
    <s v="CLM01972"/>
    <x v="3"/>
    <d v="2024-08-13T00:00:00"/>
    <x v="17"/>
    <n v="6027.94"/>
  </r>
  <r>
    <x v="314"/>
    <s v="CLM01986"/>
    <x v="1"/>
    <d v="2024-07-21T00:00:00"/>
    <x v="4"/>
    <n v="5805.06"/>
  </r>
  <r>
    <x v="315"/>
    <s v="CLM01991"/>
    <x v="0"/>
    <d v="2023-12-09T00:00:00"/>
    <x v="11"/>
    <n v="1158.19"/>
  </r>
  <r>
    <x v="316"/>
    <s v="CLM01992"/>
    <x v="4"/>
    <d v="2023-01-25T00:00:00"/>
    <x v="24"/>
    <n v="209.0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s v="PAY00001"/>
    <s v="CLM00001"/>
    <d v="2023-02-20T00:00:00"/>
    <x v="0"/>
    <n v="805.95"/>
    <s v="Insurance"/>
    <n v="335.98"/>
  </r>
  <r>
    <s v="PAY00002"/>
    <s v="CLM00002"/>
    <d v="2024-10-31T00:00:00"/>
    <x v="1"/>
    <n v="73.44"/>
    <s v="Insurance"/>
    <n v="37.97"/>
  </r>
  <r>
    <s v="PAY00003"/>
    <s v="CLM00003"/>
    <d v="2024-03-27T00:00:00"/>
    <x v="2"/>
    <n v="379.35"/>
    <s v="Patient"/>
    <n v="224.56"/>
  </r>
  <r>
    <s v="PAY00004"/>
    <s v="CLM00006"/>
    <d v="2023-02-24T00:00:00"/>
    <x v="0"/>
    <n v="137.78"/>
    <s v="Insurance"/>
    <n v="45.11"/>
  </r>
  <r>
    <s v="PAY00005"/>
    <s v="CLM00007"/>
    <d v="2024-09-25T00:00:00"/>
    <x v="3"/>
    <n v="1915.49"/>
    <s v="Insurance"/>
    <n v="792.99"/>
  </r>
  <r>
    <s v="PAY00006"/>
    <s v="CLM00008"/>
    <d v="2023-04-14T00:00:00"/>
    <x v="4"/>
    <n v="93.75"/>
    <s v="Patient"/>
    <n v="4.82"/>
  </r>
  <r>
    <s v="PAY00007"/>
    <s v="CLM00009"/>
    <d v="2023-08-24T00:00:00"/>
    <x v="5"/>
    <n v="1562.08"/>
    <s v="Insurance"/>
    <n v="140.81"/>
  </r>
  <r>
    <s v="PAY00008"/>
    <s v="CLM00010"/>
    <d v="2023-05-19T00:00:00"/>
    <x v="6"/>
    <n v="322.79000000000002"/>
    <s v="Insurance"/>
    <n v="29.24"/>
  </r>
  <r>
    <s v="PAY00009"/>
    <s v="CLM00013"/>
    <d v="2024-10-30T00:00:00"/>
    <x v="1"/>
    <n v="385.15"/>
    <s v="Insurance"/>
    <n v="95.16"/>
  </r>
  <r>
    <s v="PAY00010"/>
    <s v="CLM00015"/>
    <d v="2023-06-10T00:00:00"/>
    <x v="7"/>
    <n v="41.69"/>
    <s v="Insurance"/>
    <n v="19.89"/>
  </r>
  <r>
    <s v="PAY00011"/>
    <s v="CLM00016"/>
    <d v="2023-03-01T00:00:00"/>
    <x v="8"/>
    <n v="656.53"/>
    <s v="Insurance"/>
    <n v="286.83"/>
  </r>
  <r>
    <s v="PAY00012"/>
    <s v="CLM00017"/>
    <d v="2024-07-24T00:00:00"/>
    <x v="9"/>
    <n v="4401.8999999999996"/>
    <s v="Insurance"/>
    <n v="1469.28"/>
  </r>
  <r>
    <s v="PAY00013"/>
    <s v="CLM00018"/>
    <d v="2023-09-24T00:00:00"/>
    <x v="10"/>
    <n v="166.14"/>
    <s v="Insurance"/>
    <n v="23.73"/>
  </r>
  <r>
    <s v="PAY00014"/>
    <s v="CLM00020"/>
    <d v="2024-05-10T00:00:00"/>
    <x v="11"/>
    <n v="664.37"/>
    <s v="Insurance"/>
    <n v="207.92"/>
  </r>
  <r>
    <s v="PAY00015"/>
    <s v="CLM00021"/>
    <d v="2024-03-19T00:00:00"/>
    <x v="2"/>
    <n v="225.07"/>
    <s v="Insurance"/>
    <n v="80.48"/>
  </r>
  <r>
    <s v="PAY00016"/>
    <s v="CLM00022"/>
    <d v="2023-08-17T00:00:00"/>
    <x v="5"/>
    <n v="97.03"/>
    <s v="Insurance"/>
    <n v="9.5399999999999991"/>
  </r>
  <r>
    <s v="PAY00017"/>
    <s v="CLM00023"/>
    <d v="2023-03-05T00:00:00"/>
    <x v="8"/>
    <n v="194.09"/>
    <s v="Insurance"/>
    <n v="28.83"/>
  </r>
  <r>
    <s v="PAY00018"/>
    <s v="CLM00024"/>
    <d v="2023-08-16T00:00:00"/>
    <x v="5"/>
    <n v="777.86"/>
    <s v="Insurance"/>
    <n v="65"/>
  </r>
  <r>
    <s v="PAY00019"/>
    <s v="CLM00025"/>
    <d v="2023-03-17T00:00:00"/>
    <x v="8"/>
    <n v="905.64"/>
    <s v="Insurance"/>
    <n v="452.36"/>
  </r>
  <r>
    <s v="PAY00020"/>
    <s v="CLM00026"/>
    <d v="2023-02-27T00:00:00"/>
    <x v="0"/>
    <n v="410.81"/>
    <s v="Insurance"/>
    <n v="167.74"/>
  </r>
  <r>
    <s v="PAY00021"/>
    <s v="CLM00027"/>
    <d v="2023-11-12T00:00:00"/>
    <x v="12"/>
    <n v="595.09"/>
    <s v="Insurance"/>
    <n v="295.01"/>
  </r>
  <r>
    <s v="PAY00022"/>
    <s v="CLM00028"/>
    <d v="2023-05-21T00:00:00"/>
    <x v="6"/>
    <n v="128.51"/>
    <s v="Patient"/>
    <n v="54.03"/>
  </r>
  <r>
    <s v="PAY00023"/>
    <s v="CLM00030"/>
    <d v="2024-07-03T00:00:00"/>
    <x v="9"/>
    <n v="506.38"/>
    <s v="Insurance"/>
    <n v="145.33000000000001"/>
  </r>
  <r>
    <s v="PAY00024"/>
    <s v="CLM00031"/>
    <d v="2023-09-06T00:00:00"/>
    <x v="10"/>
    <n v="458.74"/>
    <s v="Insurance"/>
    <n v="240.97"/>
  </r>
  <r>
    <s v="PAY00025"/>
    <s v="CLM00033"/>
    <d v="2024-06-25T00:00:00"/>
    <x v="13"/>
    <n v="142.69"/>
    <s v="Insurance"/>
    <n v="84.11"/>
  </r>
  <r>
    <s v="PAY00026"/>
    <s v="CLM00034"/>
    <d v="2025-01-11T00:00:00"/>
    <x v="14"/>
    <n v="756.86"/>
    <s v="Insurance"/>
    <n v="84.52"/>
  </r>
  <r>
    <s v="PAY00027"/>
    <s v="CLM00035"/>
    <d v="2024-01-16T00:00:00"/>
    <x v="15"/>
    <n v="1090.1500000000001"/>
    <s v="Insurance"/>
    <n v="632.48"/>
  </r>
  <r>
    <s v="PAY00028"/>
    <s v="CLM00036"/>
    <d v="2024-12-27T00:00:00"/>
    <x v="16"/>
    <n v="814.47"/>
    <s v="Insurance"/>
    <n v="251.44"/>
  </r>
  <r>
    <s v="PAY00029"/>
    <s v="CLM00037"/>
    <d v="2023-03-16T00:00:00"/>
    <x v="8"/>
    <n v="686.29"/>
    <s v="Insurance"/>
    <n v="32.92"/>
  </r>
  <r>
    <s v="PAY00030"/>
    <s v="CLM00038"/>
    <d v="2024-06-18T00:00:00"/>
    <x v="13"/>
    <n v="3181.91"/>
    <s v="Insurance"/>
    <n v="1088.1600000000001"/>
  </r>
  <r>
    <s v="PAY00031"/>
    <s v="CLM00039"/>
    <d v="2024-07-14T00:00:00"/>
    <x v="9"/>
    <n v="3319.7"/>
    <s v="Insurance"/>
    <n v="1644.55"/>
  </r>
  <r>
    <s v="PAY00032"/>
    <s v="CLM00040"/>
    <d v="2023-07-22T00:00:00"/>
    <x v="17"/>
    <n v="3222"/>
    <s v="Insurance"/>
    <n v="1886.81"/>
  </r>
  <r>
    <s v="PAY00033"/>
    <s v="CLM00041"/>
    <d v="2024-11-24T00:00:00"/>
    <x v="18"/>
    <n v="287.83"/>
    <s v="Insurance"/>
    <n v="66.45"/>
  </r>
  <r>
    <s v="PAY00034"/>
    <s v="CLM00042"/>
    <d v="2024-09-15T00:00:00"/>
    <x v="3"/>
    <n v="151.19"/>
    <s v="Insurance"/>
    <n v="45.61"/>
  </r>
  <r>
    <s v="PAY00035"/>
    <s v="CLM00043"/>
    <d v="2023-08-02T00:00:00"/>
    <x v="5"/>
    <n v="845.35"/>
    <s v="Insurance"/>
    <n v="439.4"/>
  </r>
  <r>
    <s v="PAY00036"/>
    <s v="CLM00044"/>
    <d v="2023-08-14T00:00:00"/>
    <x v="5"/>
    <n v="885.03"/>
    <s v="Insurance"/>
    <n v="213.4"/>
  </r>
  <r>
    <s v="PAY00037"/>
    <s v="CLM00046"/>
    <d v="2023-12-12T00:00:00"/>
    <x v="19"/>
    <n v="445.63"/>
    <s v="Insurance"/>
    <n v="29.38"/>
  </r>
  <r>
    <s v="PAY00038"/>
    <s v="CLM00047"/>
    <d v="2023-08-27T00:00:00"/>
    <x v="5"/>
    <n v="3264.45"/>
    <s v="Insurance"/>
    <n v="199.51"/>
  </r>
  <r>
    <s v="PAY00039"/>
    <s v="CLM00048"/>
    <d v="2024-02-22T00:00:00"/>
    <x v="20"/>
    <n v="34.590000000000003"/>
    <s v="Insurance"/>
    <n v="13.74"/>
  </r>
  <r>
    <s v="PAY00040"/>
    <s v="CLM00049"/>
    <d v="2024-11-18T00:00:00"/>
    <x v="18"/>
    <n v="398.59"/>
    <s v="Insurance"/>
    <n v="55.2"/>
  </r>
  <r>
    <s v="PAY00041"/>
    <s v="CLM00050"/>
    <d v="2023-05-12T00:00:00"/>
    <x v="6"/>
    <n v="686.5"/>
    <s v="Insurance"/>
    <n v="33.61"/>
  </r>
  <r>
    <s v="PAY00042"/>
    <s v="CLM00052"/>
    <d v="2024-08-01T00:00:00"/>
    <x v="21"/>
    <n v="453.72"/>
    <s v="Insurance"/>
    <n v="102.92"/>
  </r>
  <r>
    <s v="PAY00043"/>
    <s v="CLM00053"/>
    <d v="2023-12-11T00:00:00"/>
    <x v="19"/>
    <n v="255.64"/>
    <s v="Insurance"/>
    <n v="34.47"/>
  </r>
  <r>
    <s v="PAY00044"/>
    <s v="CLM00054"/>
    <d v="2023-06-12T00:00:00"/>
    <x v="7"/>
    <n v="116.4"/>
    <s v="Insurance"/>
    <n v="38.880000000000003"/>
  </r>
  <r>
    <s v="PAY00045"/>
    <s v="CLM00055"/>
    <d v="2025-01-17T00:00:00"/>
    <x v="14"/>
    <n v="465.58"/>
    <s v="Insurance"/>
    <n v="283.20999999999998"/>
  </r>
  <r>
    <s v="PAY00046"/>
    <s v="CLM00056"/>
    <d v="2023-02-19T00:00:00"/>
    <x v="0"/>
    <n v="1705.6"/>
    <s v="Insurance"/>
    <n v="547.75"/>
  </r>
  <r>
    <s v="PAY00047"/>
    <s v="CLM00057"/>
    <d v="2024-04-23T00:00:00"/>
    <x v="22"/>
    <n v="236.5"/>
    <s v="Insurance"/>
    <n v="67.17"/>
  </r>
  <r>
    <s v="PAY00048"/>
    <s v="CLM00058"/>
    <d v="2025-01-01T00:00:00"/>
    <x v="14"/>
    <n v="1231.0999999999999"/>
    <s v="Insurance"/>
    <n v="253.74"/>
  </r>
  <r>
    <s v="PAY00049"/>
    <s v="CLM00060"/>
    <d v="2023-08-15T00:00:00"/>
    <x v="5"/>
    <n v="41.59"/>
    <s v="Patient"/>
    <n v="3.82"/>
  </r>
  <r>
    <s v="PAY00050"/>
    <s v="CLM00061"/>
    <d v="2023-06-16T00:00:00"/>
    <x v="7"/>
    <n v="366.99"/>
    <s v="Patient"/>
    <n v="53.23"/>
  </r>
  <r>
    <s v="PAY00051"/>
    <s v="CLM00062"/>
    <d v="2023-08-01T00:00:00"/>
    <x v="5"/>
    <n v="175.8"/>
    <s v="Insurance"/>
    <n v="65.45"/>
  </r>
  <r>
    <s v="PAY00052"/>
    <s v="CLM00063"/>
    <d v="2024-06-07T00:00:00"/>
    <x v="13"/>
    <n v="360.63"/>
    <s v="Insurance"/>
    <n v="91.85"/>
  </r>
  <r>
    <s v="PAY00053"/>
    <s v="CLM00064"/>
    <d v="2023-06-20T00:00:00"/>
    <x v="7"/>
    <n v="707.69"/>
    <s v="Insurance"/>
    <n v="38.79"/>
  </r>
  <r>
    <s v="PAY00054"/>
    <s v="CLM00065"/>
    <d v="2024-10-21T00:00:00"/>
    <x v="1"/>
    <n v="291.8"/>
    <s v="Insurance"/>
    <n v="57.83"/>
  </r>
  <r>
    <s v="PAY00055"/>
    <s v="CLM00066"/>
    <d v="2023-05-20T00:00:00"/>
    <x v="6"/>
    <n v="6313"/>
    <s v="Patient"/>
    <n v="915.68"/>
  </r>
  <r>
    <s v="PAY00056"/>
    <s v="CLM00067"/>
    <d v="2024-05-08T00:00:00"/>
    <x v="11"/>
    <n v="2289.5"/>
    <s v="Insurance"/>
    <n v="129.63999999999999"/>
  </r>
  <r>
    <s v="PAY00057"/>
    <s v="CLM00070"/>
    <d v="2023-07-19T00:00:00"/>
    <x v="17"/>
    <n v="35.21"/>
    <s v="Insurance"/>
    <n v="20.68"/>
  </r>
  <r>
    <s v="PAY00058"/>
    <s v="CLM00072"/>
    <d v="2023-08-06T00:00:00"/>
    <x v="5"/>
    <n v="104.56"/>
    <s v="Insurance"/>
    <n v="56.9"/>
  </r>
  <r>
    <s v="PAY00059"/>
    <s v="CLM00073"/>
    <d v="2023-10-16T00:00:00"/>
    <x v="23"/>
    <n v="980.57"/>
    <s v="Insurance"/>
    <n v="328.28"/>
  </r>
  <r>
    <s v="PAY00060"/>
    <s v="CLM00075"/>
    <d v="2023-04-11T00:00:00"/>
    <x v="4"/>
    <n v="470.69"/>
    <s v="Patient"/>
    <n v="83.69"/>
  </r>
  <r>
    <s v="PAY00061"/>
    <s v="CLM00076"/>
    <d v="2024-03-02T00:00:00"/>
    <x v="2"/>
    <n v="247.58"/>
    <s v="Insurance"/>
    <n v="110.88"/>
  </r>
  <r>
    <s v="PAY00062"/>
    <s v="CLM00077"/>
    <d v="2025-01-18T00:00:00"/>
    <x v="14"/>
    <n v="772.88"/>
    <s v="Insurance"/>
    <n v="34.1"/>
  </r>
  <r>
    <s v="PAY00063"/>
    <s v="CLM00078"/>
    <d v="2024-08-05T00:00:00"/>
    <x v="21"/>
    <n v="238.34"/>
    <s v="Insurance"/>
    <n v="39.85"/>
  </r>
  <r>
    <s v="PAY00064"/>
    <s v="CLM00079"/>
    <d v="2023-05-05T00:00:00"/>
    <x v="6"/>
    <n v="1174.33"/>
    <s v="Insurance"/>
    <n v="137.66999999999999"/>
  </r>
  <r>
    <s v="PAY00065"/>
    <s v="CLM00080"/>
    <d v="2023-05-20T00:00:00"/>
    <x v="6"/>
    <n v="3792.06"/>
    <s v="Insurance"/>
    <n v="712.33"/>
  </r>
  <r>
    <s v="PAY00066"/>
    <s v="CLM00086"/>
    <d v="2024-06-23T00:00:00"/>
    <x v="13"/>
    <n v="309.41000000000003"/>
    <s v="Patient"/>
    <n v="27.73"/>
  </r>
  <r>
    <s v="PAY00067"/>
    <s v="CLM00087"/>
    <d v="2024-09-08T00:00:00"/>
    <x v="3"/>
    <n v="30.39"/>
    <s v="Insurance"/>
    <n v="16.87"/>
  </r>
  <r>
    <s v="PAY00068"/>
    <s v="CLM00088"/>
    <d v="2023-06-09T00:00:00"/>
    <x v="7"/>
    <n v="275.82"/>
    <s v="Insurance"/>
    <n v="39.36"/>
  </r>
  <r>
    <s v="PAY00069"/>
    <s v="CLM00090"/>
    <d v="2024-10-15T00:00:00"/>
    <x v="1"/>
    <n v="172.63"/>
    <s v="Insurance"/>
    <n v="8.98"/>
  </r>
  <r>
    <s v="PAY00070"/>
    <s v="CLM00092"/>
    <d v="2023-10-07T00:00:00"/>
    <x v="23"/>
    <n v="1101.9100000000001"/>
    <s v="Insurance"/>
    <n v="361.86"/>
  </r>
  <r>
    <s v="PAY00071"/>
    <s v="CLM00093"/>
    <d v="2024-10-13T00:00:00"/>
    <x v="1"/>
    <n v="193.29"/>
    <s v="Insurance"/>
    <n v="45.02"/>
  </r>
  <r>
    <s v="PAY00072"/>
    <s v="CLM00094"/>
    <d v="2024-12-23T00:00:00"/>
    <x v="16"/>
    <n v="149.09"/>
    <s v="Insurance"/>
    <n v="51.74"/>
  </r>
  <r>
    <s v="PAY00073"/>
    <s v="CLM00095"/>
    <d v="2024-08-17T00:00:00"/>
    <x v="21"/>
    <n v="6548.14"/>
    <s v="Insurance"/>
    <n v="1097.5"/>
  </r>
  <r>
    <s v="PAY00074"/>
    <s v="CLM00096"/>
    <d v="2024-04-03T00:00:00"/>
    <x v="22"/>
    <n v="240.46"/>
    <s v="Insurance"/>
    <n v="32.82"/>
  </r>
  <r>
    <s v="PAY00075"/>
    <s v="CLM00097"/>
    <d v="2024-07-25T00:00:00"/>
    <x v="9"/>
    <n v="3829.31"/>
    <s v="Insurance"/>
    <n v="1371.98"/>
  </r>
  <r>
    <s v="PAY00076"/>
    <s v="CLM00098"/>
    <d v="2023-11-29T00:00:00"/>
    <x v="12"/>
    <n v="6385.13"/>
    <s v="Insurance"/>
    <n v="662.87"/>
  </r>
  <r>
    <s v="PAY00077"/>
    <s v="CLM00099"/>
    <d v="2024-08-21T00:00:00"/>
    <x v="21"/>
    <n v="2392.34"/>
    <s v="Insurance"/>
    <n v="1129.18"/>
  </r>
  <r>
    <s v="PAY00078"/>
    <s v="CLM00100"/>
    <d v="2024-01-05T00:00:00"/>
    <x v="15"/>
    <n v="92.32"/>
    <s v="Insurance"/>
    <n v="10.37"/>
  </r>
  <r>
    <s v="PAY00079"/>
    <s v="CLM00101"/>
    <d v="2023-04-06T00:00:00"/>
    <x v="4"/>
    <n v="262.64"/>
    <s v="Insurance"/>
    <n v="14.33"/>
  </r>
  <r>
    <s v="PAY00080"/>
    <s v="CLM00102"/>
    <d v="2023-04-06T00:00:00"/>
    <x v="4"/>
    <n v="319.33"/>
    <s v="Patient"/>
    <n v="54.55"/>
  </r>
  <r>
    <s v="PAY00081"/>
    <s v="CLM00104"/>
    <d v="2023-11-03T00:00:00"/>
    <x v="12"/>
    <n v="958.42"/>
    <s v="Insurance"/>
    <n v="396.64"/>
  </r>
  <r>
    <s v="PAY00082"/>
    <s v="CLM00105"/>
    <d v="2024-01-22T00:00:00"/>
    <x v="15"/>
    <n v="2625.39"/>
    <s v="Insurance"/>
    <n v="1066.96"/>
  </r>
  <r>
    <s v="PAY00083"/>
    <s v="CLM00106"/>
    <d v="2024-08-21T00:00:00"/>
    <x v="21"/>
    <n v="307.19"/>
    <s v="Insurance"/>
    <n v="62.45"/>
  </r>
  <r>
    <s v="PAY00084"/>
    <s v="CLM00107"/>
    <d v="2024-10-07T00:00:00"/>
    <x v="1"/>
    <n v="33.520000000000003"/>
    <s v="Insurance"/>
    <n v="15.78"/>
  </r>
  <r>
    <s v="PAY00085"/>
    <s v="CLM00109"/>
    <d v="2024-10-26T00:00:00"/>
    <x v="1"/>
    <n v="425.5"/>
    <s v="Insurance"/>
    <n v="55.47"/>
  </r>
  <r>
    <s v="PAY00086"/>
    <s v="CLM00110"/>
    <d v="2023-11-21T00:00:00"/>
    <x v="12"/>
    <n v="3188.77"/>
    <s v="Insurance"/>
    <n v="1624.44"/>
  </r>
  <r>
    <s v="PAY00087"/>
    <s v="CLM00111"/>
    <d v="2024-10-13T00:00:00"/>
    <x v="1"/>
    <n v="264.92"/>
    <s v="Insurance"/>
    <n v="12.22"/>
  </r>
  <r>
    <s v="PAY00088"/>
    <s v="CLM00113"/>
    <d v="2024-10-01T00:00:00"/>
    <x v="1"/>
    <n v="420.43"/>
    <s v="Insurance"/>
    <n v="115.87"/>
  </r>
  <r>
    <s v="PAY00089"/>
    <s v="CLM00114"/>
    <d v="2023-08-01T00:00:00"/>
    <x v="5"/>
    <n v="1308.98"/>
    <s v="Insurance"/>
    <n v="81.040000000000006"/>
  </r>
  <r>
    <s v="PAY00090"/>
    <s v="CLM00115"/>
    <d v="2024-12-24T00:00:00"/>
    <x v="16"/>
    <n v="619.16"/>
    <s v="Insurance"/>
    <n v="57.18"/>
  </r>
  <r>
    <s v="PAY00091"/>
    <s v="CLM00117"/>
    <d v="2023-08-18T00:00:00"/>
    <x v="5"/>
    <n v="268.93"/>
    <s v="Insurance"/>
    <n v="23.67"/>
  </r>
  <r>
    <s v="PAY00092"/>
    <s v="CLM00118"/>
    <d v="2024-08-28T00:00:00"/>
    <x v="21"/>
    <n v="345.01"/>
    <s v="Insurance"/>
    <n v="135.62"/>
  </r>
  <r>
    <s v="PAY00093"/>
    <s v="CLM00119"/>
    <d v="2024-08-03T00:00:00"/>
    <x v="21"/>
    <n v="181.97"/>
    <s v="Insurance"/>
    <n v="39.39"/>
  </r>
  <r>
    <s v="PAY00094"/>
    <s v="CLM00120"/>
    <d v="2024-09-14T00:00:00"/>
    <x v="3"/>
    <n v="484.05"/>
    <s v="Insurance"/>
    <n v="110.76"/>
  </r>
  <r>
    <s v="PAY00095"/>
    <s v="CLM00121"/>
    <d v="2024-12-04T00:00:00"/>
    <x v="16"/>
    <n v="149.72999999999999"/>
    <s v="Insurance"/>
    <n v="54.93"/>
  </r>
  <r>
    <s v="PAY00096"/>
    <s v="CLM00122"/>
    <d v="2024-07-29T00:00:00"/>
    <x v="9"/>
    <n v="156.35"/>
    <s v="Insurance"/>
    <n v="20.399999999999999"/>
  </r>
  <r>
    <s v="PAY00097"/>
    <s v="CLM00123"/>
    <d v="2025-02-06T00:00:00"/>
    <x v="24"/>
    <n v="277.17"/>
    <s v="Insurance"/>
    <n v="89.8"/>
  </r>
  <r>
    <s v="PAY00098"/>
    <s v="CLM00125"/>
    <d v="2024-10-17T00:00:00"/>
    <x v="1"/>
    <n v="1332.22"/>
    <s v="Insurance"/>
    <n v="248.36"/>
  </r>
  <r>
    <s v="PAY00099"/>
    <s v="CLM00126"/>
    <d v="2024-03-30T00:00:00"/>
    <x v="2"/>
    <n v="100.04"/>
    <s v="Patient"/>
    <n v="8.64"/>
  </r>
  <r>
    <s v="PAY00100"/>
    <s v="CLM00127"/>
    <d v="2024-01-16T00:00:00"/>
    <x v="15"/>
    <n v="650.41"/>
    <s v="Patient"/>
    <n v="272.39999999999998"/>
  </r>
  <r>
    <s v="PAY00101"/>
    <s v="CLM00128"/>
    <d v="2023-09-05T00:00:00"/>
    <x v="10"/>
    <n v="1302.1500000000001"/>
    <s v="Insurance"/>
    <n v="152.03"/>
  </r>
  <r>
    <s v="PAY00102"/>
    <s v="CLM00131"/>
    <d v="2023-10-07T00:00:00"/>
    <x v="23"/>
    <n v="3160.11"/>
    <s v="Insurance"/>
    <n v="1373.38"/>
  </r>
  <r>
    <s v="PAY00103"/>
    <s v="CLM00135"/>
    <d v="2024-10-03T00:00:00"/>
    <x v="1"/>
    <n v="736.6"/>
    <s v="Insurance"/>
    <n v="181.26"/>
  </r>
  <r>
    <s v="PAY00104"/>
    <s v="CLM00137"/>
    <d v="2023-08-30T00:00:00"/>
    <x v="5"/>
    <n v="78.180000000000007"/>
    <s v="Insurance"/>
    <n v="23.35"/>
  </r>
  <r>
    <s v="PAY00105"/>
    <s v="CLM00138"/>
    <d v="2024-08-29T00:00:00"/>
    <x v="21"/>
    <n v="78.900000000000006"/>
    <s v="Insurance"/>
    <n v="30.87"/>
  </r>
  <r>
    <s v="PAY00106"/>
    <s v="CLM00140"/>
    <d v="2023-09-14T00:00:00"/>
    <x v="10"/>
    <n v="112.86"/>
    <s v="Insurance"/>
    <n v="50.72"/>
  </r>
  <r>
    <s v="PAY00107"/>
    <s v="CLM00141"/>
    <d v="2025-01-18T00:00:00"/>
    <x v="14"/>
    <n v="144.63"/>
    <s v="Insurance"/>
    <n v="27.98"/>
  </r>
  <r>
    <s v="PAY00108"/>
    <s v="CLM00144"/>
    <d v="2023-09-27T00:00:00"/>
    <x v="10"/>
    <n v="875.11"/>
    <s v="Insurance"/>
    <n v="48.16"/>
  </r>
  <r>
    <s v="PAY00109"/>
    <s v="CLM00146"/>
    <d v="2024-07-20T00:00:00"/>
    <x v="9"/>
    <n v="836.01"/>
    <s v="Insurance"/>
    <n v="68.77"/>
  </r>
  <r>
    <s v="PAY00110"/>
    <s v="CLM00147"/>
    <d v="2023-08-08T00:00:00"/>
    <x v="5"/>
    <n v="90.17"/>
    <s v="Insurance"/>
    <n v="47.42"/>
  </r>
  <r>
    <s v="PAY00111"/>
    <s v="CLM00149"/>
    <d v="2024-07-02T00:00:00"/>
    <x v="9"/>
    <n v="305.77"/>
    <s v="Patient"/>
    <n v="75.45"/>
  </r>
  <r>
    <s v="PAY00112"/>
    <s v="CLM00150"/>
    <d v="2023-04-11T00:00:00"/>
    <x v="4"/>
    <n v="290.83999999999997"/>
    <s v="Patient"/>
    <n v="68.37"/>
  </r>
  <r>
    <s v="PAY00113"/>
    <s v="CLM00151"/>
    <d v="2024-11-02T00:00:00"/>
    <x v="18"/>
    <n v="505.15"/>
    <s v="Insurance"/>
    <n v="82.28"/>
  </r>
  <r>
    <s v="PAY00114"/>
    <s v="CLM00152"/>
    <d v="2024-02-22T00:00:00"/>
    <x v="20"/>
    <n v="74.489999999999995"/>
    <s v="Insurance"/>
    <n v="28.57"/>
  </r>
  <r>
    <s v="PAY00115"/>
    <s v="CLM00153"/>
    <d v="2024-11-26T00:00:00"/>
    <x v="18"/>
    <n v="142.31"/>
    <s v="Insurance"/>
    <n v="18.59"/>
  </r>
  <r>
    <s v="PAY00116"/>
    <s v="CLM00156"/>
    <d v="2024-05-25T00:00:00"/>
    <x v="11"/>
    <n v="666.41"/>
    <s v="Insurance"/>
    <n v="245.08"/>
  </r>
  <r>
    <s v="PAY00117"/>
    <s v="CLM00157"/>
    <d v="2024-11-09T00:00:00"/>
    <x v="18"/>
    <n v="303.45"/>
    <s v="Insurance"/>
    <n v="94.14"/>
  </r>
  <r>
    <s v="PAY00118"/>
    <s v="CLM00158"/>
    <d v="2023-09-08T00:00:00"/>
    <x v="10"/>
    <n v="587.15"/>
    <s v="Insurance"/>
    <n v="254.08"/>
  </r>
  <r>
    <s v="PAY00119"/>
    <s v="CLM00159"/>
    <d v="2024-04-23T00:00:00"/>
    <x v="22"/>
    <n v="353.72"/>
    <s v="Insurance"/>
    <n v="66.95"/>
  </r>
  <r>
    <s v="PAY00120"/>
    <s v="CLM00161"/>
    <d v="2024-06-17T00:00:00"/>
    <x v="13"/>
    <n v="257.11"/>
    <s v="Patient"/>
    <n v="25.59"/>
  </r>
  <r>
    <s v="PAY00121"/>
    <s v="CLM00162"/>
    <d v="2023-07-11T00:00:00"/>
    <x v="17"/>
    <n v="398.44"/>
    <s v="Insurance"/>
    <n v="158.09"/>
  </r>
  <r>
    <s v="PAY00122"/>
    <s v="CLM00163"/>
    <d v="2023-12-28T00:00:00"/>
    <x v="19"/>
    <n v="103.64"/>
    <s v="Insurance"/>
    <n v="4.82"/>
  </r>
  <r>
    <s v="PAY00123"/>
    <s v="CLM00164"/>
    <d v="2023-07-23T00:00:00"/>
    <x v="17"/>
    <n v="1138.1099999999999"/>
    <s v="Insurance"/>
    <n v="111.06"/>
  </r>
  <r>
    <s v="PAY00124"/>
    <s v="CLM00166"/>
    <d v="2023-02-14T00:00:00"/>
    <x v="0"/>
    <n v="496.82"/>
    <s v="Insurance"/>
    <n v="61.92"/>
  </r>
  <r>
    <s v="PAY00125"/>
    <s v="CLM00167"/>
    <d v="2023-04-11T00:00:00"/>
    <x v="4"/>
    <n v="627.08000000000004"/>
    <s v="Insurance"/>
    <n v="108.51"/>
  </r>
  <r>
    <s v="PAY00126"/>
    <s v="CLM00168"/>
    <d v="2024-09-02T00:00:00"/>
    <x v="3"/>
    <n v="576.65"/>
    <s v="Insurance"/>
    <n v="192.29"/>
  </r>
  <r>
    <s v="PAY00127"/>
    <s v="CLM00169"/>
    <d v="2023-06-04T00:00:00"/>
    <x v="7"/>
    <n v="121.09"/>
    <s v="Insurance"/>
    <n v="28.37"/>
  </r>
  <r>
    <s v="PAY00128"/>
    <s v="CLM00170"/>
    <d v="2024-09-09T00:00:00"/>
    <x v="3"/>
    <n v="367.08"/>
    <s v="Insurance"/>
    <n v="16.66"/>
  </r>
  <r>
    <s v="PAY00129"/>
    <s v="CLM00171"/>
    <d v="2025-02-01T00:00:00"/>
    <x v="24"/>
    <n v="201.53"/>
    <s v="Insurance"/>
    <n v="26.59"/>
  </r>
  <r>
    <s v="PAY00130"/>
    <s v="CLM00174"/>
    <d v="2024-03-02T00:00:00"/>
    <x v="2"/>
    <n v="362.75"/>
    <s v="Insurance"/>
    <n v="71.790000000000006"/>
  </r>
  <r>
    <s v="PAY00131"/>
    <s v="CLM00175"/>
    <d v="2024-04-27T00:00:00"/>
    <x v="22"/>
    <n v="529.20000000000005"/>
    <s v="Insurance"/>
    <n v="70.91"/>
  </r>
  <r>
    <s v="PAY00132"/>
    <s v="CLM00176"/>
    <d v="2024-04-01T00:00:00"/>
    <x v="22"/>
    <n v="254.75"/>
    <s v="Insurance"/>
    <n v="59.75"/>
  </r>
  <r>
    <s v="PAY00133"/>
    <s v="CLM00179"/>
    <d v="2024-10-29T00:00:00"/>
    <x v="1"/>
    <n v="888.54"/>
    <s v="Insurance"/>
    <n v="58.33"/>
  </r>
  <r>
    <s v="PAY00134"/>
    <s v="CLM00180"/>
    <d v="2025-01-04T00:00:00"/>
    <x v="14"/>
    <n v="1150.9000000000001"/>
    <s v="Patient"/>
    <n v="372.02"/>
  </r>
  <r>
    <s v="PAY00135"/>
    <s v="CLM00181"/>
    <d v="2024-05-28T00:00:00"/>
    <x v="11"/>
    <n v="4243.16"/>
    <s v="Insurance"/>
    <n v="2239.7800000000002"/>
  </r>
  <r>
    <s v="PAY00136"/>
    <s v="CLM00182"/>
    <d v="2024-01-01T00:00:00"/>
    <x v="15"/>
    <n v="424.06"/>
    <s v="Insurance"/>
    <n v="221.03"/>
  </r>
  <r>
    <s v="PAY00137"/>
    <s v="CLM00183"/>
    <d v="2024-09-17T00:00:00"/>
    <x v="3"/>
    <n v="286.14999999999998"/>
    <s v="Insurance"/>
    <n v="144.44"/>
  </r>
  <r>
    <s v="PAY00138"/>
    <s v="CLM00184"/>
    <d v="2023-11-08T00:00:00"/>
    <x v="12"/>
    <n v="457.93"/>
    <s v="Insurance"/>
    <n v="27.37"/>
  </r>
  <r>
    <s v="PAY00139"/>
    <s v="CLM00185"/>
    <d v="2024-09-26T00:00:00"/>
    <x v="3"/>
    <n v="3554.36"/>
    <s v="Insurance"/>
    <n v="1234.0999999999999"/>
  </r>
  <r>
    <s v="PAY00140"/>
    <s v="CLM00186"/>
    <d v="2024-11-13T00:00:00"/>
    <x v="18"/>
    <n v="568.11"/>
    <s v="Patient"/>
    <n v="172.49"/>
  </r>
  <r>
    <s v="PAY00141"/>
    <s v="CLM00188"/>
    <d v="2024-09-13T00:00:00"/>
    <x v="3"/>
    <n v="610.94000000000005"/>
    <s v="Insurance"/>
    <n v="302.43"/>
  </r>
  <r>
    <s v="PAY00142"/>
    <s v="CLM00189"/>
    <d v="2024-01-07T00:00:00"/>
    <x v="15"/>
    <n v="206.63"/>
    <s v="Patient"/>
    <n v="13.44"/>
  </r>
  <r>
    <s v="PAY00143"/>
    <s v="CLM00190"/>
    <d v="2023-03-01T00:00:00"/>
    <x v="8"/>
    <n v="387.54"/>
    <s v="Insurance"/>
    <n v="81.17"/>
  </r>
  <r>
    <s v="PAY00144"/>
    <s v="CLM00191"/>
    <d v="2023-03-24T00:00:00"/>
    <x v="8"/>
    <n v="159.56"/>
    <s v="Insurance"/>
    <n v="25.35"/>
  </r>
  <r>
    <s v="PAY00145"/>
    <s v="CLM00192"/>
    <d v="2024-12-10T00:00:00"/>
    <x v="16"/>
    <n v="629.54"/>
    <s v="Insurance"/>
    <n v="102.37"/>
  </r>
  <r>
    <s v="PAY00146"/>
    <s v="CLM00193"/>
    <d v="2024-04-04T00:00:00"/>
    <x v="22"/>
    <n v="147.97999999999999"/>
    <s v="Insurance"/>
    <n v="22.17"/>
  </r>
  <r>
    <s v="PAY00147"/>
    <s v="CLM00194"/>
    <d v="2024-09-15T00:00:00"/>
    <x v="3"/>
    <n v="158.79"/>
    <s v="Insurance"/>
    <n v="89.16"/>
  </r>
  <r>
    <s v="PAY00148"/>
    <s v="CLM00195"/>
    <d v="2023-08-09T00:00:00"/>
    <x v="5"/>
    <n v="425.43"/>
    <s v="Insurance"/>
    <n v="103.4"/>
  </r>
  <r>
    <s v="PAY00149"/>
    <s v="CLM00196"/>
    <d v="2024-08-03T00:00:00"/>
    <x v="21"/>
    <n v="263.07"/>
    <s v="Insurance"/>
    <n v="125.08"/>
  </r>
  <r>
    <s v="PAY00150"/>
    <s v="CLM00197"/>
    <d v="2024-10-19T00:00:00"/>
    <x v="1"/>
    <n v="4331.71"/>
    <s v="Insurance"/>
    <n v="2483.31"/>
  </r>
  <r>
    <s v="PAY00151"/>
    <s v="CLM00200"/>
    <d v="2024-10-17T00:00:00"/>
    <x v="1"/>
    <n v="413.24"/>
    <s v="Insurance"/>
    <n v="62.28"/>
  </r>
  <r>
    <s v="PAY00152"/>
    <s v="CLM00201"/>
    <d v="2024-08-25T00:00:00"/>
    <x v="21"/>
    <n v="307.7"/>
    <s v="Insurance"/>
    <n v="13.25"/>
  </r>
  <r>
    <s v="PAY00153"/>
    <s v="CLM00202"/>
    <d v="2024-07-19T00:00:00"/>
    <x v="9"/>
    <n v="34.17"/>
    <s v="Insurance"/>
    <n v="20.34"/>
  </r>
  <r>
    <s v="PAY00154"/>
    <s v="CLM00203"/>
    <d v="2024-07-04T00:00:00"/>
    <x v="9"/>
    <n v="1177.26"/>
    <s v="Insurance"/>
    <n v="232.07"/>
  </r>
  <r>
    <s v="PAY00155"/>
    <s v="CLM00204"/>
    <d v="2023-03-12T00:00:00"/>
    <x v="8"/>
    <n v="238.53"/>
    <s v="Insurance"/>
    <n v="50.56"/>
  </r>
  <r>
    <s v="PAY00156"/>
    <s v="CLM00205"/>
    <d v="2023-06-12T00:00:00"/>
    <x v="7"/>
    <n v="3775.88"/>
    <s v="Insurance"/>
    <n v="874.46"/>
  </r>
  <r>
    <s v="PAY00157"/>
    <s v="CLM00206"/>
    <d v="2023-03-27T00:00:00"/>
    <x v="8"/>
    <n v="1520.84"/>
    <s v="Insurance"/>
    <n v="549.05999999999995"/>
  </r>
  <r>
    <s v="PAY00158"/>
    <s v="CLM00208"/>
    <d v="2023-06-01T00:00:00"/>
    <x v="7"/>
    <n v="371.1"/>
    <s v="Insurance"/>
    <n v="85.51"/>
  </r>
  <r>
    <s v="PAY00159"/>
    <s v="CLM00209"/>
    <d v="2023-06-20T00:00:00"/>
    <x v="7"/>
    <n v="644.77"/>
    <s v="Insurance"/>
    <n v="80.87"/>
  </r>
  <r>
    <s v="PAY00160"/>
    <s v="CLM00210"/>
    <d v="2024-04-21T00:00:00"/>
    <x v="22"/>
    <n v="1835.4"/>
    <s v="Insurance"/>
    <n v="464.75"/>
  </r>
  <r>
    <s v="PAY00161"/>
    <s v="CLM00212"/>
    <d v="2024-11-25T00:00:00"/>
    <x v="18"/>
    <n v="300.95999999999998"/>
    <s v="Insurance"/>
    <n v="59.08"/>
  </r>
  <r>
    <s v="PAY00162"/>
    <s v="CLM00213"/>
    <d v="2023-05-17T00:00:00"/>
    <x v="6"/>
    <n v="80.73"/>
    <s v="Insurance"/>
    <n v="12.79"/>
  </r>
  <r>
    <s v="PAY00163"/>
    <s v="CLM00215"/>
    <d v="2023-12-30T00:00:00"/>
    <x v="19"/>
    <n v="77.16"/>
    <s v="Insurance"/>
    <n v="36.07"/>
  </r>
  <r>
    <s v="PAY00164"/>
    <s v="CLM00218"/>
    <d v="2024-11-01T00:00:00"/>
    <x v="18"/>
    <n v="182"/>
    <s v="Insurance"/>
    <n v="8.99"/>
  </r>
  <r>
    <s v="PAY00165"/>
    <s v="CLM00220"/>
    <d v="2025-02-01T00:00:00"/>
    <x v="24"/>
    <n v="731.25"/>
    <s v="Insurance"/>
    <n v="437.11"/>
  </r>
  <r>
    <s v="PAY00166"/>
    <s v="CLM00221"/>
    <d v="2023-10-13T00:00:00"/>
    <x v="23"/>
    <n v="276.58"/>
    <s v="Insurance"/>
    <n v="41.24"/>
  </r>
  <r>
    <s v="PAY00167"/>
    <s v="CLM00222"/>
    <d v="2024-08-12T00:00:00"/>
    <x v="21"/>
    <n v="620.89"/>
    <s v="Insurance"/>
    <n v="228.81"/>
  </r>
  <r>
    <s v="PAY00168"/>
    <s v="CLM00223"/>
    <d v="2023-02-27T00:00:00"/>
    <x v="0"/>
    <n v="617.41999999999996"/>
    <s v="Insurance"/>
    <n v="112.89"/>
  </r>
  <r>
    <s v="PAY00169"/>
    <s v="CLM00224"/>
    <d v="2024-03-15T00:00:00"/>
    <x v="2"/>
    <n v="1640.68"/>
    <s v="Insurance"/>
    <n v="514.52"/>
  </r>
  <r>
    <s v="PAY00170"/>
    <s v="CLM00225"/>
    <d v="2023-11-14T00:00:00"/>
    <x v="12"/>
    <n v="3093.66"/>
    <s v="Insurance"/>
    <n v="1895.64"/>
  </r>
  <r>
    <s v="PAY00171"/>
    <s v="CLM00227"/>
    <d v="2023-07-04T00:00:00"/>
    <x v="17"/>
    <n v="322.89"/>
    <s v="Insurance"/>
    <n v="70.42"/>
  </r>
  <r>
    <s v="PAY00172"/>
    <s v="CLM00228"/>
    <d v="2024-02-08T00:00:00"/>
    <x v="20"/>
    <n v="118.38"/>
    <s v="Insurance"/>
    <n v="20.57"/>
  </r>
  <r>
    <s v="PAY00173"/>
    <s v="CLM00229"/>
    <d v="2023-04-15T00:00:00"/>
    <x v="4"/>
    <n v="778.03"/>
    <s v="Insurance"/>
    <n v="74.239999999999995"/>
  </r>
  <r>
    <s v="PAY00174"/>
    <s v="CLM00230"/>
    <d v="2023-09-09T00:00:00"/>
    <x v="10"/>
    <n v="308.82"/>
    <s v="Insurance"/>
    <n v="141.44999999999999"/>
  </r>
  <r>
    <s v="PAY00175"/>
    <s v="CLM00231"/>
    <d v="2024-11-18T00:00:00"/>
    <x v="18"/>
    <n v="904.32"/>
    <s v="Insurance"/>
    <n v="522.11"/>
  </r>
  <r>
    <s v="PAY00176"/>
    <s v="CLM00232"/>
    <d v="2024-02-07T00:00:00"/>
    <x v="20"/>
    <n v="324.77999999999997"/>
    <s v="Insurance"/>
    <n v="19.55"/>
  </r>
  <r>
    <s v="PAY00177"/>
    <s v="CLM00234"/>
    <d v="2023-04-06T00:00:00"/>
    <x v="4"/>
    <n v="106.55"/>
    <s v="Insurance"/>
    <n v="41.89"/>
  </r>
  <r>
    <s v="PAY00178"/>
    <s v="CLM00235"/>
    <d v="2025-02-18T00:00:00"/>
    <x v="24"/>
    <n v="552.41"/>
    <s v="Insurance"/>
    <n v="237.04"/>
  </r>
  <r>
    <s v="PAY00179"/>
    <s v="CLM00236"/>
    <d v="2024-10-26T00:00:00"/>
    <x v="1"/>
    <n v="773.64"/>
    <s v="Patient"/>
    <n v="72.989999999999995"/>
  </r>
  <r>
    <s v="PAY00180"/>
    <s v="CLM00237"/>
    <d v="2024-09-15T00:00:00"/>
    <x v="3"/>
    <n v="892.24"/>
    <s v="Patient"/>
    <n v="413.05"/>
  </r>
  <r>
    <s v="PAY00181"/>
    <s v="CLM00238"/>
    <d v="2024-02-19T00:00:00"/>
    <x v="20"/>
    <n v="965.14"/>
    <s v="Insurance"/>
    <n v="509.06"/>
  </r>
  <r>
    <s v="PAY00182"/>
    <s v="CLM00239"/>
    <d v="2024-12-27T00:00:00"/>
    <x v="16"/>
    <n v="824.95"/>
    <s v="Insurance"/>
    <n v="69.430000000000007"/>
  </r>
  <r>
    <s v="PAY00183"/>
    <s v="CLM00240"/>
    <d v="2023-04-09T00:00:00"/>
    <x v="4"/>
    <n v="375.29"/>
    <s v="Insurance"/>
    <n v="124.84"/>
  </r>
  <r>
    <s v="PAY00184"/>
    <s v="CLM00242"/>
    <d v="2024-04-24T00:00:00"/>
    <x v="22"/>
    <n v="623.20000000000005"/>
    <s v="Insurance"/>
    <n v="126.57"/>
  </r>
  <r>
    <s v="PAY00185"/>
    <s v="CLM00243"/>
    <d v="2023-04-02T00:00:00"/>
    <x v="4"/>
    <n v="164.08"/>
    <s v="Insurance"/>
    <n v="58.46"/>
  </r>
  <r>
    <s v="PAY00186"/>
    <s v="CLM00245"/>
    <d v="2023-03-31T00:00:00"/>
    <x v="8"/>
    <n v="770.77"/>
    <s v="Insurance"/>
    <n v="110.17"/>
  </r>
  <r>
    <s v="PAY00187"/>
    <s v="CLM00246"/>
    <d v="2023-04-24T00:00:00"/>
    <x v="4"/>
    <n v="2752.88"/>
    <s v="Insurance"/>
    <n v="1405.05"/>
  </r>
  <r>
    <s v="PAY00188"/>
    <s v="CLM00247"/>
    <d v="2024-07-27T00:00:00"/>
    <x v="9"/>
    <n v="42.3"/>
    <s v="Patient"/>
    <n v="11.09"/>
  </r>
  <r>
    <s v="PAY00189"/>
    <s v="CLM00248"/>
    <d v="2023-09-18T00:00:00"/>
    <x v="10"/>
    <n v="98.15"/>
    <s v="Insurance"/>
    <n v="25.28"/>
  </r>
  <r>
    <s v="PAY00190"/>
    <s v="CLM00250"/>
    <d v="2024-04-03T00:00:00"/>
    <x v="22"/>
    <n v="3276.97"/>
    <s v="Insurance"/>
    <n v="1044.42"/>
  </r>
  <r>
    <s v="PAY00191"/>
    <s v="CLM00255"/>
    <d v="2025-01-05T00:00:00"/>
    <x v="14"/>
    <n v="808.82"/>
    <s v="Insurance"/>
    <n v="83.15"/>
  </r>
  <r>
    <s v="PAY00192"/>
    <s v="CLM00256"/>
    <d v="2023-12-05T00:00:00"/>
    <x v="19"/>
    <n v="256.81"/>
    <s v="Insurance"/>
    <n v="149.97"/>
  </r>
  <r>
    <s v="PAY00193"/>
    <s v="CLM00257"/>
    <d v="2024-06-18T00:00:00"/>
    <x v="13"/>
    <n v="1336.09"/>
    <s v="Insurance"/>
    <n v="799.19"/>
  </r>
  <r>
    <s v="PAY00194"/>
    <s v="CLM00258"/>
    <d v="2023-11-04T00:00:00"/>
    <x v="12"/>
    <n v="293"/>
    <s v="Insurance"/>
    <n v="26.7"/>
  </r>
  <r>
    <s v="PAY00195"/>
    <s v="CLM00260"/>
    <d v="2023-02-10T00:00:00"/>
    <x v="0"/>
    <n v="124.21"/>
    <s v="Insurance"/>
    <n v="70.09"/>
  </r>
  <r>
    <s v="PAY00196"/>
    <s v="CLM00265"/>
    <d v="2024-05-15T00:00:00"/>
    <x v="11"/>
    <n v="496.2"/>
    <s v="Insurance"/>
    <n v="166.57"/>
  </r>
  <r>
    <s v="PAY00197"/>
    <s v="CLM00266"/>
    <d v="2024-09-12T00:00:00"/>
    <x v="3"/>
    <n v="206"/>
    <s v="Insurance"/>
    <n v="110.91"/>
  </r>
  <r>
    <s v="PAY00198"/>
    <s v="CLM00267"/>
    <d v="2023-03-26T00:00:00"/>
    <x v="8"/>
    <n v="1329.73"/>
    <s v="Patient"/>
    <n v="98.32"/>
  </r>
  <r>
    <s v="PAY00199"/>
    <s v="CLM00268"/>
    <d v="2024-08-25T00:00:00"/>
    <x v="21"/>
    <n v="458.71"/>
    <s v="Insurance"/>
    <n v="252.58"/>
  </r>
  <r>
    <s v="PAY00200"/>
    <s v="CLM00269"/>
    <d v="2024-08-17T00:00:00"/>
    <x v="21"/>
    <n v="670.66"/>
    <s v="Insurance"/>
    <n v="172.39"/>
  </r>
  <r>
    <s v="PAY00201"/>
    <s v="CLM00272"/>
    <d v="2023-09-05T00:00:00"/>
    <x v="10"/>
    <n v="137.88999999999999"/>
    <s v="Insurance"/>
    <n v="32.74"/>
  </r>
  <r>
    <s v="PAY00202"/>
    <s v="CLM00273"/>
    <d v="2024-08-08T00:00:00"/>
    <x v="21"/>
    <n v="926.69"/>
    <s v="Insurance"/>
    <n v="330.09"/>
  </r>
  <r>
    <s v="PAY00203"/>
    <s v="CLM00274"/>
    <d v="2024-05-09T00:00:00"/>
    <x v="11"/>
    <n v="161.4"/>
    <s v="Insurance"/>
    <n v="61.17"/>
  </r>
  <r>
    <s v="PAY00204"/>
    <s v="CLM00275"/>
    <d v="2024-05-07T00:00:00"/>
    <x v="11"/>
    <n v="1049.03"/>
    <s v="Patient"/>
    <n v="504.62"/>
  </r>
  <r>
    <s v="PAY00205"/>
    <s v="CLM00276"/>
    <d v="2023-10-10T00:00:00"/>
    <x v="23"/>
    <n v="465.53"/>
    <s v="Insurance"/>
    <n v="184.91"/>
  </r>
  <r>
    <s v="PAY00206"/>
    <s v="CLM00277"/>
    <d v="2024-02-25T00:00:00"/>
    <x v="20"/>
    <n v="1268.72"/>
    <s v="Insurance"/>
    <n v="420.17"/>
  </r>
  <r>
    <s v="PAY00207"/>
    <s v="CLM00278"/>
    <d v="2024-02-23T00:00:00"/>
    <x v="20"/>
    <n v="437.94"/>
    <s v="Insurance"/>
    <n v="133.54"/>
  </r>
  <r>
    <s v="PAY00208"/>
    <s v="CLM00279"/>
    <d v="2023-09-30T00:00:00"/>
    <x v="10"/>
    <n v="6117.58"/>
    <s v="Insurance"/>
    <n v="498.75"/>
  </r>
  <r>
    <s v="PAY00209"/>
    <s v="CLM00280"/>
    <d v="2023-11-10T00:00:00"/>
    <x v="12"/>
    <n v="546.72"/>
    <s v="Insurance"/>
    <n v="222.8"/>
  </r>
  <r>
    <s v="PAY00210"/>
    <s v="CLM00281"/>
    <d v="2024-10-29T00:00:00"/>
    <x v="1"/>
    <n v="1051.8399999999999"/>
    <s v="Insurance"/>
    <n v="389.83"/>
  </r>
  <r>
    <s v="PAY00211"/>
    <s v="CLM00282"/>
    <d v="2023-03-12T00:00:00"/>
    <x v="8"/>
    <n v="1686.71"/>
    <s v="Insurance"/>
    <n v="353.61"/>
  </r>
  <r>
    <s v="PAY00212"/>
    <s v="CLM00283"/>
    <d v="2024-05-22T00:00:00"/>
    <x v="11"/>
    <n v="1540.82"/>
    <s v="Patient"/>
    <n v="495.06"/>
  </r>
  <r>
    <s v="PAY00213"/>
    <s v="CLM00284"/>
    <d v="2023-09-17T00:00:00"/>
    <x v="10"/>
    <n v="368.88"/>
    <s v="Insurance"/>
    <n v="50.28"/>
  </r>
  <r>
    <s v="PAY00214"/>
    <s v="CLM00286"/>
    <d v="2024-07-10T00:00:00"/>
    <x v="9"/>
    <n v="481.19"/>
    <s v="Insurance"/>
    <n v="29.14"/>
  </r>
  <r>
    <s v="PAY00215"/>
    <s v="CLM00287"/>
    <d v="2024-09-17T00:00:00"/>
    <x v="3"/>
    <n v="3523.59"/>
    <s v="Insurance"/>
    <n v="1926.45"/>
  </r>
  <r>
    <s v="PAY00216"/>
    <s v="CLM00288"/>
    <d v="2024-12-26T00:00:00"/>
    <x v="16"/>
    <n v="508.74"/>
    <s v="Insurance"/>
    <n v="206.17"/>
  </r>
  <r>
    <s v="PAY00217"/>
    <s v="CLM00289"/>
    <d v="2024-09-23T00:00:00"/>
    <x v="3"/>
    <n v="4651.58"/>
    <s v="Insurance"/>
    <n v="1483"/>
  </r>
  <r>
    <s v="PAY00218"/>
    <s v="CLM00291"/>
    <d v="2023-11-01T00:00:00"/>
    <x v="12"/>
    <n v="117.46"/>
    <s v="Insurance"/>
    <n v="13.93"/>
  </r>
  <r>
    <s v="PAY00219"/>
    <s v="CLM00292"/>
    <d v="2024-01-19T00:00:00"/>
    <x v="15"/>
    <n v="2288.3000000000002"/>
    <s v="Insurance"/>
    <n v="420.41"/>
  </r>
  <r>
    <s v="PAY00220"/>
    <s v="CLM00293"/>
    <d v="2024-07-08T00:00:00"/>
    <x v="9"/>
    <n v="293.07"/>
    <s v="Insurance"/>
    <n v="20.5"/>
  </r>
  <r>
    <s v="PAY00221"/>
    <s v="CLM00294"/>
    <d v="2024-11-13T00:00:00"/>
    <x v="18"/>
    <n v="215.05"/>
    <s v="Insurance"/>
    <n v="89.28"/>
  </r>
  <r>
    <s v="PAY00222"/>
    <s v="CLM00295"/>
    <d v="2024-06-28T00:00:00"/>
    <x v="13"/>
    <n v="97.59"/>
    <s v="Insurance"/>
    <n v="35.89"/>
  </r>
  <r>
    <s v="PAY00223"/>
    <s v="CLM00296"/>
    <d v="2023-03-02T00:00:00"/>
    <x v="8"/>
    <n v="709.79"/>
    <s v="Insurance"/>
    <n v="209.45"/>
  </r>
  <r>
    <s v="PAY00224"/>
    <s v="CLM00297"/>
    <d v="2023-06-10T00:00:00"/>
    <x v="7"/>
    <n v="1991.75"/>
    <s v="Insurance"/>
    <n v="632.67999999999995"/>
  </r>
  <r>
    <s v="PAY00225"/>
    <s v="CLM00298"/>
    <d v="2024-08-30T00:00:00"/>
    <x v="21"/>
    <n v="3615.11"/>
    <s v="Insurance"/>
    <n v="754.36"/>
  </r>
  <r>
    <s v="PAY00226"/>
    <s v="CLM00299"/>
    <d v="2023-06-03T00:00:00"/>
    <x v="7"/>
    <n v="30.55"/>
    <s v="Insurance"/>
    <n v="14.84"/>
  </r>
  <r>
    <s v="PAY00227"/>
    <s v="CLM00300"/>
    <d v="2024-08-06T00:00:00"/>
    <x v="21"/>
    <n v="1152.43"/>
    <s v="Insurance"/>
    <n v="162.87"/>
  </r>
  <r>
    <s v="PAY00228"/>
    <s v="CLM00301"/>
    <d v="2024-11-20T00:00:00"/>
    <x v="18"/>
    <n v="89.63"/>
    <s v="Insurance"/>
    <n v="43.97"/>
  </r>
  <r>
    <s v="PAY00229"/>
    <s v="CLM00302"/>
    <d v="2023-11-05T00:00:00"/>
    <x v="12"/>
    <n v="1126.3499999999999"/>
    <s v="Insurance"/>
    <n v="535.73"/>
  </r>
  <r>
    <s v="PAY00230"/>
    <s v="CLM00303"/>
    <d v="2023-07-07T00:00:00"/>
    <x v="17"/>
    <n v="3215.84"/>
    <s v="Insurance"/>
    <n v="1783.34"/>
  </r>
  <r>
    <s v="PAY00231"/>
    <s v="CLM00304"/>
    <d v="2023-10-15T00:00:00"/>
    <x v="23"/>
    <n v="431.94"/>
    <s v="Insurance"/>
    <n v="109.11"/>
  </r>
  <r>
    <s v="PAY00232"/>
    <s v="CLM00305"/>
    <d v="2023-05-16T00:00:00"/>
    <x v="6"/>
    <n v="649.23"/>
    <s v="Insurance"/>
    <n v="232.35"/>
  </r>
  <r>
    <s v="PAY00233"/>
    <s v="CLM00306"/>
    <d v="2024-06-18T00:00:00"/>
    <x v="13"/>
    <n v="729.5"/>
    <s v="Insurance"/>
    <n v="98.26"/>
  </r>
  <r>
    <s v="PAY00234"/>
    <s v="CLM00307"/>
    <d v="2024-08-04T00:00:00"/>
    <x v="21"/>
    <n v="420.52"/>
    <s v="Insurance"/>
    <n v="197.05"/>
  </r>
  <r>
    <s v="PAY00235"/>
    <s v="CLM00308"/>
    <d v="2023-10-18T00:00:00"/>
    <x v="23"/>
    <n v="6462.83"/>
    <s v="Insurance"/>
    <n v="537.89"/>
  </r>
  <r>
    <s v="PAY00236"/>
    <s v="CLM00310"/>
    <d v="2024-07-31T00:00:00"/>
    <x v="9"/>
    <n v="344.95"/>
    <s v="Insurance"/>
    <n v="117.06"/>
  </r>
  <r>
    <s v="PAY00237"/>
    <s v="CLM00311"/>
    <d v="2023-06-27T00:00:00"/>
    <x v="7"/>
    <n v="36.99"/>
    <s v="Insurance"/>
    <n v="14.22"/>
  </r>
  <r>
    <s v="PAY00238"/>
    <s v="CLM00312"/>
    <d v="2024-01-22T00:00:00"/>
    <x v="15"/>
    <n v="168.54"/>
    <s v="Insurance"/>
    <n v="32.06"/>
  </r>
  <r>
    <s v="PAY00239"/>
    <s v="CLM00314"/>
    <d v="2024-11-30T00:00:00"/>
    <x v="18"/>
    <n v="259.26"/>
    <s v="Insurance"/>
    <n v="68.239999999999995"/>
  </r>
  <r>
    <s v="PAY00240"/>
    <s v="CLM00317"/>
    <d v="2023-09-19T00:00:00"/>
    <x v="10"/>
    <n v="439.59"/>
    <s v="Patient"/>
    <n v="257.63"/>
  </r>
  <r>
    <s v="PAY00241"/>
    <s v="CLM00319"/>
    <d v="2024-05-13T00:00:00"/>
    <x v="11"/>
    <n v="390.56"/>
    <s v="Patient"/>
    <n v="147.66999999999999"/>
  </r>
  <r>
    <s v="PAY00242"/>
    <s v="CLM00321"/>
    <d v="2023-10-21T00:00:00"/>
    <x v="23"/>
    <n v="1205.3800000000001"/>
    <s v="Insurance"/>
    <n v="227.61"/>
  </r>
  <r>
    <s v="PAY00243"/>
    <s v="CLM00322"/>
    <d v="2024-02-07T00:00:00"/>
    <x v="20"/>
    <n v="123.83"/>
    <s v="Insurance"/>
    <n v="47.99"/>
  </r>
  <r>
    <s v="PAY00244"/>
    <s v="CLM00323"/>
    <d v="2024-05-13T00:00:00"/>
    <x v="11"/>
    <n v="1101.07"/>
    <s v="Insurance"/>
    <n v="310.33"/>
  </r>
  <r>
    <s v="PAY00245"/>
    <s v="CLM00324"/>
    <d v="2024-03-31T00:00:00"/>
    <x v="2"/>
    <n v="1721.98"/>
    <s v="Insurance"/>
    <n v="528.27"/>
  </r>
  <r>
    <s v="PAY00246"/>
    <s v="CLM00325"/>
    <d v="2024-11-09T00:00:00"/>
    <x v="18"/>
    <n v="2935.65"/>
    <s v="Insurance"/>
    <n v="710.05"/>
  </r>
  <r>
    <s v="PAY00247"/>
    <s v="CLM00326"/>
    <d v="2023-09-05T00:00:00"/>
    <x v="10"/>
    <n v="2517.39"/>
    <s v="Insurance"/>
    <n v="1114.8699999999999"/>
  </r>
  <r>
    <s v="PAY00248"/>
    <s v="CLM00327"/>
    <d v="2024-08-15T00:00:00"/>
    <x v="21"/>
    <n v="946.75"/>
    <s v="Insurance"/>
    <n v="213.84"/>
  </r>
  <r>
    <s v="PAY00249"/>
    <s v="CLM00328"/>
    <d v="2024-01-25T00:00:00"/>
    <x v="15"/>
    <n v="507.45"/>
    <s v="Insurance"/>
    <n v="137.55000000000001"/>
  </r>
  <r>
    <s v="PAY00250"/>
    <s v="CLM00329"/>
    <d v="2024-02-12T00:00:00"/>
    <x v="20"/>
    <n v="352.77"/>
    <s v="Patient"/>
    <n v="145.30000000000001"/>
  </r>
  <r>
    <s v="PAY00251"/>
    <s v="CLM00330"/>
    <d v="2024-04-26T00:00:00"/>
    <x v="22"/>
    <n v="862.08"/>
    <s v="Insurance"/>
    <n v="134.9"/>
  </r>
  <r>
    <s v="PAY00252"/>
    <s v="CLM00331"/>
    <d v="2024-02-11T00:00:00"/>
    <x v="20"/>
    <n v="340.28"/>
    <s v="Insurance"/>
    <n v="43.08"/>
  </r>
  <r>
    <s v="PAY00253"/>
    <s v="CLM00332"/>
    <d v="2024-04-30T00:00:00"/>
    <x v="22"/>
    <n v="1528.81"/>
    <s v="Insurance"/>
    <n v="487.14"/>
  </r>
  <r>
    <s v="PAY00254"/>
    <s v="CLM00333"/>
    <d v="2025-01-20T00:00:00"/>
    <x v="14"/>
    <n v="426.49"/>
    <s v="Insurance"/>
    <n v="101.29"/>
  </r>
  <r>
    <s v="PAY00255"/>
    <s v="CLM00334"/>
    <d v="2025-01-23T00:00:00"/>
    <x v="14"/>
    <n v="280.76"/>
    <s v="Insurance"/>
    <n v="15.76"/>
  </r>
  <r>
    <s v="PAY00256"/>
    <s v="CLM00335"/>
    <d v="2023-09-28T00:00:00"/>
    <x v="10"/>
    <n v="606.24"/>
    <s v="Insurance"/>
    <n v="227.02"/>
  </r>
  <r>
    <s v="PAY00257"/>
    <s v="CLM00337"/>
    <d v="2024-09-17T00:00:00"/>
    <x v="3"/>
    <n v="2211.19"/>
    <s v="Patient"/>
    <n v="496.98"/>
  </r>
  <r>
    <s v="PAY00258"/>
    <s v="CLM00340"/>
    <d v="2023-07-21T00:00:00"/>
    <x v="17"/>
    <n v="82.95"/>
    <s v="Insurance"/>
    <n v="23.32"/>
  </r>
  <r>
    <s v="PAY00259"/>
    <s v="CLM00341"/>
    <d v="2023-09-14T00:00:00"/>
    <x v="10"/>
    <n v="387.67"/>
    <s v="Insurance"/>
    <n v="228.72"/>
  </r>
  <r>
    <s v="PAY00260"/>
    <s v="CLM00343"/>
    <d v="2024-04-07T00:00:00"/>
    <x v="22"/>
    <n v="989.02"/>
    <s v="Insurance"/>
    <n v="363.41"/>
  </r>
  <r>
    <s v="PAY00261"/>
    <s v="CLM00344"/>
    <d v="2024-12-21T00:00:00"/>
    <x v="16"/>
    <n v="3610.86"/>
    <s v="Insurance"/>
    <n v="161.31"/>
  </r>
  <r>
    <s v="PAY00262"/>
    <s v="CLM00345"/>
    <d v="2024-12-18T00:00:00"/>
    <x v="16"/>
    <n v="529.82000000000005"/>
    <s v="Insurance"/>
    <n v="283.93"/>
  </r>
  <r>
    <s v="PAY00263"/>
    <s v="CLM00346"/>
    <d v="2024-07-23T00:00:00"/>
    <x v="9"/>
    <n v="471.74"/>
    <s v="Patient"/>
    <n v="238.49"/>
  </r>
  <r>
    <s v="PAY00264"/>
    <s v="CLM00348"/>
    <d v="2023-12-24T00:00:00"/>
    <x v="19"/>
    <n v="319.97000000000003"/>
    <s v="Insurance"/>
    <n v="19.73"/>
  </r>
  <r>
    <s v="PAY00265"/>
    <s v="CLM00349"/>
    <d v="2023-12-30T00:00:00"/>
    <x v="19"/>
    <n v="3556.64"/>
    <s v="Insurance"/>
    <n v="1141.79"/>
  </r>
  <r>
    <s v="PAY00266"/>
    <s v="CLM00350"/>
    <d v="2023-12-03T00:00:00"/>
    <x v="19"/>
    <n v="768.14"/>
    <s v="Insurance"/>
    <n v="153.63"/>
  </r>
  <r>
    <s v="PAY00267"/>
    <s v="CLM00351"/>
    <d v="2023-04-06T00:00:00"/>
    <x v="4"/>
    <n v="126.85"/>
    <s v="Insurance"/>
    <n v="66.67"/>
  </r>
  <r>
    <s v="PAY00268"/>
    <s v="CLM00352"/>
    <d v="2023-11-04T00:00:00"/>
    <x v="12"/>
    <n v="168.66"/>
    <s v="Insurance"/>
    <n v="13.28"/>
  </r>
  <r>
    <s v="PAY00269"/>
    <s v="CLM00353"/>
    <d v="2023-08-08T00:00:00"/>
    <x v="5"/>
    <n v="341.95"/>
    <s v="Patient"/>
    <n v="24.64"/>
  </r>
  <r>
    <s v="PAY00270"/>
    <s v="CLM00355"/>
    <d v="2023-10-22T00:00:00"/>
    <x v="23"/>
    <n v="1028.04"/>
    <s v="Insurance"/>
    <n v="396.63"/>
  </r>
  <r>
    <s v="PAY00271"/>
    <s v="CLM00357"/>
    <d v="2024-11-07T00:00:00"/>
    <x v="18"/>
    <n v="665.67"/>
    <s v="Insurance"/>
    <n v="54.29"/>
  </r>
  <r>
    <s v="PAY00272"/>
    <s v="CLM00358"/>
    <d v="2023-11-11T00:00:00"/>
    <x v="12"/>
    <n v="549.78"/>
    <s v="Insurance"/>
    <n v="267.57"/>
  </r>
  <r>
    <s v="PAY00273"/>
    <s v="CLM00359"/>
    <d v="2025-01-31T00:00:00"/>
    <x v="14"/>
    <n v="173.08"/>
    <s v="Insurance"/>
    <n v="17.29"/>
  </r>
  <r>
    <s v="PAY00274"/>
    <s v="CLM00360"/>
    <d v="2023-10-20T00:00:00"/>
    <x v="23"/>
    <n v="179.24"/>
    <s v="Insurance"/>
    <n v="29.78"/>
  </r>
  <r>
    <s v="PAY00275"/>
    <s v="CLM00361"/>
    <d v="2023-04-08T00:00:00"/>
    <x v="4"/>
    <n v="5270.82"/>
    <s v="Insurance"/>
    <n v="598.19000000000005"/>
  </r>
  <r>
    <s v="PAY00276"/>
    <s v="CLM00362"/>
    <d v="2024-05-26T00:00:00"/>
    <x v="11"/>
    <n v="261.32"/>
    <s v="Insurance"/>
    <n v="74.33"/>
  </r>
  <r>
    <s v="PAY00277"/>
    <s v="CLM00363"/>
    <d v="2023-10-21T00:00:00"/>
    <x v="23"/>
    <n v="321.52"/>
    <s v="Insurance"/>
    <n v="64.63"/>
  </r>
  <r>
    <s v="PAY00278"/>
    <s v="CLM00364"/>
    <d v="2023-07-07T00:00:00"/>
    <x v="17"/>
    <n v="2261.37"/>
    <s v="Insurance"/>
    <n v="268.70999999999998"/>
  </r>
  <r>
    <s v="PAY00279"/>
    <s v="CLM00365"/>
    <d v="2023-03-10T00:00:00"/>
    <x v="8"/>
    <n v="48.68"/>
    <s v="Insurance"/>
    <n v="12.36"/>
  </r>
  <r>
    <s v="PAY00280"/>
    <s v="CLM00366"/>
    <d v="2024-05-13T00:00:00"/>
    <x v="11"/>
    <n v="703.25"/>
    <s v="Insurance"/>
    <n v="328.98"/>
  </r>
  <r>
    <s v="PAY00281"/>
    <s v="CLM00367"/>
    <d v="2023-08-13T00:00:00"/>
    <x v="5"/>
    <n v="448.85"/>
    <s v="Insurance"/>
    <n v="175.47"/>
  </r>
  <r>
    <s v="PAY00282"/>
    <s v="CLM00368"/>
    <d v="2024-11-22T00:00:00"/>
    <x v="18"/>
    <n v="718.87"/>
    <s v="Patient"/>
    <n v="111.55"/>
  </r>
  <r>
    <s v="PAY00283"/>
    <s v="CLM00369"/>
    <d v="2023-06-05T00:00:00"/>
    <x v="7"/>
    <n v="748.97"/>
    <s v="Insurance"/>
    <n v="331.57"/>
  </r>
  <r>
    <s v="PAY00284"/>
    <s v="CLM00370"/>
    <d v="2023-02-02T00:00:00"/>
    <x v="0"/>
    <n v="2254.88"/>
    <s v="Insurance"/>
    <n v="1042.32"/>
  </r>
  <r>
    <s v="PAY00285"/>
    <s v="CLM00373"/>
    <d v="2024-08-16T00:00:00"/>
    <x v="21"/>
    <n v="3241.21"/>
    <s v="Insurance"/>
    <n v="1152.44"/>
  </r>
  <r>
    <s v="PAY00286"/>
    <s v="CLM00374"/>
    <d v="2024-06-22T00:00:00"/>
    <x v="13"/>
    <n v="47.19"/>
    <s v="Insurance"/>
    <n v="10.6"/>
  </r>
  <r>
    <s v="PAY00287"/>
    <s v="CLM00375"/>
    <d v="2024-04-25T00:00:00"/>
    <x v="22"/>
    <n v="39.74"/>
    <s v="Insurance"/>
    <n v="14.39"/>
  </r>
  <r>
    <s v="PAY00288"/>
    <s v="CLM00377"/>
    <d v="2023-08-14T00:00:00"/>
    <x v="5"/>
    <n v="497.4"/>
    <s v="Patient"/>
    <n v="82.92"/>
  </r>
  <r>
    <s v="PAY00289"/>
    <s v="CLM00378"/>
    <d v="2024-07-17T00:00:00"/>
    <x v="9"/>
    <n v="341.67"/>
    <s v="Insurance"/>
    <n v="76.23"/>
  </r>
  <r>
    <s v="PAY00290"/>
    <s v="CLM00380"/>
    <d v="2023-12-23T00:00:00"/>
    <x v="19"/>
    <n v="651.33000000000004"/>
    <s v="Insurance"/>
    <n v="319.2"/>
  </r>
  <r>
    <s v="PAY00291"/>
    <s v="CLM00381"/>
    <d v="2024-11-14T00:00:00"/>
    <x v="18"/>
    <n v="2685.08"/>
    <s v="Insurance"/>
    <n v="608.92999999999995"/>
  </r>
  <r>
    <s v="PAY00292"/>
    <s v="CLM00382"/>
    <d v="2023-12-05T00:00:00"/>
    <x v="19"/>
    <n v="354.56"/>
    <s v="Insurance"/>
    <n v="81.739999999999995"/>
  </r>
  <r>
    <s v="PAY00293"/>
    <s v="CLM00383"/>
    <d v="2024-11-24T00:00:00"/>
    <x v="18"/>
    <n v="543.19000000000005"/>
    <s v="Insurance"/>
    <n v="235.44"/>
  </r>
  <r>
    <s v="PAY00294"/>
    <s v="CLM00384"/>
    <d v="2024-05-24T00:00:00"/>
    <x v="11"/>
    <n v="768.37"/>
    <s v="Insurance"/>
    <n v="45.34"/>
  </r>
  <r>
    <s v="PAY00295"/>
    <s v="CLM00385"/>
    <d v="2024-02-29T00:00:00"/>
    <x v="20"/>
    <n v="7316.51"/>
    <s v="Insurance"/>
    <n v="802.63"/>
  </r>
  <r>
    <s v="PAY00296"/>
    <s v="CLM00386"/>
    <d v="2024-08-22T00:00:00"/>
    <x v="21"/>
    <n v="364.39"/>
    <s v="Insurance"/>
    <n v="34.96"/>
  </r>
  <r>
    <s v="PAY00297"/>
    <s v="CLM00387"/>
    <d v="2024-02-19T00:00:00"/>
    <x v="20"/>
    <n v="797.98"/>
    <s v="Insurance"/>
    <n v="222.45"/>
  </r>
  <r>
    <s v="PAY00298"/>
    <s v="CLM00388"/>
    <d v="2023-09-11T00:00:00"/>
    <x v="10"/>
    <n v="658.44"/>
    <s v="Insurance"/>
    <n v="62.94"/>
  </r>
  <r>
    <s v="PAY00299"/>
    <s v="CLM00389"/>
    <d v="2023-08-29T00:00:00"/>
    <x v="5"/>
    <n v="294.64999999999998"/>
    <s v="Insurance"/>
    <n v="146.58000000000001"/>
  </r>
  <r>
    <s v="PAY00300"/>
    <s v="CLM00390"/>
    <d v="2023-06-03T00:00:00"/>
    <x v="7"/>
    <n v="343.01"/>
    <s v="Insurance"/>
    <n v="21.91"/>
  </r>
  <r>
    <s v="PAY00301"/>
    <s v="CLM00391"/>
    <d v="2024-10-13T00:00:00"/>
    <x v="1"/>
    <n v="380.52"/>
    <s v="Insurance"/>
    <n v="24.31"/>
  </r>
  <r>
    <s v="PAY00302"/>
    <s v="CLM00394"/>
    <d v="2024-02-28T00:00:00"/>
    <x v="20"/>
    <n v="37.92"/>
    <s v="Insurance"/>
    <n v="18.010000000000002"/>
  </r>
  <r>
    <s v="PAY00303"/>
    <s v="CLM00395"/>
    <d v="2024-04-22T00:00:00"/>
    <x v="22"/>
    <n v="145.81"/>
    <s v="Insurance"/>
    <n v="37.39"/>
  </r>
  <r>
    <s v="PAY00304"/>
    <s v="CLM00396"/>
    <d v="2024-09-26T00:00:00"/>
    <x v="3"/>
    <n v="105.66"/>
    <s v="Insurance"/>
    <n v="11.21"/>
  </r>
  <r>
    <s v="PAY00305"/>
    <s v="CLM00397"/>
    <d v="2024-01-05T00:00:00"/>
    <x v="15"/>
    <n v="84.56"/>
    <s v="Insurance"/>
    <n v="36.590000000000003"/>
  </r>
  <r>
    <s v="PAY00306"/>
    <s v="CLM00398"/>
    <d v="2024-08-25T00:00:00"/>
    <x v="21"/>
    <n v="1961.6"/>
    <s v="Insurance"/>
    <n v="156.11000000000001"/>
  </r>
  <r>
    <s v="PAY00307"/>
    <s v="CLM00400"/>
    <d v="2023-06-24T00:00:00"/>
    <x v="7"/>
    <n v="486.47"/>
    <s v="Insurance"/>
    <n v="84.99"/>
  </r>
  <r>
    <s v="PAY00308"/>
    <s v="CLM00405"/>
    <d v="2024-11-25T00:00:00"/>
    <x v="18"/>
    <n v="4164.8999999999996"/>
    <s v="Insurance"/>
    <n v="174.84"/>
  </r>
  <r>
    <s v="PAY00309"/>
    <s v="CLM00406"/>
    <d v="2024-07-25T00:00:00"/>
    <x v="9"/>
    <n v="283.27"/>
    <s v="Insurance"/>
    <n v="32.72"/>
  </r>
  <r>
    <s v="PAY00310"/>
    <s v="CLM00407"/>
    <d v="2024-05-31T00:00:00"/>
    <x v="11"/>
    <n v="1945.64"/>
    <s v="Insurance"/>
    <n v="697.36"/>
  </r>
  <r>
    <s v="PAY00311"/>
    <s v="CLM00408"/>
    <d v="2024-09-18T00:00:00"/>
    <x v="3"/>
    <n v="178.29"/>
    <s v="Insurance"/>
    <n v="19.36"/>
  </r>
  <r>
    <s v="PAY00312"/>
    <s v="CLM00409"/>
    <d v="2023-11-12T00:00:00"/>
    <x v="12"/>
    <n v="278.72000000000003"/>
    <s v="Insurance"/>
    <n v="151.04"/>
  </r>
  <r>
    <s v="PAY00313"/>
    <s v="CLM00410"/>
    <d v="2024-04-02T00:00:00"/>
    <x v="22"/>
    <n v="516.71"/>
    <s v="Insurance"/>
    <n v="168.32"/>
  </r>
  <r>
    <s v="PAY00314"/>
    <s v="CLM00411"/>
    <d v="2023-10-26T00:00:00"/>
    <x v="23"/>
    <n v="656.01"/>
    <s v="Insurance"/>
    <n v="99.78"/>
  </r>
  <r>
    <s v="PAY00315"/>
    <s v="CLM00412"/>
    <d v="2023-07-01T00:00:00"/>
    <x v="17"/>
    <n v="48.72"/>
    <s v="Insurance"/>
    <n v="7.67"/>
  </r>
  <r>
    <s v="PAY00316"/>
    <s v="CLM00413"/>
    <d v="2024-09-19T00:00:00"/>
    <x v="3"/>
    <n v="1865.15"/>
    <s v="Insurance"/>
    <n v="799.91"/>
  </r>
  <r>
    <s v="PAY00317"/>
    <s v="CLM00415"/>
    <d v="2024-12-03T00:00:00"/>
    <x v="16"/>
    <n v="1850.16"/>
    <s v="Insurance"/>
    <n v="337.58"/>
  </r>
  <r>
    <s v="PAY00318"/>
    <s v="CLM00416"/>
    <d v="2023-04-01T00:00:00"/>
    <x v="4"/>
    <n v="1181.5"/>
    <s v="Insurance"/>
    <n v="213.78"/>
  </r>
  <r>
    <s v="PAY00319"/>
    <s v="CLM00417"/>
    <d v="2024-10-06T00:00:00"/>
    <x v="1"/>
    <n v="1034.78"/>
    <s v="Insurance"/>
    <n v="464.64"/>
  </r>
  <r>
    <s v="PAY00320"/>
    <s v="CLM00418"/>
    <d v="2024-04-20T00:00:00"/>
    <x v="22"/>
    <n v="1632.24"/>
    <s v="Insurance"/>
    <n v="367.79"/>
  </r>
  <r>
    <s v="PAY00321"/>
    <s v="CLM00419"/>
    <d v="2023-11-04T00:00:00"/>
    <x v="12"/>
    <n v="658.43"/>
    <s v="Insurance"/>
    <n v="102.04"/>
  </r>
  <r>
    <s v="PAY00322"/>
    <s v="CLM00421"/>
    <d v="2023-11-06T00:00:00"/>
    <x v="12"/>
    <n v="672.31"/>
    <s v="Insurance"/>
    <n v="177.87"/>
  </r>
  <r>
    <s v="PAY00323"/>
    <s v="CLM00422"/>
    <d v="2023-07-17T00:00:00"/>
    <x v="17"/>
    <n v="267.88"/>
    <s v="Insurance"/>
    <n v="98.26"/>
  </r>
  <r>
    <s v="PAY00324"/>
    <s v="CLM00424"/>
    <d v="2025-01-21T00:00:00"/>
    <x v="14"/>
    <n v="1469.51"/>
    <s v="Patient"/>
    <n v="543.17999999999995"/>
  </r>
  <r>
    <s v="PAY00325"/>
    <s v="CLM00425"/>
    <d v="2023-04-12T00:00:00"/>
    <x v="4"/>
    <n v="358.76"/>
    <s v="Insurance"/>
    <n v="147.08000000000001"/>
  </r>
  <r>
    <s v="PAY00326"/>
    <s v="CLM00426"/>
    <d v="2023-04-08T00:00:00"/>
    <x v="4"/>
    <n v="3263.08"/>
    <s v="Insurance"/>
    <n v="552.03"/>
  </r>
  <r>
    <s v="PAY00327"/>
    <s v="CLM00427"/>
    <d v="2024-11-05T00:00:00"/>
    <x v="18"/>
    <n v="553.15"/>
    <s v="Insurance"/>
    <n v="187.11"/>
  </r>
  <r>
    <s v="PAY00328"/>
    <s v="CLM00428"/>
    <d v="2024-01-18T00:00:00"/>
    <x v="15"/>
    <n v="143.08000000000001"/>
    <s v="Insurance"/>
    <n v="39.880000000000003"/>
  </r>
  <r>
    <s v="PAY00329"/>
    <s v="CLM00429"/>
    <d v="2024-11-08T00:00:00"/>
    <x v="18"/>
    <n v="3941.27"/>
    <s v="Insurance"/>
    <n v="1325.75"/>
  </r>
  <r>
    <s v="PAY00330"/>
    <s v="CLM00430"/>
    <d v="2024-07-10T00:00:00"/>
    <x v="9"/>
    <n v="3505.56"/>
    <s v="Insurance"/>
    <n v="1454.15"/>
  </r>
  <r>
    <s v="PAY00331"/>
    <s v="CLM00431"/>
    <d v="2024-03-19T00:00:00"/>
    <x v="2"/>
    <n v="267.7"/>
    <s v="Insurance"/>
    <n v="19.600000000000001"/>
  </r>
  <r>
    <s v="PAY00332"/>
    <s v="CLM00434"/>
    <d v="2024-12-15T00:00:00"/>
    <x v="16"/>
    <n v="33.380000000000003"/>
    <s v="Insurance"/>
    <n v="15.12"/>
  </r>
  <r>
    <s v="PAY00333"/>
    <s v="CLM00435"/>
    <d v="2024-05-09T00:00:00"/>
    <x v="11"/>
    <n v="144.93"/>
    <s v="Insurance"/>
    <n v="37.200000000000003"/>
  </r>
  <r>
    <s v="PAY00334"/>
    <s v="CLM00436"/>
    <d v="2023-11-20T00:00:00"/>
    <x v="12"/>
    <n v="324.64"/>
    <s v="Insurance"/>
    <n v="173.57"/>
  </r>
  <r>
    <s v="PAY00335"/>
    <s v="CLM00437"/>
    <d v="2023-10-28T00:00:00"/>
    <x v="23"/>
    <n v="88.63"/>
    <s v="Insurance"/>
    <n v="22.4"/>
  </r>
  <r>
    <s v="PAY00336"/>
    <s v="CLM00438"/>
    <d v="2024-01-07T00:00:00"/>
    <x v="15"/>
    <n v="261.91000000000003"/>
    <s v="Insurance"/>
    <n v="23.57"/>
  </r>
  <r>
    <s v="PAY00337"/>
    <s v="CLM00439"/>
    <d v="2024-12-05T00:00:00"/>
    <x v="16"/>
    <n v="195.61"/>
    <s v="Insurance"/>
    <n v="82.08"/>
  </r>
  <r>
    <s v="PAY00338"/>
    <s v="CLM00440"/>
    <d v="2024-02-29T00:00:00"/>
    <x v="20"/>
    <n v="46.25"/>
    <s v="Insurance"/>
    <n v="12.97"/>
  </r>
  <r>
    <s v="PAY00339"/>
    <s v="CLM00441"/>
    <d v="2023-04-09T00:00:00"/>
    <x v="4"/>
    <n v="367.79"/>
    <s v="Insurance"/>
    <n v="155.71"/>
  </r>
  <r>
    <s v="PAY00340"/>
    <s v="CLM00442"/>
    <d v="2024-11-17T00:00:00"/>
    <x v="18"/>
    <n v="166.85"/>
    <s v="Insurance"/>
    <n v="42.61"/>
  </r>
  <r>
    <s v="PAY00341"/>
    <s v="CLM00444"/>
    <d v="2024-01-21T00:00:00"/>
    <x v="15"/>
    <n v="446.38"/>
    <s v="Insurance"/>
    <n v="64.05"/>
  </r>
  <r>
    <s v="PAY00342"/>
    <s v="CLM00445"/>
    <d v="2023-09-07T00:00:00"/>
    <x v="10"/>
    <n v="682.54"/>
    <s v="Insurance"/>
    <n v="171.02"/>
  </r>
  <r>
    <s v="PAY00343"/>
    <s v="CLM00447"/>
    <d v="2025-01-20T00:00:00"/>
    <x v="14"/>
    <n v="500.01"/>
    <s v="Insurance"/>
    <n v="185.06"/>
  </r>
  <r>
    <s v="PAY00344"/>
    <s v="CLM00448"/>
    <d v="2023-04-12T00:00:00"/>
    <x v="4"/>
    <n v="883.36"/>
    <s v="Insurance"/>
    <n v="122.4"/>
  </r>
  <r>
    <s v="PAY00345"/>
    <s v="CLM00449"/>
    <d v="2024-06-19T00:00:00"/>
    <x v="13"/>
    <n v="4042.69"/>
    <s v="Insurance"/>
    <n v="1818.6"/>
  </r>
  <r>
    <s v="PAY00346"/>
    <s v="CLM00450"/>
    <d v="2024-10-28T00:00:00"/>
    <x v="1"/>
    <n v="1677.13"/>
    <s v="Patient"/>
    <n v="258.10000000000002"/>
  </r>
  <r>
    <s v="PAY00347"/>
    <s v="CLM00451"/>
    <d v="2024-10-17T00:00:00"/>
    <x v="1"/>
    <n v="510.73"/>
    <s v="Insurance"/>
    <n v="258.12"/>
  </r>
  <r>
    <s v="PAY00348"/>
    <s v="CLM00452"/>
    <d v="2024-09-24T00:00:00"/>
    <x v="3"/>
    <n v="2658.12"/>
    <s v="Insurance"/>
    <n v="831.73"/>
  </r>
  <r>
    <s v="PAY00349"/>
    <s v="CLM00453"/>
    <d v="2024-11-06T00:00:00"/>
    <x v="18"/>
    <n v="83.67"/>
    <s v="Insurance"/>
    <n v="28.83"/>
  </r>
  <r>
    <s v="PAY00350"/>
    <s v="CLM00454"/>
    <d v="2023-06-12T00:00:00"/>
    <x v="7"/>
    <n v="270.58"/>
    <s v="Insurance"/>
    <n v="72.16"/>
  </r>
  <r>
    <s v="PAY00351"/>
    <s v="CLM00455"/>
    <d v="2023-10-10T00:00:00"/>
    <x v="23"/>
    <n v="403.03"/>
    <s v="Insurance"/>
    <n v="139.15"/>
  </r>
  <r>
    <s v="PAY00352"/>
    <s v="CLM00456"/>
    <d v="2024-12-29T00:00:00"/>
    <x v="16"/>
    <n v="836.67"/>
    <s v="Insurance"/>
    <n v="81.17"/>
  </r>
  <r>
    <s v="PAY00353"/>
    <s v="CLM00457"/>
    <d v="2023-02-20T00:00:00"/>
    <x v="0"/>
    <n v="222.59"/>
    <s v="Insurance"/>
    <n v="128.24"/>
  </r>
  <r>
    <s v="PAY00354"/>
    <s v="CLM00458"/>
    <d v="2024-05-13T00:00:00"/>
    <x v="11"/>
    <n v="966.07"/>
    <s v="Insurance"/>
    <n v="349.7"/>
  </r>
  <r>
    <s v="PAY00355"/>
    <s v="CLM00459"/>
    <d v="2023-04-24T00:00:00"/>
    <x v="4"/>
    <n v="2864.85"/>
    <s v="Insurance"/>
    <n v="1366.62"/>
  </r>
  <r>
    <s v="PAY00356"/>
    <s v="CLM00460"/>
    <d v="2024-04-02T00:00:00"/>
    <x v="22"/>
    <n v="104.64"/>
    <s v="Insurance"/>
    <n v="25.53"/>
  </r>
  <r>
    <s v="PAY00357"/>
    <s v="CLM00461"/>
    <d v="2024-12-11T00:00:00"/>
    <x v="16"/>
    <n v="1637.64"/>
    <s v="Insurance"/>
    <n v="308.47000000000003"/>
  </r>
  <r>
    <s v="PAY00358"/>
    <s v="CLM00462"/>
    <d v="2023-11-02T00:00:00"/>
    <x v="12"/>
    <n v="1464.25"/>
    <s v="Patient"/>
    <n v="78.91"/>
  </r>
  <r>
    <s v="PAY00359"/>
    <s v="CLM00464"/>
    <d v="2024-09-17T00:00:00"/>
    <x v="3"/>
    <n v="107.17"/>
    <s v="Patient"/>
    <n v="16.59"/>
  </r>
  <r>
    <s v="PAY00360"/>
    <s v="CLM00465"/>
    <d v="2024-06-07T00:00:00"/>
    <x v="13"/>
    <n v="1621.32"/>
    <s v="Insurance"/>
    <n v="415.32"/>
  </r>
  <r>
    <s v="PAY00361"/>
    <s v="CLM00466"/>
    <d v="2024-08-20T00:00:00"/>
    <x v="21"/>
    <n v="131.66999999999999"/>
    <s v="Insurance"/>
    <n v="33.700000000000003"/>
  </r>
  <r>
    <s v="PAY00362"/>
    <s v="CLM00467"/>
    <d v="2024-06-01T00:00:00"/>
    <x v="13"/>
    <n v="1080.1300000000001"/>
    <s v="Insurance"/>
    <n v="393.64"/>
  </r>
  <r>
    <s v="PAY00363"/>
    <s v="CLM00468"/>
    <d v="2024-12-12T00:00:00"/>
    <x v="16"/>
    <n v="560.80999999999995"/>
    <s v="Insurance"/>
    <n v="90.46"/>
  </r>
  <r>
    <s v="PAY00364"/>
    <s v="CLM00469"/>
    <d v="2024-01-08T00:00:00"/>
    <x v="15"/>
    <n v="401.14"/>
    <s v="Insurance"/>
    <n v="100.71"/>
  </r>
  <r>
    <s v="PAY00365"/>
    <s v="CLM00471"/>
    <d v="2023-11-12T00:00:00"/>
    <x v="12"/>
    <n v="333.17"/>
    <s v="Insurance"/>
    <n v="86.58"/>
  </r>
  <r>
    <s v="PAY00366"/>
    <s v="CLM00472"/>
    <d v="2024-11-30T00:00:00"/>
    <x v="18"/>
    <n v="618.41"/>
    <s v="Insurance"/>
    <n v="316.66000000000003"/>
  </r>
  <r>
    <s v="PAY00367"/>
    <s v="CLM00473"/>
    <d v="2023-08-09T00:00:00"/>
    <x v="5"/>
    <n v="46.87"/>
    <s v="Insurance"/>
    <n v="11.21"/>
  </r>
  <r>
    <s v="PAY00368"/>
    <s v="CLM00474"/>
    <d v="2024-04-12T00:00:00"/>
    <x v="22"/>
    <n v="1480.25"/>
    <s v="Insurance"/>
    <n v="336.12"/>
  </r>
  <r>
    <s v="PAY00369"/>
    <s v="CLM00475"/>
    <d v="2023-12-19T00:00:00"/>
    <x v="19"/>
    <n v="4350.95"/>
    <s v="Insurance"/>
    <n v="2195.7399999999998"/>
  </r>
  <r>
    <s v="PAY00370"/>
    <s v="CLM00478"/>
    <d v="2025-01-17T00:00:00"/>
    <x v="14"/>
    <n v="5409.99"/>
    <s v="Insurance"/>
    <n v="2444.52"/>
  </r>
  <r>
    <s v="PAY00371"/>
    <s v="CLM00479"/>
    <d v="2024-05-23T00:00:00"/>
    <x v="11"/>
    <n v="689.02"/>
    <s v="Insurance"/>
    <n v="53.35"/>
  </r>
  <r>
    <s v="PAY00372"/>
    <s v="CLM00481"/>
    <d v="2023-02-24T00:00:00"/>
    <x v="0"/>
    <n v="79.069999999999993"/>
    <s v="Insurance"/>
    <n v="43.69"/>
  </r>
  <r>
    <s v="PAY00373"/>
    <s v="CLM00482"/>
    <d v="2023-12-07T00:00:00"/>
    <x v="19"/>
    <n v="4063.82"/>
    <s v="Insurance"/>
    <n v="713.02"/>
  </r>
  <r>
    <s v="PAY00374"/>
    <s v="CLM00483"/>
    <d v="2024-01-24T00:00:00"/>
    <x v="15"/>
    <n v="1732.14"/>
    <s v="Insurance"/>
    <n v="148.94999999999999"/>
  </r>
  <r>
    <s v="PAY00375"/>
    <s v="CLM00485"/>
    <d v="2024-04-18T00:00:00"/>
    <x v="22"/>
    <n v="1321.41"/>
    <s v="Insurance"/>
    <n v="107.14"/>
  </r>
  <r>
    <s v="PAY00376"/>
    <s v="CLM00488"/>
    <d v="2024-09-02T00:00:00"/>
    <x v="3"/>
    <n v="298.61"/>
    <s v="Insurance"/>
    <n v="50.22"/>
  </r>
  <r>
    <s v="PAY00377"/>
    <s v="CLM00489"/>
    <d v="2023-08-14T00:00:00"/>
    <x v="5"/>
    <n v="6756.48"/>
    <s v="Insurance"/>
    <n v="560.26"/>
  </r>
  <r>
    <s v="PAY00378"/>
    <s v="CLM00491"/>
    <d v="2024-07-11T00:00:00"/>
    <x v="9"/>
    <n v="495.94"/>
    <s v="Insurance"/>
    <n v="54.38"/>
  </r>
  <r>
    <s v="PAY00379"/>
    <s v="CLM00492"/>
    <d v="2024-10-31T00:00:00"/>
    <x v="1"/>
    <n v="82.14"/>
    <s v="Insurance"/>
    <n v="27.16"/>
  </r>
  <r>
    <s v="PAY00380"/>
    <s v="CLM00493"/>
    <d v="2023-03-14T00:00:00"/>
    <x v="8"/>
    <n v="83.87"/>
    <s v="Insurance"/>
    <n v="25.53"/>
  </r>
  <r>
    <s v="PAY00381"/>
    <s v="CLM00494"/>
    <d v="2024-10-21T00:00:00"/>
    <x v="1"/>
    <n v="166.6"/>
    <s v="Insurance"/>
    <n v="43.41"/>
  </r>
  <r>
    <s v="PAY00382"/>
    <s v="CLM00495"/>
    <d v="2024-03-29T00:00:00"/>
    <x v="2"/>
    <n v="1658.39"/>
    <s v="Insurance"/>
    <n v="300.16000000000003"/>
  </r>
  <r>
    <s v="PAY00383"/>
    <s v="CLM00496"/>
    <d v="2023-09-13T00:00:00"/>
    <x v="10"/>
    <n v="4853.03"/>
    <s v="Insurance"/>
    <n v="1118.3399999999999"/>
  </r>
  <r>
    <s v="PAY00384"/>
    <s v="CLM00497"/>
    <d v="2024-07-29T00:00:00"/>
    <x v="9"/>
    <n v="4723.8999999999996"/>
    <s v="Insurance"/>
    <n v="1202.1500000000001"/>
  </r>
  <r>
    <s v="PAY00385"/>
    <s v="CLM00499"/>
    <d v="2024-07-03T00:00:00"/>
    <x v="9"/>
    <n v="463.16"/>
    <s v="Insurance"/>
    <n v="224.92"/>
  </r>
  <r>
    <s v="PAY00386"/>
    <s v="CLM00500"/>
    <d v="2024-12-13T00:00:00"/>
    <x v="16"/>
    <n v="89.57"/>
    <s v="Patient"/>
    <n v="37.22"/>
  </r>
  <r>
    <s v="PAY00387"/>
    <s v="CLM00501"/>
    <d v="2023-07-27T00:00:00"/>
    <x v="17"/>
    <n v="651.05999999999995"/>
    <s v="Insurance"/>
    <n v="89.21"/>
  </r>
  <r>
    <s v="PAY00388"/>
    <s v="CLM00502"/>
    <d v="2023-05-31T00:00:00"/>
    <x v="6"/>
    <n v="175.94"/>
    <s v="Insurance"/>
    <n v="70.849999999999994"/>
  </r>
  <r>
    <s v="PAY00389"/>
    <s v="CLM00503"/>
    <d v="2024-05-02T00:00:00"/>
    <x v="11"/>
    <n v="89.64"/>
    <s v="Insurance"/>
    <n v="8.17"/>
  </r>
  <r>
    <s v="PAY00390"/>
    <s v="CLM00504"/>
    <d v="2024-01-14T00:00:00"/>
    <x v="15"/>
    <n v="1822.16"/>
    <s v="Insurance"/>
    <n v="378.89"/>
  </r>
  <r>
    <s v="PAY00391"/>
    <s v="CLM00505"/>
    <d v="2024-08-10T00:00:00"/>
    <x v="21"/>
    <n v="5672.51"/>
    <s v="Insurance"/>
    <n v="1146.4000000000001"/>
  </r>
  <r>
    <s v="PAY00392"/>
    <s v="CLM00506"/>
    <d v="2024-03-28T00:00:00"/>
    <x v="2"/>
    <n v="578.59"/>
    <s v="Insurance"/>
    <n v="106.12"/>
  </r>
  <r>
    <s v="PAY00393"/>
    <s v="CLM00508"/>
    <d v="2024-08-28T00:00:00"/>
    <x v="21"/>
    <n v="305.43"/>
    <s v="Insurance"/>
    <n v="62.31"/>
  </r>
  <r>
    <s v="PAY00394"/>
    <s v="CLM00511"/>
    <d v="2023-07-08T00:00:00"/>
    <x v="17"/>
    <n v="1918.45"/>
    <s v="Insurance"/>
    <n v="756.9"/>
  </r>
  <r>
    <s v="PAY00395"/>
    <s v="CLM00514"/>
    <d v="2024-09-02T00:00:00"/>
    <x v="3"/>
    <n v="2629.01"/>
    <s v="Insurance"/>
    <n v="1041.0899999999999"/>
  </r>
  <r>
    <s v="PAY00396"/>
    <s v="CLM00515"/>
    <d v="2023-04-13T00:00:00"/>
    <x v="4"/>
    <n v="640.04"/>
    <s v="Insurance"/>
    <n v="34.69"/>
  </r>
  <r>
    <s v="PAY00397"/>
    <s v="CLM00516"/>
    <d v="2023-10-12T00:00:00"/>
    <x v="23"/>
    <n v="907.47"/>
    <s v="Insurance"/>
    <n v="73.38"/>
  </r>
  <r>
    <s v="PAY00398"/>
    <s v="CLM00517"/>
    <d v="2023-08-24T00:00:00"/>
    <x v="5"/>
    <n v="1505.21"/>
    <s v="Insurance"/>
    <n v="880.93"/>
  </r>
  <r>
    <s v="PAY00399"/>
    <s v="CLM00518"/>
    <d v="2024-11-21T00:00:00"/>
    <x v="18"/>
    <n v="157.5"/>
    <s v="Patient"/>
    <n v="13.39"/>
  </r>
  <r>
    <s v="PAY00400"/>
    <s v="CLM00519"/>
    <d v="2025-02-04T00:00:00"/>
    <x v="24"/>
    <n v="2834.86"/>
    <s v="Insurance"/>
    <n v="316.11"/>
  </r>
  <r>
    <s v="PAY00401"/>
    <s v="CLM00520"/>
    <d v="2024-08-04T00:00:00"/>
    <x v="21"/>
    <n v="54.59"/>
    <s v="Insurance"/>
    <n v="4.59"/>
  </r>
  <r>
    <s v="PAY00402"/>
    <s v="CLM00522"/>
    <d v="2025-01-27T00:00:00"/>
    <x v="14"/>
    <n v="102.92"/>
    <s v="Insurance"/>
    <n v="31.7"/>
  </r>
  <r>
    <s v="PAY00403"/>
    <s v="CLM00523"/>
    <d v="2023-11-09T00:00:00"/>
    <x v="12"/>
    <n v="58.13"/>
    <s v="Insurance"/>
    <n v="2.88"/>
  </r>
  <r>
    <s v="PAY00404"/>
    <s v="CLM00524"/>
    <d v="2024-11-03T00:00:00"/>
    <x v="18"/>
    <n v="143.29"/>
    <s v="Insurance"/>
    <n v="51.32"/>
  </r>
  <r>
    <s v="PAY00405"/>
    <s v="CLM00525"/>
    <d v="2024-05-11T00:00:00"/>
    <x v="11"/>
    <n v="1377.83"/>
    <s v="Insurance"/>
    <n v="661.29"/>
  </r>
  <r>
    <s v="PAY00406"/>
    <s v="CLM00526"/>
    <d v="2024-02-21T00:00:00"/>
    <x v="20"/>
    <n v="35.9"/>
    <s v="Insurance"/>
    <n v="10.48"/>
  </r>
  <r>
    <s v="PAY00407"/>
    <s v="CLM00527"/>
    <d v="2024-01-25T00:00:00"/>
    <x v="15"/>
    <n v="3003.24"/>
    <s v="Insurance"/>
    <n v="886.36"/>
  </r>
  <r>
    <s v="PAY00408"/>
    <s v="CLM00528"/>
    <d v="2024-04-23T00:00:00"/>
    <x v="22"/>
    <n v="498.57"/>
    <s v="Insurance"/>
    <n v="75.86"/>
  </r>
  <r>
    <s v="PAY00409"/>
    <s v="CLM00531"/>
    <d v="2024-10-14T00:00:00"/>
    <x v="1"/>
    <n v="550.5"/>
    <s v="Insurance"/>
    <n v="33.700000000000003"/>
  </r>
  <r>
    <s v="PAY00410"/>
    <s v="CLM00532"/>
    <d v="2024-04-07T00:00:00"/>
    <x v="22"/>
    <n v="146.69"/>
    <s v="Insurance"/>
    <n v="75.27"/>
  </r>
  <r>
    <s v="PAY00411"/>
    <s v="CLM00533"/>
    <d v="2023-06-29T00:00:00"/>
    <x v="7"/>
    <n v="94.94"/>
    <s v="Insurance"/>
    <n v="20.25"/>
  </r>
  <r>
    <s v="PAY00412"/>
    <s v="CLM00534"/>
    <d v="2023-10-27T00:00:00"/>
    <x v="23"/>
    <n v="925.45"/>
    <s v="Insurance"/>
    <n v="118.17"/>
  </r>
  <r>
    <s v="PAY00413"/>
    <s v="CLM00535"/>
    <d v="2024-04-04T00:00:00"/>
    <x v="22"/>
    <n v="3346.65"/>
    <s v="Insurance"/>
    <n v="174.08"/>
  </r>
  <r>
    <s v="PAY00414"/>
    <s v="CLM00537"/>
    <d v="2024-11-09T00:00:00"/>
    <x v="18"/>
    <n v="3653.66"/>
    <s v="Insurance"/>
    <n v="359.02"/>
  </r>
  <r>
    <s v="PAY00415"/>
    <s v="CLM00538"/>
    <d v="2024-12-18T00:00:00"/>
    <x v="16"/>
    <n v="6840.51"/>
    <s v="Insurance"/>
    <n v="574.96"/>
  </r>
  <r>
    <s v="PAY00416"/>
    <s v="CLM00539"/>
    <d v="2023-03-17T00:00:00"/>
    <x v="8"/>
    <n v="166.39"/>
    <s v="Insurance"/>
    <n v="22.58"/>
  </r>
  <r>
    <s v="PAY00417"/>
    <s v="CLM00541"/>
    <d v="2023-07-30T00:00:00"/>
    <x v="17"/>
    <n v="961.22"/>
    <s v="Insurance"/>
    <n v="419.91"/>
  </r>
  <r>
    <s v="PAY00418"/>
    <s v="CLM00542"/>
    <d v="2023-06-30T00:00:00"/>
    <x v="7"/>
    <n v="186.27"/>
    <s v="Insurance"/>
    <n v="46.12"/>
  </r>
  <r>
    <s v="PAY00419"/>
    <s v="CLM00543"/>
    <d v="2024-08-04T00:00:00"/>
    <x v="21"/>
    <n v="146.47"/>
    <s v="Insurance"/>
    <n v="32.04"/>
  </r>
  <r>
    <s v="PAY00420"/>
    <s v="CLM00545"/>
    <d v="2024-09-26T00:00:00"/>
    <x v="3"/>
    <n v="378.71"/>
    <s v="Patient"/>
    <n v="45.54"/>
  </r>
  <r>
    <s v="PAY00421"/>
    <s v="CLM00546"/>
    <d v="2023-12-23T00:00:00"/>
    <x v="19"/>
    <n v="117.92"/>
    <s v="Insurance"/>
    <n v="56.46"/>
  </r>
  <r>
    <s v="PAY00422"/>
    <s v="CLM00548"/>
    <d v="2024-01-03T00:00:00"/>
    <x v="15"/>
    <n v="1553.33"/>
    <s v="Insurance"/>
    <n v="121.93"/>
  </r>
  <r>
    <s v="PAY00423"/>
    <s v="CLM00552"/>
    <d v="2023-09-29T00:00:00"/>
    <x v="10"/>
    <n v="612.71"/>
    <s v="Insurance"/>
    <n v="58.48"/>
  </r>
  <r>
    <s v="PAY00424"/>
    <s v="CLM00553"/>
    <d v="2024-01-05T00:00:00"/>
    <x v="15"/>
    <n v="1132.03"/>
    <s v="Insurance"/>
    <n v="66.64"/>
  </r>
  <r>
    <s v="PAY00425"/>
    <s v="CLM00554"/>
    <d v="2024-07-20T00:00:00"/>
    <x v="9"/>
    <n v="482.01"/>
    <s v="Insurance"/>
    <n v="292.22000000000003"/>
  </r>
  <r>
    <s v="PAY00426"/>
    <s v="CLM00556"/>
    <d v="2024-07-08T00:00:00"/>
    <x v="9"/>
    <n v="127.5"/>
    <s v="Insurance"/>
    <n v="10.7"/>
  </r>
  <r>
    <s v="PAY00427"/>
    <s v="CLM00558"/>
    <d v="2023-08-02T00:00:00"/>
    <x v="5"/>
    <n v="579.84"/>
    <s v="Insurance"/>
    <n v="51.6"/>
  </r>
  <r>
    <s v="PAY00428"/>
    <s v="CLM00559"/>
    <d v="2023-03-24T00:00:00"/>
    <x v="8"/>
    <n v="900.48"/>
    <s v="Insurance"/>
    <n v="481.5"/>
  </r>
  <r>
    <s v="PAY00429"/>
    <s v="CLM00560"/>
    <d v="2024-07-26T00:00:00"/>
    <x v="9"/>
    <n v="718.84"/>
    <s v="Insurance"/>
    <n v="41.33"/>
  </r>
  <r>
    <s v="PAY00430"/>
    <s v="CLM00562"/>
    <d v="2025-01-22T00:00:00"/>
    <x v="14"/>
    <n v="727.02"/>
    <s v="Insurance"/>
    <n v="363.79"/>
  </r>
  <r>
    <s v="PAY00431"/>
    <s v="CLM00563"/>
    <d v="2024-05-19T00:00:00"/>
    <x v="11"/>
    <n v="502.11"/>
    <s v="Insurance"/>
    <n v="109.51"/>
  </r>
  <r>
    <s v="PAY00432"/>
    <s v="CLM00565"/>
    <d v="2023-12-26T00:00:00"/>
    <x v="19"/>
    <n v="448.68"/>
    <s v="Insurance"/>
    <n v="36.94"/>
  </r>
  <r>
    <s v="PAY00433"/>
    <s v="CLM00566"/>
    <d v="2023-05-15T00:00:00"/>
    <x v="6"/>
    <n v="43.14"/>
    <s v="Patient"/>
    <n v="10.93"/>
  </r>
  <r>
    <s v="PAY00434"/>
    <s v="CLM00567"/>
    <d v="2024-08-14T00:00:00"/>
    <x v="21"/>
    <n v="731.56"/>
    <s v="Insurance"/>
    <n v="115.98"/>
  </r>
  <r>
    <s v="PAY00435"/>
    <s v="CLM00568"/>
    <d v="2024-07-26T00:00:00"/>
    <x v="9"/>
    <n v="414.35"/>
    <s v="Insurance"/>
    <n v="86.58"/>
  </r>
  <r>
    <s v="PAY00436"/>
    <s v="CLM00569"/>
    <d v="2023-02-05T00:00:00"/>
    <x v="0"/>
    <n v="2215.9899999999998"/>
    <s v="Insurance"/>
    <n v="441"/>
  </r>
  <r>
    <s v="PAY00437"/>
    <s v="CLM00571"/>
    <d v="2024-10-15T00:00:00"/>
    <x v="1"/>
    <n v="144.37"/>
    <s v="Insurance"/>
    <n v="77.150000000000006"/>
  </r>
  <r>
    <s v="PAY00438"/>
    <s v="CLM00572"/>
    <d v="2023-03-09T00:00:00"/>
    <x v="8"/>
    <n v="362.33"/>
    <s v="Insurance"/>
    <n v="119.72"/>
  </r>
  <r>
    <s v="PAY00439"/>
    <s v="CLM00573"/>
    <d v="2024-01-09T00:00:00"/>
    <x v="15"/>
    <n v="1748.47"/>
    <s v="Insurance"/>
    <n v="494.82"/>
  </r>
  <r>
    <s v="PAY00440"/>
    <s v="CLM00574"/>
    <d v="2024-09-12T00:00:00"/>
    <x v="3"/>
    <n v="964.57"/>
    <s v="Insurance"/>
    <n v="503.6"/>
  </r>
  <r>
    <s v="PAY00441"/>
    <s v="CLM00575"/>
    <d v="2024-04-27T00:00:00"/>
    <x v="22"/>
    <n v="283.93"/>
    <s v="Insurance"/>
    <n v="34.06"/>
  </r>
  <r>
    <s v="PAY00442"/>
    <s v="CLM00576"/>
    <d v="2023-05-23T00:00:00"/>
    <x v="6"/>
    <n v="711.33"/>
    <s v="Insurance"/>
    <n v="171.47"/>
  </r>
  <r>
    <s v="PAY00443"/>
    <s v="CLM00577"/>
    <d v="2023-11-04T00:00:00"/>
    <x v="12"/>
    <n v="722.65"/>
    <s v="Insurance"/>
    <n v="260.26"/>
  </r>
  <r>
    <s v="PAY00444"/>
    <s v="CLM00578"/>
    <d v="2024-04-30T00:00:00"/>
    <x v="22"/>
    <n v="110.31"/>
    <s v="Insurance"/>
    <n v="65.510000000000005"/>
  </r>
  <r>
    <s v="PAY00445"/>
    <s v="CLM00579"/>
    <d v="2023-10-08T00:00:00"/>
    <x v="23"/>
    <n v="385.78"/>
    <s v="Insurance"/>
    <n v="191.78"/>
  </r>
  <r>
    <s v="PAY00446"/>
    <s v="CLM00580"/>
    <d v="2023-11-28T00:00:00"/>
    <x v="12"/>
    <n v="283.64"/>
    <s v="Insurance"/>
    <n v="54.85"/>
  </r>
  <r>
    <s v="PAY00447"/>
    <s v="CLM00581"/>
    <d v="2024-10-13T00:00:00"/>
    <x v="1"/>
    <n v="144.05000000000001"/>
    <s v="Insurance"/>
    <n v="63.76"/>
  </r>
  <r>
    <s v="PAY00448"/>
    <s v="CLM00582"/>
    <d v="2023-05-08T00:00:00"/>
    <x v="6"/>
    <n v="38.549999999999997"/>
    <s v="Insurance"/>
    <n v="6.46"/>
  </r>
  <r>
    <s v="PAY00449"/>
    <s v="CLM00584"/>
    <d v="2024-04-11T00:00:00"/>
    <x v="22"/>
    <n v="3119.69"/>
    <s v="Insurance"/>
    <n v="231.85"/>
  </r>
  <r>
    <s v="PAY00450"/>
    <s v="CLM00585"/>
    <d v="2024-06-19T00:00:00"/>
    <x v="13"/>
    <n v="288.64999999999998"/>
    <s v="Insurance"/>
    <n v="54.96"/>
  </r>
  <r>
    <s v="PAY00451"/>
    <s v="CLM00588"/>
    <d v="2023-12-25T00:00:00"/>
    <x v="19"/>
    <n v="520.03"/>
    <s v="Insurance"/>
    <n v="234.42"/>
  </r>
  <r>
    <s v="PAY00452"/>
    <s v="CLM00589"/>
    <d v="2024-11-14T00:00:00"/>
    <x v="18"/>
    <n v="1338.51"/>
    <s v="Insurance"/>
    <n v="404.8"/>
  </r>
  <r>
    <s v="PAY00453"/>
    <s v="CLM00590"/>
    <d v="2024-04-12T00:00:00"/>
    <x v="22"/>
    <n v="531.58000000000004"/>
    <s v="Insurance"/>
    <n v="24.1"/>
  </r>
  <r>
    <s v="PAY00454"/>
    <s v="CLM00591"/>
    <d v="2025-02-01T00:00:00"/>
    <x v="24"/>
    <n v="65.47"/>
    <s v="Insurance"/>
    <n v="28.57"/>
  </r>
  <r>
    <s v="PAY00455"/>
    <s v="CLM00593"/>
    <d v="2024-12-22T00:00:00"/>
    <x v="16"/>
    <n v="144.71"/>
    <s v="Insurance"/>
    <n v="85.65"/>
  </r>
  <r>
    <s v="PAY00456"/>
    <s v="CLM00594"/>
    <d v="2024-11-13T00:00:00"/>
    <x v="18"/>
    <n v="340.37"/>
    <s v="Patient"/>
    <n v="79.31"/>
  </r>
  <r>
    <s v="PAY00457"/>
    <s v="CLM00596"/>
    <d v="2024-12-08T00:00:00"/>
    <x v="16"/>
    <n v="445.08"/>
    <s v="Insurance"/>
    <n v="190.04"/>
  </r>
  <r>
    <s v="PAY00458"/>
    <s v="CLM00597"/>
    <d v="2024-11-02T00:00:00"/>
    <x v="18"/>
    <n v="506.89"/>
    <s v="Insurance"/>
    <n v="177.77"/>
  </r>
  <r>
    <s v="PAY00459"/>
    <s v="CLM00599"/>
    <d v="2024-08-25T00:00:00"/>
    <x v="21"/>
    <n v="1516.13"/>
    <s v="Insurance"/>
    <n v="169.01"/>
  </r>
  <r>
    <s v="PAY00460"/>
    <s v="CLM00602"/>
    <d v="2024-03-04T00:00:00"/>
    <x v="2"/>
    <n v="4919.8999999999996"/>
    <s v="Insurance"/>
    <n v="2103.88"/>
  </r>
  <r>
    <s v="PAY00461"/>
    <s v="CLM00603"/>
    <d v="2023-04-18T00:00:00"/>
    <x v="4"/>
    <n v="238.34"/>
    <s v="Insurance"/>
    <n v="58.28"/>
  </r>
  <r>
    <s v="PAY00462"/>
    <s v="CLM00604"/>
    <d v="2023-06-02T00:00:00"/>
    <x v="7"/>
    <n v="4004.22"/>
    <s v="Patient"/>
    <n v="1158.3699999999999"/>
  </r>
  <r>
    <s v="PAY00463"/>
    <s v="CLM00605"/>
    <d v="2024-01-02T00:00:00"/>
    <x v="15"/>
    <n v="202.16"/>
    <s v="Insurance"/>
    <n v="41.26"/>
  </r>
  <r>
    <s v="PAY00464"/>
    <s v="CLM00606"/>
    <d v="2024-02-13T00:00:00"/>
    <x v="20"/>
    <n v="1361.38"/>
    <s v="Insurance"/>
    <n v="176.35"/>
  </r>
  <r>
    <s v="PAY00465"/>
    <s v="CLM00607"/>
    <d v="2024-11-06T00:00:00"/>
    <x v="18"/>
    <n v="245.74"/>
    <s v="Insurance"/>
    <n v="61.47"/>
  </r>
  <r>
    <s v="PAY00466"/>
    <s v="CLM00609"/>
    <d v="2023-06-03T00:00:00"/>
    <x v="7"/>
    <n v="789.46"/>
    <s v="Patient"/>
    <n v="45.86"/>
  </r>
  <r>
    <s v="PAY00467"/>
    <s v="CLM00610"/>
    <d v="2023-09-05T00:00:00"/>
    <x v="10"/>
    <n v="150.1"/>
    <s v="Insurance"/>
    <n v="57.74"/>
  </r>
  <r>
    <s v="PAY00468"/>
    <s v="CLM00611"/>
    <d v="2024-04-30T00:00:00"/>
    <x v="22"/>
    <n v="1488.23"/>
    <s v="Insurance"/>
    <n v="416.3"/>
  </r>
  <r>
    <s v="PAY00469"/>
    <s v="CLM00612"/>
    <d v="2023-10-15T00:00:00"/>
    <x v="23"/>
    <n v="132.03"/>
    <s v="Insurance"/>
    <n v="47.95"/>
  </r>
  <r>
    <s v="PAY00470"/>
    <s v="CLM00613"/>
    <d v="2023-09-03T00:00:00"/>
    <x v="10"/>
    <n v="272.66000000000003"/>
    <s v="Insurance"/>
    <n v="157.99"/>
  </r>
  <r>
    <s v="PAY00471"/>
    <s v="CLM00614"/>
    <d v="2024-09-03T00:00:00"/>
    <x v="3"/>
    <n v="112.93"/>
    <s v="Insurance"/>
    <n v="39.71"/>
  </r>
  <r>
    <s v="PAY00472"/>
    <s v="CLM00616"/>
    <d v="2025-01-19T00:00:00"/>
    <x v="14"/>
    <n v="1591.23"/>
    <s v="Insurance"/>
    <n v="461.96"/>
  </r>
  <r>
    <s v="PAY00473"/>
    <s v="CLM00617"/>
    <d v="2024-02-02T00:00:00"/>
    <x v="20"/>
    <n v="2948.65"/>
    <s v="Insurance"/>
    <n v="446.92"/>
  </r>
  <r>
    <s v="PAY00474"/>
    <s v="CLM00619"/>
    <d v="2024-08-01T00:00:00"/>
    <x v="21"/>
    <n v="181.44"/>
    <s v="Insurance"/>
    <n v="110.21"/>
  </r>
  <r>
    <s v="PAY00475"/>
    <s v="CLM00621"/>
    <d v="2024-04-27T00:00:00"/>
    <x v="22"/>
    <n v="309.89"/>
    <s v="Insurance"/>
    <n v="24.5"/>
  </r>
  <r>
    <s v="PAY00476"/>
    <s v="CLM00622"/>
    <d v="2024-11-09T00:00:00"/>
    <x v="18"/>
    <n v="224.18"/>
    <s v="Insurance"/>
    <n v="93.66"/>
  </r>
  <r>
    <s v="PAY00477"/>
    <s v="CLM00624"/>
    <d v="2024-06-29T00:00:00"/>
    <x v="13"/>
    <n v="549.83000000000004"/>
    <s v="Patient"/>
    <n v="78.349999999999994"/>
  </r>
  <r>
    <s v="PAY00478"/>
    <s v="CLM00629"/>
    <d v="2023-11-14T00:00:00"/>
    <x v="12"/>
    <n v="281.38"/>
    <s v="Insurance"/>
    <n v="134.21"/>
  </r>
  <r>
    <s v="PAY00479"/>
    <s v="CLM00630"/>
    <d v="2023-10-06T00:00:00"/>
    <x v="23"/>
    <n v="284.83999999999997"/>
    <s v="Insurance"/>
    <n v="140.22"/>
  </r>
  <r>
    <s v="PAY00480"/>
    <s v="CLM00631"/>
    <d v="2023-05-05T00:00:00"/>
    <x v="6"/>
    <n v="173.45"/>
    <s v="Insurance"/>
    <n v="40.26"/>
  </r>
  <r>
    <s v="PAY00481"/>
    <s v="CLM00632"/>
    <d v="2023-10-15T00:00:00"/>
    <x v="23"/>
    <n v="155.18"/>
    <s v="Insurance"/>
    <n v="67.84"/>
  </r>
  <r>
    <s v="PAY00482"/>
    <s v="CLM00634"/>
    <d v="2023-09-13T00:00:00"/>
    <x v="10"/>
    <n v="564.14"/>
    <s v="Insurance"/>
    <n v="25.96"/>
  </r>
  <r>
    <s v="PAY00483"/>
    <s v="CLM00635"/>
    <d v="2023-12-08T00:00:00"/>
    <x v="19"/>
    <n v="2999.89"/>
    <s v="Insurance"/>
    <n v="1707.42"/>
  </r>
  <r>
    <s v="PAY00484"/>
    <s v="CLM00636"/>
    <d v="2024-01-24T00:00:00"/>
    <x v="15"/>
    <n v="2716.85"/>
    <s v="Insurance"/>
    <n v="449.86"/>
  </r>
  <r>
    <s v="PAY00485"/>
    <s v="CLM00637"/>
    <d v="2023-09-08T00:00:00"/>
    <x v="10"/>
    <n v="309.77"/>
    <s v="Insurance"/>
    <n v="92.68"/>
  </r>
  <r>
    <s v="PAY00486"/>
    <s v="CLM00639"/>
    <d v="2023-03-24T00:00:00"/>
    <x v="8"/>
    <n v="3554.29"/>
    <s v="Insurance"/>
    <n v="1387.39"/>
  </r>
  <r>
    <s v="PAY00487"/>
    <s v="CLM00640"/>
    <d v="2023-05-28T00:00:00"/>
    <x v="6"/>
    <n v="1048.3900000000001"/>
    <s v="Patient"/>
    <n v="356.53"/>
  </r>
  <r>
    <s v="PAY00488"/>
    <s v="CLM00642"/>
    <d v="2023-11-07T00:00:00"/>
    <x v="12"/>
    <n v="1876.06"/>
    <s v="Patient"/>
    <n v="428.2"/>
  </r>
  <r>
    <s v="PAY00489"/>
    <s v="CLM00643"/>
    <d v="2024-03-14T00:00:00"/>
    <x v="2"/>
    <n v="518.38"/>
    <s v="Insurance"/>
    <n v="107.83"/>
  </r>
  <r>
    <s v="PAY00490"/>
    <s v="CLM00644"/>
    <d v="2024-07-03T00:00:00"/>
    <x v="9"/>
    <n v="3420.84"/>
    <s v="Insurance"/>
    <n v="1484.02"/>
  </r>
  <r>
    <s v="PAY00491"/>
    <s v="CLM00645"/>
    <d v="2023-11-27T00:00:00"/>
    <x v="12"/>
    <n v="904.08"/>
    <s v="Insurance"/>
    <n v="422.74"/>
  </r>
  <r>
    <s v="PAY00492"/>
    <s v="CLM00646"/>
    <d v="2023-11-18T00:00:00"/>
    <x v="12"/>
    <n v="80.95"/>
    <s v="Patient"/>
    <n v="15.93"/>
  </r>
  <r>
    <s v="PAY00493"/>
    <s v="CLM00648"/>
    <d v="2023-05-30T00:00:00"/>
    <x v="6"/>
    <n v="444.25"/>
    <s v="Patient"/>
    <n v="88.89"/>
  </r>
  <r>
    <s v="PAY00494"/>
    <s v="CLM00651"/>
    <d v="2024-10-08T00:00:00"/>
    <x v="1"/>
    <n v="171.21"/>
    <s v="Insurance"/>
    <n v="30.94"/>
  </r>
  <r>
    <s v="PAY00495"/>
    <s v="CLM00652"/>
    <d v="2024-03-20T00:00:00"/>
    <x v="2"/>
    <n v="397.53"/>
    <s v="Insurance"/>
    <n v="160.74"/>
  </r>
  <r>
    <s v="PAY00496"/>
    <s v="CLM00653"/>
    <d v="2024-02-20T00:00:00"/>
    <x v="20"/>
    <n v="2104.96"/>
    <s v="Insurance"/>
    <n v="1282.3399999999999"/>
  </r>
  <r>
    <s v="PAY00497"/>
    <s v="CLM00654"/>
    <d v="2023-03-31T00:00:00"/>
    <x v="8"/>
    <n v="388.88"/>
    <s v="Insurance"/>
    <n v="70.59"/>
  </r>
  <r>
    <s v="PAY00498"/>
    <s v="CLM00656"/>
    <d v="2023-03-14T00:00:00"/>
    <x v="8"/>
    <n v="295.11"/>
    <s v="Insurance"/>
    <n v="111.22"/>
  </r>
  <r>
    <s v="PAY00499"/>
    <s v="CLM00657"/>
    <d v="2023-08-22T00:00:00"/>
    <x v="5"/>
    <n v="1682.49"/>
    <s v="Insurance"/>
    <n v="466.21"/>
  </r>
  <r>
    <s v="PAY00500"/>
    <s v="CLM00658"/>
    <d v="2024-02-07T00:00:00"/>
    <x v="20"/>
    <n v="70.790000000000006"/>
    <s v="Insurance"/>
    <n v="20.329999999999998"/>
  </r>
  <r>
    <s v="PAY00501"/>
    <s v="CLM00659"/>
    <d v="2024-04-26T00:00:00"/>
    <x v="22"/>
    <n v="207.4"/>
    <s v="Insurance"/>
    <n v="13.83"/>
  </r>
  <r>
    <s v="PAY00502"/>
    <s v="CLM00660"/>
    <d v="2023-08-22T00:00:00"/>
    <x v="5"/>
    <n v="174.05"/>
    <s v="Insurance"/>
    <n v="7.78"/>
  </r>
  <r>
    <s v="PAY00503"/>
    <s v="CLM00661"/>
    <d v="2023-07-27T00:00:00"/>
    <x v="17"/>
    <n v="127.45"/>
    <s v="Insurance"/>
    <n v="35.659999999999997"/>
  </r>
  <r>
    <s v="PAY00504"/>
    <s v="CLM00662"/>
    <d v="2023-07-26T00:00:00"/>
    <x v="17"/>
    <n v="39.22"/>
    <s v="Insurance"/>
    <n v="15.29"/>
  </r>
  <r>
    <s v="PAY00505"/>
    <s v="CLM00663"/>
    <d v="2023-03-18T00:00:00"/>
    <x v="8"/>
    <n v="3592.29"/>
    <s v="Insurance"/>
    <n v="1148.76"/>
  </r>
  <r>
    <s v="PAY00506"/>
    <s v="CLM00664"/>
    <d v="2023-04-18T00:00:00"/>
    <x v="4"/>
    <n v="2734.88"/>
    <s v="Insurance"/>
    <n v="1614.08"/>
  </r>
  <r>
    <s v="PAY00507"/>
    <s v="CLM00665"/>
    <d v="2023-02-17T00:00:00"/>
    <x v="0"/>
    <n v="585.45000000000005"/>
    <s v="Insurance"/>
    <n v="90.47"/>
  </r>
  <r>
    <s v="PAY00508"/>
    <s v="CLM00666"/>
    <d v="2024-01-23T00:00:00"/>
    <x v="15"/>
    <n v="458.45"/>
    <s v="Insurance"/>
    <n v="90.95"/>
  </r>
  <r>
    <s v="PAY00509"/>
    <s v="CLM00667"/>
    <d v="2023-04-30T00:00:00"/>
    <x v="4"/>
    <n v="3652.37"/>
    <s v="Insurance"/>
    <n v="942.21"/>
  </r>
  <r>
    <s v="PAY00510"/>
    <s v="CLM00668"/>
    <d v="2024-08-12T00:00:00"/>
    <x v="21"/>
    <n v="245.82"/>
    <s v="Insurance"/>
    <n v="72.19"/>
  </r>
  <r>
    <s v="PAY00511"/>
    <s v="CLM00669"/>
    <d v="2024-11-30T00:00:00"/>
    <x v="18"/>
    <n v="292.27999999999997"/>
    <s v="Insurance"/>
    <n v="144.66999999999999"/>
  </r>
  <r>
    <s v="PAY00512"/>
    <s v="CLM00671"/>
    <d v="2024-10-15T00:00:00"/>
    <x v="1"/>
    <n v="287.02"/>
    <s v="Insurance"/>
    <n v="40.799999999999997"/>
  </r>
  <r>
    <s v="PAY00513"/>
    <s v="CLM00675"/>
    <d v="2024-04-08T00:00:00"/>
    <x v="22"/>
    <n v="80.67"/>
    <s v="Insurance"/>
    <n v="40.630000000000003"/>
  </r>
  <r>
    <s v="PAY00514"/>
    <s v="CLM00676"/>
    <d v="2024-12-04T00:00:00"/>
    <x v="16"/>
    <n v="131.27000000000001"/>
    <s v="Insurance"/>
    <n v="55.94"/>
  </r>
  <r>
    <s v="PAY00515"/>
    <s v="CLM00677"/>
    <d v="2023-02-19T00:00:00"/>
    <x v="0"/>
    <n v="91.76"/>
    <s v="Insurance"/>
    <n v="22.56"/>
  </r>
  <r>
    <s v="PAY00516"/>
    <s v="CLM00678"/>
    <d v="2023-08-05T00:00:00"/>
    <x v="5"/>
    <n v="145.91999999999999"/>
    <s v="Insurance"/>
    <n v="69.33"/>
  </r>
  <r>
    <s v="PAY00517"/>
    <s v="CLM00680"/>
    <d v="2024-08-21T00:00:00"/>
    <x v="21"/>
    <n v="1543.64"/>
    <s v="Insurance"/>
    <n v="354.53"/>
  </r>
  <r>
    <s v="PAY00518"/>
    <s v="CLM00681"/>
    <d v="2023-08-03T00:00:00"/>
    <x v="5"/>
    <n v="3477.45"/>
    <s v="Insurance"/>
    <n v="273.55"/>
  </r>
  <r>
    <s v="PAY00519"/>
    <s v="CLM00682"/>
    <d v="2024-08-21T00:00:00"/>
    <x v="21"/>
    <n v="297.35000000000002"/>
    <s v="Insurance"/>
    <n v="61.77"/>
  </r>
  <r>
    <s v="PAY00520"/>
    <s v="CLM00683"/>
    <d v="2023-06-30T00:00:00"/>
    <x v="7"/>
    <n v="112.12"/>
    <s v="Insurance"/>
    <n v="59.95"/>
  </r>
  <r>
    <s v="PAY00521"/>
    <s v="CLM00686"/>
    <d v="2024-05-09T00:00:00"/>
    <x v="11"/>
    <n v="83.88"/>
    <s v="Insurance"/>
    <n v="37.090000000000003"/>
  </r>
  <r>
    <s v="PAY00522"/>
    <s v="CLM00687"/>
    <d v="2024-04-02T00:00:00"/>
    <x v="22"/>
    <n v="713.53"/>
    <s v="Insurance"/>
    <n v="168.04"/>
  </r>
  <r>
    <s v="PAY00523"/>
    <s v="CLM00688"/>
    <d v="2024-04-07T00:00:00"/>
    <x v="22"/>
    <n v="235.19"/>
    <s v="Insurance"/>
    <n v="58.03"/>
  </r>
  <r>
    <s v="PAY00524"/>
    <s v="CLM00689"/>
    <d v="2024-05-05T00:00:00"/>
    <x v="11"/>
    <n v="3306.98"/>
    <s v="Insurance"/>
    <n v="868.63"/>
  </r>
  <r>
    <s v="PAY00525"/>
    <s v="CLM00690"/>
    <d v="2024-05-25T00:00:00"/>
    <x v="11"/>
    <n v="607.70000000000005"/>
    <s v="Insurance"/>
    <n v="100.96"/>
  </r>
  <r>
    <s v="PAY00526"/>
    <s v="CLM00692"/>
    <d v="2024-03-09T00:00:00"/>
    <x v="2"/>
    <n v="3662.63"/>
    <s v="Insurance"/>
    <n v="1575.75"/>
  </r>
  <r>
    <s v="PAY00527"/>
    <s v="CLM00694"/>
    <d v="2023-12-30T00:00:00"/>
    <x v="19"/>
    <n v="86.5"/>
    <s v="Insurance"/>
    <n v="31.36"/>
  </r>
  <r>
    <s v="PAY00528"/>
    <s v="CLM00695"/>
    <d v="2024-02-14T00:00:00"/>
    <x v="20"/>
    <n v="2023.63"/>
    <s v="Insurance"/>
    <n v="260.35000000000002"/>
  </r>
  <r>
    <s v="PAY00529"/>
    <s v="CLM00696"/>
    <d v="2024-12-16T00:00:00"/>
    <x v="16"/>
    <n v="492.29"/>
    <s v="Insurance"/>
    <n v="97.46"/>
  </r>
  <r>
    <s v="PAY00530"/>
    <s v="CLM00697"/>
    <d v="2024-10-07T00:00:00"/>
    <x v="1"/>
    <n v="318.44"/>
    <s v="Insurance"/>
    <n v="44.03"/>
  </r>
  <r>
    <s v="PAY00531"/>
    <s v="CLM00699"/>
    <d v="2023-08-28T00:00:00"/>
    <x v="5"/>
    <n v="2015.28"/>
    <s v="Insurance"/>
    <n v="378.59"/>
  </r>
  <r>
    <s v="PAY00532"/>
    <s v="CLM00700"/>
    <d v="2024-05-24T00:00:00"/>
    <x v="11"/>
    <n v="187.19"/>
    <s v="Insurance"/>
    <n v="87.99"/>
  </r>
  <r>
    <s v="PAY00533"/>
    <s v="CLM00701"/>
    <d v="2023-03-09T00:00:00"/>
    <x v="8"/>
    <n v="4311.51"/>
    <s v="Insurance"/>
    <n v="1543.83"/>
  </r>
  <r>
    <s v="PAY00534"/>
    <s v="CLM00703"/>
    <d v="2024-11-04T00:00:00"/>
    <x v="18"/>
    <n v="111.93"/>
    <s v="Insurance"/>
    <n v="24.65"/>
  </r>
  <r>
    <s v="PAY00535"/>
    <s v="CLM00704"/>
    <d v="2024-04-06T00:00:00"/>
    <x v="22"/>
    <n v="315.20999999999998"/>
    <s v="Insurance"/>
    <n v="108.89"/>
  </r>
  <r>
    <s v="PAY00536"/>
    <s v="CLM00705"/>
    <d v="2024-02-19T00:00:00"/>
    <x v="20"/>
    <n v="314.22000000000003"/>
    <s v="Patient"/>
    <n v="108.7"/>
  </r>
  <r>
    <s v="PAY00537"/>
    <s v="CLM00706"/>
    <d v="2024-01-10T00:00:00"/>
    <x v="15"/>
    <n v="810.85"/>
    <s v="Insurance"/>
    <n v="128.6"/>
  </r>
  <r>
    <s v="PAY00538"/>
    <s v="CLM00707"/>
    <d v="2024-04-07T00:00:00"/>
    <x v="22"/>
    <n v="1003.97"/>
    <s v="Insurance"/>
    <n v="348.12"/>
  </r>
  <r>
    <s v="PAY00539"/>
    <s v="CLM00709"/>
    <d v="2023-04-12T00:00:00"/>
    <x v="4"/>
    <n v="306.77"/>
    <s v="Insurance"/>
    <n v="126.34"/>
  </r>
  <r>
    <s v="PAY00540"/>
    <s v="CLM00710"/>
    <d v="2024-07-26T00:00:00"/>
    <x v="9"/>
    <n v="231.63"/>
    <s v="Insurance"/>
    <n v="46.73"/>
  </r>
  <r>
    <s v="PAY00541"/>
    <s v="CLM00711"/>
    <d v="2024-11-10T00:00:00"/>
    <x v="18"/>
    <n v="594.41999999999996"/>
    <s v="Insurance"/>
    <n v="143.06"/>
  </r>
  <r>
    <s v="PAY00542"/>
    <s v="CLM00712"/>
    <d v="2023-07-12T00:00:00"/>
    <x v="17"/>
    <n v="521.46"/>
    <s v="Insurance"/>
    <n v="221.96"/>
  </r>
  <r>
    <s v="PAY00543"/>
    <s v="CLM00713"/>
    <d v="2024-04-05T00:00:00"/>
    <x v="22"/>
    <n v="534.51"/>
    <s v="Insurance"/>
    <n v="124.76"/>
  </r>
  <r>
    <s v="PAY00544"/>
    <s v="CLM00718"/>
    <d v="2023-10-20T00:00:00"/>
    <x v="23"/>
    <n v="839.96"/>
    <s v="Insurance"/>
    <n v="95.43"/>
  </r>
  <r>
    <s v="PAY00545"/>
    <s v="CLM00719"/>
    <d v="2023-06-19T00:00:00"/>
    <x v="7"/>
    <n v="289.19"/>
    <s v="Insurance"/>
    <n v="98.91"/>
  </r>
  <r>
    <s v="PAY00546"/>
    <s v="CLM00720"/>
    <d v="2023-10-02T00:00:00"/>
    <x v="23"/>
    <n v="1174.78"/>
    <s v="Insurance"/>
    <n v="657.66"/>
  </r>
  <r>
    <s v="PAY00547"/>
    <s v="CLM00721"/>
    <d v="2024-07-19T00:00:00"/>
    <x v="9"/>
    <n v="2501.0100000000002"/>
    <s v="Insurance"/>
    <n v="970.56"/>
  </r>
  <r>
    <s v="PAY00548"/>
    <s v="CLM00722"/>
    <d v="2024-06-04T00:00:00"/>
    <x v="13"/>
    <n v="83.96"/>
    <s v="Insurance"/>
    <n v="10.31"/>
  </r>
  <r>
    <s v="PAY00549"/>
    <s v="CLM00723"/>
    <d v="2023-06-02T00:00:00"/>
    <x v="7"/>
    <n v="650.77"/>
    <s v="Insurance"/>
    <n v="211.96"/>
  </r>
  <r>
    <s v="PAY00550"/>
    <s v="CLM00724"/>
    <d v="2023-06-06T00:00:00"/>
    <x v="7"/>
    <n v="97.69"/>
    <s v="Insurance"/>
    <n v="12.79"/>
  </r>
  <r>
    <s v="PAY00551"/>
    <s v="CLM00728"/>
    <d v="2023-03-19T00:00:00"/>
    <x v="8"/>
    <n v="319.89999999999998"/>
    <s v="Insurance"/>
    <n v="73.62"/>
  </r>
  <r>
    <s v="PAY00552"/>
    <s v="CLM00729"/>
    <d v="2023-05-04T00:00:00"/>
    <x v="6"/>
    <n v="753.77"/>
    <s v="Insurance"/>
    <n v="157.81"/>
  </r>
  <r>
    <s v="PAY00553"/>
    <s v="CLM00730"/>
    <d v="2024-11-12T00:00:00"/>
    <x v="18"/>
    <n v="897.1"/>
    <s v="Insurance"/>
    <n v="443.22"/>
  </r>
  <r>
    <s v="PAY00554"/>
    <s v="CLM00731"/>
    <d v="2025-01-22T00:00:00"/>
    <x v="14"/>
    <n v="91.15"/>
    <s v="Insurance"/>
    <n v="12.2"/>
  </r>
  <r>
    <s v="PAY00555"/>
    <s v="CLM00732"/>
    <d v="2023-09-12T00:00:00"/>
    <x v="10"/>
    <n v="268.12"/>
    <s v="Insurance"/>
    <n v="64.14"/>
  </r>
  <r>
    <s v="PAY00556"/>
    <s v="CLM00733"/>
    <d v="2024-02-28T00:00:00"/>
    <x v="20"/>
    <n v="82.76"/>
    <s v="Insurance"/>
    <n v="29.11"/>
  </r>
  <r>
    <s v="PAY00557"/>
    <s v="CLM00734"/>
    <d v="2023-04-17T00:00:00"/>
    <x v="4"/>
    <n v="6212.93"/>
    <s v="Insurance"/>
    <n v="1295.25"/>
  </r>
  <r>
    <s v="PAY00558"/>
    <s v="CLM00735"/>
    <d v="2023-03-19T00:00:00"/>
    <x v="8"/>
    <n v="340.35"/>
    <s v="Insurance"/>
    <n v="150.12"/>
  </r>
  <r>
    <s v="PAY00559"/>
    <s v="CLM00736"/>
    <d v="2024-04-14T00:00:00"/>
    <x v="22"/>
    <n v="271.52999999999997"/>
    <s v="Insurance"/>
    <n v="127.51"/>
  </r>
  <r>
    <s v="PAY00560"/>
    <s v="CLM00737"/>
    <d v="2024-11-05T00:00:00"/>
    <x v="18"/>
    <n v="138.61000000000001"/>
    <s v="Insurance"/>
    <n v="83.25"/>
  </r>
  <r>
    <s v="PAY00561"/>
    <s v="CLM00738"/>
    <d v="2024-06-17T00:00:00"/>
    <x v="13"/>
    <n v="738.14"/>
    <s v="Insurance"/>
    <n v="91.79"/>
  </r>
  <r>
    <s v="PAY00562"/>
    <s v="CLM00739"/>
    <d v="2023-05-10T00:00:00"/>
    <x v="6"/>
    <n v="822.73"/>
    <s v="Insurance"/>
    <n v="177.22"/>
  </r>
  <r>
    <s v="PAY00563"/>
    <s v="CLM00740"/>
    <d v="2023-10-27T00:00:00"/>
    <x v="23"/>
    <n v="551.97"/>
    <s v="Insurance"/>
    <n v="92.03"/>
  </r>
  <r>
    <s v="PAY00564"/>
    <s v="CLM00741"/>
    <d v="2023-03-21T00:00:00"/>
    <x v="8"/>
    <n v="152.49"/>
    <s v="Insurance"/>
    <n v="29.43"/>
  </r>
  <r>
    <s v="PAY00565"/>
    <s v="CLM00742"/>
    <d v="2023-04-28T00:00:00"/>
    <x v="4"/>
    <n v="4575.0200000000004"/>
    <s v="Insurance"/>
    <n v="852.15"/>
  </r>
  <r>
    <s v="PAY00566"/>
    <s v="CLM00745"/>
    <d v="2023-11-23T00:00:00"/>
    <x v="12"/>
    <n v="445.59"/>
    <s v="Insurance"/>
    <n v="125.98"/>
  </r>
  <r>
    <s v="PAY00567"/>
    <s v="CLM00746"/>
    <d v="2024-12-09T00:00:00"/>
    <x v="16"/>
    <n v="223"/>
    <s v="Insurance"/>
    <n v="96.73"/>
  </r>
  <r>
    <s v="PAY00568"/>
    <s v="CLM00747"/>
    <d v="2024-02-01T00:00:00"/>
    <x v="20"/>
    <n v="117.7"/>
    <s v="Insurance"/>
    <n v="27.21"/>
  </r>
  <r>
    <s v="PAY00569"/>
    <s v="CLM00748"/>
    <d v="2024-02-09T00:00:00"/>
    <x v="20"/>
    <n v="110.32"/>
    <s v="Insurance"/>
    <n v="41.21"/>
  </r>
  <r>
    <s v="PAY00570"/>
    <s v="CLM00749"/>
    <d v="2024-01-01T00:00:00"/>
    <x v="15"/>
    <n v="403.48"/>
    <s v="Insurance"/>
    <n v="21.83"/>
  </r>
  <r>
    <s v="PAY00571"/>
    <s v="CLM00750"/>
    <d v="2024-08-03T00:00:00"/>
    <x v="21"/>
    <n v="1207.01"/>
    <s v="Insurance"/>
    <n v="708.12"/>
  </r>
  <r>
    <s v="PAY00572"/>
    <s v="CLM00751"/>
    <d v="2024-01-12T00:00:00"/>
    <x v="15"/>
    <n v="76.47"/>
    <s v="Insurance"/>
    <n v="34.47"/>
  </r>
  <r>
    <s v="PAY00573"/>
    <s v="CLM00752"/>
    <d v="2024-04-07T00:00:00"/>
    <x v="22"/>
    <n v="2100.8000000000002"/>
    <s v="Insurance"/>
    <n v="1087.1400000000001"/>
  </r>
  <r>
    <s v="PAY00574"/>
    <s v="CLM00753"/>
    <d v="2023-06-06T00:00:00"/>
    <x v="7"/>
    <n v="268.13"/>
    <s v="Insurance"/>
    <n v="30.73"/>
  </r>
  <r>
    <s v="PAY00575"/>
    <s v="CLM00754"/>
    <d v="2024-08-17T00:00:00"/>
    <x v="21"/>
    <n v="267.06"/>
    <s v="Insurance"/>
    <n v="143.11000000000001"/>
  </r>
  <r>
    <s v="PAY00576"/>
    <s v="CLM00756"/>
    <d v="2024-01-15T00:00:00"/>
    <x v="15"/>
    <n v="125.97"/>
    <s v="Insurance"/>
    <n v="19.62"/>
  </r>
  <r>
    <s v="PAY00577"/>
    <s v="CLM00757"/>
    <d v="2024-02-10T00:00:00"/>
    <x v="20"/>
    <n v="920.6"/>
    <s v="Insurance"/>
    <n v="198.94"/>
  </r>
  <r>
    <s v="PAY00578"/>
    <s v="CLM00760"/>
    <d v="2023-07-12T00:00:00"/>
    <x v="17"/>
    <n v="1503.58"/>
    <s v="Insurance"/>
    <n v="200.29"/>
  </r>
  <r>
    <s v="PAY00579"/>
    <s v="CLM00761"/>
    <d v="2024-02-11T00:00:00"/>
    <x v="20"/>
    <n v="887.75"/>
    <s v="Insurance"/>
    <n v="409.07"/>
  </r>
  <r>
    <s v="PAY00580"/>
    <s v="CLM00762"/>
    <d v="2024-06-21T00:00:00"/>
    <x v="13"/>
    <n v="41.79"/>
    <s v="Insurance"/>
    <n v="5.9"/>
  </r>
  <r>
    <s v="PAY00581"/>
    <s v="CLM00763"/>
    <d v="2024-02-14T00:00:00"/>
    <x v="20"/>
    <n v="867.49"/>
    <s v="Insurance"/>
    <n v="232.85"/>
  </r>
  <r>
    <s v="PAY00582"/>
    <s v="CLM00766"/>
    <d v="2024-10-31T00:00:00"/>
    <x v="1"/>
    <n v="328.55"/>
    <s v="Insurance"/>
    <n v="15.91"/>
  </r>
  <r>
    <s v="PAY00583"/>
    <s v="CLM00767"/>
    <d v="2024-05-27T00:00:00"/>
    <x v="11"/>
    <n v="191.39"/>
    <s v="Patient"/>
    <n v="99.65"/>
  </r>
  <r>
    <s v="PAY00584"/>
    <s v="CLM00768"/>
    <d v="2023-05-28T00:00:00"/>
    <x v="6"/>
    <n v="627.66"/>
    <s v="Insurance"/>
    <n v="102.73"/>
  </r>
  <r>
    <s v="PAY00585"/>
    <s v="CLM00769"/>
    <d v="2023-06-23T00:00:00"/>
    <x v="7"/>
    <n v="97.39"/>
    <s v="Insurance"/>
    <n v="16.7"/>
  </r>
  <r>
    <s v="PAY00586"/>
    <s v="CLM00772"/>
    <d v="2023-10-30T00:00:00"/>
    <x v="23"/>
    <n v="1394.08"/>
    <s v="Insurance"/>
    <n v="249.1"/>
  </r>
  <r>
    <s v="PAY00587"/>
    <s v="CLM00773"/>
    <d v="2023-05-19T00:00:00"/>
    <x v="6"/>
    <n v="490.54"/>
    <s v="Insurance"/>
    <n v="155.37"/>
  </r>
  <r>
    <s v="PAY00588"/>
    <s v="CLM00774"/>
    <d v="2023-05-04T00:00:00"/>
    <x v="6"/>
    <n v="1720.42"/>
    <s v="Insurance"/>
    <n v="608.59"/>
  </r>
  <r>
    <s v="PAY00589"/>
    <s v="CLM00775"/>
    <d v="2023-09-11T00:00:00"/>
    <x v="10"/>
    <n v="1714.04"/>
    <s v="Insurance"/>
    <n v="405.04"/>
  </r>
  <r>
    <s v="PAY00590"/>
    <s v="CLM00777"/>
    <d v="2023-07-13T00:00:00"/>
    <x v="17"/>
    <n v="271.12"/>
    <s v="Patient"/>
    <n v="67.63"/>
  </r>
  <r>
    <s v="PAY00591"/>
    <s v="CLM00778"/>
    <d v="2024-06-24T00:00:00"/>
    <x v="13"/>
    <n v="2536.33"/>
    <s v="Insurance"/>
    <n v="893.49"/>
  </r>
  <r>
    <s v="PAY00592"/>
    <s v="CLM00779"/>
    <d v="2023-10-28T00:00:00"/>
    <x v="23"/>
    <n v="447.74"/>
    <s v="Patient"/>
    <n v="249.39"/>
  </r>
  <r>
    <s v="PAY00593"/>
    <s v="CLM00781"/>
    <d v="2024-11-22T00:00:00"/>
    <x v="18"/>
    <n v="982.92"/>
    <s v="Insurance"/>
    <n v="334.31"/>
  </r>
  <r>
    <s v="PAY00594"/>
    <s v="CLM00785"/>
    <d v="2023-03-30T00:00:00"/>
    <x v="8"/>
    <n v="81.14"/>
    <s v="Insurance"/>
    <n v="40.659999999999997"/>
  </r>
  <r>
    <s v="PAY00595"/>
    <s v="CLM00786"/>
    <d v="2023-05-05T00:00:00"/>
    <x v="6"/>
    <n v="451.95"/>
    <s v="Patient"/>
    <n v="63.16"/>
  </r>
  <r>
    <s v="PAY00596"/>
    <s v="CLM00787"/>
    <d v="2023-06-04T00:00:00"/>
    <x v="7"/>
    <n v="759.41"/>
    <s v="Patient"/>
    <n v="162.27000000000001"/>
  </r>
  <r>
    <s v="PAY00597"/>
    <s v="CLM00788"/>
    <d v="2023-10-21T00:00:00"/>
    <x v="23"/>
    <n v="443.17"/>
    <s v="Insurance"/>
    <n v="184.13"/>
  </r>
  <r>
    <s v="PAY00598"/>
    <s v="CLM00789"/>
    <d v="2024-12-14T00:00:00"/>
    <x v="16"/>
    <n v="138.81"/>
    <s v="Patient"/>
    <n v="29.22"/>
  </r>
  <r>
    <s v="PAY00599"/>
    <s v="CLM00790"/>
    <d v="2024-08-27T00:00:00"/>
    <x v="21"/>
    <n v="1372.75"/>
    <s v="Insurance"/>
    <n v="339.31"/>
  </r>
  <r>
    <s v="PAY00600"/>
    <s v="CLM00791"/>
    <d v="2023-07-01T00:00:00"/>
    <x v="17"/>
    <n v="5593.48"/>
    <s v="Insurance"/>
    <n v="1549.79"/>
  </r>
  <r>
    <s v="PAY00601"/>
    <s v="CLM00793"/>
    <d v="2024-11-21T00:00:00"/>
    <x v="18"/>
    <n v="344.1"/>
    <s v="Insurance"/>
    <n v="180.05"/>
  </r>
  <r>
    <s v="PAY00602"/>
    <s v="CLM00794"/>
    <d v="2024-02-28T00:00:00"/>
    <x v="20"/>
    <n v="229.71"/>
    <s v="Insurance"/>
    <n v="67.31"/>
  </r>
  <r>
    <s v="PAY00603"/>
    <s v="CLM00798"/>
    <d v="2023-08-13T00:00:00"/>
    <x v="5"/>
    <n v="554.55999999999995"/>
    <s v="Insurance"/>
    <n v="26.71"/>
  </r>
  <r>
    <s v="PAY00604"/>
    <s v="CLM00800"/>
    <d v="2024-08-14T00:00:00"/>
    <x v="21"/>
    <n v="127.78"/>
    <s v="Insurance"/>
    <n v="67.709999999999994"/>
  </r>
  <r>
    <s v="PAY00605"/>
    <s v="CLM00801"/>
    <d v="2024-07-08T00:00:00"/>
    <x v="9"/>
    <n v="586.87"/>
    <s v="Insurance"/>
    <n v="38.47"/>
  </r>
  <r>
    <s v="PAY00606"/>
    <s v="CLM00802"/>
    <d v="2024-09-25T00:00:00"/>
    <x v="3"/>
    <n v="3080.08"/>
    <s v="Insurance"/>
    <n v="1015.91"/>
  </r>
  <r>
    <s v="PAY00607"/>
    <s v="CLM00803"/>
    <d v="2024-07-16T00:00:00"/>
    <x v="9"/>
    <n v="44.23"/>
    <s v="Insurance"/>
    <n v="9.0500000000000007"/>
  </r>
  <r>
    <s v="PAY00608"/>
    <s v="CLM00804"/>
    <d v="2023-06-29T00:00:00"/>
    <x v="7"/>
    <n v="721.55"/>
    <s v="Insurance"/>
    <n v="115.6"/>
  </r>
  <r>
    <s v="PAY00609"/>
    <s v="CLM00805"/>
    <d v="2024-12-08T00:00:00"/>
    <x v="16"/>
    <n v="298.76"/>
    <s v="Patient"/>
    <n v="178.11"/>
  </r>
  <r>
    <s v="PAY00610"/>
    <s v="CLM00806"/>
    <d v="2023-12-14T00:00:00"/>
    <x v="19"/>
    <n v="292.86"/>
    <s v="Insurance"/>
    <n v="131.66999999999999"/>
  </r>
  <r>
    <s v="PAY00611"/>
    <s v="CLM00807"/>
    <d v="2024-10-17T00:00:00"/>
    <x v="1"/>
    <n v="461.74"/>
    <s v="Insurance"/>
    <n v="129.1"/>
  </r>
  <r>
    <s v="PAY00612"/>
    <s v="CLM00808"/>
    <d v="2024-09-03T00:00:00"/>
    <x v="3"/>
    <n v="477.46"/>
    <s v="Insurance"/>
    <n v="239.32"/>
  </r>
  <r>
    <s v="PAY00613"/>
    <s v="CLM00810"/>
    <d v="2023-09-20T00:00:00"/>
    <x v="10"/>
    <n v="342.6"/>
    <s v="Insurance"/>
    <n v="74.87"/>
  </r>
  <r>
    <s v="PAY00614"/>
    <s v="CLM00812"/>
    <d v="2024-09-19T00:00:00"/>
    <x v="3"/>
    <n v="475.47"/>
    <s v="Insurance"/>
    <n v="97.7"/>
  </r>
  <r>
    <s v="PAY00615"/>
    <s v="CLM00815"/>
    <d v="2024-03-11T00:00:00"/>
    <x v="2"/>
    <n v="653.91999999999996"/>
    <s v="Patient"/>
    <n v="321.27999999999997"/>
  </r>
  <r>
    <s v="PAY00616"/>
    <s v="CLM00817"/>
    <d v="2025-01-14T00:00:00"/>
    <x v="14"/>
    <n v="37.93"/>
    <s v="Insurance"/>
    <n v="13.26"/>
  </r>
  <r>
    <s v="PAY00617"/>
    <s v="CLM00821"/>
    <d v="2024-12-27T00:00:00"/>
    <x v="16"/>
    <n v="374.86"/>
    <s v="Insurance"/>
    <n v="37.450000000000003"/>
  </r>
  <r>
    <s v="PAY00618"/>
    <s v="CLM00822"/>
    <d v="2025-01-24T00:00:00"/>
    <x v="14"/>
    <n v="1092.08"/>
    <s v="Patient"/>
    <n v="590.27"/>
  </r>
  <r>
    <s v="PAY00619"/>
    <s v="CLM00824"/>
    <d v="2024-09-19T00:00:00"/>
    <x v="3"/>
    <n v="1072.03"/>
    <s v="Insurance"/>
    <n v="606.97"/>
  </r>
  <r>
    <s v="PAY00620"/>
    <s v="CLM00825"/>
    <d v="2024-12-22T00:00:00"/>
    <x v="16"/>
    <n v="685.61"/>
    <s v="Insurance"/>
    <n v="80.34"/>
  </r>
  <r>
    <s v="PAY00621"/>
    <s v="CLM00826"/>
    <d v="2024-02-12T00:00:00"/>
    <x v="20"/>
    <n v="4079.79"/>
    <s v="Insurance"/>
    <n v="1130.5899999999999"/>
  </r>
  <r>
    <s v="PAY00622"/>
    <s v="CLM00828"/>
    <d v="2023-03-26T00:00:00"/>
    <x v="8"/>
    <n v="248.08"/>
    <s v="Insurance"/>
    <n v="99.78"/>
  </r>
  <r>
    <s v="PAY00623"/>
    <s v="CLM00829"/>
    <d v="2024-07-15T00:00:00"/>
    <x v="9"/>
    <n v="3757.57"/>
    <s v="Insurance"/>
    <n v="814.14"/>
  </r>
  <r>
    <s v="PAY00624"/>
    <s v="CLM00830"/>
    <d v="2024-01-03T00:00:00"/>
    <x v="15"/>
    <n v="539.08000000000004"/>
    <s v="Insurance"/>
    <n v="148.97999999999999"/>
  </r>
  <r>
    <s v="PAY00625"/>
    <s v="CLM00831"/>
    <d v="2023-06-01T00:00:00"/>
    <x v="7"/>
    <n v="1271.21"/>
    <s v="Insurance"/>
    <n v="632.91"/>
  </r>
  <r>
    <s v="PAY00626"/>
    <s v="CLM00832"/>
    <d v="2024-01-06T00:00:00"/>
    <x v="15"/>
    <n v="1459.21"/>
    <s v="Insurance"/>
    <n v="598.37"/>
  </r>
  <r>
    <s v="PAY00627"/>
    <s v="CLM00833"/>
    <d v="2023-06-21T00:00:00"/>
    <x v="7"/>
    <n v="970.91"/>
    <s v="Insurance"/>
    <n v="61.96"/>
  </r>
  <r>
    <s v="PAY00628"/>
    <s v="CLM00834"/>
    <d v="2024-09-06T00:00:00"/>
    <x v="3"/>
    <n v="525.19000000000005"/>
    <s v="Insurance"/>
    <n v="294.63"/>
  </r>
  <r>
    <s v="PAY00629"/>
    <s v="CLM00838"/>
    <d v="2024-06-10T00:00:00"/>
    <x v="13"/>
    <n v="4124.26"/>
    <s v="Insurance"/>
    <n v="683.17"/>
  </r>
  <r>
    <s v="PAY00630"/>
    <s v="CLM00840"/>
    <d v="2023-11-26T00:00:00"/>
    <x v="12"/>
    <n v="361.95"/>
    <s v="Insurance"/>
    <n v="37.96"/>
  </r>
  <r>
    <s v="PAY00631"/>
    <s v="CLM00841"/>
    <d v="2025-01-07T00:00:00"/>
    <x v="14"/>
    <n v="145.49"/>
    <s v="Insurance"/>
    <n v="67"/>
  </r>
  <r>
    <s v="PAY00632"/>
    <s v="CLM00842"/>
    <d v="2023-05-21T00:00:00"/>
    <x v="6"/>
    <n v="172.19"/>
    <s v="Insurance"/>
    <n v="14.86"/>
  </r>
  <r>
    <s v="PAY00633"/>
    <s v="CLM00843"/>
    <d v="2024-05-21T00:00:00"/>
    <x v="11"/>
    <n v="482.6"/>
    <s v="Insurance"/>
    <n v="77.14"/>
  </r>
  <r>
    <s v="PAY00634"/>
    <s v="CLM00844"/>
    <d v="2023-02-20T00:00:00"/>
    <x v="0"/>
    <n v="2882.86"/>
    <s v="Insurance"/>
    <n v="554.38"/>
  </r>
  <r>
    <s v="PAY00635"/>
    <s v="CLM00845"/>
    <d v="2024-01-11T00:00:00"/>
    <x v="15"/>
    <n v="498.79"/>
    <s v="Patient"/>
    <n v="248.97"/>
  </r>
  <r>
    <s v="PAY00636"/>
    <s v="CLM00846"/>
    <d v="2025-01-16T00:00:00"/>
    <x v="14"/>
    <n v="141.75"/>
    <s v="Insurance"/>
    <n v="55.02"/>
  </r>
  <r>
    <s v="PAY00637"/>
    <s v="CLM00847"/>
    <d v="2024-12-21T00:00:00"/>
    <x v="16"/>
    <n v="6448.47"/>
    <s v="Patient"/>
    <n v="838.82"/>
  </r>
  <r>
    <s v="PAY00638"/>
    <s v="CLM00848"/>
    <d v="2024-08-26T00:00:00"/>
    <x v="21"/>
    <n v="920.62"/>
    <s v="Insurance"/>
    <n v="267.37"/>
  </r>
  <r>
    <s v="PAY00639"/>
    <s v="CLM00849"/>
    <d v="2023-12-06T00:00:00"/>
    <x v="19"/>
    <n v="728.12"/>
    <s v="Insurance"/>
    <n v="195.9"/>
  </r>
  <r>
    <s v="PAY00640"/>
    <s v="CLM00850"/>
    <d v="2023-06-25T00:00:00"/>
    <x v="7"/>
    <n v="500.55"/>
    <s v="Insurance"/>
    <n v="171.04"/>
  </r>
  <r>
    <s v="PAY00641"/>
    <s v="CLM00851"/>
    <d v="2023-11-08T00:00:00"/>
    <x v="12"/>
    <n v="6065.41"/>
    <s v="Patient"/>
    <n v="1981.45"/>
  </r>
  <r>
    <s v="PAY00642"/>
    <s v="CLM00852"/>
    <d v="2023-09-11T00:00:00"/>
    <x v="10"/>
    <n v="4151.4399999999996"/>
    <s v="Insurance"/>
    <n v="1732.36"/>
  </r>
  <r>
    <s v="PAY00643"/>
    <s v="CLM00853"/>
    <d v="2023-08-15T00:00:00"/>
    <x v="5"/>
    <n v="109.6"/>
    <s v="Insurance"/>
    <n v="18.61"/>
  </r>
  <r>
    <s v="PAY00644"/>
    <s v="CLM00854"/>
    <d v="2024-12-10T00:00:00"/>
    <x v="16"/>
    <n v="786.5"/>
    <s v="Insurance"/>
    <n v="128.51"/>
  </r>
  <r>
    <s v="PAY00645"/>
    <s v="CLM00855"/>
    <d v="2024-11-29T00:00:00"/>
    <x v="18"/>
    <n v="68.73"/>
    <s v="Insurance"/>
    <n v="36.99"/>
  </r>
  <r>
    <s v="PAY00646"/>
    <s v="CLM00859"/>
    <d v="2023-04-03T00:00:00"/>
    <x v="4"/>
    <n v="1487.46"/>
    <s v="Insurance"/>
    <n v="131.57"/>
  </r>
  <r>
    <s v="PAY00647"/>
    <s v="CLM00860"/>
    <d v="2023-11-19T00:00:00"/>
    <x v="12"/>
    <n v="97.06"/>
    <s v="Patient"/>
    <n v="16.95"/>
  </r>
  <r>
    <s v="PAY00648"/>
    <s v="CLM00862"/>
    <d v="2023-02-12T00:00:00"/>
    <x v="0"/>
    <n v="425.07"/>
    <s v="Insurance"/>
    <n v="19.3"/>
  </r>
  <r>
    <s v="PAY00649"/>
    <s v="CLM00863"/>
    <d v="2024-01-25T00:00:00"/>
    <x v="15"/>
    <n v="258.11"/>
    <s v="Insurance"/>
    <n v="131.56"/>
  </r>
  <r>
    <s v="PAY00650"/>
    <s v="CLM00864"/>
    <d v="2023-11-04T00:00:00"/>
    <x v="12"/>
    <n v="243.39"/>
    <s v="Insurance"/>
    <n v="143.30000000000001"/>
  </r>
  <r>
    <s v="PAY00651"/>
    <s v="CLM00865"/>
    <d v="2023-05-28T00:00:00"/>
    <x v="6"/>
    <n v="3420.77"/>
    <s v="Insurance"/>
    <n v="182.16"/>
  </r>
  <r>
    <s v="PAY00652"/>
    <s v="CLM00867"/>
    <d v="2024-01-05T00:00:00"/>
    <x v="15"/>
    <n v="1354.94"/>
    <s v="Insurance"/>
    <n v="462.74"/>
  </r>
  <r>
    <s v="PAY00653"/>
    <s v="CLM00868"/>
    <d v="2024-07-28T00:00:00"/>
    <x v="9"/>
    <n v="371.42"/>
    <s v="Insurance"/>
    <n v="55.92"/>
  </r>
  <r>
    <s v="PAY00654"/>
    <s v="CLM00869"/>
    <d v="2024-11-11T00:00:00"/>
    <x v="18"/>
    <n v="656.48"/>
    <s v="Patient"/>
    <n v="123.38"/>
  </r>
  <r>
    <s v="PAY00655"/>
    <s v="CLM00870"/>
    <d v="2024-09-17T00:00:00"/>
    <x v="3"/>
    <n v="529.58000000000004"/>
    <s v="Insurance"/>
    <n v="32.58"/>
  </r>
  <r>
    <s v="PAY00656"/>
    <s v="CLM00871"/>
    <d v="2023-04-21T00:00:00"/>
    <x v="4"/>
    <n v="202.81"/>
    <s v="Insurance"/>
    <n v="25"/>
  </r>
  <r>
    <s v="PAY00657"/>
    <s v="CLM00872"/>
    <d v="2023-11-13T00:00:00"/>
    <x v="12"/>
    <n v="325.57"/>
    <s v="Insurance"/>
    <n v="70.37"/>
  </r>
  <r>
    <s v="PAY00658"/>
    <s v="CLM00873"/>
    <d v="2023-02-19T00:00:00"/>
    <x v="0"/>
    <n v="4204.1499999999996"/>
    <s v="Insurance"/>
    <n v="1959.41"/>
  </r>
  <r>
    <s v="PAY00659"/>
    <s v="CLM00874"/>
    <d v="2024-08-20T00:00:00"/>
    <x v="21"/>
    <n v="725.26"/>
    <s v="Insurance"/>
    <n v="83.51"/>
  </r>
  <r>
    <s v="PAY00660"/>
    <s v="CLM00876"/>
    <d v="2024-08-07T00:00:00"/>
    <x v="21"/>
    <n v="1456.22"/>
    <s v="Insurance"/>
    <n v="237.06"/>
  </r>
  <r>
    <s v="PAY00661"/>
    <s v="CLM00877"/>
    <d v="2023-06-12T00:00:00"/>
    <x v="7"/>
    <n v="338.15"/>
    <s v="Insurance"/>
    <n v="142.62"/>
  </r>
  <r>
    <s v="PAY00662"/>
    <s v="CLM00878"/>
    <d v="2024-11-05T00:00:00"/>
    <x v="18"/>
    <n v="483.29"/>
    <s v="Insurance"/>
    <n v="149.81"/>
  </r>
  <r>
    <s v="PAY00663"/>
    <s v="CLM00879"/>
    <d v="2023-07-30T00:00:00"/>
    <x v="17"/>
    <n v="247.04"/>
    <s v="Insurance"/>
    <n v="84.48"/>
  </r>
  <r>
    <s v="PAY00664"/>
    <s v="CLM00882"/>
    <d v="2023-06-20T00:00:00"/>
    <x v="7"/>
    <n v="317.48"/>
    <s v="Insurance"/>
    <n v="108.42"/>
  </r>
  <r>
    <s v="PAY00665"/>
    <s v="CLM00883"/>
    <d v="2023-10-11T00:00:00"/>
    <x v="23"/>
    <n v="377.26"/>
    <s v="Insurance"/>
    <n v="40.82"/>
  </r>
  <r>
    <s v="PAY00666"/>
    <s v="CLM00884"/>
    <d v="2024-12-18T00:00:00"/>
    <x v="16"/>
    <n v="182.39"/>
    <s v="Insurance"/>
    <n v="10.98"/>
  </r>
  <r>
    <s v="PAY00667"/>
    <s v="CLM00885"/>
    <d v="2024-07-11T00:00:00"/>
    <x v="9"/>
    <n v="334.4"/>
    <s v="Patient"/>
    <n v="140.02000000000001"/>
  </r>
  <r>
    <s v="PAY00668"/>
    <s v="CLM00886"/>
    <d v="2023-08-14T00:00:00"/>
    <x v="5"/>
    <n v="422.65"/>
    <s v="Insurance"/>
    <n v="19.22"/>
  </r>
  <r>
    <s v="PAY00669"/>
    <s v="CLM00888"/>
    <d v="2023-05-19T00:00:00"/>
    <x v="6"/>
    <n v="160.38"/>
    <s v="Insurance"/>
    <n v="26.5"/>
  </r>
  <r>
    <s v="PAY00670"/>
    <s v="CLM00890"/>
    <d v="2023-10-08T00:00:00"/>
    <x v="23"/>
    <n v="919.07"/>
    <s v="Insurance"/>
    <n v="180.84"/>
  </r>
  <r>
    <s v="PAY00671"/>
    <s v="CLM00891"/>
    <d v="2024-02-07T00:00:00"/>
    <x v="20"/>
    <n v="4584.38"/>
    <s v="Insurance"/>
    <n v="1317.67"/>
  </r>
  <r>
    <s v="PAY00672"/>
    <s v="CLM00892"/>
    <d v="2023-11-02T00:00:00"/>
    <x v="12"/>
    <n v="4306.8599999999997"/>
    <s v="Insurance"/>
    <n v="1250.81"/>
  </r>
  <r>
    <s v="PAY00673"/>
    <s v="CLM00893"/>
    <d v="2024-04-01T00:00:00"/>
    <x v="22"/>
    <n v="189.3"/>
    <s v="Insurance"/>
    <n v="101.55"/>
  </r>
  <r>
    <s v="PAY00674"/>
    <s v="CLM00894"/>
    <d v="2024-01-19T00:00:00"/>
    <x v="15"/>
    <n v="4055.32"/>
    <s v="Insurance"/>
    <n v="452.08"/>
  </r>
  <r>
    <s v="PAY00675"/>
    <s v="CLM00895"/>
    <d v="2023-04-29T00:00:00"/>
    <x v="4"/>
    <n v="466.7"/>
    <s v="Insurance"/>
    <n v="229.19"/>
  </r>
  <r>
    <s v="PAY00676"/>
    <s v="CLM00896"/>
    <d v="2024-01-15T00:00:00"/>
    <x v="15"/>
    <n v="7190.79"/>
    <s v="Insurance"/>
    <n v="411.9"/>
  </r>
  <r>
    <s v="PAY00677"/>
    <s v="CLM00897"/>
    <d v="2024-09-06T00:00:00"/>
    <x v="3"/>
    <n v="1776.56"/>
    <s v="Insurance"/>
    <n v="158.19999999999999"/>
  </r>
  <r>
    <s v="PAY00678"/>
    <s v="CLM00898"/>
    <d v="2023-08-04T00:00:00"/>
    <x v="5"/>
    <n v="269.95"/>
    <s v="Insurance"/>
    <n v="32.1"/>
  </r>
  <r>
    <s v="PAY00679"/>
    <s v="CLM00899"/>
    <d v="2024-12-30T00:00:00"/>
    <x v="16"/>
    <n v="453.99"/>
    <s v="Insurance"/>
    <n v="104.37"/>
  </r>
  <r>
    <s v="PAY00680"/>
    <s v="CLM00900"/>
    <d v="2023-11-29T00:00:00"/>
    <x v="12"/>
    <n v="368.97"/>
    <s v="Insurance"/>
    <n v="83.9"/>
  </r>
  <r>
    <s v="PAY00681"/>
    <s v="CLM00901"/>
    <d v="2023-04-02T00:00:00"/>
    <x v="4"/>
    <n v="78.86"/>
    <s v="Insurance"/>
    <n v="25.43"/>
  </r>
  <r>
    <s v="PAY00682"/>
    <s v="CLM00902"/>
    <d v="2024-09-05T00:00:00"/>
    <x v="3"/>
    <n v="185.36"/>
    <s v="Patient"/>
    <n v="14.27"/>
  </r>
  <r>
    <s v="PAY00683"/>
    <s v="CLM00903"/>
    <d v="2023-04-25T00:00:00"/>
    <x v="4"/>
    <n v="3870.55"/>
    <s v="Insurance"/>
    <n v="175.05"/>
  </r>
  <r>
    <s v="PAY00684"/>
    <s v="CLM00904"/>
    <d v="2023-06-17T00:00:00"/>
    <x v="7"/>
    <n v="39.54"/>
    <s v="Insurance"/>
    <n v="9.6999999999999993"/>
  </r>
  <r>
    <s v="PAY00685"/>
    <s v="CLM00905"/>
    <d v="2024-01-29T00:00:00"/>
    <x v="15"/>
    <n v="343.43"/>
    <s v="Insurance"/>
    <n v="88.61"/>
  </r>
  <r>
    <s v="PAY00686"/>
    <s v="CLM00907"/>
    <d v="2023-04-21T00:00:00"/>
    <x v="4"/>
    <n v="3384.36"/>
    <s v="Insurance"/>
    <n v="821.92"/>
  </r>
  <r>
    <s v="PAY00687"/>
    <s v="CLM00908"/>
    <d v="2024-12-03T00:00:00"/>
    <x v="16"/>
    <n v="36.93"/>
    <s v="Insurance"/>
    <n v="19.079999999999998"/>
  </r>
  <r>
    <s v="PAY00688"/>
    <s v="CLM00911"/>
    <d v="2024-01-31T00:00:00"/>
    <x v="15"/>
    <n v="245.97"/>
    <s v="Insurance"/>
    <n v="53.78"/>
  </r>
  <r>
    <s v="PAY00689"/>
    <s v="CLM00913"/>
    <d v="2024-01-25T00:00:00"/>
    <x v="15"/>
    <n v="37.07"/>
    <s v="Insurance"/>
    <n v="10.15"/>
  </r>
  <r>
    <s v="PAY00690"/>
    <s v="CLM00915"/>
    <d v="2023-12-15T00:00:00"/>
    <x v="19"/>
    <n v="5313.36"/>
    <s v="Insurance"/>
    <n v="704.51"/>
  </r>
  <r>
    <s v="PAY00691"/>
    <s v="CLM00918"/>
    <d v="2023-02-17T00:00:00"/>
    <x v="0"/>
    <n v="102.5"/>
    <s v="Patient"/>
    <n v="8.8000000000000007"/>
  </r>
  <r>
    <s v="PAY00692"/>
    <s v="CLM00919"/>
    <d v="2023-08-07T00:00:00"/>
    <x v="5"/>
    <n v="375.65"/>
    <s v="Insurance"/>
    <n v="182.27"/>
  </r>
  <r>
    <s v="PAY00693"/>
    <s v="CLM00920"/>
    <d v="2023-05-25T00:00:00"/>
    <x v="6"/>
    <n v="2953.01"/>
    <s v="Insurance"/>
    <n v="1376.19"/>
  </r>
  <r>
    <s v="PAY00694"/>
    <s v="CLM00921"/>
    <d v="2024-06-13T00:00:00"/>
    <x v="13"/>
    <n v="245.19"/>
    <s v="Insurance"/>
    <n v="96.36"/>
  </r>
  <r>
    <s v="PAY00695"/>
    <s v="CLM00922"/>
    <d v="2023-11-03T00:00:00"/>
    <x v="12"/>
    <n v="207.04"/>
    <s v="Patient"/>
    <n v="115.74"/>
  </r>
  <r>
    <s v="PAY00696"/>
    <s v="CLM00923"/>
    <d v="2023-11-24T00:00:00"/>
    <x v="12"/>
    <n v="612.74"/>
    <s v="Insurance"/>
    <n v="114.34"/>
  </r>
  <r>
    <s v="PAY00697"/>
    <s v="CLM00924"/>
    <d v="2024-04-14T00:00:00"/>
    <x v="22"/>
    <n v="3840.64"/>
    <s v="Insurance"/>
    <n v="490.04"/>
  </r>
  <r>
    <s v="PAY00698"/>
    <s v="CLM00925"/>
    <d v="2023-08-21T00:00:00"/>
    <x v="5"/>
    <n v="6250.75"/>
    <s v="Insurance"/>
    <n v="825.43"/>
  </r>
  <r>
    <s v="PAY00699"/>
    <s v="CLM00926"/>
    <d v="2024-11-09T00:00:00"/>
    <x v="18"/>
    <n v="368.38"/>
    <s v="Insurance"/>
    <n v="81.96"/>
  </r>
  <r>
    <s v="PAY00700"/>
    <s v="CLM00927"/>
    <d v="2024-09-08T00:00:00"/>
    <x v="3"/>
    <n v="554.75"/>
    <s v="Patient"/>
    <n v="293.14"/>
  </r>
  <r>
    <s v="PAY00701"/>
    <s v="CLM00928"/>
    <d v="2023-02-27T00:00:00"/>
    <x v="0"/>
    <n v="144.97999999999999"/>
    <s v="Insurance"/>
    <n v="61.34"/>
  </r>
  <r>
    <s v="PAY00702"/>
    <s v="CLM00930"/>
    <d v="2023-09-16T00:00:00"/>
    <x v="10"/>
    <n v="222.13"/>
    <s v="Insurance"/>
    <n v="87.13"/>
  </r>
  <r>
    <s v="PAY00703"/>
    <s v="CLM00931"/>
    <d v="2024-08-08T00:00:00"/>
    <x v="21"/>
    <n v="54.43"/>
    <s v="Insurance"/>
    <n v="7.21"/>
  </r>
  <r>
    <s v="PAY00704"/>
    <s v="CLM00934"/>
    <d v="2024-12-18T00:00:00"/>
    <x v="16"/>
    <n v="318.95999999999998"/>
    <s v="Insurance"/>
    <n v="169.99"/>
  </r>
  <r>
    <s v="PAY00705"/>
    <s v="CLM00936"/>
    <d v="2024-07-20T00:00:00"/>
    <x v="9"/>
    <n v="303.95999999999998"/>
    <s v="Insurance"/>
    <n v="140.77000000000001"/>
  </r>
  <r>
    <s v="PAY00706"/>
    <s v="CLM00938"/>
    <d v="2023-04-07T00:00:00"/>
    <x v="4"/>
    <n v="393.41"/>
    <s v="Insurance"/>
    <n v="141.34"/>
  </r>
  <r>
    <s v="PAY00707"/>
    <s v="CLM00939"/>
    <d v="2023-11-25T00:00:00"/>
    <x v="12"/>
    <n v="4070.91"/>
    <s v="Insurance"/>
    <n v="2013.75"/>
  </r>
  <r>
    <s v="PAY00708"/>
    <s v="CLM00940"/>
    <d v="2023-11-04T00:00:00"/>
    <x v="12"/>
    <n v="867.11"/>
    <s v="Insurance"/>
    <n v="239.94"/>
  </r>
  <r>
    <s v="PAY00709"/>
    <s v="CLM00942"/>
    <d v="2023-03-08T00:00:00"/>
    <x v="8"/>
    <n v="1858.63"/>
    <s v="Insurance"/>
    <n v="260.93"/>
  </r>
  <r>
    <s v="PAY00710"/>
    <s v="CLM00943"/>
    <d v="2024-01-22T00:00:00"/>
    <x v="15"/>
    <n v="396.71"/>
    <s v="Insurance"/>
    <n v="120.43"/>
  </r>
  <r>
    <s v="PAY00711"/>
    <s v="CLM00944"/>
    <d v="2023-08-10T00:00:00"/>
    <x v="5"/>
    <n v="42.09"/>
    <s v="Insurance"/>
    <n v="9.65"/>
  </r>
  <r>
    <s v="PAY00712"/>
    <s v="CLM00947"/>
    <d v="2024-04-27T00:00:00"/>
    <x v="22"/>
    <n v="845.77"/>
    <s v="Insurance"/>
    <n v="267.51"/>
  </r>
  <r>
    <s v="PAY00713"/>
    <s v="CLM00949"/>
    <d v="2023-02-16T00:00:00"/>
    <x v="0"/>
    <n v="285.06"/>
    <s v="Insurance"/>
    <n v="29.11"/>
  </r>
  <r>
    <s v="PAY00714"/>
    <s v="CLM00950"/>
    <d v="2024-06-09T00:00:00"/>
    <x v="13"/>
    <n v="301.76"/>
    <s v="Insurance"/>
    <n v="18.739999999999998"/>
  </r>
  <r>
    <s v="PAY00715"/>
    <s v="CLM00952"/>
    <d v="2024-08-19T00:00:00"/>
    <x v="21"/>
    <n v="102.16"/>
    <s v="Insurance"/>
    <n v="51.91"/>
  </r>
  <r>
    <s v="PAY00716"/>
    <s v="CLM00953"/>
    <d v="2024-08-09T00:00:00"/>
    <x v="21"/>
    <n v="263.74"/>
    <s v="Insurance"/>
    <n v="11.75"/>
  </r>
  <r>
    <s v="PAY00717"/>
    <s v="CLM00954"/>
    <d v="2024-12-15T00:00:00"/>
    <x v="16"/>
    <n v="173.57"/>
    <s v="Insurance"/>
    <n v="54.42"/>
  </r>
  <r>
    <s v="PAY00718"/>
    <s v="CLM00955"/>
    <d v="2023-07-30T00:00:00"/>
    <x v="17"/>
    <n v="159.5"/>
    <s v="Insurance"/>
    <n v="51.04"/>
  </r>
  <r>
    <s v="PAY00719"/>
    <s v="CLM00956"/>
    <d v="2023-02-19T00:00:00"/>
    <x v="0"/>
    <n v="3926.35"/>
    <s v="Insurance"/>
    <n v="2366.81"/>
  </r>
  <r>
    <s v="PAY00720"/>
    <s v="CLM00957"/>
    <d v="2023-07-20T00:00:00"/>
    <x v="17"/>
    <n v="956.68"/>
    <s v="Insurance"/>
    <n v="110.37"/>
  </r>
  <r>
    <s v="PAY00721"/>
    <s v="CLM00958"/>
    <d v="2024-03-27T00:00:00"/>
    <x v="2"/>
    <n v="719.67"/>
    <s v="Insurance"/>
    <n v="166"/>
  </r>
  <r>
    <s v="PAY00722"/>
    <s v="CLM00959"/>
    <d v="2023-03-09T00:00:00"/>
    <x v="8"/>
    <n v="1207.6600000000001"/>
    <s v="Insurance"/>
    <n v="718.77"/>
  </r>
  <r>
    <s v="PAY00723"/>
    <s v="CLM00960"/>
    <d v="2024-03-17T00:00:00"/>
    <x v="2"/>
    <n v="1983.27"/>
    <s v="Insurance"/>
    <n v="226.54"/>
  </r>
  <r>
    <s v="PAY00724"/>
    <s v="CLM00961"/>
    <d v="2023-02-11T00:00:00"/>
    <x v="0"/>
    <n v="172.84"/>
    <s v="Insurance"/>
    <n v="51.83"/>
  </r>
  <r>
    <s v="PAY00725"/>
    <s v="CLM00962"/>
    <d v="2023-03-27T00:00:00"/>
    <x v="8"/>
    <n v="190.25"/>
    <s v="Insurance"/>
    <n v="9.92"/>
  </r>
  <r>
    <s v="PAY00726"/>
    <s v="CLM00963"/>
    <d v="2024-12-20T00:00:00"/>
    <x v="16"/>
    <n v="2919.43"/>
    <s v="Insurance"/>
    <n v="1207.5"/>
  </r>
  <r>
    <s v="PAY00727"/>
    <s v="CLM00964"/>
    <d v="2023-09-28T00:00:00"/>
    <x v="10"/>
    <n v="302.52"/>
    <s v="Insurance"/>
    <n v="44.18"/>
  </r>
  <r>
    <s v="PAY00728"/>
    <s v="CLM00965"/>
    <d v="2023-09-02T00:00:00"/>
    <x v="10"/>
    <n v="1226.17"/>
    <s v="Insurance"/>
    <n v="53.59"/>
  </r>
  <r>
    <s v="PAY00729"/>
    <s v="CLM00966"/>
    <d v="2023-03-22T00:00:00"/>
    <x v="8"/>
    <n v="133.78"/>
    <s v="Insurance"/>
    <n v="52.85"/>
  </r>
  <r>
    <s v="PAY00730"/>
    <s v="CLM00967"/>
    <d v="2024-05-14T00:00:00"/>
    <x v="11"/>
    <n v="857.92"/>
    <s v="Insurance"/>
    <n v="405.41"/>
  </r>
  <r>
    <s v="PAY00731"/>
    <s v="CLM00968"/>
    <d v="2024-05-02T00:00:00"/>
    <x v="11"/>
    <n v="1058.8800000000001"/>
    <s v="Insurance"/>
    <n v="85.36"/>
  </r>
  <r>
    <s v="PAY00732"/>
    <s v="CLM00969"/>
    <d v="2023-02-09T00:00:00"/>
    <x v="0"/>
    <n v="658.57"/>
    <s v="Insurance"/>
    <n v="34.54"/>
  </r>
  <r>
    <s v="PAY00733"/>
    <s v="CLM00970"/>
    <d v="2024-10-16T00:00:00"/>
    <x v="1"/>
    <n v="117.71"/>
    <s v="Insurance"/>
    <n v="69.569999999999993"/>
  </r>
  <r>
    <s v="PAY00734"/>
    <s v="CLM00971"/>
    <d v="2023-11-08T00:00:00"/>
    <x v="12"/>
    <n v="746.38"/>
    <s v="Insurance"/>
    <n v="54.49"/>
  </r>
  <r>
    <s v="PAY00735"/>
    <s v="CLM00972"/>
    <d v="2024-01-25T00:00:00"/>
    <x v="15"/>
    <n v="316.73"/>
    <s v="Insurance"/>
    <n v="16.559999999999999"/>
  </r>
  <r>
    <s v="PAY00736"/>
    <s v="CLM00975"/>
    <d v="2025-01-10T00:00:00"/>
    <x v="14"/>
    <n v="3581.08"/>
    <s v="Patient"/>
    <n v="1829.2"/>
  </r>
  <r>
    <s v="PAY00737"/>
    <s v="CLM00976"/>
    <d v="2024-08-06T00:00:00"/>
    <x v="21"/>
    <n v="239.23"/>
    <s v="Insurance"/>
    <n v="69.08"/>
  </r>
  <r>
    <s v="PAY00738"/>
    <s v="CLM00978"/>
    <d v="2024-04-15T00:00:00"/>
    <x v="22"/>
    <n v="245.24"/>
    <s v="Insurance"/>
    <n v="118.15"/>
  </r>
  <r>
    <s v="PAY00739"/>
    <s v="CLM00979"/>
    <d v="2023-10-14T00:00:00"/>
    <x v="23"/>
    <n v="514.14"/>
    <s v="Insurance"/>
    <n v="45.35"/>
  </r>
  <r>
    <s v="PAY00740"/>
    <s v="CLM00981"/>
    <d v="2023-04-29T00:00:00"/>
    <x v="4"/>
    <n v="36.72"/>
    <s v="Insurance"/>
    <n v="14.89"/>
  </r>
  <r>
    <s v="PAY00741"/>
    <s v="CLM00983"/>
    <d v="2023-11-10T00:00:00"/>
    <x v="12"/>
    <n v="393.73"/>
    <s v="Insurance"/>
    <n v="231.65"/>
  </r>
  <r>
    <s v="PAY00742"/>
    <s v="CLM00984"/>
    <d v="2023-08-19T00:00:00"/>
    <x v="5"/>
    <n v="272.94"/>
    <s v="Insurance"/>
    <n v="27.47"/>
  </r>
  <r>
    <s v="PAY00743"/>
    <s v="CLM00985"/>
    <d v="2024-01-08T00:00:00"/>
    <x v="15"/>
    <n v="3856.34"/>
    <s v="Insurance"/>
    <n v="1653.76"/>
  </r>
  <r>
    <s v="PAY00744"/>
    <s v="CLM00986"/>
    <d v="2023-04-27T00:00:00"/>
    <x v="4"/>
    <n v="3291.49"/>
    <s v="Insurance"/>
    <n v="1323.82"/>
  </r>
  <r>
    <s v="PAY00745"/>
    <s v="CLM00987"/>
    <d v="2024-02-23T00:00:00"/>
    <x v="20"/>
    <n v="603.99"/>
    <s v="Patient"/>
    <n v="266.27"/>
  </r>
  <r>
    <s v="PAY00746"/>
    <s v="CLM00988"/>
    <d v="2023-12-14T00:00:00"/>
    <x v="19"/>
    <n v="1086.4000000000001"/>
    <s v="Insurance"/>
    <n v="373.23"/>
  </r>
  <r>
    <s v="PAY00747"/>
    <s v="CLM00989"/>
    <d v="2023-07-02T00:00:00"/>
    <x v="17"/>
    <n v="586.6"/>
    <s v="Insurance"/>
    <n v="272.95"/>
  </r>
  <r>
    <s v="PAY00748"/>
    <s v="CLM00990"/>
    <d v="2024-11-23T00:00:00"/>
    <x v="18"/>
    <n v="4043.1"/>
    <s v="Insurance"/>
    <n v="291.45999999999998"/>
  </r>
  <r>
    <s v="PAY00749"/>
    <s v="CLM00991"/>
    <d v="2024-11-12T00:00:00"/>
    <x v="18"/>
    <n v="397.52"/>
    <s v="Insurance"/>
    <n v="225.31"/>
  </r>
  <r>
    <s v="PAY00750"/>
    <s v="CLM00992"/>
    <d v="2024-10-18T00:00:00"/>
    <x v="1"/>
    <n v="204.79"/>
    <s v="Insurance"/>
    <n v="91.99"/>
  </r>
  <r>
    <s v="PAY00751"/>
    <s v="CLM00994"/>
    <d v="2024-09-24T00:00:00"/>
    <x v="3"/>
    <n v="172.11"/>
    <s v="Patient"/>
    <n v="104.04"/>
  </r>
  <r>
    <s v="PAY00752"/>
    <s v="CLM00995"/>
    <d v="2024-11-25T00:00:00"/>
    <x v="18"/>
    <n v="551.02"/>
    <s v="Insurance"/>
    <n v="53.12"/>
  </r>
  <r>
    <s v="PAY00753"/>
    <s v="CLM00996"/>
    <d v="2023-06-03T00:00:00"/>
    <x v="7"/>
    <n v="335.41"/>
    <s v="Insurance"/>
    <n v="94.42"/>
  </r>
  <r>
    <s v="PAY00754"/>
    <s v="CLM00998"/>
    <d v="2024-04-19T00:00:00"/>
    <x v="22"/>
    <n v="214.26"/>
    <s v="Insurance"/>
    <n v="18.989999999999998"/>
  </r>
  <r>
    <s v="PAY00755"/>
    <s v="CLM00999"/>
    <d v="2024-05-03T00:00:00"/>
    <x v="11"/>
    <n v="693.52"/>
    <s v="Insurance"/>
    <n v="30.91"/>
  </r>
  <r>
    <s v="PAY00756"/>
    <s v="CLM01000"/>
    <d v="2024-10-04T00:00:00"/>
    <x v="1"/>
    <n v="409.07"/>
    <s v="Patient"/>
    <n v="29.02"/>
  </r>
  <r>
    <s v="PAY00757"/>
    <s v="CLM01003"/>
    <d v="2023-07-19T00:00:00"/>
    <x v="17"/>
    <n v="620.09"/>
    <s v="Insurance"/>
    <n v="147.80000000000001"/>
  </r>
  <r>
    <s v="PAY00758"/>
    <s v="CLM01004"/>
    <d v="2023-08-28T00:00:00"/>
    <x v="5"/>
    <n v="525.54999999999995"/>
    <s v="Patient"/>
    <n v="282.19"/>
  </r>
  <r>
    <s v="PAY00759"/>
    <s v="CLM01005"/>
    <d v="2024-10-26T00:00:00"/>
    <x v="1"/>
    <n v="67.88"/>
    <s v="Patient"/>
    <n v="32.450000000000003"/>
  </r>
  <r>
    <s v="PAY00760"/>
    <s v="CLM01006"/>
    <d v="2024-08-18T00:00:00"/>
    <x v="21"/>
    <n v="631.19000000000005"/>
    <s v="Insurance"/>
    <n v="294.16000000000003"/>
  </r>
  <r>
    <s v="PAY00761"/>
    <s v="CLM01007"/>
    <d v="2025-01-04T00:00:00"/>
    <x v="14"/>
    <n v="78.05"/>
    <s v="Insurance"/>
    <n v="42.44"/>
  </r>
  <r>
    <s v="PAY00762"/>
    <s v="CLM01008"/>
    <d v="2024-03-23T00:00:00"/>
    <x v="2"/>
    <n v="293.37"/>
    <s v="Patient"/>
    <n v="93.59"/>
  </r>
  <r>
    <s v="PAY00763"/>
    <s v="CLM01010"/>
    <d v="2024-12-22T00:00:00"/>
    <x v="16"/>
    <n v="206.32"/>
    <s v="Insurance"/>
    <n v="12.24"/>
  </r>
  <r>
    <s v="PAY00764"/>
    <s v="CLM01011"/>
    <d v="2024-05-27T00:00:00"/>
    <x v="11"/>
    <n v="261.24"/>
    <s v="Insurance"/>
    <n v="147.75"/>
  </r>
  <r>
    <s v="PAY00765"/>
    <s v="CLM01012"/>
    <d v="2023-09-09T00:00:00"/>
    <x v="10"/>
    <n v="822.52"/>
    <s v="Insurance"/>
    <n v="489.03"/>
  </r>
  <r>
    <s v="PAY00766"/>
    <s v="CLM01013"/>
    <d v="2025-02-15T00:00:00"/>
    <x v="24"/>
    <n v="221.28"/>
    <s v="Insurance"/>
    <n v="86.47"/>
  </r>
  <r>
    <s v="PAY00767"/>
    <s v="CLM01015"/>
    <d v="2023-07-31T00:00:00"/>
    <x v="17"/>
    <n v="206.5"/>
    <s v="Insurance"/>
    <n v="14.75"/>
  </r>
  <r>
    <s v="PAY00768"/>
    <s v="CLM01016"/>
    <d v="2023-02-27T00:00:00"/>
    <x v="0"/>
    <n v="39.74"/>
    <s v="Insurance"/>
    <n v="14.45"/>
  </r>
  <r>
    <s v="PAY00769"/>
    <s v="CLM01017"/>
    <d v="2025-02-07T00:00:00"/>
    <x v="24"/>
    <n v="102.71"/>
    <s v="Insurance"/>
    <n v="13.82"/>
  </r>
  <r>
    <s v="PAY00770"/>
    <s v="CLM01018"/>
    <d v="2023-09-29T00:00:00"/>
    <x v="10"/>
    <n v="547.08000000000004"/>
    <s v="Patient"/>
    <n v="34.9"/>
  </r>
  <r>
    <s v="PAY00771"/>
    <s v="CLM01020"/>
    <d v="2023-05-29T00:00:00"/>
    <x v="6"/>
    <n v="676.18"/>
    <s v="Insurance"/>
    <n v="153.81"/>
  </r>
  <r>
    <s v="PAY00772"/>
    <s v="CLM01022"/>
    <d v="2024-07-02T00:00:00"/>
    <x v="9"/>
    <n v="729.63"/>
    <s v="Insurance"/>
    <n v="143.82"/>
  </r>
  <r>
    <s v="PAY00773"/>
    <s v="CLM01023"/>
    <d v="2024-05-01T00:00:00"/>
    <x v="11"/>
    <n v="256.45"/>
    <s v="Insurance"/>
    <n v="144.63999999999999"/>
  </r>
  <r>
    <s v="PAY00774"/>
    <s v="CLM01024"/>
    <d v="2024-04-08T00:00:00"/>
    <x v="22"/>
    <n v="3101.35"/>
    <s v="Insurance"/>
    <n v="1843.92"/>
  </r>
  <r>
    <s v="PAY00775"/>
    <s v="CLM01026"/>
    <d v="2025-01-20T00:00:00"/>
    <x v="14"/>
    <n v="216.01"/>
    <s v="Patient"/>
    <n v="70.02"/>
  </r>
  <r>
    <s v="PAY00776"/>
    <s v="CLM01027"/>
    <d v="2024-07-14T00:00:00"/>
    <x v="9"/>
    <n v="3188.29"/>
    <s v="Insurance"/>
    <n v="1635.66"/>
  </r>
  <r>
    <s v="PAY00777"/>
    <s v="CLM01028"/>
    <d v="2025-02-06T00:00:00"/>
    <x v="24"/>
    <n v="213.65"/>
    <s v="Insurance"/>
    <n v="127.47"/>
  </r>
  <r>
    <s v="PAY00778"/>
    <s v="CLM01029"/>
    <d v="2024-12-04T00:00:00"/>
    <x v="16"/>
    <n v="459.44"/>
    <s v="Insurance"/>
    <n v="267.39999999999998"/>
  </r>
  <r>
    <s v="PAY00779"/>
    <s v="CLM01030"/>
    <d v="2023-11-08T00:00:00"/>
    <x v="12"/>
    <n v="311.51"/>
    <s v="Insurance"/>
    <n v="106.13"/>
  </r>
  <r>
    <s v="PAY00780"/>
    <s v="CLM01031"/>
    <d v="2023-05-23T00:00:00"/>
    <x v="6"/>
    <n v="1122.1300000000001"/>
    <s v="Insurance"/>
    <n v="97.71"/>
  </r>
  <r>
    <s v="PAY00781"/>
    <s v="CLM01033"/>
    <d v="2023-12-09T00:00:00"/>
    <x v="19"/>
    <n v="5768.78"/>
    <s v="Insurance"/>
    <n v="572.92999999999995"/>
  </r>
  <r>
    <s v="PAY00782"/>
    <s v="CLM01036"/>
    <d v="2024-02-01T00:00:00"/>
    <x v="20"/>
    <n v="86.11"/>
    <s v="Insurance"/>
    <n v="31.81"/>
  </r>
  <r>
    <s v="PAY00783"/>
    <s v="CLM01037"/>
    <d v="2023-11-22T00:00:00"/>
    <x v="12"/>
    <n v="622.63"/>
    <s v="Insurance"/>
    <n v="355.38"/>
  </r>
  <r>
    <s v="PAY00784"/>
    <s v="CLM01038"/>
    <d v="2024-06-06T00:00:00"/>
    <x v="13"/>
    <n v="2894.11"/>
    <s v="Insurance"/>
    <n v="1454.56"/>
  </r>
  <r>
    <s v="PAY00785"/>
    <s v="CLM01039"/>
    <d v="2024-12-04T00:00:00"/>
    <x v="16"/>
    <n v="2576.41"/>
    <s v="Insurance"/>
    <n v="586.66"/>
  </r>
  <r>
    <s v="PAY00786"/>
    <s v="CLM01040"/>
    <d v="2023-09-21T00:00:00"/>
    <x v="10"/>
    <n v="1573.62"/>
    <s v="Insurance"/>
    <n v="885.89"/>
  </r>
  <r>
    <s v="PAY00787"/>
    <s v="CLM01042"/>
    <d v="2024-05-22T00:00:00"/>
    <x v="11"/>
    <n v="168.29"/>
    <s v="Insurance"/>
    <n v="47.88"/>
  </r>
  <r>
    <s v="PAY00788"/>
    <s v="CLM01043"/>
    <d v="2023-02-13T00:00:00"/>
    <x v="0"/>
    <n v="226.73"/>
    <s v="Insurance"/>
    <n v="119.12"/>
  </r>
  <r>
    <s v="PAY00789"/>
    <s v="CLM01044"/>
    <d v="2023-08-24T00:00:00"/>
    <x v="5"/>
    <n v="722.5"/>
    <s v="Insurance"/>
    <n v="147.85"/>
  </r>
  <r>
    <s v="PAY00790"/>
    <s v="CLM01046"/>
    <d v="2023-05-11T00:00:00"/>
    <x v="6"/>
    <n v="651.79999999999995"/>
    <s v="Insurance"/>
    <n v="54.84"/>
  </r>
  <r>
    <s v="PAY00791"/>
    <s v="CLM01047"/>
    <d v="2023-03-03T00:00:00"/>
    <x v="8"/>
    <n v="1061.25"/>
    <s v="Insurance"/>
    <n v="240.69"/>
  </r>
  <r>
    <s v="PAY00792"/>
    <s v="CLM01049"/>
    <d v="2024-11-10T00:00:00"/>
    <x v="18"/>
    <n v="307.23"/>
    <s v="Insurance"/>
    <n v="42.4"/>
  </r>
  <r>
    <s v="PAY00793"/>
    <s v="CLM01052"/>
    <d v="2024-04-21T00:00:00"/>
    <x v="22"/>
    <n v="1369.91"/>
    <s v="Insurance"/>
    <n v="258.88"/>
  </r>
  <r>
    <s v="PAY00794"/>
    <s v="CLM01053"/>
    <d v="2023-05-26T00:00:00"/>
    <x v="6"/>
    <n v="1783.35"/>
    <s v="Patient"/>
    <n v="250.63"/>
  </r>
  <r>
    <s v="PAY00795"/>
    <s v="CLM01054"/>
    <d v="2024-10-05T00:00:00"/>
    <x v="1"/>
    <n v="1490.53"/>
    <s v="Patient"/>
    <n v="770.59"/>
  </r>
  <r>
    <s v="PAY00796"/>
    <s v="CLM01055"/>
    <d v="2023-07-11T00:00:00"/>
    <x v="17"/>
    <n v="705.38"/>
    <s v="Insurance"/>
    <n v="297.24"/>
  </r>
  <r>
    <s v="PAY00797"/>
    <s v="CLM01056"/>
    <d v="2023-07-16T00:00:00"/>
    <x v="17"/>
    <n v="3641.68"/>
    <s v="Insurance"/>
    <n v="2076.37"/>
  </r>
  <r>
    <s v="PAY00798"/>
    <s v="CLM01057"/>
    <d v="2025-01-27T00:00:00"/>
    <x v="14"/>
    <n v="263.70999999999998"/>
    <s v="Insurance"/>
    <n v="144.24"/>
  </r>
  <r>
    <s v="PAY00799"/>
    <s v="CLM01058"/>
    <d v="2023-10-25T00:00:00"/>
    <x v="23"/>
    <n v="2514.69"/>
    <s v="Insurance"/>
    <n v="767.56"/>
  </r>
  <r>
    <s v="PAY00800"/>
    <s v="CLM01060"/>
    <d v="2023-02-13T00:00:00"/>
    <x v="0"/>
    <n v="419.57"/>
    <s v="Insurance"/>
    <n v="244.11"/>
  </r>
  <r>
    <s v="PAY00801"/>
    <s v="CLM01062"/>
    <d v="2023-12-10T00:00:00"/>
    <x v="19"/>
    <n v="302.52999999999997"/>
    <s v="Insurance"/>
    <n v="45.4"/>
  </r>
  <r>
    <s v="PAY00802"/>
    <s v="CLM01063"/>
    <d v="2023-07-09T00:00:00"/>
    <x v="17"/>
    <n v="3049.91"/>
    <s v="Insurance"/>
    <n v="1479.4"/>
  </r>
  <r>
    <s v="PAY00803"/>
    <s v="CLM01065"/>
    <d v="2024-05-28T00:00:00"/>
    <x v="11"/>
    <n v="719.48"/>
    <s v="Insurance"/>
    <n v="215.92"/>
  </r>
  <r>
    <s v="PAY00804"/>
    <s v="CLM01066"/>
    <d v="2024-04-23T00:00:00"/>
    <x v="22"/>
    <n v="117.75"/>
    <s v="Insurance"/>
    <n v="64.099999999999994"/>
  </r>
  <r>
    <s v="PAY00805"/>
    <s v="CLM01067"/>
    <d v="2023-03-20T00:00:00"/>
    <x v="8"/>
    <n v="625.88"/>
    <s v="Insurance"/>
    <n v="289.82"/>
  </r>
  <r>
    <s v="PAY00806"/>
    <s v="CLM01068"/>
    <d v="2024-01-20T00:00:00"/>
    <x v="15"/>
    <n v="578.73"/>
    <s v="Insurance"/>
    <n v="352.48"/>
  </r>
  <r>
    <s v="PAY00807"/>
    <s v="CLM01071"/>
    <d v="2023-09-24T00:00:00"/>
    <x v="10"/>
    <n v="279.17"/>
    <s v="Insurance"/>
    <n v="163.12"/>
  </r>
  <r>
    <s v="PAY00808"/>
    <s v="CLM01072"/>
    <d v="2023-09-05T00:00:00"/>
    <x v="10"/>
    <n v="267.42"/>
    <s v="Insurance"/>
    <n v="91.55"/>
  </r>
  <r>
    <s v="PAY00809"/>
    <s v="CLM01073"/>
    <d v="2024-07-31T00:00:00"/>
    <x v="9"/>
    <n v="109.76"/>
    <s v="Patient"/>
    <n v="16.77"/>
  </r>
  <r>
    <s v="PAY00810"/>
    <s v="CLM01074"/>
    <d v="2023-12-07T00:00:00"/>
    <x v="19"/>
    <n v="114.3"/>
    <s v="Insurance"/>
    <n v="48.83"/>
  </r>
  <r>
    <s v="PAY00811"/>
    <s v="CLM01075"/>
    <d v="2023-04-04T00:00:00"/>
    <x v="4"/>
    <n v="5413.49"/>
    <s v="Insurance"/>
    <n v="606.02"/>
  </r>
  <r>
    <s v="PAY00812"/>
    <s v="CLM01076"/>
    <d v="2023-06-17T00:00:00"/>
    <x v="7"/>
    <n v="268.14"/>
    <s v="Insurance"/>
    <n v="163.31"/>
  </r>
  <r>
    <s v="PAY00813"/>
    <s v="CLM01077"/>
    <d v="2023-03-21T00:00:00"/>
    <x v="8"/>
    <n v="113.76"/>
    <s v="Patient"/>
    <n v="10.17"/>
  </r>
  <r>
    <s v="PAY00814"/>
    <s v="CLM01078"/>
    <d v="2024-11-16T00:00:00"/>
    <x v="18"/>
    <n v="762.32"/>
    <s v="Insurance"/>
    <n v="266.04000000000002"/>
  </r>
  <r>
    <s v="PAY00815"/>
    <s v="CLM01079"/>
    <d v="2024-09-01T00:00:00"/>
    <x v="3"/>
    <n v="566.70000000000005"/>
    <s v="Patient"/>
    <n v="265.64"/>
  </r>
  <r>
    <s v="PAY00816"/>
    <s v="CLM01081"/>
    <d v="2023-04-03T00:00:00"/>
    <x v="4"/>
    <n v="1263.53"/>
    <s v="Insurance"/>
    <n v="140.43"/>
  </r>
  <r>
    <s v="PAY00817"/>
    <s v="CLM01084"/>
    <d v="2024-07-08T00:00:00"/>
    <x v="9"/>
    <n v="635.91999999999996"/>
    <s v="Insurance"/>
    <n v="264.52"/>
  </r>
  <r>
    <s v="PAY00818"/>
    <s v="CLM01085"/>
    <d v="2024-12-08T00:00:00"/>
    <x v="16"/>
    <n v="4196.3500000000004"/>
    <s v="Insurance"/>
    <n v="353.24"/>
  </r>
  <r>
    <s v="PAY00819"/>
    <s v="CLM01089"/>
    <d v="2024-12-13T00:00:00"/>
    <x v="16"/>
    <n v="2907.56"/>
    <s v="Insurance"/>
    <n v="1110.57"/>
  </r>
  <r>
    <s v="PAY00820"/>
    <s v="CLM01091"/>
    <d v="2023-05-02T00:00:00"/>
    <x v="6"/>
    <n v="591.79"/>
    <s v="Insurance"/>
    <n v="93.8"/>
  </r>
  <r>
    <s v="PAY00821"/>
    <s v="CLM01094"/>
    <d v="2023-07-26T00:00:00"/>
    <x v="17"/>
    <n v="2064.35"/>
    <s v="Insurance"/>
    <n v="175.72"/>
  </r>
  <r>
    <s v="PAY00822"/>
    <s v="CLM01096"/>
    <d v="2024-07-27T00:00:00"/>
    <x v="9"/>
    <n v="1232.58"/>
    <s v="Insurance"/>
    <n v="276.60000000000002"/>
  </r>
  <r>
    <s v="PAY00823"/>
    <s v="CLM01098"/>
    <d v="2024-03-06T00:00:00"/>
    <x v="2"/>
    <n v="3311.58"/>
    <s v="Insurance"/>
    <n v="866.31"/>
  </r>
  <r>
    <s v="PAY00824"/>
    <s v="CLM01100"/>
    <d v="2023-08-20T00:00:00"/>
    <x v="5"/>
    <n v="117.75"/>
    <s v="Patient"/>
    <n v="49.02"/>
  </r>
  <r>
    <s v="PAY00825"/>
    <s v="CLM01102"/>
    <d v="2023-05-18T00:00:00"/>
    <x v="6"/>
    <n v="312.68"/>
    <s v="Insurance"/>
    <n v="89.13"/>
  </r>
  <r>
    <s v="PAY00826"/>
    <s v="CLM01103"/>
    <d v="2023-07-10T00:00:00"/>
    <x v="17"/>
    <n v="145.81"/>
    <s v="Insurance"/>
    <n v="34.700000000000003"/>
  </r>
  <r>
    <s v="PAY00827"/>
    <s v="CLM01104"/>
    <d v="2024-12-14T00:00:00"/>
    <x v="16"/>
    <n v="640.91"/>
    <s v="Patient"/>
    <n v="55.91"/>
  </r>
  <r>
    <s v="PAY00828"/>
    <s v="CLM01105"/>
    <d v="2024-05-01T00:00:00"/>
    <x v="11"/>
    <n v="172.44"/>
    <s v="Insurance"/>
    <n v="7.59"/>
  </r>
  <r>
    <s v="PAY00829"/>
    <s v="CLM01106"/>
    <d v="2023-05-19T00:00:00"/>
    <x v="6"/>
    <n v="1416.58"/>
    <s v="Insurance"/>
    <n v="515.26"/>
  </r>
  <r>
    <s v="PAY00830"/>
    <s v="CLM01107"/>
    <d v="2024-10-05T00:00:00"/>
    <x v="1"/>
    <n v="44.34"/>
    <s v="Insurance"/>
    <n v="2.95"/>
  </r>
  <r>
    <s v="PAY00831"/>
    <s v="CLM01108"/>
    <d v="2025-01-10T00:00:00"/>
    <x v="14"/>
    <n v="926.27"/>
    <s v="Insurance"/>
    <n v="103.04"/>
  </r>
  <r>
    <s v="PAY00832"/>
    <s v="CLM01110"/>
    <d v="2024-12-07T00:00:00"/>
    <x v="16"/>
    <n v="1105.06"/>
    <s v="Insurance"/>
    <n v="160.26"/>
  </r>
  <r>
    <s v="PAY00833"/>
    <s v="CLM01111"/>
    <d v="2024-12-15T00:00:00"/>
    <x v="16"/>
    <n v="1643.27"/>
    <s v="Insurance"/>
    <n v="386.78"/>
  </r>
  <r>
    <s v="PAY00834"/>
    <s v="CLM01112"/>
    <d v="2025-01-11T00:00:00"/>
    <x v="14"/>
    <n v="693.31"/>
    <s v="Insurance"/>
    <n v="376.66"/>
  </r>
  <r>
    <s v="PAY00835"/>
    <s v="CLM01113"/>
    <d v="2023-07-24T00:00:00"/>
    <x v="17"/>
    <n v="787.14"/>
    <s v="Insurance"/>
    <n v="345.76"/>
  </r>
  <r>
    <s v="PAY00836"/>
    <s v="CLM01114"/>
    <d v="2024-12-28T00:00:00"/>
    <x v="16"/>
    <n v="423.49"/>
    <s v="Insurance"/>
    <n v="62.94"/>
  </r>
  <r>
    <s v="PAY00837"/>
    <s v="CLM01115"/>
    <d v="2024-03-13T00:00:00"/>
    <x v="2"/>
    <n v="2224.59"/>
    <s v="Patient"/>
    <n v="420.87"/>
  </r>
  <r>
    <s v="PAY00838"/>
    <s v="CLM01118"/>
    <d v="2024-06-12T00:00:00"/>
    <x v="13"/>
    <n v="1340.66"/>
    <s v="Insurance"/>
    <n v="222.87"/>
  </r>
  <r>
    <s v="PAY00839"/>
    <s v="CLM01119"/>
    <d v="2024-12-02T00:00:00"/>
    <x v="16"/>
    <n v="1945.99"/>
    <s v="Insurance"/>
    <n v="179.95"/>
  </r>
  <r>
    <s v="PAY00840"/>
    <s v="CLM01120"/>
    <d v="2023-03-06T00:00:00"/>
    <x v="8"/>
    <n v="671.86"/>
    <s v="Insurance"/>
    <n v="274.16000000000003"/>
  </r>
  <r>
    <s v="PAY00841"/>
    <s v="CLM01121"/>
    <d v="2023-03-27T00:00:00"/>
    <x v="8"/>
    <n v="90.13"/>
    <s v="Insurance"/>
    <n v="50.87"/>
  </r>
  <r>
    <s v="PAY00842"/>
    <s v="CLM01123"/>
    <d v="2024-10-19T00:00:00"/>
    <x v="1"/>
    <n v="660.29"/>
    <s v="Insurance"/>
    <n v="261.70999999999998"/>
  </r>
  <r>
    <s v="PAY00843"/>
    <s v="CLM01124"/>
    <d v="2023-01-31T00:00:00"/>
    <x v="25"/>
    <n v="722.92"/>
    <s v="Insurance"/>
    <n v="79.75"/>
  </r>
  <r>
    <s v="PAY00844"/>
    <s v="CLM01125"/>
    <d v="2024-07-18T00:00:00"/>
    <x v="9"/>
    <n v="353"/>
    <s v="Insurance"/>
    <n v="124.86"/>
  </r>
  <r>
    <s v="PAY00845"/>
    <s v="CLM01127"/>
    <d v="2024-08-04T00:00:00"/>
    <x v="21"/>
    <n v="795.96"/>
    <s v="Insurance"/>
    <n v="94.7"/>
  </r>
  <r>
    <s v="PAY00846"/>
    <s v="CLM01128"/>
    <d v="2024-02-25T00:00:00"/>
    <x v="20"/>
    <n v="544.4"/>
    <s v="Patient"/>
    <n v="276.14999999999998"/>
  </r>
  <r>
    <s v="PAY00847"/>
    <s v="CLM01129"/>
    <d v="2024-05-23T00:00:00"/>
    <x v="11"/>
    <n v="1286.76"/>
    <s v="Insurance"/>
    <n v="61.34"/>
  </r>
  <r>
    <s v="PAY00848"/>
    <s v="CLM01130"/>
    <d v="2024-11-27T00:00:00"/>
    <x v="18"/>
    <n v="150.51"/>
    <s v="Insurance"/>
    <n v="9.0500000000000007"/>
  </r>
  <r>
    <s v="PAY00849"/>
    <s v="CLM01132"/>
    <d v="2024-10-12T00:00:00"/>
    <x v="1"/>
    <n v="37.58"/>
    <s v="Insurance"/>
    <n v="20.6"/>
  </r>
  <r>
    <s v="PAY00850"/>
    <s v="CLM01133"/>
    <d v="2023-11-27T00:00:00"/>
    <x v="12"/>
    <n v="170.98"/>
    <s v="Insurance"/>
    <n v="42.12"/>
  </r>
  <r>
    <s v="PAY00851"/>
    <s v="CLM01135"/>
    <d v="2023-07-05T00:00:00"/>
    <x v="17"/>
    <n v="44.24"/>
    <s v="Insurance"/>
    <n v="8.9499999999999993"/>
  </r>
  <r>
    <s v="PAY00852"/>
    <s v="CLM01136"/>
    <d v="2024-01-15T00:00:00"/>
    <x v="15"/>
    <n v="2168.6"/>
    <s v="Insurance"/>
    <n v="309.3"/>
  </r>
  <r>
    <s v="PAY00853"/>
    <s v="CLM01137"/>
    <d v="2023-08-28T00:00:00"/>
    <x v="5"/>
    <n v="424.33"/>
    <s v="Insurance"/>
    <n v="111.4"/>
  </r>
  <r>
    <s v="PAY00854"/>
    <s v="CLM01138"/>
    <d v="2025-01-25T00:00:00"/>
    <x v="14"/>
    <n v="657.73"/>
    <s v="Insurance"/>
    <n v="167.79"/>
  </r>
  <r>
    <s v="PAY00855"/>
    <s v="CLM01139"/>
    <d v="2024-06-02T00:00:00"/>
    <x v="13"/>
    <n v="1929.05"/>
    <s v="Insurance"/>
    <n v="227.99"/>
  </r>
  <r>
    <s v="PAY00856"/>
    <s v="CLM01141"/>
    <d v="2023-03-24T00:00:00"/>
    <x v="8"/>
    <n v="1846.73"/>
    <s v="Insurance"/>
    <n v="285.2"/>
  </r>
  <r>
    <s v="PAY00857"/>
    <s v="CLM01142"/>
    <d v="2023-09-17T00:00:00"/>
    <x v="10"/>
    <n v="165.42"/>
    <s v="Insurance"/>
    <n v="36.79"/>
  </r>
  <r>
    <s v="PAY00858"/>
    <s v="CLM01144"/>
    <d v="2024-11-12T00:00:00"/>
    <x v="18"/>
    <n v="359.12"/>
    <s v="Insurance"/>
    <n v="75.2"/>
  </r>
  <r>
    <s v="PAY00859"/>
    <s v="CLM01145"/>
    <d v="2024-09-24T00:00:00"/>
    <x v="3"/>
    <n v="146.13999999999999"/>
    <s v="Patient"/>
    <n v="37.479999999999997"/>
  </r>
  <r>
    <s v="PAY00860"/>
    <s v="CLM01146"/>
    <d v="2023-09-01T00:00:00"/>
    <x v="10"/>
    <n v="4837.5"/>
    <s v="Insurance"/>
    <n v="1373.17"/>
  </r>
  <r>
    <s v="PAY00861"/>
    <s v="CLM01151"/>
    <d v="2024-03-09T00:00:00"/>
    <x v="2"/>
    <n v="671.89"/>
    <s v="Insurance"/>
    <n v="84.8"/>
  </r>
  <r>
    <s v="PAY00862"/>
    <s v="CLM01152"/>
    <d v="2023-09-01T00:00:00"/>
    <x v="10"/>
    <n v="369.59"/>
    <s v="Insurance"/>
    <n v="97.32"/>
  </r>
  <r>
    <s v="PAY00863"/>
    <s v="CLM01154"/>
    <d v="2023-06-04T00:00:00"/>
    <x v="7"/>
    <n v="2611.61"/>
    <s v="Patient"/>
    <n v="1505.97"/>
  </r>
  <r>
    <s v="PAY00864"/>
    <s v="CLM01155"/>
    <d v="2024-04-27T00:00:00"/>
    <x v="22"/>
    <n v="586.24"/>
    <s v="Insurance"/>
    <n v="27.79"/>
  </r>
  <r>
    <s v="PAY00865"/>
    <s v="CLM01156"/>
    <d v="2023-08-16T00:00:00"/>
    <x v="5"/>
    <n v="953.9"/>
    <s v="Insurance"/>
    <n v="361.52"/>
  </r>
  <r>
    <s v="PAY00866"/>
    <s v="CLM01157"/>
    <d v="2024-07-15T00:00:00"/>
    <x v="9"/>
    <n v="564.77"/>
    <s v="Insurance"/>
    <n v="151.27000000000001"/>
  </r>
  <r>
    <s v="PAY00867"/>
    <s v="CLM01159"/>
    <d v="2023-05-31T00:00:00"/>
    <x v="6"/>
    <n v="179.79"/>
    <s v="Insurance"/>
    <n v="27.99"/>
  </r>
  <r>
    <s v="PAY00868"/>
    <s v="CLM01160"/>
    <d v="2024-03-18T00:00:00"/>
    <x v="2"/>
    <n v="309.44"/>
    <s v="Insurance"/>
    <n v="154.66"/>
  </r>
  <r>
    <s v="PAY00869"/>
    <s v="CLM01162"/>
    <d v="2024-11-23T00:00:00"/>
    <x v="18"/>
    <n v="4809.76"/>
    <s v="Insurance"/>
    <n v="369.47"/>
  </r>
  <r>
    <s v="PAY00870"/>
    <s v="CLM01163"/>
    <d v="2024-10-01T00:00:00"/>
    <x v="1"/>
    <n v="269.17"/>
    <s v="Insurance"/>
    <n v="18.760000000000002"/>
  </r>
  <r>
    <s v="PAY00871"/>
    <s v="CLM01164"/>
    <d v="2024-04-11T00:00:00"/>
    <x v="22"/>
    <n v="1345.5"/>
    <s v="Insurance"/>
    <n v="809.16"/>
  </r>
  <r>
    <s v="PAY00872"/>
    <s v="CLM01166"/>
    <d v="2023-06-21T00:00:00"/>
    <x v="7"/>
    <n v="533.38"/>
    <s v="Insurance"/>
    <n v="95.54"/>
  </r>
  <r>
    <s v="PAY00873"/>
    <s v="CLM01168"/>
    <d v="2023-11-21T00:00:00"/>
    <x v="12"/>
    <n v="85.06"/>
    <s v="Insurance"/>
    <n v="10.91"/>
  </r>
  <r>
    <s v="PAY00874"/>
    <s v="CLM01169"/>
    <d v="2023-09-21T00:00:00"/>
    <x v="10"/>
    <n v="429.12"/>
    <s v="Insurance"/>
    <n v="23.69"/>
  </r>
  <r>
    <s v="PAY00875"/>
    <s v="CLM01172"/>
    <d v="2023-05-08T00:00:00"/>
    <x v="6"/>
    <n v="406.21"/>
    <s v="Insurance"/>
    <n v="183.41"/>
  </r>
  <r>
    <s v="PAY00876"/>
    <s v="CLM01173"/>
    <d v="2024-06-03T00:00:00"/>
    <x v="13"/>
    <n v="39.89"/>
    <s v="Insurance"/>
    <n v="22.18"/>
  </r>
  <r>
    <s v="PAY00877"/>
    <s v="CLM01178"/>
    <d v="2023-03-05T00:00:00"/>
    <x v="8"/>
    <n v="211.23"/>
    <s v="Insurance"/>
    <n v="114.75"/>
  </r>
  <r>
    <s v="PAY00878"/>
    <s v="CLM01179"/>
    <d v="2024-02-19T00:00:00"/>
    <x v="20"/>
    <n v="2441.7399999999998"/>
    <s v="Insurance"/>
    <n v="276.87"/>
  </r>
  <r>
    <s v="PAY00879"/>
    <s v="CLM01180"/>
    <d v="2024-06-20T00:00:00"/>
    <x v="13"/>
    <n v="6315.01"/>
    <s v="Insurance"/>
    <n v="1163.1199999999999"/>
  </r>
  <r>
    <s v="PAY00880"/>
    <s v="CLM01181"/>
    <d v="2023-12-08T00:00:00"/>
    <x v="19"/>
    <n v="1315.93"/>
    <s v="Insurance"/>
    <n v="95.1"/>
  </r>
  <r>
    <s v="PAY00881"/>
    <s v="CLM01183"/>
    <d v="2023-11-08T00:00:00"/>
    <x v="12"/>
    <n v="238.08"/>
    <s v="Insurance"/>
    <n v="93.84"/>
  </r>
  <r>
    <s v="PAY00882"/>
    <s v="CLM01184"/>
    <d v="2024-05-07T00:00:00"/>
    <x v="11"/>
    <n v="251.8"/>
    <s v="Insurance"/>
    <n v="118.31"/>
  </r>
  <r>
    <s v="PAY00883"/>
    <s v="CLM01185"/>
    <d v="2024-12-02T00:00:00"/>
    <x v="16"/>
    <n v="614.51"/>
    <s v="Insurance"/>
    <n v="45.73"/>
  </r>
  <r>
    <s v="PAY00884"/>
    <s v="CLM01186"/>
    <d v="2024-05-01T00:00:00"/>
    <x v="11"/>
    <n v="528.49"/>
    <s v="Insurance"/>
    <n v="27.21"/>
  </r>
  <r>
    <s v="PAY00885"/>
    <s v="CLM01187"/>
    <d v="2024-02-10T00:00:00"/>
    <x v="20"/>
    <n v="1704.91"/>
    <s v="Insurance"/>
    <n v="229.48"/>
  </r>
  <r>
    <s v="PAY00886"/>
    <s v="CLM01188"/>
    <d v="2023-03-24T00:00:00"/>
    <x v="8"/>
    <n v="2562.39"/>
    <s v="Insurance"/>
    <n v="134.88999999999999"/>
  </r>
  <r>
    <s v="PAY00887"/>
    <s v="CLM01189"/>
    <d v="2024-03-15T00:00:00"/>
    <x v="2"/>
    <n v="1028.3599999999999"/>
    <s v="Insurance"/>
    <n v="296.64"/>
  </r>
  <r>
    <s v="PAY00888"/>
    <s v="CLM01190"/>
    <d v="2024-06-02T00:00:00"/>
    <x v="13"/>
    <n v="967.72"/>
    <s v="Insurance"/>
    <n v="556.09"/>
  </r>
  <r>
    <s v="PAY00889"/>
    <s v="CLM01192"/>
    <d v="2024-12-08T00:00:00"/>
    <x v="16"/>
    <n v="1302.42"/>
    <s v="Insurance"/>
    <n v="449.43"/>
  </r>
  <r>
    <s v="PAY00890"/>
    <s v="CLM01193"/>
    <d v="2024-08-14T00:00:00"/>
    <x v="21"/>
    <n v="639.77"/>
    <s v="Insurance"/>
    <n v="81.27"/>
  </r>
  <r>
    <s v="PAY00891"/>
    <s v="CLM01194"/>
    <d v="2023-05-14T00:00:00"/>
    <x v="6"/>
    <n v="3073.18"/>
    <s v="Insurance"/>
    <n v="372.67"/>
  </r>
  <r>
    <s v="PAY00892"/>
    <s v="CLM01195"/>
    <d v="2023-08-25T00:00:00"/>
    <x v="5"/>
    <n v="94.58"/>
    <s v="Insurance"/>
    <n v="34.83"/>
  </r>
  <r>
    <s v="PAY00893"/>
    <s v="CLM01196"/>
    <d v="2024-03-28T00:00:00"/>
    <x v="2"/>
    <n v="1215.58"/>
    <s v="Insurance"/>
    <n v="643.79"/>
  </r>
  <r>
    <s v="PAY00894"/>
    <s v="CLM01199"/>
    <d v="2024-08-25T00:00:00"/>
    <x v="21"/>
    <n v="167.13"/>
    <s v="Insurance"/>
    <n v="37.39"/>
  </r>
  <r>
    <s v="PAY00895"/>
    <s v="CLM01200"/>
    <d v="2023-07-02T00:00:00"/>
    <x v="17"/>
    <n v="287.23"/>
    <s v="Insurance"/>
    <n v="136.08000000000001"/>
  </r>
  <r>
    <s v="PAY00896"/>
    <s v="CLM01204"/>
    <d v="2023-02-24T00:00:00"/>
    <x v="0"/>
    <n v="388.5"/>
    <s v="Insurance"/>
    <n v="51.4"/>
  </r>
  <r>
    <s v="PAY00897"/>
    <s v="CLM01205"/>
    <d v="2024-09-15T00:00:00"/>
    <x v="3"/>
    <n v="365.42"/>
    <s v="Insurance"/>
    <n v="159.38999999999999"/>
  </r>
  <r>
    <s v="PAY00898"/>
    <s v="CLM01206"/>
    <d v="2024-02-14T00:00:00"/>
    <x v="20"/>
    <n v="373.73"/>
    <s v="Insurance"/>
    <n v="54.87"/>
  </r>
  <r>
    <s v="PAY00899"/>
    <s v="CLM01207"/>
    <d v="2024-04-28T00:00:00"/>
    <x v="22"/>
    <n v="1093.1500000000001"/>
    <s v="Insurance"/>
    <n v="447.05"/>
  </r>
  <r>
    <s v="PAY00900"/>
    <s v="CLM01208"/>
    <d v="2023-10-05T00:00:00"/>
    <x v="23"/>
    <n v="99.41"/>
    <s v="Insurance"/>
    <n v="48.91"/>
  </r>
  <r>
    <s v="PAY00901"/>
    <s v="CLM01209"/>
    <d v="2024-08-08T00:00:00"/>
    <x v="21"/>
    <n v="476.51"/>
    <s v="Insurance"/>
    <n v="62.39"/>
  </r>
  <r>
    <s v="PAY00902"/>
    <s v="CLM01210"/>
    <d v="2024-12-08T00:00:00"/>
    <x v="16"/>
    <n v="38.159999999999997"/>
    <s v="Insurance"/>
    <n v="7.04"/>
  </r>
  <r>
    <s v="PAY00903"/>
    <s v="CLM01213"/>
    <d v="2024-09-02T00:00:00"/>
    <x v="3"/>
    <n v="120.8"/>
    <s v="Patient"/>
    <n v="67.38"/>
  </r>
  <r>
    <s v="PAY00904"/>
    <s v="CLM01215"/>
    <d v="2023-10-30T00:00:00"/>
    <x v="23"/>
    <n v="1221.8"/>
    <s v="Insurance"/>
    <n v="189.43"/>
  </r>
  <r>
    <s v="PAY00905"/>
    <s v="CLM01217"/>
    <d v="2024-04-29T00:00:00"/>
    <x v="22"/>
    <n v="5688.74"/>
    <s v="Insurance"/>
    <n v="614.16999999999996"/>
  </r>
  <r>
    <s v="PAY00906"/>
    <s v="CLM01218"/>
    <d v="2024-03-08T00:00:00"/>
    <x v="2"/>
    <n v="4328.8"/>
    <s v="Insurance"/>
    <n v="1199.68"/>
  </r>
  <r>
    <s v="PAY00907"/>
    <s v="CLM01219"/>
    <d v="2023-11-25T00:00:00"/>
    <x v="12"/>
    <n v="134.55000000000001"/>
    <s v="Insurance"/>
    <n v="31.48"/>
  </r>
  <r>
    <s v="PAY00908"/>
    <s v="CLM01220"/>
    <d v="2024-08-15T00:00:00"/>
    <x v="21"/>
    <n v="3431.59"/>
    <s v="Insurance"/>
    <n v="1616.19"/>
  </r>
  <r>
    <s v="PAY00909"/>
    <s v="CLM01222"/>
    <d v="2024-04-18T00:00:00"/>
    <x v="22"/>
    <n v="131.36000000000001"/>
    <s v="Insurance"/>
    <n v="16.59"/>
  </r>
  <r>
    <s v="PAY00910"/>
    <s v="CLM01223"/>
    <d v="2023-08-25T00:00:00"/>
    <x v="5"/>
    <n v="103.19"/>
    <s v="Insurance"/>
    <n v="55.44"/>
  </r>
  <r>
    <s v="PAY00911"/>
    <s v="CLM01224"/>
    <d v="2024-09-10T00:00:00"/>
    <x v="3"/>
    <n v="338.8"/>
    <s v="Insurance"/>
    <n v="160.46"/>
  </r>
  <r>
    <s v="PAY00912"/>
    <s v="CLM01225"/>
    <d v="2025-01-04T00:00:00"/>
    <x v="14"/>
    <n v="747.03"/>
    <s v="Insurance"/>
    <n v="96.16"/>
  </r>
  <r>
    <s v="PAY00913"/>
    <s v="CLM01226"/>
    <d v="2023-11-14T00:00:00"/>
    <x v="12"/>
    <n v="2945.69"/>
    <s v="Insurance"/>
    <n v="711.37"/>
  </r>
  <r>
    <s v="PAY00914"/>
    <s v="CLM01227"/>
    <d v="2023-09-17T00:00:00"/>
    <x v="10"/>
    <n v="1136.01"/>
    <s v="Patient"/>
    <n v="654.13"/>
  </r>
  <r>
    <s v="PAY00915"/>
    <s v="CLM01231"/>
    <d v="2024-06-20T00:00:00"/>
    <x v="13"/>
    <n v="577.66999999999996"/>
    <s v="Insurance"/>
    <n v="288.92"/>
  </r>
  <r>
    <s v="PAY00916"/>
    <s v="CLM01232"/>
    <d v="2024-04-05T00:00:00"/>
    <x v="22"/>
    <n v="5798.39"/>
    <s v="Insurance"/>
    <n v="1619.33"/>
  </r>
  <r>
    <s v="PAY00917"/>
    <s v="CLM01233"/>
    <d v="2024-05-14T00:00:00"/>
    <x v="11"/>
    <n v="83.14"/>
    <s v="Patient"/>
    <n v="26.64"/>
  </r>
  <r>
    <s v="PAY00918"/>
    <s v="CLM01234"/>
    <d v="2023-09-08T00:00:00"/>
    <x v="10"/>
    <n v="129.9"/>
    <s v="Insurance"/>
    <n v="14.16"/>
  </r>
  <r>
    <s v="PAY00919"/>
    <s v="CLM01235"/>
    <d v="2024-10-18T00:00:00"/>
    <x v="1"/>
    <n v="342.25"/>
    <s v="Insurance"/>
    <n v="81.25"/>
  </r>
  <r>
    <s v="PAY00920"/>
    <s v="CLM01237"/>
    <d v="2025-01-06T00:00:00"/>
    <x v="14"/>
    <n v="307.93"/>
    <s v="Insurance"/>
    <n v="32.79"/>
  </r>
  <r>
    <s v="PAY00921"/>
    <s v="CLM01242"/>
    <d v="2024-12-10T00:00:00"/>
    <x v="16"/>
    <n v="404.05"/>
    <s v="Insurance"/>
    <n v="23.25"/>
  </r>
  <r>
    <s v="PAY00922"/>
    <s v="CLM01243"/>
    <d v="2024-06-15T00:00:00"/>
    <x v="13"/>
    <n v="6115.3"/>
    <s v="Insurance"/>
    <n v="1197.1500000000001"/>
  </r>
  <r>
    <s v="PAY00923"/>
    <s v="CLM01244"/>
    <d v="2024-09-11T00:00:00"/>
    <x v="3"/>
    <n v="420.65"/>
    <s v="Insurance"/>
    <n v="147.88"/>
  </r>
  <r>
    <s v="PAY00924"/>
    <s v="CLM01245"/>
    <d v="2024-12-10T00:00:00"/>
    <x v="16"/>
    <n v="312.14"/>
    <s v="Insurance"/>
    <n v="58.33"/>
  </r>
  <r>
    <s v="PAY00925"/>
    <s v="CLM01246"/>
    <d v="2023-10-31T00:00:00"/>
    <x v="23"/>
    <n v="282.56"/>
    <s v="Insurance"/>
    <n v="72.86"/>
  </r>
  <r>
    <s v="PAY00926"/>
    <s v="CLM01247"/>
    <d v="2024-09-09T00:00:00"/>
    <x v="3"/>
    <n v="505.78"/>
    <s v="Insurance"/>
    <n v="174.44"/>
  </r>
  <r>
    <s v="PAY00927"/>
    <s v="CLM01248"/>
    <d v="2023-10-12T00:00:00"/>
    <x v="23"/>
    <n v="143.78"/>
    <s v="Insurance"/>
    <n v="75.010000000000005"/>
  </r>
  <r>
    <s v="PAY00928"/>
    <s v="CLM01251"/>
    <d v="2025-01-09T00:00:00"/>
    <x v="14"/>
    <n v="95.72"/>
    <s v="Insurance"/>
    <n v="54.1"/>
  </r>
  <r>
    <s v="PAY00929"/>
    <s v="CLM01252"/>
    <d v="2023-04-13T00:00:00"/>
    <x v="4"/>
    <n v="933.36"/>
    <s v="Insurance"/>
    <n v="450.44"/>
  </r>
  <r>
    <s v="PAY00930"/>
    <s v="CLM01253"/>
    <d v="2024-05-03T00:00:00"/>
    <x v="11"/>
    <n v="558.34"/>
    <s v="Insurance"/>
    <n v="231.31"/>
  </r>
  <r>
    <s v="PAY00931"/>
    <s v="CLM01254"/>
    <d v="2023-12-18T00:00:00"/>
    <x v="19"/>
    <n v="1683.92"/>
    <s v="Insurance"/>
    <n v="696.62"/>
  </r>
  <r>
    <s v="PAY00932"/>
    <s v="CLM01256"/>
    <d v="2024-01-27T00:00:00"/>
    <x v="15"/>
    <n v="1105.56"/>
    <s v="Insurance"/>
    <n v="524.05999999999995"/>
  </r>
  <r>
    <s v="PAY00933"/>
    <s v="CLM01257"/>
    <d v="2024-09-21T00:00:00"/>
    <x v="3"/>
    <n v="329.72"/>
    <s v="Insurance"/>
    <n v="61.1"/>
  </r>
  <r>
    <s v="PAY00934"/>
    <s v="CLM01260"/>
    <d v="2023-12-13T00:00:00"/>
    <x v="19"/>
    <n v="251.42"/>
    <s v="Insurance"/>
    <n v="36.549999999999997"/>
  </r>
  <r>
    <s v="PAY00935"/>
    <s v="CLM01261"/>
    <d v="2023-07-31T00:00:00"/>
    <x v="17"/>
    <n v="5705.06"/>
    <s v="Insurance"/>
    <n v="323.14"/>
  </r>
  <r>
    <s v="PAY00936"/>
    <s v="CLM01262"/>
    <d v="2024-03-15T00:00:00"/>
    <x v="2"/>
    <n v="3615.17"/>
    <s v="Insurance"/>
    <n v="1201.05"/>
  </r>
  <r>
    <s v="PAY00937"/>
    <s v="CLM01263"/>
    <d v="2023-10-15T00:00:00"/>
    <x v="23"/>
    <n v="239.56"/>
    <s v="Insurance"/>
    <n v="39.39"/>
  </r>
  <r>
    <s v="PAY00938"/>
    <s v="CLM01264"/>
    <d v="2024-10-21T00:00:00"/>
    <x v="1"/>
    <n v="4172.03"/>
    <s v="Insurance"/>
    <n v="563.61"/>
  </r>
  <r>
    <s v="PAY00939"/>
    <s v="CLM01265"/>
    <d v="2024-09-04T00:00:00"/>
    <x v="3"/>
    <n v="741.07"/>
    <s v="Patient"/>
    <n v="105.51"/>
  </r>
  <r>
    <s v="PAY00940"/>
    <s v="CLM01266"/>
    <d v="2023-05-17T00:00:00"/>
    <x v="6"/>
    <n v="350.94"/>
    <s v="Insurance"/>
    <n v="142.93"/>
  </r>
  <r>
    <s v="PAY00941"/>
    <s v="CLM01267"/>
    <d v="2024-01-30T00:00:00"/>
    <x v="15"/>
    <n v="39.76"/>
    <s v="Insurance"/>
    <n v="5.29"/>
  </r>
  <r>
    <s v="PAY00942"/>
    <s v="CLM01268"/>
    <d v="2023-11-02T00:00:00"/>
    <x v="12"/>
    <n v="84.23"/>
    <s v="Patient"/>
    <n v="14.45"/>
  </r>
  <r>
    <s v="PAY00943"/>
    <s v="CLM01269"/>
    <d v="2024-10-27T00:00:00"/>
    <x v="1"/>
    <n v="160.22999999999999"/>
    <s v="Insurance"/>
    <n v="84.72"/>
  </r>
  <r>
    <s v="PAY00944"/>
    <s v="CLM01270"/>
    <d v="2023-10-02T00:00:00"/>
    <x v="23"/>
    <n v="6759.36"/>
    <s v="Insurance"/>
    <n v="1211.24"/>
  </r>
  <r>
    <s v="PAY00945"/>
    <s v="CLM01271"/>
    <d v="2024-05-02T00:00:00"/>
    <x v="11"/>
    <n v="142.91999999999999"/>
    <s v="Insurance"/>
    <n v="29.91"/>
  </r>
  <r>
    <s v="PAY00946"/>
    <s v="CLM01273"/>
    <d v="2024-06-23T00:00:00"/>
    <x v="13"/>
    <n v="244.99"/>
    <s v="Insurance"/>
    <n v="34.619999999999997"/>
  </r>
  <r>
    <s v="PAY00947"/>
    <s v="CLM01275"/>
    <d v="2024-01-19T00:00:00"/>
    <x v="15"/>
    <n v="1483.77"/>
    <s v="Insurance"/>
    <n v="282.13"/>
  </r>
  <r>
    <s v="PAY00948"/>
    <s v="CLM01276"/>
    <d v="2023-02-03T00:00:00"/>
    <x v="0"/>
    <n v="128.33000000000001"/>
    <s v="Insurance"/>
    <n v="64.36"/>
  </r>
  <r>
    <s v="PAY00949"/>
    <s v="CLM01277"/>
    <d v="2024-05-26T00:00:00"/>
    <x v="11"/>
    <n v="2037.33"/>
    <s v="Insurance"/>
    <n v="93.16"/>
  </r>
  <r>
    <s v="PAY00950"/>
    <s v="CLM01278"/>
    <d v="2024-01-14T00:00:00"/>
    <x v="15"/>
    <n v="560.44000000000005"/>
    <s v="Insurance"/>
    <n v="102.64"/>
  </r>
  <r>
    <s v="PAY00951"/>
    <s v="CLM01279"/>
    <d v="2024-06-08T00:00:00"/>
    <x v="13"/>
    <n v="127.01"/>
    <s v="Patient"/>
    <n v="32.590000000000003"/>
  </r>
  <r>
    <s v="PAY00952"/>
    <s v="CLM01280"/>
    <d v="2024-10-01T00:00:00"/>
    <x v="1"/>
    <n v="118.18"/>
    <s v="Insurance"/>
    <n v="29.24"/>
  </r>
  <r>
    <s v="PAY00953"/>
    <s v="CLM01281"/>
    <d v="2024-03-23T00:00:00"/>
    <x v="2"/>
    <n v="79.86"/>
    <s v="Insurance"/>
    <n v="35.94"/>
  </r>
  <r>
    <s v="PAY00954"/>
    <s v="CLM01282"/>
    <d v="2023-03-08T00:00:00"/>
    <x v="8"/>
    <n v="1297.44"/>
    <s v="Insurance"/>
    <n v="193.32"/>
  </r>
  <r>
    <s v="PAY00955"/>
    <s v="CLM01283"/>
    <d v="2024-09-21T00:00:00"/>
    <x v="3"/>
    <n v="353.91"/>
    <s v="Insurance"/>
    <n v="20.49"/>
  </r>
  <r>
    <s v="PAY00956"/>
    <s v="CLM01284"/>
    <d v="2023-07-29T00:00:00"/>
    <x v="17"/>
    <n v="216.38"/>
    <s v="Insurance"/>
    <n v="111.96"/>
  </r>
  <r>
    <s v="PAY00957"/>
    <s v="CLM01285"/>
    <d v="2024-09-24T00:00:00"/>
    <x v="3"/>
    <n v="104.36"/>
    <s v="Insurance"/>
    <n v="39.57"/>
  </r>
  <r>
    <s v="PAY00958"/>
    <s v="CLM01286"/>
    <d v="2024-09-14T00:00:00"/>
    <x v="3"/>
    <n v="346.43"/>
    <s v="Insurance"/>
    <n v="209.42"/>
  </r>
  <r>
    <s v="PAY00959"/>
    <s v="CLM01287"/>
    <d v="2023-05-12T00:00:00"/>
    <x v="6"/>
    <n v="106.27"/>
    <s v="Insurance"/>
    <n v="51.02"/>
  </r>
  <r>
    <s v="PAY00960"/>
    <s v="CLM01288"/>
    <d v="2023-05-15T00:00:00"/>
    <x v="6"/>
    <n v="386.47"/>
    <s v="Insurance"/>
    <n v="218.49"/>
  </r>
  <r>
    <s v="PAY00961"/>
    <s v="CLM01289"/>
    <d v="2023-03-22T00:00:00"/>
    <x v="8"/>
    <n v="325.43"/>
    <s v="Insurance"/>
    <n v="123.77"/>
  </r>
  <r>
    <s v="PAY00962"/>
    <s v="CLM01290"/>
    <d v="2023-06-18T00:00:00"/>
    <x v="7"/>
    <n v="411.84"/>
    <s v="Insurance"/>
    <n v="84.27"/>
  </r>
  <r>
    <s v="PAY00963"/>
    <s v="CLM01292"/>
    <d v="2023-04-01T00:00:00"/>
    <x v="4"/>
    <n v="2625.07"/>
    <s v="Insurance"/>
    <n v="1423.26"/>
  </r>
  <r>
    <s v="PAY00964"/>
    <s v="CLM01293"/>
    <d v="2024-07-19T00:00:00"/>
    <x v="9"/>
    <n v="237.67"/>
    <s v="Insurance"/>
    <n v="32.369999999999997"/>
  </r>
  <r>
    <s v="PAY00965"/>
    <s v="CLM01294"/>
    <d v="2024-09-21T00:00:00"/>
    <x v="3"/>
    <n v="150.09"/>
    <s v="Insurance"/>
    <n v="16.21"/>
  </r>
  <r>
    <s v="PAY00966"/>
    <s v="CLM01295"/>
    <d v="2024-07-08T00:00:00"/>
    <x v="9"/>
    <n v="966.42"/>
    <s v="Insurance"/>
    <n v="132.1"/>
  </r>
  <r>
    <s v="PAY00967"/>
    <s v="CLM01296"/>
    <d v="2023-07-03T00:00:00"/>
    <x v="17"/>
    <n v="552.94000000000005"/>
    <s v="Insurance"/>
    <n v="47.53"/>
  </r>
  <r>
    <s v="PAY00968"/>
    <s v="CLM01297"/>
    <d v="2023-10-28T00:00:00"/>
    <x v="23"/>
    <n v="36.380000000000003"/>
    <s v="Insurance"/>
    <n v="11.87"/>
  </r>
  <r>
    <s v="PAY00969"/>
    <s v="CLM01298"/>
    <d v="2023-07-11T00:00:00"/>
    <x v="17"/>
    <n v="126.48"/>
    <s v="Insurance"/>
    <n v="42.73"/>
  </r>
  <r>
    <s v="PAY00970"/>
    <s v="CLM01299"/>
    <d v="2025-01-23T00:00:00"/>
    <x v="14"/>
    <n v="358.15"/>
    <s v="Insurance"/>
    <n v="44.14"/>
  </r>
  <r>
    <s v="PAY00971"/>
    <s v="CLM01300"/>
    <d v="2023-07-17T00:00:00"/>
    <x v="17"/>
    <n v="200.85"/>
    <s v="Insurance"/>
    <n v="27.31"/>
  </r>
  <r>
    <s v="PAY00972"/>
    <s v="CLM01301"/>
    <d v="2023-12-21T00:00:00"/>
    <x v="19"/>
    <n v="4889.8100000000004"/>
    <s v="Insurance"/>
    <n v="1686.64"/>
  </r>
  <r>
    <s v="PAY00973"/>
    <s v="CLM01302"/>
    <d v="2024-09-03T00:00:00"/>
    <x v="3"/>
    <n v="786.72"/>
    <s v="Insurance"/>
    <n v="102.72"/>
  </r>
  <r>
    <s v="PAY00974"/>
    <s v="CLM01303"/>
    <d v="2024-04-17T00:00:00"/>
    <x v="22"/>
    <n v="252.73"/>
    <s v="Insurance"/>
    <n v="117.64"/>
  </r>
  <r>
    <s v="PAY00975"/>
    <s v="CLM01304"/>
    <d v="2024-09-14T00:00:00"/>
    <x v="3"/>
    <n v="52.84"/>
    <s v="Insurance"/>
    <n v="8.32"/>
  </r>
  <r>
    <s v="PAY00976"/>
    <s v="CLM01305"/>
    <d v="2024-10-09T00:00:00"/>
    <x v="1"/>
    <n v="125.91"/>
    <s v="Insurance"/>
    <n v="33.1"/>
  </r>
  <r>
    <s v="PAY00977"/>
    <s v="CLM01307"/>
    <d v="2024-01-02T00:00:00"/>
    <x v="15"/>
    <n v="4090.31"/>
    <s v="Insurance"/>
    <n v="1201.26"/>
  </r>
  <r>
    <s v="PAY00978"/>
    <s v="CLM01308"/>
    <d v="2024-05-12T00:00:00"/>
    <x v="11"/>
    <n v="4319.66"/>
    <s v="Insurance"/>
    <n v="923.02"/>
  </r>
  <r>
    <s v="PAY00979"/>
    <s v="CLM01310"/>
    <d v="2023-07-02T00:00:00"/>
    <x v="17"/>
    <n v="115.36"/>
    <s v="Insurance"/>
    <n v="10.55"/>
  </r>
  <r>
    <s v="PAY00980"/>
    <s v="CLM01311"/>
    <d v="2023-01-26T00:00:00"/>
    <x v="25"/>
    <n v="165.47"/>
    <s v="Insurance"/>
    <n v="30.39"/>
  </r>
  <r>
    <s v="PAY00981"/>
    <s v="CLM01313"/>
    <d v="2024-05-01T00:00:00"/>
    <x v="11"/>
    <n v="90.34"/>
    <s v="Insurance"/>
    <n v="15.2"/>
  </r>
  <r>
    <s v="PAY00982"/>
    <s v="CLM01314"/>
    <d v="2023-09-26T00:00:00"/>
    <x v="10"/>
    <n v="681.62"/>
    <s v="Insurance"/>
    <n v="139.81"/>
  </r>
  <r>
    <s v="PAY00983"/>
    <s v="CLM01316"/>
    <d v="2024-07-31T00:00:00"/>
    <x v="9"/>
    <n v="81.63"/>
    <s v="Insurance"/>
    <n v="30.6"/>
  </r>
  <r>
    <s v="PAY00984"/>
    <s v="CLM01317"/>
    <d v="2024-06-16T00:00:00"/>
    <x v="13"/>
    <n v="440.21"/>
    <s v="Insurance"/>
    <n v="229.88"/>
  </r>
  <r>
    <s v="PAY00985"/>
    <s v="CLM01320"/>
    <d v="2024-09-22T00:00:00"/>
    <x v="3"/>
    <n v="6081.94"/>
    <s v="Insurance"/>
    <n v="1559.28"/>
  </r>
  <r>
    <s v="PAY00986"/>
    <s v="CLM01321"/>
    <d v="2024-09-08T00:00:00"/>
    <x v="3"/>
    <n v="163.89"/>
    <s v="Insurance"/>
    <n v="32.21"/>
  </r>
  <r>
    <s v="PAY00987"/>
    <s v="CLM01322"/>
    <d v="2023-12-07T00:00:00"/>
    <x v="19"/>
    <n v="744.13"/>
    <s v="Insurance"/>
    <n v="167.9"/>
  </r>
  <r>
    <s v="PAY00988"/>
    <s v="CLM01323"/>
    <d v="2024-04-01T00:00:00"/>
    <x v="22"/>
    <n v="1421.99"/>
    <s v="Insurance"/>
    <n v="283.85000000000002"/>
  </r>
  <r>
    <s v="PAY00989"/>
    <s v="CLM01324"/>
    <d v="2024-11-04T00:00:00"/>
    <x v="18"/>
    <n v="274.18"/>
    <s v="Patient"/>
    <n v="89.01"/>
  </r>
  <r>
    <s v="PAY00990"/>
    <s v="CLM01325"/>
    <d v="2024-09-28T00:00:00"/>
    <x v="3"/>
    <n v="674.07"/>
    <s v="Insurance"/>
    <n v="124.51"/>
  </r>
  <r>
    <s v="PAY00991"/>
    <s v="CLM01326"/>
    <d v="2024-11-21T00:00:00"/>
    <x v="18"/>
    <n v="1946.21"/>
    <s v="Insurance"/>
    <n v="227"/>
  </r>
  <r>
    <s v="PAY00992"/>
    <s v="CLM01327"/>
    <d v="2024-10-01T00:00:00"/>
    <x v="1"/>
    <n v="1756.66"/>
    <s v="Insurance"/>
    <n v="232.43"/>
  </r>
  <r>
    <s v="PAY00993"/>
    <s v="CLM01328"/>
    <d v="2024-10-15T00:00:00"/>
    <x v="1"/>
    <n v="490.33"/>
    <s v="Insurance"/>
    <n v="20.86"/>
  </r>
  <r>
    <s v="PAY00994"/>
    <s v="CLM01330"/>
    <d v="2024-09-25T00:00:00"/>
    <x v="3"/>
    <n v="189.95"/>
    <s v="Insurance"/>
    <n v="36.19"/>
  </r>
  <r>
    <s v="PAY00995"/>
    <s v="CLM01332"/>
    <d v="2023-02-25T00:00:00"/>
    <x v="0"/>
    <n v="485.33"/>
    <s v="Insurance"/>
    <n v="270.51"/>
  </r>
  <r>
    <s v="PAY00996"/>
    <s v="CLM01335"/>
    <d v="2023-05-28T00:00:00"/>
    <x v="6"/>
    <n v="3439.95"/>
    <s v="Insurance"/>
    <n v="1739.26"/>
  </r>
  <r>
    <s v="PAY00997"/>
    <s v="CLM01336"/>
    <d v="2024-12-22T00:00:00"/>
    <x v="16"/>
    <n v="899.24"/>
    <s v="Insurance"/>
    <n v="407.65"/>
  </r>
  <r>
    <s v="PAY00998"/>
    <s v="CLM01337"/>
    <d v="2023-05-22T00:00:00"/>
    <x v="6"/>
    <n v="2003.58"/>
    <s v="Insurance"/>
    <n v="192.61"/>
  </r>
  <r>
    <s v="PAY00999"/>
    <s v="CLM01338"/>
    <d v="2023-05-05T00:00:00"/>
    <x v="6"/>
    <n v="450.87"/>
    <s v="Insurance"/>
    <n v="108.25"/>
  </r>
  <r>
    <s v="PAY01000"/>
    <s v="CLM01339"/>
    <d v="2023-12-24T00:00:00"/>
    <x v="19"/>
    <n v="143.38999999999999"/>
    <s v="Insurance"/>
    <n v="25.64"/>
  </r>
  <r>
    <s v="PAY01001"/>
    <s v="CLM01340"/>
    <d v="2023-05-19T00:00:00"/>
    <x v="6"/>
    <n v="40.590000000000003"/>
    <s v="Insurance"/>
    <n v="11.64"/>
  </r>
  <r>
    <s v="PAY01002"/>
    <s v="CLM01341"/>
    <d v="2023-03-22T00:00:00"/>
    <x v="8"/>
    <n v="749.76"/>
    <s v="Patient"/>
    <n v="83.81"/>
  </r>
  <r>
    <s v="PAY01003"/>
    <s v="CLM01342"/>
    <d v="2023-07-05T00:00:00"/>
    <x v="17"/>
    <n v="87.4"/>
    <s v="Insurance"/>
    <n v="26.38"/>
  </r>
  <r>
    <s v="PAY01004"/>
    <s v="CLM01343"/>
    <d v="2024-02-23T00:00:00"/>
    <x v="20"/>
    <n v="136.05000000000001"/>
    <s v="Insurance"/>
    <n v="48.65"/>
  </r>
  <r>
    <s v="PAY01005"/>
    <s v="CLM01345"/>
    <d v="2023-11-17T00:00:00"/>
    <x v="12"/>
    <n v="408.87"/>
    <s v="Insurance"/>
    <n v="117.73"/>
  </r>
  <r>
    <s v="PAY01006"/>
    <s v="CLM01347"/>
    <d v="2025-01-24T00:00:00"/>
    <x v="14"/>
    <n v="473.26"/>
    <s v="Insurance"/>
    <n v="54.57"/>
  </r>
  <r>
    <s v="PAY01007"/>
    <s v="CLM01349"/>
    <d v="2023-05-23T00:00:00"/>
    <x v="6"/>
    <n v="154.75"/>
    <s v="Insurance"/>
    <n v="71.180000000000007"/>
  </r>
  <r>
    <s v="PAY01008"/>
    <s v="CLM01350"/>
    <d v="2023-08-02T00:00:00"/>
    <x v="5"/>
    <n v="3218.55"/>
    <s v="Insurance"/>
    <n v="1857.78"/>
  </r>
  <r>
    <s v="PAY01009"/>
    <s v="CLM01351"/>
    <d v="2024-03-01T00:00:00"/>
    <x v="2"/>
    <n v="165.81"/>
    <s v="Patient"/>
    <n v="48.16"/>
  </r>
  <r>
    <s v="PAY01010"/>
    <s v="CLM01352"/>
    <d v="2023-11-09T00:00:00"/>
    <x v="12"/>
    <n v="224.36"/>
    <s v="Insurance"/>
    <n v="102.55"/>
  </r>
  <r>
    <s v="PAY01011"/>
    <s v="CLM01354"/>
    <d v="2024-08-30T00:00:00"/>
    <x v="21"/>
    <n v="134.74"/>
    <s v="Insurance"/>
    <n v="11.06"/>
  </r>
  <r>
    <s v="PAY01012"/>
    <s v="CLM01356"/>
    <d v="2023-10-17T00:00:00"/>
    <x v="23"/>
    <n v="434.6"/>
    <s v="Patient"/>
    <n v="163.03"/>
  </r>
  <r>
    <s v="PAY01013"/>
    <s v="CLM01357"/>
    <d v="2024-11-01T00:00:00"/>
    <x v="18"/>
    <n v="81.92"/>
    <s v="Insurance"/>
    <n v="21.84"/>
  </r>
  <r>
    <s v="PAY01014"/>
    <s v="CLM01359"/>
    <d v="2023-05-26T00:00:00"/>
    <x v="6"/>
    <n v="1568"/>
    <s v="Insurance"/>
    <n v="632.89"/>
  </r>
  <r>
    <s v="PAY01015"/>
    <s v="CLM01360"/>
    <d v="2024-09-18T00:00:00"/>
    <x v="3"/>
    <n v="267.47000000000003"/>
    <s v="Insurance"/>
    <n v="80.430000000000007"/>
  </r>
  <r>
    <s v="PAY01016"/>
    <s v="CLM01365"/>
    <d v="2023-08-05T00:00:00"/>
    <x v="5"/>
    <n v="1537.71"/>
    <s v="Insurance"/>
    <n v="707.56"/>
  </r>
  <r>
    <s v="PAY01017"/>
    <s v="CLM01367"/>
    <d v="2023-12-24T00:00:00"/>
    <x v="19"/>
    <n v="945.36"/>
    <s v="Insurance"/>
    <n v="248.03"/>
  </r>
  <r>
    <s v="PAY01018"/>
    <s v="CLM01369"/>
    <d v="2024-08-02T00:00:00"/>
    <x v="21"/>
    <n v="134.99"/>
    <s v="Insurance"/>
    <n v="10.18"/>
  </r>
  <r>
    <s v="PAY01019"/>
    <s v="CLM01370"/>
    <d v="2024-11-15T00:00:00"/>
    <x v="18"/>
    <n v="120.34"/>
    <s v="Patient"/>
    <n v="26.29"/>
  </r>
  <r>
    <s v="PAY01020"/>
    <s v="CLM01371"/>
    <d v="2024-03-31T00:00:00"/>
    <x v="2"/>
    <n v="1692.67"/>
    <s v="Insurance"/>
    <n v="219.37"/>
  </r>
  <r>
    <s v="PAY01021"/>
    <s v="CLM01372"/>
    <d v="2024-05-13T00:00:00"/>
    <x v="11"/>
    <n v="168.65"/>
    <s v="Insurance"/>
    <n v="22.98"/>
  </r>
  <r>
    <s v="PAY01022"/>
    <s v="CLM01373"/>
    <d v="2023-06-18T00:00:00"/>
    <x v="7"/>
    <n v="776.18"/>
    <s v="Insurance"/>
    <n v="67.849999999999994"/>
  </r>
  <r>
    <s v="PAY01023"/>
    <s v="CLM01376"/>
    <d v="2024-10-04T00:00:00"/>
    <x v="1"/>
    <n v="257.39999999999998"/>
    <s v="Insurance"/>
    <n v="83.03"/>
  </r>
  <r>
    <s v="PAY01024"/>
    <s v="CLM01378"/>
    <d v="2023-09-02T00:00:00"/>
    <x v="10"/>
    <n v="212.15"/>
    <s v="Insurance"/>
    <n v="104.02"/>
  </r>
  <r>
    <s v="PAY01025"/>
    <s v="CLM01379"/>
    <d v="2024-08-20T00:00:00"/>
    <x v="21"/>
    <n v="1984.42"/>
    <s v="Insurance"/>
    <n v="305.81"/>
  </r>
  <r>
    <s v="PAY01026"/>
    <s v="CLM01380"/>
    <d v="2024-01-27T00:00:00"/>
    <x v="15"/>
    <n v="1347.79"/>
    <s v="Insurance"/>
    <n v="356.76"/>
  </r>
  <r>
    <s v="PAY01027"/>
    <s v="CLM01382"/>
    <d v="2023-05-17T00:00:00"/>
    <x v="6"/>
    <n v="108.89"/>
    <s v="Insurance"/>
    <n v="54.61"/>
  </r>
  <r>
    <s v="PAY01028"/>
    <s v="CLM01383"/>
    <d v="2024-10-15T00:00:00"/>
    <x v="1"/>
    <n v="49.31"/>
    <s v="Insurance"/>
    <n v="4.96"/>
  </r>
  <r>
    <s v="PAY01029"/>
    <s v="CLM01384"/>
    <d v="2024-08-26T00:00:00"/>
    <x v="21"/>
    <n v="276.45"/>
    <s v="Insurance"/>
    <n v="30.07"/>
  </r>
  <r>
    <s v="PAY01030"/>
    <s v="CLM01385"/>
    <d v="2024-06-14T00:00:00"/>
    <x v="13"/>
    <n v="153.91999999999999"/>
    <s v="Insurance"/>
    <n v="62.52"/>
  </r>
  <r>
    <s v="PAY01031"/>
    <s v="CLM01386"/>
    <d v="2024-06-16T00:00:00"/>
    <x v="13"/>
    <n v="4937.45"/>
    <s v="Insurance"/>
    <n v="709.47"/>
  </r>
  <r>
    <s v="PAY01032"/>
    <s v="CLM01387"/>
    <d v="2024-05-25T00:00:00"/>
    <x v="11"/>
    <n v="5013.3"/>
    <s v="Insurance"/>
    <n v="218.84"/>
  </r>
  <r>
    <s v="PAY01033"/>
    <s v="CLM01388"/>
    <d v="2023-10-30T00:00:00"/>
    <x v="23"/>
    <n v="562.79999999999995"/>
    <s v="Insurance"/>
    <n v="69.67"/>
  </r>
  <r>
    <s v="PAY01034"/>
    <s v="CLM01389"/>
    <d v="2024-04-07T00:00:00"/>
    <x v="22"/>
    <n v="234.45"/>
    <s v="Insurance"/>
    <n v="125.98"/>
  </r>
  <r>
    <s v="PAY01035"/>
    <s v="CLM01391"/>
    <d v="2024-02-15T00:00:00"/>
    <x v="20"/>
    <n v="113.46"/>
    <s v="Insurance"/>
    <n v="45.25"/>
  </r>
  <r>
    <s v="PAY01036"/>
    <s v="CLM01392"/>
    <d v="2023-11-11T00:00:00"/>
    <x v="12"/>
    <n v="462.22"/>
    <s v="Insurance"/>
    <n v="111.32"/>
  </r>
  <r>
    <s v="PAY01037"/>
    <s v="CLM01393"/>
    <d v="2023-11-03T00:00:00"/>
    <x v="12"/>
    <n v="514.44000000000005"/>
    <s v="Insurance"/>
    <n v="169.93"/>
  </r>
  <r>
    <s v="PAY01038"/>
    <s v="CLM01395"/>
    <d v="2023-07-19T00:00:00"/>
    <x v="17"/>
    <n v="1828.23"/>
    <s v="Insurance"/>
    <n v="195.13"/>
  </r>
  <r>
    <s v="PAY01039"/>
    <s v="CLM01397"/>
    <d v="2024-07-28T00:00:00"/>
    <x v="9"/>
    <n v="1886.89"/>
    <s v="Patient"/>
    <n v="415.07"/>
  </r>
  <r>
    <s v="PAY01040"/>
    <s v="CLM01398"/>
    <d v="2024-08-03T00:00:00"/>
    <x v="21"/>
    <n v="1515.2"/>
    <s v="Insurance"/>
    <n v="678.74"/>
  </r>
  <r>
    <s v="PAY01041"/>
    <s v="CLM01399"/>
    <d v="2023-02-10T00:00:00"/>
    <x v="0"/>
    <n v="485.07"/>
    <s v="Insurance"/>
    <n v="201.11"/>
  </r>
  <r>
    <s v="PAY01042"/>
    <s v="CLM01400"/>
    <d v="2023-12-02T00:00:00"/>
    <x v="19"/>
    <n v="549.83000000000004"/>
    <s v="Insurance"/>
    <n v="293.58999999999997"/>
  </r>
  <r>
    <s v="PAY01043"/>
    <s v="CLM01401"/>
    <d v="2024-04-02T00:00:00"/>
    <x v="22"/>
    <n v="511.49"/>
    <s v="Insurance"/>
    <n v="224.69"/>
  </r>
  <r>
    <s v="PAY01044"/>
    <s v="CLM01402"/>
    <d v="2024-05-11T00:00:00"/>
    <x v="11"/>
    <n v="39.15"/>
    <s v="Insurance"/>
    <n v="22.48"/>
  </r>
  <r>
    <s v="PAY01045"/>
    <s v="CLM01405"/>
    <d v="2024-10-13T00:00:00"/>
    <x v="1"/>
    <n v="61.11"/>
    <s v="Insurance"/>
    <n v="29.41"/>
  </r>
  <r>
    <s v="PAY01046"/>
    <s v="CLM01406"/>
    <d v="2023-11-04T00:00:00"/>
    <x v="12"/>
    <n v="2316.7800000000002"/>
    <s v="Insurance"/>
    <n v="1030.57"/>
  </r>
  <r>
    <s v="PAY01047"/>
    <s v="CLM01407"/>
    <d v="2024-08-28T00:00:00"/>
    <x v="21"/>
    <n v="163.35"/>
    <s v="Insurance"/>
    <n v="86.37"/>
  </r>
  <r>
    <s v="PAY01048"/>
    <s v="CLM01408"/>
    <d v="2023-10-07T00:00:00"/>
    <x v="23"/>
    <n v="581.59"/>
    <s v="Insurance"/>
    <n v="92.51"/>
  </r>
  <r>
    <s v="PAY01049"/>
    <s v="CLM01409"/>
    <d v="2023-07-19T00:00:00"/>
    <x v="17"/>
    <n v="161.38"/>
    <s v="Insurance"/>
    <n v="32.28"/>
  </r>
  <r>
    <s v="PAY01050"/>
    <s v="CLM01412"/>
    <d v="2024-12-30T00:00:00"/>
    <x v="16"/>
    <n v="3706.71"/>
    <s v="Insurance"/>
    <n v="961.89"/>
  </r>
  <r>
    <s v="PAY01051"/>
    <s v="CLM01414"/>
    <d v="2023-12-26T00:00:00"/>
    <x v="19"/>
    <n v="661.19"/>
    <s v="Insurance"/>
    <n v="180.08"/>
  </r>
  <r>
    <s v="PAY01052"/>
    <s v="CLM01415"/>
    <d v="2024-01-17T00:00:00"/>
    <x v="15"/>
    <n v="3254.17"/>
    <s v="Insurance"/>
    <n v="243.07"/>
  </r>
  <r>
    <s v="PAY01053"/>
    <s v="CLM01416"/>
    <d v="2024-11-05T00:00:00"/>
    <x v="18"/>
    <n v="162.68"/>
    <s v="Insurance"/>
    <n v="42.59"/>
  </r>
  <r>
    <s v="PAY01054"/>
    <s v="CLM01417"/>
    <d v="2024-12-30T00:00:00"/>
    <x v="16"/>
    <n v="1855.88"/>
    <s v="Insurance"/>
    <n v="188.88"/>
  </r>
  <r>
    <s v="PAY01055"/>
    <s v="CLM01418"/>
    <d v="2024-02-11T00:00:00"/>
    <x v="20"/>
    <n v="679.42"/>
    <s v="Insurance"/>
    <n v="102.6"/>
  </r>
  <r>
    <s v="PAY01056"/>
    <s v="CLM01419"/>
    <d v="2024-10-10T00:00:00"/>
    <x v="1"/>
    <n v="227.69"/>
    <s v="Insurance"/>
    <n v="45.96"/>
  </r>
  <r>
    <s v="PAY01057"/>
    <s v="CLM01420"/>
    <d v="2023-05-07T00:00:00"/>
    <x v="6"/>
    <n v="644.4"/>
    <s v="Insurance"/>
    <n v="138.03"/>
  </r>
  <r>
    <s v="PAY01058"/>
    <s v="CLM01421"/>
    <d v="2023-12-11T00:00:00"/>
    <x v="19"/>
    <n v="5900.02"/>
    <s v="Insurance"/>
    <n v="607.89"/>
  </r>
  <r>
    <s v="PAY01059"/>
    <s v="CLM01423"/>
    <d v="2024-06-17T00:00:00"/>
    <x v="13"/>
    <n v="669.22"/>
    <s v="Insurance"/>
    <n v="392.89"/>
  </r>
  <r>
    <s v="PAY01060"/>
    <s v="CLM01424"/>
    <d v="2024-03-02T00:00:00"/>
    <x v="2"/>
    <n v="1930.38"/>
    <s v="Insurance"/>
    <n v="401.53"/>
  </r>
  <r>
    <s v="PAY01061"/>
    <s v="CLM01425"/>
    <d v="2025-01-09T00:00:00"/>
    <x v="14"/>
    <n v="688.39"/>
    <s v="Insurance"/>
    <n v="90.21"/>
  </r>
  <r>
    <s v="PAY01062"/>
    <s v="CLM01426"/>
    <d v="2024-01-24T00:00:00"/>
    <x v="15"/>
    <n v="2340.21"/>
    <s v="Insurance"/>
    <n v="105.07"/>
  </r>
  <r>
    <s v="PAY01063"/>
    <s v="CLM01427"/>
    <d v="2023-03-14T00:00:00"/>
    <x v="8"/>
    <n v="1190.49"/>
    <s v="Insurance"/>
    <n v="474.82"/>
  </r>
  <r>
    <s v="PAY01064"/>
    <s v="CLM01429"/>
    <d v="2024-04-01T00:00:00"/>
    <x v="22"/>
    <n v="613.32000000000005"/>
    <s v="Insurance"/>
    <n v="84.16"/>
  </r>
  <r>
    <s v="PAY01065"/>
    <s v="CLM01431"/>
    <d v="2024-01-23T00:00:00"/>
    <x v="15"/>
    <n v="290.82"/>
    <s v="Insurance"/>
    <n v="35.479999999999997"/>
  </r>
  <r>
    <s v="PAY01066"/>
    <s v="CLM01432"/>
    <d v="2023-12-13T00:00:00"/>
    <x v="19"/>
    <n v="735.18"/>
    <s v="Insurance"/>
    <n v="57.72"/>
  </r>
  <r>
    <s v="PAY01067"/>
    <s v="CLM01436"/>
    <d v="2023-06-01T00:00:00"/>
    <x v="7"/>
    <n v="513.51"/>
    <s v="Insurance"/>
    <n v="266.33999999999997"/>
  </r>
  <r>
    <s v="PAY01068"/>
    <s v="CLM01440"/>
    <d v="2024-02-10T00:00:00"/>
    <x v="20"/>
    <n v="3689.54"/>
    <s v="Insurance"/>
    <n v="1832.21"/>
  </r>
  <r>
    <s v="PAY01069"/>
    <s v="CLM01441"/>
    <d v="2024-06-20T00:00:00"/>
    <x v="13"/>
    <n v="865.42"/>
    <s v="Insurance"/>
    <n v="61.59"/>
  </r>
  <r>
    <s v="PAY01070"/>
    <s v="CLM01443"/>
    <d v="2023-03-31T00:00:00"/>
    <x v="8"/>
    <n v="4639.3100000000004"/>
    <s v="Insurance"/>
    <n v="800.74"/>
  </r>
  <r>
    <s v="PAY01071"/>
    <s v="CLM01444"/>
    <d v="2024-08-09T00:00:00"/>
    <x v="21"/>
    <n v="102.66"/>
    <s v="Insurance"/>
    <n v="13.89"/>
  </r>
  <r>
    <s v="PAY01072"/>
    <s v="CLM01445"/>
    <d v="2024-06-22T00:00:00"/>
    <x v="13"/>
    <n v="77.180000000000007"/>
    <s v="Insurance"/>
    <n v="18.27"/>
  </r>
  <r>
    <s v="PAY01073"/>
    <s v="CLM01446"/>
    <d v="2024-06-26T00:00:00"/>
    <x v="13"/>
    <n v="419.58"/>
    <s v="Insurance"/>
    <n v="124.09"/>
  </r>
  <r>
    <s v="PAY01074"/>
    <s v="CLM01447"/>
    <d v="2023-02-12T00:00:00"/>
    <x v="0"/>
    <n v="295.3"/>
    <s v="Insurance"/>
    <n v="72.83"/>
  </r>
  <r>
    <s v="PAY01075"/>
    <s v="CLM01448"/>
    <d v="2023-09-11T00:00:00"/>
    <x v="10"/>
    <n v="5000.3500000000004"/>
    <s v="Insurance"/>
    <n v="1787.16"/>
  </r>
  <r>
    <s v="PAY01076"/>
    <s v="CLM01450"/>
    <d v="2024-12-03T00:00:00"/>
    <x v="16"/>
    <n v="339.93"/>
    <s v="Insurance"/>
    <n v="36.07"/>
  </r>
  <r>
    <s v="PAY01077"/>
    <s v="CLM01451"/>
    <d v="2023-11-20T00:00:00"/>
    <x v="12"/>
    <n v="934.26"/>
    <s v="Patient"/>
    <n v="50.3"/>
  </r>
  <r>
    <s v="PAY01078"/>
    <s v="CLM01452"/>
    <d v="2024-08-30T00:00:00"/>
    <x v="21"/>
    <n v="2300.36"/>
    <s v="Insurance"/>
    <n v="109.95"/>
  </r>
  <r>
    <s v="PAY01079"/>
    <s v="CLM01453"/>
    <d v="2023-09-02T00:00:00"/>
    <x v="10"/>
    <n v="84.92"/>
    <s v="Patient"/>
    <n v="29.83"/>
  </r>
  <r>
    <s v="PAY01080"/>
    <s v="CLM01454"/>
    <d v="2023-02-23T00:00:00"/>
    <x v="0"/>
    <n v="269.83999999999997"/>
    <s v="Patient"/>
    <n v="18.8"/>
  </r>
  <r>
    <s v="PAY01081"/>
    <s v="CLM01455"/>
    <d v="2024-04-18T00:00:00"/>
    <x v="22"/>
    <n v="159.07"/>
    <s v="Insurance"/>
    <n v="18.82"/>
  </r>
  <r>
    <s v="PAY01082"/>
    <s v="CLM01456"/>
    <d v="2023-07-19T00:00:00"/>
    <x v="17"/>
    <n v="1787.88"/>
    <s v="Insurance"/>
    <n v="816.38"/>
  </r>
  <r>
    <s v="PAY01083"/>
    <s v="CLM01458"/>
    <d v="2024-07-15T00:00:00"/>
    <x v="9"/>
    <n v="263.2"/>
    <s v="Insurance"/>
    <n v="115.83"/>
  </r>
  <r>
    <s v="PAY01084"/>
    <s v="CLM01459"/>
    <d v="2024-11-17T00:00:00"/>
    <x v="18"/>
    <n v="491.43"/>
    <s v="Patient"/>
    <n v="99.37"/>
  </r>
  <r>
    <s v="PAY01085"/>
    <s v="CLM01460"/>
    <d v="2024-06-15T00:00:00"/>
    <x v="13"/>
    <n v="231.07"/>
    <s v="Insurance"/>
    <n v="61.42"/>
  </r>
  <r>
    <s v="PAY01086"/>
    <s v="CLM01461"/>
    <d v="2023-02-03T00:00:00"/>
    <x v="0"/>
    <n v="5577.06"/>
    <s v="Insurance"/>
    <n v="409.61"/>
  </r>
  <r>
    <s v="PAY01087"/>
    <s v="CLM01464"/>
    <d v="2024-08-08T00:00:00"/>
    <x v="21"/>
    <n v="5034.28"/>
    <s v="Insurance"/>
    <n v="708.1"/>
  </r>
  <r>
    <s v="PAY01088"/>
    <s v="CLM01465"/>
    <d v="2024-04-08T00:00:00"/>
    <x v="22"/>
    <n v="624.9"/>
    <s v="Insurance"/>
    <n v="27.18"/>
  </r>
  <r>
    <s v="PAY01089"/>
    <s v="CLM01466"/>
    <d v="2023-05-27T00:00:00"/>
    <x v="6"/>
    <n v="106.05"/>
    <s v="Insurance"/>
    <n v="7.99"/>
  </r>
  <r>
    <s v="PAY01090"/>
    <s v="CLM01467"/>
    <d v="2023-06-23T00:00:00"/>
    <x v="7"/>
    <n v="2952.46"/>
    <s v="Insurance"/>
    <n v="841.13"/>
  </r>
  <r>
    <s v="PAY01091"/>
    <s v="CLM01469"/>
    <d v="2023-05-25T00:00:00"/>
    <x v="6"/>
    <n v="38.86"/>
    <s v="Insurance"/>
    <n v="9.2200000000000006"/>
  </r>
  <r>
    <s v="PAY01092"/>
    <s v="CLM01470"/>
    <d v="2023-08-18T00:00:00"/>
    <x v="5"/>
    <n v="36.44"/>
    <s v="Insurance"/>
    <n v="19.170000000000002"/>
  </r>
  <r>
    <s v="PAY01093"/>
    <s v="CLM01471"/>
    <d v="2025-02-03T00:00:00"/>
    <x v="24"/>
    <n v="70.849999999999994"/>
    <s v="Insurance"/>
    <n v="30.94"/>
  </r>
  <r>
    <s v="PAY01094"/>
    <s v="CLM01472"/>
    <d v="2024-08-28T00:00:00"/>
    <x v="21"/>
    <n v="153.86000000000001"/>
    <s v="Insurance"/>
    <n v="11.88"/>
  </r>
  <r>
    <s v="PAY01095"/>
    <s v="CLM01473"/>
    <d v="2023-04-16T00:00:00"/>
    <x v="4"/>
    <n v="2676.57"/>
    <s v="Insurance"/>
    <n v="1567.44"/>
  </r>
  <r>
    <s v="PAY01096"/>
    <s v="CLM01474"/>
    <d v="2024-06-01T00:00:00"/>
    <x v="13"/>
    <n v="1027.8800000000001"/>
    <s v="Insurance"/>
    <n v="88.63"/>
  </r>
  <r>
    <s v="PAY01097"/>
    <s v="CLM01476"/>
    <d v="2023-08-18T00:00:00"/>
    <x v="5"/>
    <n v="3490.16"/>
    <s v="Insurance"/>
    <n v="566.29"/>
  </r>
  <r>
    <s v="PAY01098"/>
    <s v="CLM01477"/>
    <d v="2023-05-14T00:00:00"/>
    <x v="6"/>
    <n v="666.4"/>
    <s v="Insurance"/>
    <n v="68.459999999999994"/>
  </r>
  <r>
    <s v="PAY01099"/>
    <s v="CLM01478"/>
    <d v="2023-05-01T00:00:00"/>
    <x v="6"/>
    <n v="552.46"/>
    <s v="Insurance"/>
    <n v="69.260000000000005"/>
  </r>
  <r>
    <s v="PAY01100"/>
    <s v="CLM01480"/>
    <d v="2023-08-25T00:00:00"/>
    <x v="5"/>
    <n v="118.19"/>
    <s v="Insurance"/>
    <n v="44.57"/>
  </r>
  <r>
    <s v="PAY01101"/>
    <s v="CLM01484"/>
    <d v="2023-07-22T00:00:00"/>
    <x v="17"/>
    <n v="770.06"/>
    <s v="Insurance"/>
    <n v="225.62"/>
  </r>
  <r>
    <s v="PAY01102"/>
    <s v="CLM01485"/>
    <d v="2024-06-12T00:00:00"/>
    <x v="13"/>
    <n v="526.85"/>
    <s v="Insurance"/>
    <n v="58.85"/>
  </r>
  <r>
    <s v="PAY01103"/>
    <s v="CLM01486"/>
    <d v="2024-10-29T00:00:00"/>
    <x v="1"/>
    <n v="145.32"/>
    <s v="Insurance"/>
    <n v="52.8"/>
  </r>
  <r>
    <s v="PAY01104"/>
    <s v="CLM01487"/>
    <d v="2023-12-11T00:00:00"/>
    <x v="19"/>
    <n v="338.52"/>
    <s v="Insurance"/>
    <n v="28.91"/>
  </r>
  <r>
    <s v="PAY01105"/>
    <s v="CLM01488"/>
    <d v="2024-09-28T00:00:00"/>
    <x v="3"/>
    <n v="157.62"/>
    <s v="Patient"/>
    <n v="20.87"/>
  </r>
  <r>
    <s v="PAY01106"/>
    <s v="CLM01489"/>
    <d v="2024-03-22T00:00:00"/>
    <x v="2"/>
    <n v="155.47"/>
    <s v="Insurance"/>
    <n v="47.14"/>
  </r>
  <r>
    <s v="PAY01107"/>
    <s v="CLM01491"/>
    <d v="2024-05-26T00:00:00"/>
    <x v="11"/>
    <n v="1162.49"/>
    <s v="Patient"/>
    <n v="622.97"/>
  </r>
  <r>
    <s v="PAY01108"/>
    <s v="CLM01492"/>
    <d v="2023-03-29T00:00:00"/>
    <x v="8"/>
    <n v="425.71"/>
    <s v="Insurance"/>
    <n v="220.22"/>
  </r>
  <r>
    <s v="PAY01109"/>
    <s v="CLM01493"/>
    <d v="2023-06-11T00:00:00"/>
    <x v="7"/>
    <n v="3755.78"/>
    <s v="Insurance"/>
    <n v="2046.31"/>
  </r>
  <r>
    <s v="PAY01110"/>
    <s v="CLM01494"/>
    <d v="2024-09-22T00:00:00"/>
    <x v="3"/>
    <n v="921.93"/>
    <s v="Insurance"/>
    <n v="369.42"/>
  </r>
  <r>
    <s v="PAY01111"/>
    <s v="CLM01495"/>
    <d v="2023-10-08T00:00:00"/>
    <x v="23"/>
    <n v="1272.43"/>
    <s v="Insurance"/>
    <n v="390.28"/>
  </r>
  <r>
    <s v="PAY01112"/>
    <s v="CLM01496"/>
    <d v="2023-12-26T00:00:00"/>
    <x v="19"/>
    <n v="126.83"/>
    <s v="Patient"/>
    <n v="11.56"/>
  </r>
  <r>
    <s v="PAY01113"/>
    <s v="CLM01497"/>
    <d v="2023-12-23T00:00:00"/>
    <x v="19"/>
    <n v="1839.03"/>
    <s v="Insurance"/>
    <n v="761.57"/>
  </r>
  <r>
    <s v="PAY01114"/>
    <s v="CLM01498"/>
    <d v="2023-10-13T00:00:00"/>
    <x v="23"/>
    <n v="507"/>
    <s v="Patient"/>
    <n v="294.06"/>
  </r>
  <r>
    <s v="PAY01115"/>
    <s v="CLM01502"/>
    <d v="2024-07-24T00:00:00"/>
    <x v="9"/>
    <n v="295.39"/>
    <s v="Insurance"/>
    <n v="123.15"/>
  </r>
  <r>
    <s v="PAY01116"/>
    <s v="CLM01503"/>
    <d v="2023-03-29T00:00:00"/>
    <x v="8"/>
    <n v="82.85"/>
    <s v="Insurance"/>
    <n v="25.54"/>
  </r>
  <r>
    <s v="PAY01117"/>
    <s v="CLM01504"/>
    <d v="2023-08-06T00:00:00"/>
    <x v="5"/>
    <n v="908.37"/>
    <s v="Insurance"/>
    <n v="462.06"/>
  </r>
  <r>
    <s v="PAY01118"/>
    <s v="CLM01505"/>
    <d v="2023-05-13T00:00:00"/>
    <x v="6"/>
    <n v="57.09"/>
    <s v="Insurance"/>
    <n v="3.37"/>
  </r>
  <r>
    <s v="PAY01119"/>
    <s v="CLM01506"/>
    <d v="2023-07-28T00:00:00"/>
    <x v="17"/>
    <n v="1830.9"/>
    <s v="Insurance"/>
    <n v="530.79999999999995"/>
  </r>
  <r>
    <s v="PAY01120"/>
    <s v="CLM01507"/>
    <d v="2023-07-30T00:00:00"/>
    <x v="17"/>
    <n v="125.72"/>
    <s v="Insurance"/>
    <n v="25.73"/>
  </r>
  <r>
    <s v="PAY01121"/>
    <s v="CLM01508"/>
    <d v="2023-03-22T00:00:00"/>
    <x v="8"/>
    <n v="991.45"/>
    <s v="Insurance"/>
    <n v="405.09"/>
  </r>
  <r>
    <s v="PAY01122"/>
    <s v="CLM01509"/>
    <d v="2024-05-14T00:00:00"/>
    <x v="11"/>
    <n v="676.06"/>
    <s v="Insurance"/>
    <n v="56.71"/>
  </r>
  <r>
    <s v="PAY01123"/>
    <s v="CLM01511"/>
    <d v="2024-08-09T00:00:00"/>
    <x v="21"/>
    <n v="132.69999999999999"/>
    <s v="Insurance"/>
    <n v="11.66"/>
  </r>
  <r>
    <s v="PAY01124"/>
    <s v="CLM01512"/>
    <d v="2023-06-03T00:00:00"/>
    <x v="7"/>
    <n v="653.32000000000005"/>
    <s v="Insurance"/>
    <n v="269.52"/>
  </r>
  <r>
    <s v="PAY01125"/>
    <s v="CLM01513"/>
    <d v="2024-05-02T00:00:00"/>
    <x v="11"/>
    <n v="49.06"/>
    <s v="Insurance"/>
    <n v="3.01"/>
  </r>
  <r>
    <s v="PAY01126"/>
    <s v="CLM01514"/>
    <d v="2024-02-09T00:00:00"/>
    <x v="20"/>
    <n v="301.31"/>
    <s v="Insurance"/>
    <n v="40"/>
  </r>
  <r>
    <s v="PAY01127"/>
    <s v="CLM01515"/>
    <d v="2023-02-28T00:00:00"/>
    <x v="0"/>
    <n v="457.38"/>
    <s v="Insurance"/>
    <n v="106.14"/>
  </r>
  <r>
    <s v="PAY01128"/>
    <s v="CLM01516"/>
    <d v="2024-03-28T00:00:00"/>
    <x v="2"/>
    <n v="158.15"/>
    <s v="Insurance"/>
    <n v="21.75"/>
  </r>
  <r>
    <s v="PAY01129"/>
    <s v="CLM01517"/>
    <d v="2024-06-08T00:00:00"/>
    <x v="13"/>
    <n v="1651.26"/>
    <s v="Insurance"/>
    <n v="79.680000000000007"/>
  </r>
  <r>
    <s v="PAY01130"/>
    <s v="CLM01519"/>
    <d v="2023-10-29T00:00:00"/>
    <x v="23"/>
    <n v="257.52"/>
    <s v="Insurance"/>
    <n v="38.950000000000003"/>
  </r>
  <r>
    <s v="PAY01131"/>
    <s v="CLM01520"/>
    <d v="2024-11-14T00:00:00"/>
    <x v="18"/>
    <n v="5324.15"/>
    <s v="Insurance"/>
    <n v="1559.08"/>
  </r>
  <r>
    <s v="PAY01132"/>
    <s v="CLM01521"/>
    <d v="2024-12-26T00:00:00"/>
    <x v="16"/>
    <n v="117.63"/>
    <s v="Patient"/>
    <n v="68.680000000000007"/>
  </r>
  <r>
    <s v="PAY01133"/>
    <s v="CLM01522"/>
    <d v="2025-01-19T00:00:00"/>
    <x v="14"/>
    <n v="162.78"/>
    <s v="Insurance"/>
    <n v="61.09"/>
  </r>
  <r>
    <s v="PAY01134"/>
    <s v="CLM01524"/>
    <d v="2023-07-19T00:00:00"/>
    <x v="17"/>
    <n v="909.78"/>
    <s v="Insurance"/>
    <n v="203.81"/>
  </r>
  <r>
    <s v="PAY01135"/>
    <s v="CLM01525"/>
    <d v="2024-01-17T00:00:00"/>
    <x v="15"/>
    <n v="2847.88"/>
    <s v="Insurance"/>
    <n v="412.16"/>
  </r>
  <r>
    <s v="PAY01136"/>
    <s v="CLM01526"/>
    <d v="2023-08-20T00:00:00"/>
    <x v="5"/>
    <n v="501.4"/>
    <s v="Insurance"/>
    <n v="107.32"/>
  </r>
  <r>
    <s v="PAY01137"/>
    <s v="CLM01527"/>
    <d v="2024-04-22T00:00:00"/>
    <x v="22"/>
    <n v="298.58999999999997"/>
    <s v="Insurance"/>
    <n v="89.83"/>
  </r>
  <r>
    <s v="PAY01138"/>
    <s v="CLM01528"/>
    <d v="2023-11-07T00:00:00"/>
    <x v="12"/>
    <n v="3582.46"/>
    <s v="Insurance"/>
    <n v="1650.37"/>
  </r>
  <r>
    <s v="PAY01139"/>
    <s v="CLM01529"/>
    <d v="2024-01-19T00:00:00"/>
    <x v="15"/>
    <n v="339.22"/>
    <s v="Insurance"/>
    <n v="28.68"/>
  </r>
  <r>
    <s v="PAY01140"/>
    <s v="CLM01530"/>
    <d v="2024-03-08T00:00:00"/>
    <x v="2"/>
    <n v="608.51"/>
    <s v="Insurance"/>
    <n v="126.59"/>
  </r>
  <r>
    <s v="PAY01141"/>
    <s v="CLM01531"/>
    <d v="2024-07-10T00:00:00"/>
    <x v="9"/>
    <n v="4556.47"/>
    <s v="Insurance"/>
    <n v="2468.67"/>
  </r>
  <r>
    <s v="PAY01142"/>
    <s v="CLM01532"/>
    <d v="2023-10-03T00:00:00"/>
    <x v="23"/>
    <n v="134.71"/>
    <s v="Insurance"/>
    <n v="26.79"/>
  </r>
  <r>
    <s v="PAY01143"/>
    <s v="CLM01535"/>
    <d v="2025-01-17T00:00:00"/>
    <x v="14"/>
    <n v="249.74"/>
    <s v="Insurance"/>
    <n v="33.24"/>
  </r>
  <r>
    <s v="PAY01144"/>
    <s v="CLM01536"/>
    <d v="2024-09-13T00:00:00"/>
    <x v="3"/>
    <n v="1789.59"/>
    <s v="Insurance"/>
    <n v="268.2"/>
  </r>
  <r>
    <s v="PAY01145"/>
    <s v="CLM01537"/>
    <d v="2024-08-16T00:00:00"/>
    <x v="21"/>
    <n v="1128.6600000000001"/>
    <s v="Insurance"/>
    <n v="430.1"/>
  </r>
  <r>
    <s v="PAY01146"/>
    <s v="CLM01538"/>
    <d v="2024-05-02T00:00:00"/>
    <x v="11"/>
    <n v="923.8"/>
    <s v="Insurance"/>
    <n v="238.72"/>
  </r>
  <r>
    <s v="PAY01147"/>
    <s v="CLM01539"/>
    <d v="2023-04-24T00:00:00"/>
    <x v="4"/>
    <n v="585.69000000000005"/>
    <s v="Insurance"/>
    <n v="105.91"/>
  </r>
  <r>
    <s v="PAY01148"/>
    <s v="CLM01540"/>
    <d v="2024-12-10T00:00:00"/>
    <x v="16"/>
    <n v="75.94"/>
    <s v="Insurance"/>
    <n v="39.35"/>
  </r>
  <r>
    <s v="PAY01149"/>
    <s v="CLM01541"/>
    <d v="2023-05-24T00:00:00"/>
    <x v="6"/>
    <n v="777.76"/>
    <s v="Patient"/>
    <n v="210.43"/>
  </r>
  <r>
    <s v="PAY01150"/>
    <s v="CLM01542"/>
    <d v="2024-04-23T00:00:00"/>
    <x v="22"/>
    <n v="2066.61"/>
    <s v="Patient"/>
    <n v="571.45000000000005"/>
  </r>
  <r>
    <s v="PAY01151"/>
    <s v="CLM01543"/>
    <d v="2024-04-14T00:00:00"/>
    <x v="22"/>
    <n v="950.91"/>
    <s v="Insurance"/>
    <n v="422.03"/>
  </r>
  <r>
    <s v="PAY01152"/>
    <s v="CLM01544"/>
    <d v="2023-07-06T00:00:00"/>
    <x v="17"/>
    <n v="128.75"/>
    <s v="Insurance"/>
    <n v="53.89"/>
  </r>
  <r>
    <s v="PAY01153"/>
    <s v="CLM01545"/>
    <d v="2024-06-17T00:00:00"/>
    <x v="13"/>
    <n v="4237.79"/>
    <s v="Insurance"/>
    <n v="629.52"/>
  </r>
  <r>
    <s v="PAY01154"/>
    <s v="CLM01546"/>
    <d v="2024-02-17T00:00:00"/>
    <x v="20"/>
    <n v="2953.61"/>
    <s v="Insurance"/>
    <n v="798.94"/>
  </r>
  <r>
    <s v="PAY01155"/>
    <s v="CLM01547"/>
    <d v="2023-03-14T00:00:00"/>
    <x v="8"/>
    <n v="106.01"/>
    <s v="Insurance"/>
    <n v="57.23"/>
  </r>
  <r>
    <s v="PAY01156"/>
    <s v="CLM01548"/>
    <d v="2023-12-03T00:00:00"/>
    <x v="19"/>
    <n v="656.93"/>
    <s v="Insurance"/>
    <n v="364.55"/>
  </r>
  <r>
    <s v="PAY01157"/>
    <s v="CLM01549"/>
    <d v="2024-06-17T00:00:00"/>
    <x v="13"/>
    <n v="91.65"/>
    <s v="Insurance"/>
    <n v="38.32"/>
  </r>
  <r>
    <s v="PAY01158"/>
    <s v="CLM01550"/>
    <d v="2023-09-06T00:00:00"/>
    <x v="10"/>
    <n v="3727.26"/>
    <s v="Insurance"/>
    <n v="523.57000000000005"/>
  </r>
  <r>
    <s v="PAY01159"/>
    <s v="CLM01551"/>
    <d v="2024-02-15T00:00:00"/>
    <x v="20"/>
    <n v="79.45"/>
    <s v="Insurance"/>
    <n v="16.3"/>
  </r>
  <r>
    <s v="PAY01160"/>
    <s v="CLM01552"/>
    <d v="2024-04-24T00:00:00"/>
    <x v="22"/>
    <n v="94.13"/>
    <s v="Insurance"/>
    <n v="24.01"/>
  </r>
  <r>
    <s v="PAY01161"/>
    <s v="CLM01553"/>
    <d v="2024-10-07T00:00:00"/>
    <x v="1"/>
    <n v="572.22"/>
    <s v="Insurance"/>
    <n v="251.81"/>
  </r>
  <r>
    <s v="PAY01162"/>
    <s v="CLM01554"/>
    <d v="2024-09-19T00:00:00"/>
    <x v="3"/>
    <n v="1162.72"/>
    <s v="Insurance"/>
    <n v="159.6"/>
  </r>
  <r>
    <s v="PAY01163"/>
    <s v="CLM01555"/>
    <d v="2023-08-10T00:00:00"/>
    <x v="5"/>
    <n v="1123.7"/>
    <s v="Insurance"/>
    <n v="331.59"/>
  </r>
  <r>
    <s v="PAY01164"/>
    <s v="CLM01556"/>
    <d v="2023-09-13T00:00:00"/>
    <x v="10"/>
    <n v="3719.09"/>
    <s v="Patient"/>
    <n v="1078.68"/>
  </r>
  <r>
    <s v="PAY01165"/>
    <s v="CLM01557"/>
    <d v="2024-07-03T00:00:00"/>
    <x v="9"/>
    <n v="1671.74"/>
    <s v="Insurance"/>
    <n v="504.39"/>
  </r>
  <r>
    <s v="PAY01166"/>
    <s v="CLM01558"/>
    <d v="2024-05-04T00:00:00"/>
    <x v="11"/>
    <n v="3489.95"/>
    <s v="Insurance"/>
    <n v="677.02"/>
  </r>
  <r>
    <s v="PAY01167"/>
    <s v="CLM01559"/>
    <d v="2023-06-03T00:00:00"/>
    <x v="7"/>
    <n v="129.75"/>
    <s v="Insurance"/>
    <n v="34.450000000000003"/>
  </r>
  <r>
    <s v="PAY01168"/>
    <s v="CLM01560"/>
    <d v="2023-05-30T00:00:00"/>
    <x v="6"/>
    <n v="3570.41"/>
    <s v="Insurance"/>
    <n v="1649.56"/>
  </r>
  <r>
    <s v="PAY01169"/>
    <s v="CLM01561"/>
    <d v="2023-02-08T00:00:00"/>
    <x v="0"/>
    <n v="2869.89"/>
    <s v="Insurance"/>
    <n v="1441.08"/>
  </r>
  <r>
    <s v="PAY01170"/>
    <s v="CLM01562"/>
    <d v="2023-06-04T00:00:00"/>
    <x v="7"/>
    <n v="106.53"/>
    <s v="Insurance"/>
    <n v="35.1"/>
  </r>
  <r>
    <s v="PAY01171"/>
    <s v="CLM01563"/>
    <d v="2024-08-20T00:00:00"/>
    <x v="21"/>
    <n v="4748.33"/>
    <s v="Insurance"/>
    <n v="463"/>
  </r>
  <r>
    <s v="PAY01172"/>
    <s v="CLM01564"/>
    <d v="2023-12-15T00:00:00"/>
    <x v="19"/>
    <n v="67.180000000000007"/>
    <s v="Insurance"/>
    <n v="30.89"/>
  </r>
  <r>
    <s v="PAY01173"/>
    <s v="CLM01566"/>
    <d v="2023-06-10T00:00:00"/>
    <x v="7"/>
    <n v="1390.37"/>
    <s v="Insurance"/>
    <n v="443.18"/>
  </r>
  <r>
    <s v="PAY01174"/>
    <s v="CLM01568"/>
    <d v="2023-05-22T00:00:00"/>
    <x v="6"/>
    <n v="433.37"/>
    <s v="Patient"/>
    <n v="106.75"/>
  </r>
  <r>
    <s v="PAY01175"/>
    <s v="CLM01570"/>
    <d v="2024-08-24T00:00:00"/>
    <x v="21"/>
    <n v="397.47"/>
    <s v="Insurance"/>
    <n v="54.77"/>
  </r>
  <r>
    <s v="PAY01176"/>
    <s v="CLM01571"/>
    <d v="2023-04-30T00:00:00"/>
    <x v="4"/>
    <n v="6135.32"/>
    <s v="Insurance"/>
    <n v="1003.34"/>
  </r>
  <r>
    <s v="PAY01177"/>
    <s v="CLM01572"/>
    <d v="2023-05-12T00:00:00"/>
    <x v="6"/>
    <n v="321.51"/>
    <s v="Insurance"/>
    <n v="51.28"/>
  </r>
  <r>
    <s v="PAY01178"/>
    <s v="CLM01573"/>
    <d v="2023-04-06T00:00:00"/>
    <x v="4"/>
    <n v="4122.12"/>
    <s v="Insurance"/>
    <n v="386.73"/>
  </r>
  <r>
    <s v="PAY01179"/>
    <s v="CLM01574"/>
    <d v="2023-02-27T00:00:00"/>
    <x v="0"/>
    <n v="3541.22"/>
    <s v="Insurance"/>
    <n v="1315.17"/>
  </r>
  <r>
    <s v="PAY01180"/>
    <s v="CLM01576"/>
    <d v="2023-03-22T00:00:00"/>
    <x v="8"/>
    <n v="47.72"/>
    <s v="Insurance"/>
    <n v="8.9700000000000006"/>
  </r>
  <r>
    <s v="PAY01181"/>
    <s v="CLM01578"/>
    <d v="2023-02-25T00:00:00"/>
    <x v="0"/>
    <n v="479.93"/>
    <s v="Insurance"/>
    <n v="26.19"/>
  </r>
  <r>
    <s v="PAY01182"/>
    <s v="CLM01580"/>
    <d v="2023-08-14T00:00:00"/>
    <x v="5"/>
    <n v="129.88999999999999"/>
    <s v="Insurance"/>
    <n v="42.73"/>
  </r>
  <r>
    <s v="PAY01183"/>
    <s v="CLM01581"/>
    <d v="2024-04-25T00:00:00"/>
    <x v="22"/>
    <n v="196.65"/>
    <s v="Insurance"/>
    <n v="13.96"/>
  </r>
  <r>
    <s v="PAY01184"/>
    <s v="CLM01582"/>
    <d v="2024-08-10T00:00:00"/>
    <x v="21"/>
    <n v="533.41999999999996"/>
    <s v="Insurance"/>
    <n v="299.57"/>
  </r>
  <r>
    <s v="PAY01185"/>
    <s v="CLM01583"/>
    <d v="2024-12-14T00:00:00"/>
    <x v="16"/>
    <n v="86.08"/>
    <s v="Insurance"/>
    <n v="8.7100000000000009"/>
  </r>
  <r>
    <s v="PAY01186"/>
    <s v="CLM01584"/>
    <d v="2024-04-09T00:00:00"/>
    <x v="22"/>
    <n v="1040.1099999999999"/>
    <s v="Insurance"/>
    <n v="468.21"/>
  </r>
  <r>
    <s v="PAY01187"/>
    <s v="CLM01586"/>
    <d v="2023-06-22T00:00:00"/>
    <x v="7"/>
    <n v="194.57"/>
    <s v="Insurance"/>
    <n v="18.79"/>
  </r>
  <r>
    <s v="PAY01188"/>
    <s v="CLM01587"/>
    <d v="2023-04-25T00:00:00"/>
    <x v="4"/>
    <n v="354.16"/>
    <s v="Insurance"/>
    <n v="54.38"/>
  </r>
  <r>
    <s v="PAY01189"/>
    <s v="CLM01589"/>
    <d v="2024-02-17T00:00:00"/>
    <x v="20"/>
    <n v="2894.6"/>
    <s v="Insurance"/>
    <n v="1592.16"/>
  </r>
  <r>
    <s v="PAY01190"/>
    <s v="CLM01592"/>
    <d v="2024-07-16T00:00:00"/>
    <x v="9"/>
    <n v="99.65"/>
    <s v="Insurance"/>
    <n v="19.8"/>
  </r>
  <r>
    <s v="PAY01191"/>
    <s v="CLM01593"/>
    <d v="2023-09-20T00:00:00"/>
    <x v="10"/>
    <n v="32.619999999999997"/>
    <s v="Insurance"/>
    <n v="19.64"/>
  </r>
  <r>
    <s v="PAY01192"/>
    <s v="CLM01594"/>
    <d v="2024-02-27T00:00:00"/>
    <x v="20"/>
    <n v="338.16"/>
    <s v="Insurance"/>
    <n v="70.900000000000006"/>
  </r>
  <r>
    <s v="PAY01193"/>
    <s v="CLM01595"/>
    <d v="2023-06-09T00:00:00"/>
    <x v="7"/>
    <n v="1358.78"/>
    <s v="Insurance"/>
    <n v="652.41"/>
  </r>
  <r>
    <s v="PAY01194"/>
    <s v="CLM01596"/>
    <d v="2024-05-24T00:00:00"/>
    <x v="11"/>
    <n v="139.03"/>
    <s v="Insurance"/>
    <n v="30.71"/>
  </r>
  <r>
    <s v="PAY01195"/>
    <s v="CLM01597"/>
    <d v="2024-03-24T00:00:00"/>
    <x v="2"/>
    <n v="1298.77"/>
    <s v="Insurance"/>
    <n v="60.73"/>
  </r>
  <r>
    <s v="PAY01196"/>
    <s v="CLM01598"/>
    <d v="2023-02-10T00:00:00"/>
    <x v="0"/>
    <n v="1036.81"/>
    <s v="Insurance"/>
    <n v="212.01"/>
  </r>
  <r>
    <s v="PAY01197"/>
    <s v="CLM01599"/>
    <d v="2024-01-10T00:00:00"/>
    <x v="15"/>
    <n v="3539"/>
    <s v="Insurance"/>
    <n v="647.04"/>
  </r>
  <r>
    <s v="PAY01198"/>
    <s v="CLM01601"/>
    <d v="2024-01-21T00:00:00"/>
    <x v="15"/>
    <n v="105.59"/>
    <s v="Insurance"/>
    <n v="7.32"/>
  </r>
  <r>
    <s v="PAY01199"/>
    <s v="CLM01602"/>
    <d v="2024-09-11T00:00:00"/>
    <x v="3"/>
    <n v="717.25"/>
    <s v="Insurance"/>
    <n v="201.36"/>
  </r>
  <r>
    <s v="PAY01200"/>
    <s v="CLM01604"/>
    <d v="2023-09-08T00:00:00"/>
    <x v="10"/>
    <n v="582.9"/>
    <s v="Insurance"/>
    <n v="134.62"/>
  </r>
  <r>
    <s v="PAY01201"/>
    <s v="CLM01605"/>
    <d v="2024-08-13T00:00:00"/>
    <x v="21"/>
    <n v="363.48"/>
    <s v="Patient"/>
    <n v="22.21"/>
  </r>
  <r>
    <s v="PAY01202"/>
    <s v="CLM01606"/>
    <d v="2024-11-26T00:00:00"/>
    <x v="18"/>
    <n v="1586.44"/>
    <s v="Insurance"/>
    <n v="657.1"/>
  </r>
  <r>
    <s v="PAY01203"/>
    <s v="CLM01607"/>
    <d v="2023-08-28T00:00:00"/>
    <x v="5"/>
    <n v="216.82"/>
    <s v="Patient"/>
    <n v="108.45"/>
  </r>
  <r>
    <s v="PAY01204"/>
    <s v="CLM01608"/>
    <d v="2023-02-08T00:00:00"/>
    <x v="0"/>
    <n v="7709.76"/>
    <s v="Insurance"/>
    <n v="398.87"/>
  </r>
  <r>
    <s v="PAY01205"/>
    <s v="CLM01610"/>
    <d v="2024-07-04T00:00:00"/>
    <x v="9"/>
    <n v="124.08"/>
    <s v="Patient"/>
    <n v="60.98"/>
  </r>
  <r>
    <s v="PAY01206"/>
    <s v="CLM01612"/>
    <d v="2023-12-23T00:00:00"/>
    <x v="19"/>
    <n v="76.44"/>
    <s v="Insurance"/>
    <n v="44.24"/>
  </r>
  <r>
    <s v="PAY01207"/>
    <s v="CLM01613"/>
    <d v="2024-03-06T00:00:00"/>
    <x v="2"/>
    <n v="544.13"/>
    <s v="Insurance"/>
    <n v="301.57"/>
  </r>
  <r>
    <s v="PAY01208"/>
    <s v="CLM01616"/>
    <d v="2023-05-16T00:00:00"/>
    <x v="6"/>
    <n v="127.05"/>
    <s v="Insurance"/>
    <n v="71.3"/>
  </r>
  <r>
    <s v="PAY01209"/>
    <s v="CLM01617"/>
    <d v="2024-05-27T00:00:00"/>
    <x v="11"/>
    <n v="3964.71"/>
    <s v="Insurance"/>
    <n v="319.56"/>
  </r>
  <r>
    <s v="PAY01210"/>
    <s v="CLM01618"/>
    <d v="2024-05-20T00:00:00"/>
    <x v="11"/>
    <n v="118.95"/>
    <s v="Insurance"/>
    <n v="6.3"/>
  </r>
  <r>
    <s v="PAY01211"/>
    <s v="CLM01619"/>
    <d v="2024-04-06T00:00:00"/>
    <x v="22"/>
    <n v="369.53"/>
    <s v="Insurance"/>
    <n v="148.94"/>
  </r>
  <r>
    <s v="PAY01212"/>
    <s v="CLM01620"/>
    <d v="2025-01-20T00:00:00"/>
    <x v="14"/>
    <n v="87.62"/>
    <s v="Insurance"/>
    <n v="41.86"/>
  </r>
  <r>
    <s v="PAY01213"/>
    <s v="CLM01621"/>
    <d v="2024-12-15T00:00:00"/>
    <x v="16"/>
    <n v="1122.17"/>
    <s v="Insurance"/>
    <n v="600.17999999999995"/>
  </r>
  <r>
    <s v="PAY01214"/>
    <s v="CLM01623"/>
    <d v="2024-09-19T00:00:00"/>
    <x v="3"/>
    <n v="722.37"/>
    <s v="Patient"/>
    <n v="138.49"/>
  </r>
  <r>
    <s v="PAY01215"/>
    <s v="CLM01625"/>
    <d v="2023-05-10T00:00:00"/>
    <x v="6"/>
    <n v="751.81"/>
    <s v="Insurance"/>
    <n v="225.85"/>
  </r>
  <r>
    <s v="PAY01216"/>
    <s v="CLM01626"/>
    <d v="2024-01-07T00:00:00"/>
    <x v="15"/>
    <n v="290.63"/>
    <s v="Insurance"/>
    <n v="76.25"/>
  </r>
  <r>
    <s v="PAY01217"/>
    <s v="CLM01628"/>
    <d v="2024-06-23T00:00:00"/>
    <x v="13"/>
    <n v="594.58000000000004"/>
    <s v="Insurance"/>
    <n v="64.739999999999995"/>
  </r>
  <r>
    <s v="PAY01218"/>
    <s v="CLM01630"/>
    <d v="2024-09-08T00:00:00"/>
    <x v="3"/>
    <n v="2282.36"/>
    <s v="Insurance"/>
    <n v="372.39"/>
  </r>
  <r>
    <s v="PAY01219"/>
    <s v="CLM01631"/>
    <d v="2023-07-15T00:00:00"/>
    <x v="17"/>
    <n v="238.08"/>
    <s v="Insurance"/>
    <n v="33.92"/>
  </r>
  <r>
    <s v="PAY01220"/>
    <s v="CLM01633"/>
    <d v="2023-07-17T00:00:00"/>
    <x v="17"/>
    <n v="624.04"/>
    <s v="Insurance"/>
    <n v="50.58"/>
  </r>
  <r>
    <s v="PAY01221"/>
    <s v="CLM01636"/>
    <d v="2023-09-21T00:00:00"/>
    <x v="10"/>
    <n v="4268.6899999999996"/>
    <s v="Insurance"/>
    <n v="1683.41"/>
  </r>
  <r>
    <s v="PAY01222"/>
    <s v="CLM01637"/>
    <d v="2024-12-12T00:00:00"/>
    <x v="16"/>
    <n v="50.51"/>
    <s v="Insurance"/>
    <n v="10.59"/>
  </r>
  <r>
    <s v="PAY01223"/>
    <s v="CLM01638"/>
    <d v="2024-06-12T00:00:00"/>
    <x v="13"/>
    <n v="444.18"/>
    <s v="Insurance"/>
    <n v="141.35"/>
  </r>
  <r>
    <s v="PAY01224"/>
    <s v="CLM01639"/>
    <d v="2023-09-18T00:00:00"/>
    <x v="10"/>
    <n v="1048.68"/>
    <s v="Insurance"/>
    <n v="225.53"/>
  </r>
  <r>
    <s v="PAY01225"/>
    <s v="CLM01641"/>
    <d v="2024-07-23T00:00:00"/>
    <x v="9"/>
    <n v="138.03"/>
    <s v="Insurance"/>
    <n v="54.33"/>
  </r>
  <r>
    <s v="PAY01226"/>
    <s v="CLM01642"/>
    <d v="2023-07-02T00:00:00"/>
    <x v="17"/>
    <n v="197.75"/>
    <s v="Insurance"/>
    <n v="85.31"/>
  </r>
  <r>
    <s v="PAY01227"/>
    <s v="CLM01643"/>
    <d v="2023-05-22T00:00:00"/>
    <x v="6"/>
    <n v="616.39"/>
    <s v="Insurance"/>
    <n v="163.61000000000001"/>
  </r>
  <r>
    <s v="PAY01228"/>
    <s v="CLM01644"/>
    <d v="2024-02-23T00:00:00"/>
    <x v="20"/>
    <n v="124.68"/>
    <s v="Insurance"/>
    <n v="13.71"/>
  </r>
  <r>
    <s v="PAY01229"/>
    <s v="CLM01646"/>
    <d v="2024-05-21T00:00:00"/>
    <x v="11"/>
    <n v="292.64"/>
    <s v="Insurance"/>
    <n v="42.67"/>
  </r>
  <r>
    <s v="PAY01230"/>
    <s v="CLM01648"/>
    <d v="2024-03-20T00:00:00"/>
    <x v="2"/>
    <n v="287.93"/>
    <s v="Insurance"/>
    <n v="67.87"/>
  </r>
  <r>
    <s v="PAY01231"/>
    <s v="CLM01649"/>
    <d v="2023-12-06T00:00:00"/>
    <x v="19"/>
    <n v="640.21"/>
    <s v="Insurance"/>
    <n v="80.599999999999994"/>
  </r>
  <r>
    <s v="PAY01232"/>
    <s v="CLM01650"/>
    <d v="2023-06-25T00:00:00"/>
    <x v="7"/>
    <n v="318.95"/>
    <s v="Insurance"/>
    <n v="15.69"/>
  </r>
  <r>
    <s v="PAY01233"/>
    <s v="CLM01651"/>
    <d v="2025-01-15T00:00:00"/>
    <x v="14"/>
    <n v="150.58000000000001"/>
    <s v="Insurance"/>
    <n v="12.22"/>
  </r>
  <r>
    <s v="PAY01234"/>
    <s v="CLM01653"/>
    <d v="2023-04-21T00:00:00"/>
    <x v="4"/>
    <n v="549.16999999999996"/>
    <s v="Insurance"/>
    <n v="26.29"/>
  </r>
  <r>
    <s v="PAY01235"/>
    <s v="CLM01655"/>
    <d v="2024-01-13T00:00:00"/>
    <x v="15"/>
    <n v="4102.7299999999996"/>
    <s v="Insurance"/>
    <n v="631.41999999999996"/>
  </r>
  <r>
    <s v="PAY01236"/>
    <s v="CLM01656"/>
    <d v="2024-08-24T00:00:00"/>
    <x v="21"/>
    <n v="1192.49"/>
    <s v="Insurance"/>
    <n v="239.13"/>
  </r>
  <r>
    <s v="PAY01237"/>
    <s v="CLM01657"/>
    <d v="2023-12-30T00:00:00"/>
    <x v="19"/>
    <n v="116.87"/>
    <s v="Insurance"/>
    <n v="29.65"/>
  </r>
  <r>
    <s v="PAY01238"/>
    <s v="CLM01659"/>
    <d v="2023-05-21T00:00:00"/>
    <x v="6"/>
    <n v="580.65"/>
    <s v="Insurance"/>
    <n v="43.62"/>
  </r>
  <r>
    <s v="PAY01239"/>
    <s v="CLM01660"/>
    <d v="2023-03-19T00:00:00"/>
    <x v="8"/>
    <n v="1017.22"/>
    <s v="Insurance"/>
    <n v="64.61"/>
  </r>
  <r>
    <s v="PAY01240"/>
    <s v="CLM01662"/>
    <d v="2023-10-22T00:00:00"/>
    <x v="23"/>
    <n v="322.17"/>
    <s v="Insurance"/>
    <n v="194.49"/>
  </r>
  <r>
    <s v="PAY01241"/>
    <s v="CLM01663"/>
    <d v="2024-03-26T00:00:00"/>
    <x v="2"/>
    <n v="536.35"/>
    <s v="Insurance"/>
    <n v="210.22"/>
  </r>
  <r>
    <s v="PAY01242"/>
    <s v="CLM01664"/>
    <d v="2024-05-20T00:00:00"/>
    <x v="11"/>
    <n v="4197.6400000000003"/>
    <s v="Insurance"/>
    <n v="885.12"/>
  </r>
  <r>
    <s v="PAY01243"/>
    <s v="CLM01665"/>
    <d v="2023-03-30T00:00:00"/>
    <x v="8"/>
    <n v="667.38"/>
    <s v="Insurance"/>
    <n v="105.68"/>
  </r>
  <r>
    <s v="PAY01244"/>
    <s v="CLM01667"/>
    <d v="2023-07-13T00:00:00"/>
    <x v="17"/>
    <n v="140.63999999999999"/>
    <s v="Insurance"/>
    <n v="25.08"/>
  </r>
  <r>
    <s v="PAY01245"/>
    <s v="CLM01668"/>
    <d v="2023-10-15T00:00:00"/>
    <x v="23"/>
    <n v="570.35"/>
    <s v="Insurance"/>
    <n v="220.91"/>
  </r>
  <r>
    <s v="PAY01246"/>
    <s v="CLM01669"/>
    <d v="2023-04-22T00:00:00"/>
    <x v="4"/>
    <n v="716.49"/>
    <s v="Insurance"/>
    <n v="377.86"/>
  </r>
  <r>
    <s v="PAY01247"/>
    <s v="CLM01670"/>
    <d v="2023-12-11T00:00:00"/>
    <x v="19"/>
    <n v="1411.25"/>
    <s v="Insurance"/>
    <n v="410.13"/>
  </r>
  <r>
    <s v="PAY01248"/>
    <s v="CLM01671"/>
    <d v="2024-11-22T00:00:00"/>
    <x v="18"/>
    <n v="299.69"/>
    <s v="Insurance"/>
    <n v="114.59"/>
  </r>
  <r>
    <s v="PAY01249"/>
    <s v="CLM01673"/>
    <d v="2023-10-10T00:00:00"/>
    <x v="23"/>
    <n v="86.85"/>
    <s v="Insurance"/>
    <n v="51.59"/>
  </r>
  <r>
    <s v="PAY01250"/>
    <s v="CLM01674"/>
    <d v="2024-09-10T00:00:00"/>
    <x v="3"/>
    <n v="215.81"/>
    <s v="Insurance"/>
    <n v="13.06"/>
  </r>
  <r>
    <s v="PAY01251"/>
    <s v="CLM01676"/>
    <d v="2023-03-06T00:00:00"/>
    <x v="8"/>
    <n v="1905.93"/>
    <s v="Insurance"/>
    <n v="150.81"/>
  </r>
  <r>
    <s v="PAY01252"/>
    <s v="CLM01678"/>
    <d v="2024-05-10T00:00:00"/>
    <x v="11"/>
    <n v="310.14"/>
    <s v="Insurance"/>
    <n v="47.2"/>
  </r>
  <r>
    <s v="PAY01253"/>
    <s v="CLM01680"/>
    <d v="2023-04-12T00:00:00"/>
    <x v="4"/>
    <n v="5956.33"/>
    <s v="Insurance"/>
    <n v="1017.17"/>
  </r>
  <r>
    <s v="PAY01254"/>
    <s v="CLM01681"/>
    <d v="2023-02-09T00:00:00"/>
    <x v="0"/>
    <n v="218.1"/>
    <s v="Insurance"/>
    <n v="52.92"/>
  </r>
  <r>
    <s v="PAY01255"/>
    <s v="CLM01682"/>
    <d v="2023-06-15T00:00:00"/>
    <x v="7"/>
    <n v="285"/>
    <s v="Patient"/>
    <n v="94.61"/>
  </r>
  <r>
    <s v="PAY01256"/>
    <s v="CLM01683"/>
    <d v="2023-08-05T00:00:00"/>
    <x v="5"/>
    <n v="113.33"/>
    <s v="Insurance"/>
    <n v="8.1999999999999993"/>
  </r>
  <r>
    <s v="PAY01257"/>
    <s v="CLM01684"/>
    <d v="2023-04-18T00:00:00"/>
    <x v="4"/>
    <n v="829.17"/>
    <s v="Insurance"/>
    <n v="493.84"/>
  </r>
  <r>
    <s v="PAY01258"/>
    <s v="CLM01685"/>
    <d v="2024-11-14T00:00:00"/>
    <x v="18"/>
    <n v="94.5"/>
    <s v="Insurance"/>
    <n v="16.649999999999999"/>
  </r>
  <r>
    <s v="PAY01259"/>
    <s v="CLM01686"/>
    <d v="2024-03-16T00:00:00"/>
    <x v="2"/>
    <n v="320.62"/>
    <s v="Insurance"/>
    <n v="48.43"/>
  </r>
  <r>
    <s v="PAY01260"/>
    <s v="CLM01687"/>
    <d v="2023-04-26T00:00:00"/>
    <x v="4"/>
    <n v="500.57"/>
    <s v="Insurance"/>
    <n v="116.1"/>
  </r>
  <r>
    <s v="PAY01261"/>
    <s v="CLM01688"/>
    <d v="2023-09-20T00:00:00"/>
    <x v="10"/>
    <n v="3119.16"/>
    <s v="Insurance"/>
    <n v="1148.76"/>
  </r>
  <r>
    <s v="PAY01262"/>
    <s v="CLM01690"/>
    <d v="2024-10-23T00:00:00"/>
    <x v="1"/>
    <n v="219.22"/>
    <s v="Insurance"/>
    <n v="130.1"/>
  </r>
  <r>
    <s v="PAY01263"/>
    <s v="CLM01691"/>
    <d v="2023-10-15T00:00:00"/>
    <x v="23"/>
    <n v="1215.6300000000001"/>
    <s v="Insurance"/>
    <n v="119.19"/>
  </r>
  <r>
    <s v="PAY01264"/>
    <s v="CLM01692"/>
    <d v="2023-07-19T00:00:00"/>
    <x v="17"/>
    <n v="147.62"/>
    <s v="Insurance"/>
    <n v="20.29"/>
  </r>
  <r>
    <s v="PAY01265"/>
    <s v="CLM01693"/>
    <d v="2023-07-12T00:00:00"/>
    <x v="17"/>
    <n v="107.58"/>
    <s v="Patient"/>
    <n v="60.92"/>
  </r>
  <r>
    <s v="PAY01266"/>
    <s v="CLM01694"/>
    <d v="2024-11-04T00:00:00"/>
    <x v="18"/>
    <n v="318.56"/>
    <s v="Insurance"/>
    <n v="185.46"/>
  </r>
  <r>
    <s v="PAY01267"/>
    <s v="CLM01696"/>
    <d v="2023-04-01T00:00:00"/>
    <x v="4"/>
    <n v="526.62"/>
    <s v="Insurance"/>
    <n v="220.53"/>
  </r>
  <r>
    <s v="PAY01268"/>
    <s v="CLM01697"/>
    <d v="2024-12-17T00:00:00"/>
    <x v="16"/>
    <n v="635.74"/>
    <s v="Insurance"/>
    <n v="58.04"/>
  </r>
  <r>
    <s v="PAY01269"/>
    <s v="CLM01698"/>
    <d v="2024-03-31T00:00:00"/>
    <x v="2"/>
    <n v="634.92999999999995"/>
    <s v="Insurance"/>
    <n v="185.42"/>
  </r>
  <r>
    <s v="PAY01270"/>
    <s v="CLM01699"/>
    <d v="2024-06-10T00:00:00"/>
    <x v="13"/>
    <n v="115.39"/>
    <s v="Insurance"/>
    <n v="5.15"/>
  </r>
  <r>
    <s v="PAY01271"/>
    <s v="CLM01702"/>
    <d v="2024-03-07T00:00:00"/>
    <x v="2"/>
    <n v="6105.97"/>
    <s v="Insurance"/>
    <n v="842.61"/>
  </r>
  <r>
    <s v="PAY01272"/>
    <s v="CLM01703"/>
    <d v="2024-01-30T00:00:00"/>
    <x v="15"/>
    <n v="1195.98"/>
    <s v="Patient"/>
    <n v="315.92"/>
  </r>
  <r>
    <s v="PAY01273"/>
    <s v="CLM01704"/>
    <d v="2023-10-29T00:00:00"/>
    <x v="23"/>
    <n v="342.99"/>
    <s v="Insurance"/>
    <n v="73.58"/>
  </r>
  <r>
    <s v="PAY01274"/>
    <s v="CLM01705"/>
    <d v="2024-10-16T00:00:00"/>
    <x v="1"/>
    <n v="649.04999999999995"/>
    <s v="Patient"/>
    <n v="300.74"/>
  </r>
  <r>
    <s v="PAY01275"/>
    <s v="CLM01706"/>
    <d v="2024-10-20T00:00:00"/>
    <x v="1"/>
    <n v="3470.04"/>
    <s v="Insurance"/>
    <n v="2028.95"/>
  </r>
  <r>
    <s v="PAY01276"/>
    <s v="CLM01707"/>
    <d v="2024-02-02T00:00:00"/>
    <x v="20"/>
    <n v="173.23"/>
    <s v="Insurance"/>
    <n v="43.66"/>
  </r>
  <r>
    <s v="PAY01277"/>
    <s v="CLM01708"/>
    <d v="2023-04-09T00:00:00"/>
    <x v="4"/>
    <n v="596.27"/>
    <s v="Insurance"/>
    <n v="88.76"/>
  </r>
  <r>
    <s v="PAY01278"/>
    <s v="CLM01709"/>
    <d v="2023-09-28T00:00:00"/>
    <x v="10"/>
    <n v="4538.22"/>
    <s v="Insurance"/>
    <n v="2711.39"/>
  </r>
  <r>
    <s v="PAY01279"/>
    <s v="CLM01710"/>
    <d v="2023-03-15T00:00:00"/>
    <x v="8"/>
    <n v="168.36"/>
    <s v="Insurance"/>
    <n v="10.11"/>
  </r>
  <r>
    <s v="PAY01280"/>
    <s v="CLM01711"/>
    <d v="2024-03-02T00:00:00"/>
    <x v="2"/>
    <n v="2574.21"/>
    <s v="Insurance"/>
    <n v="1437.32"/>
  </r>
  <r>
    <s v="PAY01281"/>
    <s v="CLM01712"/>
    <d v="2023-03-20T00:00:00"/>
    <x v="8"/>
    <n v="166.13"/>
    <s v="Insurance"/>
    <n v="33.31"/>
  </r>
  <r>
    <s v="PAY01282"/>
    <s v="CLM01714"/>
    <d v="2023-08-16T00:00:00"/>
    <x v="5"/>
    <n v="2930.31"/>
    <s v="Insurance"/>
    <n v="1091.04"/>
  </r>
  <r>
    <s v="PAY01283"/>
    <s v="CLM01715"/>
    <d v="2024-06-09T00:00:00"/>
    <x v="13"/>
    <n v="86.79"/>
    <s v="Insurance"/>
    <n v="26.4"/>
  </r>
  <r>
    <s v="PAY01284"/>
    <s v="CLM01718"/>
    <d v="2024-02-07T00:00:00"/>
    <x v="20"/>
    <n v="495.99"/>
    <s v="Insurance"/>
    <n v="287.69"/>
  </r>
  <r>
    <s v="PAY01285"/>
    <s v="CLM01719"/>
    <d v="2023-06-27T00:00:00"/>
    <x v="7"/>
    <n v="4092.52"/>
    <s v="Insurance"/>
    <n v="707.3"/>
  </r>
  <r>
    <s v="PAY01286"/>
    <s v="CLM01721"/>
    <d v="2024-06-04T00:00:00"/>
    <x v="13"/>
    <n v="380.97"/>
    <s v="Insurance"/>
    <n v="64.349999999999994"/>
  </r>
  <r>
    <s v="PAY01287"/>
    <s v="CLM01722"/>
    <d v="2024-04-12T00:00:00"/>
    <x v="22"/>
    <n v="3891.53"/>
    <s v="Insurance"/>
    <n v="1734.69"/>
  </r>
  <r>
    <s v="PAY01288"/>
    <s v="CLM01724"/>
    <d v="2024-09-09T00:00:00"/>
    <x v="3"/>
    <n v="160.27000000000001"/>
    <s v="Patient"/>
    <n v="21.64"/>
  </r>
  <r>
    <s v="PAY01289"/>
    <s v="CLM01725"/>
    <d v="2024-02-06T00:00:00"/>
    <x v="20"/>
    <n v="1338.17"/>
    <s v="Insurance"/>
    <n v="527.07000000000005"/>
  </r>
  <r>
    <s v="PAY01290"/>
    <s v="CLM01726"/>
    <d v="2023-04-24T00:00:00"/>
    <x v="4"/>
    <n v="3810.66"/>
    <s v="Insurance"/>
    <n v="1237.74"/>
  </r>
  <r>
    <s v="PAY01291"/>
    <s v="CLM01727"/>
    <d v="2023-12-06T00:00:00"/>
    <x v="19"/>
    <n v="1145.8699999999999"/>
    <s v="Insurance"/>
    <n v="340.69"/>
  </r>
  <r>
    <s v="PAY01292"/>
    <s v="CLM01728"/>
    <d v="2023-11-19T00:00:00"/>
    <x v="12"/>
    <n v="117.96"/>
    <s v="Insurance"/>
    <n v="37.520000000000003"/>
  </r>
  <r>
    <s v="PAY01293"/>
    <s v="CLM01729"/>
    <d v="2023-08-24T00:00:00"/>
    <x v="5"/>
    <n v="3408.29"/>
    <s v="Insurance"/>
    <n v="1641.17"/>
  </r>
  <r>
    <s v="PAY01294"/>
    <s v="CLM01730"/>
    <d v="2023-03-21T00:00:00"/>
    <x v="8"/>
    <n v="3698.72"/>
    <s v="Insurance"/>
    <n v="589.62"/>
  </r>
  <r>
    <s v="PAY01295"/>
    <s v="CLM01731"/>
    <d v="2024-01-04T00:00:00"/>
    <x v="15"/>
    <n v="1550.99"/>
    <s v="Insurance"/>
    <n v="662.67"/>
  </r>
  <r>
    <s v="PAY01296"/>
    <s v="CLM01732"/>
    <d v="2023-06-25T00:00:00"/>
    <x v="7"/>
    <n v="4011.33"/>
    <s v="Insurance"/>
    <n v="196.99"/>
  </r>
  <r>
    <s v="PAY01297"/>
    <s v="CLM01733"/>
    <d v="2023-12-29T00:00:00"/>
    <x v="19"/>
    <n v="695.17"/>
    <s v="Insurance"/>
    <n v="184.98"/>
  </r>
  <r>
    <s v="PAY01298"/>
    <s v="CLM01735"/>
    <d v="2024-01-16T00:00:00"/>
    <x v="15"/>
    <n v="82.4"/>
    <s v="Insurance"/>
    <n v="16.2"/>
  </r>
  <r>
    <s v="PAY01299"/>
    <s v="CLM01737"/>
    <d v="2023-11-29T00:00:00"/>
    <x v="12"/>
    <n v="1193.25"/>
    <s v="Insurance"/>
    <n v="201.28"/>
  </r>
  <r>
    <s v="PAY01300"/>
    <s v="CLM01738"/>
    <d v="2024-06-26T00:00:00"/>
    <x v="13"/>
    <n v="255.09"/>
    <s v="Insurance"/>
    <n v="101.44"/>
  </r>
  <r>
    <s v="PAY01301"/>
    <s v="CLM01739"/>
    <d v="2024-11-10T00:00:00"/>
    <x v="18"/>
    <n v="2548.8200000000002"/>
    <s v="Patient"/>
    <n v="607.70000000000005"/>
  </r>
  <r>
    <s v="PAY01302"/>
    <s v="CLM01740"/>
    <d v="2024-01-14T00:00:00"/>
    <x v="15"/>
    <n v="720.69"/>
    <s v="Insurance"/>
    <n v="47.69"/>
  </r>
  <r>
    <s v="PAY01303"/>
    <s v="CLM01743"/>
    <d v="2023-11-16T00:00:00"/>
    <x v="12"/>
    <n v="152.05000000000001"/>
    <s v="Insurance"/>
    <n v="16.809999999999999"/>
  </r>
  <r>
    <s v="PAY01304"/>
    <s v="CLM01744"/>
    <d v="2023-07-16T00:00:00"/>
    <x v="17"/>
    <n v="855.68"/>
    <s v="Insurance"/>
    <n v="42.83"/>
  </r>
  <r>
    <s v="PAY01305"/>
    <s v="CLM01745"/>
    <d v="2024-04-17T00:00:00"/>
    <x v="22"/>
    <n v="317.54000000000002"/>
    <s v="Insurance"/>
    <n v="16.43"/>
  </r>
  <r>
    <s v="PAY01306"/>
    <s v="CLM01747"/>
    <d v="2024-10-03T00:00:00"/>
    <x v="1"/>
    <n v="945.28"/>
    <s v="Insurance"/>
    <n v="444.37"/>
  </r>
  <r>
    <s v="PAY01307"/>
    <s v="CLM01748"/>
    <d v="2024-05-30T00:00:00"/>
    <x v="11"/>
    <n v="251.31"/>
    <s v="Insurance"/>
    <n v="127.33"/>
  </r>
  <r>
    <s v="PAY01308"/>
    <s v="CLM01749"/>
    <d v="2024-12-11T00:00:00"/>
    <x v="16"/>
    <n v="589.16"/>
    <s v="Insurance"/>
    <n v="256.99"/>
  </r>
  <r>
    <s v="PAY01309"/>
    <s v="CLM01750"/>
    <d v="2024-02-26T00:00:00"/>
    <x v="20"/>
    <n v="165.35"/>
    <s v="Insurance"/>
    <n v="15.47"/>
  </r>
  <r>
    <s v="PAY01310"/>
    <s v="CLM01752"/>
    <d v="2024-12-10T00:00:00"/>
    <x v="16"/>
    <n v="243.52"/>
    <s v="Insurance"/>
    <n v="95.94"/>
  </r>
  <r>
    <s v="PAY01311"/>
    <s v="CLM01753"/>
    <d v="2024-06-19T00:00:00"/>
    <x v="13"/>
    <n v="169.42"/>
    <s v="Insurance"/>
    <n v="29.87"/>
  </r>
  <r>
    <s v="PAY01312"/>
    <s v="CLM01754"/>
    <d v="2024-05-30T00:00:00"/>
    <x v="11"/>
    <n v="296.62"/>
    <s v="Insurance"/>
    <n v="50.69"/>
  </r>
  <r>
    <s v="PAY01313"/>
    <s v="CLM01755"/>
    <d v="2025-01-11T00:00:00"/>
    <x v="14"/>
    <n v="247.22"/>
    <s v="Insurance"/>
    <n v="82.77"/>
  </r>
  <r>
    <s v="PAY01314"/>
    <s v="CLM01756"/>
    <d v="2023-04-07T00:00:00"/>
    <x v="4"/>
    <n v="114.15"/>
    <s v="Insurance"/>
    <n v="24.35"/>
  </r>
  <r>
    <s v="PAY01315"/>
    <s v="CLM01757"/>
    <d v="2024-06-28T00:00:00"/>
    <x v="13"/>
    <n v="1007.49"/>
    <s v="Insurance"/>
    <n v="121.42"/>
  </r>
  <r>
    <s v="PAY01316"/>
    <s v="CLM01759"/>
    <d v="2024-11-05T00:00:00"/>
    <x v="18"/>
    <n v="403.73"/>
    <s v="Insurance"/>
    <n v="194.02"/>
  </r>
  <r>
    <s v="PAY01317"/>
    <s v="CLM01760"/>
    <d v="2023-11-17T00:00:00"/>
    <x v="12"/>
    <n v="118.35"/>
    <s v="Insurance"/>
    <n v="20.83"/>
  </r>
  <r>
    <s v="PAY01318"/>
    <s v="CLM01761"/>
    <d v="2024-02-08T00:00:00"/>
    <x v="20"/>
    <n v="376.1"/>
    <s v="Insurance"/>
    <n v="201.6"/>
  </r>
  <r>
    <s v="PAY01319"/>
    <s v="CLM01762"/>
    <d v="2024-12-18T00:00:00"/>
    <x v="16"/>
    <n v="722.38"/>
    <s v="Insurance"/>
    <n v="98.13"/>
  </r>
  <r>
    <s v="PAY01320"/>
    <s v="CLM01765"/>
    <d v="2024-08-20T00:00:00"/>
    <x v="21"/>
    <n v="48.99"/>
    <s v="Insurance"/>
    <n v="7.28"/>
  </r>
  <r>
    <s v="PAY01321"/>
    <s v="CLM01766"/>
    <d v="2023-07-24T00:00:00"/>
    <x v="17"/>
    <n v="550.79999999999995"/>
    <s v="Insurance"/>
    <n v="262.39"/>
  </r>
  <r>
    <s v="PAY01322"/>
    <s v="CLM01767"/>
    <d v="2024-04-30T00:00:00"/>
    <x v="22"/>
    <n v="847.28"/>
    <s v="Insurance"/>
    <n v="84.08"/>
  </r>
  <r>
    <s v="PAY01323"/>
    <s v="CLM01768"/>
    <d v="2024-09-10T00:00:00"/>
    <x v="3"/>
    <n v="148.86000000000001"/>
    <s v="Insurance"/>
    <n v="76.55"/>
  </r>
  <r>
    <s v="PAY01324"/>
    <s v="CLM01770"/>
    <d v="2023-05-26T00:00:00"/>
    <x v="6"/>
    <n v="103.44"/>
    <s v="Insurance"/>
    <n v="5.93"/>
  </r>
  <r>
    <s v="PAY01325"/>
    <s v="CLM01771"/>
    <d v="2023-07-25T00:00:00"/>
    <x v="17"/>
    <n v="78.680000000000007"/>
    <s v="Insurance"/>
    <n v="29.8"/>
  </r>
  <r>
    <s v="PAY01326"/>
    <s v="CLM01772"/>
    <d v="2024-12-18T00:00:00"/>
    <x v="16"/>
    <n v="100.54"/>
    <s v="Insurance"/>
    <n v="36.71"/>
  </r>
  <r>
    <s v="PAY01327"/>
    <s v="CLM01773"/>
    <d v="2024-04-04T00:00:00"/>
    <x v="22"/>
    <n v="2895.12"/>
    <s v="Insurance"/>
    <n v="715.53"/>
  </r>
  <r>
    <s v="PAY01328"/>
    <s v="CLM01774"/>
    <d v="2024-10-28T00:00:00"/>
    <x v="1"/>
    <n v="107.67"/>
    <s v="Insurance"/>
    <n v="15.32"/>
  </r>
  <r>
    <s v="PAY01329"/>
    <s v="CLM01776"/>
    <d v="2024-09-29T00:00:00"/>
    <x v="3"/>
    <n v="362.81"/>
    <s v="Insurance"/>
    <n v="79.47"/>
  </r>
  <r>
    <s v="PAY01330"/>
    <s v="CLM01777"/>
    <d v="2024-08-07T00:00:00"/>
    <x v="21"/>
    <n v="73.72"/>
    <s v="Insurance"/>
    <n v="44.87"/>
  </r>
  <r>
    <s v="PAY01331"/>
    <s v="CLM01778"/>
    <d v="2023-12-15T00:00:00"/>
    <x v="19"/>
    <n v="536.23"/>
    <s v="Insurance"/>
    <n v="46.55"/>
  </r>
  <r>
    <s v="PAY01332"/>
    <s v="CLM01780"/>
    <d v="2024-07-09T00:00:00"/>
    <x v="9"/>
    <n v="5054.04"/>
    <s v="Insurance"/>
    <n v="1880.15"/>
  </r>
  <r>
    <s v="PAY01333"/>
    <s v="CLM01782"/>
    <d v="2024-11-20T00:00:00"/>
    <x v="18"/>
    <n v="49.92"/>
    <s v="Insurance"/>
    <n v="4.09"/>
  </r>
  <r>
    <s v="PAY01334"/>
    <s v="CLM01784"/>
    <d v="2023-06-06T00:00:00"/>
    <x v="7"/>
    <n v="2001.12"/>
    <s v="Patient"/>
    <n v="234.84"/>
  </r>
  <r>
    <s v="PAY01335"/>
    <s v="CLM01785"/>
    <d v="2024-12-24T00:00:00"/>
    <x v="16"/>
    <n v="925.57"/>
    <s v="Insurance"/>
    <n v="199.76"/>
  </r>
  <r>
    <s v="PAY01336"/>
    <s v="CLM01786"/>
    <d v="2023-08-01T00:00:00"/>
    <x v="5"/>
    <n v="543.77"/>
    <s v="Insurance"/>
    <n v="191.94"/>
  </r>
  <r>
    <s v="PAY01337"/>
    <s v="CLM01787"/>
    <d v="2023-08-18T00:00:00"/>
    <x v="5"/>
    <n v="337.26"/>
    <s v="Insurance"/>
    <n v="89.65"/>
  </r>
  <r>
    <s v="PAY01338"/>
    <s v="CLM01788"/>
    <d v="2023-08-29T00:00:00"/>
    <x v="5"/>
    <n v="151.53"/>
    <s v="Insurance"/>
    <n v="43.57"/>
  </r>
  <r>
    <s v="PAY01339"/>
    <s v="CLM01789"/>
    <d v="2023-10-03T00:00:00"/>
    <x v="23"/>
    <n v="463.73"/>
    <s v="Insurance"/>
    <n v="228.5"/>
  </r>
  <r>
    <s v="PAY01340"/>
    <s v="CLM01790"/>
    <d v="2023-06-06T00:00:00"/>
    <x v="7"/>
    <n v="4814.17"/>
    <s v="Insurance"/>
    <n v="448.91"/>
  </r>
  <r>
    <s v="PAY01341"/>
    <s v="CLM01791"/>
    <d v="2024-09-06T00:00:00"/>
    <x v="3"/>
    <n v="572.07000000000005"/>
    <s v="Insurance"/>
    <n v="324.33999999999997"/>
  </r>
  <r>
    <s v="PAY01342"/>
    <s v="CLM01793"/>
    <d v="2023-08-17T00:00:00"/>
    <x v="5"/>
    <n v="1212.77"/>
    <s v="Insurance"/>
    <n v="596.96"/>
  </r>
  <r>
    <s v="PAY01343"/>
    <s v="CLM01795"/>
    <d v="2023-01-17T00:00:00"/>
    <x v="25"/>
    <n v="3849.58"/>
    <s v="Patient"/>
    <n v="1522.15"/>
  </r>
  <r>
    <s v="PAY01344"/>
    <s v="CLM01796"/>
    <d v="2023-06-08T00:00:00"/>
    <x v="7"/>
    <n v="208.74"/>
    <s v="Patient"/>
    <n v="11.83"/>
  </r>
  <r>
    <s v="PAY01345"/>
    <s v="CLM01797"/>
    <d v="2024-01-30T00:00:00"/>
    <x v="15"/>
    <n v="281.2"/>
    <s v="Insurance"/>
    <n v="68.92"/>
  </r>
  <r>
    <s v="PAY01346"/>
    <s v="CLM01798"/>
    <d v="2024-10-17T00:00:00"/>
    <x v="1"/>
    <n v="317.74"/>
    <s v="Insurance"/>
    <n v="42.21"/>
  </r>
  <r>
    <s v="PAY01347"/>
    <s v="CLM01800"/>
    <d v="2024-01-02T00:00:00"/>
    <x v="15"/>
    <n v="343.13"/>
    <s v="Insurance"/>
    <n v="207.85"/>
  </r>
  <r>
    <s v="PAY01348"/>
    <s v="CLM01803"/>
    <d v="2023-02-06T00:00:00"/>
    <x v="0"/>
    <n v="3061.34"/>
    <s v="Patient"/>
    <n v="871.21"/>
  </r>
  <r>
    <s v="PAY01349"/>
    <s v="CLM01805"/>
    <d v="2024-05-18T00:00:00"/>
    <x v="11"/>
    <n v="3855.05"/>
    <s v="Insurance"/>
    <n v="2083.39"/>
  </r>
  <r>
    <s v="PAY01350"/>
    <s v="CLM01808"/>
    <d v="2024-09-21T00:00:00"/>
    <x v="3"/>
    <n v="321.45999999999998"/>
    <s v="Insurance"/>
    <n v="160.56"/>
  </r>
  <r>
    <s v="PAY01351"/>
    <s v="CLM01810"/>
    <d v="2023-04-17T00:00:00"/>
    <x v="4"/>
    <n v="507.79"/>
    <s v="Insurance"/>
    <n v="46.03"/>
  </r>
  <r>
    <s v="PAY01352"/>
    <s v="CLM01811"/>
    <d v="2023-06-05T00:00:00"/>
    <x v="7"/>
    <n v="119.47"/>
    <s v="Patient"/>
    <n v="10.27"/>
  </r>
  <r>
    <s v="PAY01353"/>
    <s v="CLM01812"/>
    <d v="2023-08-08T00:00:00"/>
    <x v="5"/>
    <n v="1472.31"/>
    <s v="Insurance"/>
    <n v="388.32"/>
  </r>
  <r>
    <s v="PAY01354"/>
    <s v="CLM01813"/>
    <d v="2023-06-19T00:00:00"/>
    <x v="7"/>
    <n v="115.23"/>
    <s v="Insurance"/>
    <n v="49.4"/>
  </r>
  <r>
    <s v="PAY01355"/>
    <s v="CLM01814"/>
    <d v="2024-04-29T00:00:00"/>
    <x v="22"/>
    <n v="125.91"/>
    <s v="Insurance"/>
    <n v="15.1"/>
  </r>
  <r>
    <s v="PAY01356"/>
    <s v="CLM01816"/>
    <d v="2023-12-11T00:00:00"/>
    <x v="19"/>
    <n v="155.53"/>
    <s v="Insurance"/>
    <n v="54.26"/>
  </r>
  <r>
    <s v="PAY01357"/>
    <s v="CLM01817"/>
    <d v="2024-07-12T00:00:00"/>
    <x v="9"/>
    <n v="275.26"/>
    <s v="Insurance"/>
    <n v="82.4"/>
  </r>
  <r>
    <s v="PAY01358"/>
    <s v="CLM01818"/>
    <d v="2024-11-03T00:00:00"/>
    <x v="18"/>
    <n v="2822.95"/>
    <s v="Patient"/>
    <n v="1197.06"/>
  </r>
  <r>
    <s v="PAY01359"/>
    <s v="CLM01819"/>
    <d v="2023-11-15T00:00:00"/>
    <x v="12"/>
    <n v="1691.11"/>
    <s v="Insurance"/>
    <n v="158.15"/>
  </r>
  <r>
    <s v="PAY01360"/>
    <s v="CLM01823"/>
    <d v="2023-07-05T00:00:00"/>
    <x v="17"/>
    <n v="619.69000000000005"/>
    <s v="Insurance"/>
    <n v="224.16"/>
  </r>
  <r>
    <s v="PAY01361"/>
    <s v="CLM01824"/>
    <d v="2023-11-29T00:00:00"/>
    <x v="12"/>
    <n v="425.78"/>
    <s v="Insurance"/>
    <n v="112.48"/>
  </r>
  <r>
    <s v="PAY01362"/>
    <s v="CLM01826"/>
    <d v="2024-08-13T00:00:00"/>
    <x v="21"/>
    <n v="807.36"/>
    <s v="Insurance"/>
    <n v="69.33"/>
  </r>
  <r>
    <s v="PAY01363"/>
    <s v="CLM01827"/>
    <d v="2024-02-10T00:00:00"/>
    <x v="20"/>
    <n v="126.37"/>
    <s v="Insurance"/>
    <n v="44.78"/>
  </r>
  <r>
    <s v="PAY01364"/>
    <s v="CLM01828"/>
    <d v="2024-07-23T00:00:00"/>
    <x v="9"/>
    <n v="3366.48"/>
    <s v="Insurance"/>
    <n v="170.98"/>
  </r>
  <r>
    <s v="PAY01365"/>
    <s v="CLM01830"/>
    <d v="2023-07-15T00:00:00"/>
    <x v="17"/>
    <n v="611.04"/>
    <s v="Insurance"/>
    <n v="180.87"/>
  </r>
  <r>
    <s v="PAY01366"/>
    <s v="CLM01831"/>
    <d v="2024-01-23T00:00:00"/>
    <x v="15"/>
    <n v="2491.4299999999998"/>
    <s v="Patient"/>
    <n v="1217.33"/>
  </r>
  <r>
    <s v="PAY01367"/>
    <s v="CLM01832"/>
    <d v="2023-12-08T00:00:00"/>
    <x v="19"/>
    <n v="484.08"/>
    <s v="Insurance"/>
    <n v="62.22"/>
  </r>
  <r>
    <s v="PAY01368"/>
    <s v="CLM01833"/>
    <d v="2023-05-18T00:00:00"/>
    <x v="6"/>
    <n v="1238.21"/>
    <s v="Patient"/>
    <n v="632.04"/>
  </r>
  <r>
    <s v="PAY01369"/>
    <s v="CLM01834"/>
    <d v="2023-08-12T00:00:00"/>
    <x v="5"/>
    <n v="403.63"/>
    <s v="Insurance"/>
    <n v="201.35"/>
  </r>
  <r>
    <s v="PAY01370"/>
    <s v="CLM01835"/>
    <d v="2023-06-17T00:00:00"/>
    <x v="7"/>
    <n v="1416.65"/>
    <s v="Insurance"/>
    <n v="310.38"/>
  </r>
  <r>
    <s v="PAY01371"/>
    <s v="CLM01836"/>
    <d v="2023-02-04T00:00:00"/>
    <x v="0"/>
    <n v="121.53"/>
    <s v="Insurance"/>
    <n v="8.17"/>
  </r>
  <r>
    <s v="PAY01372"/>
    <s v="CLM01837"/>
    <d v="2023-04-29T00:00:00"/>
    <x v="4"/>
    <n v="434.5"/>
    <s v="Insurance"/>
    <n v="99.51"/>
  </r>
  <r>
    <s v="PAY01373"/>
    <s v="CLM01838"/>
    <d v="2024-07-30T00:00:00"/>
    <x v="9"/>
    <n v="151.09"/>
    <s v="Insurance"/>
    <n v="12.63"/>
  </r>
  <r>
    <s v="PAY01374"/>
    <s v="CLM01842"/>
    <d v="2024-10-30T00:00:00"/>
    <x v="1"/>
    <n v="459.45"/>
    <s v="Insurance"/>
    <n v="95.27"/>
  </r>
  <r>
    <s v="PAY01375"/>
    <s v="CLM01843"/>
    <d v="2023-10-16T00:00:00"/>
    <x v="23"/>
    <n v="276.60000000000002"/>
    <s v="Insurance"/>
    <n v="83.61"/>
  </r>
  <r>
    <s v="PAY01376"/>
    <s v="CLM01845"/>
    <d v="2023-04-16T00:00:00"/>
    <x v="4"/>
    <n v="869.47"/>
    <s v="Insurance"/>
    <n v="302.98"/>
  </r>
  <r>
    <s v="PAY01377"/>
    <s v="CLM01846"/>
    <d v="2024-05-08T00:00:00"/>
    <x v="11"/>
    <n v="538.70000000000005"/>
    <s v="Insurance"/>
    <n v="189.11"/>
  </r>
  <r>
    <s v="PAY01378"/>
    <s v="CLM01848"/>
    <d v="2024-05-21T00:00:00"/>
    <x v="11"/>
    <n v="95"/>
    <s v="Insurance"/>
    <n v="48.81"/>
  </r>
  <r>
    <s v="PAY01379"/>
    <s v="CLM01851"/>
    <d v="2024-04-26T00:00:00"/>
    <x v="22"/>
    <n v="309.95999999999998"/>
    <s v="Insurance"/>
    <n v="13"/>
  </r>
  <r>
    <s v="PAY01380"/>
    <s v="CLM01852"/>
    <d v="2023-11-05T00:00:00"/>
    <x v="12"/>
    <n v="362.12"/>
    <s v="Insurance"/>
    <n v="62.89"/>
  </r>
  <r>
    <s v="PAY01381"/>
    <s v="CLM01853"/>
    <d v="2023-09-07T00:00:00"/>
    <x v="10"/>
    <n v="2366.67"/>
    <s v="Insurance"/>
    <n v="1093.74"/>
  </r>
  <r>
    <s v="PAY01382"/>
    <s v="CLM01854"/>
    <d v="2024-12-07T00:00:00"/>
    <x v="16"/>
    <n v="4976.51"/>
    <s v="Insurance"/>
    <n v="407.29"/>
  </r>
  <r>
    <s v="PAY01383"/>
    <s v="CLM01855"/>
    <d v="2024-09-15T00:00:00"/>
    <x v="3"/>
    <n v="93.47"/>
    <s v="Insurance"/>
    <n v="15.81"/>
  </r>
  <r>
    <s v="PAY01384"/>
    <s v="CLM01856"/>
    <d v="2024-11-13T00:00:00"/>
    <x v="18"/>
    <n v="123.76"/>
    <s v="Insurance"/>
    <n v="18.16"/>
  </r>
  <r>
    <s v="PAY01385"/>
    <s v="CLM01857"/>
    <d v="2024-12-09T00:00:00"/>
    <x v="16"/>
    <n v="478.65"/>
    <s v="Insurance"/>
    <n v="65.989999999999995"/>
  </r>
  <r>
    <s v="PAY01386"/>
    <s v="CLM01859"/>
    <d v="2024-02-24T00:00:00"/>
    <x v="20"/>
    <n v="558.86"/>
    <s v="Insurance"/>
    <n v="69.94"/>
  </r>
  <r>
    <s v="PAY01387"/>
    <s v="CLM01860"/>
    <d v="2024-06-15T00:00:00"/>
    <x v="13"/>
    <n v="4164.99"/>
    <s v="Insurance"/>
    <n v="375.22"/>
  </r>
  <r>
    <s v="PAY01388"/>
    <s v="CLM01861"/>
    <d v="2024-10-17T00:00:00"/>
    <x v="1"/>
    <n v="145.24"/>
    <s v="Insurance"/>
    <n v="40.07"/>
  </r>
  <r>
    <s v="PAY01389"/>
    <s v="CLM01862"/>
    <d v="2023-03-23T00:00:00"/>
    <x v="8"/>
    <n v="2817.84"/>
    <s v="Insurance"/>
    <n v="1239.6199999999999"/>
  </r>
  <r>
    <s v="PAY01390"/>
    <s v="CLM01863"/>
    <d v="2024-03-18T00:00:00"/>
    <x v="2"/>
    <n v="523.82000000000005"/>
    <s v="Insurance"/>
    <n v="122.14"/>
  </r>
  <r>
    <s v="PAY01391"/>
    <s v="CLM01864"/>
    <d v="2023-09-30T00:00:00"/>
    <x v="10"/>
    <n v="448"/>
    <s v="Insurance"/>
    <n v="18.86"/>
  </r>
  <r>
    <s v="PAY01392"/>
    <s v="CLM01865"/>
    <d v="2024-10-02T00:00:00"/>
    <x v="1"/>
    <n v="4986.47"/>
    <s v="Insurance"/>
    <n v="2507.4699999999998"/>
  </r>
  <r>
    <s v="PAY01393"/>
    <s v="CLM01868"/>
    <d v="2024-06-06T00:00:00"/>
    <x v="13"/>
    <n v="513.29999999999995"/>
    <s v="Insurance"/>
    <n v="72.150000000000006"/>
  </r>
  <r>
    <s v="PAY01394"/>
    <s v="CLM01869"/>
    <d v="2024-11-12T00:00:00"/>
    <x v="18"/>
    <n v="309.62"/>
    <s v="Insurance"/>
    <n v="45.9"/>
  </r>
  <r>
    <s v="PAY01395"/>
    <s v="CLM01870"/>
    <d v="2024-10-04T00:00:00"/>
    <x v="1"/>
    <n v="327.17"/>
    <s v="Insurance"/>
    <n v="22.1"/>
  </r>
  <r>
    <s v="PAY01396"/>
    <s v="CLM01871"/>
    <d v="2023-03-09T00:00:00"/>
    <x v="8"/>
    <n v="642.99"/>
    <s v="Insurance"/>
    <n v="118.47"/>
  </r>
  <r>
    <s v="PAY01397"/>
    <s v="CLM01872"/>
    <d v="2024-09-17T00:00:00"/>
    <x v="3"/>
    <n v="1533.36"/>
    <s v="Insurance"/>
    <n v="553.08000000000004"/>
  </r>
  <r>
    <s v="PAY01398"/>
    <s v="CLM01874"/>
    <d v="2023-12-04T00:00:00"/>
    <x v="19"/>
    <n v="516.20000000000005"/>
    <s v="Insurance"/>
    <n v="43.14"/>
  </r>
  <r>
    <s v="PAY01399"/>
    <s v="CLM01875"/>
    <d v="2024-03-12T00:00:00"/>
    <x v="2"/>
    <n v="537.20000000000005"/>
    <s v="Insurance"/>
    <n v="197.09"/>
  </r>
  <r>
    <s v="PAY01400"/>
    <s v="CLM01876"/>
    <d v="2025-01-27T00:00:00"/>
    <x v="14"/>
    <n v="157.63"/>
    <s v="Insurance"/>
    <n v="42.94"/>
  </r>
  <r>
    <s v="PAY01401"/>
    <s v="CLM01879"/>
    <d v="2024-03-25T00:00:00"/>
    <x v="2"/>
    <n v="527.42999999999995"/>
    <s v="Insurance"/>
    <n v="115.02"/>
  </r>
  <r>
    <s v="PAY01402"/>
    <s v="CLM01880"/>
    <d v="2024-06-23T00:00:00"/>
    <x v="13"/>
    <n v="544.91999999999996"/>
    <s v="Insurance"/>
    <n v="85.25"/>
  </r>
  <r>
    <s v="PAY01403"/>
    <s v="CLM01881"/>
    <d v="2024-11-08T00:00:00"/>
    <x v="18"/>
    <n v="1717.03"/>
    <s v="Insurance"/>
    <n v="226.3"/>
  </r>
  <r>
    <s v="PAY01404"/>
    <s v="CLM01882"/>
    <d v="2024-11-04T00:00:00"/>
    <x v="18"/>
    <n v="1855.25"/>
    <s v="Insurance"/>
    <n v="796.27"/>
  </r>
  <r>
    <s v="PAY01405"/>
    <s v="CLM01883"/>
    <d v="2023-06-17T00:00:00"/>
    <x v="7"/>
    <n v="209.27"/>
    <s v="Insurance"/>
    <n v="91.07"/>
  </r>
  <r>
    <s v="PAY01406"/>
    <s v="CLM01885"/>
    <d v="2025-01-16T00:00:00"/>
    <x v="14"/>
    <n v="119.74"/>
    <s v="Insurance"/>
    <n v="64.430000000000007"/>
  </r>
  <r>
    <s v="PAY01407"/>
    <s v="CLM01887"/>
    <d v="2024-08-06T00:00:00"/>
    <x v="21"/>
    <n v="107.32"/>
    <s v="Insurance"/>
    <n v="57.94"/>
  </r>
  <r>
    <s v="PAY01408"/>
    <s v="CLM01889"/>
    <d v="2023-08-18T00:00:00"/>
    <x v="5"/>
    <n v="1049.94"/>
    <s v="Insurance"/>
    <n v="166.27"/>
  </r>
  <r>
    <s v="PAY01409"/>
    <s v="CLM01890"/>
    <d v="2024-12-14T00:00:00"/>
    <x v="16"/>
    <n v="1209.8699999999999"/>
    <s v="Insurance"/>
    <n v="170.92"/>
  </r>
  <r>
    <s v="PAY01410"/>
    <s v="CLM01891"/>
    <d v="2023-10-14T00:00:00"/>
    <x v="23"/>
    <n v="175.25"/>
    <s v="Insurance"/>
    <n v="14.23"/>
  </r>
  <r>
    <s v="PAY01411"/>
    <s v="CLM01892"/>
    <d v="2024-08-17T00:00:00"/>
    <x v="21"/>
    <n v="511.14"/>
    <s v="Insurance"/>
    <n v="190.23"/>
  </r>
  <r>
    <s v="PAY01412"/>
    <s v="CLM01893"/>
    <d v="2023-06-07T00:00:00"/>
    <x v="7"/>
    <n v="1084.3399999999999"/>
    <s v="Insurance"/>
    <n v="246.57"/>
  </r>
  <r>
    <s v="PAY01413"/>
    <s v="CLM01894"/>
    <d v="2023-06-24T00:00:00"/>
    <x v="7"/>
    <n v="50.66"/>
    <s v="Insurance"/>
    <n v="8.5399999999999991"/>
  </r>
  <r>
    <s v="PAY01414"/>
    <s v="CLM01895"/>
    <d v="2023-05-27T00:00:00"/>
    <x v="6"/>
    <n v="275.58999999999997"/>
    <s v="Insurance"/>
    <n v="17.79"/>
  </r>
  <r>
    <s v="PAY01415"/>
    <s v="CLM01896"/>
    <d v="2024-01-24T00:00:00"/>
    <x v="15"/>
    <n v="1325.24"/>
    <s v="Insurance"/>
    <n v="56.07"/>
  </r>
  <r>
    <s v="PAY01416"/>
    <s v="CLM01898"/>
    <d v="2024-11-03T00:00:00"/>
    <x v="18"/>
    <n v="325.36"/>
    <s v="Insurance"/>
    <n v="108.53"/>
  </r>
  <r>
    <s v="PAY01417"/>
    <s v="CLM01899"/>
    <d v="2024-08-31T00:00:00"/>
    <x v="21"/>
    <n v="642.11"/>
    <s v="Insurance"/>
    <n v="338"/>
  </r>
  <r>
    <s v="PAY01418"/>
    <s v="CLM01900"/>
    <d v="2024-01-28T00:00:00"/>
    <x v="15"/>
    <n v="2795.26"/>
    <s v="Insurance"/>
    <n v="1662.46"/>
  </r>
  <r>
    <s v="PAY01419"/>
    <s v="CLM01901"/>
    <d v="2024-06-25T00:00:00"/>
    <x v="13"/>
    <n v="481.79"/>
    <s v="Insurance"/>
    <n v="228.05"/>
  </r>
  <r>
    <s v="PAY01420"/>
    <s v="CLM01904"/>
    <d v="2023-11-16T00:00:00"/>
    <x v="12"/>
    <n v="6170.84"/>
    <s v="Insurance"/>
    <n v="1922.29"/>
  </r>
  <r>
    <s v="PAY01421"/>
    <s v="CLM01906"/>
    <d v="2023-02-06T00:00:00"/>
    <x v="0"/>
    <n v="652.28"/>
    <s v="Insurance"/>
    <n v="188.95"/>
  </r>
  <r>
    <s v="PAY01422"/>
    <s v="CLM01907"/>
    <d v="2023-08-31T00:00:00"/>
    <x v="5"/>
    <n v="596.35"/>
    <s v="Insurance"/>
    <n v="69.81"/>
  </r>
  <r>
    <s v="PAY01423"/>
    <s v="CLM01908"/>
    <d v="2024-01-01T00:00:00"/>
    <x v="15"/>
    <n v="36.44"/>
    <s v="Insurance"/>
    <n v="16.75"/>
  </r>
  <r>
    <s v="PAY01424"/>
    <s v="CLM01909"/>
    <d v="2023-07-25T00:00:00"/>
    <x v="17"/>
    <n v="117.7"/>
    <s v="Insurance"/>
    <n v="17.91"/>
  </r>
  <r>
    <s v="PAY01425"/>
    <s v="CLM01910"/>
    <d v="2024-04-28T00:00:00"/>
    <x v="22"/>
    <n v="902.48"/>
    <s v="Insurance"/>
    <n v="68.14"/>
  </r>
  <r>
    <s v="PAY01426"/>
    <s v="CLM01911"/>
    <d v="2024-01-06T00:00:00"/>
    <x v="15"/>
    <n v="5531.4"/>
    <s v="Insurance"/>
    <n v="1212.56"/>
  </r>
  <r>
    <s v="PAY01427"/>
    <s v="CLM01912"/>
    <d v="2024-05-24T00:00:00"/>
    <x v="11"/>
    <n v="1896.92"/>
    <s v="Insurance"/>
    <n v="823.64"/>
  </r>
  <r>
    <s v="PAY01428"/>
    <s v="CLM01914"/>
    <d v="2023-05-09T00:00:00"/>
    <x v="6"/>
    <n v="654.77"/>
    <s v="Insurance"/>
    <n v="344.57"/>
  </r>
  <r>
    <s v="PAY01429"/>
    <s v="CLM01915"/>
    <d v="2023-09-26T00:00:00"/>
    <x v="10"/>
    <n v="1373.74"/>
    <s v="Insurance"/>
    <n v="234.06"/>
  </r>
  <r>
    <s v="PAY01430"/>
    <s v="CLM01918"/>
    <d v="2024-04-06T00:00:00"/>
    <x v="22"/>
    <n v="1233.43"/>
    <s v="Insurance"/>
    <n v="392.17"/>
  </r>
  <r>
    <s v="PAY01431"/>
    <s v="CLM01919"/>
    <d v="2023-10-09T00:00:00"/>
    <x v="23"/>
    <n v="36.24"/>
    <s v="Insurance"/>
    <n v="17.87"/>
  </r>
  <r>
    <s v="PAY01432"/>
    <s v="CLM01920"/>
    <d v="2023-12-15T00:00:00"/>
    <x v="19"/>
    <n v="674.12"/>
    <s v="Insurance"/>
    <n v="220.48"/>
  </r>
  <r>
    <s v="PAY01433"/>
    <s v="CLM01921"/>
    <d v="2023-11-29T00:00:00"/>
    <x v="12"/>
    <n v="654.66999999999996"/>
    <s v="Insurance"/>
    <n v="224.19"/>
  </r>
  <r>
    <s v="PAY01434"/>
    <s v="CLM01922"/>
    <d v="2024-10-30T00:00:00"/>
    <x v="1"/>
    <n v="599.17999999999995"/>
    <s v="Insurance"/>
    <n v="56.79"/>
  </r>
  <r>
    <s v="PAY01435"/>
    <s v="CLM01923"/>
    <d v="2023-11-29T00:00:00"/>
    <x v="12"/>
    <n v="6991.88"/>
    <s v="Insurance"/>
    <n v="361.84"/>
  </r>
  <r>
    <s v="PAY01436"/>
    <s v="CLM01929"/>
    <d v="2024-04-23T00:00:00"/>
    <x v="22"/>
    <n v="388.99"/>
    <s v="Insurance"/>
    <n v="105.64"/>
  </r>
  <r>
    <s v="PAY01437"/>
    <s v="CLM01931"/>
    <d v="2023-12-10T00:00:00"/>
    <x v="19"/>
    <n v="1990.26"/>
    <s v="Insurance"/>
    <n v="554.86"/>
  </r>
  <r>
    <s v="PAY01438"/>
    <s v="CLM01932"/>
    <d v="2023-05-10T00:00:00"/>
    <x v="6"/>
    <n v="2270.16"/>
    <s v="Insurance"/>
    <n v="1383.37"/>
  </r>
  <r>
    <s v="PAY01439"/>
    <s v="CLM01933"/>
    <d v="2023-08-23T00:00:00"/>
    <x v="5"/>
    <n v="5653.41"/>
    <s v="Insurance"/>
    <n v="1004.51"/>
  </r>
  <r>
    <s v="PAY01440"/>
    <s v="CLM01934"/>
    <d v="2024-08-15T00:00:00"/>
    <x v="21"/>
    <n v="4869.67"/>
    <s v="Insurance"/>
    <n v="1906.63"/>
  </r>
  <r>
    <s v="PAY01441"/>
    <s v="CLM01937"/>
    <d v="2024-07-25T00:00:00"/>
    <x v="9"/>
    <n v="373.56"/>
    <s v="Insurance"/>
    <n v="62.53"/>
  </r>
  <r>
    <s v="PAY01442"/>
    <s v="CLM01938"/>
    <d v="2023-10-05T00:00:00"/>
    <x v="23"/>
    <n v="3137.73"/>
    <s v="Insurance"/>
    <n v="1373.09"/>
  </r>
  <r>
    <s v="PAY01443"/>
    <s v="CLM01939"/>
    <d v="2024-03-02T00:00:00"/>
    <x v="2"/>
    <n v="628.62"/>
    <s v="Insurance"/>
    <n v="129.12"/>
  </r>
  <r>
    <s v="PAY01444"/>
    <s v="CLM01940"/>
    <d v="2023-09-18T00:00:00"/>
    <x v="10"/>
    <n v="398.97"/>
    <s v="Insurance"/>
    <n v="30.48"/>
  </r>
  <r>
    <s v="PAY01445"/>
    <s v="CLM01942"/>
    <d v="2024-10-25T00:00:00"/>
    <x v="1"/>
    <n v="2509.6799999999998"/>
    <s v="Insurance"/>
    <n v="794.84"/>
  </r>
  <r>
    <s v="PAY01446"/>
    <s v="CLM01944"/>
    <d v="2024-02-19T00:00:00"/>
    <x v="20"/>
    <n v="1284.01"/>
    <s v="Insurance"/>
    <n v="717.11"/>
  </r>
  <r>
    <s v="PAY01447"/>
    <s v="CLM01945"/>
    <d v="2023-06-16T00:00:00"/>
    <x v="7"/>
    <n v="376.19"/>
    <s v="Insurance"/>
    <n v="19.600000000000001"/>
  </r>
  <r>
    <s v="PAY01448"/>
    <s v="CLM01946"/>
    <d v="2023-03-10T00:00:00"/>
    <x v="8"/>
    <n v="4964.7299999999996"/>
    <s v="Insurance"/>
    <n v="238.41"/>
  </r>
  <r>
    <s v="PAY01449"/>
    <s v="CLM01947"/>
    <d v="2024-12-16T00:00:00"/>
    <x v="16"/>
    <n v="3029.18"/>
    <s v="Insurance"/>
    <n v="1234.32"/>
  </r>
  <r>
    <s v="PAY01450"/>
    <s v="CLM01948"/>
    <d v="2023-04-09T00:00:00"/>
    <x v="4"/>
    <n v="3673.48"/>
    <s v="Insurance"/>
    <n v="1044.28"/>
  </r>
  <r>
    <s v="PAY01451"/>
    <s v="CLM01951"/>
    <d v="2024-07-02T00:00:00"/>
    <x v="9"/>
    <n v="353.18"/>
    <s v="Insurance"/>
    <n v="17.62"/>
  </r>
  <r>
    <s v="PAY01452"/>
    <s v="CLM01952"/>
    <d v="2024-10-16T00:00:00"/>
    <x v="1"/>
    <n v="1174.47"/>
    <s v="Insurance"/>
    <n v="250.12"/>
  </r>
  <r>
    <s v="PAY01453"/>
    <s v="CLM01953"/>
    <d v="2024-01-20T00:00:00"/>
    <x v="15"/>
    <n v="116.26"/>
    <s v="Insurance"/>
    <n v="27.61"/>
  </r>
  <r>
    <s v="PAY01454"/>
    <s v="CLM01954"/>
    <d v="2024-03-15T00:00:00"/>
    <x v="2"/>
    <n v="36.1"/>
    <s v="Insurance"/>
    <n v="11.91"/>
  </r>
  <r>
    <s v="PAY01455"/>
    <s v="CLM01955"/>
    <d v="2024-05-30T00:00:00"/>
    <x v="11"/>
    <n v="225.81"/>
    <s v="Insurance"/>
    <n v="72.64"/>
  </r>
  <r>
    <s v="PAY01456"/>
    <s v="CLM01956"/>
    <d v="2024-02-05T00:00:00"/>
    <x v="20"/>
    <n v="232.64"/>
    <s v="Insurance"/>
    <n v="67.349999999999994"/>
  </r>
  <r>
    <s v="PAY01457"/>
    <s v="CLM01962"/>
    <d v="2024-12-01T00:00:00"/>
    <x v="16"/>
    <n v="502.4"/>
    <s v="Insurance"/>
    <n v="225.07"/>
  </r>
  <r>
    <s v="PAY01458"/>
    <s v="CLM01963"/>
    <d v="2024-04-08T00:00:00"/>
    <x v="22"/>
    <n v="394.97"/>
    <s v="Insurance"/>
    <n v="144.66"/>
  </r>
  <r>
    <s v="PAY01459"/>
    <s v="CLM01965"/>
    <d v="2024-12-20T00:00:00"/>
    <x v="16"/>
    <n v="78.06"/>
    <s v="Patient"/>
    <n v="31.65"/>
  </r>
  <r>
    <s v="PAY01460"/>
    <s v="CLM01966"/>
    <d v="2024-07-24T00:00:00"/>
    <x v="9"/>
    <n v="275.47000000000003"/>
    <s v="Insurance"/>
    <n v="130.44"/>
  </r>
  <r>
    <s v="PAY01461"/>
    <s v="CLM01967"/>
    <d v="2023-04-11T00:00:00"/>
    <x v="4"/>
    <n v="1123.0999999999999"/>
    <s v="Insurance"/>
    <n v="137.22"/>
  </r>
  <r>
    <s v="PAY01462"/>
    <s v="CLM01969"/>
    <d v="2024-12-11T00:00:00"/>
    <x v="16"/>
    <n v="3291.8"/>
    <s v="Insurance"/>
    <n v="1407.6"/>
  </r>
  <r>
    <s v="PAY01463"/>
    <s v="CLM01970"/>
    <d v="2024-04-30T00:00:00"/>
    <x v="22"/>
    <n v="134.68"/>
    <s v="Insurance"/>
    <n v="35.82"/>
  </r>
  <r>
    <s v="PAY01464"/>
    <s v="CLM01971"/>
    <d v="2024-02-23T00:00:00"/>
    <x v="20"/>
    <n v="282.55"/>
    <s v="Insurance"/>
    <n v="61.17"/>
  </r>
  <r>
    <s v="PAY01465"/>
    <s v="CLM01973"/>
    <d v="2023-08-26T00:00:00"/>
    <x v="5"/>
    <n v="105.42"/>
    <s v="Insurance"/>
    <n v="33.18"/>
  </r>
  <r>
    <s v="PAY01466"/>
    <s v="CLM01974"/>
    <d v="2024-10-25T00:00:00"/>
    <x v="1"/>
    <n v="129.44999999999999"/>
    <s v="Insurance"/>
    <n v="32.549999999999997"/>
  </r>
  <r>
    <s v="PAY01467"/>
    <s v="CLM01975"/>
    <d v="2024-08-01T00:00:00"/>
    <x v="21"/>
    <n v="731.07"/>
    <s v="Insurance"/>
    <n v="379.42"/>
  </r>
  <r>
    <s v="PAY01468"/>
    <s v="CLM01976"/>
    <d v="2024-06-19T00:00:00"/>
    <x v="13"/>
    <n v="844.42"/>
    <s v="Patient"/>
    <n v="44.31"/>
  </r>
  <r>
    <s v="PAY01469"/>
    <s v="CLM01977"/>
    <d v="2024-12-26T00:00:00"/>
    <x v="16"/>
    <n v="5865.34"/>
    <s v="Insurance"/>
    <n v="2041.22"/>
  </r>
  <r>
    <s v="PAY01470"/>
    <s v="CLM01978"/>
    <d v="2023-08-09T00:00:00"/>
    <x v="5"/>
    <n v="295.87"/>
    <s v="Insurance"/>
    <n v="66.319999999999993"/>
  </r>
  <r>
    <s v="PAY01471"/>
    <s v="CLM01979"/>
    <d v="2023-11-15T00:00:00"/>
    <x v="12"/>
    <n v="106.84"/>
    <s v="Insurance"/>
    <n v="40.380000000000003"/>
  </r>
  <r>
    <s v="PAY01472"/>
    <s v="CLM01981"/>
    <d v="2023-05-22T00:00:00"/>
    <x v="6"/>
    <n v="1642.56"/>
    <s v="Patient"/>
    <n v="504.89"/>
  </r>
  <r>
    <s v="PAY01473"/>
    <s v="CLM01982"/>
    <d v="2023-03-11T00:00:00"/>
    <x v="8"/>
    <n v="776.41"/>
    <s v="Insurance"/>
    <n v="62.98"/>
  </r>
  <r>
    <s v="PAY01474"/>
    <s v="CLM01984"/>
    <d v="2023-05-10T00:00:00"/>
    <x v="6"/>
    <n v="332.25"/>
    <s v="Insurance"/>
    <n v="100.34"/>
  </r>
  <r>
    <s v="PAY01475"/>
    <s v="CLM01985"/>
    <d v="2023-12-13T00:00:00"/>
    <x v="19"/>
    <n v="120.62"/>
    <s v="Insurance"/>
    <n v="50"/>
  </r>
  <r>
    <s v="PAY01476"/>
    <s v="CLM01987"/>
    <d v="2024-01-26T00:00:00"/>
    <x v="15"/>
    <n v="339.43"/>
    <s v="Insurance"/>
    <n v="29.86"/>
  </r>
  <r>
    <s v="PAY01477"/>
    <s v="CLM01988"/>
    <d v="2024-07-01T00:00:00"/>
    <x v="9"/>
    <n v="428.37"/>
    <s v="Insurance"/>
    <n v="204.65"/>
  </r>
  <r>
    <s v="PAY01478"/>
    <s v="CLM01989"/>
    <d v="2023-09-13T00:00:00"/>
    <x v="10"/>
    <n v="409.64"/>
    <s v="Insurance"/>
    <n v="89.75"/>
  </r>
  <r>
    <s v="PAY01479"/>
    <s v="CLM01990"/>
    <d v="2024-11-03T00:00:00"/>
    <x v="18"/>
    <n v="5766.83"/>
    <s v="Insurance"/>
    <n v="1166.8399999999999"/>
  </r>
  <r>
    <s v="PAY01480"/>
    <s v="CLM01993"/>
    <d v="2025-01-08T00:00:00"/>
    <x v="14"/>
    <n v="350.4"/>
    <s v="Insurance"/>
    <n v="79.760000000000005"/>
  </r>
  <r>
    <s v="PAY01481"/>
    <s v="CLM01994"/>
    <d v="2023-09-01T00:00:00"/>
    <x v="10"/>
    <n v="38.979999999999997"/>
    <s v="Insurance"/>
    <n v="18.04"/>
  </r>
  <r>
    <s v="PAY01482"/>
    <s v="CLM01995"/>
    <d v="2023-02-26T00:00:00"/>
    <x v="0"/>
    <n v="326.85000000000002"/>
    <s v="Insurance"/>
    <n v="26.3"/>
  </r>
  <r>
    <s v="PAY01483"/>
    <s v="CLM01996"/>
    <d v="2023-03-23T00:00:00"/>
    <x v="8"/>
    <n v="448.44"/>
    <s v="Insurance"/>
    <n v="213.99"/>
  </r>
  <r>
    <s v="PAY01484"/>
    <s v="CLM01997"/>
    <d v="2024-09-11T00:00:00"/>
    <x v="3"/>
    <n v="78.02"/>
    <s v="Insurance"/>
    <n v="43.79"/>
  </r>
  <r>
    <s v="PAY01485"/>
    <s v="CLM01999"/>
    <d v="2024-06-12T00:00:00"/>
    <x v="13"/>
    <n v="145.05000000000001"/>
    <s v="Insurance"/>
    <n v="21"/>
  </r>
  <r>
    <s v="PAY01486"/>
    <s v="CLM02000"/>
    <d v="2024-08-24T00:00:00"/>
    <x v="21"/>
    <n v="855.42"/>
    <s v="Insurance"/>
    <n v="81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634D8-B836-43FE-813B-15FBE58AE27C}" name="PivotTable12" cacheId="0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13">
    <pivotField showAll="0"/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item="1" hier="-1"/>
  </pageFields>
  <dataFields count="1">
    <dataField name="Average of Processing_Days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0379A-F83D-4C0E-8F59-6E24C3125C6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9" firstHeaderRow="1" firstDataRow="1" firstDataCol="1"/>
  <pivotFields count="6">
    <pivotField dataField="1" showAll="0">
      <items count="3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showAll="0"/>
    <pivotField showAll="0"/>
    <pivotField numFmtId="14" showAll="0"/>
    <pivotField axis="axisRow" showAll="0">
      <items count="26">
        <item x="16"/>
        <item x="23"/>
        <item x="18"/>
        <item x="17"/>
        <item x="11"/>
        <item x="20"/>
        <item x="19"/>
        <item x="13"/>
        <item x="24"/>
        <item x="2"/>
        <item x="14"/>
        <item x="3"/>
        <item x="4"/>
        <item x="7"/>
        <item x="9"/>
        <item x="5"/>
        <item x="0"/>
        <item x="1"/>
        <item x="22"/>
        <item x="6"/>
        <item x="15"/>
        <item x="10"/>
        <item x="12"/>
        <item x="21"/>
        <item x="8"/>
        <item t="default"/>
      </items>
    </pivotField>
    <pivotField numFmtId="2"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denial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1591F-53F1-49F2-B551-1DCFEE3E7FF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6">
    <pivotField showAll="0"/>
    <pivotField showAll="0"/>
    <pivotField axis="axisRow" showAll="0">
      <items count="8">
        <item x="2"/>
        <item x="1"/>
        <item x="4"/>
        <item x="0"/>
        <item x="5"/>
        <item x="3"/>
        <item x="6"/>
        <item t="default"/>
      </items>
    </pivotField>
    <pivotField numFmtId="14" showAll="0"/>
    <pivotField showAll="0"/>
    <pivotField dataField="1" numFmtId="2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_held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64EA3-A930-4E2C-B05E-A220EFF6256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13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dataField="1" showAll="0"/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1" hier="-1"/>
  </pageFields>
  <dataFields count="1">
    <dataField name="Average of billed_amount" fld="1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A2FD7-89B5-4001-9503-0C2C9C4ECDC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0" firstHeaderRow="1" firstDataRow="1" firstDataCol="1"/>
  <pivotFields count="7">
    <pivotField showAll="0"/>
    <pivotField showAll="0"/>
    <pivotField dataField="1" numFmtId="14" showAll="0"/>
    <pivotField axis="axisRow" showAll="0">
      <items count="27">
        <item x="4"/>
        <item x="22"/>
        <item x="5"/>
        <item x="21"/>
        <item x="19"/>
        <item x="16"/>
        <item x="0"/>
        <item x="20"/>
        <item x="24"/>
        <item x="25"/>
        <item x="15"/>
        <item x="14"/>
        <item x="17"/>
        <item x="9"/>
        <item x="7"/>
        <item x="13"/>
        <item x="8"/>
        <item x="2"/>
        <item x="6"/>
        <item x="11"/>
        <item x="12"/>
        <item x="18"/>
        <item x="23"/>
        <item x="1"/>
        <item x="10"/>
        <item x="3"/>
        <item t="default"/>
      </items>
    </pivotField>
    <pivotField numFmtId="2" showAll="0"/>
    <pivotField showAll="0"/>
    <pivotField numFmtId="2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payment_dat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55905-F49C-4AA1-962B-DB18FF7A6E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13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1" item="0" hier="-1"/>
  </pageFields>
  <dataFields count="1">
    <dataField name="Count of claim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CB3F1-71CD-48DE-9F79-9E3148E71DD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6">
    <pivotField dataField="1" showAll="0"/>
    <pivotField showAll="0"/>
    <pivotField axis="axisRow" showAll="0">
      <items count="8">
        <item x="2"/>
        <item x="1"/>
        <item x="4"/>
        <item x="0"/>
        <item x="5"/>
        <item x="3"/>
        <item x="6"/>
        <item t="default"/>
      </items>
    </pivotField>
    <pivotField numFmtId="14" showAll="0"/>
    <pivotField showAll="0"/>
    <pivotField numFmtId="2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enial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C68DD-C793-47AD-9CB2-EA2C9B94C82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13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dataField="1" showAll="0"/>
    <pivotField axis="axisPage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1" item="0" hier="-1"/>
  </pageFields>
  <dataFields count="1">
    <dataField name="Sum of billed_amoun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443809B-54EB-4D0D-9234-54A492E365C1}" autoFormatId="16" applyNumberFormats="0" applyBorderFormats="0" applyFontFormats="0" applyPatternFormats="0" applyAlignmentFormats="0" applyWidthHeightFormats="0">
  <queryTableRefresh nextId="7">
    <queryTableFields count="5">
      <queryTableField id="1" name="patient_id" tableColumnId="1"/>
      <queryTableField id="2" name="age" tableColumnId="2"/>
      <queryTableField id="3" name="gender" tableColumnId="3"/>
      <queryTableField id="4" name="region" tableColumnId="4"/>
      <queryTableField id="5" name="insurance_typ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FB726BD8-EB48-4D3C-90FB-D941A77B028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79A4E08D-B5AB-446D-8E8C-DF936233A664}" autoFormatId="16" applyNumberFormats="0" applyBorderFormats="0" applyFontFormats="0" applyPatternFormats="0" applyAlignmentFormats="0" applyWidthHeightFormats="0">
  <queryTableRefresh nextId="5">
    <queryTableFields count="4">
      <queryTableField id="1" name="service_id" tableColumnId="1"/>
      <queryTableField id="2" name="service_name" tableColumnId="2"/>
      <queryTableField id="3" name="category" tableColumnId="3"/>
      <queryTableField id="4" name="base_cos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ACF140F-67F9-47B2-8ADA-9ABD08D19D77}" autoFormatId="16" applyNumberFormats="0" applyBorderFormats="0" applyFontFormats="0" applyPatternFormats="0" applyAlignmentFormats="0" applyWidthHeightFormats="0">
  <queryTableRefresh nextId="12">
    <queryTableFields count="11">
      <queryTableField id="1" name="claim_id" tableColumnId="1"/>
      <queryTableField id="2" name="patient_id" tableColumnId="2"/>
      <queryTableField id="3" name="provider_id" tableColumnId="3"/>
      <queryTableField id="4" name="service_id" tableColumnId="4"/>
      <queryTableField id="5" name="claim_date" tableColumnId="5"/>
      <queryTableField id="6" name="submission_date" tableColumnId="6"/>
      <queryTableField id="7" name="processed_date" tableColumnId="7"/>
      <queryTableField id="8" name="insurance_type" tableColumnId="8"/>
      <queryTableField id="9" name="billed_amount" tableColumnId="9"/>
      <queryTableField id="10" name="status" tableColumnId="10"/>
      <queryTableField id="11" name="claim_processing_day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8A9D323-43EB-45FC-9484-D24DBACCFFB4}" autoFormatId="16" applyNumberFormats="0" applyBorderFormats="0" applyFontFormats="0" applyPatternFormats="0" applyAlignmentFormats="0" applyWidthHeightFormats="0">
  <queryTableRefresh nextId="6">
    <queryTableFields count="5">
      <queryTableField id="1" name="claim_line_id" tableColumnId="1"/>
      <queryTableField id="2" name="claim_id" tableColumnId="2"/>
      <queryTableField id="3" name="service_id" tableColumnId="3"/>
      <queryTableField id="4" name="units" tableColumnId="4"/>
      <queryTableField id="5" name="line_charg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18620FF2-66ED-41B2-A1E7-606EDFEE9AC2}" autoFormatId="16" applyNumberFormats="0" applyBorderFormats="0" applyFontFormats="0" applyPatternFormats="0" applyAlignmentFormats="0" applyWidthHeightFormats="0">
  <queryTableRefresh nextId="7">
    <queryTableFields count="6">
      <queryTableField id="1" name="payment_id" tableColumnId="1"/>
      <queryTableField id="2" name="claim_id" tableColumnId="2"/>
      <queryTableField id="3" name="payment_date" tableColumnId="3"/>
      <queryTableField id="4" name="amount_paid" tableColumnId="4"/>
      <queryTableField id="5" name="payment_method" tableColumnId="5"/>
      <queryTableField id="6" name="patient_responsibility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F4299F-9B17-4BF8-80DE-66C7377B5F5E}" autoFormatId="16" applyNumberFormats="0" applyBorderFormats="0" applyFontFormats="0" applyPatternFormats="0" applyAlignmentFormats="0" applyWidthHeightFormats="0">
  <queryTableRefresh nextId="6">
    <queryTableFields count="5">
      <queryTableField id="1" name="denial_id" tableColumnId="1"/>
      <queryTableField id="2" name="claim_id" tableColumnId="2"/>
      <queryTableField id="3" name="denial_reason" tableColumnId="3"/>
      <queryTableField id="4" name="denial_date" tableColumnId="4"/>
      <queryTableField id="5" name="amount_held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F0136FB-F8E8-4380-9FFE-73B4F4854EC8}" autoFormatId="16" applyNumberFormats="0" applyBorderFormats="0" applyFontFormats="0" applyPatternFormats="0" applyAlignmentFormats="0" applyWidthHeightFormats="0">
  <queryTableRefresh nextId="6">
    <queryTableFields count="5">
      <queryTableField id="1" name="payer_id" tableColumnId="1"/>
      <queryTableField id="2" name="payer_name" tableColumnId="2"/>
      <queryTableField id="3" name="insurance_type" tableColumnId="3"/>
      <queryTableField id="4" name="payer_segment" tableColumnId="4"/>
      <queryTableField id="5" name="historical_approval_rat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775A9CA-ADF0-4CE4-A5F3-A5C6FA5BCD20}" autoFormatId="16" applyNumberFormats="0" applyBorderFormats="0" applyFontFormats="0" applyPatternFormats="0" applyAlignmentFormats="0" applyWidthHeightFormats="0">
  <queryTableRefresh nextId="6">
    <queryTableFields count="5">
      <queryTableField id="1" name="claim_line_id" tableColumnId="1"/>
      <queryTableField id="2" name="claim_id" tableColumnId="2"/>
      <queryTableField id="3" name="service_id" tableColumnId="3"/>
      <queryTableField id="4" name="units" tableColumnId="4"/>
      <queryTableField id="5" name="line_charg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2DA5B76-41D2-4722-AFA0-C358C63BBC4C}" autoFormatId="16" applyNumberFormats="0" applyBorderFormats="0" applyFontFormats="0" applyPatternFormats="0" applyAlignmentFormats="0" applyWidthHeightFormats="0">
  <queryTableRefresh nextId="14">
    <queryTableFields count="13">
      <queryTableField id="1" name="claim_id" tableColumnId="1"/>
      <queryTableField id="2" name="patient_id" tableColumnId="2"/>
      <queryTableField id="3" name="provider_id" tableColumnId="3"/>
      <queryTableField id="4" name="service_id" tableColumnId="4"/>
      <queryTableField id="5" name="claim_date" tableColumnId="5"/>
      <queryTableField id="6" name="submission_date" tableColumnId="6"/>
      <queryTableField id="7" name="processed_date" tableColumnId="7"/>
      <queryTableField id="12" dataBound="0" tableColumnId="13"/>
      <queryTableField id="13" dataBound="0" tableColumnId="14"/>
      <queryTableField id="8" name="insurance_type" tableColumnId="8"/>
      <queryTableField id="9" name="billed_amount" tableColumnId="9"/>
      <queryTableField id="10" name="status" tableColumnId="10"/>
      <queryTableField id="11" name="claim_processing_days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4E05DB4-E926-4EFB-AD15-FFAEB3827890}" autoFormatId="16" applyNumberFormats="0" applyBorderFormats="0" applyFontFormats="0" applyPatternFormats="0" applyAlignmentFormats="0" applyWidthHeightFormats="0">
  <queryTableRefresh nextId="7">
    <queryTableFields count="5">
      <queryTableField id="1" name="patient_id" tableColumnId="1"/>
      <queryTableField id="2" name="age" tableColumnId="2"/>
      <queryTableField id="3" name="gender" tableColumnId="3"/>
      <queryTableField id="4" name="region" tableColumnId="4"/>
      <queryTableField id="5" name="insurance_type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8F469B72-B453-4178-8FEB-B45004A6647D}" autoFormatId="16" applyNumberFormats="0" applyBorderFormats="0" applyFontFormats="0" applyPatternFormats="0" applyAlignmentFormats="0" applyWidthHeightFormats="0">
  <queryTableRefresh nextId="8">
    <queryTableFields count="7">
      <queryTableField id="1" name="payment_id" tableColumnId="1"/>
      <queryTableField id="2" name="claim_id" tableColumnId="2"/>
      <queryTableField id="3" name="payment_date" tableColumnId="3"/>
      <queryTableField id="7" dataBound="0" tableColumnId="7"/>
      <queryTableField id="4" name="amount_paid" tableColumnId="4"/>
      <queryTableField id="5" name="payment_method" tableColumnId="5"/>
      <queryTableField id="6" name="patient_responsibility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44BF377F-453E-4A58-8CEC-F183FB5BA2F6}" autoFormatId="16" applyNumberFormats="0" applyBorderFormats="0" applyFontFormats="0" applyPatternFormats="0" applyAlignmentFormats="0" applyWidthHeightFormats="0">
  <queryTableRefresh nextId="5">
    <queryTableFields count="4">
      <queryTableField id="1" name="service_id" tableColumnId="1"/>
      <queryTableField id="2" name="service_name" tableColumnId="2"/>
      <queryTableField id="3" name="category" tableColumnId="3"/>
      <queryTableField id="4" name="base_cost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DF0C57D2-6883-4130-9B2B-41DD58C3518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61E5E9F-2A88-45C7-8D55-3A7FA12C7DB8}" autoFormatId="16" applyNumberFormats="0" applyBorderFormats="0" applyFontFormats="0" applyPatternFormats="0" applyAlignmentFormats="0" applyWidthHeightFormats="0">
  <queryTableRefresh nextId="7">
    <queryTableFields count="6">
      <queryTableField id="1" name="denial_id" tableColumnId="1"/>
      <queryTableField id="2" name="claim_id" tableColumnId="2"/>
      <queryTableField id="3" name="denial_reason" tableColumnId="3"/>
      <queryTableField id="4" name="denial_date" tableColumnId="4"/>
      <queryTableField id="6" dataBound="0" tableColumnId="6"/>
      <queryTableField id="5" name="amount_hel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5857C-1B22-4D9B-B434-C42A4DD49DB3}" name="Patients_Raw" displayName="Patients_Raw" ref="A1:E501" tableType="queryTable" totalsRowShown="0">
  <autoFilter ref="A1:E501" xr:uid="{8B45857C-1B22-4D9B-B434-C42A4DD49DB3}"/>
  <sortState xmlns:xlrd2="http://schemas.microsoft.com/office/spreadsheetml/2017/richdata2" ref="A2:E501">
    <sortCondition descending="1" ref="B1:B501"/>
  </sortState>
  <tableColumns count="5">
    <tableColumn id="1" xr3:uid="{543E568C-1211-4DDD-B900-5941B2FF14A2}" uniqueName="1" name="patient_id" queryTableFieldId="1" dataDxfId="93"/>
    <tableColumn id="2" xr3:uid="{13126AD6-DB94-41C8-B7AE-BC65B9BD73F5}" uniqueName="2" name="age" queryTableFieldId="2"/>
    <tableColumn id="3" xr3:uid="{797F2933-E9E3-4032-AE70-F932C2B097C0}" uniqueName="3" name="gender" queryTableFieldId="3" dataDxfId="92"/>
    <tableColumn id="4" xr3:uid="{4DC3E0DE-F5F4-42B9-B307-2AD43804DC77}" uniqueName="4" name="region" queryTableFieldId="4" dataDxfId="91"/>
    <tableColumn id="5" xr3:uid="{5CC95DAD-71AB-445D-AFD2-BEAAE47FF981}" uniqueName="5" name="insurance_type" queryTableFieldId="5" dataDxfId="9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373B0E-E9A0-4C17-A25D-6FB81F7B31B1}" name="providers__2" displayName="providers__2" ref="A1:E41" tableType="queryTable" totalsRowShown="0">
  <autoFilter ref="A1:E41" xr:uid="{3D373B0E-E9A0-4C17-A25D-6FB81F7B31B1}"/>
  <tableColumns count="5">
    <tableColumn id="1" xr3:uid="{0F030255-9769-4089-AEBC-72FBCB4D3E70}" uniqueName="1" name="provider_id" queryTableFieldId="1" dataDxfId="89"/>
    <tableColumn id="2" xr3:uid="{8F6813E6-0A84-49BD-9E1B-B6B7F6785D0C}" uniqueName="2" name="provider_name" queryTableFieldId="2" dataDxfId="88"/>
    <tableColumn id="3" xr3:uid="{8B410FF0-111A-449A-9536-F941A682B993}" uniqueName="3" name="specialty" queryTableFieldId="3" dataDxfId="87"/>
    <tableColumn id="4" xr3:uid="{C8218E55-9205-4584-BFC4-8638141C0246}" uniqueName="4" name="department" queryTableFieldId="4" dataDxfId="86"/>
    <tableColumn id="5" xr3:uid="{E5B6A565-42BC-4D0C-8FAD-8FA4D5E406A6}" uniqueName="5" name="region" queryTableFieldId="5" dataDxfId="8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E716AC-C8B9-4FE2-A334-95DDBFBFE317}" name="Services_Raw" displayName="Services_Raw" ref="A1:D26" tableType="queryTable" totalsRowShown="0">
  <autoFilter ref="A1:D26" xr:uid="{15E716AC-C8B9-4FE2-A334-95DDBFBFE317}"/>
  <sortState xmlns:xlrd2="http://schemas.microsoft.com/office/spreadsheetml/2017/richdata2" ref="A2:D26">
    <sortCondition ref="D1:D26"/>
  </sortState>
  <tableColumns count="4">
    <tableColumn id="1" xr3:uid="{EBE2B0B6-7AC9-4205-8232-99C70FA9DEE7}" uniqueName="1" name="service_id" queryTableFieldId="1" dataDxfId="84"/>
    <tableColumn id="2" xr3:uid="{4442D496-06F8-4AAD-8B30-30718C1FA8D0}" uniqueName="2" name="service_name" queryTableFieldId="2" dataDxfId="83"/>
    <tableColumn id="3" xr3:uid="{382EFF18-B28C-43D5-B5A4-66CC91476F5C}" uniqueName="3" name="category" queryTableFieldId="3" dataDxfId="82"/>
    <tableColumn id="4" xr3:uid="{AFFE84AA-23EA-4199-A7BF-4F69CE6C225F}" uniqueName="4" name="base_cos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CBACC3-4324-484F-B98B-28EF73EC9D00}" name="Claims_Raw" displayName="Claims_Raw" ref="A1:K2001" tableType="queryTable" totalsRowShown="0">
  <autoFilter ref="A1:K2001" xr:uid="{7DCBACC3-4324-484F-B98B-28EF73EC9D00}"/>
  <sortState xmlns:xlrd2="http://schemas.microsoft.com/office/spreadsheetml/2017/richdata2" ref="A2:K2001">
    <sortCondition descending="1" ref="I1:I2001"/>
  </sortState>
  <tableColumns count="11">
    <tableColumn id="1" xr3:uid="{ECD931EA-A05B-4D6C-9139-D0A5D7DB6A32}" uniqueName="1" name="claim_id" queryTableFieldId="1" dataDxfId="81"/>
    <tableColumn id="2" xr3:uid="{F2803D22-3BD1-4A85-9630-47C1B85809FF}" uniqueName="2" name="patient_id" queryTableFieldId="2" dataDxfId="80"/>
    <tableColumn id="3" xr3:uid="{69E1C2C0-79CB-4964-915E-5387DFCA3E26}" uniqueName="3" name="provider_id" queryTableFieldId="3" dataDxfId="79"/>
    <tableColumn id="4" xr3:uid="{99FD5152-EE49-4B1A-9431-A5CB0E9C8561}" uniqueName="4" name="service_id" queryTableFieldId="4" dataDxfId="78"/>
    <tableColumn id="5" xr3:uid="{D91FD46B-60A1-4A15-B5AE-52D210EA6575}" uniqueName="5" name="claim_date" queryTableFieldId="5" dataDxfId="77"/>
    <tableColumn id="6" xr3:uid="{04534866-CA09-4A0A-8BE6-320F5C390E64}" uniqueName="6" name="submission_date" queryTableFieldId="6" dataDxfId="76"/>
    <tableColumn id="7" xr3:uid="{21EFA6EA-2538-44E5-A6B8-48C22DC64637}" uniqueName="7" name="processed_date" queryTableFieldId="7" dataDxfId="75"/>
    <tableColumn id="8" xr3:uid="{1AD7E82D-9FBC-420C-8CAF-E79730E2E5A5}" uniqueName="8" name="insurance_type" queryTableFieldId="8" dataDxfId="74"/>
    <tableColumn id="9" xr3:uid="{753E67F3-D581-4FCF-82E5-0AB4E66F4833}" uniqueName="9" name="billed_amount" queryTableFieldId="9"/>
    <tableColumn id="10" xr3:uid="{F1552EC2-07CD-48DD-B04A-855276B3EB43}" uniqueName="10" name="status" queryTableFieldId="10" dataDxfId="73"/>
    <tableColumn id="11" xr3:uid="{9CAFEE0A-4F51-4861-8D51-93989E4F5169}" uniqueName="11" name="claim_processing_days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89972F-A924-42C9-ACD7-6A741EBB26F0}" name="Claim_Lines_Raw" displayName="Claim_Lines_Raw" ref="A1:E2001" tableType="queryTable" totalsRowShown="0">
  <autoFilter ref="A1:E2001" xr:uid="{3F89972F-A924-42C9-ACD7-6A741EBB26F0}"/>
  <tableColumns count="5">
    <tableColumn id="1" xr3:uid="{D752FA62-FC78-4229-AF6E-EA39796ED250}" uniqueName="1" name="claim_line_id" queryTableFieldId="1" dataDxfId="72"/>
    <tableColumn id="2" xr3:uid="{33DA2D00-966C-4A8D-B5EE-35E8ECE5FEF4}" uniqueName="2" name="claim_id" queryTableFieldId="2" dataDxfId="71"/>
    <tableColumn id="3" xr3:uid="{16680F14-F537-4DE8-8E25-A03B18712FE7}" uniqueName="3" name="service_id" queryTableFieldId="3" dataDxfId="70"/>
    <tableColumn id="4" xr3:uid="{BB49F4C3-2E52-4524-A6F2-A19C61FC60E2}" uniqueName="4" name="units" queryTableFieldId="4" dataDxfId="69"/>
    <tableColumn id="5" xr3:uid="{4EACCDAF-35A0-45EC-8871-AD7BF7CC0FA4}" uniqueName="5" name="line_charge" queryTableFieldId="5" dataDxfId="6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E69360-3726-495F-94C9-E4AB626E46C8}" name="Payments_Raw" displayName="Payments_Raw" ref="A1:F1487" tableType="queryTable" totalsRowShown="0">
  <autoFilter ref="A1:F1487" xr:uid="{B3E69360-3726-495F-94C9-E4AB626E46C8}"/>
  <tableColumns count="6">
    <tableColumn id="1" xr3:uid="{AE5DE0F6-8FCC-4FF1-905A-4F581649EF41}" uniqueName="1" name="payment_id" queryTableFieldId="1" dataDxfId="67"/>
    <tableColumn id="2" xr3:uid="{BF46D100-5225-48F8-96EE-8D154B901DDE}" uniqueName="2" name="claim_id" queryTableFieldId="2" dataDxfId="66"/>
    <tableColumn id="3" xr3:uid="{91ACEE34-F387-4D29-AF36-68B5208D1B93}" uniqueName="3" name="payment_date" queryTableFieldId="3" dataDxfId="65"/>
    <tableColumn id="4" xr3:uid="{8921CFB3-46FC-4EC0-AC51-E44BCBF5B9EB}" uniqueName="4" name="amount_paid" queryTableFieldId="4" dataDxfId="64"/>
    <tableColumn id="5" xr3:uid="{A0364969-F28E-4138-A504-0422848201D1}" uniqueName="5" name="payment_method" queryTableFieldId="5" dataDxfId="63"/>
    <tableColumn id="6" xr3:uid="{23265BD3-F436-4F6C-907D-A53E361A7E7E}" uniqueName="6" name="patient_responsibility" queryTableFieldId="6" dataDxfId="6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CE2E83-F0D2-4EEA-A5C2-C12DD4CD4736}" name="Claim_Denials_Raw" displayName="Claim_Denials_Raw" ref="A1:E318" tableType="queryTable" totalsRowShown="0">
  <autoFilter ref="A1:E318" xr:uid="{F8CE2E83-F0D2-4EEA-A5C2-C12DD4CD4736}"/>
  <tableColumns count="5">
    <tableColumn id="1" xr3:uid="{D8FDCAD6-40F0-44C4-9D21-B52AD3D66C4C}" uniqueName="1" name="denial_id" queryTableFieldId="1" dataDxfId="61"/>
    <tableColumn id="2" xr3:uid="{3F102E75-0B7D-48EB-BCCD-9B244CB43AC0}" uniqueName="2" name="claim_id" queryTableFieldId="2" dataDxfId="60"/>
    <tableColumn id="3" xr3:uid="{354465D8-0DD8-4695-B1BC-1A069527D466}" uniqueName="3" name="denial_reason" queryTableFieldId="3" dataDxfId="59"/>
    <tableColumn id="4" xr3:uid="{ECF6E485-4C4D-47F5-B83B-23855E46B0B8}" uniqueName="4" name="denial_date" queryTableFieldId="4" dataDxfId="58"/>
    <tableColumn id="5" xr3:uid="{AC468F9A-331C-4A75-97A1-80438568B9F7}" uniqueName="5" name="amount_held" queryTableFieldId="5" dataDxfId="5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2BEB7C-76B3-4644-879C-2C5C6B66D797}" name="Insurance_Payers_Raw" displayName="Insurance_Payers_Raw" ref="A1:E9" tableType="queryTable" totalsRowShown="0">
  <autoFilter ref="A1:E9" xr:uid="{3B2BEB7C-76B3-4644-879C-2C5C6B66D797}"/>
  <tableColumns count="5">
    <tableColumn id="1" xr3:uid="{ECD256BF-37B5-4684-96FD-42DD8EBC5307}" uniqueName="1" name="payer_id" queryTableFieldId="1" dataDxfId="56"/>
    <tableColumn id="2" xr3:uid="{FC39F31C-745C-4CD9-BB5E-300917307DDA}" uniqueName="2" name="payer_name" queryTableFieldId="2" dataDxfId="55"/>
    <tableColumn id="3" xr3:uid="{51D8522F-8A56-4615-9EB8-655313260ADB}" uniqueName="3" name="insurance_type" queryTableFieldId="3" dataDxfId="54"/>
    <tableColumn id="4" xr3:uid="{FD004412-4095-4AEE-9B97-FF2E23A768EA}" uniqueName="4" name="payer_segment" queryTableFieldId="4" dataDxfId="53"/>
    <tableColumn id="5" xr3:uid="{45192B75-BDA7-41E6-82CD-019D49ACD117}" uniqueName="5" name="historical_approval_rate" queryTableFieldId="5" dataDxfId="5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4281545-EC18-422D-8F3E-C6197EB14864}" name="Claim_Lines_Cleaned" displayName="Claim_Lines_Cleaned" ref="A1:E2001" tableType="queryTable" totalsRowShown="0">
  <autoFilter ref="A1:E2001" xr:uid="{3F89972F-A924-42C9-ACD7-6A741EBB26F0}"/>
  <tableColumns count="5">
    <tableColumn id="1" xr3:uid="{2F12EB50-F83A-45B8-874C-D93657A8B2BA}" uniqueName="1" name="claim_line_id" queryTableFieldId="1" dataDxfId="51"/>
    <tableColumn id="2" xr3:uid="{1944BC54-918D-49F2-B528-6C4922233125}" uniqueName="2" name="claim_id" queryTableFieldId="2" dataDxfId="50"/>
    <tableColumn id="3" xr3:uid="{B80FFE48-96EB-47F2-9516-4604564DAE4F}" uniqueName="3" name="service_id" queryTableFieldId="3" dataDxfId="49"/>
    <tableColumn id="4" xr3:uid="{229EDA72-4D3F-4A17-B929-82AF9E3193BE}" uniqueName="4" name="units" queryTableFieldId="4" dataDxfId="48"/>
    <tableColumn id="5" xr3:uid="{4B34FD1D-9B21-4807-9787-E35F4A8C752D}" uniqueName="5" name="line_charge" queryTableFieldId="5" dataDxfId="4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F3C007-3EC1-49A8-97CF-C1E7FC94972A}" name="Claims_Cleaned" displayName="Claims_Cleaned" ref="A1:M2001" tableType="queryTable" totalsRowShown="0">
  <autoFilter ref="A1:M2001" xr:uid="{7DCBACC3-4324-484F-B98B-28EF73EC9D00}"/>
  <sortState xmlns:xlrd2="http://schemas.microsoft.com/office/spreadsheetml/2017/richdata2" ref="A2:M2001">
    <sortCondition descending="1" ref="K1:K2001"/>
  </sortState>
  <tableColumns count="13">
    <tableColumn id="1" xr3:uid="{EDEEA233-4F04-4B2B-9887-24DA2CDCD70C}" uniqueName="1" name="claim_id" queryTableFieldId="1" dataDxfId="46"/>
    <tableColumn id="2" xr3:uid="{B1132ADD-3327-4C9E-9043-132F133DF055}" uniqueName="2" name="patient_id" queryTableFieldId="2" dataDxfId="45"/>
    <tableColumn id="3" xr3:uid="{D6B77B64-9CFF-4C6E-BDA1-2A07143EAF62}" uniqueName="3" name="provider_id" queryTableFieldId="3" dataDxfId="44"/>
    <tableColumn id="4" xr3:uid="{EFA62842-447B-4AE8-B3D8-D19DF54EFE58}" uniqueName="4" name="service_id" queryTableFieldId="4" dataDxfId="43"/>
    <tableColumn id="5" xr3:uid="{06DE83CD-B4EB-41A2-BE94-E91E540D8A1E}" uniqueName="5" name="claim_date" queryTableFieldId="5" dataDxfId="42"/>
    <tableColumn id="6" xr3:uid="{413AB672-D412-4C30-8F5F-2C6C52A344B6}" uniqueName="6" name="submission_date" queryTableFieldId="6" dataDxfId="41"/>
    <tableColumn id="7" xr3:uid="{5F814830-B5F3-4239-A5E5-0787CB3AFE95}" uniqueName="7" name="processed_date" queryTableFieldId="7" dataDxfId="40"/>
    <tableColumn id="13" xr3:uid="{7C4AB90E-C673-4C44-95A0-C876B4F6D07E}" uniqueName="13" name="Processing_Days" queryTableFieldId="12" dataDxfId="39">
      <calculatedColumnFormula>IF(Claims_Cleaned[[#This Row],[processed_date]]="","",Claims_Cleaned[[#This Row],[processed_date]]-Claims_Cleaned[[#This Row],[submission_date]])</calculatedColumnFormula>
    </tableColumn>
    <tableColumn id="14" xr3:uid="{461C1C4C-6968-42E5-BDF7-9CEEC09329C3}" uniqueName="14" name="Claim_Month" queryTableFieldId="13" dataDxfId="38">
      <calculatedColumnFormula>TEXT(Claims_Cleaned[[#This Row],[claim_date]],"mmm-yyyy")</calculatedColumnFormula>
    </tableColumn>
    <tableColumn id="8" xr3:uid="{ED874857-B50C-439F-84CB-FDFC2BBA21F6}" uniqueName="8" name="insurance_type" queryTableFieldId="8" dataDxfId="37"/>
    <tableColumn id="9" xr3:uid="{FB3C76B3-C056-45CD-9366-F130DB504E00}" uniqueName="9" name="billed_amount" queryTableFieldId="9"/>
    <tableColumn id="10" xr3:uid="{F6AF8BAD-0F4E-4141-A9B7-C46F904B83C2}" uniqueName="10" name="status" queryTableFieldId="10" dataDxfId="36"/>
    <tableColumn id="11" xr3:uid="{19287976-B2D9-4401-B563-4D1CDFC0E0E4}" uniqueName="11" name="claim_processing_days" queryTableFieldId="1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503CECA-1D40-46E6-9A8A-81901722CB06}" name="Patients_Cleaned" displayName="Patients_Cleaned" ref="A1:E501" tableType="queryTable" totalsRowShown="0">
  <autoFilter ref="A1:E501" xr:uid="{8B45857C-1B22-4D9B-B434-C42A4DD49DB3}"/>
  <sortState xmlns:xlrd2="http://schemas.microsoft.com/office/spreadsheetml/2017/richdata2" ref="A2:E501">
    <sortCondition descending="1" ref="B1:B501"/>
  </sortState>
  <tableColumns count="5">
    <tableColumn id="1" xr3:uid="{26090ECF-F3E2-4C4A-9A9D-5D7333B8EFE7}" uniqueName="1" name="patient_id" queryTableFieldId="1" dataDxfId="35"/>
    <tableColumn id="2" xr3:uid="{2456886D-501A-454F-9902-7ECC5DBF646B}" uniqueName="2" name="age" queryTableFieldId="2"/>
    <tableColumn id="3" xr3:uid="{E47F3995-1FBC-49F1-9410-9419D4EBA9DF}" uniqueName="3" name="gender" queryTableFieldId="3" dataDxfId="34"/>
    <tableColumn id="4" xr3:uid="{19B45434-0E9D-423A-A020-1ABD084C984B}" uniqueName="4" name="region" queryTableFieldId="4" dataDxfId="33"/>
    <tableColumn id="5" xr3:uid="{B93CDC0B-F32A-4B3D-80AF-A2A8021A50F4}" uniqueName="5" name="insurance_type" queryTableFieldId="5" dataDxfId="3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883E0A-7B5B-47B8-A56B-03CB3B592EC8}" name="Payments_Cleaned" displayName="Payments_Cleaned" ref="A1:G1487" tableType="queryTable" totalsRowShown="0">
  <autoFilter ref="A1:G1487" xr:uid="{B3E69360-3726-495F-94C9-E4AB626E46C8}"/>
  <tableColumns count="7">
    <tableColumn id="1" xr3:uid="{AE53ECB4-A598-488B-BB2A-F11E0C439F20}" uniqueName="1" name="payment_id" queryTableFieldId="1" dataDxfId="31"/>
    <tableColumn id="2" xr3:uid="{6D7F424A-80F6-4E4D-8726-3161CFDDE0CC}" uniqueName="2" name="claim_id" queryTableFieldId="2" dataDxfId="30"/>
    <tableColumn id="3" xr3:uid="{79BA8197-E66D-4531-A3F2-E3AE9DB5DFB6}" uniqueName="3" name="payment_date" queryTableFieldId="3" dataDxfId="29"/>
    <tableColumn id="7" xr3:uid="{C060A354-A097-4A96-96E2-95B2AD695CDD}" uniqueName="7" name="Payment_Month" queryTableFieldId="7" dataDxfId="28">
      <calculatedColumnFormula>TEXT(Payments_Cleaned[[#This Row],[payment_date]],"mmm-yyyy")</calculatedColumnFormula>
    </tableColumn>
    <tableColumn id="4" xr3:uid="{0589F29E-CFBD-4E9B-8864-6841932E6EA9}" uniqueName="4" name="amount_paid" queryTableFieldId="4" dataDxfId="27"/>
    <tableColumn id="5" xr3:uid="{1745B1B6-8193-4AC3-B694-4449C9CEF99B}" uniqueName="5" name="payment_method" queryTableFieldId="5" dataDxfId="26"/>
    <tableColumn id="6" xr3:uid="{C393BEDF-1587-4215-8856-295EA2BF1756}" uniqueName="6" name="patient_responsibility" queryTableFieldId="6" dataDxfId="2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39F122-D881-4ECD-B0CD-0FAF03B920CB}" name="Services_Cleaned" displayName="Services_Cleaned" ref="A1:D26" tableType="queryTable" totalsRowShown="0">
  <autoFilter ref="A1:D26" xr:uid="{15E716AC-C8B9-4FE2-A334-95DDBFBFE317}"/>
  <sortState xmlns:xlrd2="http://schemas.microsoft.com/office/spreadsheetml/2017/richdata2" ref="A2:D26">
    <sortCondition ref="D1:D26"/>
  </sortState>
  <tableColumns count="4">
    <tableColumn id="1" xr3:uid="{1A604382-2492-48B3-B902-E3C2DAAB8EC4}" uniqueName="1" name="service_id" queryTableFieldId="1" dataDxfId="24"/>
    <tableColumn id="2" xr3:uid="{760B3490-DBD6-462A-B1B6-3D02EDF53355}" uniqueName="2" name="service_name" queryTableFieldId="2" dataDxfId="23"/>
    <tableColumn id="3" xr3:uid="{1F25C19D-9D8C-4C8D-95D6-B025E4986FCF}" uniqueName="3" name="category" queryTableFieldId="3" dataDxfId="22"/>
    <tableColumn id="4" xr3:uid="{7B427F8D-FC5C-4CCD-B339-88465CED0622}" uniqueName="4" name="base_cost" queryTableField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26013F-9F7E-42EA-AE43-DCC5E860C5EE}" name="Providers_Cleaned" displayName="Providers_Cleaned" ref="A1:E41" tableType="queryTable" totalsRowShown="0">
  <autoFilter ref="A1:E41" xr:uid="{3D373B0E-E9A0-4C17-A25D-6FB81F7B31B1}"/>
  <tableColumns count="5">
    <tableColumn id="1" xr3:uid="{3ABE44A0-1CFD-4BEB-8653-01805CEE222D}" uniqueName="1" name="provider_id" queryTableFieldId="1" dataDxfId="98"/>
    <tableColumn id="2" xr3:uid="{FA95ABB1-FB97-4208-BD57-F27A4724F6E1}" uniqueName="2" name="provider_name" queryTableFieldId="2" dataDxfId="97"/>
    <tableColumn id="3" xr3:uid="{F1C7DF97-15EF-467A-A08C-A443221773B1}" uniqueName="3" name="specialty" queryTableFieldId="3" dataDxfId="96"/>
    <tableColumn id="4" xr3:uid="{BB7C6A30-DFCE-40D7-A5F6-E3E58FD3CF36}" uniqueName="4" name="department" queryTableFieldId="4" dataDxfId="95"/>
    <tableColumn id="5" xr3:uid="{9A256F0E-72E4-47FA-9029-599F16938E3E}" uniqueName="5" name="region" queryTableFieldId="5" dataDxfId="9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D01F2C-4A61-4157-A5BE-E13C8B0F55AC}" name="Claim_Denials_Cleaned" displayName="Claim_Denials_Cleaned" ref="A1:F318" tableType="queryTable" totalsRowShown="0">
  <autoFilter ref="A1:F318" xr:uid="{F8CE2E83-F0D2-4EEA-A5C2-C12DD4CD4736}"/>
  <tableColumns count="6">
    <tableColumn id="1" xr3:uid="{D157666F-80A0-401D-9863-7AC30AB9614E}" uniqueName="1" name="denial_id" queryTableFieldId="1" dataDxfId="21"/>
    <tableColumn id="2" xr3:uid="{911F486C-5E95-4507-817E-96E6D01408C3}" uniqueName="2" name="claim_id" queryTableFieldId="2" dataDxfId="20"/>
    <tableColumn id="3" xr3:uid="{D6838072-6C7D-4FCC-8136-FE971AE2D81E}" uniqueName="3" name="denial_reason" queryTableFieldId="3" dataDxfId="19"/>
    <tableColumn id="4" xr3:uid="{E5E140E4-8705-40E9-A780-AEE94B06562C}" uniqueName="4" name="denial_date" queryTableFieldId="4" dataDxfId="18"/>
    <tableColumn id="6" xr3:uid="{55DABA91-27BA-4126-8CCE-D607F51948D2}" uniqueName="6" name="Denial_Month" queryTableFieldId="6" dataDxfId="17">
      <calculatedColumnFormula>TEXT(Claim_Denials_Cleaned[[#This Row],[denial_date]],"mmm-yyyy")</calculatedColumnFormula>
    </tableColumn>
    <tableColumn id="5" xr3:uid="{9BE390EF-C6E0-494A-B9DA-861B73FA73BB}" uniqueName="5" name="amount_held" queryTableFieldId="5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AC1A-30DE-4C9E-B286-B33559FC343B}">
  <dimension ref="A1:E501"/>
  <sheetViews>
    <sheetView topLeftCell="A7" zoomScale="115" zoomScaleNormal="115" workbookViewId="0">
      <selection activeCell="D2" sqref="D2"/>
    </sheetView>
  </sheetViews>
  <sheetFormatPr defaultRowHeight="14.5" x14ac:dyDescent="0.35"/>
  <cols>
    <col min="1" max="1" width="11.54296875" bestFit="1" customWidth="1"/>
    <col min="2" max="2" width="6" bestFit="1" customWidth="1"/>
    <col min="3" max="3" width="8.81640625" bestFit="1" customWidth="1"/>
    <col min="4" max="4" width="8.26953125" bestFit="1" customWidth="1"/>
    <col min="5" max="5" width="16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184</v>
      </c>
      <c r="B2">
        <v>85</v>
      </c>
      <c r="C2" t="s">
        <v>6</v>
      </c>
      <c r="D2" t="s">
        <v>24</v>
      </c>
      <c r="E2" t="s">
        <v>20</v>
      </c>
    </row>
    <row r="3" spans="1:5" x14ac:dyDescent="0.35">
      <c r="A3" t="s">
        <v>194</v>
      </c>
      <c r="B3">
        <v>85</v>
      </c>
      <c r="C3" t="s">
        <v>6</v>
      </c>
      <c r="D3" t="s">
        <v>28</v>
      </c>
      <c r="E3" t="s">
        <v>25</v>
      </c>
    </row>
    <row r="4" spans="1:5" x14ac:dyDescent="0.35">
      <c r="A4" t="s">
        <v>232</v>
      </c>
      <c r="B4">
        <v>85</v>
      </c>
      <c r="C4" t="s">
        <v>6</v>
      </c>
      <c r="D4" t="s">
        <v>24</v>
      </c>
      <c r="E4" t="s">
        <v>8</v>
      </c>
    </row>
    <row r="5" spans="1:5" x14ac:dyDescent="0.35">
      <c r="A5" t="s">
        <v>310</v>
      </c>
      <c r="B5">
        <v>85</v>
      </c>
      <c r="C5" t="s">
        <v>6</v>
      </c>
      <c r="D5" t="s">
        <v>17</v>
      </c>
      <c r="E5" t="s">
        <v>11</v>
      </c>
    </row>
    <row r="6" spans="1:5" x14ac:dyDescent="0.35">
      <c r="A6" t="s">
        <v>312</v>
      </c>
      <c r="B6">
        <v>85</v>
      </c>
      <c r="C6" t="s">
        <v>10</v>
      </c>
      <c r="D6" t="s">
        <v>15</v>
      </c>
      <c r="E6" t="s">
        <v>11</v>
      </c>
    </row>
    <row r="7" spans="1:5" x14ac:dyDescent="0.35">
      <c r="A7" t="s">
        <v>12</v>
      </c>
      <c r="B7">
        <v>84</v>
      </c>
      <c r="C7" t="s">
        <v>10</v>
      </c>
      <c r="D7" t="s">
        <v>7</v>
      </c>
      <c r="E7" t="s">
        <v>13</v>
      </c>
    </row>
    <row r="8" spans="1:5" x14ac:dyDescent="0.35">
      <c r="A8" t="s">
        <v>236</v>
      </c>
      <c r="B8">
        <v>84</v>
      </c>
      <c r="C8" t="s">
        <v>10</v>
      </c>
      <c r="D8" t="s">
        <v>28</v>
      </c>
      <c r="E8" t="s">
        <v>11</v>
      </c>
    </row>
    <row r="9" spans="1:5" x14ac:dyDescent="0.35">
      <c r="A9" t="s">
        <v>239</v>
      </c>
      <c r="B9">
        <v>84</v>
      </c>
      <c r="C9" t="s">
        <v>6</v>
      </c>
      <c r="D9" t="s">
        <v>24</v>
      </c>
      <c r="E9" t="s">
        <v>20</v>
      </c>
    </row>
    <row r="10" spans="1:5" x14ac:dyDescent="0.35">
      <c r="A10" t="s">
        <v>260</v>
      </c>
      <c r="B10">
        <v>84</v>
      </c>
      <c r="C10" t="s">
        <v>6</v>
      </c>
      <c r="D10" t="s">
        <v>28</v>
      </c>
      <c r="E10" t="s">
        <v>25</v>
      </c>
    </row>
    <row r="11" spans="1:5" x14ac:dyDescent="0.35">
      <c r="A11" t="s">
        <v>350</v>
      </c>
      <c r="B11">
        <v>84</v>
      </c>
      <c r="C11" t="s">
        <v>6</v>
      </c>
      <c r="D11" t="s">
        <v>15</v>
      </c>
      <c r="E11" t="s">
        <v>20</v>
      </c>
    </row>
    <row r="12" spans="1:5" x14ac:dyDescent="0.35">
      <c r="A12" t="s">
        <v>435</v>
      </c>
      <c r="B12">
        <v>84</v>
      </c>
      <c r="C12" t="s">
        <v>10</v>
      </c>
      <c r="D12" t="s">
        <v>7</v>
      </c>
      <c r="E12" t="s">
        <v>20</v>
      </c>
    </row>
    <row r="13" spans="1:5" x14ac:dyDescent="0.35">
      <c r="A13" t="s">
        <v>34</v>
      </c>
      <c r="B13">
        <v>83</v>
      </c>
      <c r="C13" t="s">
        <v>10</v>
      </c>
      <c r="D13" t="s">
        <v>28</v>
      </c>
      <c r="E13" t="s">
        <v>11</v>
      </c>
    </row>
    <row r="14" spans="1:5" x14ac:dyDescent="0.35">
      <c r="A14" t="s">
        <v>89</v>
      </c>
      <c r="B14">
        <v>83</v>
      </c>
      <c r="C14" t="s">
        <v>6</v>
      </c>
      <c r="D14" t="s">
        <v>15</v>
      </c>
      <c r="E14" t="s">
        <v>11</v>
      </c>
    </row>
    <row r="15" spans="1:5" x14ac:dyDescent="0.35">
      <c r="A15" t="s">
        <v>157</v>
      </c>
      <c r="B15">
        <v>83</v>
      </c>
      <c r="C15" t="s">
        <v>10</v>
      </c>
      <c r="D15" t="s">
        <v>28</v>
      </c>
      <c r="E15" t="s">
        <v>11</v>
      </c>
    </row>
    <row r="16" spans="1:5" x14ac:dyDescent="0.35">
      <c r="A16" t="s">
        <v>296</v>
      </c>
      <c r="B16">
        <v>83</v>
      </c>
      <c r="C16" t="s">
        <v>10</v>
      </c>
      <c r="D16" t="s">
        <v>7</v>
      </c>
      <c r="E16" t="s">
        <v>11</v>
      </c>
    </row>
    <row r="17" spans="1:5" x14ac:dyDescent="0.35">
      <c r="A17" t="s">
        <v>428</v>
      </c>
      <c r="B17">
        <v>83</v>
      </c>
      <c r="C17" t="s">
        <v>10</v>
      </c>
      <c r="D17" t="s">
        <v>24</v>
      </c>
      <c r="E17" t="s">
        <v>20</v>
      </c>
    </row>
    <row r="18" spans="1:5" x14ac:dyDescent="0.35">
      <c r="A18" t="s">
        <v>496</v>
      </c>
      <c r="B18">
        <v>83</v>
      </c>
      <c r="C18" t="s">
        <v>10</v>
      </c>
      <c r="D18" t="s">
        <v>24</v>
      </c>
      <c r="E18" t="s">
        <v>13</v>
      </c>
    </row>
    <row r="19" spans="1:5" x14ac:dyDescent="0.35">
      <c r="A19" t="s">
        <v>66</v>
      </c>
      <c r="B19">
        <v>82</v>
      </c>
      <c r="C19" t="s">
        <v>6</v>
      </c>
      <c r="D19" t="s">
        <v>28</v>
      </c>
      <c r="E19" t="s">
        <v>11</v>
      </c>
    </row>
    <row r="20" spans="1:5" x14ac:dyDescent="0.35">
      <c r="A20" t="s">
        <v>178</v>
      </c>
      <c r="B20">
        <v>82</v>
      </c>
      <c r="C20" t="s">
        <v>10</v>
      </c>
      <c r="D20" t="s">
        <v>28</v>
      </c>
      <c r="E20" t="s">
        <v>8</v>
      </c>
    </row>
    <row r="21" spans="1:5" x14ac:dyDescent="0.35">
      <c r="A21" t="s">
        <v>190</v>
      </c>
      <c r="B21">
        <v>82</v>
      </c>
      <c r="C21" t="s">
        <v>6</v>
      </c>
      <c r="D21" t="s">
        <v>24</v>
      </c>
      <c r="E21" t="s">
        <v>13</v>
      </c>
    </row>
    <row r="22" spans="1:5" x14ac:dyDescent="0.35">
      <c r="A22" t="s">
        <v>319</v>
      </c>
      <c r="B22">
        <v>82</v>
      </c>
      <c r="C22" t="s">
        <v>10</v>
      </c>
      <c r="D22" t="s">
        <v>7</v>
      </c>
      <c r="E22" t="s">
        <v>8</v>
      </c>
    </row>
    <row r="23" spans="1:5" x14ac:dyDescent="0.35">
      <c r="A23" t="s">
        <v>63</v>
      </c>
      <c r="B23">
        <v>81</v>
      </c>
      <c r="C23" t="s">
        <v>6</v>
      </c>
      <c r="D23" t="s">
        <v>15</v>
      </c>
      <c r="E23" t="s">
        <v>25</v>
      </c>
    </row>
    <row r="24" spans="1:5" x14ac:dyDescent="0.35">
      <c r="A24" t="s">
        <v>302</v>
      </c>
      <c r="B24">
        <v>81</v>
      </c>
      <c r="C24" t="s">
        <v>6</v>
      </c>
      <c r="D24" t="s">
        <v>17</v>
      </c>
      <c r="E24" t="s">
        <v>8</v>
      </c>
    </row>
    <row r="25" spans="1:5" x14ac:dyDescent="0.35">
      <c r="A25" t="s">
        <v>313</v>
      </c>
      <c r="B25">
        <v>81</v>
      </c>
      <c r="C25" t="s">
        <v>10</v>
      </c>
      <c r="D25" t="s">
        <v>28</v>
      </c>
      <c r="E25" t="s">
        <v>13</v>
      </c>
    </row>
    <row r="26" spans="1:5" x14ac:dyDescent="0.35">
      <c r="A26" t="s">
        <v>323</v>
      </c>
      <c r="B26">
        <v>81</v>
      </c>
      <c r="C26" t="s">
        <v>6</v>
      </c>
      <c r="D26" t="s">
        <v>28</v>
      </c>
      <c r="E26" t="s">
        <v>20</v>
      </c>
    </row>
    <row r="27" spans="1:5" x14ac:dyDescent="0.35">
      <c r="A27" t="s">
        <v>366</v>
      </c>
      <c r="B27">
        <v>81</v>
      </c>
      <c r="C27" t="s">
        <v>10</v>
      </c>
      <c r="D27" t="s">
        <v>28</v>
      </c>
      <c r="E27" t="s">
        <v>8</v>
      </c>
    </row>
    <row r="28" spans="1:5" x14ac:dyDescent="0.35">
      <c r="A28" t="s">
        <v>382</v>
      </c>
      <c r="B28">
        <v>81</v>
      </c>
      <c r="C28" t="s">
        <v>6</v>
      </c>
      <c r="D28" t="s">
        <v>24</v>
      </c>
      <c r="E28" t="s">
        <v>8</v>
      </c>
    </row>
    <row r="29" spans="1:5" x14ac:dyDescent="0.35">
      <c r="A29" t="s">
        <v>400</v>
      </c>
      <c r="B29">
        <v>81</v>
      </c>
      <c r="C29" t="s">
        <v>10</v>
      </c>
      <c r="D29" t="s">
        <v>15</v>
      </c>
      <c r="E29" t="s">
        <v>25</v>
      </c>
    </row>
    <row r="30" spans="1:5" x14ac:dyDescent="0.35">
      <c r="A30" t="s">
        <v>403</v>
      </c>
      <c r="B30">
        <v>81</v>
      </c>
      <c r="C30" t="s">
        <v>6</v>
      </c>
      <c r="D30" t="s">
        <v>7</v>
      </c>
      <c r="E30" t="s">
        <v>8</v>
      </c>
    </row>
    <row r="31" spans="1:5" x14ac:dyDescent="0.35">
      <c r="A31" t="s">
        <v>202</v>
      </c>
      <c r="B31">
        <v>80</v>
      </c>
      <c r="C31" t="s">
        <v>10</v>
      </c>
      <c r="D31" t="s">
        <v>17</v>
      </c>
      <c r="E31" t="s">
        <v>13</v>
      </c>
    </row>
    <row r="32" spans="1:5" x14ac:dyDescent="0.35">
      <c r="A32" t="s">
        <v>211</v>
      </c>
      <c r="B32">
        <v>80</v>
      </c>
      <c r="C32" t="s">
        <v>6</v>
      </c>
      <c r="D32" t="s">
        <v>28</v>
      </c>
      <c r="E32" t="s">
        <v>11</v>
      </c>
    </row>
    <row r="33" spans="1:5" x14ac:dyDescent="0.35">
      <c r="A33" t="s">
        <v>276</v>
      </c>
      <c r="B33">
        <v>80</v>
      </c>
      <c r="C33" t="s">
        <v>6</v>
      </c>
      <c r="D33" t="s">
        <v>17</v>
      </c>
      <c r="E33" t="s">
        <v>20</v>
      </c>
    </row>
    <row r="34" spans="1:5" x14ac:dyDescent="0.35">
      <c r="A34" t="s">
        <v>305</v>
      </c>
      <c r="B34">
        <v>80</v>
      </c>
      <c r="C34" t="s">
        <v>6</v>
      </c>
      <c r="D34" t="s">
        <v>15</v>
      </c>
      <c r="E34" t="s">
        <v>8</v>
      </c>
    </row>
    <row r="35" spans="1:5" x14ac:dyDescent="0.35">
      <c r="A35" t="s">
        <v>397</v>
      </c>
      <c r="B35">
        <v>80</v>
      </c>
      <c r="C35" t="s">
        <v>6</v>
      </c>
      <c r="D35" t="s">
        <v>24</v>
      </c>
      <c r="E35" t="s">
        <v>11</v>
      </c>
    </row>
    <row r="36" spans="1:5" x14ac:dyDescent="0.35">
      <c r="A36" t="s">
        <v>479</v>
      </c>
      <c r="B36">
        <v>80</v>
      </c>
      <c r="C36" t="s">
        <v>10</v>
      </c>
      <c r="D36" t="s">
        <v>17</v>
      </c>
      <c r="E36" t="s">
        <v>20</v>
      </c>
    </row>
    <row r="37" spans="1:5" x14ac:dyDescent="0.35">
      <c r="A37" t="s">
        <v>61</v>
      </c>
      <c r="B37">
        <v>79</v>
      </c>
      <c r="C37" t="s">
        <v>6</v>
      </c>
      <c r="D37" t="s">
        <v>15</v>
      </c>
      <c r="E37" t="s">
        <v>11</v>
      </c>
    </row>
    <row r="38" spans="1:5" x14ac:dyDescent="0.35">
      <c r="A38" t="s">
        <v>87</v>
      </c>
      <c r="B38">
        <v>79</v>
      </c>
      <c r="C38" t="s">
        <v>10</v>
      </c>
      <c r="D38" t="s">
        <v>7</v>
      </c>
      <c r="E38" t="s">
        <v>8</v>
      </c>
    </row>
    <row r="39" spans="1:5" x14ac:dyDescent="0.35">
      <c r="A39" t="s">
        <v>113</v>
      </c>
      <c r="B39">
        <v>79</v>
      </c>
      <c r="C39" t="s">
        <v>10</v>
      </c>
      <c r="D39" t="s">
        <v>15</v>
      </c>
      <c r="E39" t="s">
        <v>13</v>
      </c>
    </row>
    <row r="40" spans="1:5" x14ac:dyDescent="0.35">
      <c r="A40" t="s">
        <v>169</v>
      </c>
      <c r="B40">
        <v>79</v>
      </c>
      <c r="C40" t="s">
        <v>6</v>
      </c>
      <c r="D40" t="s">
        <v>28</v>
      </c>
      <c r="E40" t="s">
        <v>11</v>
      </c>
    </row>
    <row r="41" spans="1:5" x14ac:dyDescent="0.35">
      <c r="A41" t="s">
        <v>170</v>
      </c>
      <c r="B41">
        <v>79</v>
      </c>
      <c r="C41" t="s">
        <v>6</v>
      </c>
      <c r="D41" t="s">
        <v>17</v>
      </c>
      <c r="E41" t="s">
        <v>11</v>
      </c>
    </row>
    <row r="42" spans="1:5" x14ac:dyDescent="0.35">
      <c r="A42" t="s">
        <v>186</v>
      </c>
      <c r="B42">
        <v>79</v>
      </c>
      <c r="C42" t="s">
        <v>10</v>
      </c>
      <c r="D42" t="s">
        <v>15</v>
      </c>
      <c r="E42" t="s">
        <v>20</v>
      </c>
    </row>
    <row r="43" spans="1:5" x14ac:dyDescent="0.35">
      <c r="A43" t="s">
        <v>205</v>
      </c>
      <c r="B43">
        <v>79</v>
      </c>
      <c r="C43" t="s">
        <v>10</v>
      </c>
      <c r="D43" t="s">
        <v>28</v>
      </c>
      <c r="E43" t="s">
        <v>11</v>
      </c>
    </row>
    <row r="44" spans="1:5" x14ac:dyDescent="0.35">
      <c r="A44" t="s">
        <v>227</v>
      </c>
      <c r="B44">
        <v>79</v>
      </c>
      <c r="C44" t="s">
        <v>10</v>
      </c>
      <c r="D44" t="s">
        <v>15</v>
      </c>
      <c r="E44" t="s">
        <v>8</v>
      </c>
    </row>
    <row r="45" spans="1:5" x14ac:dyDescent="0.35">
      <c r="A45" t="s">
        <v>258</v>
      </c>
      <c r="B45">
        <v>79</v>
      </c>
      <c r="C45" t="s">
        <v>10</v>
      </c>
      <c r="D45" t="s">
        <v>17</v>
      </c>
      <c r="E45" t="s">
        <v>8</v>
      </c>
    </row>
    <row r="46" spans="1:5" x14ac:dyDescent="0.35">
      <c r="A46" t="s">
        <v>443</v>
      </c>
      <c r="B46">
        <v>79</v>
      </c>
      <c r="C46" t="s">
        <v>6</v>
      </c>
      <c r="D46" t="s">
        <v>7</v>
      </c>
      <c r="E46" t="s">
        <v>11</v>
      </c>
    </row>
    <row r="47" spans="1:5" x14ac:dyDescent="0.35">
      <c r="A47" t="s">
        <v>444</v>
      </c>
      <c r="B47">
        <v>79</v>
      </c>
      <c r="C47" t="s">
        <v>10</v>
      </c>
      <c r="D47" t="s">
        <v>7</v>
      </c>
      <c r="E47" t="s">
        <v>25</v>
      </c>
    </row>
    <row r="48" spans="1:5" x14ac:dyDescent="0.35">
      <c r="A48" t="s">
        <v>93</v>
      </c>
      <c r="B48">
        <v>78</v>
      </c>
      <c r="C48" t="s">
        <v>10</v>
      </c>
      <c r="D48" t="s">
        <v>15</v>
      </c>
      <c r="E48" t="s">
        <v>20</v>
      </c>
    </row>
    <row r="49" spans="1:5" x14ac:dyDescent="0.35">
      <c r="A49" t="s">
        <v>107</v>
      </c>
      <c r="B49">
        <v>78</v>
      </c>
      <c r="C49" t="s">
        <v>6</v>
      </c>
      <c r="D49" t="s">
        <v>7</v>
      </c>
      <c r="E49" t="s">
        <v>20</v>
      </c>
    </row>
    <row r="50" spans="1:5" x14ac:dyDescent="0.35">
      <c r="A50" t="s">
        <v>198</v>
      </c>
      <c r="B50">
        <v>78</v>
      </c>
      <c r="C50" t="s">
        <v>6</v>
      </c>
      <c r="D50" t="s">
        <v>17</v>
      </c>
      <c r="E50" t="s">
        <v>11</v>
      </c>
    </row>
    <row r="51" spans="1:5" x14ac:dyDescent="0.35">
      <c r="A51" t="s">
        <v>224</v>
      </c>
      <c r="B51">
        <v>78</v>
      </c>
      <c r="C51" t="s">
        <v>10</v>
      </c>
      <c r="D51" t="s">
        <v>15</v>
      </c>
      <c r="E51" t="s">
        <v>11</v>
      </c>
    </row>
    <row r="52" spans="1:5" x14ac:dyDescent="0.35">
      <c r="A52" t="s">
        <v>364</v>
      </c>
      <c r="B52">
        <v>78</v>
      </c>
      <c r="C52" t="s">
        <v>6</v>
      </c>
      <c r="D52" t="s">
        <v>17</v>
      </c>
      <c r="E52" t="s">
        <v>11</v>
      </c>
    </row>
    <row r="53" spans="1:5" x14ac:dyDescent="0.35">
      <c r="A53" t="s">
        <v>434</v>
      </c>
      <c r="B53">
        <v>78</v>
      </c>
      <c r="C53" t="s">
        <v>6</v>
      </c>
      <c r="D53" t="s">
        <v>15</v>
      </c>
      <c r="E53" t="s">
        <v>11</v>
      </c>
    </row>
    <row r="54" spans="1:5" x14ac:dyDescent="0.35">
      <c r="A54" t="s">
        <v>477</v>
      </c>
      <c r="B54">
        <v>78</v>
      </c>
      <c r="C54" t="s">
        <v>6</v>
      </c>
      <c r="D54" t="s">
        <v>24</v>
      </c>
      <c r="E54" t="s">
        <v>20</v>
      </c>
    </row>
    <row r="55" spans="1:5" x14ac:dyDescent="0.35">
      <c r="A55" t="s">
        <v>484</v>
      </c>
      <c r="B55">
        <v>78</v>
      </c>
      <c r="C55" t="s">
        <v>10</v>
      </c>
      <c r="D55" t="s">
        <v>7</v>
      </c>
      <c r="E55" t="s">
        <v>8</v>
      </c>
    </row>
    <row r="56" spans="1:5" x14ac:dyDescent="0.35">
      <c r="A56" t="s">
        <v>142</v>
      </c>
      <c r="B56">
        <v>77</v>
      </c>
      <c r="C56" t="s">
        <v>6</v>
      </c>
      <c r="D56" t="s">
        <v>28</v>
      </c>
      <c r="E56" t="s">
        <v>8</v>
      </c>
    </row>
    <row r="57" spans="1:5" x14ac:dyDescent="0.35">
      <c r="A57" t="s">
        <v>253</v>
      </c>
      <c r="B57">
        <v>77</v>
      </c>
      <c r="C57" t="s">
        <v>6</v>
      </c>
      <c r="D57" t="s">
        <v>24</v>
      </c>
      <c r="E57" t="s">
        <v>8</v>
      </c>
    </row>
    <row r="58" spans="1:5" x14ac:dyDescent="0.35">
      <c r="A58" t="s">
        <v>279</v>
      </c>
      <c r="B58">
        <v>77</v>
      </c>
      <c r="C58" t="s">
        <v>6</v>
      </c>
      <c r="D58" t="s">
        <v>7</v>
      </c>
      <c r="E58" t="s">
        <v>11</v>
      </c>
    </row>
    <row r="59" spans="1:5" x14ac:dyDescent="0.35">
      <c r="A59" t="s">
        <v>301</v>
      </c>
      <c r="B59">
        <v>77</v>
      </c>
      <c r="C59" t="s">
        <v>10</v>
      </c>
      <c r="D59" t="s">
        <v>15</v>
      </c>
      <c r="E59" t="s">
        <v>8</v>
      </c>
    </row>
    <row r="60" spans="1:5" x14ac:dyDescent="0.35">
      <c r="A60" t="s">
        <v>307</v>
      </c>
      <c r="B60">
        <v>77</v>
      </c>
      <c r="C60" t="s">
        <v>6</v>
      </c>
      <c r="D60" t="s">
        <v>24</v>
      </c>
      <c r="E60" t="s">
        <v>8</v>
      </c>
    </row>
    <row r="61" spans="1:5" x14ac:dyDescent="0.35">
      <c r="A61" t="s">
        <v>373</v>
      </c>
      <c r="B61">
        <v>77</v>
      </c>
      <c r="C61" t="s">
        <v>6</v>
      </c>
      <c r="D61" t="s">
        <v>28</v>
      </c>
      <c r="E61" t="s">
        <v>20</v>
      </c>
    </row>
    <row r="62" spans="1:5" x14ac:dyDescent="0.35">
      <c r="A62" t="s">
        <v>386</v>
      </c>
      <c r="B62">
        <v>77</v>
      </c>
      <c r="C62" t="s">
        <v>6</v>
      </c>
      <c r="D62" t="s">
        <v>17</v>
      </c>
      <c r="E62" t="s">
        <v>13</v>
      </c>
    </row>
    <row r="63" spans="1:5" x14ac:dyDescent="0.35">
      <c r="A63" t="s">
        <v>396</v>
      </c>
      <c r="B63">
        <v>77</v>
      </c>
      <c r="C63" t="s">
        <v>6</v>
      </c>
      <c r="D63" t="s">
        <v>7</v>
      </c>
      <c r="E63" t="s">
        <v>11</v>
      </c>
    </row>
    <row r="64" spans="1:5" x14ac:dyDescent="0.35">
      <c r="A64" t="s">
        <v>453</v>
      </c>
      <c r="B64">
        <v>77</v>
      </c>
      <c r="C64" t="s">
        <v>6</v>
      </c>
      <c r="D64" t="s">
        <v>15</v>
      </c>
      <c r="E64" t="s">
        <v>11</v>
      </c>
    </row>
    <row r="65" spans="1:5" x14ac:dyDescent="0.35">
      <c r="A65" t="s">
        <v>490</v>
      </c>
      <c r="B65">
        <v>77</v>
      </c>
      <c r="C65" t="s">
        <v>10</v>
      </c>
      <c r="D65" t="s">
        <v>15</v>
      </c>
      <c r="E65" t="s">
        <v>11</v>
      </c>
    </row>
    <row r="66" spans="1:5" x14ac:dyDescent="0.35">
      <c r="A66" t="s">
        <v>30</v>
      </c>
      <c r="B66">
        <v>76</v>
      </c>
      <c r="C66" t="s">
        <v>6</v>
      </c>
      <c r="D66" t="s">
        <v>15</v>
      </c>
      <c r="E66" t="s">
        <v>13</v>
      </c>
    </row>
    <row r="67" spans="1:5" x14ac:dyDescent="0.35">
      <c r="A67" t="s">
        <v>77</v>
      </c>
      <c r="B67">
        <v>76</v>
      </c>
      <c r="C67" t="s">
        <v>6</v>
      </c>
      <c r="D67" t="s">
        <v>7</v>
      </c>
      <c r="E67" t="s">
        <v>20</v>
      </c>
    </row>
    <row r="68" spans="1:5" x14ac:dyDescent="0.35">
      <c r="A68" t="s">
        <v>105</v>
      </c>
      <c r="B68">
        <v>76</v>
      </c>
      <c r="C68" t="s">
        <v>10</v>
      </c>
      <c r="D68" t="s">
        <v>28</v>
      </c>
      <c r="E68" t="s">
        <v>20</v>
      </c>
    </row>
    <row r="69" spans="1:5" x14ac:dyDescent="0.35">
      <c r="A69" t="s">
        <v>119</v>
      </c>
      <c r="B69">
        <v>76</v>
      </c>
      <c r="C69" t="s">
        <v>6</v>
      </c>
      <c r="D69" t="s">
        <v>7</v>
      </c>
      <c r="E69" t="s">
        <v>20</v>
      </c>
    </row>
    <row r="70" spans="1:5" x14ac:dyDescent="0.35">
      <c r="A70" t="s">
        <v>134</v>
      </c>
      <c r="B70">
        <v>76</v>
      </c>
      <c r="C70" t="s">
        <v>6</v>
      </c>
      <c r="D70" t="s">
        <v>17</v>
      </c>
      <c r="E70" t="s">
        <v>11</v>
      </c>
    </row>
    <row r="71" spans="1:5" x14ac:dyDescent="0.35">
      <c r="A71" t="s">
        <v>137</v>
      </c>
      <c r="B71">
        <v>76</v>
      </c>
      <c r="C71" t="s">
        <v>10</v>
      </c>
      <c r="D71" t="s">
        <v>24</v>
      </c>
      <c r="E71" t="s">
        <v>11</v>
      </c>
    </row>
    <row r="72" spans="1:5" x14ac:dyDescent="0.35">
      <c r="A72" t="s">
        <v>196</v>
      </c>
      <c r="B72">
        <v>76</v>
      </c>
      <c r="C72" t="s">
        <v>6</v>
      </c>
      <c r="D72" t="s">
        <v>7</v>
      </c>
      <c r="E72" t="s">
        <v>13</v>
      </c>
    </row>
    <row r="73" spans="1:5" x14ac:dyDescent="0.35">
      <c r="A73" t="s">
        <v>209</v>
      </c>
      <c r="B73">
        <v>76</v>
      </c>
      <c r="C73" t="s">
        <v>10</v>
      </c>
      <c r="D73" t="s">
        <v>28</v>
      </c>
      <c r="E73" t="s">
        <v>8</v>
      </c>
    </row>
    <row r="74" spans="1:5" x14ac:dyDescent="0.35">
      <c r="A74" t="s">
        <v>247</v>
      </c>
      <c r="B74">
        <v>76</v>
      </c>
      <c r="C74" t="s">
        <v>10</v>
      </c>
      <c r="D74" t="s">
        <v>24</v>
      </c>
      <c r="E74" t="s">
        <v>8</v>
      </c>
    </row>
    <row r="75" spans="1:5" x14ac:dyDescent="0.35">
      <c r="A75" t="s">
        <v>268</v>
      </c>
      <c r="B75">
        <v>76</v>
      </c>
      <c r="C75" t="s">
        <v>6</v>
      </c>
      <c r="D75" t="s">
        <v>28</v>
      </c>
      <c r="E75" t="s">
        <v>11</v>
      </c>
    </row>
    <row r="76" spans="1:5" x14ac:dyDescent="0.35">
      <c r="A76" t="s">
        <v>269</v>
      </c>
      <c r="B76">
        <v>76</v>
      </c>
      <c r="C76" t="s">
        <v>10</v>
      </c>
      <c r="D76" t="s">
        <v>28</v>
      </c>
      <c r="E76" t="s">
        <v>20</v>
      </c>
    </row>
    <row r="77" spans="1:5" x14ac:dyDescent="0.35">
      <c r="A77" t="s">
        <v>354</v>
      </c>
      <c r="B77">
        <v>76</v>
      </c>
      <c r="C77" t="s">
        <v>10</v>
      </c>
      <c r="D77" t="s">
        <v>15</v>
      </c>
      <c r="E77" t="s">
        <v>11</v>
      </c>
    </row>
    <row r="78" spans="1:5" x14ac:dyDescent="0.35">
      <c r="A78" t="s">
        <v>473</v>
      </c>
      <c r="B78">
        <v>76</v>
      </c>
      <c r="C78" t="s">
        <v>6</v>
      </c>
      <c r="D78" t="s">
        <v>15</v>
      </c>
      <c r="E78" t="s">
        <v>11</v>
      </c>
    </row>
    <row r="79" spans="1:5" x14ac:dyDescent="0.35">
      <c r="A79" t="s">
        <v>39</v>
      </c>
      <c r="B79">
        <v>75</v>
      </c>
      <c r="C79" t="s">
        <v>6</v>
      </c>
      <c r="D79" t="s">
        <v>7</v>
      </c>
      <c r="E79" t="s">
        <v>13</v>
      </c>
    </row>
    <row r="80" spans="1:5" x14ac:dyDescent="0.35">
      <c r="A80" t="s">
        <v>259</v>
      </c>
      <c r="B80">
        <v>75</v>
      </c>
      <c r="C80" t="s">
        <v>10</v>
      </c>
      <c r="D80" t="s">
        <v>7</v>
      </c>
      <c r="E80" t="s">
        <v>20</v>
      </c>
    </row>
    <row r="81" spans="1:5" x14ac:dyDescent="0.35">
      <c r="A81" t="s">
        <v>283</v>
      </c>
      <c r="B81">
        <v>75</v>
      </c>
      <c r="C81" t="s">
        <v>10</v>
      </c>
      <c r="D81" t="s">
        <v>24</v>
      </c>
      <c r="E81" t="s">
        <v>25</v>
      </c>
    </row>
    <row r="82" spans="1:5" x14ac:dyDescent="0.35">
      <c r="A82" t="s">
        <v>335</v>
      </c>
      <c r="B82">
        <v>75</v>
      </c>
      <c r="C82" t="s">
        <v>6</v>
      </c>
      <c r="D82" t="s">
        <v>17</v>
      </c>
      <c r="E82" t="s">
        <v>8</v>
      </c>
    </row>
    <row r="83" spans="1:5" x14ac:dyDescent="0.35">
      <c r="A83" t="s">
        <v>360</v>
      </c>
      <c r="B83">
        <v>75</v>
      </c>
      <c r="C83" t="s">
        <v>6</v>
      </c>
      <c r="D83" t="s">
        <v>28</v>
      </c>
      <c r="E83" t="s">
        <v>11</v>
      </c>
    </row>
    <row r="84" spans="1:5" x14ac:dyDescent="0.35">
      <c r="A84" t="s">
        <v>448</v>
      </c>
      <c r="B84">
        <v>75</v>
      </c>
      <c r="C84" t="s">
        <v>10</v>
      </c>
      <c r="D84" t="s">
        <v>17</v>
      </c>
      <c r="E84" t="s">
        <v>8</v>
      </c>
    </row>
    <row r="85" spans="1:5" x14ac:dyDescent="0.35">
      <c r="A85" t="s">
        <v>483</v>
      </c>
      <c r="B85">
        <v>75</v>
      </c>
      <c r="C85" t="s">
        <v>6</v>
      </c>
      <c r="D85" t="s">
        <v>15</v>
      </c>
      <c r="E85" t="s">
        <v>11</v>
      </c>
    </row>
    <row r="86" spans="1:5" x14ac:dyDescent="0.35">
      <c r="A86" t="s">
        <v>502</v>
      </c>
      <c r="B86">
        <v>75</v>
      </c>
      <c r="C86" t="s">
        <v>10</v>
      </c>
      <c r="D86" t="s">
        <v>28</v>
      </c>
      <c r="E86" t="s">
        <v>13</v>
      </c>
    </row>
    <row r="87" spans="1:5" x14ac:dyDescent="0.35">
      <c r="A87" t="s">
        <v>51</v>
      </c>
      <c r="B87">
        <v>74</v>
      </c>
      <c r="C87" t="s">
        <v>10</v>
      </c>
      <c r="D87" t="s">
        <v>28</v>
      </c>
      <c r="E87" t="s">
        <v>13</v>
      </c>
    </row>
    <row r="88" spans="1:5" x14ac:dyDescent="0.35">
      <c r="A88" t="s">
        <v>109</v>
      </c>
      <c r="B88">
        <v>74</v>
      </c>
      <c r="C88" t="s">
        <v>10</v>
      </c>
      <c r="D88" t="s">
        <v>17</v>
      </c>
      <c r="E88" t="s">
        <v>11</v>
      </c>
    </row>
    <row r="89" spans="1:5" x14ac:dyDescent="0.35">
      <c r="A89" t="s">
        <v>171</v>
      </c>
      <c r="B89">
        <v>74</v>
      </c>
      <c r="C89" t="s">
        <v>10</v>
      </c>
      <c r="D89" t="s">
        <v>7</v>
      </c>
      <c r="E89" t="s">
        <v>8</v>
      </c>
    </row>
    <row r="90" spans="1:5" x14ac:dyDescent="0.35">
      <c r="A90" t="s">
        <v>213</v>
      </c>
      <c r="B90">
        <v>74</v>
      </c>
      <c r="C90" t="s">
        <v>10</v>
      </c>
      <c r="D90" t="s">
        <v>17</v>
      </c>
      <c r="E90" t="s">
        <v>8</v>
      </c>
    </row>
    <row r="91" spans="1:5" x14ac:dyDescent="0.35">
      <c r="A91" t="s">
        <v>357</v>
      </c>
      <c r="B91">
        <v>74</v>
      </c>
      <c r="C91" t="s">
        <v>6</v>
      </c>
      <c r="D91" t="s">
        <v>17</v>
      </c>
      <c r="E91" t="s">
        <v>8</v>
      </c>
    </row>
    <row r="92" spans="1:5" x14ac:dyDescent="0.35">
      <c r="A92" t="s">
        <v>83</v>
      </c>
      <c r="B92">
        <v>73</v>
      </c>
      <c r="C92" t="s">
        <v>6</v>
      </c>
      <c r="D92" t="s">
        <v>24</v>
      </c>
      <c r="E92" t="s">
        <v>20</v>
      </c>
    </row>
    <row r="93" spans="1:5" x14ac:dyDescent="0.35">
      <c r="A93" t="s">
        <v>173</v>
      </c>
      <c r="B93">
        <v>73</v>
      </c>
      <c r="C93" t="s">
        <v>10</v>
      </c>
      <c r="D93" t="s">
        <v>24</v>
      </c>
      <c r="E93" t="s">
        <v>8</v>
      </c>
    </row>
    <row r="94" spans="1:5" x14ac:dyDescent="0.35">
      <c r="A94" t="s">
        <v>201</v>
      </c>
      <c r="B94">
        <v>73</v>
      </c>
      <c r="C94" t="s">
        <v>6</v>
      </c>
      <c r="D94" t="s">
        <v>15</v>
      </c>
      <c r="E94" t="s">
        <v>8</v>
      </c>
    </row>
    <row r="95" spans="1:5" x14ac:dyDescent="0.35">
      <c r="A95" t="s">
        <v>235</v>
      </c>
      <c r="B95">
        <v>73</v>
      </c>
      <c r="C95" t="s">
        <v>10</v>
      </c>
      <c r="D95" t="s">
        <v>17</v>
      </c>
      <c r="E95" t="s">
        <v>25</v>
      </c>
    </row>
    <row r="96" spans="1:5" x14ac:dyDescent="0.35">
      <c r="A96" t="s">
        <v>261</v>
      </c>
      <c r="B96">
        <v>73</v>
      </c>
      <c r="C96" t="s">
        <v>6</v>
      </c>
      <c r="D96" t="s">
        <v>15</v>
      </c>
      <c r="E96" t="s">
        <v>20</v>
      </c>
    </row>
    <row r="97" spans="1:5" x14ac:dyDescent="0.35">
      <c r="A97" t="s">
        <v>351</v>
      </c>
      <c r="B97">
        <v>73</v>
      </c>
      <c r="C97" t="s">
        <v>6</v>
      </c>
      <c r="D97" t="s">
        <v>17</v>
      </c>
      <c r="E97" t="s">
        <v>11</v>
      </c>
    </row>
    <row r="98" spans="1:5" x14ac:dyDescent="0.35">
      <c r="A98" t="s">
        <v>472</v>
      </c>
      <c r="B98">
        <v>73</v>
      </c>
      <c r="C98" t="s">
        <v>6</v>
      </c>
      <c r="D98" t="s">
        <v>7</v>
      </c>
      <c r="E98" t="s">
        <v>13</v>
      </c>
    </row>
    <row r="99" spans="1:5" x14ac:dyDescent="0.35">
      <c r="A99" t="s">
        <v>80</v>
      </c>
      <c r="B99">
        <v>72</v>
      </c>
      <c r="C99" t="s">
        <v>6</v>
      </c>
      <c r="D99" t="s">
        <v>28</v>
      </c>
      <c r="E99" t="s">
        <v>8</v>
      </c>
    </row>
    <row r="100" spans="1:5" x14ac:dyDescent="0.35">
      <c r="A100" t="s">
        <v>110</v>
      </c>
      <c r="B100">
        <v>72</v>
      </c>
      <c r="C100" t="s">
        <v>10</v>
      </c>
      <c r="D100" t="s">
        <v>28</v>
      </c>
      <c r="E100" t="s">
        <v>25</v>
      </c>
    </row>
    <row r="101" spans="1:5" x14ac:dyDescent="0.35">
      <c r="A101" t="s">
        <v>148</v>
      </c>
      <c r="B101">
        <v>72</v>
      </c>
      <c r="C101" t="s">
        <v>6</v>
      </c>
      <c r="D101" t="s">
        <v>17</v>
      </c>
      <c r="E101" t="s">
        <v>8</v>
      </c>
    </row>
    <row r="102" spans="1:5" x14ac:dyDescent="0.35">
      <c r="A102" t="s">
        <v>158</v>
      </c>
      <c r="B102">
        <v>72</v>
      </c>
      <c r="C102" t="s">
        <v>6</v>
      </c>
      <c r="D102" t="s">
        <v>7</v>
      </c>
      <c r="E102" t="s">
        <v>11</v>
      </c>
    </row>
    <row r="103" spans="1:5" x14ac:dyDescent="0.35">
      <c r="A103" t="s">
        <v>461</v>
      </c>
      <c r="B103">
        <v>72</v>
      </c>
      <c r="C103" t="s">
        <v>10</v>
      </c>
      <c r="D103" t="s">
        <v>24</v>
      </c>
      <c r="E103" t="s">
        <v>13</v>
      </c>
    </row>
    <row r="104" spans="1:5" x14ac:dyDescent="0.35">
      <c r="A104" t="s">
        <v>465</v>
      </c>
      <c r="B104">
        <v>72</v>
      </c>
      <c r="C104" t="s">
        <v>6</v>
      </c>
      <c r="D104" t="s">
        <v>28</v>
      </c>
      <c r="E104" t="s">
        <v>11</v>
      </c>
    </row>
    <row r="105" spans="1:5" x14ac:dyDescent="0.35">
      <c r="A105" t="s">
        <v>65</v>
      </c>
      <c r="B105">
        <v>71</v>
      </c>
      <c r="C105" t="s">
        <v>10</v>
      </c>
      <c r="D105" t="s">
        <v>28</v>
      </c>
      <c r="E105" t="s">
        <v>8</v>
      </c>
    </row>
    <row r="106" spans="1:5" x14ac:dyDescent="0.35">
      <c r="A106" t="s">
        <v>79</v>
      </c>
      <c r="B106">
        <v>71</v>
      </c>
      <c r="C106" t="s">
        <v>10</v>
      </c>
      <c r="D106" t="s">
        <v>17</v>
      </c>
      <c r="E106" t="s">
        <v>11</v>
      </c>
    </row>
    <row r="107" spans="1:5" x14ac:dyDescent="0.35">
      <c r="A107" t="s">
        <v>212</v>
      </c>
      <c r="B107">
        <v>71</v>
      </c>
      <c r="C107" t="s">
        <v>6</v>
      </c>
      <c r="D107" t="s">
        <v>7</v>
      </c>
      <c r="E107" t="s">
        <v>20</v>
      </c>
    </row>
    <row r="108" spans="1:5" x14ac:dyDescent="0.35">
      <c r="A108" t="s">
        <v>219</v>
      </c>
      <c r="B108">
        <v>71</v>
      </c>
      <c r="C108" t="s">
        <v>6</v>
      </c>
      <c r="D108" t="s">
        <v>28</v>
      </c>
      <c r="E108" t="s">
        <v>11</v>
      </c>
    </row>
    <row r="109" spans="1:5" x14ac:dyDescent="0.35">
      <c r="A109" t="s">
        <v>417</v>
      </c>
      <c r="B109">
        <v>71</v>
      </c>
      <c r="C109" t="s">
        <v>6</v>
      </c>
      <c r="D109" t="s">
        <v>17</v>
      </c>
      <c r="E109" t="s">
        <v>25</v>
      </c>
    </row>
    <row r="110" spans="1:5" x14ac:dyDescent="0.35">
      <c r="A110" t="s">
        <v>478</v>
      </c>
      <c r="B110">
        <v>71</v>
      </c>
      <c r="C110" t="s">
        <v>10</v>
      </c>
      <c r="D110" t="s">
        <v>28</v>
      </c>
      <c r="E110" t="s">
        <v>13</v>
      </c>
    </row>
    <row r="111" spans="1:5" x14ac:dyDescent="0.35">
      <c r="A111" t="s">
        <v>23</v>
      </c>
      <c r="B111">
        <v>70</v>
      </c>
      <c r="C111" t="s">
        <v>10</v>
      </c>
      <c r="D111" t="s">
        <v>24</v>
      </c>
      <c r="E111" t="s">
        <v>25</v>
      </c>
    </row>
    <row r="112" spans="1:5" x14ac:dyDescent="0.35">
      <c r="A112" t="s">
        <v>56</v>
      </c>
      <c r="B112">
        <v>70</v>
      </c>
      <c r="C112" t="s">
        <v>6</v>
      </c>
      <c r="D112" t="s">
        <v>17</v>
      </c>
      <c r="E112" t="s">
        <v>11</v>
      </c>
    </row>
    <row r="113" spans="1:5" x14ac:dyDescent="0.35">
      <c r="A113" t="s">
        <v>68</v>
      </c>
      <c r="B113">
        <v>70</v>
      </c>
      <c r="C113" t="s">
        <v>10</v>
      </c>
      <c r="D113" t="s">
        <v>7</v>
      </c>
      <c r="E113" t="s">
        <v>25</v>
      </c>
    </row>
    <row r="114" spans="1:5" x14ac:dyDescent="0.35">
      <c r="A114" t="s">
        <v>191</v>
      </c>
      <c r="B114">
        <v>70</v>
      </c>
      <c r="C114" t="s">
        <v>10</v>
      </c>
      <c r="D114" t="s">
        <v>7</v>
      </c>
      <c r="E114" t="s">
        <v>20</v>
      </c>
    </row>
    <row r="115" spans="1:5" x14ac:dyDescent="0.35">
      <c r="A115" t="s">
        <v>274</v>
      </c>
      <c r="B115">
        <v>70</v>
      </c>
      <c r="C115" t="s">
        <v>10</v>
      </c>
      <c r="D115" t="s">
        <v>15</v>
      </c>
      <c r="E115" t="s">
        <v>13</v>
      </c>
    </row>
    <row r="116" spans="1:5" x14ac:dyDescent="0.35">
      <c r="A116" t="s">
        <v>289</v>
      </c>
      <c r="B116">
        <v>70</v>
      </c>
      <c r="C116" t="s">
        <v>10</v>
      </c>
      <c r="D116" t="s">
        <v>15</v>
      </c>
      <c r="E116" t="s">
        <v>13</v>
      </c>
    </row>
    <row r="117" spans="1:5" x14ac:dyDescent="0.35">
      <c r="A117" t="s">
        <v>376</v>
      </c>
      <c r="B117">
        <v>70</v>
      </c>
      <c r="C117" t="s">
        <v>10</v>
      </c>
      <c r="D117" t="s">
        <v>28</v>
      </c>
      <c r="E117" t="s">
        <v>8</v>
      </c>
    </row>
    <row r="118" spans="1:5" x14ac:dyDescent="0.35">
      <c r="A118" t="s">
        <v>384</v>
      </c>
      <c r="B118">
        <v>70</v>
      </c>
      <c r="C118" t="s">
        <v>10</v>
      </c>
      <c r="D118" t="s">
        <v>17</v>
      </c>
      <c r="E118" t="s">
        <v>13</v>
      </c>
    </row>
    <row r="119" spans="1:5" x14ac:dyDescent="0.35">
      <c r="A119" t="s">
        <v>464</v>
      </c>
      <c r="B119">
        <v>70</v>
      </c>
      <c r="C119" t="s">
        <v>10</v>
      </c>
      <c r="D119" t="s">
        <v>24</v>
      </c>
      <c r="E119" t="s">
        <v>11</v>
      </c>
    </row>
    <row r="120" spans="1:5" x14ac:dyDescent="0.35">
      <c r="A120" t="s">
        <v>207</v>
      </c>
      <c r="B120">
        <v>69</v>
      </c>
      <c r="C120" t="s">
        <v>6</v>
      </c>
      <c r="D120" t="s">
        <v>7</v>
      </c>
      <c r="E120" t="s">
        <v>11</v>
      </c>
    </row>
    <row r="121" spans="1:5" x14ac:dyDescent="0.35">
      <c r="A121" t="s">
        <v>327</v>
      </c>
      <c r="B121">
        <v>69</v>
      </c>
      <c r="C121" t="s">
        <v>6</v>
      </c>
      <c r="D121" t="s">
        <v>24</v>
      </c>
      <c r="E121" t="s">
        <v>13</v>
      </c>
    </row>
    <row r="122" spans="1:5" x14ac:dyDescent="0.35">
      <c r="A122" t="s">
        <v>67</v>
      </c>
      <c r="B122">
        <v>68</v>
      </c>
      <c r="C122" t="s">
        <v>10</v>
      </c>
      <c r="D122" t="s">
        <v>24</v>
      </c>
      <c r="E122" t="s">
        <v>11</v>
      </c>
    </row>
    <row r="123" spans="1:5" x14ac:dyDescent="0.35">
      <c r="A123" t="s">
        <v>101</v>
      </c>
      <c r="B123">
        <v>68</v>
      </c>
      <c r="C123" t="s">
        <v>6</v>
      </c>
      <c r="D123" t="s">
        <v>28</v>
      </c>
      <c r="E123" t="s">
        <v>20</v>
      </c>
    </row>
    <row r="124" spans="1:5" x14ac:dyDescent="0.35">
      <c r="A124" t="s">
        <v>334</v>
      </c>
      <c r="B124">
        <v>68</v>
      </c>
      <c r="C124" t="s">
        <v>6</v>
      </c>
      <c r="D124" t="s">
        <v>24</v>
      </c>
      <c r="E124" t="s">
        <v>11</v>
      </c>
    </row>
    <row r="125" spans="1:5" x14ac:dyDescent="0.35">
      <c r="A125" t="s">
        <v>412</v>
      </c>
      <c r="B125">
        <v>68</v>
      </c>
      <c r="C125" t="s">
        <v>10</v>
      </c>
      <c r="D125" t="s">
        <v>7</v>
      </c>
      <c r="E125" t="s">
        <v>8</v>
      </c>
    </row>
    <row r="126" spans="1:5" x14ac:dyDescent="0.35">
      <c r="A126" t="s">
        <v>467</v>
      </c>
      <c r="B126">
        <v>68</v>
      </c>
      <c r="C126" t="s">
        <v>10</v>
      </c>
      <c r="D126" t="s">
        <v>17</v>
      </c>
      <c r="E126" t="s">
        <v>13</v>
      </c>
    </row>
    <row r="127" spans="1:5" x14ac:dyDescent="0.35">
      <c r="A127" t="s">
        <v>494</v>
      </c>
      <c r="B127">
        <v>68</v>
      </c>
      <c r="C127" t="s">
        <v>10</v>
      </c>
      <c r="D127" t="s">
        <v>17</v>
      </c>
      <c r="E127" t="s">
        <v>11</v>
      </c>
    </row>
    <row r="128" spans="1:5" x14ac:dyDescent="0.35">
      <c r="A128" t="s">
        <v>226</v>
      </c>
      <c r="B128">
        <v>67</v>
      </c>
      <c r="C128" t="s">
        <v>6</v>
      </c>
      <c r="D128" t="s">
        <v>7</v>
      </c>
      <c r="E128" t="s">
        <v>20</v>
      </c>
    </row>
    <row r="129" spans="1:5" x14ac:dyDescent="0.35">
      <c r="A129" t="s">
        <v>321</v>
      </c>
      <c r="B129">
        <v>67</v>
      </c>
      <c r="C129" t="s">
        <v>10</v>
      </c>
      <c r="D129" t="s">
        <v>7</v>
      </c>
      <c r="E129" t="s">
        <v>8</v>
      </c>
    </row>
    <row r="130" spans="1:5" x14ac:dyDescent="0.35">
      <c r="A130" t="s">
        <v>380</v>
      </c>
      <c r="B130">
        <v>67</v>
      </c>
      <c r="C130" t="s">
        <v>10</v>
      </c>
      <c r="D130" t="s">
        <v>7</v>
      </c>
      <c r="E130" t="s">
        <v>8</v>
      </c>
    </row>
    <row r="131" spans="1:5" x14ac:dyDescent="0.35">
      <c r="A131" t="s">
        <v>442</v>
      </c>
      <c r="B131">
        <v>67</v>
      </c>
      <c r="C131" t="s">
        <v>10</v>
      </c>
      <c r="D131" t="s">
        <v>15</v>
      </c>
      <c r="E131" t="s">
        <v>11</v>
      </c>
    </row>
    <row r="132" spans="1:5" x14ac:dyDescent="0.35">
      <c r="A132" t="s">
        <v>492</v>
      </c>
      <c r="B132">
        <v>67</v>
      </c>
      <c r="C132" t="s">
        <v>10</v>
      </c>
      <c r="D132" t="s">
        <v>24</v>
      </c>
      <c r="E132" t="s">
        <v>13</v>
      </c>
    </row>
    <row r="133" spans="1:5" x14ac:dyDescent="0.35">
      <c r="A133" t="s">
        <v>106</v>
      </c>
      <c r="B133">
        <v>66</v>
      </c>
      <c r="C133" t="s">
        <v>6</v>
      </c>
      <c r="D133" t="s">
        <v>17</v>
      </c>
      <c r="E133" t="s">
        <v>11</v>
      </c>
    </row>
    <row r="134" spans="1:5" x14ac:dyDescent="0.35">
      <c r="A134" t="s">
        <v>179</v>
      </c>
      <c r="B134">
        <v>66</v>
      </c>
      <c r="C134" t="s">
        <v>10</v>
      </c>
      <c r="D134" t="s">
        <v>15</v>
      </c>
      <c r="E134" t="s">
        <v>11</v>
      </c>
    </row>
    <row r="135" spans="1:5" x14ac:dyDescent="0.35">
      <c r="A135" t="s">
        <v>193</v>
      </c>
      <c r="B135">
        <v>66</v>
      </c>
      <c r="C135" t="s">
        <v>10</v>
      </c>
      <c r="D135" t="s">
        <v>17</v>
      </c>
      <c r="E135" t="s">
        <v>20</v>
      </c>
    </row>
    <row r="136" spans="1:5" x14ac:dyDescent="0.35">
      <c r="A136" t="s">
        <v>221</v>
      </c>
      <c r="B136">
        <v>66</v>
      </c>
      <c r="C136" t="s">
        <v>10</v>
      </c>
      <c r="D136" t="s">
        <v>24</v>
      </c>
      <c r="E136" t="s">
        <v>20</v>
      </c>
    </row>
    <row r="137" spans="1:5" x14ac:dyDescent="0.35">
      <c r="A137" t="s">
        <v>433</v>
      </c>
      <c r="B137">
        <v>66</v>
      </c>
      <c r="C137" t="s">
        <v>6</v>
      </c>
      <c r="D137" t="s">
        <v>17</v>
      </c>
      <c r="E137" t="s">
        <v>8</v>
      </c>
    </row>
    <row r="138" spans="1:5" x14ac:dyDescent="0.35">
      <c r="A138" t="s">
        <v>481</v>
      </c>
      <c r="B138">
        <v>66</v>
      </c>
      <c r="C138" t="s">
        <v>10</v>
      </c>
      <c r="D138" t="s">
        <v>17</v>
      </c>
      <c r="E138" t="s">
        <v>8</v>
      </c>
    </row>
    <row r="139" spans="1:5" x14ac:dyDescent="0.35">
      <c r="A139" t="s">
        <v>493</v>
      </c>
      <c r="B139">
        <v>66</v>
      </c>
      <c r="C139" t="s">
        <v>6</v>
      </c>
      <c r="D139" t="s">
        <v>7</v>
      </c>
      <c r="E139" t="s">
        <v>20</v>
      </c>
    </row>
    <row r="140" spans="1:5" x14ac:dyDescent="0.35">
      <c r="A140" t="s">
        <v>133</v>
      </c>
      <c r="B140">
        <v>65</v>
      </c>
      <c r="C140" t="s">
        <v>10</v>
      </c>
      <c r="D140" t="s">
        <v>17</v>
      </c>
      <c r="E140" t="s">
        <v>8</v>
      </c>
    </row>
    <row r="141" spans="1:5" x14ac:dyDescent="0.35">
      <c r="A141" t="s">
        <v>189</v>
      </c>
      <c r="B141">
        <v>65</v>
      </c>
      <c r="C141" t="s">
        <v>6</v>
      </c>
      <c r="D141" t="s">
        <v>24</v>
      </c>
      <c r="E141" t="s">
        <v>8</v>
      </c>
    </row>
    <row r="142" spans="1:5" x14ac:dyDescent="0.35">
      <c r="A142" t="s">
        <v>250</v>
      </c>
      <c r="B142">
        <v>65</v>
      </c>
      <c r="C142" t="s">
        <v>6</v>
      </c>
      <c r="D142" t="s">
        <v>15</v>
      </c>
      <c r="E142" t="s">
        <v>11</v>
      </c>
    </row>
    <row r="143" spans="1:5" x14ac:dyDescent="0.35">
      <c r="A143" t="s">
        <v>254</v>
      </c>
      <c r="B143">
        <v>65</v>
      </c>
      <c r="C143" t="s">
        <v>6</v>
      </c>
      <c r="D143" t="s">
        <v>17</v>
      </c>
      <c r="E143" t="s">
        <v>13</v>
      </c>
    </row>
    <row r="144" spans="1:5" x14ac:dyDescent="0.35">
      <c r="A144" t="s">
        <v>270</v>
      </c>
      <c r="B144">
        <v>65</v>
      </c>
      <c r="C144" t="s">
        <v>6</v>
      </c>
      <c r="D144" t="s">
        <v>15</v>
      </c>
      <c r="E144" t="s">
        <v>11</v>
      </c>
    </row>
    <row r="145" spans="1:5" x14ac:dyDescent="0.35">
      <c r="A145" t="s">
        <v>395</v>
      </c>
      <c r="B145">
        <v>65</v>
      </c>
      <c r="C145" t="s">
        <v>10</v>
      </c>
      <c r="D145" t="s">
        <v>15</v>
      </c>
      <c r="E145" t="s">
        <v>11</v>
      </c>
    </row>
    <row r="146" spans="1:5" x14ac:dyDescent="0.35">
      <c r="A146" t="s">
        <v>111</v>
      </c>
      <c r="B146">
        <v>64</v>
      </c>
      <c r="C146" t="s">
        <v>10</v>
      </c>
      <c r="D146" t="s">
        <v>24</v>
      </c>
      <c r="E146" t="s">
        <v>8</v>
      </c>
    </row>
    <row r="147" spans="1:5" x14ac:dyDescent="0.35">
      <c r="A147" t="s">
        <v>122</v>
      </c>
      <c r="B147">
        <v>64</v>
      </c>
      <c r="C147" t="s">
        <v>6</v>
      </c>
      <c r="D147" t="s">
        <v>15</v>
      </c>
      <c r="E147" t="s">
        <v>13</v>
      </c>
    </row>
    <row r="148" spans="1:5" x14ac:dyDescent="0.35">
      <c r="A148" t="s">
        <v>220</v>
      </c>
      <c r="B148">
        <v>64</v>
      </c>
      <c r="C148" t="s">
        <v>10</v>
      </c>
      <c r="D148" t="s">
        <v>28</v>
      </c>
      <c r="E148" t="s">
        <v>11</v>
      </c>
    </row>
    <row r="149" spans="1:5" x14ac:dyDescent="0.35">
      <c r="A149" t="s">
        <v>324</v>
      </c>
      <c r="B149">
        <v>64</v>
      </c>
      <c r="C149" t="s">
        <v>6</v>
      </c>
      <c r="D149" t="s">
        <v>15</v>
      </c>
      <c r="E149" t="s">
        <v>8</v>
      </c>
    </row>
    <row r="150" spans="1:5" x14ac:dyDescent="0.35">
      <c r="A150" t="s">
        <v>347</v>
      </c>
      <c r="B150">
        <v>64</v>
      </c>
      <c r="C150" t="s">
        <v>6</v>
      </c>
      <c r="D150" t="s">
        <v>24</v>
      </c>
      <c r="E150" t="s">
        <v>8</v>
      </c>
    </row>
    <row r="151" spans="1:5" x14ac:dyDescent="0.35">
      <c r="A151" t="s">
        <v>353</v>
      </c>
      <c r="B151">
        <v>64</v>
      </c>
      <c r="C151" t="s">
        <v>10</v>
      </c>
      <c r="D151" t="s">
        <v>17</v>
      </c>
      <c r="E151" t="s">
        <v>20</v>
      </c>
    </row>
    <row r="152" spans="1:5" x14ac:dyDescent="0.35">
      <c r="A152" t="s">
        <v>62</v>
      </c>
      <c r="B152">
        <v>63</v>
      </c>
      <c r="C152" t="s">
        <v>10</v>
      </c>
      <c r="D152" t="s">
        <v>15</v>
      </c>
      <c r="E152" t="s">
        <v>8</v>
      </c>
    </row>
    <row r="153" spans="1:5" x14ac:dyDescent="0.35">
      <c r="A153" t="s">
        <v>167</v>
      </c>
      <c r="B153">
        <v>63</v>
      </c>
      <c r="C153" t="s">
        <v>10</v>
      </c>
      <c r="D153" t="s">
        <v>15</v>
      </c>
      <c r="E153" t="s">
        <v>11</v>
      </c>
    </row>
    <row r="154" spans="1:5" x14ac:dyDescent="0.35">
      <c r="A154" t="s">
        <v>203</v>
      </c>
      <c r="B154">
        <v>63</v>
      </c>
      <c r="C154" t="s">
        <v>10</v>
      </c>
      <c r="D154" t="s">
        <v>7</v>
      </c>
      <c r="E154" t="s">
        <v>25</v>
      </c>
    </row>
    <row r="155" spans="1:5" x14ac:dyDescent="0.35">
      <c r="A155" t="s">
        <v>298</v>
      </c>
      <c r="B155">
        <v>63</v>
      </c>
      <c r="C155" t="s">
        <v>6</v>
      </c>
      <c r="D155" t="s">
        <v>15</v>
      </c>
      <c r="E155" t="s">
        <v>11</v>
      </c>
    </row>
    <row r="156" spans="1:5" x14ac:dyDescent="0.35">
      <c r="A156" t="s">
        <v>337</v>
      </c>
      <c r="B156">
        <v>63</v>
      </c>
      <c r="C156" t="s">
        <v>10</v>
      </c>
      <c r="D156" t="s">
        <v>7</v>
      </c>
      <c r="E156" t="s">
        <v>11</v>
      </c>
    </row>
    <row r="157" spans="1:5" x14ac:dyDescent="0.35">
      <c r="A157" t="s">
        <v>374</v>
      </c>
      <c r="B157">
        <v>63</v>
      </c>
      <c r="C157" t="s">
        <v>10</v>
      </c>
      <c r="D157" t="s">
        <v>24</v>
      </c>
      <c r="E157" t="s">
        <v>8</v>
      </c>
    </row>
    <row r="158" spans="1:5" x14ac:dyDescent="0.35">
      <c r="A158" t="s">
        <v>379</v>
      </c>
      <c r="B158">
        <v>63</v>
      </c>
      <c r="C158" t="s">
        <v>6</v>
      </c>
      <c r="D158" t="s">
        <v>7</v>
      </c>
      <c r="E158" t="s">
        <v>13</v>
      </c>
    </row>
    <row r="159" spans="1:5" x14ac:dyDescent="0.35">
      <c r="A159" t="s">
        <v>389</v>
      </c>
      <c r="B159">
        <v>63</v>
      </c>
      <c r="C159" t="s">
        <v>6</v>
      </c>
      <c r="D159" t="s">
        <v>28</v>
      </c>
      <c r="E159" t="s">
        <v>8</v>
      </c>
    </row>
    <row r="160" spans="1:5" x14ac:dyDescent="0.35">
      <c r="A160" t="s">
        <v>415</v>
      </c>
      <c r="B160">
        <v>63</v>
      </c>
      <c r="C160" t="s">
        <v>10</v>
      </c>
      <c r="D160" t="s">
        <v>7</v>
      </c>
      <c r="E160" t="s">
        <v>13</v>
      </c>
    </row>
    <row r="161" spans="1:5" x14ac:dyDescent="0.35">
      <c r="A161" t="s">
        <v>430</v>
      </c>
      <c r="B161">
        <v>63</v>
      </c>
      <c r="C161" t="s">
        <v>10</v>
      </c>
      <c r="D161" t="s">
        <v>24</v>
      </c>
      <c r="E161" t="s">
        <v>20</v>
      </c>
    </row>
    <row r="162" spans="1:5" x14ac:dyDescent="0.35">
      <c r="A162" t="s">
        <v>58</v>
      </c>
      <c r="B162">
        <v>62</v>
      </c>
      <c r="C162" t="s">
        <v>6</v>
      </c>
      <c r="D162" t="s">
        <v>15</v>
      </c>
      <c r="E162" t="s">
        <v>8</v>
      </c>
    </row>
    <row r="163" spans="1:5" x14ac:dyDescent="0.35">
      <c r="A163" t="s">
        <v>143</v>
      </c>
      <c r="B163">
        <v>62</v>
      </c>
      <c r="C163" t="s">
        <v>10</v>
      </c>
      <c r="D163" t="s">
        <v>24</v>
      </c>
      <c r="E163" t="s">
        <v>13</v>
      </c>
    </row>
    <row r="164" spans="1:5" x14ac:dyDescent="0.35">
      <c r="A164" t="s">
        <v>181</v>
      </c>
      <c r="B164">
        <v>62</v>
      </c>
      <c r="C164" t="s">
        <v>6</v>
      </c>
      <c r="D164" t="s">
        <v>24</v>
      </c>
      <c r="E164" t="s">
        <v>20</v>
      </c>
    </row>
    <row r="165" spans="1:5" x14ac:dyDescent="0.35">
      <c r="A165" t="s">
        <v>257</v>
      </c>
      <c r="B165">
        <v>62</v>
      </c>
      <c r="C165" t="s">
        <v>10</v>
      </c>
      <c r="D165" t="s">
        <v>7</v>
      </c>
      <c r="E165" t="s">
        <v>8</v>
      </c>
    </row>
    <row r="166" spans="1:5" x14ac:dyDescent="0.35">
      <c r="A166" t="s">
        <v>273</v>
      </c>
      <c r="B166">
        <v>62</v>
      </c>
      <c r="C166" t="s">
        <v>10</v>
      </c>
      <c r="D166" t="s">
        <v>28</v>
      </c>
      <c r="E166" t="s">
        <v>8</v>
      </c>
    </row>
    <row r="167" spans="1:5" x14ac:dyDescent="0.35">
      <c r="A167" t="s">
        <v>282</v>
      </c>
      <c r="B167">
        <v>62</v>
      </c>
      <c r="C167" t="s">
        <v>10</v>
      </c>
      <c r="D167" t="s">
        <v>24</v>
      </c>
      <c r="E167" t="s">
        <v>25</v>
      </c>
    </row>
    <row r="168" spans="1:5" x14ac:dyDescent="0.35">
      <c r="A168" t="s">
        <v>407</v>
      </c>
      <c r="B168">
        <v>62</v>
      </c>
      <c r="C168" t="s">
        <v>10</v>
      </c>
      <c r="D168" t="s">
        <v>7</v>
      </c>
      <c r="E168" t="s">
        <v>8</v>
      </c>
    </row>
    <row r="169" spans="1:5" x14ac:dyDescent="0.35">
      <c r="A169" t="s">
        <v>459</v>
      </c>
      <c r="B169">
        <v>62</v>
      </c>
      <c r="C169" t="s">
        <v>6</v>
      </c>
      <c r="D169" t="s">
        <v>15</v>
      </c>
      <c r="E169" t="s">
        <v>25</v>
      </c>
    </row>
    <row r="170" spans="1:5" x14ac:dyDescent="0.35">
      <c r="A170" t="s">
        <v>462</v>
      </c>
      <c r="B170">
        <v>62</v>
      </c>
      <c r="C170" t="s">
        <v>10</v>
      </c>
      <c r="D170" t="s">
        <v>28</v>
      </c>
      <c r="E170" t="s">
        <v>20</v>
      </c>
    </row>
    <row r="171" spans="1:5" x14ac:dyDescent="0.35">
      <c r="A171" t="s">
        <v>26</v>
      </c>
      <c r="B171">
        <v>61</v>
      </c>
      <c r="C171" t="s">
        <v>6</v>
      </c>
      <c r="D171" t="s">
        <v>15</v>
      </c>
      <c r="E171" t="s">
        <v>11</v>
      </c>
    </row>
    <row r="172" spans="1:5" x14ac:dyDescent="0.35">
      <c r="A172" t="s">
        <v>100</v>
      </c>
      <c r="B172">
        <v>61</v>
      </c>
      <c r="C172" t="s">
        <v>6</v>
      </c>
      <c r="D172" t="s">
        <v>28</v>
      </c>
      <c r="E172" t="s">
        <v>20</v>
      </c>
    </row>
    <row r="173" spans="1:5" x14ac:dyDescent="0.35">
      <c r="A173" t="s">
        <v>104</v>
      </c>
      <c r="B173">
        <v>61</v>
      </c>
      <c r="C173" t="s">
        <v>10</v>
      </c>
      <c r="D173" t="s">
        <v>24</v>
      </c>
      <c r="E173" t="s">
        <v>8</v>
      </c>
    </row>
    <row r="174" spans="1:5" x14ac:dyDescent="0.35">
      <c r="A174" t="s">
        <v>383</v>
      </c>
      <c r="B174">
        <v>61</v>
      </c>
      <c r="C174" t="s">
        <v>10</v>
      </c>
      <c r="D174" t="s">
        <v>17</v>
      </c>
      <c r="E174" t="s">
        <v>8</v>
      </c>
    </row>
    <row r="175" spans="1:5" x14ac:dyDescent="0.35">
      <c r="A175" t="s">
        <v>432</v>
      </c>
      <c r="B175">
        <v>61</v>
      </c>
      <c r="C175" t="s">
        <v>6</v>
      </c>
      <c r="D175" t="s">
        <v>7</v>
      </c>
      <c r="E175" t="s">
        <v>11</v>
      </c>
    </row>
    <row r="176" spans="1:5" x14ac:dyDescent="0.35">
      <c r="A176" t="s">
        <v>468</v>
      </c>
      <c r="B176">
        <v>61</v>
      </c>
      <c r="C176" t="s">
        <v>10</v>
      </c>
      <c r="D176" t="s">
        <v>7</v>
      </c>
      <c r="E176" t="s">
        <v>20</v>
      </c>
    </row>
    <row r="177" spans="1:5" x14ac:dyDescent="0.35">
      <c r="A177" t="s">
        <v>512</v>
      </c>
      <c r="B177">
        <v>61</v>
      </c>
      <c r="C177" t="s">
        <v>6</v>
      </c>
      <c r="D177" t="s">
        <v>28</v>
      </c>
      <c r="E177" t="s">
        <v>11</v>
      </c>
    </row>
    <row r="178" spans="1:5" x14ac:dyDescent="0.35">
      <c r="A178" t="s">
        <v>94</v>
      </c>
      <c r="B178">
        <v>60</v>
      </c>
      <c r="C178" t="s">
        <v>6</v>
      </c>
      <c r="D178" t="s">
        <v>15</v>
      </c>
      <c r="E178" t="s">
        <v>8</v>
      </c>
    </row>
    <row r="179" spans="1:5" x14ac:dyDescent="0.35">
      <c r="A179" t="s">
        <v>146</v>
      </c>
      <c r="B179">
        <v>60</v>
      </c>
      <c r="C179" t="s">
        <v>6</v>
      </c>
      <c r="D179" t="s">
        <v>15</v>
      </c>
      <c r="E179" t="s">
        <v>11</v>
      </c>
    </row>
    <row r="180" spans="1:5" x14ac:dyDescent="0.35">
      <c r="A180" t="s">
        <v>199</v>
      </c>
      <c r="B180">
        <v>60</v>
      </c>
      <c r="C180" t="s">
        <v>10</v>
      </c>
      <c r="D180" t="s">
        <v>7</v>
      </c>
      <c r="E180" t="s">
        <v>11</v>
      </c>
    </row>
    <row r="181" spans="1:5" x14ac:dyDescent="0.35">
      <c r="A181" t="s">
        <v>43</v>
      </c>
      <c r="B181">
        <v>59</v>
      </c>
      <c r="C181" t="s">
        <v>6</v>
      </c>
      <c r="D181" t="s">
        <v>15</v>
      </c>
      <c r="E181" t="s">
        <v>20</v>
      </c>
    </row>
    <row r="182" spans="1:5" x14ac:dyDescent="0.35">
      <c r="A182" t="s">
        <v>95</v>
      </c>
      <c r="B182">
        <v>59</v>
      </c>
      <c r="C182" t="s">
        <v>6</v>
      </c>
      <c r="D182" t="s">
        <v>28</v>
      </c>
      <c r="E182" t="s">
        <v>20</v>
      </c>
    </row>
    <row r="183" spans="1:5" x14ac:dyDescent="0.35">
      <c r="A183" t="s">
        <v>156</v>
      </c>
      <c r="B183">
        <v>59</v>
      </c>
      <c r="C183" t="s">
        <v>10</v>
      </c>
      <c r="D183" t="s">
        <v>28</v>
      </c>
      <c r="E183" t="s">
        <v>25</v>
      </c>
    </row>
    <row r="184" spans="1:5" x14ac:dyDescent="0.35">
      <c r="A184" t="s">
        <v>159</v>
      </c>
      <c r="B184">
        <v>59</v>
      </c>
      <c r="C184" t="s">
        <v>6</v>
      </c>
      <c r="D184" t="s">
        <v>28</v>
      </c>
      <c r="E184" t="s">
        <v>11</v>
      </c>
    </row>
    <row r="185" spans="1:5" x14ac:dyDescent="0.35">
      <c r="A185" t="s">
        <v>241</v>
      </c>
      <c r="B185">
        <v>59</v>
      </c>
      <c r="C185" t="s">
        <v>6</v>
      </c>
      <c r="D185" t="s">
        <v>7</v>
      </c>
      <c r="E185" t="s">
        <v>11</v>
      </c>
    </row>
    <row r="186" spans="1:5" x14ac:dyDescent="0.35">
      <c r="A186" t="s">
        <v>275</v>
      </c>
      <c r="B186">
        <v>59</v>
      </c>
      <c r="C186" t="s">
        <v>10</v>
      </c>
      <c r="D186" t="s">
        <v>28</v>
      </c>
      <c r="E186" t="s">
        <v>8</v>
      </c>
    </row>
    <row r="187" spans="1:5" x14ac:dyDescent="0.35">
      <c r="A187" t="s">
        <v>286</v>
      </c>
      <c r="B187">
        <v>59</v>
      </c>
      <c r="C187" t="s">
        <v>6</v>
      </c>
      <c r="D187" t="s">
        <v>17</v>
      </c>
      <c r="E187" t="s">
        <v>8</v>
      </c>
    </row>
    <row r="188" spans="1:5" x14ac:dyDescent="0.35">
      <c r="A188" t="s">
        <v>501</v>
      </c>
      <c r="B188">
        <v>59</v>
      </c>
      <c r="C188" t="s">
        <v>10</v>
      </c>
      <c r="D188" t="s">
        <v>15</v>
      </c>
      <c r="E188" t="s">
        <v>8</v>
      </c>
    </row>
    <row r="189" spans="1:5" x14ac:dyDescent="0.35">
      <c r="A189" t="s">
        <v>511</v>
      </c>
      <c r="B189">
        <v>59</v>
      </c>
      <c r="C189" t="s">
        <v>6</v>
      </c>
      <c r="D189" t="s">
        <v>17</v>
      </c>
      <c r="E189" t="s">
        <v>11</v>
      </c>
    </row>
    <row r="190" spans="1:5" x14ac:dyDescent="0.35">
      <c r="A190" t="s">
        <v>44</v>
      </c>
      <c r="B190">
        <v>58</v>
      </c>
      <c r="C190" t="s">
        <v>6</v>
      </c>
      <c r="D190" t="s">
        <v>28</v>
      </c>
      <c r="E190" t="s">
        <v>11</v>
      </c>
    </row>
    <row r="191" spans="1:5" x14ac:dyDescent="0.35">
      <c r="A191" t="s">
        <v>214</v>
      </c>
      <c r="B191">
        <v>58</v>
      </c>
      <c r="C191" t="s">
        <v>10</v>
      </c>
      <c r="D191" t="s">
        <v>24</v>
      </c>
      <c r="E191" t="s">
        <v>20</v>
      </c>
    </row>
    <row r="192" spans="1:5" x14ac:dyDescent="0.35">
      <c r="A192" t="s">
        <v>271</v>
      </c>
      <c r="B192">
        <v>58</v>
      </c>
      <c r="C192" t="s">
        <v>6</v>
      </c>
      <c r="D192" t="s">
        <v>28</v>
      </c>
      <c r="E192" t="s">
        <v>8</v>
      </c>
    </row>
    <row r="193" spans="1:5" x14ac:dyDescent="0.35">
      <c r="A193" t="s">
        <v>409</v>
      </c>
      <c r="B193">
        <v>58</v>
      </c>
      <c r="C193" t="s">
        <v>6</v>
      </c>
      <c r="D193" t="s">
        <v>7</v>
      </c>
      <c r="E193" t="s">
        <v>8</v>
      </c>
    </row>
    <row r="194" spans="1:5" x14ac:dyDescent="0.35">
      <c r="A194" t="s">
        <v>413</v>
      </c>
      <c r="B194">
        <v>58</v>
      </c>
      <c r="C194" t="s">
        <v>10</v>
      </c>
      <c r="D194" t="s">
        <v>15</v>
      </c>
      <c r="E194" t="s">
        <v>8</v>
      </c>
    </row>
    <row r="195" spans="1:5" x14ac:dyDescent="0.35">
      <c r="A195" t="s">
        <v>440</v>
      </c>
      <c r="B195">
        <v>58</v>
      </c>
      <c r="C195" t="s">
        <v>6</v>
      </c>
      <c r="D195" t="s">
        <v>17</v>
      </c>
      <c r="E195" t="s">
        <v>20</v>
      </c>
    </row>
    <row r="196" spans="1:5" x14ac:dyDescent="0.35">
      <c r="A196" t="s">
        <v>452</v>
      </c>
      <c r="B196">
        <v>58</v>
      </c>
      <c r="C196" t="s">
        <v>10</v>
      </c>
      <c r="D196" t="s">
        <v>7</v>
      </c>
      <c r="E196" t="s">
        <v>11</v>
      </c>
    </row>
    <row r="197" spans="1:5" x14ac:dyDescent="0.35">
      <c r="A197" t="s">
        <v>33</v>
      </c>
      <c r="B197">
        <v>57</v>
      </c>
      <c r="C197" t="s">
        <v>6</v>
      </c>
      <c r="D197" t="s">
        <v>28</v>
      </c>
      <c r="E197" t="s">
        <v>8</v>
      </c>
    </row>
    <row r="198" spans="1:5" x14ac:dyDescent="0.35">
      <c r="A198" t="s">
        <v>54</v>
      </c>
      <c r="B198">
        <v>57</v>
      </c>
      <c r="C198" t="s">
        <v>6</v>
      </c>
      <c r="D198" t="s">
        <v>7</v>
      </c>
      <c r="E198" t="s">
        <v>11</v>
      </c>
    </row>
    <row r="199" spans="1:5" x14ac:dyDescent="0.35">
      <c r="A199" t="s">
        <v>74</v>
      </c>
      <c r="B199">
        <v>57</v>
      </c>
      <c r="C199" t="s">
        <v>6</v>
      </c>
      <c r="D199" t="s">
        <v>15</v>
      </c>
      <c r="E199" t="s">
        <v>8</v>
      </c>
    </row>
    <row r="200" spans="1:5" x14ac:dyDescent="0.35">
      <c r="A200" t="s">
        <v>90</v>
      </c>
      <c r="B200">
        <v>57</v>
      </c>
      <c r="C200" t="s">
        <v>10</v>
      </c>
      <c r="D200" t="s">
        <v>24</v>
      </c>
      <c r="E200" t="s">
        <v>20</v>
      </c>
    </row>
    <row r="201" spans="1:5" x14ac:dyDescent="0.35">
      <c r="A201" t="s">
        <v>147</v>
      </c>
      <c r="B201">
        <v>57</v>
      </c>
      <c r="C201" t="s">
        <v>6</v>
      </c>
      <c r="D201" t="s">
        <v>28</v>
      </c>
      <c r="E201" t="s">
        <v>8</v>
      </c>
    </row>
    <row r="202" spans="1:5" x14ac:dyDescent="0.35">
      <c r="A202" t="s">
        <v>243</v>
      </c>
      <c r="B202">
        <v>57</v>
      </c>
      <c r="C202" t="s">
        <v>10</v>
      </c>
      <c r="D202" t="s">
        <v>7</v>
      </c>
      <c r="E202" t="s">
        <v>13</v>
      </c>
    </row>
    <row r="203" spans="1:5" x14ac:dyDescent="0.35">
      <c r="A203" t="s">
        <v>256</v>
      </c>
      <c r="B203">
        <v>57</v>
      </c>
      <c r="C203" t="s">
        <v>6</v>
      </c>
      <c r="D203" t="s">
        <v>17</v>
      </c>
      <c r="E203" t="s">
        <v>8</v>
      </c>
    </row>
    <row r="204" spans="1:5" x14ac:dyDescent="0.35">
      <c r="A204" t="s">
        <v>262</v>
      </c>
      <c r="B204">
        <v>57</v>
      </c>
      <c r="C204" t="s">
        <v>10</v>
      </c>
      <c r="D204" t="s">
        <v>24</v>
      </c>
      <c r="E204" t="s">
        <v>20</v>
      </c>
    </row>
    <row r="205" spans="1:5" x14ac:dyDescent="0.35">
      <c r="A205" t="s">
        <v>263</v>
      </c>
      <c r="B205">
        <v>57</v>
      </c>
      <c r="C205" t="s">
        <v>6</v>
      </c>
      <c r="D205" t="s">
        <v>17</v>
      </c>
      <c r="E205" t="s">
        <v>20</v>
      </c>
    </row>
    <row r="206" spans="1:5" x14ac:dyDescent="0.35">
      <c r="A206" t="s">
        <v>267</v>
      </c>
      <c r="B206">
        <v>57</v>
      </c>
      <c r="C206" t="s">
        <v>6</v>
      </c>
      <c r="D206" t="s">
        <v>7</v>
      </c>
      <c r="E206" t="s">
        <v>25</v>
      </c>
    </row>
    <row r="207" spans="1:5" x14ac:dyDescent="0.35">
      <c r="A207" t="s">
        <v>420</v>
      </c>
      <c r="B207">
        <v>57</v>
      </c>
      <c r="C207" t="s">
        <v>10</v>
      </c>
      <c r="D207" t="s">
        <v>24</v>
      </c>
      <c r="E207" t="s">
        <v>20</v>
      </c>
    </row>
    <row r="208" spans="1:5" x14ac:dyDescent="0.35">
      <c r="A208" t="s">
        <v>506</v>
      </c>
      <c r="B208">
        <v>57</v>
      </c>
      <c r="C208" t="s">
        <v>10</v>
      </c>
      <c r="D208" t="s">
        <v>24</v>
      </c>
      <c r="E208" t="s">
        <v>11</v>
      </c>
    </row>
    <row r="209" spans="1:5" x14ac:dyDescent="0.35">
      <c r="A209" t="s">
        <v>78</v>
      </c>
      <c r="B209">
        <v>56</v>
      </c>
      <c r="C209" t="s">
        <v>6</v>
      </c>
      <c r="D209" t="s">
        <v>28</v>
      </c>
      <c r="E209" t="s">
        <v>11</v>
      </c>
    </row>
    <row r="210" spans="1:5" x14ac:dyDescent="0.35">
      <c r="A210" t="s">
        <v>97</v>
      </c>
      <c r="B210">
        <v>56</v>
      </c>
      <c r="C210" t="s">
        <v>10</v>
      </c>
      <c r="D210" t="s">
        <v>24</v>
      </c>
      <c r="E210" t="s">
        <v>20</v>
      </c>
    </row>
    <row r="211" spans="1:5" x14ac:dyDescent="0.35">
      <c r="A211" t="s">
        <v>135</v>
      </c>
      <c r="B211">
        <v>56</v>
      </c>
      <c r="C211" t="s">
        <v>10</v>
      </c>
      <c r="D211" t="s">
        <v>7</v>
      </c>
      <c r="E211" t="s">
        <v>8</v>
      </c>
    </row>
    <row r="212" spans="1:5" x14ac:dyDescent="0.35">
      <c r="A212" t="s">
        <v>149</v>
      </c>
      <c r="B212">
        <v>56</v>
      </c>
      <c r="C212" t="s">
        <v>6</v>
      </c>
      <c r="D212" t="s">
        <v>28</v>
      </c>
      <c r="E212" t="s">
        <v>8</v>
      </c>
    </row>
    <row r="213" spans="1:5" x14ac:dyDescent="0.35">
      <c r="A213" t="s">
        <v>166</v>
      </c>
      <c r="B213">
        <v>56</v>
      </c>
      <c r="C213" t="s">
        <v>6</v>
      </c>
      <c r="D213" t="s">
        <v>24</v>
      </c>
      <c r="E213" t="s">
        <v>8</v>
      </c>
    </row>
    <row r="214" spans="1:5" x14ac:dyDescent="0.35">
      <c r="A214" t="s">
        <v>200</v>
      </c>
      <c r="B214">
        <v>56</v>
      </c>
      <c r="C214" t="s">
        <v>10</v>
      </c>
      <c r="D214" t="s">
        <v>7</v>
      </c>
      <c r="E214" t="s">
        <v>20</v>
      </c>
    </row>
    <row r="215" spans="1:5" x14ac:dyDescent="0.35">
      <c r="A215" t="s">
        <v>291</v>
      </c>
      <c r="B215">
        <v>56</v>
      </c>
      <c r="C215" t="s">
        <v>6</v>
      </c>
      <c r="D215" t="s">
        <v>7</v>
      </c>
      <c r="E215" t="s">
        <v>13</v>
      </c>
    </row>
    <row r="216" spans="1:5" x14ac:dyDescent="0.35">
      <c r="A216" t="s">
        <v>295</v>
      </c>
      <c r="B216">
        <v>56</v>
      </c>
      <c r="C216" t="s">
        <v>10</v>
      </c>
      <c r="D216" t="s">
        <v>24</v>
      </c>
      <c r="E216" t="s">
        <v>8</v>
      </c>
    </row>
    <row r="217" spans="1:5" x14ac:dyDescent="0.35">
      <c r="A217" t="s">
        <v>341</v>
      </c>
      <c r="B217">
        <v>56</v>
      </c>
      <c r="C217" t="s">
        <v>10</v>
      </c>
      <c r="D217" t="s">
        <v>24</v>
      </c>
      <c r="E217" t="s">
        <v>11</v>
      </c>
    </row>
    <row r="218" spans="1:5" x14ac:dyDescent="0.35">
      <c r="A218" t="s">
        <v>500</v>
      </c>
      <c r="B218">
        <v>56</v>
      </c>
      <c r="C218" t="s">
        <v>10</v>
      </c>
      <c r="D218" t="s">
        <v>15</v>
      </c>
      <c r="E218" t="s">
        <v>13</v>
      </c>
    </row>
    <row r="219" spans="1:5" x14ac:dyDescent="0.35">
      <c r="A219" t="s">
        <v>21</v>
      </c>
      <c r="B219">
        <v>55</v>
      </c>
      <c r="C219" t="s">
        <v>10</v>
      </c>
      <c r="D219" t="s">
        <v>15</v>
      </c>
      <c r="E219" t="s">
        <v>11</v>
      </c>
    </row>
    <row r="220" spans="1:5" x14ac:dyDescent="0.35">
      <c r="A220" t="s">
        <v>45</v>
      </c>
      <c r="B220">
        <v>55</v>
      </c>
      <c r="C220" t="s">
        <v>10</v>
      </c>
      <c r="D220" t="s">
        <v>7</v>
      </c>
      <c r="E220" t="s">
        <v>11</v>
      </c>
    </row>
    <row r="221" spans="1:5" x14ac:dyDescent="0.35">
      <c r="A221" t="s">
        <v>248</v>
      </c>
      <c r="B221">
        <v>55</v>
      </c>
      <c r="C221" t="s">
        <v>6</v>
      </c>
      <c r="D221" t="s">
        <v>15</v>
      </c>
      <c r="E221" t="s">
        <v>11</v>
      </c>
    </row>
    <row r="222" spans="1:5" x14ac:dyDescent="0.35">
      <c r="A222" t="s">
        <v>278</v>
      </c>
      <c r="B222">
        <v>55</v>
      </c>
      <c r="C222" t="s">
        <v>10</v>
      </c>
      <c r="D222" t="s">
        <v>15</v>
      </c>
      <c r="E222" t="s">
        <v>25</v>
      </c>
    </row>
    <row r="223" spans="1:5" x14ac:dyDescent="0.35">
      <c r="A223" t="s">
        <v>361</v>
      </c>
      <c r="B223">
        <v>55</v>
      </c>
      <c r="C223" t="s">
        <v>6</v>
      </c>
      <c r="D223" t="s">
        <v>24</v>
      </c>
      <c r="E223" t="s">
        <v>20</v>
      </c>
    </row>
    <row r="224" spans="1:5" x14ac:dyDescent="0.35">
      <c r="A224" t="s">
        <v>394</v>
      </c>
      <c r="B224">
        <v>55</v>
      </c>
      <c r="C224" t="s">
        <v>6</v>
      </c>
      <c r="D224" t="s">
        <v>24</v>
      </c>
      <c r="E224" t="s">
        <v>8</v>
      </c>
    </row>
    <row r="225" spans="1:5" x14ac:dyDescent="0.35">
      <c r="A225" t="s">
        <v>404</v>
      </c>
      <c r="B225">
        <v>55</v>
      </c>
      <c r="C225" t="s">
        <v>6</v>
      </c>
      <c r="D225" t="s">
        <v>7</v>
      </c>
      <c r="E225" t="s">
        <v>8</v>
      </c>
    </row>
    <row r="226" spans="1:5" x14ac:dyDescent="0.35">
      <c r="A226" t="s">
        <v>429</v>
      </c>
      <c r="B226">
        <v>55</v>
      </c>
      <c r="C226" t="s">
        <v>10</v>
      </c>
      <c r="D226" t="s">
        <v>17</v>
      </c>
      <c r="E226" t="s">
        <v>13</v>
      </c>
    </row>
    <row r="227" spans="1:5" x14ac:dyDescent="0.35">
      <c r="A227" t="s">
        <v>516</v>
      </c>
      <c r="B227">
        <v>55</v>
      </c>
      <c r="C227" t="s">
        <v>10</v>
      </c>
      <c r="D227" t="s">
        <v>17</v>
      </c>
      <c r="E227" t="s">
        <v>8</v>
      </c>
    </row>
    <row r="228" spans="1:5" x14ac:dyDescent="0.35">
      <c r="A228" t="s">
        <v>19</v>
      </c>
      <c r="B228">
        <v>54</v>
      </c>
      <c r="C228" t="s">
        <v>6</v>
      </c>
      <c r="D228" t="s">
        <v>17</v>
      </c>
      <c r="E228" t="s">
        <v>20</v>
      </c>
    </row>
    <row r="229" spans="1:5" x14ac:dyDescent="0.35">
      <c r="A229" t="s">
        <v>41</v>
      </c>
      <c r="B229">
        <v>54</v>
      </c>
      <c r="C229" t="s">
        <v>6</v>
      </c>
      <c r="D229" t="s">
        <v>7</v>
      </c>
      <c r="E229" t="s">
        <v>11</v>
      </c>
    </row>
    <row r="230" spans="1:5" x14ac:dyDescent="0.35">
      <c r="A230" t="s">
        <v>48</v>
      </c>
      <c r="B230">
        <v>54</v>
      </c>
      <c r="C230" t="s">
        <v>6</v>
      </c>
      <c r="D230" t="s">
        <v>7</v>
      </c>
      <c r="E230" t="s">
        <v>20</v>
      </c>
    </row>
    <row r="231" spans="1:5" x14ac:dyDescent="0.35">
      <c r="A231" t="s">
        <v>145</v>
      </c>
      <c r="B231">
        <v>54</v>
      </c>
      <c r="C231" t="s">
        <v>6</v>
      </c>
      <c r="D231" t="s">
        <v>15</v>
      </c>
      <c r="E231" t="s">
        <v>8</v>
      </c>
    </row>
    <row r="232" spans="1:5" x14ac:dyDescent="0.35">
      <c r="A232" t="s">
        <v>187</v>
      </c>
      <c r="B232">
        <v>54</v>
      </c>
      <c r="C232" t="s">
        <v>10</v>
      </c>
      <c r="D232" t="s">
        <v>28</v>
      </c>
      <c r="E232" t="s">
        <v>11</v>
      </c>
    </row>
    <row r="233" spans="1:5" x14ac:dyDescent="0.35">
      <c r="A233" t="s">
        <v>197</v>
      </c>
      <c r="B233">
        <v>54</v>
      </c>
      <c r="C233" t="s">
        <v>6</v>
      </c>
      <c r="D233" t="s">
        <v>28</v>
      </c>
      <c r="E233" t="s">
        <v>13</v>
      </c>
    </row>
    <row r="234" spans="1:5" x14ac:dyDescent="0.35">
      <c r="A234" t="s">
        <v>252</v>
      </c>
      <c r="B234">
        <v>54</v>
      </c>
      <c r="C234" t="s">
        <v>10</v>
      </c>
      <c r="D234" t="s">
        <v>17</v>
      </c>
      <c r="E234" t="s">
        <v>11</v>
      </c>
    </row>
    <row r="235" spans="1:5" x14ac:dyDescent="0.35">
      <c r="A235" t="s">
        <v>308</v>
      </c>
      <c r="B235">
        <v>54</v>
      </c>
      <c r="C235" t="s">
        <v>6</v>
      </c>
      <c r="D235" t="s">
        <v>24</v>
      </c>
      <c r="E235" t="s">
        <v>25</v>
      </c>
    </row>
    <row r="236" spans="1:5" x14ac:dyDescent="0.35">
      <c r="A236" t="s">
        <v>471</v>
      </c>
      <c r="B236">
        <v>54</v>
      </c>
      <c r="C236" t="s">
        <v>6</v>
      </c>
      <c r="D236" t="s">
        <v>17</v>
      </c>
      <c r="E236" t="s">
        <v>25</v>
      </c>
    </row>
    <row r="237" spans="1:5" x14ac:dyDescent="0.35">
      <c r="A237" t="s">
        <v>487</v>
      </c>
      <c r="B237">
        <v>54</v>
      </c>
      <c r="C237" t="s">
        <v>6</v>
      </c>
      <c r="D237" t="s">
        <v>24</v>
      </c>
      <c r="E237" t="s">
        <v>20</v>
      </c>
    </row>
    <row r="238" spans="1:5" x14ac:dyDescent="0.35">
      <c r="A238" t="s">
        <v>515</v>
      </c>
      <c r="B238">
        <v>54</v>
      </c>
      <c r="C238" t="s">
        <v>10</v>
      </c>
      <c r="D238" t="s">
        <v>15</v>
      </c>
      <c r="E238" t="s">
        <v>11</v>
      </c>
    </row>
    <row r="239" spans="1:5" x14ac:dyDescent="0.35">
      <c r="A239" t="s">
        <v>69</v>
      </c>
      <c r="B239">
        <v>53</v>
      </c>
      <c r="C239" t="s">
        <v>10</v>
      </c>
      <c r="D239" t="s">
        <v>15</v>
      </c>
      <c r="E239" t="s">
        <v>25</v>
      </c>
    </row>
    <row r="240" spans="1:5" x14ac:dyDescent="0.35">
      <c r="A240" t="s">
        <v>76</v>
      </c>
      <c r="B240">
        <v>53</v>
      </c>
      <c r="C240" t="s">
        <v>6</v>
      </c>
      <c r="D240" t="s">
        <v>7</v>
      </c>
      <c r="E240" t="s">
        <v>8</v>
      </c>
    </row>
    <row r="241" spans="1:5" x14ac:dyDescent="0.35">
      <c r="A241" t="s">
        <v>85</v>
      </c>
      <c r="B241">
        <v>53</v>
      </c>
      <c r="C241" t="s">
        <v>6</v>
      </c>
      <c r="D241" t="s">
        <v>28</v>
      </c>
      <c r="E241" t="s">
        <v>11</v>
      </c>
    </row>
    <row r="242" spans="1:5" x14ac:dyDescent="0.35">
      <c r="A242" t="s">
        <v>326</v>
      </c>
      <c r="B242">
        <v>53</v>
      </c>
      <c r="C242" t="s">
        <v>6</v>
      </c>
      <c r="D242" t="s">
        <v>24</v>
      </c>
      <c r="E242" t="s">
        <v>20</v>
      </c>
    </row>
    <row r="243" spans="1:5" x14ac:dyDescent="0.35">
      <c r="A243" t="s">
        <v>495</v>
      </c>
      <c r="B243">
        <v>53</v>
      </c>
      <c r="C243" t="s">
        <v>10</v>
      </c>
      <c r="D243" t="s">
        <v>28</v>
      </c>
      <c r="E243" t="s">
        <v>13</v>
      </c>
    </row>
    <row r="244" spans="1:5" x14ac:dyDescent="0.35">
      <c r="A244" t="s">
        <v>498</v>
      </c>
      <c r="B244">
        <v>53</v>
      </c>
      <c r="C244" t="s">
        <v>10</v>
      </c>
      <c r="D244" t="s">
        <v>17</v>
      </c>
      <c r="E244" t="s">
        <v>25</v>
      </c>
    </row>
    <row r="245" spans="1:5" x14ac:dyDescent="0.35">
      <c r="A245" t="s">
        <v>98</v>
      </c>
      <c r="B245">
        <v>52</v>
      </c>
      <c r="C245" t="s">
        <v>10</v>
      </c>
      <c r="D245" t="s">
        <v>17</v>
      </c>
      <c r="E245" t="s">
        <v>11</v>
      </c>
    </row>
    <row r="246" spans="1:5" x14ac:dyDescent="0.35">
      <c r="A246" t="s">
        <v>225</v>
      </c>
      <c r="B246">
        <v>52</v>
      </c>
      <c r="C246" t="s">
        <v>6</v>
      </c>
      <c r="D246" t="s">
        <v>7</v>
      </c>
      <c r="E246" t="s">
        <v>8</v>
      </c>
    </row>
    <row r="247" spans="1:5" x14ac:dyDescent="0.35">
      <c r="A247" t="s">
        <v>303</v>
      </c>
      <c r="B247">
        <v>52</v>
      </c>
      <c r="C247" t="s">
        <v>6</v>
      </c>
      <c r="D247" t="s">
        <v>24</v>
      </c>
      <c r="E247" t="s">
        <v>8</v>
      </c>
    </row>
    <row r="248" spans="1:5" x14ac:dyDescent="0.35">
      <c r="A248" t="s">
        <v>365</v>
      </c>
      <c r="B248">
        <v>52</v>
      </c>
      <c r="C248" t="s">
        <v>6</v>
      </c>
      <c r="D248" t="s">
        <v>17</v>
      </c>
      <c r="E248" t="s">
        <v>11</v>
      </c>
    </row>
    <row r="249" spans="1:5" x14ac:dyDescent="0.35">
      <c r="A249" t="s">
        <v>476</v>
      </c>
      <c r="B249">
        <v>52</v>
      </c>
      <c r="C249" t="s">
        <v>6</v>
      </c>
      <c r="D249" t="s">
        <v>28</v>
      </c>
      <c r="E249" t="s">
        <v>20</v>
      </c>
    </row>
    <row r="250" spans="1:5" x14ac:dyDescent="0.35">
      <c r="A250" t="s">
        <v>46</v>
      </c>
      <c r="B250">
        <v>51</v>
      </c>
      <c r="C250" t="s">
        <v>6</v>
      </c>
      <c r="D250" t="s">
        <v>24</v>
      </c>
      <c r="E250" t="s">
        <v>11</v>
      </c>
    </row>
    <row r="251" spans="1:5" x14ac:dyDescent="0.35">
      <c r="A251" t="s">
        <v>160</v>
      </c>
      <c r="B251">
        <v>51</v>
      </c>
      <c r="C251" t="s">
        <v>6</v>
      </c>
      <c r="D251" t="s">
        <v>15</v>
      </c>
      <c r="E251" t="s">
        <v>20</v>
      </c>
    </row>
    <row r="252" spans="1:5" x14ac:dyDescent="0.35">
      <c r="A252" t="s">
        <v>363</v>
      </c>
      <c r="B252">
        <v>51</v>
      </c>
      <c r="C252" t="s">
        <v>10</v>
      </c>
      <c r="D252" t="s">
        <v>24</v>
      </c>
      <c r="E252" t="s">
        <v>11</v>
      </c>
    </row>
    <row r="253" spans="1:5" x14ac:dyDescent="0.35">
      <c r="A253" t="s">
        <v>497</v>
      </c>
      <c r="B253">
        <v>51</v>
      </c>
      <c r="C253" t="s">
        <v>10</v>
      </c>
      <c r="D253" t="s">
        <v>24</v>
      </c>
      <c r="E253" t="s">
        <v>13</v>
      </c>
    </row>
    <row r="254" spans="1:5" x14ac:dyDescent="0.35">
      <c r="A254" t="s">
        <v>84</v>
      </c>
      <c r="B254">
        <v>50</v>
      </c>
      <c r="C254" t="s">
        <v>10</v>
      </c>
      <c r="D254" t="s">
        <v>24</v>
      </c>
      <c r="E254" t="s">
        <v>25</v>
      </c>
    </row>
    <row r="255" spans="1:5" x14ac:dyDescent="0.35">
      <c r="A255" t="s">
        <v>154</v>
      </c>
      <c r="B255">
        <v>50</v>
      </c>
      <c r="C255" t="s">
        <v>10</v>
      </c>
      <c r="D255" t="s">
        <v>7</v>
      </c>
      <c r="E255" t="s">
        <v>13</v>
      </c>
    </row>
    <row r="256" spans="1:5" x14ac:dyDescent="0.35">
      <c r="A256" t="s">
        <v>264</v>
      </c>
      <c r="B256">
        <v>50</v>
      </c>
      <c r="C256" t="s">
        <v>10</v>
      </c>
      <c r="D256" t="s">
        <v>15</v>
      </c>
      <c r="E256" t="s">
        <v>8</v>
      </c>
    </row>
    <row r="257" spans="1:5" x14ac:dyDescent="0.35">
      <c r="A257" t="s">
        <v>331</v>
      </c>
      <c r="B257">
        <v>50</v>
      </c>
      <c r="C257" t="s">
        <v>10</v>
      </c>
      <c r="D257" t="s">
        <v>15</v>
      </c>
      <c r="E257" t="s">
        <v>8</v>
      </c>
    </row>
    <row r="258" spans="1:5" x14ac:dyDescent="0.35">
      <c r="A258" t="s">
        <v>408</v>
      </c>
      <c r="B258">
        <v>50</v>
      </c>
      <c r="C258" t="s">
        <v>6</v>
      </c>
      <c r="D258" t="s">
        <v>15</v>
      </c>
      <c r="E258" t="s">
        <v>11</v>
      </c>
    </row>
    <row r="259" spans="1:5" x14ac:dyDescent="0.35">
      <c r="A259" t="s">
        <v>419</v>
      </c>
      <c r="B259">
        <v>50</v>
      </c>
      <c r="C259" t="s">
        <v>6</v>
      </c>
      <c r="D259" t="s">
        <v>28</v>
      </c>
      <c r="E259" t="s">
        <v>8</v>
      </c>
    </row>
    <row r="260" spans="1:5" x14ac:dyDescent="0.35">
      <c r="A260" t="s">
        <v>423</v>
      </c>
      <c r="B260">
        <v>50</v>
      </c>
      <c r="C260" t="s">
        <v>6</v>
      </c>
      <c r="D260" t="s">
        <v>24</v>
      </c>
      <c r="E260" t="s">
        <v>13</v>
      </c>
    </row>
    <row r="261" spans="1:5" x14ac:dyDescent="0.35">
      <c r="A261" t="s">
        <v>425</v>
      </c>
      <c r="B261">
        <v>50</v>
      </c>
      <c r="C261" t="s">
        <v>10</v>
      </c>
      <c r="D261" t="s">
        <v>24</v>
      </c>
      <c r="E261" t="s">
        <v>25</v>
      </c>
    </row>
    <row r="262" spans="1:5" x14ac:dyDescent="0.35">
      <c r="A262" t="s">
        <v>123</v>
      </c>
      <c r="B262">
        <v>49</v>
      </c>
      <c r="C262" t="s">
        <v>6</v>
      </c>
      <c r="D262" t="s">
        <v>28</v>
      </c>
      <c r="E262" t="s">
        <v>8</v>
      </c>
    </row>
    <row r="263" spans="1:5" x14ac:dyDescent="0.35">
      <c r="A263" t="s">
        <v>165</v>
      </c>
      <c r="B263">
        <v>49</v>
      </c>
      <c r="C263" t="s">
        <v>6</v>
      </c>
      <c r="D263" t="s">
        <v>7</v>
      </c>
      <c r="E263" t="s">
        <v>25</v>
      </c>
    </row>
    <row r="264" spans="1:5" x14ac:dyDescent="0.35">
      <c r="A264" t="s">
        <v>230</v>
      </c>
      <c r="B264">
        <v>49</v>
      </c>
      <c r="C264" t="s">
        <v>6</v>
      </c>
      <c r="D264" t="s">
        <v>24</v>
      </c>
      <c r="E264" t="s">
        <v>20</v>
      </c>
    </row>
    <row r="265" spans="1:5" x14ac:dyDescent="0.35">
      <c r="A265" t="s">
        <v>288</v>
      </c>
      <c r="B265">
        <v>49</v>
      </c>
      <c r="C265" t="s">
        <v>10</v>
      </c>
      <c r="D265" t="s">
        <v>28</v>
      </c>
      <c r="E265" t="s">
        <v>11</v>
      </c>
    </row>
    <row r="266" spans="1:5" x14ac:dyDescent="0.35">
      <c r="A266" t="s">
        <v>333</v>
      </c>
      <c r="B266">
        <v>49</v>
      </c>
      <c r="C266" t="s">
        <v>6</v>
      </c>
      <c r="D266" t="s">
        <v>17</v>
      </c>
      <c r="E266" t="s">
        <v>13</v>
      </c>
    </row>
    <row r="267" spans="1:5" x14ac:dyDescent="0.35">
      <c r="A267" t="s">
        <v>345</v>
      </c>
      <c r="B267">
        <v>49</v>
      </c>
      <c r="C267" t="s">
        <v>6</v>
      </c>
      <c r="D267" t="s">
        <v>28</v>
      </c>
      <c r="E267" t="s">
        <v>8</v>
      </c>
    </row>
    <row r="268" spans="1:5" x14ac:dyDescent="0.35">
      <c r="A268" t="s">
        <v>405</v>
      </c>
      <c r="B268">
        <v>49</v>
      </c>
      <c r="C268" t="s">
        <v>10</v>
      </c>
      <c r="D268" t="s">
        <v>24</v>
      </c>
      <c r="E268" t="s">
        <v>13</v>
      </c>
    </row>
    <row r="269" spans="1:5" x14ac:dyDescent="0.35">
      <c r="A269" t="s">
        <v>416</v>
      </c>
      <c r="B269">
        <v>49</v>
      </c>
      <c r="C269" t="s">
        <v>10</v>
      </c>
      <c r="D269" t="s">
        <v>24</v>
      </c>
      <c r="E269" t="s">
        <v>13</v>
      </c>
    </row>
    <row r="270" spans="1:5" x14ac:dyDescent="0.35">
      <c r="A270" t="s">
        <v>421</v>
      </c>
      <c r="B270">
        <v>49</v>
      </c>
      <c r="C270" t="s">
        <v>6</v>
      </c>
      <c r="D270" t="s">
        <v>28</v>
      </c>
      <c r="E270" t="s">
        <v>8</v>
      </c>
    </row>
    <row r="271" spans="1:5" x14ac:dyDescent="0.35">
      <c r="A271" t="s">
        <v>439</v>
      </c>
      <c r="B271">
        <v>49</v>
      </c>
      <c r="C271" t="s">
        <v>6</v>
      </c>
      <c r="D271" t="s">
        <v>28</v>
      </c>
      <c r="E271" t="s">
        <v>11</v>
      </c>
    </row>
    <row r="272" spans="1:5" x14ac:dyDescent="0.35">
      <c r="A272" t="s">
        <v>466</v>
      </c>
      <c r="B272">
        <v>49</v>
      </c>
      <c r="C272" t="s">
        <v>6</v>
      </c>
      <c r="D272" t="s">
        <v>28</v>
      </c>
      <c r="E272" t="s">
        <v>20</v>
      </c>
    </row>
    <row r="273" spans="1:5" x14ac:dyDescent="0.35">
      <c r="A273" t="s">
        <v>52</v>
      </c>
      <c r="B273">
        <v>48</v>
      </c>
      <c r="C273" t="s">
        <v>10</v>
      </c>
      <c r="D273" t="s">
        <v>7</v>
      </c>
      <c r="E273" t="s">
        <v>20</v>
      </c>
    </row>
    <row r="274" spans="1:5" x14ac:dyDescent="0.35">
      <c r="A274" t="s">
        <v>140</v>
      </c>
      <c r="B274">
        <v>48</v>
      </c>
      <c r="C274" t="s">
        <v>6</v>
      </c>
      <c r="D274" t="s">
        <v>28</v>
      </c>
      <c r="E274" t="s">
        <v>20</v>
      </c>
    </row>
    <row r="275" spans="1:5" x14ac:dyDescent="0.35">
      <c r="A275" t="s">
        <v>284</v>
      </c>
      <c r="B275">
        <v>48</v>
      </c>
      <c r="C275" t="s">
        <v>10</v>
      </c>
      <c r="D275" t="s">
        <v>7</v>
      </c>
      <c r="E275" t="s">
        <v>8</v>
      </c>
    </row>
    <row r="276" spans="1:5" x14ac:dyDescent="0.35">
      <c r="A276" t="s">
        <v>292</v>
      </c>
      <c r="B276">
        <v>48</v>
      </c>
      <c r="C276" t="s">
        <v>6</v>
      </c>
      <c r="D276" t="s">
        <v>28</v>
      </c>
      <c r="E276" t="s">
        <v>13</v>
      </c>
    </row>
    <row r="277" spans="1:5" x14ac:dyDescent="0.35">
      <c r="A277" t="s">
        <v>482</v>
      </c>
      <c r="B277">
        <v>48</v>
      </c>
      <c r="C277" t="s">
        <v>6</v>
      </c>
      <c r="D277" t="s">
        <v>28</v>
      </c>
      <c r="E277" t="s">
        <v>25</v>
      </c>
    </row>
    <row r="278" spans="1:5" x14ac:dyDescent="0.35">
      <c r="A278" t="s">
        <v>29</v>
      </c>
      <c r="B278">
        <v>47</v>
      </c>
      <c r="C278" t="s">
        <v>10</v>
      </c>
      <c r="D278" t="s">
        <v>24</v>
      </c>
      <c r="E278" t="s">
        <v>8</v>
      </c>
    </row>
    <row r="279" spans="1:5" x14ac:dyDescent="0.35">
      <c r="A279" t="s">
        <v>161</v>
      </c>
      <c r="B279">
        <v>47</v>
      </c>
      <c r="C279" t="s">
        <v>6</v>
      </c>
      <c r="D279" t="s">
        <v>24</v>
      </c>
      <c r="E279" t="s">
        <v>13</v>
      </c>
    </row>
    <row r="280" spans="1:5" x14ac:dyDescent="0.35">
      <c r="A280" t="s">
        <v>175</v>
      </c>
      <c r="B280">
        <v>47</v>
      </c>
      <c r="C280" t="s">
        <v>6</v>
      </c>
      <c r="D280" t="s">
        <v>17</v>
      </c>
      <c r="E280" t="s">
        <v>20</v>
      </c>
    </row>
    <row r="281" spans="1:5" x14ac:dyDescent="0.35">
      <c r="A281" t="s">
        <v>183</v>
      </c>
      <c r="B281">
        <v>47</v>
      </c>
      <c r="C281" t="s">
        <v>6</v>
      </c>
      <c r="D281" t="s">
        <v>24</v>
      </c>
      <c r="E281" t="s">
        <v>8</v>
      </c>
    </row>
    <row r="282" spans="1:5" x14ac:dyDescent="0.35">
      <c r="A282" t="s">
        <v>290</v>
      </c>
      <c r="B282">
        <v>47</v>
      </c>
      <c r="C282" t="s">
        <v>10</v>
      </c>
      <c r="D282" t="s">
        <v>24</v>
      </c>
      <c r="E282" t="s">
        <v>11</v>
      </c>
    </row>
    <row r="283" spans="1:5" x14ac:dyDescent="0.35">
      <c r="A283" t="s">
        <v>304</v>
      </c>
      <c r="B283">
        <v>47</v>
      </c>
      <c r="C283" t="s">
        <v>10</v>
      </c>
      <c r="D283" t="s">
        <v>15</v>
      </c>
      <c r="E283" t="s">
        <v>20</v>
      </c>
    </row>
    <row r="284" spans="1:5" x14ac:dyDescent="0.35">
      <c r="A284" t="s">
        <v>424</v>
      </c>
      <c r="B284">
        <v>47</v>
      </c>
      <c r="C284" t="s">
        <v>6</v>
      </c>
      <c r="D284" t="s">
        <v>28</v>
      </c>
      <c r="E284" t="s">
        <v>11</v>
      </c>
    </row>
    <row r="285" spans="1:5" x14ac:dyDescent="0.35">
      <c r="A285" t="s">
        <v>40</v>
      </c>
      <c r="B285">
        <v>46</v>
      </c>
      <c r="C285" t="s">
        <v>6</v>
      </c>
      <c r="D285" t="s">
        <v>28</v>
      </c>
      <c r="E285" t="s">
        <v>8</v>
      </c>
    </row>
    <row r="286" spans="1:5" x14ac:dyDescent="0.35">
      <c r="A286" t="s">
        <v>71</v>
      </c>
      <c r="B286">
        <v>46</v>
      </c>
      <c r="C286" t="s">
        <v>10</v>
      </c>
      <c r="D286" t="s">
        <v>7</v>
      </c>
      <c r="E286" t="s">
        <v>25</v>
      </c>
    </row>
    <row r="287" spans="1:5" x14ac:dyDescent="0.35">
      <c r="A287" t="s">
        <v>168</v>
      </c>
      <c r="B287">
        <v>46</v>
      </c>
      <c r="C287" t="s">
        <v>6</v>
      </c>
      <c r="D287" t="s">
        <v>7</v>
      </c>
      <c r="E287" t="s">
        <v>8</v>
      </c>
    </row>
    <row r="288" spans="1:5" x14ac:dyDescent="0.35">
      <c r="A288" t="s">
        <v>237</v>
      </c>
      <c r="B288">
        <v>46</v>
      </c>
      <c r="C288" t="s">
        <v>10</v>
      </c>
      <c r="D288" t="s">
        <v>17</v>
      </c>
      <c r="E288" t="s">
        <v>11</v>
      </c>
    </row>
    <row r="289" spans="1:5" x14ac:dyDescent="0.35">
      <c r="A289" t="s">
        <v>325</v>
      </c>
      <c r="B289">
        <v>46</v>
      </c>
      <c r="C289" t="s">
        <v>10</v>
      </c>
      <c r="D289" t="s">
        <v>24</v>
      </c>
      <c r="E289" t="s">
        <v>25</v>
      </c>
    </row>
    <row r="290" spans="1:5" x14ac:dyDescent="0.35">
      <c r="A290" t="s">
        <v>329</v>
      </c>
      <c r="B290">
        <v>46</v>
      </c>
      <c r="C290" t="s">
        <v>6</v>
      </c>
      <c r="D290" t="s">
        <v>28</v>
      </c>
      <c r="E290" t="s">
        <v>13</v>
      </c>
    </row>
    <row r="291" spans="1:5" x14ac:dyDescent="0.35">
      <c r="A291" t="s">
        <v>338</v>
      </c>
      <c r="B291">
        <v>46</v>
      </c>
      <c r="C291" t="s">
        <v>10</v>
      </c>
      <c r="D291" t="s">
        <v>7</v>
      </c>
      <c r="E291" t="s">
        <v>8</v>
      </c>
    </row>
    <row r="292" spans="1:5" x14ac:dyDescent="0.35">
      <c r="A292" t="s">
        <v>343</v>
      </c>
      <c r="B292">
        <v>46</v>
      </c>
      <c r="C292" t="s">
        <v>10</v>
      </c>
      <c r="D292" t="s">
        <v>17</v>
      </c>
      <c r="E292" t="s">
        <v>8</v>
      </c>
    </row>
    <row r="293" spans="1:5" x14ac:dyDescent="0.35">
      <c r="A293" t="s">
        <v>344</v>
      </c>
      <c r="B293">
        <v>46</v>
      </c>
      <c r="C293" t="s">
        <v>10</v>
      </c>
      <c r="D293" t="s">
        <v>28</v>
      </c>
      <c r="E293" t="s">
        <v>25</v>
      </c>
    </row>
    <row r="294" spans="1:5" x14ac:dyDescent="0.35">
      <c r="A294" t="s">
        <v>255</v>
      </c>
      <c r="B294">
        <v>45</v>
      </c>
      <c r="C294" t="s">
        <v>10</v>
      </c>
      <c r="D294" t="s">
        <v>7</v>
      </c>
      <c r="E294" t="s">
        <v>20</v>
      </c>
    </row>
    <row r="295" spans="1:5" x14ac:dyDescent="0.35">
      <c r="A295" t="s">
        <v>306</v>
      </c>
      <c r="B295">
        <v>45</v>
      </c>
      <c r="C295" t="s">
        <v>10</v>
      </c>
      <c r="D295" t="s">
        <v>15</v>
      </c>
      <c r="E295" t="s">
        <v>25</v>
      </c>
    </row>
    <row r="296" spans="1:5" x14ac:dyDescent="0.35">
      <c r="A296" t="s">
        <v>475</v>
      </c>
      <c r="B296">
        <v>45</v>
      </c>
      <c r="C296" t="s">
        <v>6</v>
      </c>
      <c r="D296" t="s">
        <v>28</v>
      </c>
      <c r="E296" t="s">
        <v>20</v>
      </c>
    </row>
    <row r="297" spans="1:5" x14ac:dyDescent="0.35">
      <c r="A297" t="s">
        <v>50</v>
      </c>
      <c r="B297">
        <v>44</v>
      </c>
      <c r="C297" t="s">
        <v>10</v>
      </c>
      <c r="D297" t="s">
        <v>7</v>
      </c>
      <c r="E297" t="s">
        <v>13</v>
      </c>
    </row>
    <row r="298" spans="1:5" x14ac:dyDescent="0.35">
      <c r="A298" t="s">
        <v>277</v>
      </c>
      <c r="B298">
        <v>44</v>
      </c>
      <c r="C298" t="s">
        <v>10</v>
      </c>
      <c r="D298" t="s">
        <v>7</v>
      </c>
      <c r="E298" t="s">
        <v>13</v>
      </c>
    </row>
    <row r="299" spans="1:5" x14ac:dyDescent="0.35">
      <c r="A299" t="s">
        <v>299</v>
      </c>
      <c r="B299">
        <v>44</v>
      </c>
      <c r="C299" t="s">
        <v>6</v>
      </c>
      <c r="D299" t="s">
        <v>24</v>
      </c>
      <c r="E299" t="s">
        <v>25</v>
      </c>
    </row>
    <row r="300" spans="1:5" x14ac:dyDescent="0.35">
      <c r="A300" t="s">
        <v>349</v>
      </c>
      <c r="B300">
        <v>44</v>
      </c>
      <c r="C300" t="s">
        <v>6</v>
      </c>
      <c r="D300" t="s">
        <v>7</v>
      </c>
      <c r="E300" t="s">
        <v>11</v>
      </c>
    </row>
    <row r="301" spans="1:5" x14ac:dyDescent="0.35">
      <c r="A301" t="s">
        <v>372</v>
      </c>
      <c r="B301">
        <v>44</v>
      </c>
      <c r="C301" t="s">
        <v>10</v>
      </c>
      <c r="D301" t="s">
        <v>28</v>
      </c>
      <c r="E301" t="s">
        <v>13</v>
      </c>
    </row>
    <row r="302" spans="1:5" x14ac:dyDescent="0.35">
      <c r="A302" t="s">
        <v>378</v>
      </c>
      <c r="B302">
        <v>44</v>
      </c>
      <c r="C302" t="s">
        <v>10</v>
      </c>
      <c r="D302" t="s">
        <v>28</v>
      </c>
      <c r="E302" t="s">
        <v>11</v>
      </c>
    </row>
    <row r="303" spans="1:5" x14ac:dyDescent="0.35">
      <c r="A303" t="s">
        <v>38</v>
      </c>
      <c r="B303">
        <v>43</v>
      </c>
      <c r="C303" t="s">
        <v>6</v>
      </c>
      <c r="D303" t="s">
        <v>7</v>
      </c>
      <c r="E303" t="s">
        <v>8</v>
      </c>
    </row>
    <row r="304" spans="1:5" x14ac:dyDescent="0.35">
      <c r="A304" t="s">
        <v>60</v>
      </c>
      <c r="B304">
        <v>43</v>
      </c>
      <c r="C304" t="s">
        <v>10</v>
      </c>
      <c r="D304" t="s">
        <v>24</v>
      </c>
      <c r="E304" t="s">
        <v>11</v>
      </c>
    </row>
    <row r="305" spans="1:5" x14ac:dyDescent="0.35">
      <c r="A305" t="s">
        <v>70</v>
      </c>
      <c r="B305">
        <v>43</v>
      </c>
      <c r="C305" t="s">
        <v>10</v>
      </c>
      <c r="D305" t="s">
        <v>7</v>
      </c>
      <c r="E305" t="s">
        <v>11</v>
      </c>
    </row>
    <row r="306" spans="1:5" x14ac:dyDescent="0.35">
      <c r="A306" t="s">
        <v>88</v>
      </c>
      <c r="B306">
        <v>43</v>
      </c>
      <c r="C306" t="s">
        <v>6</v>
      </c>
      <c r="D306" t="s">
        <v>17</v>
      </c>
      <c r="E306" t="s">
        <v>13</v>
      </c>
    </row>
    <row r="307" spans="1:5" x14ac:dyDescent="0.35">
      <c r="A307" t="s">
        <v>120</v>
      </c>
      <c r="B307">
        <v>43</v>
      </c>
      <c r="C307" t="s">
        <v>6</v>
      </c>
      <c r="D307" t="s">
        <v>17</v>
      </c>
      <c r="E307" t="s">
        <v>13</v>
      </c>
    </row>
    <row r="308" spans="1:5" x14ac:dyDescent="0.35">
      <c r="A308" t="s">
        <v>121</v>
      </c>
      <c r="B308">
        <v>43</v>
      </c>
      <c r="C308" t="s">
        <v>10</v>
      </c>
      <c r="D308" t="s">
        <v>17</v>
      </c>
      <c r="E308" t="s">
        <v>13</v>
      </c>
    </row>
    <row r="309" spans="1:5" x14ac:dyDescent="0.35">
      <c r="A309" t="s">
        <v>128</v>
      </c>
      <c r="B309">
        <v>43</v>
      </c>
      <c r="C309" t="s">
        <v>6</v>
      </c>
      <c r="D309" t="s">
        <v>24</v>
      </c>
      <c r="E309" t="s">
        <v>8</v>
      </c>
    </row>
    <row r="310" spans="1:5" x14ac:dyDescent="0.35">
      <c r="A310" t="s">
        <v>336</v>
      </c>
      <c r="B310">
        <v>43</v>
      </c>
      <c r="C310" t="s">
        <v>6</v>
      </c>
      <c r="D310" t="s">
        <v>15</v>
      </c>
      <c r="E310" t="s">
        <v>8</v>
      </c>
    </row>
    <row r="311" spans="1:5" x14ac:dyDescent="0.35">
      <c r="A311" t="s">
        <v>426</v>
      </c>
      <c r="B311">
        <v>43</v>
      </c>
      <c r="C311" t="s">
        <v>6</v>
      </c>
      <c r="D311" t="s">
        <v>7</v>
      </c>
      <c r="E311" t="s">
        <v>8</v>
      </c>
    </row>
    <row r="312" spans="1:5" x14ac:dyDescent="0.35">
      <c r="A312" t="s">
        <v>450</v>
      </c>
      <c r="B312">
        <v>43</v>
      </c>
      <c r="C312" t="s">
        <v>6</v>
      </c>
      <c r="D312" t="s">
        <v>15</v>
      </c>
      <c r="E312" t="s">
        <v>20</v>
      </c>
    </row>
    <row r="313" spans="1:5" x14ac:dyDescent="0.35">
      <c r="A313" t="s">
        <v>509</v>
      </c>
      <c r="B313">
        <v>43</v>
      </c>
      <c r="C313" t="s">
        <v>6</v>
      </c>
      <c r="D313" t="s">
        <v>17</v>
      </c>
      <c r="E313" t="s">
        <v>25</v>
      </c>
    </row>
    <row r="314" spans="1:5" x14ac:dyDescent="0.35">
      <c r="A314" t="s">
        <v>35</v>
      </c>
      <c r="B314">
        <v>42</v>
      </c>
      <c r="C314" t="s">
        <v>6</v>
      </c>
      <c r="D314" t="s">
        <v>24</v>
      </c>
      <c r="E314" t="s">
        <v>11</v>
      </c>
    </row>
    <row r="315" spans="1:5" x14ac:dyDescent="0.35">
      <c r="A315" t="s">
        <v>49</v>
      </c>
      <c r="B315">
        <v>42</v>
      </c>
      <c r="C315" t="s">
        <v>6</v>
      </c>
      <c r="D315" t="s">
        <v>15</v>
      </c>
      <c r="E315" t="s">
        <v>8</v>
      </c>
    </row>
    <row r="316" spans="1:5" x14ac:dyDescent="0.35">
      <c r="A316" t="s">
        <v>96</v>
      </c>
      <c r="B316">
        <v>42</v>
      </c>
      <c r="C316" t="s">
        <v>6</v>
      </c>
      <c r="D316" t="s">
        <v>24</v>
      </c>
      <c r="E316" t="s">
        <v>13</v>
      </c>
    </row>
    <row r="317" spans="1:5" x14ac:dyDescent="0.35">
      <c r="A317" t="s">
        <v>116</v>
      </c>
      <c r="B317">
        <v>42</v>
      </c>
      <c r="C317" t="s">
        <v>6</v>
      </c>
      <c r="D317" t="s">
        <v>28</v>
      </c>
      <c r="E317" t="s">
        <v>13</v>
      </c>
    </row>
    <row r="318" spans="1:5" x14ac:dyDescent="0.35">
      <c r="A318" t="s">
        <v>152</v>
      </c>
      <c r="B318">
        <v>42</v>
      </c>
      <c r="C318" t="s">
        <v>6</v>
      </c>
      <c r="D318" t="s">
        <v>7</v>
      </c>
      <c r="E318" t="s">
        <v>20</v>
      </c>
    </row>
    <row r="319" spans="1:5" x14ac:dyDescent="0.35">
      <c r="A319" t="s">
        <v>176</v>
      </c>
      <c r="B319">
        <v>42</v>
      </c>
      <c r="C319" t="s">
        <v>10</v>
      </c>
      <c r="D319" t="s">
        <v>28</v>
      </c>
      <c r="E319" t="s">
        <v>20</v>
      </c>
    </row>
    <row r="320" spans="1:5" x14ac:dyDescent="0.35">
      <c r="A320" t="s">
        <v>188</v>
      </c>
      <c r="B320">
        <v>42</v>
      </c>
      <c r="C320" t="s">
        <v>6</v>
      </c>
      <c r="D320" t="s">
        <v>28</v>
      </c>
      <c r="E320" t="s">
        <v>25</v>
      </c>
    </row>
    <row r="321" spans="1:5" x14ac:dyDescent="0.35">
      <c r="A321" t="s">
        <v>206</v>
      </c>
      <c r="B321">
        <v>42</v>
      </c>
      <c r="C321" t="s">
        <v>6</v>
      </c>
      <c r="D321" t="s">
        <v>24</v>
      </c>
      <c r="E321" t="s">
        <v>13</v>
      </c>
    </row>
    <row r="322" spans="1:5" x14ac:dyDescent="0.35">
      <c r="A322" t="s">
        <v>240</v>
      </c>
      <c r="B322">
        <v>42</v>
      </c>
      <c r="C322" t="s">
        <v>6</v>
      </c>
      <c r="D322" t="s">
        <v>17</v>
      </c>
      <c r="E322" t="s">
        <v>11</v>
      </c>
    </row>
    <row r="323" spans="1:5" x14ac:dyDescent="0.35">
      <c r="A323" t="s">
        <v>244</v>
      </c>
      <c r="B323">
        <v>42</v>
      </c>
      <c r="C323" t="s">
        <v>6</v>
      </c>
      <c r="D323" t="s">
        <v>28</v>
      </c>
      <c r="E323" t="s">
        <v>11</v>
      </c>
    </row>
    <row r="324" spans="1:5" x14ac:dyDescent="0.35">
      <c r="A324" t="s">
        <v>367</v>
      </c>
      <c r="B324">
        <v>42</v>
      </c>
      <c r="C324" t="s">
        <v>6</v>
      </c>
      <c r="D324" t="s">
        <v>24</v>
      </c>
      <c r="E324" t="s">
        <v>11</v>
      </c>
    </row>
    <row r="325" spans="1:5" x14ac:dyDescent="0.35">
      <c r="A325" t="s">
        <v>391</v>
      </c>
      <c r="B325">
        <v>42</v>
      </c>
      <c r="C325" t="s">
        <v>6</v>
      </c>
      <c r="D325" t="s">
        <v>17</v>
      </c>
      <c r="E325" t="s">
        <v>11</v>
      </c>
    </row>
    <row r="326" spans="1:5" x14ac:dyDescent="0.35">
      <c r="A326" t="s">
        <v>458</v>
      </c>
      <c r="B326">
        <v>42</v>
      </c>
      <c r="C326" t="s">
        <v>10</v>
      </c>
      <c r="D326" t="s">
        <v>7</v>
      </c>
      <c r="E326" t="s">
        <v>11</v>
      </c>
    </row>
    <row r="327" spans="1:5" x14ac:dyDescent="0.35">
      <c r="A327" t="s">
        <v>27</v>
      </c>
      <c r="B327">
        <v>41</v>
      </c>
      <c r="C327" t="s">
        <v>10</v>
      </c>
      <c r="D327" t="s">
        <v>28</v>
      </c>
      <c r="E327" t="s">
        <v>20</v>
      </c>
    </row>
    <row r="328" spans="1:5" x14ac:dyDescent="0.35">
      <c r="A328" t="s">
        <v>81</v>
      </c>
      <c r="B328">
        <v>41</v>
      </c>
      <c r="C328" t="s">
        <v>6</v>
      </c>
      <c r="D328" t="s">
        <v>28</v>
      </c>
      <c r="E328" t="s">
        <v>20</v>
      </c>
    </row>
    <row r="329" spans="1:5" x14ac:dyDescent="0.35">
      <c r="A329" t="s">
        <v>141</v>
      </c>
      <c r="B329">
        <v>41</v>
      </c>
      <c r="C329" t="s">
        <v>6</v>
      </c>
      <c r="D329" t="s">
        <v>15</v>
      </c>
      <c r="E329" t="s">
        <v>8</v>
      </c>
    </row>
    <row r="330" spans="1:5" x14ac:dyDescent="0.35">
      <c r="A330" t="s">
        <v>368</v>
      </c>
      <c r="B330">
        <v>41</v>
      </c>
      <c r="C330" t="s">
        <v>10</v>
      </c>
      <c r="D330" t="s">
        <v>24</v>
      </c>
      <c r="E330" t="s">
        <v>20</v>
      </c>
    </row>
    <row r="331" spans="1:5" x14ac:dyDescent="0.35">
      <c r="A331" t="s">
        <v>385</v>
      </c>
      <c r="B331">
        <v>41</v>
      </c>
      <c r="C331" t="s">
        <v>6</v>
      </c>
      <c r="D331" t="s">
        <v>17</v>
      </c>
      <c r="E331" t="s">
        <v>20</v>
      </c>
    </row>
    <row r="332" spans="1:5" x14ac:dyDescent="0.35">
      <c r="A332" t="s">
        <v>485</v>
      </c>
      <c r="B332">
        <v>41</v>
      </c>
      <c r="C332" t="s">
        <v>6</v>
      </c>
      <c r="D332" t="s">
        <v>7</v>
      </c>
      <c r="E332" t="s">
        <v>8</v>
      </c>
    </row>
    <row r="333" spans="1:5" x14ac:dyDescent="0.35">
      <c r="A333" t="s">
        <v>491</v>
      </c>
      <c r="B333">
        <v>41</v>
      </c>
      <c r="C333" t="s">
        <v>10</v>
      </c>
      <c r="D333" t="s">
        <v>24</v>
      </c>
      <c r="E333" t="s">
        <v>11</v>
      </c>
    </row>
    <row r="334" spans="1:5" x14ac:dyDescent="0.35">
      <c r="A334" t="s">
        <v>127</v>
      </c>
      <c r="B334">
        <v>40</v>
      </c>
      <c r="C334" t="s">
        <v>6</v>
      </c>
      <c r="D334" t="s">
        <v>24</v>
      </c>
      <c r="E334" t="s">
        <v>11</v>
      </c>
    </row>
    <row r="335" spans="1:5" x14ac:dyDescent="0.35">
      <c r="A335" t="s">
        <v>285</v>
      </c>
      <c r="B335">
        <v>40</v>
      </c>
      <c r="C335" t="s">
        <v>6</v>
      </c>
      <c r="D335" t="s">
        <v>15</v>
      </c>
      <c r="E335" t="s">
        <v>13</v>
      </c>
    </row>
    <row r="336" spans="1:5" x14ac:dyDescent="0.35">
      <c r="A336" t="s">
        <v>36</v>
      </c>
      <c r="B336">
        <v>39</v>
      </c>
      <c r="C336" t="s">
        <v>6</v>
      </c>
      <c r="D336" t="s">
        <v>15</v>
      </c>
      <c r="E336" t="s">
        <v>11</v>
      </c>
    </row>
    <row r="337" spans="1:5" x14ac:dyDescent="0.35">
      <c r="A337" t="s">
        <v>82</v>
      </c>
      <c r="B337">
        <v>39</v>
      </c>
      <c r="C337" t="s">
        <v>10</v>
      </c>
      <c r="D337" t="s">
        <v>28</v>
      </c>
      <c r="E337" t="s">
        <v>11</v>
      </c>
    </row>
    <row r="338" spans="1:5" x14ac:dyDescent="0.35">
      <c r="A338" t="s">
        <v>309</v>
      </c>
      <c r="B338">
        <v>39</v>
      </c>
      <c r="C338" t="s">
        <v>10</v>
      </c>
      <c r="D338" t="s">
        <v>28</v>
      </c>
      <c r="E338" t="s">
        <v>13</v>
      </c>
    </row>
    <row r="339" spans="1:5" x14ac:dyDescent="0.35">
      <c r="A339" t="s">
        <v>316</v>
      </c>
      <c r="B339">
        <v>39</v>
      </c>
      <c r="C339" t="s">
        <v>6</v>
      </c>
      <c r="D339" t="s">
        <v>24</v>
      </c>
      <c r="E339" t="s">
        <v>13</v>
      </c>
    </row>
    <row r="340" spans="1:5" x14ac:dyDescent="0.35">
      <c r="A340" t="s">
        <v>320</v>
      </c>
      <c r="B340">
        <v>39</v>
      </c>
      <c r="C340" t="s">
        <v>10</v>
      </c>
      <c r="D340" t="s">
        <v>7</v>
      </c>
      <c r="E340" t="s">
        <v>11</v>
      </c>
    </row>
    <row r="341" spans="1:5" x14ac:dyDescent="0.35">
      <c r="A341" t="s">
        <v>348</v>
      </c>
      <c r="B341">
        <v>39</v>
      </c>
      <c r="C341" t="s">
        <v>10</v>
      </c>
      <c r="D341" t="s">
        <v>28</v>
      </c>
      <c r="E341" t="s">
        <v>8</v>
      </c>
    </row>
    <row r="342" spans="1:5" x14ac:dyDescent="0.35">
      <c r="A342" t="s">
        <v>427</v>
      </c>
      <c r="B342">
        <v>39</v>
      </c>
      <c r="C342" t="s">
        <v>6</v>
      </c>
      <c r="D342" t="s">
        <v>24</v>
      </c>
      <c r="E342" t="s">
        <v>20</v>
      </c>
    </row>
    <row r="343" spans="1:5" x14ac:dyDescent="0.35">
      <c r="A343" t="s">
        <v>449</v>
      </c>
      <c r="B343">
        <v>39</v>
      </c>
      <c r="C343" t="s">
        <v>10</v>
      </c>
      <c r="D343" t="s">
        <v>17</v>
      </c>
      <c r="E343" t="s">
        <v>13</v>
      </c>
    </row>
    <row r="344" spans="1:5" x14ac:dyDescent="0.35">
      <c r="A344" t="s">
        <v>470</v>
      </c>
      <c r="B344">
        <v>39</v>
      </c>
      <c r="C344" t="s">
        <v>10</v>
      </c>
      <c r="D344" t="s">
        <v>24</v>
      </c>
      <c r="E344" t="s">
        <v>11</v>
      </c>
    </row>
    <row r="345" spans="1:5" x14ac:dyDescent="0.35">
      <c r="A345" t="s">
        <v>72</v>
      </c>
      <c r="B345">
        <v>38</v>
      </c>
      <c r="C345" t="s">
        <v>10</v>
      </c>
      <c r="D345" t="s">
        <v>24</v>
      </c>
      <c r="E345" t="s">
        <v>20</v>
      </c>
    </row>
    <row r="346" spans="1:5" x14ac:dyDescent="0.35">
      <c r="A346" t="s">
        <v>115</v>
      </c>
      <c r="B346">
        <v>38</v>
      </c>
      <c r="C346" t="s">
        <v>6</v>
      </c>
      <c r="D346" t="s">
        <v>17</v>
      </c>
      <c r="E346" t="s">
        <v>20</v>
      </c>
    </row>
    <row r="347" spans="1:5" x14ac:dyDescent="0.35">
      <c r="A347" t="s">
        <v>352</v>
      </c>
      <c r="B347">
        <v>38</v>
      </c>
      <c r="C347" t="s">
        <v>6</v>
      </c>
      <c r="D347" t="s">
        <v>15</v>
      </c>
      <c r="E347" t="s">
        <v>20</v>
      </c>
    </row>
    <row r="348" spans="1:5" x14ac:dyDescent="0.35">
      <c r="A348" t="s">
        <v>401</v>
      </c>
      <c r="B348">
        <v>38</v>
      </c>
      <c r="C348" t="s">
        <v>10</v>
      </c>
      <c r="D348" t="s">
        <v>28</v>
      </c>
      <c r="E348" t="s">
        <v>8</v>
      </c>
    </row>
    <row r="349" spans="1:5" x14ac:dyDescent="0.35">
      <c r="A349" t="s">
        <v>507</v>
      </c>
      <c r="B349">
        <v>38</v>
      </c>
      <c r="C349" t="s">
        <v>6</v>
      </c>
      <c r="D349" t="s">
        <v>15</v>
      </c>
      <c r="E349" t="s">
        <v>8</v>
      </c>
    </row>
    <row r="350" spans="1:5" x14ac:dyDescent="0.35">
      <c r="A350" t="s">
        <v>16</v>
      </c>
      <c r="B350">
        <v>37</v>
      </c>
      <c r="C350" t="s">
        <v>6</v>
      </c>
      <c r="D350" t="s">
        <v>17</v>
      </c>
      <c r="E350" t="s">
        <v>8</v>
      </c>
    </row>
    <row r="351" spans="1:5" x14ac:dyDescent="0.35">
      <c r="A351" t="s">
        <v>86</v>
      </c>
      <c r="B351">
        <v>37</v>
      </c>
      <c r="C351" t="s">
        <v>10</v>
      </c>
      <c r="D351" t="s">
        <v>17</v>
      </c>
      <c r="E351" t="s">
        <v>20</v>
      </c>
    </row>
    <row r="352" spans="1:5" x14ac:dyDescent="0.35">
      <c r="A352" t="s">
        <v>210</v>
      </c>
      <c r="B352">
        <v>37</v>
      </c>
      <c r="C352" t="s">
        <v>10</v>
      </c>
      <c r="D352" t="s">
        <v>17</v>
      </c>
      <c r="E352" t="s">
        <v>20</v>
      </c>
    </row>
    <row r="353" spans="1:5" x14ac:dyDescent="0.35">
      <c r="A353" t="s">
        <v>223</v>
      </c>
      <c r="B353">
        <v>37</v>
      </c>
      <c r="C353" t="s">
        <v>6</v>
      </c>
      <c r="D353" t="s">
        <v>15</v>
      </c>
      <c r="E353" t="s">
        <v>8</v>
      </c>
    </row>
    <row r="354" spans="1:5" x14ac:dyDescent="0.35">
      <c r="A354" t="s">
        <v>311</v>
      </c>
      <c r="B354">
        <v>37</v>
      </c>
      <c r="C354" t="s">
        <v>6</v>
      </c>
      <c r="D354" t="s">
        <v>7</v>
      </c>
      <c r="E354" t="s">
        <v>25</v>
      </c>
    </row>
    <row r="355" spans="1:5" x14ac:dyDescent="0.35">
      <c r="A355" t="s">
        <v>388</v>
      </c>
      <c r="B355">
        <v>37</v>
      </c>
      <c r="C355" t="s">
        <v>6</v>
      </c>
      <c r="D355" t="s">
        <v>15</v>
      </c>
      <c r="E355" t="s">
        <v>8</v>
      </c>
    </row>
    <row r="356" spans="1:5" x14ac:dyDescent="0.35">
      <c r="A356" t="s">
        <v>418</v>
      </c>
      <c r="B356">
        <v>37</v>
      </c>
      <c r="C356" t="s">
        <v>10</v>
      </c>
      <c r="D356" t="s">
        <v>7</v>
      </c>
      <c r="E356" t="s">
        <v>13</v>
      </c>
    </row>
    <row r="357" spans="1:5" x14ac:dyDescent="0.35">
      <c r="A357" t="s">
        <v>486</v>
      </c>
      <c r="B357">
        <v>37</v>
      </c>
      <c r="C357" t="s">
        <v>10</v>
      </c>
      <c r="D357" t="s">
        <v>24</v>
      </c>
      <c r="E357" t="s">
        <v>8</v>
      </c>
    </row>
    <row r="358" spans="1:5" x14ac:dyDescent="0.35">
      <c r="A358" t="s">
        <v>489</v>
      </c>
      <c r="B358">
        <v>37</v>
      </c>
      <c r="C358" t="s">
        <v>6</v>
      </c>
      <c r="D358" t="s">
        <v>7</v>
      </c>
      <c r="E358" t="s">
        <v>11</v>
      </c>
    </row>
    <row r="359" spans="1:5" x14ac:dyDescent="0.35">
      <c r="A359" t="s">
        <v>103</v>
      </c>
      <c r="B359">
        <v>36</v>
      </c>
      <c r="C359" t="s">
        <v>10</v>
      </c>
      <c r="D359" t="s">
        <v>24</v>
      </c>
      <c r="E359" t="s">
        <v>20</v>
      </c>
    </row>
    <row r="360" spans="1:5" x14ac:dyDescent="0.35">
      <c r="A360" t="s">
        <v>266</v>
      </c>
      <c r="B360">
        <v>36</v>
      </c>
      <c r="C360" t="s">
        <v>10</v>
      </c>
      <c r="D360" t="s">
        <v>24</v>
      </c>
      <c r="E360" t="s">
        <v>20</v>
      </c>
    </row>
    <row r="361" spans="1:5" x14ac:dyDescent="0.35">
      <c r="A361" t="s">
        <v>356</v>
      </c>
      <c r="B361">
        <v>36</v>
      </c>
      <c r="C361" t="s">
        <v>6</v>
      </c>
      <c r="D361" t="s">
        <v>15</v>
      </c>
      <c r="E361" t="s">
        <v>13</v>
      </c>
    </row>
    <row r="362" spans="1:5" x14ac:dyDescent="0.35">
      <c r="A362" t="s">
        <v>460</v>
      </c>
      <c r="B362">
        <v>36</v>
      </c>
      <c r="C362" t="s">
        <v>6</v>
      </c>
      <c r="D362" t="s">
        <v>15</v>
      </c>
      <c r="E362" t="s">
        <v>11</v>
      </c>
    </row>
    <row r="363" spans="1:5" x14ac:dyDescent="0.35">
      <c r="A363" t="s">
        <v>42</v>
      </c>
      <c r="B363">
        <v>35</v>
      </c>
      <c r="C363" t="s">
        <v>10</v>
      </c>
      <c r="D363" t="s">
        <v>24</v>
      </c>
      <c r="E363" t="s">
        <v>20</v>
      </c>
    </row>
    <row r="364" spans="1:5" x14ac:dyDescent="0.35">
      <c r="A364" t="s">
        <v>136</v>
      </c>
      <c r="B364">
        <v>35</v>
      </c>
      <c r="C364" t="s">
        <v>10</v>
      </c>
      <c r="D364" t="s">
        <v>24</v>
      </c>
      <c r="E364" t="s">
        <v>11</v>
      </c>
    </row>
    <row r="365" spans="1:5" x14ac:dyDescent="0.35">
      <c r="A365" t="s">
        <v>164</v>
      </c>
      <c r="B365">
        <v>35</v>
      </c>
      <c r="C365" t="s">
        <v>6</v>
      </c>
      <c r="D365" t="s">
        <v>7</v>
      </c>
      <c r="E365" t="s">
        <v>11</v>
      </c>
    </row>
    <row r="366" spans="1:5" x14ac:dyDescent="0.35">
      <c r="A366" t="s">
        <v>185</v>
      </c>
      <c r="B366">
        <v>35</v>
      </c>
      <c r="C366" t="s">
        <v>6</v>
      </c>
      <c r="D366" t="s">
        <v>17</v>
      </c>
      <c r="E366" t="s">
        <v>11</v>
      </c>
    </row>
    <row r="367" spans="1:5" x14ac:dyDescent="0.35">
      <c r="A367" t="s">
        <v>251</v>
      </c>
      <c r="B367">
        <v>35</v>
      </c>
      <c r="C367" t="s">
        <v>6</v>
      </c>
      <c r="D367" t="s">
        <v>28</v>
      </c>
      <c r="E367" t="s">
        <v>13</v>
      </c>
    </row>
    <row r="368" spans="1:5" x14ac:dyDescent="0.35">
      <c r="A368" t="s">
        <v>370</v>
      </c>
      <c r="B368">
        <v>35</v>
      </c>
      <c r="C368" t="s">
        <v>6</v>
      </c>
      <c r="D368" t="s">
        <v>17</v>
      </c>
      <c r="E368" t="s">
        <v>8</v>
      </c>
    </row>
    <row r="369" spans="1:5" x14ac:dyDescent="0.35">
      <c r="A369" t="s">
        <v>402</v>
      </c>
      <c r="B369">
        <v>35</v>
      </c>
      <c r="C369" t="s">
        <v>10</v>
      </c>
      <c r="D369" t="s">
        <v>17</v>
      </c>
      <c r="E369" t="s">
        <v>11</v>
      </c>
    </row>
    <row r="370" spans="1:5" x14ac:dyDescent="0.35">
      <c r="A370" t="s">
        <v>469</v>
      </c>
      <c r="B370">
        <v>35</v>
      </c>
      <c r="C370" t="s">
        <v>6</v>
      </c>
      <c r="D370" t="s">
        <v>28</v>
      </c>
      <c r="E370" t="s">
        <v>8</v>
      </c>
    </row>
    <row r="371" spans="1:5" x14ac:dyDescent="0.35">
      <c r="A371" t="s">
        <v>505</v>
      </c>
      <c r="B371">
        <v>35</v>
      </c>
      <c r="C371" t="s">
        <v>10</v>
      </c>
      <c r="D371" t="s">
        <v>15</v>
      </c>
      <c r="E371" t="s">
        <v>20</v>
      </c>
    </row>
    <row r="372" spans="1:5" x14ac:dyDescent="0.35">
      <c r="A372" t="s">
        <v>47</v>
      </c>
      <c r="B372">
        <v>34</v>
      </c>
      <c r="C372" t="s">
        <v>10</v>
      </c>
      <c r="D372" t="s">
        <v>24</v>
      </c>
      <c r="E372" t="s">
        <v>20</v>
      </c>
    </row>
    <row r="373" spans="1:5" x14ac:dyDescent="0.35">
      <c r="A373" t="s">
        <v>59</v>
      </c>
      <c r="B373">
        <v>34</v>
      </c>
      <c r="C373" t="s">
        <v>6</v>
      </c>
      <c r="D373" t="s">
        <v>15</v>
      </c>
      <c r="E373" t="s">
        <v>25</v>
      </c>
    </row>
    <row r="374" spans="1:5" x14ac:dyDescent="0.35">
      <c r="A374" t="s">
        <v>91</v>
      </c>
      <c r="B374">
        <v>34</v>
      </c>
      <c r="C374" t="s">
        <v>10</v>
      </c>
      <c r="D374" t="s">
        <v>7</v>
      </c>
      <c r="E374" t="s">
        <v>13</v>
      </c>
    </row>
    <row r="375" spans="1:5" x14ac:dyDescent="0.35">
      <c r="A375" t="s">
        <v>108</v>
      </c>
      <c r="B375">
        <v>34</v>
      </c>
      <c r="C375" t="s">
        <v>10</v>
      </c>
      <c r="D375" t="s">
        <v>7</v>
      </c>
      <c r="E375" t="s">
        <v>25</v>
      </c>
    </row>
    <row r="376" spans="1:5" x14ac:dyDescent="0.35">
      <c r="A376" t="s">
        <v>126</v>
      </c>
      <c r="B376">
        <v>34</v>
      </c>
      <c r="C376" t="s">
        <v>6</v>
      </c>
      <c r="D376" t="s">
        <v>15</v>
      </c>
      <c r="E376" t="s">
        <v>8</v>
      </c>
    </row>
    <row r="377" spans="1:5" x14ac:dyDescent="0.35">
      <c r="A377" t="s">
        <v>138</v>
      </c>
      <c r="B377">
        <v>34</v>
      </c>
      <c r="C377" t="s">
        <v>10</v>
      </c>
      <c r="D377" t="s">
        <v>24</v>
      </c>
      <c r="E377" t="s">
        <v>20</v>
      </c>
    </row>
    <row r="378" spans="1:5" x14ac:dyDescent="0.35">
      <c r="A378" t="s">
        <v>228</v>
      </c>
      <c r="B378">
        <v>34</v>
      </c>
      <c r="C378" t="s">
        <v>10</v>
      </c>
      <c r="D378" t="s">
        <v>15</v>
      </c>
      <c r="E378" t="s">
        <v>25</v>
      </c>
    </row>
    <row r="379" spans="1:5" x14ac:dyDescent="0.35">
      <c r="A379" t="s">
        <v>300</v>
      </c>
      <c r="B379">
        <v>34</v>
      </c>
      <c r="C379" t="s">
        <v>6</v>
      </c>
      <c r="D379" t="s">
        <v>7</v>
      </c>
      <c r="E379" t="s">
        <v>20</v>
      </c>
    </row>
    <row r="380" spans="1:5" x14ac:dyDescent="0.35">
      <c r="A380" t="s">
        <v>314</v>
      </c>
      <c r="B380">
        <v>34</v>
      </c>
      <c r="C380" t="s">
        <v>6</v>
      </c>
      <c r="D380" t="s">
        <v>7</v>
      </c>
      <c r="E380" t="s">
        <v>8</v>
      </c>
    </row>
    <row r="381" spans="1:5" x14ac:dyDescent="0.35">
      <c r="A381" t="s">
        <v>317</v>
      </c>
      <c r="B381">
        <v>34</v>
      </c>
      <c r="C381" t="s">
        <v>6</v>
      </c>
      <c r="D381" t="s">
        <v>15</v>
      </c>
      <c r="E381" t="s">
        <v>13</v>
      </c>
    </row>
    <row r="382" spans="1:5" x14ac:dyDescent="0.35">
      <c r="A382" t="s">
        <v>375</v>
      </c>
      <c r="B382">
        <v>34</v>
      </c>
      <c r="C382" t="s">
        <v>10</v>
      </c>
      <c r="D382" t="s">
        <v>17</v>
      </c>
      <c r="E382" t="s">
        <v>20</v>
      </c>
    </row>
    <row r="383" spans="1:5" x14ac:dyDescent="0.35">
      <c r="A383" t="s">
        <v>392</v>
      </c>
      <c r="B383">
        <v>34</v>
      </c>
      <c r="C383" t="s">
        <v>6</v>
      </c>
      <c r="D383" t="s">
        <v>28</v>
      </c>
      <c r="E383" t="s">
        <v>13</v>
      </c>
    </row>
    <row r="384" spans="1:5" x14ac:dyDescent="0.35">
      <c r="A384" t="s">
        <v>414</v>
      </c>
      <c r="B384">
        <v>34</v>
      </c>
      <c r="C384" t="s">
        <v>6</v>
      </c>
      <c r="D384" t="s">
        <v>28</v>
      </c>
      <c r="E384" t="s">
        <v>8</v>
      </c>
    </row>
    <row r="385" spans="1:5" x14ac:dyDescent="0.35">
      <c r="A385" t="s">
        <v>125</v>
      </c>
      <c r="B385">
        <v>33</v>
      </c>
      <c r="C385" t="s">
        <v>6</v>
      </c>
      <c r="D385" t="s">
        <v>28</v>
      </c>
      <c r="E385" t="s">
        <v>11</v>
      </c>
    </row>
    <row r="386" spans="1:5" x14ac:dyDescent="0.35">
      <c r="A386" t="s">
        <v>155</v>
      </c>
      <c r="B386">
        <v>33</v>
      </c>
      <c r="C386" t="s">
        <v>6</v>
      </c>
      <c r="D386" t="s">
        <v>17</v>
      </c>
      <c r="E386" t="s">
        <v>20</v>
      </c>
    </row>
    <row r="387" spans="1:5" x14ac:dyDescent="0.35">
      <c r="A387" t="s">
        <v>172</v>
      </c>
      <c r="B387">
        <v>33</v>
      </c>
      <c r="C387" t="s">
        <v>6</v>
      </c>
      <c r="D387" t="s">
        <v>7</v>
      </c>
      <c r="E387" t="s">
        <v>13</v>
      </c>
    </row>
    <row r="388" spans="1:5" x14ac:dyDescent="0.35">
      <c r="A388" t="s">
        <v>118</v>
      </c>
      <c r="B388">
        <v>32</v>
      </c>
      <c r="C388" t="s">
        <v>10</v>
      </c>
      <c r="D388" t="s">
        <v>28</v>
      </c>
      <c r="E388" t="s">
        <v>8</v>
      </c>
    </row>
    <row r="389" spans="1:5" x14ac:dyDescent="0.35">
      <c r="A389" t="s">
        <v>150</v>
      </c>
      <c r="B389">
        <v>32</v>
      </c>
      <c r="C389" t="s">
        <v>6</v>
      </c>
      <c r="D389" t="s">
        <v>15</v>
      </c>
      <c r="E389" t="s">
        <v>20</v>
      </c>
    </row>
    <row r="390" spans="1:5" x14ac:dyDescent="0.35">
      <c r="A390" t="s">
        <v>192</v>
      </c>
      <c r="B390">
        <v>32</v>
      </c>
      <c r="C390" t="s">
        <v>6</v>
      </c>
      <c r="D390" t="s">
        <v>15</v>
      </c>
      <c r="E390" t="s">
        <v>11</v>
      </c>
    </row>
    <row r="391" spans="1:5" x14ac:dyDescent="0.35">
      <c r="A391" t="s">
        <v>342</v>
      </c>
      <c r="B391">
        <v>32</v>
      </c>
      <c r="C391" t="s">
        <v>10</v>
      </c>
      <c r="D391" t="s">
        <v>7</v>
      </c>
      <c r="E391" t="s">
        <v>25</v>
      </c>
    </row>
    <row r="392" spans="1:5" x14ac:dyDescent="0.35">
      <c r="A392" t="s">
        <v>362</v>
      </c>
      <c r="B392">
        <v>32</v>
      </c>
      <c r="C392" t="s">
        <v>10</v>
      </c>
      <c r="D392" t="s">
        <v>24</v>
      </c>
      <c r="E392" t="s">
        <v>25</v>
      </c>
    </row>
    <row r="393" spans="1:5" x14ac:dyDescent="0.35">
      <c r="A393" t="s">
        <v>371</v>
      </c>
      <c r="B393">
        <v>32</v>
      </c>
      <c r="C393" t="s">
        <v>6</v>
      </c>
      <c r="D393" t="s">
        <v>24</v>
      </c>
      <c r="E393" t="s">
        <v>25</v>
      </c>
    </row>
    <row r="394" spans="1:5" x14ac:dyDescent="0.35">
      <c r="A394" t="s">
        <v>390</v>
      </c>
      <c r="B394">
        <v>32</v>
      </c>
      <c r="C394" t="s">
        <v>10</v>
      </c>
      <c r="D394" t="s">
        <v>7</v>
      </c>
      <c r="E394" t="s">
        <v>11</v>
      </c>
    </row>
    <row r="395" spans="1:5" x14ac:dyDescent="0.35">
      <c r="A395" t="s">
        <v>431</v>
      </c>
      <c r="B395">
        <v>32</v>
      </c>
      <c r="C395" t="s">
        <v>10</v>
      </c>
      <c r="D395" t="s">
        <v>24</v>
      </c>
      <c r="E395" t="s">
        <v>20</v>
      </c>
    </row>
    <row r="396" spans="1:5" x14ac:dyDescent="0.35">
      <c r="A396" t="s">
        <v>508</v>
      </c>
      <c r="B396">
        <v>32</v>
      </c>
      <c r="C396" t="s">
        <v>10</v>
      </c>
      <c r="D396" t="s">
        <v>24</v>
      </c>
      <c r="E396" t="s">
        <v>25</v>
      </c>
    </row>
    <row r="397" spans="1:5" x14ac:dyDescent="0.35">
      <c r="A397" t="s">
        <v>31</v>
      </c>
      <c r="B397">
        <v>31</v>
      </c>
      <c r="C397" t="s">
        <v>6</v>
      </c>
      <c r="D397" t="s">
        <v>7</v>
      </c>
      <c r="E397" t="s">
        <v>11</v>
      </c>
    </row>
    <row r="398" spans="1:5" x14ac:dyDescent="0.35">
      <c r="A398" t="s">
        <v>130</v>
      </c>
      <c r="B398">
        <v>31</v>
      </c>
      <c r="C398" t="s">
        <v>10</v>
      </c>
      <c r="D398" t="s">
        <v>24</v>
      </c>
      <c r="E398" t="s">
        <v>8</v>
      </c>
    </row>
    <row r="399" spans="1:5" x14ac:dyDescent="0.35">
      <c r="A399" t="s">
        <v>139</v>
      </c>
      <c r="B399">
        <v>31</v>
      </c>
      <c r="C399" t="s">
        <v>6</v>
      </c>
      <c r="D399" t="s">
        <v>15</v>
      </c>
      <c r="E399" t="s">
        <v>20</v>
      </c>
    </row>
    <row r="400" spans="1:5" x14ac:dyDescent="0.35">
      <c r="A400" t="s">
        <v>182</v>
      </c>
      <c r="B400">
        <v>31</v>
      </c>
      <c r="C400" t="s">
        <v>10</v>
      </c>
      <c r="D400" t="s">
        <v>24</v>
      </c>
      <c r="E400" t="s">
        <v>11</v>
      </c>
    </row>
    <row r="401" spans="1:5" x14ac:dyDescent="0.35">
      <c r="A401" t="s">
        <v>233</v>
      </c>
      <c r="B401">
        <v>31</v>
      </c>
      <c r="C401" t="s">
        <v>6</v>
      </c>
      <c r="D401" t="s">
        <v>24</v>
      </c>
      <c r="E401" t="s">
        <v>20</v>
      </c>
    </row>
    <row r="402" spans="1:5" x14ac:dyDescent="0.35">
      <c r="A402" t="s">
        <v>322</v>
      </c>
      <c r="B402">
        <v>31</v>
      </c>
      <c r="C402" t="s">
        <v>10</v>
      </c>
      <c r="D402" t="s">
        <v>7</v>
      </c>
      <c r="E402" t="s">
        <v>11</v>
      </c>
    </row>
    <row r="403" spans="1:5" x14ac:dyDescent="0.35">
      <c r="A403" t="s">
        <v>454</v>
      </c>
      <c r="B403">
        <v>31</v>
      </c>
      <c r="C403" t="s">
        <v>10</v>
      </c>
      <c r="D403" t="s">
        <v>24</v>
      </c>
      <c r="E403" t="s">
        <v>20</v>
      </c>
    </row>
    <row r="404" spans="1:5" x14ac:dyDescent="0.35">
      <c r="A404" t="s">
        <v>513</v>
      </c>
      <c r="B404">
        <v>31</v>
      </c>
      <c r="C404" t="s">
        <v>10</v>
      </c>
      <c r="D404" t="s">
        <v>28</v>
      </c>
      <c r="E404" t="s">
        <v>20</v>
      </c>
    </row>
    <row r="405" spans="1:5" x14ac:dyDescent="0.35">
      <c r="A405" t="s">
        <v>153</v>
      </c>
      <c r="B405">
        <v>30</v>
      </c>
      <c r="C405" t="s">
        <v>6</v>
      </c>
      <c r="D405" t="s">
        <v>15</v>
      </c>
      <c r="E405" t="s">
        <v>13</v>
      </c>
    </row>
    <row r="406" spans="1:5" x14ac:dyDescent="0.35">
      <c r="A406" t="s">
        <v>162</v>
      </c>
      <c r="B406">
        <v>30</v>
      </c>
      <c r="C406" t="s">
        <v>6</v>
      </c>
      <c r="D406" t="s">
        <v>7</v>
      </c>
      <c r="E406" t="s">
        <v>11</v>
      </c>
    </row>
    <row r="407" spans="1:5" x14ac:dyDescent="0.35">
      <c r="A407" t="s">
        <v>163</v>
      </c>
      <c r="B407">
        <v>30</v>
      </c>
      <c r="C407" t="s">
        <v>10</v>
      </c>
      <c r="D407" t="s">
        <v>28</v>
      </c>
      <c r="E407" t="s">
        <v>25</v>
      </c>
    </row>
    <row r="408" spans="1:5" x14ac:dyDescent="0.35">
      <c r="A408" t="s">
        <v>231</v>
      </c>
      <c r="B408">
        <v>30</v>
      </c>
      <c r="C408" t="s">
        <v>10</v>
      </c>
      <c r="D408" t="s">
        <v>7</v>
      </c>
      <c r="E408" t="s">
        <v>8</v>
      </c>
    </row>
    <row r="409" spans="1:5" x14ac:dyDescent="0.35">
      <c r="A409" t="s">
        <v>272</v>
      </c>
      <c r="B409">
        <v>30</v>
      </c>
      <c r="C409" t="s">
        <v>10</v>
      </c>
      <c r="D409" t="s">
        <v>17</v>
      </c>
      <c r="E409" t="s">
        <v>11</v>
      </c>
    </row>
    <row r="410" spans="1:5" x14ac:dyDescent="0.35">
      <c r="A410" t="s">
        <v>297</v>
      </c>
      <c r="B410">
        <v>30</v>
      </c>
      <c r="C410" t="s">
        <v>10</v>
      </c>
      <c r="D410" t="s">
        <v>17</v>
      </c>
      <c r="E410" t="s">
        <v>8</v>
      </c>
    </row>
    <row r="411" spans="1:5" x14ac:dyDescent="0.35">
      <c r="A411" t="s">
        <v>340</v>
      </c>
      <c r="B411">
        <v>30</v>
      </c>
      <c r="C411" t="s">
        <v>6</v>
      </c>
      <c r="D411" t="s">
        <v>15</v>
      </c>
      <c r="E411" t="s">
        <v>11</v>
      </c>
    </row>
    <row r="412" spans="1:5" x14ac:dyDescent="0.35">
      <c r="A412" t="s">
        <v>457</v>
      </c>
      <c r="B412">
        <v>30</v>
      </c>
      <c r="C412" t="s">
        <v>6</v>
      </c>
      <c r="D412" t="s">
        <v>15</v>
      </c>
      <c r="E412" t="s">
        <v>11</v>
      </c>
    </row>
    <row r="413" spans="1:5" x14ac:dyDescent="0.35">
      <c r="A413" t="s">
        <v>14</v>
      </c>
      <c r="B413">
        <v>29</v>
      </c>
      <c r="C413" t="s">
        <v>10</v>
      </c>
      <c r="D413" t="s">
        <v>15</v>
      </c>
      <c r="E413" t="s">
        <v>8</v>
      </c>
    </row>
    <row r="414" spans="1:5" x14ac:dyDescent="0.35">
      <c r="A414" t="s">
        <v>55</v>
      </c>
      <c r="B414">
        <v>29</v>
      </c>
      <c r="C414" t="s">
        <v>10</v>
      </c>
      <c r="D414" t="s">
        <v>15</v>
      </c>
      <c r="E414" t="s">
        <v>11</v>
      </c>
    </row>
    <row r="415" spans="1:5" x14ac:dyDescent="0.35">
      <c r="A415" t="s">
        <v>102</v>
      </c>
      <c r="B415">
        <v>29</v>
      </c>
      <c r="C415" t="s">
        <v>6</v>
      </c>
      <c r="D415" t="s">
        <v>28</v>
      </c>
      <c r="E415" t="s">
        <v>11</v>
      </c>
    </row>
    <row r="416" spans="1:5" x14ac:dyDescent="0.35">
      <c r="A416" t="s">
        <v>112</v>
      </c>
      <c r="B416">
        <v>29</v>
      </c>
      <c r="C416" t="s">
        <v>6</v>
      </c>
      <c r="D416" t="s">
        <v>7</v>
      </c>
      <c r="E416" t="s">
        <v>13</v>
      </c>
    </row>
    <row r="417" spans="1:5" x14ac:dyDescent="0.35">
      <c r="A417" t="s">
        <v>117</v>
      </c>
      <c r="B417">
        <v>29</v>
      </c>
      <c r="C417" t="s">
        <v>6</v>
      </c>
      <c r="D417" t="s">
        <v>7</v>
      </c>
      <c r="E417" t="s">
        <v>8</v>
      </c>
    </row>
    <row r="418" spans="1:5" x14ac:dyDescent="0.35">
      <c r="A418" t="s">
        <v>195</v>
      </c>
      <c r="B418">
        <v>29</v>
      </c>
      <c r="C418" t="s">
        <v>10</v>
      </c>
      <c r="D418" t="s">
        <v>7</v>
      </c>
      <c r="E418" t="s">
        <v>20</v>
      </c>
    </row>
    <row r="419" spans="1:5" x14ac:dyDescent="0.35">
      <c r="A419" t="s">
        <v>294</v>
      </c>
      <c r="B419">
        <v>29</v>
      </c>
      <c r="C419" t="s">
        <v>10</v>
      </c>
      <c r="D419" t="s">
        <v>24</v>
      </c>
      <c r="E419" t="s">
        <v>11</v>
      </c>
    </row>
    <row r="420" spans="1:5" x14ac:dyDescent="0.35">
      <c r="A420" t="s">
        <v>315</v>
      </c>
      <c r="B420">
        <v>29</v>
      </c>
      <c r="C420" t="s">
        <v>10</v>
      </c>
      <c r="D420" t="s">
        <v>28</v>
      </c>
      <c r="E420" t="s">
        <v>13</v>
      </c>
    </row>
    <row r="421" spans="1:5" x14ac:dyDescent="0.35">
      <c r="A421" t="s">
        <v>369</v>
      </c>
      <c r="B421">
        <v>29</v>
      </c>
      <c r="C421" t="s">
        <v>10</v>
      </c>
      <c r="D421" t="s">
        <v>15</v>
      </c>
      <c r="E421" t="s">
        <v>11</v>
      </c>
    </row>
    <row r="422" spans="1:5" x14ac:dyDescent="0.35">
      <c r="A422" t="s">
        <v>455</v>
      </c>
      <c r="B422">
        <v>29</v>
      </c>
      <c r="C422" t="s">
        <v>10</v>
      </c>
      <c r="D422" t="s">
        <v>24</v>
      </c>
      <c r="E422" t="s">
        <v>13</v>
      </c>
    </row>
    <row r="423" spans="1:5" x14ac:dyDescent="0.35">
      <c r="A423" t="s">
        <v>456</v>
      </c>
      <c r="B423">
        <v>29</v>
      </c>
      <c r="C423" t="s">
        <v>6</v>
      </c>
      <c r="D423" t="s">
        <v>24</v>
      </c>
      <c r="E423" t="s">
        <v>11</v>
      </c>
    </row>
    <row r="424" spans="1:5" x14ac:dyDescent="0.35">
      <c r="A424" t="s">
        <v>503</v>
      </c>
      <c r="B424">
        <v>29</v>
      </c>
      <c r="C424" t="s">
        <v>6</v>
      </c>
      <c r="D424" t="s">
        <v>28</v>
      </c>
      <c r="E424" t="s">
        <v>20</v>
      </c>
    </row>
    <row r="425" spans="1:5" x14ac:dyDescent="0.35">
      <c r="A425" t="s">
        <v>5</v>
      </c>
      <c r="B425">
        <v>28</v>
      </c>
      <c r="C425" t="s">
        <v>6</v>
      </c>
      <c r="D425" t="s">
        <v>7</v>
      </c>
      <c r="E425" t="s">
        <v>8</v>
      </c>
    </row>
    <row r="426" spans="1:5" x14ac:dyDescent="0.35">
      <c r="A426" t="s">
        <v>73</v>
      </c>
      <c r="B426">
        <v>28</v>
      </c>
      <c r="C426" t="s">
        <v>6</v>
      </c>
      <c r="D426" t="s">
        <v>15</v>
      </c>
      <c r="E426" t="s">
        <v>13</v>
      </c>
    </row>
    <row r="427" spans="1:5" x14ac:dyDescent="0.35">
      <c r="A427" t="s">
        <v>75</v>
      </c>
      <c r="B427">
        <v>28</v>
      </c>
      <c r="C427" t="s">
        <v>6</v>
      </c>
      <c r="D427" t="s">
        <v>17</v>
      </c>
      <c r="E427" t="s">
        <v>8</v>
      </c>
    </row>
    <row r="428" spans="1:5" x14ac:dyDescent="0.35">
      <c r="A428" t="s">
        <v>204</v>
      </c>
      <c r="B428">
        <v>28</v>
      </c>
      <c r="C428" t="s">
        <v>10</v>
      </c>
      <c r="D428" t="s">
        <v>17</v>
      </c>
      <c r="E428" t="s">
        <v>8</v>
      </c>
    </row>
    <row r="429" spans="1:5" x14ac:dyDescent="0.35">
      <c r="A429" t="s">
        <v>234</v>
      </c>
      <c r="B429">
        <v>28</v>
      </c>
      <c r="C429" t="s">
        <v>10</v>
      </c>
      <c r="D429" t="s">
        <v>15</v>
      </c>
      <c r="E429" t="s">
        <v>20</v>
      </c>
    </row>
    <row r="430" spans="1:5" x14ac:dyDescent="0.35">
      <c r="A430" t="s">
        <v>246</v>
      </c>
      <c r="B430">
        <v>28</v>
      </c>
      <c r="C430" t="s">
        <v>10</v>
      </c>
      <c r="D430" t="s">
        <v>28</v>
      </c>
      <c r="E430" t="s">
        <v>11</v>
      </c>
    </row>
    <row r="431" spans="1:5" x14ac:dyDescent="0.35">
      <c r="A431" t="s">
        <v>330</v>
      </c>
      <c r="B431">
        <v>28</v>
      </c>
      <c r="C431" t="s">
        <v>10</v>
      </c>
      <c r="D431" t="s">
        <v>17</v>
      </c>
      <c r="E431" t="s">
        <v>25</v>
      </c>
    </row>
    <row r="432" spans="1:5" x14ac:dyDescent="0.35">
      <c r="A432" t="s">
        <v>399</v>
      </c>
      <c r="B432">
        <v>28</v>
      </c>
      <c r="C432" t="s">
        <v>10</v>
      </c>
      <c r="D432" t="s">
        <v>15</v>
      </c>
      <c r="E432" t="s">
        <v>13</v>
      </c>
    </row>
    <row r="433" spans="1:5" x14ac:dyDescent="0.35">
      <c r="A433" t="s">
        <v>406</v>
      </c>
      <c r="B433">
        <v>28</v>
      </c>
      <c r="C433" t="s">
        <v>10</v>
      </c>
      <c r="D433" t="s">
        <v>15</v>
      </c>
      <c r="E433" t="s">
        <v>11</v>
      </c>
    </row>
    <row r="434" spans="1:5" x14ac:dyDescent="0.35">
      <c r="A434" t="s">
        <v>411</v>
      </c>
      <c r="B434">
        <v>28</v>
      </c>
      <c r="C434" t="s">
        <v>6</v>
      </c>
      <c r="D434" t="s">
        <v>17</v>
      </c>
      <c r="E434" t="s">
        <v>8</v>
      </c>
    </row>
    <row r="435" spans="1:5" x14ac:dyDescent="0.35">
      <c r="A435" t="s">
        <v>57</v>
      </c>
      <c r="B435">
        <v>27</v>
      </c>
      <c r="C435" t="s">
        <v>6</v>
      </c>
      <c r="D435" t="s">
        <v>7</v>
      </c>
      <c r="E435" t="s">
        <v>11</v>
      </c>
    </row>
    <row r="436" spans="1:5" x14ac:dyDescent="0.35">
      <c r="A436" t="s">
        <v>124</v>
      </c>
      <c r="B436">
        <v>27</v>
      </c>
      <c r="C436" t="s">
        <v>10</v>
      </c>
      <c r="D436" t="s">
        <v>15</v>
      </c>
      <c r="E436" t="s">
        <v>13</v>
      </c>
    </row>
    <row r="437" spans="1:5" x14ac:dyDescent="0.35">
      <c r="A437" t="s">
        <v>174</v>
      </c>
      <c r="B437">
        <v>27</v>
      </c>
      <c r="C437" t="s">
        <v>10</v>
      </c>
      <c r="D437" t="s">
        <v>15</v>
      </c>
      <c r="E437" t="s">
        <v>8</v>
      </c>
    </row>
    <row r="438" spans="1:5" x14ac:dyDescent="0.35">
      <c r="A438" t="s">
        <v>287</v>
      </c>
      <c r="B438">
        <v>27</v>
      </c>
      <c r="C438" t="s">
        <v>10</v>
      </c>
      <c r="D438" t="s">
        <v>17</v>
      </c>
      <c r="E438" t="s">
        <v>20</v>
      </c>
    </row>
    <row r="439" spans="1:5" x14ac:dyDescent="0.35">
      <c r="A439" t="s">
        <v>318</v>
      </c>
      <c r="B439">
        <v>27</v>
      </c>
      <c r="C439" t="s">
        <v>10</v>
      </c>
      <c r="D439" t="s">
        <v>7</v>
      </c>
      <c r="E439" t="s">
        <v>13</v>
      </c>
    </row>
    <row r="440" spans="1:5" x14ac:dyDescent="0.35">
      <c r="A440" t="s">
        <v>22</v>
      </c>
      <c r="B440">
        <v>26</v>
      </c>
      <c r="C440" t="s">
        <v>10</v>
      </c>
      <c r="D440" t="s">
        <v>15</v>
      </c>
      <c r="E440" t="s">
        <v>8</v>
      </c>
    </row>
    <row r="441" spans="1:5" x14ac:dyDescent="0.35">
      <c r="A441" t="s">
        <v>32</v>
      </c>
      <c r="B441">
        <v>26</v>
      </c>
      <c r="C441" t="s">
        <v>6</v>
      </c>
      <c r="D441" t="s">
        <v>28</v>
      </c>
      <c r="E441" t="s">
        <v>25</v>
      </c>
    </row>
    <row r="442" spans="1:5" x14ac:dyDescent="0.35">
      <c r="A442" t="s">
        <v>132</v>
      </c>
      <c r="B442">
        <v>26</v>
      </c>
      <c r="C442" t="s">
        <v>10</v>
      </c>
      <c r="D442" t="s">
        <v>24</v>
      </c>
      <c r="E442" t="s">
        <v>8</v>
      </c>
    </row>
    <row r="443" spans="1:5" x14ac:dyDescent="0.35">
      <c r="A443" t="s">
        <v>222</v>
      </c>
      <c r="B443">
        <v>26</v>
      </c>
      <c r="C443" t="s">
        <v>6</v>
      </c>
      <c r="D443" t="s">
        <v>24</v>
      </c>
      <c r="E443" t="s">
        <v>20</v>
      </c>
    </row>
    <row r="444" spans="1:5" x14ac:dyDescent="0.35">
      <c r="A444" t="s">
        <v>238</v>
      </c>
      <c r="B444">
        <v>26</v>
      </c>
      <c r="C444" t="s">
        <v>10</v>
      </c>
      <c r="D444" t="s">
        <v>17</v>
      </c>
      <c r="E444" t="s">
        <v>20</v>
      </c>
    </row>
    <row r="445" spans="1:5" x14ac:dyDescent="0.35">
      <c r="A445" t="s">
        <v>242</v>
      </c>
      <c r="B445">
        <v>26</v>
      </c>
      <c r="C445" t="s">
        <v>6</v>
      </c>
      <c r="D445" t="s">
        <v>24</v>
      </c>
      <c r="E445" t="s">
        <v>11</v>
      </c>
    </row>
    <row r="446" spans="1:5" x14ac:dyDescent="0.35">
      <c r="A446" t="s">
        <v>393</v>
      </c>
      <c r="B446">
        <v>26</v>
      </c>
      <c r="C446" t="s">
        <v>10</v>
      </c>
      <c r="D446" t="s">
        <v>7</v>
      </c>
      <c r="E446" t="s">
        <v>11</v>
      </c>
    </row>
    <row r="447" spans="1:5" x14ac:dyDescent="0.35">
      <c r="A447" t="s">
        <v>437</v>
      </c>
      <c r="B447">
        <v>26</v>
      </c>
      <c r="C447" t="s">
        <v>10</v>
      </c>
      <c r="D447" t="s">
        <v>15</v>
      </c>
      <c r="E447" t="s">
        <v>20</v>
      </c>
    </row>
    <row r="448" spans="1:5" x14ac:dyDescent="0.35">
      <c r="A448" t="s">
        <v>114</v>
      </c>
      <c r="B448">
        <v>25</v>
      </c>
      <c r="C448" t="s">
        <v>6</v>
      </c>
      <c r="D448" t="s">
        <v>15</v>
      </c>
      <c r="E448" t="s">
        <v>20</v>
      </c>
    </row>
    <row r="449" spans="1:5" x14ac:dyDescent="0.35">
      <c r="A449" t="s">
        <v>377</v>
      </c>
      <c r="B449">
        <v>25</v>
      </c>
      <c r="C449" t="s">
        <v>6</v>
      </c>
      <c r="D449" t="s">
        <v>15</v>
      </c>
      <c r="E449" t="s">
        <v>8</v>
      </c>
    </row>
    <row r="450" spans="1:5" x14ac:dyDescent="0.35">
      <c r="A450" t="s">
        <v>410</v>
      </c>
      <c r="B450">
        <v>25</v>
      </c>
      <c r="C450" t="s">
        <v>10</v>
      </c>
      <c r="D450" t="s">
        <v>28</v>
      </c>
      <c r="E450" t="s">
        <v>20</v>
      </c>
    </row>
    <row r="451" spans="1:5" x14ac:dyDescent="0.35">
      <c r="A451" t="s">
        <v>441</v>
      </c>
      <c r="B451">
        <v>25</v>
      </c>
      <c r="C451" t="s">
        <v>6</v>
      </c>
      <c r="D451" t="s">
        <v>28</v>
      </c>
      <c r="E451" t="s">
        <v>11</v>
      </c>
    </row>
    <row r="452" spans="1:5" x14ac:dyDescent="0.35">
      <c r="A452" t="s">
        <v>463</v>
      </c>
      <c r="B452">
        <v>25</v>
      </c>
      <c r="C452" t="s">
        <v>10</v>
      </c>
      <c r="D452" t="s">
        <v>7</v>
      </c>
      <c r="E452" t="s">
        <v>8</v>
      </c>
    </row>
    <row r="453" spans="1:5" x14ac:dyDescent="0.35">
      <c r="A453" t="s">
        <v>510</v>
      </c>
      <c r="B453">
        <v>25</v>
      </c>
      <c r="C453" t="s">
        <v>6</v>
      </c>
      <c r="D453" t="s">
        <v>15</v>
      </c>
      <c r="E453" t="s">
        <v>11</v>
      </c>
    </row>
    <row r="454" spans="1:5" x14ac:dyDescent="0.35">
      <c r="A454" t="s">
        <v>129</v>
      </c>
      <c r="B454">
        <v>24</v>
      </c>
      <c r="C454" t="s">
        <v>10</v>
      </c>
      <c r="D454" t="s">
        <v>24</v>
      </c>
      <c r="E454" t="s">
        <v>8</v>
      </c>
    </row>
    <row r="455" spans="1:5" x14ac:dyDescent="0.35">
      <c r="A455" t="s">
        <v>131</v>
      </c>
      <c r="B455">
        <v>24</v>
      </c>
      <c r="C455" t="s">
        <v>10</v>
      </c>
      <c r="D455" t="s">
        <v>7</v>
      </c>
      <c r="E455" t="s">
        <v>20</v>
      </c>
    </row>
    <row r="456" spans="1:5" x14ac:dyDescent="0.35">
      <c r="A456" t="s">
        <v>280</v>
      </c>
      <c r="B456">
        <v>24</v>
      </c>
      <c r="C456" t="s">
        <v>6</v>
      </c>
      <c r="D456" t="s">
        <v>7</v>
      </c>
      <c r="E456" t="s">
        <v>8</v>
      </c>
    </row>
    <row r="457" spans="1:5" x14ac:dyDescent="0.35">
      <c r="A457" t="s">
        <v>328</v>
      </c>
      <c r="B457">
        <v>24</v>
      </c>
      <c r="C457" t="s">
        <v>6</v>
      </c>
      <c r="D457" t="s">
        <v>24</v>
      </c>
      <c r="E457" t="s">
        <v>11</v>
      </c>
    </row>
    <row r="458" spans="1:5" x14ac:dyDescent="0.35">
      <c r="A458" t="s">
        <v>445</v>
      </c>
      <c r="B458">
        <v>24</v>
      </c>
      <c r="C458" t="s">
        <v>6</v>
      </c>
      <c r="D458" t="s">
        <v>17</v>
      </c>
      <c r="E458" t="s">
        <v>20</v>
      </c>
    </row>
    <row r="459" spans="1:5" x14ac:dyDescent="0.35">
      <c r="A459" t="s">
        <v>480</v>
      </c>
      <c r="B459">
        <v>24</v>
      </c>
      <c r="C459" t="s">
        <v>10</v>
      </c>
      <c r="D459" t="s">
        <v>7</v>
      </c>
      <c r="E459" t="s">
        <v>11</v>
      </c>
    </row>
    <row r="460" spans="1:5" x14ac:dyDescent="0.35">
      <c r="A460" t="s">
        <v>53</v>
      </c>
      <c r="B460">
        <v>23</v>
      </c>
      <c r="C460" t="s">
        <v>6</v>
      </c>
      <c r="D460" t="s">
        <v>24</v>
      </c>
      <c r="E460" t="s">
        <v>13</v>
      </c>
    </row>
    <row r="461" spans="1:5" x14ac:dyDescent="0.35">
      <c r="A461" t="s">
        <v>216</v>
      </c>
      <c r="B461">
        <v>23</v>
      </c>
      <c r="C461" t="s">
        <v>10</v>
      </c>
      <c r="D461" t="s">
        <v>7</v>
      </c>
      <c r="E461" t="s">
        <v>20</v>
      </c>
    </row>
    <row r="462" spans="1:5" x14ac:dyDescent="0.35">
      <c r="A462" t="s">
        <v>265</v>
      </c>
      <c r="B462">
        <v>23</v>
      </c>
      <c r="C462" t="s">
        <v>10</v>
      </c>
      <c r="D462" t="s">
        <v>24</v>
      </c>
      <c r="E462" t="s">
        <v>11</v>
      </c>
    </row>
    <row r="463" spans="1:5" x14ac:dyDescent="0.35">
      <c r="A463" t="s">
        <v>332</v>
      </c>
      <c r="B463">
        <v>23</v>
      </c>
      <c r="C463" t="s">
        <v>10</v>
      </c>
      <c r="D463" t="s">
        <v>7</v>
      </c>
      <c r="E463" t="s">
        <v>20</v>
      </c>
    </row>
    <row r="464" spans="1:5" x14ac:dyDescent="0.35">
      <c r="A464" t="s">
        <v>355</v>
      </c>
      <c r="B464">
        <v>23</v>
      </c>
      <c r="C464" t="s">
        <v>6</v>
      </c>
      <c r="D464" t="s">
        <v>15</v>
      </c>
      <c r="E464" t="s">
        <v>11</v>
      </c>
    </row>
    <row r="465" spans="1:5" x14ac:dyDescent="0.35">
      <c r="A465" t="s">
        <v>436</v>
      </c>
      <c r="B465">
        <v>23</v>
      </c>
      <c r="C465" t="s">
        <v>10</v>
      </c>
      <c r="D465" t="s">
        <v>7</v>
      </c>
      <c r="E465" t="s">
        <v>8</v>
      </c>
    </row>
    <row r="466" spans="1:5" x14ac:dyDescent="0.35">
      <c r="A466" t="s">
        <v>438</v>
      </c>
      <c r="B466">
        <v>23</v>
      </c>
      <c r="C466" t="s">
        <v>10</v>
      </c>
      <c r="D466" t="s">
        <v>24</v>
      </c>
      <c r="E466" t="s">
        <v>11</v>
      </c>
    </row>
    <row r="467" spans="1:5" x14ac:dyDescent="0.35">
      <c r="A467" t="s">
        <v>447</v>
      </c>
      <c r="B467">
        <v>23</v>
      </c>
      <c r="C467" t="s">
        <v>6</v>
      </c>
      <c r="D467" t="s">
        <v>7</v>
      </c>
      <c r="E467" t="s">
        <v>11</v>
      </c>
    </row>
    <row r="468" spans="1:5" x14ac:dyDescent="0.35">
      <c r="A468" t="s">
        <v>499</v>
      </c>
      <c r="B468">
        <v>23</v>
      </c>
      <c r="C468" t="s">
        <v>6</v>
      </c>
      <c r="D468" t="s">
        <v>17</v>
      </c>
      <c r="E468" t="s">
        <v>11</v>
      </c>
    </row>
    <row r="469" spans="1:5" x14ac:dyDescent="0.35">
      <c r="A469" t="s">
        <v>18</v>
      </c>
      <c r="B469">
        <v>22</v>
      </c>
      <c r="C469" t="s">
        <v>6</v>
      </c>
      <c r="D469" t="s">
        <v>15</v>
      </c>
      <c r="E469" t="s">
        <v>8</v>
      </c>
    </row>
    <row r="470" spans="1:5" x14ac:dyDescent="0.35">
      <c r="A470" t="s">
        <v>177</v>
      </c>
      <c r="B470">
        <v>22</v>
      </c>
      <c r="C470" t="s">
        <v>6</v>
      </c>
      <c r="D470" t="s">
        <v>17</v>
      </c>
      <c r="E470" t="s">
        <v>11</v>
      </c>
    </row>
    <row r="471" spans="1:5" x14ac:dyDescent="0.35">
      <c r="A471" t="s">
        <v>217</v>
      </c>
      <c r="B471">
        <v>22</v>
      </c>
      <c r="C471" t="s">
        <v>10</v>
      </c>
      <c r="D471" t="s">
        <v>15</v>
      </c>
      <c r="E471" t="s">
        <v>13</v>
      </c>
    </row>
    <row r="472" spans="1:5" x14ac:dyDescent="0.35">
      <c r="A472" t="s">
        <v>218</v>
      </c>
      <c r="B472">
        <v>22</v>
      </c>
      <c r="C472" t="s">
        <v>6</v>
      </c>
      <c r="D472" t="s">
        <v>17</v>
      </c>
      <c r="E472" t="s">
        <v>11</v>
      </c>
    </row>
    <row r="473" spans="1:5" x14ac:dyDescent="0.35">
      <c r="A473" t="s">
        <v>245</v>
      </c>
      <c r="B473">
        <v>22</v>
      </c>
      <c r="C473" t="s">
        <v>10</v>
      </c>
      <c r="D473" t="s">
        <v>24</v>
      </c>
      <c r="E473" t="s">
        <v>8</v>
      </c>
    </row>
    <row r="474" spans="1:5" x14ac:dyDescent="0.35">
      <c r="A474" t="s">
        <v>249</v>
      </c>
      <c r="B474">
        <v>22</v>
      </c>
      <c r="C474" t="s">
        <v>10</v>
      </c>
      <c r="D474" t="s">
        <v>17</v>
      </c>
      <c r="E474" t="s">
        <v>8</v>
      </c>
    </row>
    <row r="475" spans="1:5" x14ac:dyDescent="0.35">
      <c r="A475" t="s">
        <v>281</v>
      </c>
      <c r="B475">
        <v>22</v>
      </c>
      <c r="C475" t="s">
        <v>10</v>
      </c>
      <c r="D475" t="s">
        <v>7</v>
      </c>
      <c r="E475" t="s">
        <v>11</v>
      </c>
    </row>
    <row r="476" spans="1:5" x14ac:dyDescent="0.35">
      <c r="A476" t="s">
        <v>37</v>
      </c>
      <c r="B476">
        <v>21</v>
      </c>
      <c r="C476" t="s">
        <v>10</v>
      </c>
      <c r="D476" t="s">
        <v>15</v>
      </c>
      <c r="E476" t="s">
        <v>8</v>
      </c>
    </row>
    <row r="477" spans="1:5" x14ac:dyDescent="0.35">
      <c r="A477" t="s">
        <v>151</v>
      </c>
      <c r="B477">
        <v>21</v>
      </c>
      <c r="C477" t="s">
        <v>10</v>
      </c>
      <c r="D477" t="s">
        <v>15</v>
      </c>
      <c r="E477" t="s">
        <v>8</v>
      </c>
    </row>
    <row r="478" spans="1:5" x14ac:dyDescent="0.35">
      <c r="A478" t="s">
        <v>208</v>
      </c>
      <c r="B478">
        <v>21</v>
      </c>
      <c r="C478" t="s">
        <v>10</v>
      </c>
      <c r="D478" t="s">
        <v>15</v>
      </c>
      <c r="E478" t="s">
        <v>13</v>
      </c>
    </row>
    <row r="479" spans="1:5" x14ac:dyDescent="0.35">
      <c r="A479" t="s">
        <v>339</v>
      </c>
      <c r="B479">
        <v>21</v>
      </c>
      <c r="C479" t="s">
        <v>10</v>
      </c>
      <c r="D479" t="s">
        <v>15</v>
      </c>
      <c r="E479" t="s">
        <v>11</v>
      </c>
    </row>
    <row r="480" spans="1:5" x14ac:dyDescent="0.35">
      <c r="A480" t="s">
        <v>446</v>
      </c>
      <c r="B480">
        <v>21</v>
      </c>
      <c r="C480" t="s">
        <v>6</v>
      </c>
      <c r="D480" t="s">
        <v>7</v>
      </c>
      <c r="E480" t="s">
        <v>8</v>
      </c>
    </row>
    <row r="481" spans="1:5" x14ac:dyDescent="0.35">
      <c r="A481" t="s">
        <v>488</v>
      </c>
      <c r="B481">
        <v>21</v>
      </c>
      <c r="C481" t="s">
        <v>10</v>
      </c>
      <c r="D481" t="s">
        <v>15</v>
      </c>
      <c r="E481" t="s">
        <v>25</v>
      </c>
    </row>
    <row r="482" spans="1:5" x14ac:dyDescent="0.35">
      <c r="A482" t="s">
        <v>99</v>
      </c>
      <c r="B482">
        <v>20</v>
      </c>
      <c r="C482" t="s">
        <v>6</v>
      </c>
      <c r="D482" t="s">
        <v>28</v>
      </c>
      <c r="E482" t="s">
        <v>25</v>
      </c>
    </row>
    <row r="483" spans="1:5" x14ac:dyDescent="0.35">
      <c r="A483" t="s">
        <v>144</v>
      </c>
      <c r="B483">
        <v>20</v>
      </c>
      <c r="C483" t="s">
        <v>10</v>
      </c>
      <c r="D483" t="s">
        <v>24</v>
      </c>
      <c r="E483" t="s">
        <v>8</v>
      </c>
    </row>
    <row r="484" spans="1:5" x14ac:dyDescent="0.35">
      <c r="A484" t="s">
        <v>180</v>
      </c>
      <c r="B484">
        <v>20</v>
      </c>
      <c r="C484" t="s">
        <v>10</v>
      </c>
      <c r="D484" t="s">
        <v>28</v>
      </c>
      <c r="E484" t="s">
        <v>11</v>
      </c>
    </row>
    <row r="485" spans="1:5" x14ac:dyDescent="0.35">
      <c r="A485" t="s">
        <v>215</v>
      </c>
      <c r="B485">
        <v>20</v>
      </c>
      <c r="C485" t="s">
        <v>10</v>
      </c>
      <c r="D485" t="s">
        <v>28</v>
      </c>
      <c r="E485" t="s">
        <v>11</v>
      </c>
    </row>
    <row r="486" spans="1:5" x14ac:dyDescent="0.35">
      <c r="A486" t="s">
        <v>229</v>
      </c>
      <c r="B486">
        <v>20</v>
      </c>
      <c r="C486" t="s">
        <v>10</v>
      </c>
      <c r="D486" t="s">
        <v>17</v>
      </c>
      <c r="E486" t="s">
        <v>11</v>
      </c>
    </row>
    <row r="487" spans="1:5" x14ac:dyDescent="0.35">
      <c r="A487" t="s">
        <v>358</v>
      </c>
      <c r="B487">
        <v>20</v>
      </c>
      <c r="C487" t="s">
        <v>6</v>
      </c>
      <c r="D487" t="s">
        <v>17</v>
      </c>
      <c r="E487" t="s">
        <v>11</v>
      </c>
    </row>
    <row r="488" spans="1:5" x14ac:dyDescent="0.35">
      <c r="A488" t="s">
        <v>381</v>
      </c>
      <c r="B488">
        <v>20</v>
      </c>
      <c r="C488" t="s">
        <v>10</v>
      </c>
      <c r="D488" t="s">
        <v>17</v>
      </c>
      <c r="E488" t="s">
        <v>11</v>
      </c>
    </row>
    <row r="489" spans="1:5" x14ac:dyDescent="0.35">
      <c r="A489" t="s">
        <v>387</v>
      </c>
      <c r="B489">
        <v>20</v>
      </c>
      <c r="C489" t="s">
        <v>6</v>
      </c>
      <c r="D489" t="s">
        <v>15</v>
      </c>
      <c r="E489" t="s">
        <v>11</v>
      </c>
    </row>
    <row r="490" spans="1:5" x14ac:dyDescent="0.35">
      <c r="A490" t="s">
        <v>451</v>
      </c>
      <c r="B490">
        <v>20</v>
      </c>
      <c r="C490" t="s">
        <v>6</v>
      </c>
      <c r="D490" t="s">
        <v>7</v>
      </c>
      <c r="E490" t="s">
        <v>11</v>
      </c>
    </row>
    <row r="491" spans="1:5" x14ac:dyDescent="0.35">
      <c r="A491" t="s">
        <v>474</v>
      </c>
      <c r="B491">
        <v>20</v>
      </c>
      <c r="C491" t="s">
        <v>6</v>
      </c>
      <c r="D491" t="s">
        <v>24</v>
      </c>
      <c r="E491" t="s">
        <v>25</v>
      </c>
    </row>
    <row r="492" spans="1:5" x14ac:dyDescent="0.35">
      <c r="A492" t="s">
        <v>504</v>
      </c>
      <c r="B492">
        <v>20</v>
      </c>
      <c r="C492" t="s">
        <v>6</v>
      </c>
      <c r="D492" t="s">
        <v>7</v>
      </c>
      <c r="E492" t="s">
        <v>13</v>
      </c>
    </row>
    <row r="493" spans="1:5" x14ac:dyDescent="0.35">
      <c r="A493" t="s">
        <v>9</v>
      </c>
      <c r="B493">
        <v>19</v>
      </c>
      <c r="C493" t="s">
        <v>10</v>
      </c>
      <c r="D493" t="s">
        <v>7</v>
      </c>
      <c r="E493" t="s">
        <v>11</v>
      </c>
    </row>
    <row r="494" spans="1:5" x14ac:dyDescent="0.35">
      <c r="A494" t="s">
        <v>64</v>
      </c>
      <c r="B494">
        <v>19</v>
      </c>
      <c r="C494" t="s">
        <v>10</v>
      </c>
      <c r="D494" t="s">
        <v>15</v>
      </c>
      <c r="E494" t="s">
        <v>8</v>
      </c>
    </row>
    <row r="495" spans="1:5" x14ac:dyDescent="0.35">
      <c r="A495" t="s">
        <v>293</v>
      </c>
      <c r="B495">
        <v>19</v>
      </c>
      <c r="C495" t="s">
        <v>10</v>
      </c>
      <c r="D495" t="s">
        <v>17</v>
      </c>
      <c r="E495" t="s">
        <v>20</v>
      </c>
    </row>
    <row r="496" spans="1:5" x14ac:dyDescent="0.35">
      <c r="A496" t="s">
        <v>346</v>
      </c>
      <c r="B496">
        <v>19</v>
      </c>
      <c r="C496" t="s">
        <v>6</v>
      </c>
      <c r="D496" t="s">
        <v>15</v>
      </c>
      <c r="E496" t="s">
        <v>8</v>
      </c>
    </row>
    <row r="497" spans="1:5" x14ac:dyDescent="0.35">
      <c r="A497" t="s">
        <v>398</v>
      </c>
      <c r="B497">
        <v>19</v>
      </c>
      <c r="C497" t="s">
        <v>10</v>
      </c>
      <c r="D497" t="s">
        <v>7</v>
      </c>
      <c r="E497" t="s">
        <v>25</v>
      </c>
    </row>
    <row r="498" spans="1:5" x14ac:dyDescent="0.35">
      <c r="A498" t="s">
        <v>422</v>
      </c>
      <c r="B498">
        <v>19</v>
      </c>
      <c r="C498" t="s">
        <v>10</v>
      </c>
      <c r="D498" t="s">
        <v>28</v>
      </c>
      <c r="E498" t="s">
        <v>11</v>
      </c>
    </row>
    <row r="499" spans="1:5" x14ac:dyDescent="0.35">
      <c r="A499" t="s">
        <v>514</v>
      </c>
      <c r="B499">
        <v>19</v>
      </c>
      <c r="C499" t="s">
        <v>6</v>
      </c>
      <c r="D499" t="s">
        <v>7</v>
      </c>
      <c r="E499" t="s">
        <v>13</v>
      </c>
    </row>
    <row r="500" spans="1:5" x14ac:dyDescent="0.35">
      <c r="A500" t="s">
        <v>92</v>
      </c>
      <c r="B500">
        <v>18</v>
      </c>
      <c r="C500" t="s">
        <v>10</v>
      </c>
      <c r="D500" t="s">
        <v>7</v>
      </c>
      <c r="E500" t="s">
        <v>25</v>
      </c>
    </row>
    <row r="501" spans="1:5" x14ac:dyDescent="0.35">
      <c r="A501" t="s">
        <v>359</v>
      </c>
      <c r="B501">
        <v>18</v>
      </c>
      <c r="C501" t="s">
        <v>6</v>
      </c>
      <c r="D501" t="s">
        <v>15</v>
      </c>
      <c r="E501" t="s">
        <v>25</v>
      </c>
    </row>
  </sheetData>
  <conditionalFormatting sqref="A501">
    <cfRule type="duplicateValues" dxfId="15" priority="1"/>
    <cfRule type="duplicateValues" dxfId="14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0446-020F-41AC-BFFD-922A1A8F0482}">
  <dimension ref="A1:E41"/>
  <sheetViews>
    <sheetView topLeftCell="A16" workbookViewId="0">
      <selection activeCell="G3" sqref="G3"/>
    </sheetView>
  </sheetViews>
  <sheetFormatPr defaultRowHeight="14.5" x14ac:dyDescent="0.35"/>
  <cols>
    <col min="1" max="1" width="10.7265625" bestFit="1" customWidth="1"/>
    <col min="2" max="2" width="12.7265625" bestFit="1" customWidth="1"/>
    <col min="3" max="3" width="17.6328125" bestFit="1" customWidth="1"/>
    <col min="4" max="4" width="14.81640625" bestFit="1" customWidth="1"/>
    <col min="5" max="5" width="10.7265625" bestFit="1" customWidth="1"/>
  </cols>
  <sheetData>
    <row r="1" spans="1:5" x14ac:dyDescent="0.35">
      <c r="A1" t="s">
        <v>517</v>
      </c>
      <c r="B1" t="s">
        <v>518</v>
      </c>
      <c r="C1" t="s">
        <v>519</v>
      </c>
      <c r="D1" t="s">
        <v>520</v>
      </c>
      <c r="E1" t="s">
        <v>3</v>
      </c>
    </row>
    <row r="2" spans="1:5" x14ac:dyDescent="0.35">
      <c r="A2" t="s">
        <v>521</v>
      </c>
      <c r="B2" t="s">
        <v>522</v>
      </c>
      <c r="C2" t="s">
        <v>523</v>
      </c>
      <c r="D2" t="s">
        <v>523</v>
      </c>
      <c r="E2" t="s">
        <v>17</v>
      </c>
    </row>
    <row r="3" spans="1:5" x14ac:dyDescent="0.35">
      <c r="A3" t="s">
        <v>524</v>
      </c>
      <c r="B3" t="s">
        <v>525</v>
      </c>
      <c r="C3" t="s">
        <v>526</v>
      </c>
      <c r="D3" t="s">
        <v>526</v>
      </c>
      <c r="E3" t="s">
        <v>15</v>
      </c>
    </row>
    <row r="4" spans="1:5" x14ac:dyDescent="0.35">
      <c r="A4" t="s">
        <v>527</v>
      </c>
      <c r="B4" t="s">
        <v>528</v>
      </c>
      <c r="C4" t="s">
        <v>529</v>
      </c>
      <c r="D4" t="s">
        <v>530</v>
      </c>
      <c r="E4" t="s">
        <v>24</v>
      </c>
    </row>
    <row r="5" spans="1:5" x14ac:dyDescent="0.35">
      <c r="A5" t="s">
        <v>531</v>
      </c>
      <c r="B5" t="s">
        <v>532</v>
      </c>
      <c r="C5" t="s">
        <v>533</v>
      </c>
      <c r="D5" t="s">
        <v>533</v>
      </c>
      <c r="E5" t="s">
        <v>15</v>
      </c>
    </row>
    <row r="6" spans="1:5" x14ac:dyDescent="0.35">
      <c r="A6" t="s">
        <v>534</v>
      </c>
      <c r="B6" t="s">
        <v>535</v>
      </c>
      <c r="C6" t="s">
        <v>536</v>
      </c>
      <c r="D6" t="s">
        <v>536</v>
      </c>
      <c r="E6" t="s">
        <v>15</v>
      </c>
    </row>
    <row r="7" spans="1:5" x14ac:dyDescent="0.35">
      <c r="A7" t="s">
        <v>537</v>
      </c>
      <c r="B7" t="s">
        <v>538</v>
      </c>
      <c r="C7" t="s">
        <v>539</v>
      </c>
      <c r="D7" t="s">
        <v>539</v>
      </c>
      <c r="E7" t="s">
        <v>7</v>
      </c>
    </row>
    <row r="8" spans="1:5" x14ac:dyDescent="0.35">
      <c r="A8" t="s">
        <v>540</v>
      </c>
      <c r="B8" t="s">
        <v>541</v>
      </c>
      <c r="C8" t="s">
        <v>542</v>
      </c>
      <c r="D8" t="s">
        <v>542</v>
      </c>
      <c r="E8" t="s">
        <v>24</v>
      </c>
    </row>
    <row r="9" spans="1:5" x14ac:dyDescent="0.35">
      <c r="A9" t="s">
        <v>543</v>
      </c>
      <c r="B9" t="s">
        <v>544</v>
      </c>
      <c r="C9" t="s">
        <v>545</v>
      </c>
      <c r="D9" t="s">
        <v>545</v>
      </c>
      <c r="E9" t="s">
        <v>24</v>
      </c>
    </row>
    <row r="10" spans="1:5" x14ac:dyDescent="0.35">
      <c r="A10" t="s">
        <v>546</v>
      </c>
      <c r="B10" t="s">
        <v>547</v>
      </c>
      <c r="C10" t="s">
        <v>548</v>
      </c>
      <c r="D10" t="s">
        <v>548</v>
      </c>
      <c r="E10" t="s">
        <v>15</v>
      </c>
    </row>
    <row r="11" spans="1:5" x14ac:dyDescent="0.35">
      <c r="A11" t="s">
        <v>549</v>
      </c>
      <c r="B11" t="s">
        <v>550</v>
      </c>
      <c r="C11" t="s">
        <v>551</v>
      </c>
      <c r="D11" t="s">
        <v>552</v>
      </c>
      <c r="E11" t="s">
        <v>17</v>
      </c>
    </row>
    <row r="12" spans="1:5" x14ac:dyDescent="0.35">
      <c r="A12" t="s">
        <v>553</v>
      </c>
      <c r="B12" t="s">
        <v>554</v>
      </c>
      <c r="C12" t="s">
        <v>523</v>
      </c>
      <c r="D12" t="s">
        <v>523</v>
      </c>
      <c r="E12" t="s">
        <v>7</v>
      </c>
    </row>
    <row r="13" spans="1:5" x14ac:dyDescent="0.35">
      <c r="A13" t="s">
        <v>555</v>
      </c>
      <c r="B13" t="s">
        <v>556</v>
      </c>
      <c r="C13" t="s">
        <v>526</v>
      </c>
      <c r="D13" t="s">
        <v>526</v>
      </c>
      <c r="E13" t="s">
        <v>15</v>
      </c>
    </row>
    <row r="14" spans="1:5" x14ac:dyDescent="0.35">
      <c r="A14" t="s">
        <v>557</v>
      </c>
      <c r="B14" t="s">
        <v>558</v>
      </c>
      <c r="C14" t="s">
        <v>529</v>
      </c>
      <c r="D14" t="s">
        <v>530</v>
      </c>
      <c r="E14" t="s">
        <v>28</v>
      </c>
    </row>
    <row r="15" spans="1:5" x14ac:dyDescent="0.35">
      <c r="A15" t="s">
        <v>559</v>
      </c>
      <c r="B15" t="s">
        <v>560</v>
      </c>
      <c r="C15" t="s">
        <v>533</v>
      </c>
      <c r="D15" t="s">
        <v>533</v>
      </c>
      <c r="E15" t="s">
        <v>28</v>
      </c>
    </row>
    <row r="16" spans="1:5" x14ac:dyDescent="0.35">
      <c r="A16" t="s">
        <v>561</v>
      </c>
      <c r="B16" t="s">
        <v>562</v>
      </c>
      <c r="C16" t="s">
        <v>536</v>
      </c>
      <c r="D16" t="s">
        <v>536</v>
      </c>
      <c r="E16" t="s">
        <v>7</v>
      </c>
    </row>
    <row r="17" spans="1:5" x14ac:dyDescent="0.35">
      <c r="A17" t="s">
        <v>563</v>
      </c>
      <c r="B17" t="s">
        <v>564</v>
      </c>
      <c r="C17" t="s">
        <v>539</v>
      </c>
      <c r="D17" t="s">
        <v>539</v>
      </c>
      <c r="E17" t="s">
        <v>17</v>
      </c>
    </row>
    <row r="18" spans="1:5" x14ac:dyDescent="0.35">
      <c r="A18" t="s">
        <v>565</v>
      </c>
      <c r="B18" t="s">
        <v>566</v>
      </c>
      <c r="C18" t="s">
        <v>542</v>
      </c>
      <c r="D18" t="s">
        <v>542</v>
      </c>
      <c r="E18" t="s">
        <v>15</v>
      </c>
    </row>
    <row r="19" spans="1:5" x14ac:dyDescent="0.35">
      <c r="A19" t="s">
        <v>567</v>
      </c>
      <c r="B19" t="s">
        <v>568</v>
      </c>
      <c r="C19" t="s">
        <v>545</v>
      </c>
      <c r="D19" t="s">
        <v>545</v>
      </c>
      <c r="E19" t="s">
        <v>24</v>
      </c>
    </row>
    <row r="20" spans="1:5" x14ac:dyDescent="0.35">
      <c r="A20" t="s">
        <v>569</v>
      </c>
      <c r="B20" t="s">
        <v>570</v>
      </c>
      <c r="C20" t="s">
        <v>548</v>
      </c>
      <c r="D20" t="s">
        <v>548</v>
      </c>
      <c r="E20" t="s">
        <v>7</v>
      </c>
    </row>
    <row r="21" spans="1:5" x14ac:dyDescent="0.35">
      <c r="A21" t="s">
        <v>571</v>
      </c>
      <c r="B21" t="s">
        <v>572</v>
      </c>
      <c r="C21" t="s">
        <v>551</v>
      </c>
      <c r="D21" t="s">
        <v>552</v>
      </c>
      <c r="E21" t="s">
        <v>17</v>
      </c>
    </row>
    <row r="22" spans="1:5" x14ac:dyDescent="0.35">
      <c r="A22" t="s">
        <v>573</v>
      </c>
      <c r="B22" t="s">
        <v>574</v>
      </c>
      <c r="C22" t="s">
        <v>523</v>
      </c>
      <c r="D22" t="s">
        <v>523</v>
      </c>
      <c r="E22" t="s">
        <v>24</v>
      </c>
    </row>
    <row r="23" spans="1:5" x14ac:dyDescent="0.35">
      <c r="A23" t="s">
        <v>575</v>
      </c>
      <c r="B23" t="s">
        <v>576</v>
      </c>
      <c r="C23" t="s">
        <v>526</v>
      </c>
      <c r="D23" t="s">
        <v>526</v>
      </c>
      <c r="E23" t="s">
        <v>28</v>
      </c>
    </row>
    <row r="24" spans="1:5" x14ac:dyDescent="0.35">
      <c r="A24" t="s">
        <v>577</v>
      </c>
      <c r="B24" t="s">
        <v>578</v>
      </c>
      <c r="C24" t="s">
        <v>529</v>
      </c>
      <c r="D24" t="s">
        <v>530</v>
      </c>
      <c r="E24" t="s">
        <v>28</v>
      </c>
    </row>
    <row r="25" spans="1:5" x14ac:dyDescent="0.35">
      <c r="A25" t="s">
        <v>579</v>
      </c>
      <c r="B25" t="s">
        <v>580</v>
      </c>
      <c r="C25" t="s">
        <v>533</v>
      </c>
      <c r="D25" t="s">
        <v>533</v>
      </c>
      <c r="E25" t="s">
        <v>24</v>
      </c>
    </row>
    <row r="26" spans="1:5" x14ac:dyDescent="0.35">
      <c r="A26" t="s">
        <v>581</v>
      </c>
      <c r="B26" t="s">
        <v>582</v>
      </c>
      <c r="C26" t="s">
        <v>536</v>
      </c>
      <c r="D26" t="s">
        <v>536</v>
      </c>
      <c r="E26" t="s">
        <v>7</v>
      </c>
    </row>
    <row r="27" spans="1:5" x14ac:dyDescent="0.35">
      <c r="A27" t="s">
        <v>583</v>
      </c>
      <c r="B27" t="s">
        <v>584</v>
      </c>
      <c r="C27" t="s">
        <v>539</v>
      </c>
      <c r="D27" t="s">
        <v>539</v>
      </c>
      <c r="E27" t="s">
        <v>28</v>
      </c>
    </row>
    <row r="28" spans="1:5" x14ac:dyDescent="0.35">
      <c r="A28" t="s">
        <v>585</v>
      </c>
      <c r="B28" t="s">
        <v>586</v>
      </c>
      <c r="C28" t="s">
        <v>542</v>
      </c>
      <c r="D28" t="s">
        <v>542</v>
      </c>
      <c r="E28" t="s">
        <v>15</v>
      </c>
    </row>
    <row r="29" spans="1:5" x14ac:dyDescent="0.35">
      <c r="A29" t="s">
        <v>587</v>
      </c>
      <c r="B29" t="s">
        <v>588</v>
      </c>
      <c r="C29" t="s">
        <v>545</v>
      </c>
      <c r="D29" t="s">
        <v>545</v>
      </c>
      <c r="E29" t="s">
        <v>24</v>
      </c>
    </row>
    <row r="30" spans="1:5" x14ac:dyDescent="0.35">
      <c r="A30" t="s">
        <v>589</v>
      </c>
      <c r="B30" t="s">
        <v>590</v>
      </c>
      <c r="C30" t="s">
        <v>548</v>
      </c>
      <c r="D30" t="s">
        <v>548</v>
      </c>
      <c r="E30" t="s">
        <v>24</v>
      </c>
    </row>
    <row r="31" spans="1:5" x14ac:dyDescent="0.35">
      <c r="A31" t="s">
        <v>591</v>
      </c>
      <c r="B31" t="s">
        <v>592</v>
      </c>
      <c r="C31" t="s">
        <v>551</v>
      </c>
      <c r="D31" t="s">
        <v>552</v>
      </c>
      <c r="E31" t="s">
        <v>28</v>
      </c>
    </row>
    <row r="32" spans="1:5" x14ac:dyDescent="0.35">
      <c r="A32" t="s">
        <v>593</v>
      </c>
      <c r="B32" t="s">
        <v>594</v>
      </c>
      <c r="C32" t="s">
        <v>523</v>
      </c>
      <c r="D32" t="s">
        <v>523</v>
      </c>
      <c r="E32" t="s">
        <v>7</v>
      </c>
    </row>
    <row r="33" spans="1:5" x14ac:dyDescent="0.35">
      <c r="A33" t="s">
        <v>595</v>
      </c>
      <c r="B33" t="s">
        <v>596</v>
      </c>
      <c r="C33" t="s">
        <v>526</v>
      </c>
      <c r="D33" t="s">
        <v>526</v>
      </c>
      <c r="E33" t="s">
        <v>15</v>
      </c>
    </row>
    <row r="34" spans="1:5" x14ac:dyDescent="0.35">
      <c r="A34" t="s">
        <v>597</v>
      </c>
      <c r="B34" t="s">
        <v>598</v>
      </c>
      <c r="C34" t="s">
        <v>529</v>
      </c>
      <c r="D34" t="s">
        <v>530</v>
      </c>
      <c r="E34" t="s">
        <v>7</v>
      </c>
    </row>
    <row r="35" spans="1:5" x14ac:dyDescent="0.35">
      <c r="A35" t="s">
        <v>599</v>
      </c>
      <c r="B35" t="s">
        <v>600</v>
      </c>
      <c r="C35" t="s">
        <v>533</v>
      </c>
      <c r="D35" t="s">
        <v>533</v>
      </c>
      <c r="E35" t="s">
        <v>17</v>
      </c>
    </row>
    <row r="36" spans="1:5" x14ac:dyDescent="0.35">
      <c r="A36" t="s">
        <v>601</v>
      </c>
      <c r="B36" t="s">
        <v>602</v>
      </c>
      <c r="C36" t="s">
        <v>536</v>
      </c>
      <c r="D36" t="s">
        <v>536</v>
      </c>
      <c r="E36" t="s">
        <v>17</v>
      </c>
    </row>
    <row r="37" spans="1:5" x14ac:dyDescent="0.35">
      <c r="A37" t="s">
        <v>603</v>
      </c>
      <c r="B37" t="s">
        <v>604</v>
      </c>
      <c r="C37" t="s">
        <v>539</v>
      </c>
      <c r="D37" t="s">
        <v>539</v>
      </c>
      <c r="E37" t="s">
        <v>28</v>
      </c>
    </row>
    <row r="38" spans="1:5" x14ac:dyDescent="0.35">
      <c r="A38" t="s">
        <v>605</v>
      </c>
      <c r="B38" t="s">
        <v>606</v>
      </c>
      <c r="C38" t="s">
        <v>542</v>
      </c>
      <c r="D38" t="s">
        <v>542</v>
      </c>
      <c r="E38" t="s">
        <v>28</v>
      </c>
    </row>
    <row r="39" spans="1:5" x14ac:dyDescent="0.35">
      <c r="A39" t="s">
        <v>607</v>
      </c>
      <c r="B39" t="s">
        <v>608</v>
      </c>
      <c r="C39" t="s">
        <v>545</v>
      </c>
      <c r="D39" t="s">
        <v>545</v>
      </c>
      <c r="E39" t="s">
        <v>28</v>
      </c>
    </row>
    <row r="40" spans="1:5" x14ac:dyDescent="0.35">
      <c r="A40" t="s">
        <v>609</v>
      </c>
      <c r="B40" t="s">
        <v>610</v>
      </c>
      <c r="C40" t="s">
        <v>548</v>
      </c>
      <c r="D40" t="s">
        <v>548</v>
      </c>
      <c r="E40" t="s">
        <v>17</v>
      </c>
    </row>
    <row r="41" spans="1:5" x14ac:dyDescent="0.35">
      <c r="A41" t="s">
        <v>611</v>
      </c>
      <c r="B41" t="s">
        <v>612</v>
      </c>
      <c r="C41" t="s">
        <v>551</v>
      </c>
      <c r="D41" t="s">
        <v>552</v>
      </c>
      <c r="E41" t="s">
        <v>7</v>
      </c>
    </row>
  </sheetData>
  <conditionalFormatting sqref="A1:A27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0B30-545F-4CBA-B21F-FEC4EAAC4FA7}">
  <dimension ref="A1:D26"/>
  <sheetViews>
    <sheetView topLeftCell="A7" workbookViewId="0">
      <selection activeCell="D1" sqref="D1"/>
    </sheetView>
  </sheetViews>
  <sheetFormatPr defaultRowHeight="14.5" x14ac:dyDescent="0.35"/>
  <cols>
    <col min="1" max="1" width="11.54296875" bestFit="1" customWidth="1"/>
    <col min="2" max="2" width="20.81640625" bestFit="1" customWidth="1"/>
    <col min="3" max="3" width="10.1796875" bestFit="1" customWidth="1"/>
    <col min="4" max="4" width="11.453125" bestFit="1" customWidth="1"/>
  </cols>
  <sheetData>
    <row r="1" spans="1:4" x14ac:dyDescent="0.35">
      <c r="A1" t="s">
        <v>613</v>
      </c>
      <c r="B1" t="s">
        <v>614</v>
      </c>
      <c r="C1" t="s">
        <v>615</v>
      </c>
      <c r="D1" t="s">
        <v>616</v>
      </c>
    </row>
    <row r="2" spans="1:4" x14ac:dyDescent="0.35">
      <c r="A2" t="s">
        <v>620</v>
      </c>
      <c r="B2" t="s">
        <v>621</v>
      </c>
      <c r="C2" t="s">
        <v>622</v>
      </c>
      <c r="D2">
        <v>50</v>
      </c>
    </row>
    <row r="3" spans="1:4" x14ac:dyDescent="0.35">
      <c r="A3" t="s">
        <v>654</v>
      </c>
      <c r="B3" t="s">
        <v>655</v>
      </c>
      <c r="C3" t="s">
        <v>622</v>
      </c>
      <c r="D3">
        <v>100</v>
      </c>
    </row>
    <row r="4" spans="1:4" x14ac:dyDescent="0.35">
      <c r="A4" t="s">
        <v>651</v>
      </c>
      <c r="B4" t="s">
        <v>652</v>
      </c>
      <c r="C4" t="s">
        <v>653</v>
      </c>
      <c r="D4">
        <v>120</v>
      </c>
    </row>
    <row r="5" spans="1:4" x14ac:dyDescent="0.35">
      <c r="A5" t="s">
        <v>638</v>
      </c>
      <c r="B5" t="s">
        <v>639</v>
      </c>
      <c r="C5" t="s">
        <v>640</v>
      </c>
      <c r="D5">
        <v>150</v>
      </c>
    </row>
    <row r="6" spans="1:4" x14ac:dyDescent="0.35">
      <c r="A6" t="s">
        <v>635</v>
      </c>
      <c r="B6" t="s">
        <v>636</v>
      </c>
      <c r="C6" t="s">
        <v>637</v>
      </c>
      <c r="D6">
        <v>180</v>
      </c>
    </row>
    <row r="7" spans="1:4" x14ac:dyDescent="0.35">
      <c r="A7" t="s">
        <v>617</v>
      </c>
      <c r="B7" t="s">
        <v>618</v>
      </c>
      <c r="C7" t="s">
        <v>619</v>
      </c>
      <c r="D7">
        <v>200</v>
      </c>
    </row>
    <row r="8" spans="1:4" x14ac:dyDescent="0.35">
      <c r="A8" t="s">
        <v>629</v>
      </c>
      <c r="B8" t="s">
        <v>630</v>
      </c>
      <c r="C8" t="s">
        <v>625</v>
      </c>
      <c r="D8">
        <v>300</v>
      </c>
    </row>
    <row r="9" spans="1:4" x14ac:dyDescent="0.35">
      <c r="A9" t="s">
        <v>673</v>
      </c>
      <c r="B9" t="s">
        <v>674</v>
      </c>
      <c r="C9" t="s">
        <v>619</v>
      </c>
      <c r="D9">
        <v>300</v>
      </c>
    </row>
    <row r="10" spans="1:4" x14ac:dyDescent="0.35">
      <c r="A10" t="s">
        <v>656</v>
      </c>
      <c r="B10" t="s">
        <v>657</v>
      </c>
      <c r="C10" t="s">
        <v>625</v>
      </c>
      <c r="D10">
        <v>350</v>
      </c>
    </row>
    <row r="11" spans="1:4" x14ac:dyDescent="0.35">
      <c r="A11" t="s">
        <v>671</v>
      </c>
      <c r="B11" t="s">
        <v>672</v>
      </c>
      <c r="C11" t="s">
        <v>637</v>
      </c>
      <c r="D11">
        <v>400</v>
      </c>
    </row>
    <row r="12" spans="1:4" x14ac:dyDescent="0.35">
      <c r="A12" t="s">
        <v>633</v>
      </c>
      <c r="B12" t="s">
        <v>634</v>
      </c>
      <c r="C12" t="s">
        <v>625</v>
      </c>
      <c r="D12">
        <v>450</v>
      </c>
    </row>
    <row r="13" spans="1:4" x14ac:dyDescent="0.35">
      <c r="A13" t="s">
        <v>667</v>
      </c>
      <c r="B13" t="s">
        <v>668</v>
      </c>
      <c r="C13" t="s">
        <v>637</v>
      </c>
      <c r="D13">
        <v>550</v>
      </c>
    </row>
    <row r="14" spans="1:4" x14ac:dyDescent="0.35">
      <c r="A14" t="s">
        <v>669</v>
      </c>
      <c r="B14" t="s">
        <v>670</v>
      </c>
      <c r="C14" t="s">
        <v>628</v>
      </c>
      <c r="D14">
        <v>600</v>
      </c>
    </row>
    <row r="15" spans="1:4" x14ac:dyDescent="0.35">
      <c r="A15" t="s">
        <v>665</v>
      </c>
      <c r="B15" t="s">
        <v>666</v>
      </c>
      <c r="C15" t="s">
        <v>637</v>
      </c>
      <c r="D15">
        <v>700</v>
      </c>
    </row>
    <row r="16" spans="1:4" x14ac:dyDescent="0.35">
      <c r="A16" t="s">
        <v>658</v>
      </c>
      <c r="B16" t="s">
        <v>659</v>
      </c>
      <c r="C16" t="s">
        <v>628</v>
      </c>
      <c r="D16">
        <v>750</v>
      </c>
    </row>
    <row r="17" spans="1:4" x14ac:dyDescent="0.35">
      <c r="A17" t="s">
        <v>649</v>
      </c>
      <c r="B17" t="s">
        <v>650</v>
      </c>
      <c r="C17" t="s">
        <v>552</v>
      </c>
      <c r="D17">
        <v>800</v>
      </c>
    </row>
    <row r="18" spans="1:4" x14ac:dyDescent="0.35">
      <c r="A18" t="s">
        <v>631</v>
      </c>
      <c r="B18" t="s">
        <v>632</v>
      </c>
      <c r="C18" t="s">
        <v>625</v>
      </c>
      <c r="D18">
        <v>900</v>
      </c>
    </row>
    <row r="19" spans="1:4" x14ac:dyDescent="0.35">
      <c r="A19" t="s">
        <v>623</v>
      </c>
      <c r="B19" t="s">
        <v>624</v>
      </c>
      <c r="C19" t="s">
        <v>625</v>
      </c>
      <c r="D19">
        <v>1200</v>
      </c>
    </row>
    <row r="20" spans="1:4" x14ac:dyDescent="0.35">
      <c r="A20" t="s">
        <v>663</v>
      </c>
      <c r="B20" t="s">
        <v>664</v>
      </c>
      <c r="C20" t="s">
        <v>628</v>
      </c>
      <c r="D20">
        <v>1400</v>
      </c>
    </row>
    <row r="21" spans="1:4" x14ac:dyDescent="0.35">
      <c r="A21" t="s">
        <v>641</v>
      </c>
      <c r="B21" t="s">
        <v>642</v>
      </c>
      <c r="C21" t="s">
        <v>628</v>
      </c>
      <c r="D21">
        <v>1800</v>
      </c>
    </row>
    <row r="22" spans="1:4" x14ac:dyDescent="0.35">
      <c r="A22" t="s">
        <v>643</v>
      </c>
      <c r="B22" t="s">
        <v>644</v>
      </c>
      <c r="C22" t="s">
        <v>628</v>
      </c>
      <c r="D22">
        <v>2200</v>
      </c>
    </row>
    <row r="23" spans="1:4" x14ac:dyDescent="0.35">
      <c r="A23" t="s">
        <v>645</v>
      </c>
      <c r="B23" t="s">
        <v>646</v>
      </c>
      <c r="C23" t="s">
        <v>536</v>
      </c>
      <c r="D23">
        <v>3500</v>
      </c>
    </row>
    <row r="24" spans="1:4" x14ac:dyDescent="0.35">
      <c r="A24" t="s">
        <v>647</v>
      </c>
      <c r="B24" t="s">
        <v>648</v>
      </c>
      <c r="C24" t="s">
        <v>536</v>
      </c>
      <c r="D24">
        <v>4200</v>
      </c>
    </row>
    <row r="25" spans="1:4" x14ac:dyDescent="0.35">
      <c r="A25" t="s">
        <v>626</v>
      </c>
      <c r="B25" t="s">
        <v>627</v>
      </c>
      <c r="C25" t="s">
        <v>628</v>
      </c>
      <c r="D25">
        <v>5000</v>
      </c>
    </row>
    <row r="26" spans="1:4" x14ac:dyDescent="0.35">
      <c r="A26" t="s">
        <v>660</v>
      </c>
      <c r="B26" t="s">
        <v>661</v>
      </c>
      <c r="C26" t="s">
        <v>662</v>
      </c>
      <c r="D26">
        <v>6500</v>
      </c>
    </row>
  </sheetData>
  <conditionalFormatting sqref="A2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6C61-06A1-4079-896B-ED44593EE865}">
  <dimension ref="A1:K2001"/>
  <sheetViews>
    <sheetView workbookViewId="0">
      <selection activeCell="G10" sqref="G10"/>
    </sheetView>
  </sheetViews>
  <sheetFormatPr defaultRowHeight="14.5" x14ac:dyDescent="0.35"/>
  <cols>
    <col min="1" max="1" width="10.26953125" bestFit="1" customWidth="1"/>
    <col min="2" max="2" width="11.54296875" bestFit="1" customWidth="1"/>
    <col min="3" max="3" width="12.453125" bestFit="1" customWidth="1"/>
    <col min="4" max="4" width="11.54296875" bestFit="1" customWidth="1"/>
    <col min="5" max="5" width="12.36328125" bestFit="1" customWidth="1"/>
    <col min="6" max="6" width="17.453125" bestFit="1" customWidth="1"/>
    <col min="7" max="7" width="16.36328125" bestFit="1" customWidth="1"/>
    <col min="8" max="8" width="16" bestFit="1" customWidth="1"/>
    <col min="9" max="9" width="15.26953125" bestFit="1" customWidth="1"/>
    <col min="10" max="10" width="8.26953125" bestFit="1" customWidth="1"/>
    <col min="11" max="11" width="11.6328125" customWidth="1"/>
  </cols>
  <sheetData>
    <row r="1" spans="1:11" x14ac:dyDescent="0.35">
      <c r="A1" t="s">
        <v>675</v>
      </c>
      <c r="B1" t="s">
        <v>0</v>
      </c>
      <c r="C1" t="s">
        <v>517</v>
      </c>
      <c r="D1" t="s">
        <v>613</v>
      </c>
      <c r="E1" t="s">
        <v>676</v>
      </c>
      <c r="F1" t="s">
        <v>677</v>
      </c>
      <c r="G1" t="s">
        <v>678</v>
      </c>
      <c r="H1" t="s">
        <v>4</v>
      </c>
      <c r="I1" t="s">
        <v>679</v>
      </c>
      <c r="J1" t="s">
        <v>680</v>
      </c>
      <c r="K1" t="s">
        <v>681</v>
      </c>
    </row>
    <row r="2" spans="1:11" x14ac:dyDescent="0.35">
      <c r="A2" t="s">
        <v>1069</v>
      </c>
      <c r="B2" t="s">
        <v>329</v>
      </c>
      <c r="C2" t="s">
        <v>585</v>
      </c>
      <c r="D2" t="s">
        <v>660</v>
      </c>
      <c r="E2" s="1">
        <v>45327</v>
      </c>
      <c r="F2" s="1">
        <v>45329</v>
      </c>
      <c r="G2" s="1">
        <v>45333</v>
      </c>
      <c r="H2" t="s">
        <v>13</v>
      </c>
      <c r="I2">
        <v>8119.14</v>
      </c>
      <c r="J2" t="s">
        <v>683</v>
      </c>
      <c r="K2">
        <v>4</v>
      </c>
    </row>
    <row r="3" spans="1:11" x14ac:dyDescent="0.35">
      <c r="A3" t="s">
        <v>2292</v>
      </c>
      <c r="B3" t="s">
        <v>259</v>
      </c>
      <c r="C3" t="s">
        <v>543</v>
      </c>
      <c r="D3" t="s">
        <v>660</v>
      </c>
      <c r="E3" s="1">
        <v>44943</v>
      </c>
      <c r="F3" s="1">
        <v>44945</v>
      </c>
      <c r="G3" s="1">
        <v>44960</v>
      </c>
      <c r="H3" t="s">
        <v>20</v>
      </c>
      <c r="I3">
        <v>8108.63</v>
      </c>
      <c r="J3" t="s">
        <v>683</v>
      </c>
      <c r="K3">
        <v>15</v>
      </c>
    </row>
    <row r="4" spans="1:11" x14ac:dyDescent="0.35">
      <c r="A4" t="s">
        <v>2588</v>
      </c>
      <c r="B4" t="s">
        <v>494</v>
      </c>
      <c r="C4" t="s">
        <v>597</v>
      </c>
      <c r="D4" t="s">
        <v>660</v>
      </c>
      <c r="E4" s="1">
        <v>45215</v>
      </c>
      <c r="F4" s="1">
        <v>45220</v>
      </c>
      <c r="G4" s="1">
        <v>45237</v>
      </c>
      <c r="H4" t="s">
        <v>11</v>
      </c>
      <c r="I4">
        <v>8093.13</v>
      </c>
      <c r="J4" t="s">
        <v>683</v>
      </c>
      <c r="K4">
        <v>17</v>
      </c>
    </row>
    <row r="5" spans="1:11" x14ac:dyDescent="0.35">
      <c r="A5" t="s">
        <v>1882</v>
      </c>
      <c r="B5" t="s">
        <v>267</v>
      </c>
      <c r="C5" t="s">
        <v>559</v>
      </c>
      <c r="D5" t="s">
        <v>660</v>
      </c>
      <c r="E5" s="1">
        <v>45495</v>
      </c>
      <c r="F5" s="1">
        <v>45499</v>
      </c>
      <c r="G5" s="1">
        <v>45528</v>
      </c>
      <c r="H5" t="s">
        <v>25</v>
      </c>
      <c r="I5">
        <v>8080.97</v>
      </c>
      <c r="J5" t="s">
        <v>687</v>
      </c>
      <c r="K5">
        <v>29</v>
      </c>
    </row>
    <row r="6" spans="1:11" x14ac:dyDescent="0.35">
      <c r="A6" t="s">
        <v>1535</v>
      </c>
      <c r="B6" t="s">
        <v>121</v>
      </c>
      <c r="C6" t="s">
        <v>555</v>
      </c>
      <c r="D6" t="s">
        <v>660</v>
      </c>
      <c r="E6" s="1">
        <v>45203</v>
      </c>
      <c r="F6" s="1">
        <v>45205</v>
      </c>
      <c r="G6" s="1">
        <v>45225</v>
      </c>
      <c r="H6" t="s">
        <v>13</v>
      </c>
      <c r="I6">
        <v>8046.86</v>
      </c>
      <c r="J6" t="s">
        <v>683</v>
      </c>
      <c r="K6">
        <v>20</v>
      </c>
    </row>
    <row r="7" spans="1:11" x14ac:dyDescent="0.35">
      <c r="A7" t="s">
        <v>1954</v>
      </c>
      <c r="B7" t="s">
        <v>499</v>
      </c>
      <c r="C7" t="s">
        <v>531</v>
      </c>
      <c r="D7" t="s">
        <v>660</v>
      </c>
      <c r="E7" s="1">
        <v>45171</v>
      </c>
      <c r="F7" s="1">
        <v>45175</v>
      </c>
      <c r="G7" s="1">
        <v>45181</v>
      </c>
      <c r="H7" t="s">
        <v>11</v>
      </c>
      <c r="I7">
        <v>7970.6</v>
      </c>
      <c r="J7" t="s">
        <v>683</v>
      </c>
      <c r="K7">
        <v>6</v>
      </c>
    </row>
    <row r="8" spans="1:11" x14ac:dyDescent="0.35">
      <c r="A8" t="s">
        <v>2661</v>
      </c>
      <c r="B8" t="s">
        <v>265</v>
      </c>
      <c r="C8" t="s">
        <v>546</v>
      </c>
      <c r="D8" t="s">
        <v>660</v>
      </c>
      <c r="E8" s="1">
        <v>45642</v>
      </c>
      <c r="F8" s="1">
        <v>45645</v>
      </c>
      <c r="G8" s="1">
        <v>45650</v>
      </c>
      <c r="H8" t="s">
        <v>11</v>
      </c>
      <c r="I8">
        <v>7906.56</v>
      </c>
      <c r="J8" t="s">
        <v>683</v>
      </c>
      <c r="K8">
        <v>5</v>
      </c>
    </row>
    <row r="9" spans="1:11" x14ac:dyDescent="0.35">
      <c r="A9" t="s">
        <v>695</v>
      </c>
      <c r="B9" t="s">
        <v>78</v>
      </c>
      <c r="C9" t="s">
        <v>567</v>
      </c>
      <c r="D9" t="s">
        <v>660</v>
      </c>
      <c r="E9" s="1">
        <v>45624</v>
      </c>
      <c r="F9" s="1">
        <v>45626</v>
      </c>
      <c r="G9" s="1"/>
      <c r="H9" t="s">
        <v>11</v>
      </c>
      <c r="I9">
        <v>7886.32</v>
      </c>
      <c r="J9" t="s">
        <v>689</v>
      </c>
    </row>
    <row r="10" spans="1:11" x14ac:dyDescent="0.35">
      <c r="A10" t="s">
        <v>1162</v>
      </c>
      <c r="B10" t="s">
        <v>144</v>
      </c>
      <c r="C10" t="s">
        <v>575</v>
      </c>
      <c r="D10" t="s">
        <v>660</v>
      </c>
      <c r="E10" s="1">
        <v>45654</v>
      </c>
      <c r="F10" s="1">
        <v>45656</v>
      </c>
      <c r="G10" s="1">
        <v>45665</v>
      </c>
      <c r="H10" t="s">
        <v>8</v>
      </c>
      <c r="I10">
        <v>7854.51</v>
      </c>
      <c r="J10" t="s">
        <v>683</v>
      </c>
      <c r="K10">
        <v>9</v>
      </c>
    </row>
    <row r="11" spans="1:11" x14ac:dyDescent="0.35">
      <c r="A11" t="s">
        <v>779</v>
      </c>
      <c r="B11" t="s">
        <v>387</v>
      </c>
      <c r="C11" t="s">
        <v>567</v>
      </c>
      <c r="D11" t="s">
        <v>660</v>
      </c>
      <c r="E11" s="1">
        <v>45489</v>
      </c>
      <c r="F11" s="1">
        <v>45490</v>
      </c>
      <c r="G11" s="1">
        <v>45510</v>
      </c>
      <c r="H11" t="s">
        <v>11</v>
      </c>
      <c r="I11">
        <v>7645.64</v>
      </c>
      <c r="J11" t="s">
        <v>683</v>
      </c>
      <c r="K11">
        <v>20</v>
      </c>
    </row>
    <row r="12" spans="1:11" x14ac:dyDescent="0.35">
      <c r="A12" t="s">
        <v>2004</v>
      </c>
      <c r="B12" t="s">
        <v>134</v>
      </c>
      <c r="C12" t="s">
        <v>546</v>
      </c>
      <c r="D12" t="s">
        <v>660</v>
      </c>
      <c r="E12" s="1">
        <v>45527</v>
      </c>
      <c r="F12" s="1">
        <v>45530</v>
      </c>
      <c r="G12" s="1">
        <v>45546</v>
      </c>
      <c r="H12" t="s">
        <v>11</v>
      </c>
      <c r="I12">
        <v>7641.22</v>
      </c>
      <c r="J12" t="s">
        <v>683</v>
      </c>
      <c r="K12">
        <v>16</v>
      </c>
    </row>
    <row r="13" spans="1:11" x14ac:dyDescent="0.35">
      <c r="A13" t="s">
        <v>1580</v>
      </c>
      <c r="B13" t="s">
        <v>393</v>
      </c>
      <c r="C13" t="s">
        <v>591</v>
      </c>
      <c r="D13" t="s">
        <v>660</v>
      </c>
      <c r="E13" s="1">
        <v>45281</v>
      </c>
      <c r="F13" s="1">
        <v>45283</v>
      </c>
      <c r="G13" s="1">
        <v>45294</v>
      </c>
      <c r="H13" t="s">
        <v>11</v>
      </c>
      <c r="I13">
        <v>7602.69</v>
      </c>
      <c r="J13" t="s">
        <v>683</v>
      </c>
      <c r="K13">
        <v>11</v>
      </c>
    </row>
    <row r="14" spans="1:11" x14ac:dyDescent="0.35">
      <c r="A14" t="s">
        <v>1147</v>
      </c>
      <c r="B14" t="s">
        <v>487</v>
      </c>
      <c r="C14" t="s">
        <v>537</v>
      </c>
      <c r="D14" t="s">
        <v>660</v>
      </c>
      <c r="E14" s="1">
        <v>44961</v>
      </c>
      <c r="F14" s="1">
        <v>44966</v>
      </c>
      <c r="G14" s="1">
        <v>44992</v>
      </c>
      <c r="H14" t="s">
        <v>20</v>
      </c>
      <c r="I14">
        <v>7554.69</v>
      </c>
      <c r="J14" t="s">
        <v>687</v>
      </c>
      <c r="K14">
        <v>26</v>
      </c>
    </row>
    <row r="15" spans="1:11" x14ac:dyDescent="0.35">
      <c r="A15" t="s">
        <v>1418</v>
      </c>
      <c r="B15" t="s">
        <v>357</v>
      </c>
      <c r="C15" t="s">
        <v>527</v>
      </c>
      <c r="D15" t="s">
        <v>660</v>
      </c>
      <c r="E15" s="1">
        <v>45003</v>
      </c>
      <c r="F15" s="1">
        <v>45006</v>
      </c>
      <c r="G15" s="1">
        <v>45017</v>
      </c>
      <c r="H15" t="s">
        <v>8</v>
      </c>
      <c r="I15">
        <v>7508.18</v>
      </c>
      <c r="J15" t="s">
        <v>683</v>
      </c>
      <c r="K15">
        <v>11</v>
      </c>
    </row>
    <row r="16" spans="1:11" x14ac:dyDescent="0.35">
      <c r="A16" t="s">
        <v>2549</v>
      </c>
      <c r="B16" t="s">
        <v>197</v>
      </c>
      <c r="C16" t="s">
        <v>555</v>
      </c>
      <c r="D16" t="s">
        <v>660</v>
      </c>
      <c r="E16" s="1">
        <v>45542</v>
      </c>
      <c r="F16" s="1">
        <v>45546</v>
      </c>
      <c r="G16" s="1">
        <v>45549</v>
      </c>
      <c r="H16" t="s">
        <v>13</v>
      </c>
      <c r="I16">
        <v>7493.94</v>
      </c>
      <c r="J16" t="s">
        <v>683</v>
      </c>
      <c r="K16">
        <v>3</v>
      </c>
    </row>
    <row r="17" spans="1:11" x14ac:dyDescent="0.35">
      <c r="A17" t="s">
        <v>2656</v>
      </c>
      <c r="B17" t="s">
        <v>418</v>
      </c>
      <c r="C17" t="s">
        <v>537</v>
      </c>
      <c r="D17" t="s">
        <v>660</v>
      </c>
      <c r="E17" s="1">
        <v>45486</v>
      </c>
      <c r="F17" s="1">
        <v>45491</v>
      </c>
      <c r="G17" s="1">
        <v>45517</v>
      </c>
      <c r="H17" t="s">
        <v>13</v>
      </c>
      <c r="I17">
        <v>7490.03</v>
      </c>
      <c r="J17" t="s">
        <v>687</v>
      </c>
      <c r="K17">
        <v>26</v>
      </c>
    </row>
    <row r="18" spans="1:11" x14ac:dyDescent="0.35">
      <c r="A18" t="s">
        <v>1864</v>
      </c>
      <c r="B18" t="s">
        <v>463</v>
      </c>
      <c r="C18" t="s">
        <v>543</v>
      </c>
      <c r="D18" t="s">
        <v>660</v>
      </c>
      <c r="E18" s="1">
        <v>45433</v>
      </c>
      <c r="F18" s="1">
        <v>45434</v>
      </c>
      <c r="G18" s="1">
        <v>45457</v>
      </c>
      <c r="H18" t="s">
        <v>8</v>
      </c>
      <c r="I18">
        <v>7478.13</v>
      </c>
      <c r="J18" t="s">
        <v>683</v>
      </c>
      <c r="K18">
        <v>23</v>
      </c>
    </row>
    <row r="19" spans="1:11" x14ac:dyDescent="0.35">
      <c r="A19" t="s">
        <v>1916</v>
      </c>
      <c r="B19" t="s">
        <v>222</v>
      </c>
      <c r="C19" t="s">
        <v>599</v>
      </c>
      <c r="D19" t="s">
        <v>660</v>
      </c>
      <c r="E19" s="1">
        <v>45354</v>
      </c>
      <c r="F19" s="1">
        <v>45359</v>
      </c>
      <c r="G19" s="1">
        <v>45381</v>
      </c>
      <c r="H19" t="s">
        <v>20</v>
      </c>
      <c r="I19">
        <v>7417.72</v>
      </c>
      <c r="J19" t="s">
        <v>683</v>
      </c>
      <c r="K19">
        <v>22</v>
      </c>
    </row>
    <row r="20" spans="1:11" x14ac:dyDescent="0.35">
      <c r="A20" t="s">
        <v>1222</v>
      </c>
      <c r="B20" t="s">
        <v>34</v>
      </c>
      <c r="C20" t="s">
        <v>579</v>
      </c>
      <c r="D20" t="s">
        <v>660</v>
      </c>
      <c r="E20" s="1">
        <v>45627</v>
      </c>
      <c r="F20" s="1">
        <v>45630</v>
      </c>
      <c r="G20" s="1">
        <v>45639</v>
      </c>
      <c r="H20" t="s">
        <v>11</v>
      </c>
      <c r="I20">
        <v>7415.47</v>
      </c>
      <c r="J20" t="s">
        <v>683</v>
      </c>
      <c r="K20">
        <v>9</v>
      </c>
    </row>
    <row r="21" spans="1:11" x14ac:dyDescent="0.35">
      <c r="A21" t="s">
        <v>1023</v>
      </c>
      <c r="B21" t="s">
        <v>308</v>
      </c>
      <c r="C21" t="s">
        <v>587</v>
      </c>
      <c r="D21" t="s">
        <v>660</v>
      </c>
      <c r="E21" s="1">
        <v>45203</v>
      </c>
      <c r="F21" s="1">
        <v>45205</v>
      </c>
      <c r="G21" s="1">
        <v>45217</v>
      </c>
      <c r="H21" t="s">
        <v>25</v>
      </c>
      <c r="I21">
        <v>7355.98</v>
      </c>
      <c r="J21" t="s">
        <v>687</v>
      </c>
      <c r="K21">
        <v>12</v>
      </c>
    </row>
    <row r="22" spans="1:11" x14ac:dyDescent="0.35">
      <c r="A22" t="s">
        <v>2607</v>
      </c>
      <c r="B22" t="s">
        <v>172</v>
      </c>
      <c r="C22" t="s">
        <v>597</v>
      </c>
      <c r="D22" t="s">
        <v>660</v>
      </c>
      <c r="E22" s="1">
        <v>45208</v>
      </c>
      <c r="F22" s="1">
        <v>45212</v>
      </c>
      <c r="G22" s="1">
        <v>45236</v>
      </c>
      <c r="H22" t="s">
        <v>13</v>
      </c>
      <c r="I22">
        <v>7353.72</v>
      </c>
      <c r="J22" t="s">
        <v>683</v>
      </c>
      <c r="K22">
        <v>24</v>
      </c>
    </row>
    <row r="23" spans="1:11" x14ac:dyDescent="0.35">
      <c r="A23" t="s">
        <v>1173</v>
      </c>
      <c r="B23" t="s">
        <v>263</v>
      </c>
      <c r="C23" t="s">
        <v>521</v>
      </c>
      <c r="D23" t="s">
        <v>660</v>
      </c>
      <c r="E23" s="1">
        <v>45100</v>
      </c>
      <c r="F23" s="1">
        <v>45104</v>
      </c>
      <c r="G23" s="1">
        <v>45133</v>
      </c>
      <c r="H23" t="s">
        <v>20</v>
      </c>
      <c r="I23">
        <v>7316.74</v>
      </c>
      <c r="J23" t="s">
        <v>683</v>
      </c>
      <c r="K23">
        <v>29</v>
      </c>
    </row>
    <row r="24" spans="1:11" x14ac:dyDescent="0.35">
      <c r="A24" t="s">
        <v>1927</v>
      </c>
      <c r="B24" t="s">
        <v>132</v>
      </c>
      <c r="C24" t="s">
        <v>540</v>
      </c>
      <c r="D24" t="s">
        <v>660</v>
      </c>
      <c r="E24" s="1">
        <v>45418</v>
      </c>
      <c r="F24" s="1">
        <v>45420</v>
      </c>
      <c r="G24" s="1">
        <v>45436</v>
      </c>
      <c r="H24" t="s">
        <v>8</v>
      </c>
      <c r="I24">
        <v>7312.45</v>
      </c>
      <c r="J24" t="s">
        <v>683</v>
      </c>
      <c r="K24">
        <v>16</v>
      </c>
    </row>
    <row r="25" spans="1:11" x14ac:dyDescent="0.35">
      <c r="A25" t="s">
        <v>1531</v>
      </c>
      <c r="B25" t="s">
        <v>129</v>
      </c>
      <c r="C25" t="s">
        <v>601</v>
      </c>
      <c r="D25" t="s">
        <v>660</v>
      </c>
      <c r="E25" s="1">
        <v>45609</v>
      </c>
      <c r="F25" s="1">
        <v>45613</v>
      </c>
      <c r="G25" s="1">
        <v>45625</v>
      </c>
      <c r="H25" t="s">
        <v>8</v>
      </c>
      <c r="I25">
        <v>7287.29</v>
      </c>
      <c r="J25" t="s">
        <v>683</v>
      </c>
      <c r="K25">
        <v>12</v>
      </c>
    </row>
    <row r="26" spans="1:11" x14ac:dyDescent="0.35">
      <c r="A26" t="s">
        <v>2393</v>
      </c>
      <c r="B26" t="s">
        <v>147</v>
      </c>
      <c r="C26" t="s">
        <v>577</v>
      </c>
      <c r="D26" t="s">
        <v>660</v>
      </c>
      <c r="E26" s="1">
        <v>45174</v>
      </c>
      <c r="F26" s="1">
        <v>45177</v>
      </c>
      <c r="G26" s="1">
        <v>45190</v>
      </c>
      <c r="H26" t="s">
        <v>8</v>
      </c>
      <c r="I26">
        <v>7249.61</v>
      </c>
      <c r="J26" t="s">
        <v>683</v>
      </c>
      <c r="K26">
        <v>13</v>
      </c>
    </row>
    <row r="27" spans="1:11" x14ac:dyDescent="0.35">
      <c r="A27" t="s">
        <v>750</v>
      </c>
      <c r="B27" t="s">
        <v>442</v>
      </c>
      <c r="C27" t="s">
        <v>559</v>
      </c>
      <c r="D27" t="s">
        <v>660</v>
      </c>
      <c r="E27" s="1">
        <v>45039</v>
      </c>
      <c r="F27" s="1">
        <v>45041</v>
      </c>
      <c r="G27" s="1">
        <v>45063</v>
      </c>
      <c r="H27" t="s">
        <v>11</v>
      </c>
      <c r="I27">
        <v>7228.68</v>
      </c>
      <c r="J27" t="s">
        <v>683</v>
      </c>
      <c r="K27">
        <v>22</v>
      </c>
    </row>
    <row r="28" spans="1:11" x14ac:dyDescent="0.35">
      <c r="A28" t="s">
        <v>2442</v>
      </c>
      <c r="B28" t="s">
        <v>55</v>
      </c>
      <c r="C28" t="s">
        <v>593</v>
      </c>
      <c r="D28" t="s">
        <v>660</v>
      </c>
      <c r="E28" s="1">
        <v>45316</v>
      </c>
      <c r="F28" s="1">
        <v>45317</v>
      </c>
      <c r="G28" s="1">
        <v>45343</v>
      </c>
      <c r="H28" t="s">
        <v>11</v>
      </c>
      <c r="I28">
        <v>7206.98</v>
      </c>
      <c r="J28" t="s">
        <v>687</v>
      </c>
      <c r="K28">
        <v>26</v>
      </c>
    </row>
    <row r="29" spans="1:11" x14ac:dyDescent="0.35">
      <c r="A29" t="s">
        <v>2670</v>
      </c>
      <c r="B29" t="s">
        <v>439</v>
      </c>
      <c r="C29" t="s">
        <v>585</v>
      </c>
      <c r="D29" t="s">
        <v>660</v>
      </c>
      <c r="E29" s="1">
        <v>45483</v>
      </c>
      <c r="F29" s="1">
        <v>45487</v>
      </c>
      <c r="G29" s="1">
        <v>45494</v>
      </c>
      <c r="H29" t="s">
        <v>11</v>
      </c>
      <c r="I29">
        <v>7148.03</v>
      </c>
      <c r="J29" t="s">
        <v>687</v>
      </c>
      <c r="K29">
        <v>7</v>
      </c>
    </row>
    <row r="30" spans="1:11" x14ac:dyDescent="0.35">
      <c r="A30" t="s">
        <v>1475</v>
      </c>
      <c r="B30" t="s">
        <v>510</v>
      </c>
      <c r="C30" t="s">
        <v>524</v>
      </c>
      <c r="D30" t="s">
        <v>660</v>
      </c>
      <c r="E30" s="1">
        <v>45066</v>
      </c>
      <c r="F30" s="1">
        <v>45071</v>
      </c>
      <c r="G30" s="1">
        <v>45085</v>
      </c>
      <c r="H30" t="s">
        <v>11</v>
      </c>
      <c r="I30">
        <v>7143.27</v>
      </c>
      <c r="J30" t="s">
        <v>683</v>
      </c>
      <c r="K30">
        <v>14</v>
      </c>
    </row>
    <row r="31" spans="1:11" x14ac:dyDescent="0.35">
      <c r="A31" t="s">
        <v>2255</v>
      </c>
      <c r="B31" t="s">
        <v>232</v>
      </c>
      <c r="C31" t="s">
        <v>537</v>
      </c>
      <c r="D31" t="s">
        <v>660</v>
      </c>
      <c r="E31" s="1">
        <v>44995</v>
      </c>
      <c r="F31" s="1">
        <v>44998</v>
      </c>
      <c r="G31" s="1">
        <v>45024</v>
      </c>
      <c r="H31" t="s">
        <v>8</v>
      </c>
      <c r="I31">
        <v>7138.66</v>
      </c>
      <c r="J31" t="s">
        <v>683</v>
      </c>
      <c r="K31">
        <v>26</v>
      </c>
    </row>
    <row r="32" spans="1:11" x14ac:dyDescent="0.35">
      <c r="A32" t="s">
        <v>2620</v>
      </c>
      <c r="B32" t="s">
        <v>446</v>
      </c>
      <c r="C32" t="s">
        <v>607</v>
      </c>
      <c r="D32" t="s">
        <v>660</v>
      </c>
      <c r="E32" s="1">
        <v>45097</v>
      </c>
      <c r="F32" s="1">
        <v>45099</v>
      </c>
      <c r="G32" s="1"/>
      <c r="H32" t="s">
        <v>8</v>
      </c>
      <c r="I32">
        <v>7088.01</v>
      </c>
      <c r="J32" t="s">
        <v>689</v>
      </c>
    </row>
    <row r="33" spans="1:11" x14ac:dyDescent="0.35">
      <c r="A33" t="s">
        <v>1609</v>
      </c>
      <c r="B33" t="s">
        <v>77</v>
      </c>
      <c r="C33" t="s">
        <v>585</v>
      </c>
      <c r="D33" t="s">
        <v>660</v>
      </c>
      <c r="E33" s="1">
        <v>45141</v>
      </c>
      <c r="F33" s="1">
        <v>45145</v>
      </c>
      <c r="G33" s="1">
        <v>45151</v>
      </c>
      <c r="H33" t="s">
        <v>20</v>
      </c>
      <c r="I33">
        <v>7076.18</v>
      </c>
      <c r="J33" t="s">
        <v>683</v>
      </c>
      <c r="K33">
        <v>6</v>
      </c>
    </row>
    <row r="34" spans="1:11" x14ac:dyDescent="0.35">
      <c r="A34" t="s">
        <v>782</v>
      </c>
      <c r="B34" t="s">
        <v>162</v>
      </c>
      <c r="C34" t="s">
        <v>595</v>
      </c>
      <c r="D34" t="s">
        <v>660</v>
      </c>
      <c r="E34" s="1">
        <v>45228</v>
      </c>
      <c r="F34" s="1">
        <v>45230</v>
      </c>
      <c r="G34" s="1">
        <v>45240</v>
      </c>
      <c r="H34" t="s">
        <v>11</v>
      </c>
      <c r="I34">
        <v>7048</v>
      </c>
      <c r="J34" t="s">
        <v>683</v>
      </c>
      <c r="K34">
        <v>10</v>
      </c>
    </row>
    <row r="35" spans="1:11" x14ac:dyDescent="0.35">
      <c r="A35" t="s">
        <v>2215</v>
      </c>
      <c r="B35" t="s">
        <v>27</v>
      </c>
      <c r="C35" t="s">
        <v>589</v>
      </c>
      <c r="D35" t="s">
        <v>660</v>
      </c>
      <c r="E35" s="1">
        <v>45451</v>
      </c>
      <c r="F35" s="1">
        <v>45453</v>
      </c>
      <c r="G35" s="1">
        <v>45476</v>
      </c>
      <c r="H35" t="s">
        <v>20</v>
      </c>
      <c r="I35">
        <v>7025.14</v>
      </c>
      <c r="J35" t="s">
        <v>683</v>
      </c>
      <c r="K35">
        <v>23</v>
      </c>
    </row>
    <row r="36" spans="1:11" x14ac:dyDescent="0.35">
      <c r="A36" t="s">
        <v>1286</v>
      </c>
      <c r="B36" t="s">
        <v>365</v>
      </c>
      <c r="C36" t="s">
        <v>595</v>
      </c>
      <c r="D36" t="s">
        <v>660</v>
      </c>
      <c r="E36" s="1">
        <v>45338</v>
      </c>
      <c r="F36" s="1">
        <v>45341</v>
      </c>
      <c r="G36" s="1">
        <v>45350</v>
      </c>
      <c r="H36" t="s">
        <v>11</v>
      </c>
      <c r="I36">
        <v>7023.78</v>
      </c>
      <c r="J36" t="s">
        <v>683</v>
      </c>
      <c r="K36">
        <v>9</v>
      </c>
    </row>
    <row r="37" spans="1:11" x14ac:dyDescent="0.35">
      <c r="A37" t="s">
        <v>992</v>
      </c>
      <c r="B37" t="s">
        <v>225</v>
      </c>
      <c r="C37" t="s">
        <v>557</v>
      </c>
      <c r="D37" t="s">
        <v>660</v>
      </c>
      <c r="E37" s="1">
        <v>45173</v>
      </c>
      <c r="F37" s="1">
        <v>45175</v>
      </c>
      <c r="G37" s="1">
        <v>45202</v>
      </c>
      <c r="H37" t="s">
        <v>8</v>
      </c>
      <c r="I37">
        <v>7000.72</v>
      </c>
      <c r="J37" t="s">
        <v>683</v>
      </c>
      <c r="K37">
        <v>27</v>
      </c>
    </row>
    <row r="38" spans="1:11" x14ac:dyDescent="0.35">
      <c r="A38" t="s">
        <v>2364</v>
      </c>
      <c r="B38" t="s">
        <v>439</v>
      </c>
      <c r="C38" t="s">
        <v>557</v>
      </c>
      <c r="D38" t="s">
        <v>660</v>
      </c>
      <c r="E38" s="1">
        <v>44994</v>
      </c>
      <c r="F38" s="1">
        <v>44997</v>
      </c>
      <c r="G38" s="1">
        <v>45015</v>
      </c>
      <c r="H38" t="s">
        <v>11</v>
      </c>
      <c r="I38">
        <v>6973.5</v>
      </c>
      <c r="J38" t="s">
        <v>683</v>
      </c>
      <c r="K38">
        <v>18</v>
      </c>
    </row>
    <row r="39" spans="1:11" x14ac:dyDescent="0.35">
      <c r="A39" t="s">
        <v>2386</v>
      </c>
      <c r="B39" t="s">
        <v>356</v>
      </c>
      <c r="C39" t="s">
        <v>601</v>
      </c>
      <c r="D39" t="s">
        <v>660</v>
      </c>
      <c r="E39" s="1">
        <v>45335</v>
      </c>
      <c r="F39" s="1">
        <v>45337</v>
      </c>
      <c r="G39" s="1">
        <v>45354</v>
      </c>
      <c r="H39" t="s">
        <v>13</v>
      </c>
      <c r="I39">
        <v>6948.58</v>
      </c>
      <c r="J39" t="s">
        <v>683</v>
      </c>
      <c r="K39">
        <v>17</v>
      </c>
    </row>
    <row r="40" spans="1:11" x14ac:dyDescent="0.35">
      <c r="A40" t="s">
        <v>2464</v>
      </c>
      <c r="B40" t="s">
        <v>442</v>
      </c>
      <c r="C40" t="s">
        <v>601</v>
      </c>
      <c r="D40" t="s">
        <v>660</v>
      </c>
      <c r="E40" s="1">
        <v>45456</v>
      </c>
      <c r="F40" s="1">
        <v>45458</v>
      </c>
      <c r="G40" s="1">
        <v>45465</v>
      </c>
      <c r="H40" t="s">
        <v>11</v>
      </c>
      <c r="I40">
        <v>6934.19</v>
      </c>
      <c r="J40" t="s">
        <v>683</v>
      </c>
      <c r="K40">
        <v>7</v>
      </c>
    </row>
    <row r="41" spans="1:11" x14ac:dyDescent="0.35">
      <c r="A41" t="s">
        <v>2674</v>
      </c>
      <c r="B41" t="s">
        <v>348</v>
      </c>
      <c r="C41" t="s">
        <v>555</v>
      </c>
      <c r="D41" t="s">
        <v>660</v>
      </c>
      <c r="E41" s="1">
        <v>45561</v>
      </c>
      <c r="F41" s="1">
        <v>45564</v>
      </c>
      <c r="G41" s="1">
        <v>45582</v>
      </c>
      <c r="H41" t="s">
        <v>8</v>
      </c>
      <c r="I41">
        <v>6933.67</v>
      </c>
      <c r="J41" t="s">
        <v>683</v>
      </c>
      <c r="K41">
        <v>18</v>
      </c>
    </row>
    <row r="42" spans="1:11" x14ac:dyDescent="0.35">
      <c r="A42" t="s">
        <v>2204</v>
      </c>
      <c r="B42" t="s">
        <v>484</v>
      </c>
      <c r="C42" t="s">
        <v>599</v>
      </c>
      <c r="D42" t="s">
        <v>660</v>
      </c>
      <c r="E42" s="1">
        <v>45600</v>
      </c>
      <c r="F42" s="1">
        <v>45604</v>
      </c>
      <c r="G42" s="1">
        <v>45609</v>
      </c>
      <c r="H42" t="s">
        <v>8</v>
      </c>
      <c r="I42">
        <v>6883.23</v>
      </c>
      <c r="J42" t="s">
        <v>683</v>
      </c>
      <c r="K42">
        <v>5</v>
      </c>
    </row>
    <row r="43" spans="1:11" x14ac:dyDescent="0.35">
      <c r="A43" t="s">
        <v>1924</v>
      </c>
      <c r="B43" t="s">
        <v>41</v>
      </c>
      <c r="C43" t="s">
        <v>524</v>
      </c>
      <c r="D43" t="s">
        <v>660</v>
      </c>
      <c r="E43" s="1">
        <v>44976</v>
      </c>
      <c r="F43" s="1">
        <v>44979</v>
      </c>
      <c r="G43" s="1">
        <v>44984</v>
      </c>
      <c r="H43" t="s">
        <v>11</v>
      </c>
      <c r="I43">
        <v>6854.52</v>
      </c>
      <c r="J43" t="s">
        <v>687</v>
      </c>
      <c r="K43">
        <v>5</v>
      </c>
    </row>
    <row r="44" spans="1:11" x14ac:dyDescent="0.35">
      <c r="A44" t="s">
        <v>1189</v>
      </c>
      <c r="B44" t="s">
        <v>387</v>
      </c>
      <c r="C44" t="s">
        <v>567</v>
      </c>
      <c r="D44" t="s">
        <v>660</v>
      </c>
      <c r="E44" s="1">
        <v>45466</v>
      </c>
      <c r="F44" s="1">
        <v>45468</v>
      </c>
      <c r="G44" s="1">
        <v>45497</v>
      </c>
      <c r="H44" t="s">
        <v>11</v>
      </c>
      <c r="I44">
        <v>6818.91</v>
      </c>
      <c r="J44" t="s">
        <v>683</v>
      </c>
      <c r="K44">
        <v>29</v>
      </c>
    </row>
    <row r="45" spans="1:11" x14ac:dyDescent="0.35">
      <c r="A45" t="s">
        <v>881</v>
      </c>
      <c r="B45" t="s">
        <v>269</v>
      </c>
      <c r="C45" t="s">
        <v>587</v>
      </c>
      <c r="D45" t="s">
        <v>660</v>
      </c>
      <c r="E45" s="1">
        <v>45536</v>
      </c>
      <c r="F45" s="1">
        <v>45540</v>
      </c>
      <c r="G45" s="1">
        <v>45562</v>
      </c>
      <c r="H45" t="s">
        <v>20</v>
      </c>
      <c r="I45">
        <v>6815.02</v>
      </c>
      <c r="J45" t="s">
        <v>683</v>
      </c>
      <c r="K45">
        <v>22</v>
      </c>
    </row>
    <row r="46" spans="1:11" x14ac:dyDescent="0.35">
      <c r="A46" t="s">
        <v>2132</v>
      </c>
      <c r="B46" t="s">
        <v>104</v>
      </c>
      <c r="C46" t="s">
        <v>583</v>
      </c>
      <c r="D46" t="s">
        <v>660</v>
      </c>
      <c r="E46" s="1">
        <v>45139</v>
      </c>
      <c r="F46" s="1">
        <v>45143</v>
      </c>
      <c r="G46" s="1">
        <v>45171</v>
      </c>
      <c r="H46" t="s">
        <v>8</v>
      </c>
      <c r="I46">
        <v>6787.51</v>
      </c>
      <c r="J46" t="s">
        <v>683</v>
      </c>
      <c r="K46">
        <v>28</v>
      </c>
    </row>
    <row r="47" spans="1:11" x14ac:dyDescent="0.35">
      <c r="A47" t="s">
        <v>2618</v>
      </c>
      <c r="B47" t="s">
        <v>55</v>
      </c>
      <c r="C47" t="s">
        <v>524</v>
      </c>
      <c r="D47" t="s">
        <v>660</v>
      </c>
      <c r="E47" s="1">
        <v>45500</v>
      </c>
      <c r="F47" s="1">
        <v>45505</v>
      </c>
      <c r="G47" s="1">
        <v>45511</v>
      </c>
      <c r="H47" t="s">
        <v>11</v>
      </c>
      <c r="I47">
        <v>6776.3</v>
      </c>
      <c r="J47" t="s">
        <v>683</v>
      </c>
      <c r="K47">
        <v>6</v>
      </c>
    </row>
    <row r="48" spans="1:11" x14ac:dyDescent="0.35">
      <c r="A48" t="s">
        <v>1629</v>
      </c>
      <c r="B48" t="s">
        <v>204</v>
      </c>
      <c r="C48" t="s">
        <v>599</v>
      </c>
      <c r="D48" t="s">
        <v>660</v>
      </c>
      <c r="E48" s="1">
        <v>44949</v>
      </c>
      <c r="F48" s="1">
        <v>44952</v>
      </c>
      <c r="G48" s="1">
        <v>44972</v>
      </c>
      <c r="H48" t="s">
        <v>8</v>
      </c>
      <c r="I48">
        <v>6765.22</v>
      </c>
      <c r="J48" t="s">
        <v>687</v>
      </c>
      <c r="K48">
        <v>20</v>
      </c>
    </row>
    <row r="49" spans="1:11" x14ac:dyDescent="0.35">
      <c r="A49" t="s">
        <v>2595</v>
      </c>
      <c r="B49" t="s">
        <v>424</v>
      </c>
      <c r="C49" t="s">
        <v>543</v>
      </c>
      <c r="D49" t="s">
        <v>660</v>
      </c>
      <c r="E49" s="1">
        <v>45280</v>
      </c>
      <c r="F49" s="1">
        <v>45282</v>
      </c>
      <c r="G49" s="1">
        <v>45295</v>
      </c>
      <c r="H49" t="s">
        <v>11</v>
      </c>
      <c r="I49">
        <v>6743.96</v>
      </c>
      <c r="J49" t="s">
        <v>683</v>
      </c>
      <c r="K49">
        <v>13</v>
      </c>
    </row>
    <row r="50" spans="1:11" x14ac:dyDescent="0.35">
      <c r="A50" t="s">
        <v>1182</v>
      </c>
      <c r="B50" t="s">
        <v>242</v>
      </c>
      <c r="C50" t="s">
        <v>603</v>
      </c>
      <c r="D50" t="s">
        <v>660</v>
      </c>
      <c r="E50" s="1">
        <v>45476</v>
      </c>
      <c r="F50" s="1">
        <v>45478</v>
      </c>
      <c r="G50" s="1"/>
      <c r="H50" t="s">
        <v>11</v>
      </c>
      <c r="I50">
        <v>6684.36</v>
      </c>
      <c r="J50" t="s">
        <v>689</v>
      </c>
    </row>
    <row r="51" spans="1:11" x14ac:dyDescent="0.35">
      <c r="A51" t="s">
        <v>2617</v>
      </c>
      <c r="B51" t="s">
        <v>33</v>
      </c>
      <c r="C51" t="s">
        <v>607</v>
      </c>
      <c r="D51" t="s">
        <v>660</v>
      </c>
      <c r="E51" s="1">
        <v>45119</v>
      </c>
      <c r="F51" s="1">
        <v>45122</v>
      </c>
      <c r="G51" s="1">
        <v>45139</v>
      </c>
      <c r="H51" t="s">
        <v>8</v>
      </c>
      <c r="I51">
        <v>6657.92</v>
      </c>
      <c r="J51" t="s">
        <v>683</v>
      </c>
      <c r="K51">
        <v>17</v>
      </c>
    </row>
    <row r="52" spans="1:11" x14ac:dyDescent="0.35">
      <c r="A52" t="s">
        <v>963</v>
      </c>
      <c r="B52" t="s">
        <v>198</v>
      </c>
      <c r="C52" t="s">
        <v>553</v>
      </c>
      <c r="D52" t="s">
        <v>660</v>
      </c>
      <c r="E52" s="1">
        <v>45185</v>
      </c>
      <c r="F52" s="1">
        <v>45188</v>
      </c>
      <c r="G52" s="1">
        <v>45191</v>
      </c>
      <c r="H52" t="s">
        <v>11</v>
      </c>
      <c r="I52">
        <v>6616.33</v>
      </c>
      <c r="J52" t="s">
        <v>683</v>
      </c>
      <c r="K52">
        <v>3</v>
      </c>
    </row>
    <row r="53" spans="1:11" x14ac:dyDescent="0.35">
      <c r="A53" t="s">
        <v>1985</v>
      </c>
      <c r="B53" t="s">
        <v>504</v>
      </c>
      <c r="C53" t="s">
        <v>549</v>
      </c>
      <c r="D53" t="s">
        <v>660</v>
      </c>
      <c r="E53" s="1">
        <v>45248</v>
      </c>
      <c r="F53" s="1">
        <v>45253</v>
      </c>
      <c r="G53" s="1">
        <v>45280</v>
      </c>
      <c r="H53" t="s">
        <v>13</v>
      </c>
      <c r="I53">
        <v>6576.45</v>
      </c>
      <c r="J53" t="s">
        <v>683</v>
      </c>
      <c r="K53">
        <v>27</v>
      </c>
    </row>
    <row r="54" spans="1:11" x14ac:dyDescent="0.35">
      <c r="A54" t="s">
        <v>2253</v>
      </c>
      <c r="B54" t="s">
        <v>373</v>
      </c>
      <c r="C54" t="s">
        <v>603</v>
      </c>
      <c r="D54" t="s">
        <v>660</v>
      </c>
      <c r="E54" s="1">
        <v>45443</v>
      </c>
      <c r="F54" s="1">
        <v>45447</v>
      </c>
      <c r="G54" s="1">
        <v>45465</v>
      </c>
      <c r="H54" t="s">
        <v>20</v>
      </c>
      <c r="I54">
        <v>6552.66</v>
      </c>
      <c r="J54" t="s">
        <v>687</v>
      </c>
      <c r="K54">
        <v>18</v>
      </c>
    </row>
    <row r="55" spans="1:11" x14ac:dyDescent="0.35">
      <c r="A55" t="s">
        <v>1159</v>
      </c>
      <c r="B55" t="s">
        <v>502</v>
      </c>
      <c r="C55" t="s">
        <v>524</v>
      </c>
      <c r="D55" t="s">
        <v>660</v>
      </c>
      <c r="E55" s="1">
        <v>45250</v>
      </c>
      <c r="F55" s="1">
        <v>45251</v>
      </c>
      <c r="G55" s="1">
        <v>45256</v>
      </c>
      <c r="H55" t="s">
        <v>13</v>
      </c>
      <c r="I55">
        <v>6546.69</v>
      </c>
      <c r="J55" t="s">
        <v>683</v>
      </c>
      <c r="K55">
        <v>5</v>
      </c>
    </row>
    <row r="56" spans="1:11" x14ac:dyDescent="0.35">
      <c r="A56" t="s">
        <v>2105</v>
      </c>
      <c r="B56" t="s">
        <v>400</v>
      </c>
      <c r="C56" t="s">
        <v>611</v>
      </c>
      <c r="D56" t="s">
        <v>660</v>
      </c>
      <c r="E56" s="1">
        <v>45243</v>
      </c>
      <c r="F56" s="1">
        <v>45244</v>
      </c>
      <c r="G56" s="1">
        <v>45251</v>
      </c>
      <c r="H56" t="s">
        <v>25</v>
      </c>
      <c r="I56">
        <v>6507.91</v>
      </c>
      <c r="J56" t="s">
        <v>683</v>
      </c>
      <c r="K56">
        <v>7</v>
      </c>
    </row>
    <row r="57" spans="1:11" x14ac:dyDescent="0.35">
      <c r="A57" t="s">
        <v>865</v>
      </c>
      <c r="B57" t="s">
        <v>292</v>
      </c>
      <c r="C57" t="s">
        <v>579</v>
      </c>
      <c r="D57" t="s">
        <v>660</v>
      </c>
      <c r="E57" s="1">
        <v>45416</v>
      </c>
      <c r="F57" s="1">
        <v>45417</v>
      </c>
      <c r="G57" s="1">
        <v>45432</v>
      </c>
      <c r="H57" t="s">
        <v>13</v>
      </c>
      <c r="I57">
        <v>6482.94</v>
      </c>
      <c r="J57" t="s">
        <v>683</v>
      </c>
      <c r="K57">
        <v>15</v>
      </c>
    </row>
    <row r="58" spans="1:11" x14ac:dyDescent="0.35">
      <c r="A58" t="s">
        <v>1717</v>
      </c>
      <c r="B58" t="s">
        <v>423</v>
      </c>
      <c r="C58" t="s">
        <v>611</v>
      </c>
      <c r="D58" t="s">
        <v>660</v>
      </c>
      <c r="E58" s="1">
        <v>45230</v>
      </c>
      <c r="F58" s="1">
        <v>45232</v>
      </c>
      <c r="G58" s="1">
        <v>45252</v>
      </c>
      <c r="H58" t="s">
        <v>13</v>
      </c>
      <c r="I58">
        <v>6341.71</v>
      </c>
      <c r="J58" t="s">
        <v>683</v>
      </c>
      <c r="K58">
        <v>20</v>
      </c>
    </row>
    <row r="59" spans="1:11" x14ac:dyDescent="0.35">
      <c r="A59" t="s">
        <v>1901</v>
      </c>
      <c r="B59" t="s">
        <v>85</v>
      </c>
      <c r="C59" t="s">
        <v>573</v>
      </c>
      <c r="D59" t="s">
        <v>660</v>
      </c>
      <c r="E59" s="1">
        <v>45379</v>
      </c>
      <c r="F59" s="1">
        <v>45384</v>
      </c>
      <c r="G59" s="1">
        <v>45393</v>
      </c>
      <c r="H59" t="s">
        <v>11</v>
      </c>
      <c r="I59">
        <v>6302.91</v>
      </c>
      <c r="J59" t="s">
        <v>683</v>
      </c>
      <c r="K59">
        <v>9</v>
      </c>
    </row>
    <row r="60" spans="1:11" x14ac:dyDescent="0.35">
      <c r="A60" t="s">
        <v>2121</v>
      </c>
      <c r="B60" t="s">
        <v>332</v>
      </c>
      <c r="C60" t="s">
        <v>609</v>
      </c>
      <c r="D60" t="s">
        <v>660</v>
      </c>
      <c r="E60" s="1">
        <v>45337</v>
      </c>
      <c r="F60" s="1">
        <v>45339</v>
      </c>
      <c r="G60" s="1">
        <v>45352</v>
      </c>
      <c r="H60" t="s">
        <v>20</v>
      </c>
      <c r="I60">
        <v>6298.07</v>
      </c>
      <c r="J60" t="s">
        <v>687</v>
      </c>
      <c r="K60">
        <v>13</v>
      </c>
    </row>
    <row r="61" spans="1:11" x14ac:dyDescent="0.35">
      <c r="A61" t="s">
        <v>1640</v>
      </c>
      <c r="B61" t="s">
        <v>472</v>
      </c>
      <c r="C61" t="s">
        <v>583</v>
      </c>
      <c r="D61" t="s">
        <v>660</v>
      </c>
      <c r="E61" s="1">
        <v>44940</v>
      </c>
      <c r="F61" s="1">
        <v>44944</v>
      </c>
      <c r="G61" s="1">
        <v>44972</v>
      </c>
      <c r="H61" t="s">
        <v>13</v>
      </c>
      <c r="I61">
        <v>6293.16</v>
      </c>
      <c r="J61" t="s">
        <v>683</v>
      </c>
      <c r="K61">
        <v>28</v>
      </c>
    </row>
    <row r="62" spans="1:11" x14ac:dyDescent="0.35">
      <c r="A62" t="s">
        <v>1830</v>
      </c>
      <c r="B62" t="s">
        <v>469</v>
      </c>
      <c r="C62" t="s">
        <v>571</v>
      </c>
      <c r="D62" t="s">
        <v>660</v>
      </c>
      <c r="E62" s="1">
        <v>45121</v>
      </c>
      <c r="F62" s="1">
        <v>45124</v>
      </c>
      <c r="G62" s="1">
        <v>45152</v>
      </c>
      <c r="H62" t="s">
        <v>8</v>
      </c>
      <c r="I62">
        <v>6210.67</v>
      </c>
      <c r="J62" t="s">
        <v>683</v>
      </c>
      <c r="K62">
        <v>28</v>
      </c>
    </row>
    <row r="63" spans="1:11" x14ac:dyDescent="0.35">
      <c r="A63" t="s">
        <v>1905</v>
      </c>
      <c r="B63" t="s">
        <v>231</v>
      </c>
      <c r="C63" t="s">
        <v>569</v>
      </c>
      <c r="D63" t="s">
        <v>626</v>
      </c>
      <c r="E63" s="1">
        <v>45524</v>
      </c>
      <c r="F63" s="1">
        <v>45529</v>
      </c>
      <c r="G63" s="1">
        <v>45542</v>
      </c>
      <c r="H63" t="s">
        <v>8</v>
      </c>
      <c r="I63">
        <v>6182.62</v>
      </c>
      <c r="J63" t="s">
        <v>687</v>
      </c>
      <c r="K63">
        <v>13</v>
      </c>
    </row>
    <row r="64" spans="1:11" x14ac:dyDescent="0.35">
      <c r="A64" t="s">
        <v>1557</v>
      </c>
      <c r="B64" t="s">
        <v>403</v>
      </c>
      <c r="C64" t="s">
        <v>565</v>
      </c>
      <c r="D64" t="s">
        <v>626</v>
      </c>
      <c r="E64" s="1">
        <v>44951</v>
      </c>
      <c r="F64" s="1">
        <v>44953</v>
      </c>
      <c r="G64" s="1">
        <v>44960</v>
      </c>
      <c r="H64" t="s">
        <v>8</v>
      </c>
      <c r="I64">
        <v>6163.56</v>
      </c>
      <c r="J64" t="s">
        <v>683</v>
      </c>
      <c r="K64">
        <v>7</v>
      </c>
    </row>
    <row r="65" spans="1:11" x14ac:dyDescent="0.35">
      <c r="A65" t="s">
        <v>1698</v>
      </c>
      <c r="B65" t="s">
        <v>382</v>
      </c>
      <c r="C65" t="s">
        <v>540</v>
      </c>
      <c r="D65" t="s">
        <v>660</v>
      </c>
      <c r="E65" s="1">
        <v>45558</v>
      </c>
      <c r="F65" s="1">
        <v>45559</v>
      </c>
      <c r="G65" s="1"/>
      <c r="H65" t="s">
        <v>8</v>
      </c>
      <c r="I65">
        <v>6136.2</v>
      </c>
      <c r="J65" t="s">
        <v>689</v>
      </c>
    </row>
    <row r="66" spans="1:11" x14ac:dyDescent="0.35">
      <c r="A66" t="s">
        <v>973</v>
      </c>
      <c r="B66" t="s">
        <v>75</v>
      </c>
      <c r="C66" t="s">
        <v>540</v>
      </c>
      <c r="D66" t="s">
        <v>660</v>
      </c>
      <c r="E66" s="1">
        <v>45545</v>
      </c>
      <c r="F66" s="1">
        <v>45550</v>
      </c>
      <c r="G66" s="1">
        <v>45553</v>
      </c>
      <c r="H66" t="s">
        <v>8</v>
      </c>
      <c r="I66">
        <v>6134.58</v>
      </c>
      <c r="J66" t="s">
        <v>683</v>
      </c>
      <c r="K66">
        <v>3</v>
      </c>
    </row>
    <row r="67" spans="1:11" x14ac:dyDescent="0.35">
      <c r="A67" t="s">
        <v>2627</v>
      </c>
      <c r="B67" t="s">
        <v>174</v>
      </c>
      <c r="C67" t="s">
        <v>565</v>
      </c>
      <c r="D67" t="s">
        <v>626</v>
      </c>
      <c r="E67" s="1">
        <v>45342</v>
      </c>
      <c r="F67" s="1">
        <v>45346</v>
      </c>
      <c r="G67" s="1">
        <v>45363</v>
      </c>
      <c r="H67" t="s">
        <v>8</v>
      </c>
      <c r="I67">
        <v>6132.13</v>
      </c>
      <c r="J67" t="s">
        <v>687</v>
      </c>
      <c r="K67">
        <v>17</v>
      </c>
    </row>
    <row r="68" spans="1:11" x14ac:dyDescent="0.35">
      <c r="A68" t="s">
        <v>1623</v>
      </c>
      <c r="B68" t="s">
        <v>89</v>
      </c>
      <c r="C68" t="s">
        <v>597</v>
      </c>
      <c r="D68" t="s">
        <v>660</v>
      </c>
      <c r="E68" s="1">
        <v>45239</v>
      </c>
      <c r="F68" s="1">
        <v>45240</v>
      </c>
      <c r="G68" s="1">
        <v>45244</v>
      </c>
      <c r="H68" t="s">
        <v>11</v>
      </c>
      <c r="I68">
        <v>6084.66</v>
      </c>
      <c r="J68" t="s">
        <v>683</v>
      </c>
      <c r="K68">
        <v>4</v>
      </c>
    </row>
    <row r="69" spans="1:11" x14ac:dyDescent="0.35">
      <c r="A69" t="s">
        <v>2407</v>
      </c>
      <c r="B69" t="s">
        <v>291</v>
      </c>
      <c r="C69" t="s">
        <v>571</v>
      </c>
      <c r="D69" t="s">
        <v>660</v>
      </c>
      <c r="E69" s="1">
        <v>44973</v>
      </c>
      <c r="F69" s="1">
        <v>44976</v>
      </c>
      <c r="G69" s="1">
        <v>44994</v>
      </c>
      <c r="H69" t="s">
        <v>13</v>
      </c>
      <c r="I69">
        <v>6050.21</v>
      </c>
      <c r="J69" t="s">
        <v>687</v>
      </c>
      <c r="K69">
        <v>18</v>
      </c>
    </row>
    <row r="70" spans="1:11" x14ac:dyDescent="0.35">
      <c r="A70" t="s">
        <v>1945</v>
      </c>
      <c r="B70" t="s">
        <v>137</v>
      </c>
      <c r="C70" t="s">
        <v>607</v>
      </c>
      <c r="D70" t="s">
        <v>626</v>
      </c>
      <c r="E70" s="1">
        <v>45080</v>
      </c>
      <c r="F70" s="1">
        <v>45085</v>
      </c>
      <c r="G70" s="1">
        <v>45115</v>
      </c>
      <c r="H70" t="s">
        <v>11</v>
      </c>
      <c r="I70">
        <v>6028.2</v>
      </c>
      <c r="J70" t="s">
        <v>683</v>
      </c>
      <c r="K70">
        <v>30</v>
      </c>
    </row>
    <row r="71" spans="1:11" x14ac:dyDescent="0.35">
      <c r="A71" t="s">
        <v>1759</v>
      </c>
      <c r="B71" t="s">
        <v>424</v>
      </c>
      <c r="C71" t="s">
        <v>531</v>
      </c>
      <c r="D71" t="s">
        <v>660</v>
      </c>
      <c r="E71" s="1">
        <v>44975</v>
      </c>
      <c r="F71" s="1">
        <v>44977</v>
      </c>
      <c r="G71" s="1">
        <v>44996</v>
      </c>
      <c r="H71" t="s">
        <v>11</v>
      </c>
      <c r="I71">
        <v>6019.51</v>
      </c>
      <c r="J71" t="s">
        <v>683</v>
      </c>
      <c r="K71">
        <v>19</v>
      </c>
    </row>
    <row r="72" spans="1:11" x14ac:dyDescent="0.35">
      <c r="A72" t="s">
        <v>1599</v>
      </c>
      <c r="B72" t="s">
        <v>208</v>
      </c>
      <c r="C72" t="s">
        <v>573</v>
      </c>
      <c r="D72" t="s">
        <v>626</v>
      </c>
      <c r="E72" s="1">
        <v>45248</v>
      </c>
      <c r="F72" s="1">
        <v>45251</v>
      </c>
      <c r="G72" s="1">
        <v>45270</v>
      </c>
      <c r="H72" t="s">
        <v>13</v>
      </c>
      <c r="I72">
        <v>6017.87</v>
      </c>
      <c r="J72" t="s">
        <v>683</v>
      </c>
      <c r="K72">
        <v>19</v>
      </c>
    </row>
    <row r="73" spans="1:11" x14ac:dyDescent="0.35">
      <c r="A73" t="s">
        <v>2145</v>
      </c>
      <c r="B73" t="s">
        <v>241</v>
      </c>
      <c r="C73" t="s">
        <v>571</v>
      </c>
      <c r="D73" t="s">
        <v>660</v>
      </c>
      <c r="E73" s="1">
        <v>44936</v>
      </c>
      <c r="F73" s="1">
        <v>44941</v>
      </c>
      <c r="G73" s="1">
        <v>44951</v>
      </c>
      <c r="H73" t="s">
        <v>11</v>
      </c>
      <c r="I73">
        <v>5986.67</v>
      </c>
      <c r="J73" t="s">
        <v>683</v>
      </c>
      <c r="K73">
        <v>10</v>
      </c>
    </row>
    <row r="74" spans="1:11" x14ac:dyDescent="0.35">
      <c r="A74" t="s">
        <v>1038</v>
      </c>
      <c r="B74" t="s">
        <v>225</v>
      </c>
      <c r="C74" t="s">
        <v>537</v>
      </c>
      <c r="D74" t="s">
        <v>660</v>
      </c>
      <c r="E74" s="1">
        <v>45588</v>
      </c>
      <c r="F74" s="1">
        <v>45591</v>
      </c>
      <c r="G74" s="1">
        <v>45614</v>
      </c>
      <c r="H74" t="s">
        <v>8</v>
      </c>
      <c r="I74">
        <v>5975.48</v>
      </c>
      <c r="J74" t="s">
        <v>687</v>
      </c>
      <c r="K74">
        <v>23</v>
      </c>
    </row>
    <row r="75" spans="1:11" x14ac:dyDescent="0.35">
      <c r="A75" t="s">
        <v>1180</v>
      </c>
      <c r="B75" t="s">
        <v>197</v>
      </c>
      <c r="C75" t="s">
        <v>597</v>
      </c>
      <c r="D75" t="s">
        <v>626</v>
      </c>
      <c r="E75" s="1">
        <v>45158</v>
      </c>
      <c r="F75" s="1">
        <v>45159</v>
      </c>
      <c r="G75" s="1">
        <v>45167</v>
      </c>
      <c r="H75" t="s">
        <v>13</v>
      </c>
      <c r="I75">
        <v>5971.37</v>
      </c>
      <c r="J75" t="s">
        <v>683</v>
      </c>
      <c r="K75">
        <v>8</v>
      </c>
    </row>
    <row r="76" spans="1:11" x14ac:dyDescent="0.35">
      <c r="A76" t="s">
        <v>2320</v>
      </c>
      <c r="B76" t="s">
        <v>359</v>
      </c>
      <c r="C76" t="s">
        <v>557</v>
      </c>
      <c r="D76" t="s">
        <v>660</v>
      </c>
      <c r="E76" s="1">
        <v>45145</v>
      </c>
      <c r="F76" s="1">
        <v>45150</v>
      </c>
      <c r="G76" s="1">
        <v>45178</v>
      </c>
      <c r="H76" t="s">
        <v>25</v>
      </c>
      <c r="I76">
        <v>5952.1</v>
      </c>
      <c r="J76" t="s">
        <v>683</v>
      </c>
      <c r="K76">
        <v>28</v>
      </c>
    </row>
    <row r="77" spans="1:11" x14ac:dyDescent="0.35">
      <c r="A77" t="s">
        <v>787</v>
      </c>
      <c r="B77" t="s">
        <v>78</v>
      </c>
      <c r="C77" t="s">
        <v>587</v>
      </c>
      <c r="D77" t="s">
        <v>660</v>
      </c>
      <c r="E77" s="1">
        <v>45630</v>
      </c>
      <c r="F77" s="1">
        <v>45633</v>
      </c>
      <c r="G77" s="1"/>
      <c r="H77" t="s">
        <v>11</v>
      </c>
      <c r="I77">
        <v>5939.39</v>
      </c>
      <c r="J77" t="s">
        <v>689</v>
      </c>
    </row>
    <row r="78" spans="1:11" x14ac:dyDescent="0.35">
      <c r="A78" t="s">
        <v>2489</v>
      </c>
      <c r="B78" t="s">
        <v>437</v>
      </c>
      <c r="C78" t="s">
        <v>553</v>
      </c>
      <c r="D78" t="s">
        <v>660</v>
      </c>
      <c r="E78" s="1">
        <v>45381</v>
      </c>
      <c r="F78" s="1">
        <v>45385</v>
      </c>
      <c r="G78" s="1">
        <v>45415</v>
      </c>
      <c r="H78" t="s">
        <v>20</v>
      </c>
      <c r="I78">
        <v>5938.44</v>
      </c>
      <c r="J78" t="s">
        <v>683</v>
      </c>
      <c r="K78">
        <v>30</v>
      </c>
    </row>
    <row r="79" spans="1:11" x14ac:dyDescent="0.35">
      <c r="A79" t="s">
        <v>2133</v>
      </c>
      <c r="B79" t="s">
        <v>145</v>
      </c>
      <c r="C79" t="s">
        <v>553</v>
      </c>
      <c r="D79" t="s">
        <v>660</v>
      </c>
      <c r="E79" s="1">
        <v>45236</v>
      </c>
      <c r="F79" s="1">
        <v>45237</v>
      </c>
      <c r="G79" s="1">
        <v>45255</v>
      </c>
      <c r="H79" t="s">
        <v>8</v>
      </c>
      <c r="I79">
        <v>5931.02</v>
      </c>
      <c r="J79" t="s">
        <v>687</v>
      </c>
      <c r="K79">
        <v>18</v>
      </c>
    </row>
    <row r="80" spans="1:11" x14ac:dyDescent="0.35">
      <c r="A80" t="s">
        <v>1181</v>
      </c>
      <c r="B80" t="s">
        <v>200</v>
      </c>
      <c r="C80" t="s">
        <v>587</v>
      </c>
      <c r="D80" t="s">
        <v>660</v>
      </c>
      <c r="E80" s="1">
        <v>45459</v>
      </c>
      <c r="F80" s="1">
        <v>45463</v>
      </c>
      <c r="G80" s="1">
        <v>45482</v>
      </c>
      <c r="H80" t="s">
        <v>20</v>
      </c>
      <c r="I80">
        <v>5926.05</v>
      </c>
      <c r="J80" t="s">
        <v>683</v>
      </c>
      <c r="K80">
        <v>19</v>
      </c>
    </row>
    <row r="81" spans="1:11" x14ac:dyDescent="0.35">
      <c r="A81" t="s">
        <v>1575</v>
      </c>
      <c r="B81" t="s">
        <v>479</v>
      </c>
      <c r="C81" t="s">
        <v>555</v>
      </c>
      <c r="D81" t="s">
        <v>626</v>
      </c>
      <c r="E81" s="1">
        <v>45310</v>
      </c>
      <c r="F81" s="1">
        <v>45315</v>
      </c>
      <c r="G81" s="1">
        <v>45320</v>
      </c>
      <c r="H81" t="s">
        <v>20</v>
      </c>
      <c r="I81">
        <v>5902.05</v>
      </c>
      <c r="J81" t="s">
        <v>683</v>
      </c>
      <c r="K81">
        <v>5</v>
      </c>
    </row>
    <row r="82" spans="1:11" x14ac:dyDescent="0.35">
      <c r="A82" t="s">
        <v>1536</v>
      </c>
      <c r="B82" t="s">
        <v>197</v>
      </c>
      <c r="C82" t="s">
        <v>607</v>
      </c>
      <c r="D82" t="s">
        <v>660</v>
      </c>
      <c r="E82" s="1">
        <v>45130</v>
      </c>
      <c r="F82" s="1">
        <v>45133</v>
      </c>
      <c r="G82" s="1">
        <v>45159</v>
      </c>
      <c r="H82" t="s">
        <v>13</v>
      </c>
      <c r="I82">
        <v>5883.8</v>
      </c>
      <c r="J82" t="s">
        <v>683</v>
      </c>
      <c r="K82">
        <v>26</v>
      </c>
    </row>
    <row r="83" spans="1:11" x14ac:dyDescent="0.35">
      <c r="A83" t="s">
        <v>701</v>
      </c>
      <c r="B83" t="s">
        <v>140</v>
      </c>
      <c r="C83" t="s">
        <v>524</v>
      </c>
      <c r="D83" t="s">
        <v>660</v>
      </c>
      <c r="E83" s="1">
        <v>45462</v>
      </c>
      <c r="F83" s="1">
        <v>45467</v>
      </c>
      <c r="G83" s="1">
        <v>45496</v>
      </c>
      <c r="H83" t="s">
        <v>20</v>
      </c>
      <c r="I83">
        <v>5871.18</v>
      </c>
      <c r="J83" t="s">
        <v>683</v>
      </c>
      <c r="K83">
        <v>29</v>
      </c>
    </row>
    <row r="84" spans="1:11" x14ac:dyDescent="0.35">
      <c r="A84" t="s">
        <v>1630</v>
      </c>
      <c r="B84" t="s">
        <v>323</v>
      </c>
      <c r="C84" t="s">
        <v>571</v>
      </c>
      <c r="D84" t="s">
        <v>626</v>
      </c>
      <c r="E84" s="1">
        <v>45470</v>
      </c>
      <c r="F84" s="1">
        <v>45473</v>
      </c>
      <c r="G84" s="1"/>
      <c r="H84" t="s">
        <v>20</v>
      </c>
      <c r="I84">
        <v>5870.76</v>
      </c>
      <c r="J84" t="s">
        <v>689</v>
      </c>
    </row>
    <row r="85" spans="1:11" x14ac:dyDescent="0.35">
      <c r="A85" t="s">
        <v>1045</v>
      </c>
      <c r="B85" t="s">
        <v>334</v>
      </c>
      <c r="C85" t="s">
        <v>599</v>
      </c>
      <c r="D85" t="s">
        <v>660</v>
      </c>
      <c r="E85" s="1">
        <v>44992</v>
      </c>
      <c r="F85" s="1">
        <v>44996</v>
      </c>
      <c r="G85" s="1">
        <v>45023</v>
      </c>
      <c r="H85" t="s">
        <v>11</v>
      </c>
      <c r="I85">
        <v>5869.01</v>
      </c>
      <c r="J85" t="s">
        <v>683</v>
      </c>
      <c r="K85">
        <v>27</v>
      </c>
    </row>
    <row r="86" spans="1:11" x14ac:dyDescent="0.35">
      <c r="A86" t="s">
        <v>1133</v>
      </c>
      <c r="B86" t="s">
        <v>496</v>
      </c>
      <c r="C86" t="s">
        <v>571</v>
      </c>
      <c r="D86" t="s">
        <v>626</v>
      </c>
      <c r="E86" s="1">
        <v>45440</v>
      </c>
      <c r="F86" s="1">
        <v>45445</v>
      </c>
      <c r="G86" s="1">
        <v>45451</v>
      </c>
      <c r="H86" t="s">
        <v>13</v>
      </c>
      <c r="I86">
        <v>5861.29</v>
      </c>
      <c r="J86" t="s">
        <v>683</v>
      </c>
      <c r="K86">
        <v>6</v>
      </c>
    </row>
    <row r="87" spans="1:11" x14ac:dyDescent="0.35">
      <c r="A87" t="s">
        <v>1385</v>
      </c>
      <c r="B87" t="s">
        <v>60</v>
      </c>
      <c r="C87" t="s">
        <v>567</v>
      </c>
      <c r="D87" t="s">
        <v>660</v>
      </c>
      <c r="E87" s="1">
        <v>44957</v>
      </c>
      <c r="F87" s="1">
        <v>44962</v>
      </c>
      <c r="G87" s="1">
        <v>44970</v>
      </c>
      <c r="H87" t="s">
        <v>11</v>
      </c>
      <c r="I87">
        <v>5855.34</v>
      </c>
      <c r="J87" t="s">
        <v>683</v>
      </c>
      <c r="K87">
        <v>8</v>
      </c>
    </row>
    <row r="88" spans="1:11" x14ac:dyDescent="0.35">
      <c r="A88" t="s">
        <v>2633</v>
      </c>
      <c r="B88" t="s">
        <v>238</v>
      </c>
      <c r="C88" t="s">
        <v>583</v>
      </c>
      <c r="D88" t="s">
        <v>626</v>
      </c>
      <c r="E88" s="1">
        <v>45558</v>
      </c>
      <c r="F88" s="1">
        <v>45561</v>
      </c>
      <c r="G88" s="1"/>
      <c r="H88" t="s">
        <v>20</v>
      </c>
      <c r="I88">
        <v>5846.05</v>
      </c>
      <c r="J88" t="s">
        <v>689</v>
      </c>
    </row>
    <row r="89" spans="1:11" x14ac:dyDescent="0.35">
      <c r="A89" t="s">
        <v>2177</v>
      </c>
      <c r="B89" t="s">
        <v>160</v>
      </c>
      <c r="C89" t="s">
        <v>561</v>
      </c>
      <c r="D89" t="s">
        <v>626</v>
      </c>
      <c r="E89" s="1">
        <v>45067</v>
      </c>
      <c r="F89" s="1">
        <v>45072</v>
      </c>
      <c r="G89" s="1">
        <v>45086</v>
      </c>
      <c r="H89" t="s">
        <v>20</v>
      </c>
      <c r="I89">
        <v>5802.09</v>
      </c>
      <c r="J89" t="s">
        <v>683</v>
      </c>
      <c r="K89">
        <v>14</v>
      </c>
    </row>
    <row r="90" spans="1:11" x14ac:dyDescent="0.35">
      <c r="A90" t="s">
        <v>2148</v>
      </c>
      <c r="B90" t="s">
        <v>496</v>
      </c>
      <c r="C90" t="s">
        <v>581</v>
      </c>
      <c r="D90" t="s">
        <v>626</v>
      </c>
      <c r="E90" s="1">
        <v>45486</v>
      </c>
      <c r="F90" s="1">
        <v>45487</v>
      </c>
      <c r="G90" s="1">
        <v>45492</v>
      </c>
      <c r="H90" t="s">
        <v>13</v>
      </c>
      <c r="I90">
        <v>5742.38</v>
      </c>
      <c r="J90" t="s">
        <v>683</v>
      </c>
      <c r="K90">
        <v>5</v>
      </c>
    </row>
    <row r="91" spans="1:11" x14ac:dyDescent="0.35">
      <c r="A91" t="s">
        <v>1740</v>
      </c>
      <c r="B91" t="s">
        <v>391</v>
      </c>
      <c r="C91" t="s">
        <v>557</v>
      </c>
      <c r="D91" t="s">
        <v>626</v>
      </c>
      <c r="E91" s="1">
        <v>45088</v>
      </c>
      <c r="F91" s="1">
        <v>45091</v>
      </c>
      <c r="G91" s="1">
        <v>45119</v>
      </c>
      <c r="H91" t="s">
        <v>11</v>
      </c>
      <c r="I91">
        <v>5718.05</v>
      </c>
      <c r="J91" t="s">
        <v>683</v>
      </c>
      <c r="K91">
        <v>28</v>
      </c>
    </row>
    <row r="92" spans="1:11" x14ac:dyDescent="0.35">
      <c r="A92" t="s">
        <v>1999</v>
      </c>
      <c r="B92" t="s">
        <v>341</v>
      </c>
      <c r="C92" t="s">
        <v>599</v>
      </c>
      <c r="D92" t="s">
        <v>626</v>
      </c>
      <c r="E92" s="1">
        <v>45593</v>
      </c>
      <c r="F92" s="1">
        <v>45594</v>
      </c>
      <c r="G92" s="1"/>
      <c r="H92" t="s">
        <v>11</v>
      </c>
      <c r="I92">
        <v>5690.08</v>
      </c>
      <c r="J92" t="s">
        <v>689</v>
      </c>
    </row>
    <row r="93" spans="1:11" x14ac:dyDescent="0.35">
      <c r="A93" t="s">
        <v>2070</v>
      </c>
      <c r="B93" t="s">
        <v>54</v>
      </c>
      <c r="C93" t="s">
        <v>549</v>
      </c>
      <c r="D93" t="s">
        <v>626</v>
      </c>
      <c r="E93" s="1">
        <v>45431</v>
      </c>
      <c r="F93" s="1">
        <v>45434</v>
      </c>
      <c r="G93" s="1">
        <v>45443</v>
      </c>
      <c r="H93" t="s">
        <v>11</v>
      </c>
      <c r="I93">
        <v>5646.92</v>
      </c>
      <c r="J93" t="s">
        <v>683</v>
      </c>
      <c r="K93">
        <v>9</v>
      </c>
    </row>
    <row r="94" spans="1:11" x14ac:dyDescent="0.35">
      <c r="A94" t="s">
        <v>2406</v>
      </c>
      <c r="B94" t="s">
        <v>259</v>
      </c>
      <c r="C94" t="s">
        <v>531</v>
      </c>
      <c r="D94" t="s">
        <v>626</v>
      </c>
      <c r="E94" s="1">
        <v>45362</v>
      </c>
      <c r="F94" s="1">
        <v>45365</v>
      </c>
      <c r="G94" s="1">
        <v>45375</v>
      </c>
      <c r="H94" t="s">
        <v>20</v>
      </c>
      <c r="I94">
        <v>5626.22</v>
      </c>
      <c r="J94" t="s">
        <v>683</v>
      </c>
      <c r="K94">
        <v>10</v>
      </c>
    </row>
    <row r="95" spans="1:11" x14ac:dyDescent="0.35">
      <c r="A95" t="s">
        <v>1576</v>
      </c>
      <c r="B95" t="s">
        <v>318</v>
      </c>
      <c r="C95" t="s">
        <v>559</v>
      </c>
      <c r="D95" t="s">
        <v>626</v>
      </c>
      <c r="E95" s="1">
        <v>45186</v>
      </c>
      <c r="F95" s="1">
        <v>45189</v>
      </c>
      <c r="G95" s="1">
        <v>45214</v>
      </c>
      <c r="H95" t="s">
        <v>13</v>
      </c>
      <c r="I95">
        <v>5557.67</v>
      </c>
      <c r="J95" t="s">
        <v>683</v>
      </c>
      <c r="K95">
        <v>25</v>
      </c>
    </row>
    <row r="96" spans="1:11" x14ac:dyDescent="0.35">
      <c r="A96" t="s">
        <v>844</v>
      </c>
      <c r="B96" t="s">
        <v>72</v>
      </c>
      <c r="C96" t="s">
        <v>583</v>
      </c>
      <c r="D96" t="s">
        <v>626</v>
      </c>
      <c r="E96" s="1">
        <v>45592</v>
      </c>
      <c r="F96" s="1">
        <v>45593</v>
      </c>
      <c r="G96" s="1">
        <v>45603</v>
      </c>
      <c r="H96" t="s">
        <v>20</v>
      </c>
      <c r="I96">
        <v>5557.3</v>
      </c>
      <c r="J96" t="s">
        <v>687</v>
      </c>
      <c r="K96">
        <v>10</v>
      </c>
    </row>
    <row r="97" spans="1:11" x14ac:dyDescent="0.35">
      <c r="A97" t="s">
        <v>1902</v>
      </c>
      <c r="B97" t="s">
        <v>63</v>
      </c>
      <c r="C97" t="s">
        <v>567</v>
      </c>
      <c r="D97" t="s">
        <v>626</v>
      </c>
      <c r="E97" s="1">
        <v>45316</v>
      </c>
      <c r="F97" s="1">
        <v>45320</v>
      </c>
      <c r="G97" s="1">
        <v>45350</v>
      </c>
      <c r="H97" t="s">
        <v>25</v>
      </c>
      <c r="I97">
        <v>5528.48</v>
      </c>
      <c r="J97" t="s">
        <v>683</v>
      </c>
      <c r="K97">
        <v>30</v>
      </c>
    </row>
    <row r="98" spans="1:11" x14ac:dyDescent="0.35">
      <c r="A98" t="s">
        <v>2124</v>
      </c>
      <c r="B98" t="s">
        <v>368</v>
      </c>
      <c r="C98" t="s">
        <v>557</v>
      </c>
      <c r="D98" t="s">
        <v>626</v>
      </c>
      <c r="E98" s="1">
        <v>45308</v>
      </c>
      <c r="F98" s="1">
        <v>45312</v>
      </c>
      <c r="G98" s="1">
        <v>45331</v>
      </c>
      <c r="H98" t="s">
        <v>20</v>
      </c>
      <c r="I98">
        <v>5521.75</v>
      </c>
      <c r="J98" t="s">
        <v>683</v>
      </c>
      <c r="K98">
        <v>19</v>
      </c>
    </row>
    <row r="99" spans="1:11" x14ac:dyDescent="0.35">
      <c r="A99" t="s">
        <v>1669</v>
      </c>
      <c r="B99" t="s">
        <v>337</v>
      </c>
      <c r="C99" t="s">
        <v>555</v>
      </c>
      <c r="D99" t="s">
        <v>626</v>
      </c>
      <c r="E99" s="1">
        <v>45269</v>
      </c>
      <c r="F99" s="1">
        <v>45271</v>
      </c>
      <c r="G99" s="1">
        <v>45283</v>
      </c>
      <c r="H99" t="s">
        <v>11</v>
      </c>
      <c r="I99">
        <v>5510.1</v>
      </c>
      <c r="J99" t="s">
        <v>683</v>
      </c>
      <c r="K99">
        <v>12</v>
      </c>
    </row>
    <row r="100" spans="1:11" x14ac:dyDescent="0.35">
      <c r="A100" t="s">
        <v>2390</v>
      </c>
      <c r="B100" t="s">
        <v>128</v>
      </c>
      <c r="C100" t="s">
        <v>567</v>
      </c>
      <c r="D100" t="s">
        <v>626</v>
      </c>
      <c r="E100" s="1">
        <v>45531</v>
      </c>
      <c r="F100" s="1">
        <v>45532</v>
      </c>
      <c r="G100" s="1">
        <v>45562</v>
      </c>
      <c r="H100" t="s">
        <v>8</v>
      </c>
      <c r="I100">
        <v>5498.99</v>
      </c>
      <c r="J100" t="s">
        <v>683</v>
      </c>
      <c r="K100">
        <v>30</v>
      </c>
    </row>
    <row r="101" spans="1:11" x14ac:dyDescent="0.35">
      <c r="A101" t="s">
        <v>971</v>
      </c>
      <c r="B101" t="s">
        <v>359</v>
      </c>
      <c r="C101" t="s">
        <v>549</v>
      </c>
      <c r="D101" t="s">
        <v>626</v>
      </c>
      <c r="E101" s="1">
        <v>45539</v>
      </c>
      <c r="F101" s="1">
        <v>45540</v>
      </c>
      <c r="G101" s="1">
        <v>45548</v>
      </c>
      <c r="H101" t="s">
        <v>25</v>
      </c>
      <c r="I101">
        <v>5450.04</v>
      </c>
      <c r="J101" t="s">
        <v>683</v>
      </c>
      <c r="K101">
        <v>8</v>
      </c>
    </row>
    <row r="102" spans="1:11" x14ac:dyDescent="0.35">
      <c r="A102" t="s">
        <v>2127</v>
      </c>
      <c r="B102" t="s">
        <v>318</v>
      </c>
      <c r="C102" t="s">
        <v>611</v>
      </c>
      <c r="D102" t="s">
        <v>626</v>
      </c>
      <c r="E102" s="1">
        <v>44973</v>
      </c>
      <c r="F102" s="1">
        <v>44977</v>
      </c>
      <c r="G102" s="1">
        <v>45003</v>
      </c>
      <c r="H102" t="s">
        <v>13</v>
      </c>
      <c r="I102">
        <v>5440.05</v>
      </c>
      <c r="J102" t="s">
        <v>683</v>
      </c>
      <c r="K102">
        <v>26</v>
      </c>
    </row>
    <row r="103" spans="1:11" x14ac:dyDescent="0.35">
      <c r="A103" t="s">
        <v>1055</v>
      </c>
      <c r="B103" t="s">
        <v>197</v>
      </c>
      <c r="C103" t="s">
        <v>543</v>
      </c>
      <c r="D103" t="s">
        <v>626</v>
      </c>
      <c r="E103" s="1">
        <v>45566</v>
      </c>
      <c r="F103" s="1">
        <v>45568</v>
      </c>
      <c r="G103" s="1">
        <v>45581</v>
      </c>
      <c r="H103" t="s">
        <v>13</v>
      </c>
      <c r="I103">
        <v>5435.47</v>
      </c>
      <c r="J103" t="s">
        <v>687</v>
      </c>
      <c r="K103">
        <v>13</v>
      </c>
    </row>
    <row r="104" spans="1:11" x14ac:dyDescent="0.35">
      <c r="A104" t="s">
        <v>1426</v>
      </c>
      <c r="B104" t="s">
        <v>437</v>
      </c>
      <c r="C104" t="s">
        <v>583</v>
      </c>
      <c r="D104" t="s">
        <v>626</v>
      </c>
      <c r="E104" s="1">
        <v>44995</v>
      </c>
      <c r="F104" s="1">
        <v>44999</v>
      </c>
      <c r="G104" s="1">
        <v>45028</v>
      </c>
      <c r="H104" t="s">
        <v>20</v>
      </c>
      <c r="I104">
        <v>5427.17</v>
      </c>
      <c r="J104" t="s">
        <v>683</v>
      </c>
      <c r="K104">
        <v>29</v>
      </c>
    </row>
    <row r="105" spans="1:11" x14ac:dyDescent="0.35">
      <c r="A105" t="s">
        <v>1659</v>
      </c>
      <c r="B105" t="s">
        <v>68</v>
      </c>
      <c r="C105" t="s">
        <v>567</v>
      </c>
      <c r="D105" t="s">
        <v>626</v>
      </c>
      <c r="E105" s="1">
        <v>45642</v>
      </c>
      <c r="F105" s="1">
        <v>45646</v>
      </c>
      <c r="G105" s="1">
        <v>45665</v>
      </c>
      <c r="H105" t="s">
        <v>25</v>
      </c>
      <c r="I105">
        <v>5410.28</v>
      </c>
      <c r="J105" t="s">
        <v>683</v>
      </c>
      <c r="K105">
        <v>19</v>
      </c>
    </row>
    <row r="106" spans="1:11" x14ac:dyDescent="0.35">
      <c r="A106" t="s">
        <v>2538</v>
      </c>
      <c r="B106" t="s">
        <v>430</v>
      </c>
      <c r="C106" t="s">
        <v>599</v>
      </c>
      <c r="D106" t="s">
        <v>626</v>
      </c>
      <c r="E106" s="1">
        <v>45603</v>
      </c>
      <c r="F106" s="1">
        <v>45606</v>
      </c>
      <c r="G106" s="1">
        <v>45611</v>
      </c>
      <c r="H106" t="s">
        <v>20</v>
      </c>
      <c r="I106">
        <v>5383.8</v>
      </c>
      <c r="J106" t="s">
        <v>683</v>
      </c>
      <c r="K106">
        <v>5</v>
      </c>
    </row>
    <row r="107" spans="1:11" x14ac:dyDescent="0.35">
      <c r="A107" t="s">
        <v>2479</v>
      </c>
      <c r="B107" t="s">
        <v>340</v>
      </c>
      <c r="C107" t="s">
        <v>581</v>
      </c>
      <c r="D107" t="s">
        <v>626</v>
      </c>
      <c r="E107" s="1">
        <v>44929</v>
      </c>
      <c r="F107" s="1">
        <v>44934</v>
      </c>
      <c r="G107" s="1">
        <v>44938</v>
      </c>
      <c r="H107" t="s">
        <v>11</v>
      </c>
      <c r="I107">
        <v>5371.73</v>
      </c>
      <c r="J107" t="s">
        <v>683</v>
      </c>
      <c r="K107">
        <v>4</v>
      </c>
    </row>
    <row r="108" spans="1:11" x14ac:dyDescent="0.35">
      <c r="A108" t="s">
        <v>832</v>
      </c>
      <c r="B108" t="s">
        <v>421</v>
      </c>
      <c r="C108" t="s">
        <v>611</v>
      </c>
      <c r="D108" t="s">
        <v>626</v>
      </c>
      <c r="E108" s="1">
        <v>45616</v>
      </c>
      <c r="F108" s="1">
        <v>45619</v>
      </c>
      <c r="G108" s="1"/>
      <c r="H108" t="s">
        <v>8</v>
      </c>
      <c r="I108">
        <v>5294.23</v>
      </c>
      <c r="J108" t="s">
        <v>689</v>
      </c>
    </row>
    <row r="109" spans="1:11" x14ac:dyDescent="0.35">
      <c r="A109" t="s">
        <v>1991</v>
      </c>
      <c r="B109" t="s">
        <v>33</v>
      </c>
      <c r="C109" t="s">
        <v>585</v>
      </c>
      <c r="D109" t="s">
        <v>626</v>
      </c>
      <c r="E109" s="1">
        <v>45275</v>
      </c>
      <c r="F109" s="1">
        <v>45277</v>
      </c>
      <c r="G109" s="1">
        <v>45287</v>
      </c>
      <c r="H109" t="s">
        <v>8</v>
      </c>
      <c r="I109">
        <v>5291.57</v>
      </c>
      <c r="J109" t="s">
        <v>683</v>
      </c>
      <c r="K109">
        <v>10</v>
      </c>
    </row>
    <row r="110" spans="1:11" x14ac:dyDescent="0.35">
      <c r="A110" t="s">
        <v>1837</v>
      </c>
      <c r="B110" t="s">
        <v>14</v>
      </c>
      <c r="C110" t="s">
        <v>561</v>
      </c>
      <c r="D110" t="s">
        <v>626</v>
      </c>
      <c r="E110" s="1">
        <v>45005</v>
      </c>
      <c r="F110" s="1">
        <v>45006</v>
      </c>
      <c r="G110" s="1"/>
      <c r="H110" t="s">
        <v>8</v>
      </c>
      <c r="I110">
        <v>5282.83</v>
      </c>
      <c r="J110" t="s">
        <v>689</v>
      </c>
    </row>
    <row r="111" spans="1:11" x14ac:dyDescent="0.35">
      <c r="A111" t="s">
        <v>1943</v>
      </c>
      <c r="B111" t="s">
        <v>274</v>
      </c>
      <c r="C111" t="s">
        <v>611</v>
      </c>
      <c r="D111" t="s">
        <v>626</v>
      </c>
      <c r="E111" s="1">
        <v>44945</v>
      </c>
      <c r="F111" s="1">
        <v>44946</v>
      </c>
      <c r="G111" s="1">
        <v>44959</v>
      </c>
      <c r="H111" t="s">
        <v>13</v>
      </c>
      <c r="I111">
        <v>5276.3</v>
      </c>
      <c r="J111" t="s">
        <v>687</v>
      </c>
      <c r="K111">
        <v>13</v>
      </c>
    </row>
    <row r="112" spans="1:11" x14ac:dyDescent="0.35">
      <c r="A112" t="s">
        <v>1113</v>
      </c>
      <c r="B112" t="s">
        <v>312</v>
      </c>
      <c r="C112" t="s">
        <v>561</v>
      </c>
      <c r="D112" t="s">
        <v>626</v>
      </c>
      <c r="E112" s="1">
        <v>45559</v>
      </c>
      <c r="F112" s="1">
        <v>45560</v>
      </c>
      <c r="G112" s="1">
        <v>45584</v>
      </c>
      <c r="H112" t="s">
        <v>11</v>
      </c>
      <c r="I112">
        <v>5267.02</v>
      </c>
      <c r="J112" t="s">
        <v>683</v>
      </c>
      <c r="K112">
        <v>24</v>
      </c>
    </row>
    <row r="113" spans="1:11" x14ac:dyDescent="0.35">
      <c r="A113" t="s">
        <v>2474</v>
      </c>
      <c r="B113" t="s">
        <v>392</v>
      </c>
      <c r="C113" t="s">
        <v>603</v>
      </c>
      <c r="D113" t="s">
        <v>626</v>
      </c>
      <c r="E113" s="1">
        <v>45061</v>
      </c>
      <c r="F113" s="1">
        <v>45064</v>
      </c>
      <c r="G113" s="1">
        <v>45079</v>
      </c>
      <c r="H113" t="s">
        <v>13</v>
      </c>
      <c r="I113">
        <v>5263.08</v>
      </c>
      <c r="J113" t="s">
        <v>683</v>
      </c>
      <c r="K113">
        <v>15</v>
      </c>
    </row>
    <row r="114" spans="1:11" x14ac:dyDescent="0.35">
      <c r="A114" t="s">
        <v>1992</v>
      </c>
      <c r="B114" t="s">
        <v>79</v>
      </c>
      <c r="C114" t="s">
        <v>587</v>
      </c>
      <c r="D114" t="s">
        <v>626</v>
      </c>
      <c r="E114" s="1">
        <v>45377</v>
      </c>
      <c r="F114" s="1">
        <v>45378</v>
      </c>
      <c r="G114" s="1">
        <v>45401</v>
      </c>
      <c r="H114" t="s">
        <v>11</v>
      </c>
      <c r="I114">
        <v>5242.68</v>
      </c>
      <c r="J114" t="s">
        <v>683</v>
      </c>
      <c r="K114">
        <v>23</v>
      </c>
    </row>
    <row r="115" spans="1:11" x14ac:dyDescent="0.35">
      <c r="A115" t="s">
        <v>1376</v>
      </c>
      <c r="B115" t="s">
        <v>196</v>
      </c>
      <c r="C115" t="s">
        <v>546</v>
      </c>
      <c r="D115" t="s">
        <v>647</v>
      </c>
      <c r="E115" s="1">
        <v>45321</v>
      </c>
      <c r="F115" s="1">
        <v>45322</v>
      </c>
      <c r="G115" s="1">
        <v>45338</v>
      </c>
      <c r="H115" t="s">
        <v>13</v>
      </c>
      <c r="I115">
        <v>5238.38</v>
      </c>
      <c r="J115" t="s">
        <v>683</v>
      </c>
      <c r="K115">
        <v>16</v>
      </c>
    </row>
    <row r="116" spans="1:11" x14ac:dyDescent="0.35">
      <c r="A116" t="s">
        <v>2212</v>
      </c>
      <c r="B116" t="s">
        <v>490</v>
      </c>
      <c r="C116" t="s">
        <v>609</v>
      </c>
      <c r="D116" t="s">
        <v>626</v>
      </c>
      <c r="E116" s="1">
        <v>45209</v>
      </c>
      <c r="F116" s="1">
        <v>45210</v>
      </c>
      <c r="G116" s="1">
        <v>45231</v>
      </c>
      <c r="H116" t="s">
        <v>11</v>
      </c>
      <c r="I116">
        <v>5232.83</v>
      </c>
      <c r="J116" t="s">
        <v>683</v>
      </c>
      <c r="K116">
        <v>21</v>
      </c>
    </row>
    <row r="117" spans="1:11" x14ac:dyDescent="0.35">
      <c r="A117" t="s">
        <v>1779</v>
      </c>
      <c r="B117" t="s">
        <v>340</v>
      </c>
      <c r="C117" t="s">
        <v>561</v>
      </c>
      <c r="D117" t="s">
        <v>626</v>
      </c>
      <c r="E117" s="1">
        <v>45462</v>
      </c>
      <c r="F117" s="1">
        <v>45467</v>
      </c>
      <c r="G117" s="1">
        <v>45481</v>
      </c>
      <c r="H117" t="s">
        <v>11</v>
      </c>
      <c r="I117">
        <v>5232.29</v>
      </c>
      <c r="J117" t="s">
        <v>687</v>
      </c>
      <c r="K117">
        <v>14</v>
      </c>
    </row>
    <row r="118" spans="1:11" x14ac:dyDescent="0.35">
      <c r="A118" t="s">
        <v>2071</v>
      </c>
      <c r="B118" t="s">
        <v>86</v>
      </c>
      <c r="C118" t="s">
        <v>609</v>
      </c>
      <c r="D118" t="s">
        <v>626</v>
      </c>
      <c r="E118" s="1">
        <v>45401</v>
      </c>
      <c r="F118" s="1">
        <v>45402</v>
      </c>
      <c r="G118" s="1">
        <v>45422</v>
      </c>
      <c r="H118" t="s">
        <v>20</v>
      </c>
      <c r="I118">
        <v>5232.1400000000003</v>
      </c>
      <c r="J118" t="s">
        <v>683</v>
      </c>
      <c r="K118">
        <v>20</v>
      </c>
    </row>
    <row r="119" spans="1:11" x14ac:dyDescent="0.35">
      <c r="A119" t="s">
        <v>2244</v>
      </c>
      <c r="B119" t="s">
        <v>172</v>
      </c>
      <c r="C119" t="s">
        <v>549</v>
      </c>
      <c r="D119" t="s">
        <v>626</v>
      </c>
      <c r="E119" s="1">
        <v>45039</v>
      </c>
      <c r="F119" s="1">
        <v>45040</v>
      </c>
      <c r="G119" s="1">
        <v>45054</v>
      </c>
      <c r="H119" t="s">
        <v>13</v>
      </c>
      <c r="I119">
        <v>5219.97</v>
      </c>
      <c r="J119" t="s">
        <v>683</v>
      </c>
      <c r="K119">
        <v>14</v>
      </c>
    </row>
    <row r="120" spans="1:11" x14ac:dyDescent="0.35">
      <c r="A120" t="s">
        <v>2247</v>
      </c>
      <c r="B120" t="s">
        <v>375</v>
      </c>
      <c r="C120" t="s">
        <v>524</v>
      </c>
      <c r="D120" t="s">
        <v>647</v>
      </c>
      <c r="E120" s="1">
        <v>45491</v>
      </c>
      <c r="F120" s="1">
        <v>45492</v>
      </c>
      <c r="G120" s="1">
        <v>45516</v>
      </c>
      <c r="H120" t="s">
        <v>20</v>
      </c>
      <c r="I120">
        <v>5211.33</v>
      </c>
      <c r="J120" t="s">
        <v>683</v>
      </c>
      <c r="K120">
        <v>24</v>
      </c>
    </row>
    <row r="121" spans="1:11" x14ac:dyDescent="0.35">
      <c r="A121" t="s">
        <v>1510</v>
      </c>
      <c r="B121" t="s">
        <v>41</v>
      </c>
      <c r="C121" t="s">
        <v>534</v>
      </c>
      <c r="D121" t="s">
        <v>647</v>
      </c>
      <c r="E121" s="1">
        <v>45291</v>
      </c>
      <c r="F121" s="1">
        <v>45296</v>
      </c>
      <c r="G121" s="1">
        <v>45321</v>
      </c>
      <c r="H121" t="s">
        <v>11</v>
      </c>
      <c r="I121">
        <v>5210.38</v>
      </c>
      <c r="J121" t="s">
        <v>683</v>
      </c>
      <c r="K121">
        <v>25</v>
      </c>
    </row>
    <row r="122" spans="1:11" x14ac:dyDescent="0.35">
      <c r="A122" t="s">
        <v>2630</v>
      </c>
      <c r="B122" t="s">
        <v>82</v>
      </c>
      <c r="C122" t="s">
        <v>559</v>
      </c>
      <c r="D122" t="s">
        <v>626</v>
      </c>
      <c r="E122" s="1">
        <v>44951</v>
      </c>
      <c r="F122" s="1">
        <v>44952</v>
      </c>
      <c r="G122" s="1">
        <v>44982</v>
      </c>
      <c r="H122" t="s">
        <v>11</v>
      </c>
      <c r="I122">
        <v>5203.1400000000003</v>
      </c>
      <c r="J122" t="s">
        <v>683</v>
      </c>
      <c r="K122">
        <v>30</v>
      </c>
    </row>
    <row r="123" spans="1:11" x14ac:dyDescent="0.35">
      <c r="A123" t="s">
        <v>781</v>
      </c>
      <c r="B123" t="s">
        <v>295</v>
      </c>
      <c r="C123" t="s">
        <v>585</v>
      </c>
      <c r="D123" t="s">
        <v>647</v>
      </c>
      <c r="E123" s="1">
        <v>45473</v>
      </c>
      <c r="F123" s="1">
        <v>45474</v>
      </c>
      <c r="G123" s="1">
        <v>45480</v>
      </c>
      <c r="H123" t="s">
        <v>8</v>
      </c>
      <c r="I123">
        <v>5201.29</v>
      </c>
      <c r="J123" t="s">
        <v>683</v>
      </c>
      <c r="K123">
        <v>6</v>
      </c>
    </row>
    <row r="124" spans="1:11" x14ac:dyDescent="0.35">
      <c r="A124" t="s">
        <v>945</v>
      </c>
      <c r="B124" t="s">
        <v>165</v>
      </c>
      <c r="C124" t="s">
        <v>563</v>
      </c>
      <c r="D124" t="s">
        <v>626</v>
      </c>
      <c r="E124" s="1">
        <v>45434</v>
      </c>
      <c r="F124" s="1">
        <v>45439</v>
      </c>
      <c r="G124" s="1">
        <v>45456</v>
      </c>
      <c r="H124" t="s">
        <v>25</v>
      </c>
      <c r="I124">
        <v>5196.9399999999996</v>
      </c>
      <c r="J124" t="s">
        <v>687</v>
      </c>
      <c r="K124">
        <v>17</v>
      </c>
    </row>
    <row r="125" spans="1:11" x14ac:dyDescent="0.35">
      <c r="A125" t="s">
        <v>1846</v>
      </c>
      <c r="B125" t="s">
        <v>394</v>
      </c>
      <c r="C125" t="s">
        <v>603</v>
      </c>
      <c r="D125" t="s">
        <v>626</v>
      </c>
      <c r="E125" s="1">
        <v>45571</v>
      </c>
      <c r="F125" s="1">
        <v>45572</v>
      </c>
      <c r="G125" s="1">
        <v>45595</v>
      </c>
      <c r="H125" t="s">
        <v>8</v>
      </c>
      <c r="I125">
        <v>5179.2299999999996</v>
      </c>
      <c r="J125" t="s">
        <v>683</v>
      </c>
      <c r="K125">
        <v>23</v>
      </c>
    </row>
    <row r="126" spans="1:11" x14ac:dyDescent="0.35">
      <c r="A126" t="s">
        <v>2019</v>
      </c>
      <c r="B126" t="s">
        <v>309</v>
      </c>
      <c r="C126" t="s">
        <v>524</v>
      </c>
      <c r="D126" t="s">
        <v>626</v>
      </c>
      <c r="E126" s="1">
        <v>45042</v>
      </c>
      <c r="F126" s="1">
        <v>45044</v>
      </c>
      <c r="G126" s="1">
        <v>45066</v>
      </c>
      <c r="H126" t="s">
        <v>13</v>
      </c>
      <c r="I126">
        <v>5179.21</v>
      </c>
      <c r="J126" t="s">
        <v>683</v>
      </c>
      <c r="K126">
        <v>22</v>
      </c>
    </row>
    <row r="127" spans="1:11" x14ac:dyDescent="0.35">
      <c r="A127" t="s">
        <v>1309</v>
      </c>
      <c r="B127" t="s">
        <v>292</v>
      </c>
      <c r="C127" t="s">
        <v>563</v>
      </c>
      <c r="D127" t="s">
        <v>626</v>
      </c>
      <c r="E127" s="1">
        <v>45531</v>
      </c>
      <c r="F127" s="1">
        <v>45536</v>
      </c>
      <c r="G127" s="1"/>
      <c r="H127" t="s">
        <v>13</v>
      </c>
      <c r="I127">
        <v>5170.37</v>
      </c>
      <c r="J127" t="s">
        <v>689</v>
      </c>
    </row>
    <row r="128" spans="1:11" x14ac:dyDescent="0.35">
      <c r="A128" t="s">
        <v>2682</v>
      </c>
      <c r="B128" t="s">
        <v>274</v>
      </c>
      <c r="C128" t="s">
        <v>603</v>
      </c>
      <c r="D128" t="s">
        <v>647</v>
      </c>
      <c r="E128" s="1">
        <v>45570</v>
      </c>
      <c r="F128" s="1">
        <v>45572</v>
      </c>
      <c r="G128" s="1"/>
      <c r="H128" t="s">
        <v>13</v>
      </c>
      <c r="I128">
        <v>5164.7299999999996</v>
      </c>
      <c r="J128" t="s">
        <v>689</v>
      </c>
    </row>
    <row r="129" spans="1:11" x14ac:dyDescent="0.35">
      <c r="A129" t="s">
        <v>1685</v>
      </c>
      <c r="B129" t="s">
        <v>191</v>
      </c>
      <c r="C129" t="s">
        <v>563</v>
      </c>
      <c r="D129" t="s">
        <v>626</v>
      </c>
      <c r="E129" s="1">
        <v>45067</v>
      </c>
      <c r="F129" s="1">
        <v>45069</v>
      </c>
      <c r="G129" s="1">
        <v>45084</v>
      </c>
      <c r="H129" t="s">
        <v>20</v>
      </c>
      <c r="I129">
        <v>5164.0600000000004</v>
      </c>
      <c r="J129" t="s">
        <v>687</v>
      </c>
      <c r="K129">
        <v>15</v>
      </c>
    </row>
    <row r="130" spans="1:11" x14ac:dyDescent="0.35">
      <c r="A130" t="s">
        <v>1288</v>
      </c>
      <c r="B130" t="s">
        <v>341</v>
      </c>
      <c r="C130" t="s">
        <v>521</v>
      </c>
      <c r="D130" t="s">
        <v>647</v>
      </c>
      <c r="E130" s="1">
        <v>45039</v>
      </c>
      <c r="F130" s="1">
        <v>45041</v>
      </c>
      <c r="G130" s="1">
        <v>45070</v>
      </c>
      <c r="H130" t="s">
        <v>11</v>
      </c>
      <c r="I130">
        <v>5162.59</v>
      </c>
      <c r="J130" t="s">
        <v>683</v>
      </c>
      <c r="K130">
        <v>29</v>
      </c>
    </row>
    <row r="131" spans="1:11" x14ac:dyDescent="0.35">
      <c r="A131" t="s">
        <v>724</v>
      </c>
      <c r="B131" t="s">
        <v>208</v>
      </c>
      <c r="C131" t="s">
        <v>527</v>
      </c>
      <c r="D131" t="s">
        <v>647</v>
      </c>
      <c r="E131" s="1">
        <v>45088</v>
      </c>
      <c r="F131" s="1">
        <v>45091</v>
      </c>
      <c r="G131" s="1">
        <v>45120</v>
      </c>
      <c r="H131" t="s">
        <v>13</v>
      </c>
      <c r="I131">
        <v>5108.8100000000004</v>
      </c>
      <c r="J131" t="s">
        <v>683</v>
      </c>
      <c r="K131">
        <v>29</v>
      </c>
    </row>
    <row r="132" spans="1:11" x14ac:dyDescent="0.35">
      <c r="A132" t="s">
        <v>2185</v>
      </c>
      <c r="B132" t="s">
        <v>297</v>
      </c>
      <c r="C132" t="s">
        <v>587</v>
      </c>
      <c r="D132" t="s">
        <v>647</v>
      </c>
      <c r="E132" s="1">
        <v>45501</v>
      </c>
      <c r="F132" s="1">
        <v>45504</v>
      </c>
      <c r="G132" s="1">
        <v>45517</v>
      </c>
      <c r="H132" t="s">
        <v>8</v>
      </c>
      <c r="I132">
        <v>5087.01</v>
      </c>
      <c r="J132" t="s">
        <v>687</v>
      </c>
      <c r="K132">
        <v>13</v>
      </c>
    </row>
    <row r="133" spans="1:11" x14ac:dyDescent="0.35">
      <c r="A133" t="s">
        <v>2348</v>
      </c>
      <c r="B133" t="s">
        <v>425</v>
      </c>
      <c r="C133" t="s">
        <v>575</v>
      </c>
      <c r="D133" t="s">
        <v>626</v>
      </c>
      <c r="E133" s="1">
        <v>45378</v>
      </c>
      <c r="F133" s="1">
        <v>45383</v>
      </c>
      <c r="G133" s="1">
        <v>45411</v>
      </c>
      <c r="H133" t="s">
        <v>25</v>
      </c>
      <c r="I133">
        <v>5082.76</v>
      </c>
      <c r="J133" t="s">
        <v>683</v>
      </c>
      <c r="K133">
        <v>28</v>
      </c>
    </row>
    <row r="134" spans="1:11" x14ac:dyDescent="0.35">
      <c r="A134" t="s">
        <v>2034</v>
      </c>
      <c r="B134" t="s">
        <v>327</v>
      </c>
      <c r="C134" t="s">
        <v>534</v>
      </c>
      <c r="D134" t="s">
        <v>647</v>
      </c>
      <c r="E134" s="1">
        <v>45119</v>
      </c>
      <c r="F134" s="1">
        <v>45122</v>
      </c>
      <c r="G134" s="1">
        <v>45130</v>
      </c>
      <c r="H134" t="s">
        <v>13</v>
      </c>
      <c r="I134">
        <v>5076.33</v>
      </c>
      <c r="J134" t="s">
        <v>683</v>
      </c>
      <c r="K134">
        <v>8</v>
      </c>
    </row>
    <row r="135" spans="1:11" x14ac:dyDescent="0.35">
      <c r="A135" t="s">
        <v>2413</v>
      </c>
      <c r="B135" t="s">
        <v>413</v>
      </c>
      <c r="C135" t="s">
        <v>601</v>
      </c>
      <c r="D135" t="s">
        <v>647</v>
      </c>
      <c r="E135" s="1">
        <v>45129</v>
      </c>
      <c r="F135" s="1">
        <v>45134</v>
      </c>
      <c r="G135" s="1">
        <v>45145</v>
      </c>
      <c r="H135" t="s">
        <v>8</v>
      </c>
      <c r="I135">
        <v>5049.46</v>
      </c>
      <c r="J135" t="s">
        <v>683</v>
      </c>
      <c r="K135">
        <v>11</v>
      </c>
    </row>
    <row r="136" spans="1:11" x14ac:dyDescent="0.35">
      <c r="A136" t="s">
        <v>2410</v>
      </c>
      <c r="B136" t="s">
        <v>189</v>
      </c>
      <c r="C136" t="s">
        <v>587</v>
      </c>
      <c r="D136" t="s">
        <v>626</v>
      </c>
      <c r="E136" s="1">
        <v>44995</v>
      </c>
      <c r="F136" s="1">
        <v>44999</v>
      </c>
      <c r="G136" s="1">
        <v>45016</v>
      </c>
      <c r="H136" t="s">
        <v>8</v>
      </c>
      <c r="I136">
        <v>5048.3999999999996</v>
      </c>
      <c r="J136" t="s">
        <v>683</v>
      </c>
      <c r="K136">
        <v>17</v>
      </c>
    </row>
    <row r="137" spans="1:11" x14ac:dyDescent="0.35">
      <c r="A137" t="s">
        <v>1904</v>
      </c>
      <c r="B137" t="s">
        <v>272</v>
      </c>
      <c r="C137" t="s">
        <v>589</v>
      </c>
      <c r="D137" t="s">
        <v>647</v>
      </c>
      <c r="E137" s="1">
        <v>45500</v>
      </c>
      <c r="F137" s="1">
        <v>45505</v>
      </c>
      <c r="G137" s="1">
        <v>45514</v>
      </c>
      <c r="H137" t="s">
        <v>11</v>
      </c>
      <c r="I137">
        <v>5047.78</v>
      </c>
      <c r="J137" t="s">
        <v>683</v>
      </c>
      <c r="K137">
        <v>9</v>
      </c>
    </row>
    <row r="138" spans="1:11" x14ac:dyDescent="0.35">
      <c r="A138" t="s">
        <v>1854</v>
      </c>
      <c r="B138" t="s">
        <v>392</v>
      </c>
      <c r="C138" t="s">
        <v>549</v>
      </c>
      <c r="D138" t="s">
        <v>647</v>
      </c>
      <c r="E138" s="1">
        <v>45455</v>
      </c>
      <c r="F138" s="1">
        <v>45456</v>
      </c>
      <c r="G138" s="1">
        <v>45472</v>
      </c>
      <c r="H138" t="s">
        <v>13</v>
      </c>
      <c r="I138">
        <v>5033.2299999999996</v>
      </c>
      <c r="J138" t="s">
        <v>687</v>
      </c>
      <c r="K138">
        <v>16</v>
      </c>
    </row>
    <row r="139" spans="1:11" x14ac:dyDescent="0.35">
      <c r="A139" t="s">
        <v>987</v>
      </c>
      <c r="B139" t="s">
        <v>476</v>
      </c>
      <c r="C139" t="s">
        <v>593</v>
      </c>
      <c r="D139" t="s">
        <v>626</v>
      </c>
      <c r="E139" s="1">
        <v>45088</v>
      </c>
      <c r="F139" s="1">
        <v>45092</v>
      </c>
      <c r="G139" s="1">
        <v>45109</v>
      </c>
      <c r="H139" t="s">
        <v>20</v>
      </c>
      <c r="I139">
        <v>4999.18</v>
      </c>
      <c r="J139" t="s">
        <v>683</v>
      </c>
      <c r="K139">
        <v>17</v>
      </c>
    </row>
    <row r="140" spans="1:11" x14ac:dyDescent="0.35">
      <c r="A140" t="s">
        <v>909</v>
      </c>
      <c r="B140" t="s">
        <v>458</v>
      </c>
      <c r="C140" t="s">
        <v>589</v>
      </c>
      <c r="D140" t="s">
        <v>626</v>
      </c>
      <c r="E140" s="1">
        <v>45203</v>
      </c>
      <c r="F140" s="1">
        <v>45208</v>
      </c>
      <c r="G140" s="1">
        <v>45235</v>
      </c>
      <c r="H140" t="s">
        <v>11</v>
      </c>
      <c r="I140">
        <v>4989.3</v>
      </c>
      <c r="J140" t="s">
        <v>683</v>
      </c>
      <c r="K140">
        <v>27</v>
      </c>
    </row>
    <row r="141" spans="1:11" x14ac:dyDescent="0.35">
      <c r="A141" t="s">
        <v>723</v>
      </c>
      <c r="B141" t="s">
        <v>227</v>
      </c>
      <c r="C141" t="s">
        <v>589</v>
      </c>
      <c r="D141" t="s">
        <v>626</v>
      </c>
      <c r="E141" s="1">
        <v>45462</v>
      </c>
      <c r="F141" s="1">
        <v>45467</v>
      </c>
      <c r="G141" s="1">
        <v>45470</v>
      </c>
      <c r="H141" t="s">
        <v>8</v>
      </c>
      <c r="I141">
        <v>4964.25</v>
      </c>
      <c r="J141" t="s">
        <v>683</v>
      </c>
      <c r="K141">
        <v>3</v>
      </c>
    </row>
    <row r="142" spans="1:11" x14ac:dyDescent="0.35">
      <c r="A142" t="s">
        <v>1114</v>
      </c>
      <c r="B142" t="s">
        <v>252</v>
      </c>
      <c r="C142" t="s">
        <v>559</v>
      </c>
      <c r="D142" t="s">
        <v>626</v>
      </c>
      <c r="E142" s="1">
        <v>45434</v>
      </c>
      <c r="F142" s="1">
        <v>45437</v>
      </c>
      <c r="G142" s="1">
        <v>45461</v>
      </c>
      <c r="H142" t="s">
        <v>11</v>
      </c>
      <c r="I142">
        <v>4959.71</v>
      </c>
      <c r="J142" t="s">
        <v>683</v>
      </c>
      <c r="K142">
        <v>24</v>
      </c>
    </row>
    <row r="143" spans="1:11" x14ac:dyDescent="0.35">
      <c r="A143" t="s">
        <v>1708</v>
      </c>
      <c r="B143" t="s">
        <v>431</v>
      </c>
      <c r="C143" t="s">
        <v>531</v>
      </c>
      <c r="D143" t="s">
        <v>647</v>
      </c>
      <c r="E143" s="1">
        <v>45357</v>
      </c>
      <c r="F143" s="1">
        <v>45362</v>
      </c>
      <c r="G143" s="1">
        <v>45388</v>
      </c>
      <c r="H143" t="s">
        <v>20</v>
      </c>
      <c r="I143">
        <v>4945.2700000000004</v>
      </c>
      <c r="J143" t="s">
        <v>683</v>
      </c>
      <c r="K143">
        <v>26</v>
      </c>
    </row>
    <row r="144" spans="1:11" x14ac:dyDescent="0.35">
      <c r="A144" t="s">
        <v>2572</v>
      </c>
      <c r="B144" t="s">
        <v>491</v>
      </c>
      <c r="C144" t="s">
        <v>561</v>
      </c>
      <c r="D144" t="s">
        <v>647</v>
      </c>
      <c r="E144" s="1">
        <v>44937</v>
      </c>
      <c r="F144" s="1">
        <v>44942</v>
      </c>
      <c r="G144" s="1"/>
      <c r="H144" t="s">
        <v>11</v>
      </c>
      <c r="I144">
        <v>4944.24</v>
      </c>
      <c r="J144" t="s">
        <v>689</v>
      </c>
    </row>
    <row r="145" spans="1:11" x14ac:dyDescent="0.35">
      <c r="A145" t="s">
        <v>1323</v>
      </c>
      <c r="B145" t="s">
        <v>514</v>
      </c>
      <c r="C145" t="s">
        <v>577</v>
      </c>
      <c r="D145" t="s">
        <v>647</v>
      </c>
      <c r="E145" s="1">
        <v>44975</v>
      </c>
      <c r="F145" s="1">
        <v>44980</v>
      </c>
      <c r="G145" s="1">
        <v>45006</v>
      </c>
      <c r="H145" t="s">
        <v>13</v>
      </c>
      <c r="I145">
        <v>4941.68</v>
      </c>
      <c r="J145" t="s">
        <v>683</v>
      </c>
      <c r="K145">
        <v>26</v>
      </c>
    </row>
    <row r="146" spans="1:11" x14ac:dyDescent="0.35">
      <c r="A146" t="s">
        <v>1328</v>
      </c>
      <c r="B146" t="s">
        <v>344</v>
      </c>
      <c r="C146" t="s">
        <v>567</v>
      </c>
      <c r="D146" t="s">
        <v>626</v>
      </c>
      <c r="E146" s="1">
        <v>45431</v>
      </c>
      <c r="F146" s="1">
        <v>45433</v>
      </c>
      <c r="G146" s="1">
        <v>45461</v>
      </c>
      <c r="H146" t="s">
        <v>25</v>
      </c>
      <c r="I146">
        <v>4904.8599999999997</v>
      </c>
      <c r="J146" t="s">
        <v>683</v>
      </c>
      <c r="K146">
        <v>28</v>
      </c>
    </row>
    <row r="147" spans="1:11" x14ac:dyDescent="0.35">
      <c r="A147" t="s">
        <v>2058</v>
      </c>
      <c r="B147" t="s">
        <v>390</v>
      </c>
      <c r="C147" t="s">
        <v>527</v>
      </c>
      <c r="D147" t="s">
        <v>647</v>
      </c>
      <c r="E147" s="1">
        <v>45010</v>
      </c>
      <c r="F147" s="1">
        <v>45014</v>
      </c>
      <c r="G147" s="1"/>
      <c r="H147" t="s">
        <v>11</v>
      </c>
      <c r="I147">
        <v>4901.3100000000004</v>
      </c>
      <c r="J147" t="s">
        <v>689</v>
      </c>
    </row>
    <row r="148" spans="1:11" x14ac:dyDescent="0.35">
      <c r="A148" t="s">
        <v>1801</v>
      </c>
      <c r="B148" t="s">
        <v>217</v>
      </c>
      <c r="C148" t="s">
        <v>540</v>
      </c>
      <c r="D148" t="s">
        <v>647</v>
      </c>
      <c r="E148" s="1">
        <v>45317</v>
      </c>
      <c r="F148" s="1">
        <v>45321</v>
      </c>
      <c r="G148" s="1"/>
      <c r="H148" t="s">
        <v>13</v>
      </c>
      <c r="I148">
        <v>4874.22</v>
      </c>
      <c r="J148" t="s">
        <v>689</v>
      </c>
    </row>
    <row r="149" spans="1:11" x14ac:dyDescent="0.35">
      <c r="A149" t="s">
        <v>2229</v>
      </c>
      <c r="B149" t="s">
        <v>337</v>
      </c>
      <c r="C149" t="s">
        <v>553</v>
      </c>
      <c r="D149" t="s">
        <v>626</v>
      </c>
      <c r="E149" s="1">
        <v>45440</v>
      </c>
      <c r="F149" s="1">
        <v>45443</v>
      </c>
      <c r="G149" s="1">
        <v>45454</v>
      </c>
      <c r="H149" t="s">
        <v>11</v>
      </c>
      <c r="I149">
        <v>4867.3100000000004</v>
      </c>
      <c r="J149" t="s">
        <v>683</v>
      </c>
      <c r="K149">
        <v>11</v>
      </c>
    </row>
    <row r="150" spans="1:11" x14ac:dyDescent="0.35">
      <c r="A150" t="s">
        <v>1031</v>
      </c>
      <c r="B150" t="s">
        <v>166</v>
      </c>
      <c r="C150" t="s">
        <v>599</v>
      </c>
      <c r="D150" t="s">
        <v>647</v>
      </c>
      <c r="E150" s="1">
        <v>44967</v>
      </c>
      <c r="F150" s="1">
        <v>44969</v>
      </c>
      <c r="G150" s="1"/>
      <c r="H150" t="s">
        <v>8</v>
      </c>
      <c r="I150">
        <v>4861.22</v>
      </c>
      <c r="J150" t="s">
        <v>689</v>
      </c>
    </row>
    <row r="151" spans="1:11" x14ac:dyDescent="0.35">
      <c r="A151" t="s">
        <v>2258</v>
      </c>
      <c r="B151" t="s">
        <v>144</v>
      </c>
      <c r="C151" t="s">
        <v>534</v>
      </c>
      <c r="D151" t="s">
        <v>647</v>
      </c>
      <c r="E151" s="1">
        <v>44959</v>
      </c>
      <c r="F151" s="1">
        <v>44961</v>
      </c>
      <c r="G151" s="1">
        <v>44979</v>
      </c>
      <c r="H151" t="s">
        <v>8</v>
      </c>
      <c r="I151">
        <v>4856.3900000000003</v>
      </c>
      <c r="J151" t="s">
        <v>683</v>
      </c>
      <c r="K151">
        <v>18</v>
      </c>
    </row>
    <row r="152" spans="1:11" x14ac:dyDescent="0.35">
      <c r="A152" t="s">
        <v>1392</v>
      </c>
      <c r="B152" t="s">
        <v>287</v>
      </c>
      <c r="C152" t="s">
        <v>605</v>
      </c>
      <c r="D152" t="s">
        <v>647</v>
      </c>
      <c r="E152" s="1">
        <v>45505</v>
      </c>
      <c r="F152" s="1">
        <v>45510</v>
      </c>
      <c r="G152" s="1">
        <v>45529</v>
      </c>
      <c r="H152" t="s">
        <v>20</v>
      </c>
      <c r="I152">
        <v>4826.75</v>
      </c>
      <c r="J152" t="s">
        <v>687</v>
      </c>
      <c r="K152">
        <v>19</v>
      </c>
    </row>
    <row r="153" spans="1:11" x14ac:dyDescent="0.35">
      <c r="A153" t="s">
        <v>1711</v>
      </c>
      <c r="B153" t="s">
        <v>76</v>
      </c>
      <c r="C153" t="s">
        <v>605</v>
      </c>
      <c r="D153" t="s">
        <v>647</v>
      </c>
      <c r="E153" s="1">
        <v>45459</v>
      </c>
      <c r="F153" s="1">
        <v>45462</v>
      </c>
      <c r="G153" s="1">
        <v>45482</v>
      </c>
      <c r="H153" t="s">
        <v>8</v>
      </c>
      <c r="I153">
        <v>4823.95</v>
      </c>
      <c r="J153" t="s">
        <v>683</v>
      </c>
      <c r="K153">
        <v>20</v>
      </c>
    </row>
    <row r="154" spans="1:11" x14ac:dyDescent="0.35">
      <c r="A154" t="s">
        <v>1946</v>
      </c>
      <c r="B154" t="s">
        <v>314</v>
      </c>
      <c r="C154" t="s">
        <v>581</v>
      </c>
      <c r="D154" t="s">
        <v>647</v>
      </c>
      <c r="E154" s="1">
        <v>45316</v>
      </c>
      <c r="F154" s="1">
        <v>45317</v>
      </c>
      <c r="G154" s="1">
        <v>45344</v>
      </c>
      <c r="H154" t="s">
        <v>8</v>
      </c>
      <c r="I154">
        <v>4816.22</v>
      </c>
      <c r="J154" t="s">
        <v>683</v>
      </c>
      <c r="K154">
        <v>27</v>
      </c>
    </row>
    <row r="155" spans="1:11" x14ac:dyDescent="0.35">
      <c r="A155" t="s">
        <v>794</v>
      </c>
      <c r="B155" t="s">
        <v>77</v>
      </c>
      <c r="C155" t="s">
        <v>537</v>
      </c>
      <c r="D155" t="s">
        <v>647</v>
      </c>
      <c r="E155" s="1">
        <v>45221</v>
      </c>
      <c r="F155" s="1">
        <v>45226</v>
      </c>
      <c r="G155" s="1">
        <v>45237</v>
      </c>
      <c r="H155" t="s">
        <v>20</v>
      </c>
      <c r="I155">
        <v>4813.21</v>
      </c>
      <c r="J155" t="s">
        <v>683</v>
      </c>
      <c r="K155">
        <v>11</v>
      </c>
    </row>
    <row r="156" spans="1:11" x14ac:dyDescent="0.35">
      <c r="A156" t="s">
        <v>1522</v>
      </c>
      <c r="B156" t="s">
        <v>23</v>
      </c>
      <c r="C156" t="s">
        <v>565</v>
      </c>
      <c r="D156" t="s">
        <v>626</v>
      </c>
      <c r="E156" s="1">
        <v>45420</v>
      </c>
      <c r="F156" s="1">
        <v>45425</v>
      </c>
      <c r="G156" s="1">
        <v>45435</v>
      </c>
      <c r="H156" t="s">
        <v>25</v>
      </c>
      <c r="I156">
        <v>4807.43</v>
      </c>
      <c r="J156" t="s">
        <v>683</v>
      </c>
      <c r="K156">
        <v>10</v>
      </c>
    </row>
    <row r="157" spans="1:11" x14ac:dyDescent="0.35">
      <c r="A157" t="s">
        <v>2403</v>
      </c>
      <c r="B157" t="s">
        <v>89</v>
      </c>
      <c r="C157" t="s">
        <v>524</v>
      </c>
      <c r="D157" t="s">
        <v>626</v>
      </c>
      <c r="E157" s="1">
        <v>45077</v>
      </c>
      <c r="F157" s="1">
        <v>45078</v>
      </c>
      <c r="G157" s="1">
        <v>45089</v>
      </c>
      <c r="H157" t="s">
        <v>11</v>
      </c>
      <c r="I157">
        <v>4799.82</v>
      </c>
      <c r="J157" t="s">
        <v>683</v>
      </c>
      <c r="K157">
        <v>11</v>
      </c>
    </row>
    <row r="158" spans="1:11" x14ac:dyDescent="0.35">
      <c r="A158" t="s">
        <v>2240</v>
      </c>
      <c r="B158" t="s">
        <v>301</v>
      </c>
      <c r="C158" t="s">
        <v>571</v>
      </c>
      <c r="D158" t="s">
        <v>626</v>
      </c>
      <c r="E158" s="1">
        <v>45136</v>
      </c>
      <c r="F158" s="1">
        <v>45139</v>
      </c>
      <c r="G158" s="1">
        <v>45165</v>
      </c>
      <c r="H158" t="s">
        <v>8</v>
      </c>
      <c r="I158">
        <v>4797.7700000000004</v>
      </c>
      <c r="J158" t="s">
        <v>683</v>
      </c>
      <c r="K158">
        <v>26</v>
      </c>
    </row>
    <row r="159" spans="1:11" x14ac:dyDescent="0.35">
      <c r="A159" t="s">
        <v>869</v>
      </c>
      <c r="B159" t="s">
        <v>303</v>
      </c>
      <c r="C159" t="s">
        <v>585</v>
      </c>
      <c r="D159" t="s">
        <v>647</v>
      </c>
      <c r="E159" s="1">
        <v>45519</v>
      </c>
      <c r="F159" s="1">
        <v>45521</v>
      </c>
      <c r="G159" s="1">
        <v>45544</v>
      </c>
      <c r="H159" t="s">
        <v>8</v>
      </c>
      <c r="I159">
        <v>4788.46</v>
      </c>
      <c r="J159" t="s">
        <v>683</v>
      </c>
      <c r="K159">
        <v>23</v>
      </c>
    </row>
    <row r="160" spans="1:11" x14ac:dyDescent="0.35">
      <c r="A160" t="s">
        <v>1166</v>
      </c>
      <c r="B160" t="s">
        <v>444</v>
      </c>
      <c r="C160" t="s">
        <v>589</v>
      </c>
      <c r="D160" t="s">
        <v>647</v>
      </c>
      <c r="E160" s="1">
        <v>45227</v>
      </c>
      <c r="F160" s="1">
        <v>45230</v>
      </c>
      <c r="G160" s="1">
        <v>45251</v>
      </c>
      <c r="H160" t="s">
        <v>25</v>
      </c>
      <c r="I160">
        <v>4776.84</v>
      </c>
      <c r="J160" t="s">
        <v>683</v>
      </c>
      <c r="K160">
        <v>21</v>
      </c>
    </row>
    <row r="161" spans="1:11" x14ac:dyDescent="0.35">
      <c r="A161" t="s">
        <v>2047</v>
      </c>
      <c r="B161" t="s">
        <v>469</v>
      </c>
      <c r="C161" t="s">
        <v>609</v>
      </c>
      <c r="D161" t="s">
        <v>647</v>
      </c>
      <c r="E161" s="1">
        <v>45035</v>
      </c>
      <c r="F161" s="1">
        <v>45040</v>
      </c>
      <c r="G161" s="1">
        <v>45070</v>
      </c>
      <c r="H161" t="s">
        <v>8</v>
      </c>
      <c r="I161">
        <v>4776.09</v>
      </c>
      <c r="J161" t="s">
        <v>687</v>
      </c>
      <c r="K161">
        <v>30</v>
      </c>
    </row>
    <row r="162" spans="1:11" x14ac:dyDescent="0.35">
      <c r="A162" t="s">
        <v>1347</v>
      </c>
      <c r="B162" t="s">
        <v>302</v>
      </c>
      <c r="C162" t="s">
        <v>595</v>
      </c>
      <c r="D162" t="s">
        <v>647</v>
      </c>
      <c r="E162" s="1">
        <v>44967</v>
      </c>
      <c r="F162" s="1">
        <v>44971</v>
      </c>
      <c r="G162" s="1">
        <v>44997</v>
      </c>
      <c r="H162" t="s">
        <v>8</v>
      </c>
      <c r="I162">
        <v>4741.05</v>
      </c>
      <c r="J162" t="s">
        <v>683</v>
      </c>
      <c r="K162">
        <v>26</v>
      </c>
    </row>
    <row r="163" spans="1:11" x14ac:dyDescent="0.35">
      <c r="A163" t="s">
        <v>1948</v>
      </c>
      <c r="B163" t="s">
        <v>70</v>
      </c>
      <c r="C163" t="s">
        <v>591</v>
      </c>
      <c r="D163" t="s">
        <v>647</v>
      </c>
      <c r="E163" s="1">
        <v>45546</v>
      </c>
      <c r="F163" s="1">
        <v>45550</v>
      </c>
      <c r="G163" s="1">
        <v>45562</v>
      </c>
      <c r="H163" t="s">
        <v>11</v>
      </c>
      <c r="I163">
        <v>4735.6400000000003</v>
      </c>
      <c r="J163" t="s">
        <v>683</v>
      </c>
      <c r="K163">
        <v>12</v>
      </c>
    </row>
    <row r="164" spans="1:11" x14ac:dyDescent="0.35">
      <c r="A164" t="s">
        <v>2339</v>
      </c>
      <c r="B164" t="s">
        <v>440</v>
      </c>
      <c r="C164" t="s">
        <v>581</v>
      </c>
      <c r="D164" t="s">
        <v>647</v>
      </c>
      <c r="E164" s="1">
        <v>45278</v>
      </c>
      <c r="F164" s="1">
        <v>45280</v>
      </c>
      <c r="G164" s="1">
        <v>45296</v>
      </c>
      <c r="H164" t="s">
        <v>20</v>
      </c>
      <c r="I164">
        <v>4734.1499999999996</v>
      </c>
      <c r="J164" t="s">
        <v>683</v>
      </c>
      <c r="K164">
        <v>16</v>
      </c>
    </row>
    <row r="165" spans="1:11" x14ac:dyDescent="0.35">
      <c r="A165" t="s">
        <v>1613</v>
      </c>
      <c r="B165" t="s">
        <v>253</v>
      </c>
      <c r="C165" t="s">
        <v>581</v>
      </c>
      <c r="D165" t="s">
        <v>647</v>
      </c>
      <c r="E165" s="1">
        <v>45556</v>
      </c>
      <c r="F165" s="1">
        <v>45559</v>
      </c>
      <c r="G165" s="1">
        <v>45577</v>
      </c>
      <c r="H165" t="s">
        <v>8</v>
      </c>
      <c r="I165">
        <v>4727.9399999999996</v>
      </c>
      <c r="J165" t="s">
        <v>687</v>
      </c>
      <c r="K165">
        <v>18</v>
      </c>
    </row>
    <row r="166" spans="1:11" x14ac:dyDescent="0.35">
      <c r="A166" t="s">
        <v>2632</v>
      </c>
      <c r="B166" t="s">
        <v>284</v>
      </c>
      <c r="C166" t="s">
        <v>537</v>
      </c>
      <c r="D166" t="s">
        <v>647</v>
      </c>
      <c r="E166" s="1">
        <v>44999</v>
      </c>
      <c r="F166" s="1">
        <v>45002</v>
      </c>
      <c r="G166" s="1">
        <v>45018</v>
      </c>
      <c r="H166" t="s">
        <v>8</v>
      </c>
      <c r="I166">
        <v>4717.76</v>
      </c>
      <c r="J166" t="s">
        <v>683</v>
      </c>
      <c r="K166">
        <v>16</v>
      </c>
    </row>
    <row r="167" spans="1:11" x14ac:dyDescent="0.35">
      <c r="A167" t="s">
        <v>1319</v>
      </c>
      <c r="B167" t="s">
        <v>289</v>
      </c>
      <c r="C167" t="s">
        <v>577</v>
      </c>
      <c r="D167" t="s">
        <v>626</v>
      </c>
      <c r="E167" s="1">
        <v>45237</v>
      </c>
      <c r="F167" s="1">
        <v>45241</v>
      </c>
      <c r="G167" s="1">
        <v>45247</v>
      </c>
      <c r="H167" t="s">
        <v>13</v>
      </c>
      <c r="I167">
        <v>4707.3100000000004</v>
      </c>
      <c r="J167" t="s">
        <v>683</v>
      </c>
      <c r="K167">
        <v>6</v>
      </c>
    </row>
    <row r="168" spans="1:11" x14ac:dyDescent="0.35">
      <c r="A168" t="s">
        <v>2653</v>
      </c>
      <c r="B168" t="s">
        <v>102</v>
      </c>
      <c r="C168" t="s">
        <v>601</v>
      </c>
      <c r="D168" t="s">
        <v>626</v>
      </c>
      <c r="E168" s="1">
        <v>45584</v>
      </c>
      <c r="F168" s="1">
        <v>45585</v>
      </c>
      <c r="G168" s="1">
        <v>45614</v>
      </c>
      <c r="H168" t="s">
        <v>11</v>
      </c>
      <c r="I168">
        <v>4699.3999999999996</v>
      </c>
      <c r="J168" t="s">
        <v>683</v>
      </c>
      <c r="K168">
        <v>29</v>
      </c>
    </row>
    <row r="169" spans="1:11" x14ac:dyDescent="0.35">
      <c r="A169" t="s">
        <v>1033</v>
      </c>
      <c r="B169" t="s">
        <v>21</v>
      </c>
      <c r="C169" t="s">
        <v>581</v>
      </c>
      <c r="D169" t="s">
        <v>626</v>
      </c>
      <c r="E169" s="1">
        <v>45264</v>
      </c>
      <c r="F169" s="1">
        <v>45267</v>
      </c>
      <c r="G169" s="1">
        <v>45279</v>
      </c>
      <c r="H169" t="s">
        <v>11</v>
      </c>
      <c r="I169">
        <v>4698.43</v>
      </c>
      <c r="J169" t="s">
        <v>683</v>
      </c>
      <c r="K169">
        <v>12</v>
      </c>
    </row>
    <row r="170" spans="1:11" x14ac:dyDescent="0.35">
      <c r="A170" t="s">
        <v>2096</v>
      </c>
      <c r="B170" t="s">
        <v>153</v>
      </c>
      <c r="C170" t="s">
        <v>611</v>
      </c>
      <c r="D170" t="s">
        <v>647</v>
      </c>
      <c r="E170" s="1">
        <v>45626</v>
      </c>
      <c r="F170" s="1">
        <v>45627</v>
      </c>
      <c r="G170" s="1">
        <v>45646</v>
      </c>
      <c r="H170" t="s">
        <v>13</v>
      </c>
      <c r="I170">
        <v>4668.6000000000004</v>
      </c>
      <c r="J170" t="s">
        <v>683</v>
      </c>
      <c r="K170">
        <v>19</v>
      </c>
    </row>
    <row r="171" spans="1:11" x14ac:dyDescent="0.35">
      <c r="A171" t="s">
        <v>889</v>
      </c>
      <c r="B171" t="s">
        <v>515</v>
      </c>
      <c r="C171" t="s">
        <v>537</v>
      </c>
      <c r="D171" t="s">
        <v>626</v>
      </c>
      <c r="E171" s="1">
        <v>45038</v>
      </c>
      <c r="F171" s="1">
        <v>45040</v>
      </c>
      <c r="G171" s="1">
        <v>45070</v>
      </c>
      <c r="H171" t="s">
        <v>11</v>
      </c>
      <c r="I171">
        <v>4650.34</v>
      </c>
      <c r="J171" t="s">
        <v>683</v>
      </c>
      <c r="K171">
        <v>30</v>
      </c>
    </row>
    <row r="172" spans="1:11" x14ac:dyDescent="0.35">
      <c r="A172" t="s">
        <v>1670</v>
      </c>
      <c r="B172" t="s">
        <v>265</v>
      </c>
      <c r="C172" t="s">
        <v>524</v>
      </c>
      <c r="D172" t="s">
        <v>626</v>
      </c>
      <c r="E172" s="1">
        <v>45014</v>
      </c>
      <c r="F172" s="1">
        <v>45018</v>
      </c>
      <c r="G172" s="1">
        <v>45026</v>
      </c>
      <c r="H172" t="s">
        <v>11</v>
      </c>
      <c r="I172">
        <v>4615.3100000000004</v>
      </c>
      <c r="J172" t="s">
        <v>683</v>
      </c>
      <c r="K172">
        <v>8</v>
      </c>
    </row>
    <row r="173" spans="1:11" x14ac:dyDescent="0.35">
      <c r="A173" t="s">
        <v>1351</v>
      </c>
      <c r="B173" t="s">
        <v>514</v>
      </c>
      <c r="C173" t="s">
        <v>565</v>
      </c>
      <c r="D173" t="s">
        <v>626</v>
      </c>
      <c r="E173" s="1">
        <v>45001</v>
      </c>
      <c r="F173" s="1">
        <v>45004</v>
      </c>
      <c r="G173" s="1">
        <v>45025</v>
      </c>
      <c r="H173" t="s">
        <v>13</v>
      </c>
      <c r="I173">
        <v>4594.58</v>
      </c>
      <c r="J173" t="s">
        <v>683</v>
      </c>
      <c r="K173">
        <v>21</v>
      </c>
    </row>
    <row r="174" spans="1:11" x14ac:dyDescent="0.35">
      <c r="A174" t="s">
        <v>1513</v>
      </c>
      <c r="B174" t="s">
        <v>266</v>
      </c>
      <c r="C174" t="s">
        <v>527</v>
      </c>
      <c r="D174" t="s">
        <v>626</v>
      </c>
      <c r="E174" s="1">
        <v>45437</v>
      </c>
      <c r="F174" s="1">
        <v>45438</v>
      </c>
      <c r="G174" s="1">
        <v>45464</v>
      </c>
      <c r="H174" t="s">
        <v>20</v>
      </c>
      <c r="I174">
        <v>4571.71</v>
      </c>
      <c r="J174" t="s">
        <v>683</v>
      </c>
      <c r="K174">
        <v>26</v>
      </c>
    </row>
    <row r="175" spans="1:11" x14ac:dyDescent="0.35">
      <c r="A175" t="s">
        <v>1769</v>
      </c>
      <c r="B175" t="s">
        <v>180</v>
      </c>
      <c r="C175" t="s">
        <v>603</v>
      </c>
      <c r="D175" t="s">
        <v>626</v>
      </c>
      <c r="E175" s="1">
        <v>45603</v>
      </c>
      <c r="F175" s="1">
        <v>45608</v>
      </c>
      <c r="G175" s="1">
        <v>45612</v>
      </c>
      <c r="H175" t="s">
        <v>11</v>
      </c>
      <c r="I175">
        <v>4549.59</v>
      </c>
      <c r="J175" t="s">
        <v>683</v>
      </c>
      <c r="K175">
        <v>4</v>
      </c>
    </row>
    <row r="176" spans="1:11" x14ac:dyDescent="0.35">
      <c r="A176" t="s">
        <v>2544</v>
      </c>
      <c r="B176" t="s">
        <v>233</v>
      </c>
      <c r="C176" t="s">
        <v>557</v>
      </c>
      <c r="D176" t="s">
        <v>647</v>
      </c>
      <c r="E176" s="1">
        <v>45421</v>
      </c>
      <c r="F176" s="1">
        <v>45422</v>
      </c>
      <c r="G176" s="1">
        <v>45442</v>
      </c>
      <c r="H176" t="s">
        <v>20</v>
      </c>
      <c r="I176">
        <v>4540.21</v>
      </c>
      <c r="J176" t="s">
        <v>683</v>
      </c>
      <c r="K176">
        <v>20</v>
      </c>
    </row>
    <row r="177" spans="1:11" x14ac:dyDescent="0.35">
      <c r="A177" t="s">
        <v>1996</v>
      </c>
      <c r="B177" t="s">
        <v>308</v>
      </c>
      <c r="C177" t="s">
        <v>567</v>
      </c>
      <c r="D177" t="s">
        <v>626</v>
      </c>
      <c r="E177" s="1">
        <v>45191</v>
      </c>
      <c r="F177" s="1">
        <v>45196</v>
      </c>
      <c r="G177" s="1">
        <v>45222</v>
      </c>
      <c r="H177" t="s">
        <v>25</v>
      </c>
      <c r="I177">
        <v>4539.38</v>
      </c>
      <c r="J177" t="s">
        <v>687</v>
      </c>
      <c r="K177">
        <v>26</v>
      </c>
    </row>
    <row r="178" spans="1:11" x14ac:dyDescent="0.35">
      <c r="A178" t="s">
        <v>1851</v>
      </c>
      <c r="B178" t="s">
        <v>228</v>
      </c>
      <c r="C178" t="s">
        <v>599</v>
      </c>
      <c r="D178" t="s">
        <v>647</v>
      </c>
      <c r="E178" s="1">
        <v>45466</v>
      </c>
      <c r="F178" s="1">
        <v>45467</v>
      </c>
      <c r="G178" s="1">
        <v>45471</v>
      </c>
      <c r="H178" t="s">
        <v>25</v>
      </c>
      <c r="I178">
        <v>4536.9399999999996</v>
      </c>
      <c r="J178" t="s">
        <v>687</v>
      </c>
      <c r="K178">
        <v>4</v>
      </c>
    </row>
    <row r="179" spans="1:11" x14ac:dyDescent="0.35">
      <c r="A179" t="s">
        <v>815</v>
      </c>
      <c r="B179" t="s">
        <v>295</v>
      </c>
      <c r="C179" t="s">
        <v>579</v>
      </c>
      <c r="D179" t="s">
        <v>647</v>
      </c>
      <c r="E179" s="1">
        <v>45196</v>
      </c>
      <c r="F179" s="1">
        <v>45199</v>
      </c>
      <c r="G179" s="1">
        <v>45202</v>
      </c>
      <c r="H179" t="s">
        <v>8</v>
      </c>
      <c r="I179">
        <v>4533.49</v>
      </c>
      <c r="J179" t="s">
        <v>683</v>
      </c>
      <c r="K179">
        <v>3</v>
      </c>
    </row>
    <row r="180" spans="1:11" x14ac:dyDescent="0.35">
      <c r="A180" t="s">
        <v>2614</v>
      </c>
      <c r="B180" t="s">
        <v>47</v>
      </c>
      <c r="C180" t="s">
        <v>597</v>
      </c>
      <c r="D180" t="s">
        <v>647</v>
      </c>
      <c r="E180" s="1">
        <v>44933</v>
      </c>
      <c r="F180" s="1">
        <v>44936</v>
      </c>
      <c r="G180" s="1"/>
      <c r="H180" t="s">
        <v>20</v>
      </c>
      <c r="I180">
        <v>4531.8599999999997</v>
      </c>
      <c r="J180" t="s">
        <v>689</v>
      </c>
    </row>
    <row r="181" spans="1:11" x14ac:dyDescent="0.35">
      <c r="A181" t="s">
        <v>1747</v>
      </c>
      <c r="B181" t="s">
        <v>435</v>
      </c>
      <c r="C181" t="s">
        <v>540</v>
      </c>
      <c r="D181" t="s">
        <v>647</v>
      </c>
      <c r="E181" s="1">
        <v>45075</v>
      </c>
      <c r="F181" s="1">
        <v>45078</v>
      </c>
      <c r="G181" s="1">
        <v>45107</v>
      </c>
      <c r="H181" t="s">
        <v>20</v>
      </c>
      <c r="I181">
        <v>4529.3100000000004</v>
      </c>
      <c r="J181" t="s">
        <v>683</v>
      </c>
      <c r="K181">
        <v>29</v>
      </c>
    </row>
    <row r="182" spans="1:11" x14ac:dyDescent="0.35">
      <c r="A182" t="s">
        <v>2622</v>
      </c>
      <c r="B182" t="s">
        <v>448</v>
      </c>
      <c r="C182" t="s">
        <v>567</v>
      </c>
      <c r="D182" t="s">
        <v>647</v>
      </c>
      <c r="E182" s="1">
        <v>45177</v>
      </c>
      <c r="F182" s="1">
        <v>45182</v>
      </c>
      <c r="G182" s="1">
        <v>45188</v>
      </c>
      <c r="H182" t="s">
        <v>8</v>
      </c>
      <c r="I182">
        <v>4510.82</v>
      </c>
      <c r="J182" t="s">
        <v>683</v>
      </c>
      <c r="K182">
        <v>6</v>
      </c>
    </row>
    <row r="183" spans="1:11" x14ac:dyDescent="0.35">
      <c r="A183" t="s">
        <v>2257</v>
      </c>
      <c r="B183" t="s">
        <v>178</v>
      </c>
      <c r="C183" t="s">
        <v>549</v>
      </c>
      <c r="D183" t="s">
        <v>647</v>
      </c>
      <c r="E183" s="1">
        <v>44985</v>
      </c>
      <c r="F183" s="1">
        <v>44988</v>
      </c>
      <c r="G183" s="1">
        <v>45010</v>
      </c>
      <c r="H183" t="s">
        <v>8</v>
      </c>
      <c r="I183">
        <v>4508.8500000000004</v>
      </c>
      <c r="J183" t="s">
        <v>683</v>
      </c>
      <c r="K183">
        <v>22</v>
      </c>
    </row>
    <row r="184" spans="1:11" x14ac:dyDescent="0.35">
      <c r="A184" t="s">
        <v>1578</v>
      </c>
      <c r="B184" t="s">
        <v>293</v>
      </c>
      <c r="C184" t="s">
        <v>575</v>
      </c>
      <c r="D184" t="s">
        <v>647</v>
      </c>
      <c r="E184" s="1">
        <v>45284</v>
      </c>
      <c r="F184" s="1">
        <v>45288</v>
      </c>
      <c r="G184" s="1">
        <v>45304</v>
      </c>
      <c r="H184" t="s">
        <v>20</v>
      </c>
      <c r="I184">
        <v>4507.3999999999996</v>
      </c>
      <c r="J184" t="s">
        <v>683</v>
      </c>
      <c r="K184">
        <v>16</v>
      </c>
    </row>
    <row r="185" spans="1:11" x14ac:dyDescent="0.35">
      <c r="A185" t="s">
        <v>764</v>
      </c>
      <c r="B185" t="s">
        <v>459</v>
      </c>
      <c r="C185" t="s">
        <v>581</v>
      </c>
      <c r="D185" t="s">
        <v>647</v>
      </c>
      <c r="E185" s="1">
        <v>45050</v>
      </c>
      <c r="F185" s="1">
        <v>45052</v>
      </c>
      <c r="G185" s="1">
        <v>45055</v>
      </c>
      <c r="H185" t="s">
        <v>25</v>
      </c>
      <c r="I185">
        <v>4504.3900000000003</v>
      </c>
      <c r="J185" t="s">
        <v>683</v>
      </c>
      <c r="K185">
        <v>3</v>
      </c>
    </row>
    <row r="186" spans="1:11" x14ac:dyDescent="0.35">
      <c r="A186" t="s">
        <v>814</v>
      </c>
      <c r="B186" t="s">
        <v>496</v>
      </c>
      <c r="C186" t="s">
        <v>559</v>
      </c>
      <c r="D186" t="s">
        <v>647</v>
      </c>
      <c r="E186" s="1">
        <v>45146</v>
      </c>
      <c r="F186" s="1">
        <v>45149</v>
      </c>
      <c r="G186" s="1"/>
      <c r="H186" t="s">
        <v>13</v>
      </c>
      <c r="I186">
        <v>4499.3</v>
      </c>
      <c r="J186" t="s">
        <v>689</v>
      </c>
    </row>
    <row r="187" spans="1:11" x14ac:dyDescent="0.35">
      <c r="A187" t="s">
        <v>1550</v>
      </c>
      <c r="B187" t="s">
        <v>199</v>
      </c>
      <c r="C187" t="s">
        <v>575</v>
      </c>
      <c r="D187" t="s">
        <v>647</v>
      </c>
      <c r="E187" s="1">
        <v>45414</v>
      </c>
      <c r="F187" s="1">
        <v>45418</v>
      </c>
      <c r="G187" s="1">
        <v>45426</v>
      </c>
      <c r="H187" t="s">
        <v>11</v>
      </c>
      <c r="I187">
        <v>4494.5</v>
      </c>
      <c r="J187" t="s">
        <v>687</v>
      </c>
      <c r="K187">
        <v>8</v>
      </c>
    </row>
    <row r="188" spans="1:11" x14ac:dyDescent="0.35">
      <c r="A188" t="s">
        <v>2273</v>
      </c>
      <c r="B188" t="s">
        <v>233</v>
      </c>
      <c r="C188" t="s">
        <v>557</v>
      </c>
      <c r="D188" t="s">
        <v>647</v>
      </c>
      <c r="E188" s="1">
        <v>45317</v>
      </c>
      <c r="F188" s="1">
        <v>45321</v>
      </c>
      <c r="G188" s="1">
        <v>45334</v>
      </c>
      <c r="H188" t="s">
        <v>20</v>
      </c>
      <c r="I188">
        <v>4486.76</v>
      </c>
      <c r="J188" t="s">
        <v>683</v>
      </c>
      <c r="K188">
        <v>13</v>
      </c>
    </row>
    <row r="189" spans="1:11" x14ac:dyDescent="0.35">
      <c r="A189" t="s">
        <v>2584</v>
      </c>
      <c r="B189" t="s">
        <v>234</v>
      </c>
      <c r="C189" t="s">
        <v>597</v>
      </c>
      <c r="D189" t="s">
        <v>647</v>
      </c>
      <c r="E189" s="1">
        <v>45289</v>
      </c>
      <c r="F189" s="1">
        <v>45290</v>
      </c>
      <c r="G189" s="1">
        <v>45297</v>
      </c>
      <c r="H189" t="s">
        <v>20</v>
      </c>
      <c r="I189">
        <v>4457.72</v>
      </c>
      <c r="J189" t="s">
        <v>683</v>
      </c>
      <c r="K189">
        <v>7</v>
      </c>
    </row>
    <row r="190" spans="1:11" x14ac:dyDescent="0.35">
      <c r="A190" t="s">
        <v>1057</v>
      </c>
      <c r="B190" t="s">
        <v>104</v>
      </c>
      <c r="C190" t="s">
        <v>595</v>
      </c>
      <c r="D190" t="s">
        <v>647</v>
      </c>
      <c r="E190" s="1">
        <v>45505</v>
      </c>
      <c r="F190" s="1">
        <v>45510</v>
      </c>
      <c r="G190" s="1">
        <v>45519</v>
      </c>
      <c r="H190" t="s">
        <v>8</v>
      </c>
      <c r="I190">
        <v>4393.6499999999996</v>
      </c>
      <c r="J190" t="s">
        <v>683</v>
      </c>
      <c r="K190">
        <v>9</v>
      </c>
    </row>
    <row r="191" spans="1:11" x14ac:dyDescent="0.35">
      <c r="A191" t="s">
        <v>1382</v>
      </c>
      <c r="B191" t="s">
        <v>198</v>
      </c>
      <c r="C191" t="s">
        <v>553</v>
      </c>
      <c r="D191" t="s">
        <v>647</v>
      </c>
      <c r="E191" s="1">
        <v>45366</v>
      </c>
      <c r="F191" s="1">
        <v>45370</v>
      </c>
      <c r="G191" s="1">
        <v>45378</v>
      </c>
      <c r="H191" t="s">
        <v>11</v>
      </c>
      <c r="I191">
        <v>4386.9799999999996</v>
      </c>
      <c r="J191" t="s">
        <v>687</v>
      </c>
      <c r="K191">
        <v>8</v>
      </c>
    </row>
    <row r="192" spans="1:11" x14ac:dyDescent="0.35">
      <c r="A192" t="s">
        <v>1171</v>
      </c>
      <c r="B192" t="s">
        <v>161</v>
      </c>
      <c r="C192" t="s">
        <v>521</v>
      </c>
      <c r="D192" t="s">
        <v>645</v>
      </c>
      <c r="E192" s="1">
        <v>45364</v>
      </c>
      <c r="F192" s="1">
        <v>45369</v>
      </c>
      <c r="G192" s="1">
        <v>45385</v>
      </c>
      <c r="H192" t="s">
        <v>13</v>
      </c>
      <c r="I192">
        <v>4370.9399999999996</v>
      </c>
      <c r="J192" t="s">
        <v>687</v>
      </c>
      <c r="K192">
        <v>16</v>
      </c>
    </row>
    <row r="193" spans="1:11" x14ac:dyDescent="0.35">
      <c r="A193" t="s">
        <v>982</v>
      </c>
      <c r="B193" t="s">
        <v>343</v>
      </c>
      <c r="C193" t="s">
        <v>559</v>
      </c>
      <c r="D193" t="s">
        <v>645</v>
      </c>
      <c r="E193" s="1">
        <v>45501</v>
      </c>
      <c r="F193" s="1">
        <v>45505</v>
      </c>
      <c r="G193" s="1">
        <v>45530</v>
      </c>
      <c r="H193" t="s">
        <v>8</v>
      </c>
      <c r="I193">
        <v>4369.47</v>
      </c>
      <c r="J193" t="s">
        <v>683</v>
      </c>
      <c r="K193">
        <v>25</v>
      </c>
    </row>
    <row r="194" spans="1:11" x14ac:dyDescent="0.35">
      <c r="A194" t="s">
        <v>1511</v>
      </c>
      <c r="B194" t="s">
        <v>306</v>
      </c>
      <c r="C194" t="s">
        <v>553</v>
      </c>
      <c r="D194" t="s">
        <v>645</v>
      </c>
      <c r="E194" s="1">
        <v>45089</v>
      </c>
      <c r="F194" s="1">
        <v>45093</v>
      </c>
      <c r="G194" s="1">
        <v>45101</v>
      </c>
      <c r="H194" t="s">
        <v>25</v>
      </c>
      <c r="I194">
        <v>4350.17</v>
      </c>
      <c r="J194" t="s">
        <v>687</v>
      </c>
      <c r="K194">
        <v>8</v>
      </c>
    </row>
    <row r="195" spans="1:11" x14ac:dyDescent="0.35">
      <c r="A195" t="s">
        <v>2042</v>
      </c>
      <c r="B195" t="s">
        <v>402</v>
      </c>
      <c r="C195" t="s">
        <v>591</v>
      </c>
      <c r="D195" t="s">
        <v>647</v>
      </c>
      <c r="E195" s="1">
        <v>45587</v>
      </c>
      <c r="F195" s="1">
        <v>45592</v>
      </c>
      <c r="G195" s="1"/>
      <c r="H195" t="s">
        <v>11</v>
      </c>
      <c r="I195">
        <v>4350.01</v>
      </c>
      <c r="J195" t="s">
        <v>689</v>
      </c>
    </row>
    <row r="196" spans="1:11" x14ac:dyDescent="0.35">
      <c r="A196" t="s">
        <v>1348</v>
      </c>
      <c r="B196" t="s">
        <v>375</v>
      </c>
      <c r="C196" t="s">
        <v>561</v>
      </c>
      <c r="D196" t="s">
        <v>647</v>
      </c>
      <c r="E196" s="1">
        <v>44989</v>
      </c>
      <c r="F196" s="1">
        <v>44992</v>
      </c>
      <c r="G196" s="1">
        <v>45016</v>
      </c>
      <c r="H196" t="s">
        <v>20</v>
      </c>
      <c r="I196">
        <v>4348.96</v>
      </c>
      <c r="J196" t="s">
        <v>683</v>
      </c>
      <c r="K196">
        <v>24</v>
      </c>
    </row>
    <row r="197" spans="1:11" x14ac:dyDescent="0.35">
      <c r="A197" t="s">
        <v>1722</v>
      </c>
      <c r="B197" t="s">
        <v>16</v>
      </c>
      <c r="C197" t="s">
        <v>531</v>
      </c>
      <c r="D197" t="s">
        <v>645</v>
      </c>
      <c r="E197" s="1">
        <v>45422</v>
      </c>
      <c r="F197" s="1">
        <v>45426</v>
      </c>
      <c r="G197" s="1">
        <v>45441</v>
      </c>
      <c r="H197" t="s">
        <v>8</v>
      </c>
      <c r="I197">
        <v>4348.67</v>
      </c>
      <c r="J197" t="s">
        <v>683</v>
      </c>
      <c r="K197">
        <v>15</v>
      </c>
    </row>
    <row r="198" spans="1:11" x14ac:dyDescent="0.35">
      <c r="A198" t="s">
        <v>1089</v>
      </c>
      <c r="B198" t="s">
        <v>510</v>
      </c>
      <c r="C198" t="s">
        <v>565</v>
      </c>
      <c r="D198" t="s">
        <v>645</v>
      </c>
      <c r="E198" s="1">
        <v>45585</v>
      </c>
      <c r="F198" s="1">
        <v>45586</v>
      </c>
      <c r="G198" s="1">
        <v>45606</v>
      </c>
      <c r="H198" t="s">
        <v>11</v>
      </c>
      <c r="I198">
        <v>4339.74</v>
      </c>
      <c r="J198" t="s">
        <v>683</v>
      </c>
      <c r="K198">
        <v>20</v>
      </c>
    </row>
    <row r="199" spans="1:11" x14ac:dyDescent="0.35">
      <c r="A199" t="s">
        <v>1674</v>
      </c>
      <c r="B199" t="s">
        <v>442</v>
      </c>
      <c r="C199" t="s">
        <v>557</v>
      </c>
      <c r="D199" t="s">
        <v>647</v>
      </c>
      <c r="E199" s="1">
        <v>45594</v>
      </c>
      <c r="F199" s="1">
        <v>45597</v>
      </c>
      <c r="G199" s="1">
        <v>45608</v>
      </c>
      <c r="H199" t="s">
        <v>11</v>
      </c>
      <c r="I199">
        <v>4334.5600000000004</v>
      </c>
      <c r="J199" t="s">
        <v>683</v>
      </c>
      <c r="K199">
        <v>11</v>
      </c>
    </row>
    <row r="200" spans="1:11" x14ac:dyDescent="0.35">
      <c r="A200" t="s">
        <v>1608</v>
      </c>
      <c r="B200" t="s">
        <v>219</v>
      </c>
      <c r="C200" t="s">
        <v>555</v>
      </c>
      <c r="D200" t="s">
        <v>645</v>
      </c>
      <c r="E200" s="1">
        <v>45377</v>
      </c>
      <c r="F200" s="1">
        <v>45379</v>
      </c>
      <c r="G200" s="1">
        <v>45392</v>
      </c>
      <c r="H200" t="s">
        <v>11</v>
      </c>
      <c r="I200">
        <v>4330.68</v>
      </c>
      <c r="J200" t="s">
        <v>683</v>
      </c>
      <c r="K200">
        <v>13</v>
      </c>
    </row>
    <row r="201" spans="1:11" x14ac:dyDescent="0.35">
      <c r="A201" t="s">
        <v>1604</v>
      </c>
      <c r="B201" t="s">
        <v>361</v>
      </c>
      <c r="C201" t="s">
        <v>597</v>
      </c>
      <c r="D201" t="s">
        <v>647</v>
      </c>
      <c r="E201" s="1">
        <v>45037</v>
      </c>
      <c r="F201" s="1">
        <v>45042</v>
      </c>
      <c r="G201" s="1">
        <v>45058</v>
      </c>
      <c r="H201" t="s">
        <v>20</v>
      </c>
      <c r="I201">
        <v>4329.2</v>
      </c>
      <c r="J201" t="s">
        <v>683</v>
      </c>
      <c r="K201">
        <v>16</v>
      </c>
    </row>
    <row r="202" spans="1:11" x14ac:dyDescent="0.35">
      <c r="A202" t="s">
        <v>934</v>
      </c>
      <c r="B202" t="s">
        <v>424</v>
      </c>
      <c r="C202" t="s">
        <v>579</v>
      </c>
      <c r="D202" t="s">
        <v>647</v>
      </c>
      <c r="E202" s="1">
        <v>45362</v>
      </c>
      <c r="F202" s="1">
        <v>45366</v>
      </c>
      <c r="G202" s="1">
        <v>45375</v>
      </c>
      <c r="H202" t="s">
        <v>11</v>
      </c>
      <c r="I202">
        <v>4321.3900000000003</v>
      </c>
      <c r="J202" t="s">
        <v>683</v>
      </c>
      <c r="K202">
        <v>9</v>
      </c>
    </row>
    <row r="203" spans="1:11" x14ac:dyDescent="0.35">
      <c r="A203" t="s">
        <v>2245</v>
      </c>
      <c r="B203" t="s">
        <v>356</v>
      </c>
      <c r="C203" t="s">
        <v>534</v>
      </c>
      <c r="D203" t="s">
        <v>645</v>
      </c>
      <c r="E203" s="1">
        <v>44938</v>
      </c>
      <c r="F203" s="1">
        <v>44941</v>
      </c>
      <c r="G203" s="1">
        <v>44958</v>
      </c>
      <c r="H203" t="s">
        <v>13</v>
      </c>
      <c r="I203">
        <v>4310.97</v>
      </c>
      <c r="J203" t="s">
        <v>683</v>
      </c>
      <c r="K203">
        <v>17</v>
      </c>
    </row>
    <row r="204" spans="1:11" x14ac:dyDescent="0.35">
      <c r="A204" t="s">
        <v>2418</v>
      </c>
      <c r="B204" t="s">
        <v>68</v>
      </c>
      <c r="C204" t="s">
        <v>569</v>
      </c>
      <c r="D204" t="s">
        <v>645</v>
      </c>
      <c r="E204" s="1">
        <v>45454</v>
      </c>
      <c r="F204" s="1">
        <v>45458</v>
      </c>
      <c r="G204" s="1">
        <v>45487</v>
      </c>
      <c r="H204" t="s">
        <v>25</v>
      </c>
      <c r="I204">
        <v>4290.24</v>
      </c>
      <c r="J204" t="s">
        <v>687</v>
      </c>
      <c r="K204">
        <v>29</v>
      </c>
    </row>
    <row r="205" spans="1:11" x14ac:dyDescent="0.35">
      <c r="A205" t="s">
        <v>2414</v>
      </c>
      <c r="B205" t="s">
        <v>204</v>
      </c>
      <c r="C205" t="s">
        <v>591</v>
      </c>
      <c r="D205" t="s">
        <v>645</v>
      </c>
      <c r="E205" s="1">
        <v>44987</v>
      </c>
      <c r="F205" s="1">
        <v>44988</v>
      </c>
      <c r="G205" s="1">
        <v>44991</v>
      </c>
      <c r="H205" t="s">
        <v>8</v>
      </c>
      <c r="I205">
        <v>4288.34</v>
      </c>
      <c r="J205" t="s">
        <v>683</v>
      </c>
      <c r="K205">
        <v>3</v>
      </c>
    </row>
    <row r="206" spans="1:11" x14ac:dyDescent="0.35">
      <c r="A206" t="s">
        <v>2301</v>
      </c>
      <c r="B206" t="s">
        <v>509</v>
      </c>
      <c r="C206" t="s">
        <v>563</v>
      </c>
      <c r="D206" t="s">
        <v>647</v>
      </c>
      <c r="E206" s="1">
        <v>45400</v>
      </c>
      <c r="F206" s="1">
        <v>45405</v>
      </c>
      <c r="G206" s="1">
        <v>45423</v>
      </c>
      <c r="H206" t="s">
        <v>25</v>
      </c>
      <c r="I206">
        <v>4284.2700000000004</v>
      </c>
      <c r="J206" t="s">
        <v>683</v>
      </c>
      <c r="K206">
        <v>18</v>
      </c>
    </row>
    <row r="207" spans="1:11" x14ac:dyDescent="0.35">
      <c r="A207" t="s">
        <v>722</v>
      </c>
      <c r="B207" t="s">
        <v>501</v>
      </c>
      <c r="C207" t="s">
        <v>540</v>
      </c>
      <c r="D207" t="s">
        <v>645</v>
      </c>
      <c r="E207" s="1">
        <v>45426</v>
      </c>
      <c r="F207" s="1">
        <v>45431</v>
      </c>
      <c r="G207" s="1">
        <v>45449</v>
      </c>
      <c r="H207" t="s">
        <v>8</v>
      </c>
      <c r="I207">
        <v>4270.07</v>
      </c>
      <c r="J207" t="s">
        <v>683</v>
      </c>
      <c r="K207">
        <v>18</v>
      </c>
    </row>
    <row r="208" spans="1:11" x14ac:dyDescent="0.35">
      <c r="A208" t="s">
        <v>2372</v>
      </c>
      <c r="B208" t="s">
        <v>32</v>
      </c>
      <c r="C208" t="s">
        <v>563</v>
      </c>
      <c r="D208" t="s">
        <v>645</v>
      </c>
      <c r="E208" s="1">
        <v>45163</v>
      </c>
      <c r="F208" s="1">
        <v>45168</v>
      </c>
      <c r="G208" s="1">
        <v>45187</v>
      </c>
      <c r="H208" t="s">
        <v>25</v>
      </c>
      <c r="I208">
        <v>4267.92</v>
      </c>
      <c r="J208" t="s">
        <v>683</v>
      </c>
      <c r="K208">
        <v>19</v>
      </c>
    </row>
    <row r="209" spans="1:11" x14ac:dyDescent="0.35">
      <c r="A209" t="s">
        <v>2631</v>
      </c>
      <c r="B209" t="s">
        <v>124</v>
      </c>
      <c r="C209" t="s">
        <v>575</v>
      </c>
      <c r="D209" t="s">
        <v>645</v>
      </c>
      <c r="E209" s="1">
        <v>45594</v>
      </c>
      <c r="F209" s="1">
        <v>45595</v>
      </c>
      <c r="G209" s="1">
        <v>45624</v>
      </c>
      <c r="H209" t="s">
        <v>13</v>
      </c>
      <c r="I209">
        <v>4263.5</v>
      </c>
      <c r="J209" t="s">
        <v>683</v>
      </c>
      <c r="K209">
        <v>29</v>
      </c>
    </row>
    <row r="210" spans="1:11" x14ac:dyDescent="0.35">
      <c r="A210" t="s">
        <v>2234</v>
      </c>
      <c r="B210" t="s">
        <v>427</v>
      </c>
      <c r="C210" t="s">
        <v>593</v>
      </c>
      <c r="D210" t="s">
        <v>645</v>
      </c>
      <c r="E210" s="1">
        <v>45132</v>
      </c>
      <c r="F210" s="1">
        <v>45133</v>
      </c>
      <c r="G210" s="1">
        <v>45157</v>
      </c>
      <c r="H210" t="s">
        <v>20</v>
      </c>
      <c r="I210">
        <v>4250.83</v>
      </c>
      <c r="J210" t="s">
        <v>683</v>
      </c>
      <c r="K210">
        <v>24</v>
      </c>
    </row>
    <row r="211" spans="1:11" x14ac:dyDescent="0.35">
      <c r="A211" t="s">
        <v>2157</v>
      </c>
      <c r="B211" t="s">
        <v>296</v>
      </c>
      <c r="C211" t="s">
        <v>537</v>
      </c>
      <c r="D211" t="s">
        <v>647</v>
      </c>
      <c r="E211" s="1">
        <v>45007</v>
      </c>
      <c r="F211" s="1">
        <v>45010</v>
      </c>
      <c r="G211" s="1">
        <v>45014</v>
      </c>
      <c r="H211" t="s">
        <v>11</v>
      </c>
      <c r="I211">
        <v>4244.01</v>
      </c>
      <c r="J211" t="s">
        <v>683</v>
      </c>
      <c r="K211">
        <v>4</v>
      </c>
    </row>
    <row r="212" spans="1:11" x14ac:dyDescent="0.35">
      <c r="A212" t="s">
        <v>1354</v>
      </c>
      <c r="B212" t="s">
        <v>110</v>
      </c>
      <c r="C212" t="s">
        <v>540</v>
      </c>
      <c r="D212" t="s">
        <v>645</v>
      </c>
      <c r="E212" s="1">
        <v>45044</v>
      </c>
      <c r="F212" s="1">
        <v>45045</v>
      </c>
      <c r="G212" s="1">
        <v>45052</v>
      </c>
      <c r="H212" t="s">
        <v>25</v>
      </c>
      <c r="I212">
        <v>4237.58</v>
      </c>
      <c r="J212" t="s">
        <v>687</v>
      </c>
      <c r="K212">
        <v>7</v>
      </c>
    </row>
    <row r="213" spans="1:11" x14ac:dyDescent="0.35">
      <c r="A213" t="s">
        <v>1143</v>
      </c>
      <c r="B213" t="s">
        <v>399</v>
      </c>
      <c r="C213" t="s">
        <v>573</v>
      </c>
      <c r="D213" t="s">
        <v>645</v>
      </c>
      <c r="E213" s="1">
        <v>44988</v>
      </c>
      <c r="F213" s="1">
        <v>44992</v>
      </c>
      <c r="G213" s="1">
        <v>45022</v>
      </c>
      <c r="H213" t="s">
        <v>13</v>
      </c>
      <c r="I213">
        <v>4231.47</v>
      </c>
      <c r="J213" t="s">
        <v>683</v>
      </c>
      <c r="K213">
        <v>30</v>
      </c>
    </row>
    <row r="214" spans="1:11" x14ac:dyDescent="0.35">
      <c r="A214" t="s">
        <v>2295</v>
      </c>
      <c r="B214" t="s">
        <v>495</v>
      </c>
      <c r="C214" t="s">
        <v>546</v>
      </c>
      <c r="D214" t="s">
        <v>645</v>
      </c>
      <c r="E214" s="1">
        <v>45496</v>
      </c>
      <c r="F214" s="1">
        <v>45497</v>
      </c>
      <c r="G214" s="1"/>
      <c r="H214" t="s">
        <v>13</v>
      </c>
      <c r="I214">
        <v>4226.2</v>
      </c>
      <c r="J214" t="s">
        <v>689</v>
      </c>
    </row>
    <row r="215" spans="1:11" x14ac:dyDescent="0.35">
      <c r="A215" t="s">
        <v>2416</v>
      </c>
      <c r="B215" t="s">
        <v>102</v>
      </c>
      <c r="C215" t="s">
        <v>581</v>
      </c>
      <c r="D215" t="s">
        <v>645</v>
      </c>
      <c r="E215" s="1">
        <v>45087</v>
      </c>
      <c r="F215" s="1">
        <v>45092</v>
      </c>
      <c r="G215" s="1">
        <v>45100</v>
      </c>
      <c r="H215" t="s">
        <v>11</v>
      </c>
      <c r="I215">
        <v>4208.32</v>
      </c>
      <c r="J215" t="s">
        <v>683</v>
      </c>
      <c r="K215">
        <v>8</v>
      </c>
    </row>
    <row r="216" spans="1:11" x14ac:dyDescent="0.35">
      <c r="A216" t="s">
        <v>1591</v>
      </c>
      <c r="B216" t="s">
        <v>107</v>
      </c>
      <c r="C216" t="s">
        <v>575</v>
      </c>
      <c r="D216" t="s">
        <v>647</v>
      </c>
      <c r="E216" s="1">
        <v>44992</v>
      </c>
      <c r="F216" s="1">
        <v>44993</v>
      </c>
      <c r="G216" s="1">
        <v>45020</v>
      </c>
      <c r="H216" t="s">
        <v>20</v>
      </c>
      <c r="I216">
        <v>4206.28</v>
      </c>
      <c r="J216" t="s">
        <v>683</v>
      </c>
      <c r="K216">
        <v>27</v>
      </c>
    </row>
    <row r="217" spans="1:11" x14ac:dyDescent="0.35">
      <c r="A217" t="s">
        <v>2283</v>
      </c>
      <c r="B217" t="s">
        <v>496</v>
      </c>
      <c r="C217" t="s">
        <v>543</v>
      </c>
      <c r="D217" t="s">
        <v>645</v>
      </c>
      <c r="E217" s="1">
        <v>45264</v>
      </c>
      <c r="F217" s="1">
        <v>45267</v>
      </c>
      <c r="G217" s="1">
        <v>45286</v>
      </c>
      <c r="H217" t="s">
        <v>13</v>
      </c>
      <c r="I217">
        <v>4186.04</v>
      </c>
      <c r="J217" t="s">
        <v>683</v>
      </c>
      <c r="K217">
        <v>19</v>
      </c>
    </row>
    <row r="218" spans="1:11" x14ac:dyDescent="0.35">
      <c r="A218" t="s">
        <v>2491</v>
      </c>
      <c r="B218" t="s">
        <v>325</v>
      </c>
      <c r="C218" t="s">
        <v>527</v>
      </c>
      <c r="D218" t="s">
        <v>647</v>
      </c>
      <c r="E218" s="1">
        <v>45229</v>
      </c>
      <c r="F218" s="1">
        <v>45233</v>
      </c>
      <c r="G218" s="1"/>
      <c r="H218" t="s">
        <v>25</v>
      </c>
      <c r="I218">
        <v>4180.66</v>
      </c>
      <c r="J218" t="s">
        <v>689</v>
      </c>
    </row>
    <row r="219" spans="1:11" x14ac:dyDescent="0.35">
      <c r="A219" t="s">
        <v>1782</v>
      </c>
      <c r="B219" t="s">
        <v>224</v>
      </c>
      <c r="C219" t="s">
        <v>555</v>
      </c>
      <c r="D219" t="s">
        <v>647</v>
      </c>
      <c r="E219" s="1">
        <v>45335</v>
      </c>
      <c r="F219" s="1">
        <v>45337</v>
      </c>
      <c r="G219" s="1">
        <v>45349</v>
      </c>
      <c r="H219" t="s">
        <v>11</v>
      </c>
      <c r="I219">
        <v>4177.8900000000003</v>
      </c>
      <c r="J219" t="s">
        <v>683</v>
      </c>
      <c r="K219">
        <v>12</v>
      </c>
    </row>
    <row r="220" spans="1:11" x14ac:dyDescent="0.35">
      <c r="A220" t="s">
        <v>1373</v>
      </c>
      <c r="B220" t="s">
        <v>69</v>
      </c>
      <c r="C220" t="s">
        <v>524</v>
      </c>
      <c r="D220" t="s">
        <v>647</v>
      </c>
      <c r="E220" s="1">
        <v>45405</v>
      </c>
      <c r="F220" s="1">
        <v>45410</v>
      </c>
      <c r="G220" s="1">
        <v>45415</v>
      </c>
      <c r="H220" t="s">
        <v>25</v>
      </c>
      <c r="I220">
        <v>4175.6099999999997</v>
      </c>
      <c r="J220" t="s">
        <v>683</v>
      </c>
      <c r="K220">
        <v>5</v>
      </c>
    </row>
    <row r="221" spans="1:11" x14ac:dyDescent="0.35">
      <c r="A221" t="s">
        <v>1428</v>
      </c>
      <c r="B221" t="s">
        <v>208</v>
      </c>
      <c r="C221" t="s">
        <v>543</v>
      </c>
      <c r="D221" t="s">
        <v>645</v>
      </c>
      <c r="E221" s="1">
        <v>45415</v>
      </c>
      <c r="F221" s="1">
        <v>45419</v>
      </c>
      <c r="G221" s="1"/>
      <c r="H221" t="s">
        <v>13</v>
      </c>
      <c r="I221">
        <v>4168.68</v>
      </c>
      <c r="J221" t="s">
        <v>689</v>
      </c>
    </row>
    <row r="222" spans="1:11" x14ac:dyDescent="0.35">
      <c r="A222" t="s">
        <v>2242</v>
      </c>
      <c r="B222" t="s">
        <v>27</v>
      </c>
      <c r="C222" t="s">
        <v>524</v>
      </c>
      <c r="D222" t="s">
        <v>647</v>
      </c>
      <c r="E222" s="1">
        <v>45390</v>
      </c>
      <c r="F222" s="1">
        <v>45395</v>
      </c>
      <c r="G222" s="1">
        <v>45405</v>
      </c>
      <c r="H222" t="s">
        <v>20</v>
      </c>
      <c r="I222">
        <v>4166.97</v>
      </c>
      <c r="J222" t="s">
        <v>683</v>
      </c>
      <c r="K222">
        <v>10</v>
      </c>
    </row>
    <row r="223" spans="1:11" x14ac:dyDescent="0.35">
      <c r="A223" t="s">
        <v>1770</v>
      </c>
      <c r="B223" t="s">
        <v>157</v>
      </c>
      <c r="C223" t="s">
        <v>605</v>
      </c>
      <c r="D223" t="s">
        <v>645</v>
      </c>
      <c r="E223" s="1">
        <v>45028</v>
      </c>
      <c r="F223" s="1">
        <v>45033</v>
      </c>
      <c r="G223" s="1"/>
      <c r="H223" t="s">
        <v>11</v>
      </c>
      <c r="I223">
        <v>4164.95</v>
      </c>
      <c r="J223" t="s">
        <v>689</v>
      </c>
    </row>
    <row r="224" spans="1:11" x14ac:dyDescent="0.35">
      <c r="A224" t="s">
        <v>930</v>
      </c>
      <c r="B224" t="s">
        <v>292</v>
      </c>
      <c r="C224" t="s">
        <v>593</v>
      </c>
      <c r="D224" t="s">
        <v>647</v>
      </c>
      <c r="E224" s="1">
        <v>45023</v>
      </c>
      <c r="F224" s="1">
        <v>45024</v>
      </c>
      <c r="G224" s="1">
        <v>45038</v>
      </c>
      <c r="H224" t="s">
        <v>13</v>
      </c>
      <c r="I224">
        <v>4157.93</v>
      </c>
      <c r="J224" t="s">
        <v>683</v>
      </c>
      <c r="K224">
        <v>14</v>
      </c>
    </row>
    <row r="225" spans="1:11" x14ac:dyDescent="0.35">
      <c r="A225" t="s">
        <v>1279</v>
      </c>
      <c r="B225" t="s">
        <v>403</v>
      </c>
      <c r="C225" t="s">
        <v>524</v>
      </c>
      <c r="D225" t="s">
        <v>647</v>
      </c>
      <c r="E225" s="1">
        <v>45250</v>
      </c>
      <c r="F225" s="1">
        <v>45255</v>
      </c>
      <c r="G225" s="1">
        <v>45270</v>
      </c>
      <c r="H225" t="s">
        <v>8</v>
      </c>
      <c r="I225">
        <v>4157.72</v>
      </c>
      <c r="J225" t="s">
        <v>687</v>
      </c>
      <c r="K225">
        <v>15</v>
      </c>
    </row>
    <row r="226" spans="1:11" x14ac:dyDescent="0.35">
      <c r="A226" t="s">
        <v>1647</v>
      </c>
      <c r="B226" t="s">
        <v>394</v>
      </c>
      <c r="C226" t="s">
        <v>569</v>
      </c>
      <c r="D226" t="s">
        <v>647</v>
      </c>
      <c r="E226" s="1">
        <v>45629</v>
      </c>
      <c r="F226" s="1">
        <v>45632</v>
      </c>
      <c r="G226" s="1">
        <v>45643</v>
      </c>
      <c r="H226" t="s">
        <v>8</v>
      </c>
      <c r="I226">
        <v>4126.93</v>
      </c>
      <c r="J226" t="s">
        <v>683</v>
      </c>
      <c r="K226">
        <v>11</v>
      </c>
    </row>
    <row r="227" spans="1:11" x14ac:dyDescent="0.35">
      <c r="A227" t="s">
        <v>1838</v>
      </c>
      <c r="B227" t="s">
        <v>109</v>
      </c>
      <c r="C227" t="s">
        <v>565</v>
      </c>
      <c r="D227" t="s">
        <v>645</v>
      </c>
      <c r="E227" s="1">
        <v>45050</v>
      </c>
      <c r="F227" s="1">
        <v>45055</v>
      </c>
      <c r="G227" s="1">
        <v>45069</v>
      </c>
      <c r="H227" t="s">
        <v>11</v>
      </c>
      <c r="I227">
        <v>4117.58</v>
      </c>
      <c r="J227" t="s">
        <v>683</v>
      </c>
      <c r="K227">
        <v>14</v>
      </c>
    </row>
    <row r="228" spans="1:11" x14ac:dyDescent="0.35">
      <c r="A228" t="s">
        <v>1486</v>
      </c>
      <c r="B228" t="s">
        <v>226</v>
      </c>
      <c r="C228" t="s">
        <v>555</v>
      </c>
      <c r="D228" t="s">
        <v>645</v>
      </c>
      <c r="E228" s="1">
        <v>45508</v>
      </c>
      <c r="F228" s="1">
        <v>45512</v>
      </c>
      <c r="G228" s="1">
        <v>45541</v>
      </c>
      <c r="H228" t="s">
        <v>20</v>
      </c>
      <c r="I228">
        <v>4095.99</v>
      </c>
      <c r="J228" t="s">
        <v>683</v>
      </c>
      <c r="K228">
        <v>29</v>
      </c>
    </row>
    <row r="229" spans="1:11" x14ac:dyDescent="0.35">
      <c r="A229" t="s">
        <v>1357</v>
      </c>
      <c r="B229" t="s">
        <v>187</v>
      </c>
      <c r="C229" t="s">
        <v>581</v>
      </c>
      <c r="D229" t="s">
        <v>647</v>
      </c>
      <c r="E229" s="1">
        <v>45605</v>
      </c>
      <c r="F229" s="1">
        <v>45606</v>
      </c>
      <c r="G229" s="1"/>
      <c r="H229" t="s">
        <v>11</v>
      </c>
      <c r="I229">
        <v>4088.77</v>
      </c>
      <c r="J229" t="s">
        <v>689</v>
      </c>
    </row>
    <row r="230" spans="1:11" x14ac:dyDescent="0.35">
      <c r="A230" t="s">
        <v>829</v>
      </c>
      <c r="B230" t="s">
        <v>38</v>
      </c>
      <c r="C230" t="s">
        <v>601</v>
      </c>
      <c r="D230" t="s">
        <v>647</v>
      </c>
      <c r="E230" s="1">
        <v>45367</v>
      </c>
      <c r="F230" s="1">
        <v>45370</v>
      </c>
      <c r="G230" s="1"/>
      <c r="H230" t="s">
        <v>8</v>
      </c>
      <c r="I230">
        <v>4069.75</v>
      </c>
      <c r="J230" t="s">
        <v>689</v>
      </c>
    </row>
    <row r="231" spans="1:11" x14ac:dyDescent="0.35">
      <c r="A231" t="s">
        <v>1088</v>
      </c>
      <c r="B231" t="s">
        <v>419</v>
      </c>
      <c r="C231" t="s">
        <v>593</v>
      </c>
      <c r="D231" t="s">
        <v>645</v>
      </c>
      <c r="E231" s="1">
        <v>45473</v>
      </c>
      <c r="F231" s="1">
        <v>45475</v>
      </c>
      <c r="G231" s="1">
        <v>45497</v>
      </c>
      <c r="H231" t="s">
        <v>8</v>
      </c>
      <c r="I231">
        <v>4061.91</v>
      </c>
      <c r="J231" t="s">
        <v>687</v>
      </c>
      <c r="K231">
        <v>22</v>
      </c>
    </row>
    <row r="232" spans="1:11" x14ac:dyDescent="0.35">
      <c r="A232" t="s">
        <v>2546</v>
      </c>
      <c r="B232" t="s">
        <v>374</v>
      </c>
      <c r="C232" t="s">
        <v>583</v>
      </c>
      <c r="D232" t="s">
        <v>645</v>
      </c>
      <c r="E232" s="1">
        <v>44971</v>
      </c>
      <c r="F232" s="1">
        <v>44972</v>
      </c>
      <c r="G232" s="1">
        <v>44988</v>
      </c>
      <c r="H232" t="s">
        <v>8</v>
      </c>
      <c r="I232">
        <v>4057.46</v>
      </c>
      <c r="J232" t="s">
        <v>683</v>
      </c>
      <c r="K232">
        <v>16</v>
      </c>
    </row>
    <row r="233" spans="1:11" x14ac:dyDescent="0.35">
      <c r="A233" t="s">
        <v>2160</v>
      </c>
      <c r="B233" t="s">
        <v>35</v>
      </c>
      <c r="C233" t="s">
        <v>575</v>
      </c>
      <c r="D233" t="s">
        <v>647</v>
      </c>
      <c r="E233" s="1">
        <v>45120</v>
      </c>
      <c r="F233" s="1">
        <v>45123</v>
      </c>
      <c r="G233" s="1">
        <v>45139</v>
      </c>
      <c r="H233" t="s">
        <v>11</v>
      </c>
      <c r="I233">
        <v>4056.45</v>
      </c>
      <c r="J233" t="s">
        <v>683</v>
      </c>
      <c r="K233">
        <v>16</v>
      </c>
    </row>
    <row r="234" spans="1:11" x14ac:dyDescent="0.35">
      <c r="A234" t="s">
        <v>1976</v>
      </c>
      <c r="B234" t="s">
        <v>299</v>
      </c>
      <c r="C234" t="s">
        <v>601</v>
      </c>
      <c r="D234" t="s">
        <v>645</v>
      </c>
      <c r="E234" s="1">
        <v>45000</v>
      </c>
      <c r="F234" s="1">
        <v>45004</v>
      </c>
      <c r="G234" s="1">
        <v>45013</v>
      </c>
      <c r="H234" t="s">
        <v>25</v>
      </c>
      <c r="I234">
        <v>4048.33</v>
      </c>
      <c r="J234" t="s">
        <v>683</v>
      </c>
      <c r="K234">
        <v>9</v>
      </c>
    </row>
    <row r="235" spans="1:11" x14ac:dyDescent="0.35">
      <c r="A235" t="s">
        <v>1587</v>
      </c>
      <c r="B235" t="s">
        <v>380</v>
      </c>
      <c r="C235" t="s">
        <v>521</v>
      </c>
      <c r="D235" t="s">
        <v>645</v>
      </c>
      <c r="E235" s="1">
        <v>45009</v>
      </c>
      <c r="F235" s="1">
        <v>45014</v>
      </c>
      <c r="G235" s="1">
        <v>45026</v>
      </c>
      <c r="H235" t="s">
        <v>8</v>
      </c>
      <c r="I235">
        <v>4045.6</v>
      </c>
      <c r="J235" t="s">
        <v>683</v>
      </c>
      <c r="K235">
        <v>12</v>
      </c>
    </row>
    <row r="236" spans="1:11" x14ac:dyDescent="0.35">
      <c r="A236" t="s">
        <v>729</v>
      </c>
      <c r="B236" t="s">
        <v>108</v>
      </c>
      <c r="C236" t="s">
        <v>561</v>
      </c>
      <c r="D236" t="s">
        <v>645</v>
      </c>
      <c r="E236" s="1">
        <v>44986</v>
      </c>
      <c r="F236" s="1">
        <v>44989</v>
      </c>
      <c r="G236" s="1">
        <v>44994</v>
      </c>
      <c r="H236" t="s">
        <v>25</v>
      </c>
      <c r="I236">
        <v>4032.46</v>
      </c>
      <c r="J236" t="s">
        <v>687</v>
      </c>
      <c r="K236">
        <v>5</v>
      </c>
    </row>
    <row r="237" spans="1:11" x14ac:dyDescent="0.35">
      <c r="A237" t="s">
        <v>2398</v>
      </c>
      <c r="B237" t="s">
        <v>380</v>
      </c>
      <c r="C237" t="s">
        <v>540</v>
      </c>
      <c r="D237" t="s">
        <v>647</v>
      </c>
      <c r="E237" s="1">
        <v>45138</v>
      </c>
      <c r="F237" s="1">
        <v>45140</v>
      </c>
      <c r="G237" s="1">
        <v>45144</v>
      </c>
      <c r="H237" t="s">
        <v>8</v>
      </c>
      <c r="I237">
        <v>4021.35</v>
      </c>
      <c r="J237" t="s">
        <v>683</v>
      </c>
      <c r="K237">
        <v>4</v>
      </c>
    </row>
    <row r="238" spans="1:11" x14ac:dyDescent="0.35">
      <c r="A238" t="s">
        <v>2502</v>
      </c>
      <c r="B238" t="s">
        <v>134</v>
      </c>
      <c r="C238" t="s">
        <v>605</v>
      </c>
      <c r="D238" t="s">
        <v>645</v>
      </c>
      <c r="E238" s="1">
        <v>45591</v>
      </c>
      <c r="F238" s="1">
        <v>45594</v>
      </c>
      <c r="G238" s="1">
        <v>45598</v>
      </c>
      <c r="H238" t="s">
        <v>11</v>
      </c>
      <c r="I238">
        <v>4020.01</v>
      </c>
      <c r="J238" t="s">
        <v>683</v>
      </c>
      <c r="K238">
        <v>4</v>
      </c>
    </row>
    <row r="239" spans="1:11" x14ac:dyDescent="0.35">
      <c r="A239" t="s">
        <v>1773</v>
      </c>
      <c r="B239" t="s">
        <v>144</v>
      </c>
      <c r="C239" t="s">
        <v>567</v>
      </c>
      <c r="D239" t="s">
        <v>645</v>
      </c>
      <c r="E239" s="1">
        <v>45601</v>
      </c>
      <c r="F239" s="1">
        <v>45606</v>
      </c>
      <c r="G239" s="1">
        <v>45615</v>
      </c>
      <c r="H239" t="s">
        <v>8</v>
      </c>
      <c r="I239">
        <v>4018.13</v>
      </c>
      <c r="J239" t="s">
        <v>683</v>
      </c>
      <c r="K239">
        <v>9</v>
      </c>
    </row>
    <row r="240" spans="1:11" x14ac:dyDescent="0.35">
      <c r="A240" t="s">
        <v>1221</v>
      </c>
      <c r="B240" t="s">
        <v>64</v>
      </c>
      <c r="C240" t="s">
        <v>521</v>
      </c>
      <c r="D240" t="s">
        <v>647</v>
      </c>
      <c r="E240" s="1">
        <v>45579</v>
      </c>
      <c r="F240" s="1">
        <v>45581</v>
      </c>
      <c r="G240" s="1">
        <v>45602</v>
      </c>
      <c r="H240" t="s">
        <v>8</v>
      </c>
      <c r="I240">
        <v>4012.68</v>
      </c>
      <c r="J240" t="s">
        <v>683</v>
      </c>
      <c r="K240">
        <v>21</v>
      </c>
    </row>
    <row r="241" spans="1:11" x14ac:dyDescent="0.35">
      <c r="A241" t="s">
        <v>2395</v>
      </c>
      <c r="B241" t="s">
        <v>179</v>
      </c>
      <c r="C241" t="s">
        <v>609</v>
      </c>
      <c r="D241" t="s">
        <v>647</v>
      </c>
      <c r="E241" s="1">
        <v>45303</v>
      </c>
      <c r="F241" s="1">
        <v>45307</v>
      </c>
      <c r="G241" s="1">
        <v>45332</v>
      </c>
      <c r="H241" t="s">
        <v>11</v>
      </c>
      <c r="I241">
        <v>4011.53</v>
      </c>
      <c r="J241" t="s">
        <v>683</v>
      </c>
      <c r="K241">
        <v>25</v>
      </c>
    </row>
    <row r="242" spans="1:11" x14ac:dyDescent="0.35">
      <c r="A242" t="s">
        <v>813</v>
      </c>
      <c r="B242" t="s">
        <v>404</v>
      </c>
      <c r="C242" t="s">
        <v>583</v>
      </c>
      <c r="D242" t="s">
        <v>645</v>
      </c>
      <c r="E242" s="1">
        <v>45089</v>
      </c>
      <c r="F242" s="1">
        <v>45091</v>
      </c>
      <c r="G242" s="1"/>
      <c r="H242" t="s">
        <v>8</v>
      </c>
      <c r="I242">
        <v>3999.98</v>
      </c>
      <c r="J242" t="s">
        <v>689</v>
      </c>
    </row>
    <row r="243" spans="1:11" x14ac:dyDescent="0.35">
      <c r="A243" t="s">
        <v>2251</v>
      </c>
      <c r="B243" t="s">
        <v>126</v>
      </c>
      <c r="C243" t="s">
        <v>549</v>
      </c>
      <c r="D243" t="s">
        <v>647</v>
      </c>
      <c r="E243" s="1">
        <v>45327</v>
      </c>
      <c r="F243" s="1">
        <v>45329</v>
      </c>
      <c r="G243" s="1">
        <v>45353</v>
      </c>
      <c r="H243" t="s">
        <v>8</v>
      </c>
      <c r="I243">
        <v>3990.33</v>
      </c>
      <c r="J243" t="s">
        <v>687</v>
      </c>
      <c r="K243">
        <v>24</v>
      </c>
    </row>
    <row r="244" spans="1:11" x14ac:dyDescent="0.35">
      <c r="A244" t="s">
        <v>2263</v>
      </c>
      <c r="B244" t="s">
        <v>52</v>
      </c>
      <c r="C244" t="s">
        <v>583</v>
      </c>
      <c r="D244" t="s">
        <v>647</v>
      </c>
      <c r="E244" s="1">
        <v>45652</v>
      </c>
      <c r="F244" s="1">
        <v>45655</v>
      </c>
      <c r="G244" s="1"/>
      <c r="H244" t="s">
        <v>20</v>
      </c>
      <c r="I244">
        <v>3986.76</v>
      </c>
      <c r="J244" t="s">
        <v>689</v>
      </c>
    </row>
    <row r="245" spans="1:11" x14ac:dyDescent="0.35">
      <c r="A245" t="s">
        <v>1056</v>
      </c>
      <c r="B245" t="s">
        <v>231</v>
      </c>
      <c r="C245" t="s">
        <v>571</v>
      </c>
      <c r="D245" t="s">
        <v>645</v>
      </c>
      <c r="E245" s="1">
        <v>45117</v>
      </c>
      <c r="F245" s="1">
        <v>45120</v>
      </c>
      <c r="G245" s="1"/>
      <c r="H245" t="s">
        <v>8</v>
      </c>
      <c r="I245">
        <v>3977.03</v>
      </c>
      <c r="J245" t="s">
        <v>689</v>
      </c>
    </row>
    <row r="246" spans="1:11" x14ac:dyDescent="0.35">
      <c r="A246" t="s">
        <v>1427</v>
      </c>
      <c r="B246" t="s">
        <v>509</v>
      </c>
      <c r="C246" t="s">
        <v>601</v>
      </c>
      <c r="D246" t="s">
        <v>645</v>
      </c>
      <c r="E246" s="1">
        <v>45091</v>
      </c>
      <c r="F246" s="1">
        <v>45096</v>
      </c>
      <c r="G246" s="1">
        <v>45118</v>
      </c>
      <c r="H246" t="s">
        <v>25</v>
      </c>
      <c r="I246">
        <v>3969.95</v>
      </c>
      <c r="J246" t="s">
        <v>687</v>
      </c>
      <c r="K246">
        <v>22</v>
      </c>
    </row>
    <row r="247" spans="1:11" x14ac:dyDescent="0.35">
      <c r="A247" t="s">
        <v>2487</v>
      </c>
      <c r="B247" t="s">
        <v>67</v>
      </c>
      <c r="C247" t="s">
        <v>609</v>
      </c>
      <c r="D247" t="s">
        <v>647</v>
      </c>
      <c r="E247" s="1">
        <v>44947</v>
      </c>
      <c r="F247" s="1">
        <v>44948</v>
      </c>
      <c r="G247" s="1">
        <v>44960</v>
      </c>
      <c r="H247" t="s">
        <v>11</v>
      </c>
      <c r="I247">
        <v>3932.55</v>
      </c>
      <c r="J247" t="s">
        <v>683</v>
      </c>
      <c r="K247">
        <v>12</v>
      </c>
    </row>
    <row r="248" spans="1:11" x14ac:dyDescent="0.35">
      <c r="A248" t="s">
        <v>1442</v>
      </c>
      <c r="B248" t="s">
        <v>79</v>
      </c>
      <c r="C248" t="s">
        <v>587</v>
      </c>
      <c r="D248" t="s">
        <v>645</v>
      </c>
      <c r="E248" s="1">
        <v>45459</v>
      </c>
      <c r="F248" s="1">
        <v>45464</v>
      </c>
      <c r="G248" s="1">
        <v>45476</v>
      </c>
      <c r="H248" t="s">
        <v>11</v>
      </c>
      <c r="I248">
        <v>3930.38</v>
      </c>
      <c r="J248" t="s">
        <v>687</v>
      </c>
      <c r="K248">
        <v>12</v>
      </c>
    </row>
    <row r="249" spans="1:11" x14ac:dyDescent="0.35">
      <c r="A249" t="s">
        <v>2568</v>
      </c>
      <c r="B249" t="s">
        <v>512</v>
      </c>
      <c r="C249" t="s">
        <v>581</v>
      </c>
      <c r="D249" t="s">
        <v>647</v>
      </c>
      <c r="E249" s="1">
        <v>45600</v>
      </c>
      <c r="F249" s="1">
        <v>45603</v>
      </c>
      <c r="G249" s="1"/>
      <c r="H249" t="s">
        <v>11</v>
      </c>
      <c r="I249">
        <v>3906.79</v>
      </c>
      <c r="J249" t="s">
        <v>689</v>
      </c>
    </row>
    <row r="250" spans="1:11" x14ac:dyDescent="0.35">
      <c r="A250" t="s">
        <v>2385</v>
      </c>
      <c r="B250" t="s">
        <v>429</v>
      </c>
      <c r="C250" t="s">
        <v>534</v>
      </c>
      <c r="D250" t="s">
        <v>647</v>
      </c>
      <c r="E250" s="1">
        <v>45053</v>
      </c>
      <c r="F250" s="1">
        <v>45058</v>
      </c>
      <c r="G250" s="1">
        <v>45075</v>
      </c>
      <c r="H250" t="s">
        <v>13</v>
      </c>
      <c r="I250">
        <v>3903.19</v>
      </c>
      <c r="J250" t="s">
        <v>687</v>
      </c>
      <c r="K250">
        <v>17</v>
      </c>
    </row>
    <row r="251" spans="1:11" x14ac:dyDescent="0.35">
      <c r="A251" t="s">
        <v>1211</v>
      </c>
      <c r="B251" t="s">
        <v>217</v>
      </c>
      <c r="C251" t="s">
        <v>583</v>
      </c>
      <c r="D251" t="s">
        <v>645</v>
      </c>
      <c r="E251" s="1">
        <v>45288</v>
      </c>
      <c r="F251" s="1">
        <v>45290</v>
      </c>
      <c r="G251" s="1">
        <v>45314</v>
      </c>
      <c r="H251" t="s">
        <v>13</v>
      </c>
      <c r="I251">
        <v>3889.6</v>
      </c>
      <c r="J251" t="s">
        <v>683</v>
      </c>
      <c r="K251">
        <v>24</v>
      </c>
    </row>
    <row r="252" spans="1:11" x14ac:dyDescent="0.35">
      <c r="A252" t="s">
        <v>1110</v>
      </c>
      <c r="B252" t="s">
        <v>142</v>
      </c>
      <c r="C252" t="s">
        <v>557</v>
      </c>
      <c r="D252" t="s">
        <v>647</v>
      </c>
      <c r="E252" s="1">
        <v>44999</v>
      </c>
      <c r="F252" s="1">
        <v>45003</v>
      </c>
      <c r="G252" s="1">
        <v>45013</v>
      </c>
      <c r="H252" t="s">
        <v>8</v>
      </c>
      <c r="I252">
        <v>3815.11</v>
      </c>
      <c r="J252" t="s">
        <v>683</v>
      </c>
      <c r="K252">
        <v>10</v>
      </c>
    </row>
    <row r="253" spans="1:11" x14ac:dyDescent="0.35">
      <c r="A253" t="s">
        <v>948</v>
      </c>
      <c r="B253" t="s">
        <v>404</v>
      </c>
      <c r="C253" t="s">
        <v>534</v>
      </c>
      <c r="D253" t="s">
        <v>647</v>
      </c>
      <c r="E253" s="1">
        <v>45090</v>
      </c>
      <c r="F253" s="1">
        <v>45094</v>
      </c>
      <c r="G253" s="1">
        <v>45117</v>
      </c>
      <c r="H253" t="s">
        <v>8</v>
      </c>
      <c r="I253">
        <v>3798.77</v>
      </c>
      <c r="J253" t="s">
        <v>687</v>
      </c>
      <c r="K253">
        <v>23</v>
      </c>
    </row>
    <row r="254" spans="1:11" x14ac:dyDescent="0.35">
      <c r="A254" t="s">
        <v>2151</v>
      </c>
      <c r="B254" t="s">
        <v>492</v>
      </c>
      <c r="C254" t="s">
        <v>609</v>
      </c>
      <c r="D254" t="s">
        <v>647</v>
      </c>
      <c r="E254" s="1">
        <v>45079</v>
      </c>
      <c r="F254" s="1">
        <v>45082</v>
      </c>
      <c r="G254" s="1">
        <v>45090</v>
      </c>
      <c r="H254" t="s">
        <v>13</v>
      </c>
      <c r="I254">
        <v>3793.59</v>
      </c>
      <c r="J254" t="s">
        <v>683</v>
      </c>
      <c r="K254">
        <v>8</v>
      </c>
    </row>
    <row r="255" spans="1:11" x14ac:dyDescent="0.35">
      <c r="A255" t="s">
        <v>1028</v>
      </c>
      <c r="B255" t="s">
        <v>380</v>
      </c>
      <c r="C255" t="s">
        <v>540</v>
      </c>
      <c r="D255" t="s">
        <v>645</v>
      </c>
      <c r="E255" s="1">
        <v>45601</v>
      </c>
      <c r="F255" s="1">
        <v>45606</v>
      </c>
      <c r="G255" s="1">
        <v>45624</v>
      </c>
      <c r="H255" t="s">
        <v>8</v>
      </c>
      <c r="I255">
        <v>3772.17</v>
      </c>
      <c r="J255" t="s">
        <v>683</v>
      </c>
      <c r="K255">
        <v>18</v>
      </c>
    </row>
    <row r="256" spans="1:11" x14ac:dyDescent="0.35">
      <c r="A256" t="s">
        <v>823</v>
      </c>
      <c r="B256" t="s">
        <v>177</v>
      </c>
      <c r="C256" t="s">
        <v>587</v>
      </c>
      <c r="D256" t="s">
        <v>645</v>
      </c>
      <c r="E256" s="1">
        <v>45482</v>
      </c>
      <c r="F256" s="1">
        <v>45483</v>
      </c>
      <c r="G256" s="1"/>
      <c r="H256" t="s">
        <v>11</v>
      </c>
      <c r="I256">
        <v>3757.96</v>
      </c>
      <c r="J256" t="s">
        <v>689</v>
      </c>
    </row>
    <row r="257" spans="1:11" x14ac:dyDescent="0.35">
      <c r="A257" t="s">
        <v>2230</v>
      </c>
      <c r="B257" t="s">
        <v>451</v>
      </c>
      <c r="C257" t="s">
        <v>567</v>
      </c>
      <c r="D257" t="s">
        <v>645</v>
      </c>
      <c r="E257" s="1">
        <v>45302</v>
      </c>
      <c r="F257" s="1">
        <v>45307</v>
      </c>
      <c r="G257" s="1">
        <v>45326</v>
      </c>
      <c r="H257" t="s">
        <v>11</v>
      </c>
      <c r="I257">
        <v>3752.55</v>
      </c>
      <c r="J257" t="s">
        <v>683</v>
      </c>
      <c r="K257">
        <v>19</v>
      </c>
    </row>
    <row r="258" spans="1:11" x14ac:dyDescent="0.35">
      <c r="A258" t="s">
        <v>1365</v>
      </c>
      <c r="B258" t="s">
        <v>483</v>
      </c>
      <c r="C258" t="s">
        <v>605</v>
      </c>
      <c r="D258" t="s">
        <v>645</v>
      </c>
      <c r="E258" s="1">
        <v>45119</v>
      </c>
      <c r="F258" s="1">
        <v>45120</v>
      </c>
      <c r="G258" s="1">
        <v>45130</v>
      </c>
      <c r="H258" t="s">
        <v>11</v>
      </c>
      <c r="I258">
        <v>3751</v>
      </c>
      <c r="J258" t="s">
        <v>683</v>
      </c>
      <c r="K258">
        <v>10</v>
      </c>
    </row>
    <row r="259" spans="1:11" x14ac:dyDescent="0.35">
      <c r="A259" t="s">
        <v>2515</v>
      </c>
      <c r="B259" t="s">
        <v>445</v>
      </c>
      <c r="C259" t="s">
        <v>527</v>
      </c>
      <c r="D259" t="s">
        <v>645</v>
      </c>
      <c r="E259" s="1">
        <v>45288</v>
      </c>
      <c r="F259" s="1">
        <v>45292</v>
      </c>
      <c r="G259" s="1">
        <v>45307</v>
      </c>
      <c r="H259" t="s">
        <v>20</v>
      </c>
      <c r="I259">
        <v>3708.76</v>
      </c>
      <c r="J259" t="s">
        <v>683</v>
      </c>
      <c r="K259">
        <v>15</v>
      </c>
    </row>
    <row r="260" spans="1:11" x14ac:dyDescent="0.35">
      <c r="A260" t="s">
        <v>789</v>
      </c>
      <c r="B260" t="s">
        <v>255</v>
      </c>
      <c r="C260" t="s">
        <v>531</v>
      </c>
      <c r="D260" t="s">
        <v>645</v>
      </c>
      <c r="E260" s="1">
        <v>45282</v>
      </c>
      <c r="F260" s="1">
        <v>45283</v>
      </c>
      <c r="G260" s="1">
        <v>45294</v>
      </c>
      <c r="H260" t="s">
        <v>20</v>
      </c>
      <c r="I260">
        <v>3692.35</v>
      </c>
      <c r="J260" t="s">
        <v>683</v>
      </c>
      <c r="K260">
        <v>11</v>
      </c>
    </row>
    <row r="261" spans="1:11" x14ac:dyDescent="0.35">
      <c r="A261" t="s">
        <v>2184</v>
      </c>
      <c r="B261" t="s">
        <v>300</v>
      </c>
      <c r="C261" t="s">
        <v>599</v>
      </c>
      <c r="D261" t="s">
        <v>645</v>
      </c>
      <c r="E261" s="1">
        <v>45263</v>
      </c>
      <c r="F261" s="1">
        <v>45268</v>
      </c>
      <c r="G261" s="1"/>
      <c r="H261" t="s">
        <v>20</v>
      </c>
      <c r="I261">
        <v>3672.58</v>
      </c>
      <c r="J261" t="s">
        <v>689</v>
      </c>
    </row>
    <row r="262" spans="1:11" x14ac:dyDescent="0.35">
      <c r="A262" t="s">
        <v>1198</v>
      </c>
      <c r="B262" t="s">
        <v>183</v>
      </c>
      <c r="C262" t="s">
        <v>599</v>
      </c>
      <c r="D262" t="s">
        <v>645</v>
      </c>
      <c r="E262" s="1">
        <v>45510</v>
      </c>
      <c r="F262" s="1">
        <v>45515</v>
      </c>
      <c r="G262" s="1">
        <v>45519</v>
      </c>
      <c r="H262" t="s">
        <v>8</v>
      </c>
      <c r="I262">
        <v>3670.1</v>
      </c>
      <c r="J262" t="s">
        <v>683</v>
      </c>
      <c r="K262">
        <v>4</v>
      </c>
    </row>
    <row r="263" spans="1:11" x14ac:dyDescent="0.35">
      <c r="A263" t="s">
        <v>1910</v>
      </c>
      <c r="B263" t="s">
        <v>253</v>
      </c>
      <c r="C263" t="s">
        <v>601</v>
      </c>
      <c r="D263" t="s">
        <v>645</v>
      </c>
      <c r="E263" s="1">
        <v>45228</v>
      </c>
      <c r="F263" s="1">
        <v>45233</v>
      </c>
      <c r="G263" s="1">
        <v>45241</v>
      </c>
      <c r="H263" t="s">
        <v>8</v>
      </c>
      <c r="I263">
        <v>3657.06</v>
      </c>
      <c r="J263" t="s">
        <v>683</v>
      </c>
      <c r="K263">
        <v>8</v>
      </c>
    </row>
    <row r="264" spans="1:11" x14ac:dyDescent="0.35">
      <c r="A264" t="s">
        <v>2616</v>
      </c>
      <c r="B264" t="s">
        <v>437</v>
      </c>
      <c r="C264" t="s">
        <v>521</v>
      </c>
      <c r="D264" t="s">
        <v>645</v>
      </c>
      <c r="E264" s="1">
        <v>45029</v>
      </c>
      <c r="F264" s="1">
        <v>45034</v>
      </c>
      <c r="G264" s="1">
        <v>45054</v>
      </c>
      <c r="H264" t="s">
        <v>20</v>
      </c>
      <c r="I264">
        <v>3653.53</v>
      </c>
      <c r="J264" t="s">
        <v>683</v>
      </c>
      <c r="K264">
        <v>20</v>
      </c>
    </row>
    <row r="265" spans="1:11" x14ac:dyDescent="0.35">
      <c r="A265" t="s">
        <v>1009</v>
      </c>
      <c r="B265" t="s">
        <v>238</v>
      </c>
      <c r="C265" t="s">
        <v>581</v>
      </c>
      <c r="D265" t="s">
        <v>645</v>
      </c>
      <c r="E265" s="1">
        <v>45572</v>
      </c>
      <c r="F265" s="1">
        <v>45573</v>
      </c>
      <c r="G265" s="1">
        <v>45594</v>
      </c>
      <c r="H265" t="s">
        <v>20</v>
      </c>
      <c r="I265">
        <v>3645.7</v>
      </c>
      <c r="J265" t="s">
        <v>683</v>
      </c>
      <c r="K265">
        <v>21</v>
      </c>
    </row>
    <row r="266" spans="1:11" x14ac:dyDescent="0.35">
      <c r="A266" t="s">
        <v>2401</v>
      </c>
      <c r="B266" t="s">
        <v>125</v>
      </c>
      <c r="C266" t="s">
        <v>605</v>
      </c>
      <c r="D266" t="s">
        <v>645</v>
      </c>
      <c r="E266" s="1">
        <v>44965</v>
      </c>
      <c r="F266" s="1">
        <v>44966</v>
      </c>
      <c r="G266" s="1"/>
      <c r="H266" t="s">
        <v>11</v>
      </c>
      <c r="I266">
        <v>3632.31</v>
      </c>
      <c r="J266" t="s">
        <v>689</v>
      </c>
    </row>
    <row r="267" spans="1:11" x14ac:dyDescent="0.35">
      <c r="A267" t="s">
        <v>1010</v>
      </c>
      <c r="B267" t="s">
        <v>182</v>
      </c>
      <c r="C267" t="s">
        <v>601</v>
      </c>
      <c r="D267" t="s">
        <v>645</v>
      </c>
      <c r="E267" s="1">
        <v>45137</v>
      </c>
      <c r="F267" s="1">
        <v>45141</v>
      </c>
      <c r="G267" s="1">
        <v>45167</v>
      </c>
      <c r="H267" t="s">
        <v>11</v>
      </c>
      <c r="I267">
        <v>3632.26</v>
      </c>
      <c r="J267" t="s">
        <v>683</v>
      </c>
      <c r="K267">
        <v>26</v>
      </c>
    </row>
    <row r="268" spans="1:11" x14ac:dyDescent="0.35">
      <c r="A268" t="s">
        <v>1573</v>
      </c>
      <c r="B268" t="s">
        <v>382</v>
      </c>
      <c r="C268" t="s">
        <v>603</v>
      </c>
      <c r="D268" t="s">
        <v>645</v>
      </c>
      <c r="E268" s="1">
        <v>45461</v>
      </c>
      <c r="F268" s="1">
        <v>45462</v>
      </c>
      <c r="G268" s="1">
        <v>45483</v>
      </c>
      <c r="H268" t="s">
        <v>8</v>
      </c>
      <c r="I268">
        <v>3626.34</v>
      </c>
      <c r="J268" t="s">
        <v>687</v>
      </c>
      <c r="K268">
        <v>21</v>
      </c>
    </row>
    <row r="269" spans="1:11" x14ac:dyDescent="0.35">
      <c r="A269" t="s">
        <v>2457</v>
      </c>
      <c r="B269" t="s">
        <v>291</v>
      </c>
      <c r="C269" t="s">
        <v>563</v>
      </c>
      <c r="D269" t="s">
        <v>645</v>
      </c>
      <c r="E269" s="1">
        <v>45346</v>
      </c>
      <c r="F269" s="1">
        <v>45351</v>
      </c>
      <c r="G269" s="1">
        <v>45368</v>
      </c>
      <c r="H269" t="s">
        <v>13</v>
      </c>
      <c r="I269">
        <v>3610.65</v>
      </c>
      <c r="J269" t="s">
        <v>683</v>
      </c>
      <c r="K269">
        <v>17</v>
      </c>
    </row>
    <row r="270" spans="1:11" x14ac:dyDescent="0.35">
      <c r="A270" t="s">
        <v>1549</v>
      </c>
      <c r="B270" t="s">
        <v>192</v>
      </c>
      <c r="C270" t="s">
        <v>573</v>
      </c>
      <c r="D270" t="s">
        <v>645</v>
      </c>
      <c r="E270" s="1">
        <v>45039</v>
      </c>
      <c r="F270" s="1">
        <v>45044</v>
      </c>
      <c r="G270" s="1">
        <v>45059</v>
      </c>
      <c r="H270" t="s">
        <v>11</v>
      </c>
      <c r="I270">
        <v>3602.93</v>
      </c>
      <c r="J270" t="s">
        <v>683</v>
      </c>
      <c r="K270">
        <v>15</v>
      </c>
    </row>
    <row r="271" spans="1:11" x14ac:dyDescent="0.35">
      <c r="A271" t="s">
        <v>2512</v>
      </c>
      <c r="B271" t="s">
        <v>454</v>
      </c>
      <c r="C271" t="s">
        <v>591</v>
      </c>
      <c r="D271" t="s">
        <v>645</v>
      </c>
      <c r="E271" s="1">
        <v>45474</v>
      </c>
      <c r="F271" s="1">
        <v>45478</v>
      </c>
      <c r="G271" s="1">
        <v>45485</v>
      </c>
      <c r="H271" t="s">
        <v>20</v>
      </c>
      <c r="I271">
        <v>3537.46</v>
      </c>
      <c r="J271" t="s">
        <v>683</v>
      </c>
      <c r="K271">
        <v>7</v>
      </c>
    </row>
    <row r="272" spans="1:11" x14ac:dyDescent="0.35">
      <c r="A272" t="s">
        <v>783</v>
      </c>
      <c r="B272" t="s">
        <v>334</v>
      </c>
      <c r="C272" t="s">
        <v>546</v>
      </c>
      <c r="D272" t="s">
        <v>645</v>
      </c>
      <c r="E272" s="1">
        <v>45507</v>
      </c>
      <c r="F272" s="1">
        <v>45511</v>
      </c>
      <c r="G272" s="1">
        <v>45515</v>
      </c>
      <c r="H272" t="s">
        <v>11</v>
      </c>
      <c r="I272">
        <v>3521.52</v>
      </c>
      <c r="J272" t="s">
        <v>683</v>
      </c>
      <c r="K272">
        <v>4</v>
      </c>
    </row>
    <row r="273" spans="1:11" x14ac:dyDescent="0.35">
      <c r="A273" t="s">
        <v>1219</v>
      </c>
      <c r="B273" t="s">
        <v>265</v>
      </c>
      <c r="C273" t="s">
        <v>607</v>
      </c>
      <c r="D273" t="s">
        <v>645</v>
      </c>
      <c r="E273" s="1">
        <v>45358</v>
      </c>
      <c r="F273" s="1">
        <v>45363</v>
      </c>
      <c r="G273" s="1">
        <v>45371</v>
      </c>
      <c r="H273" t="s">
        <v>11</v>
      </c>
      <c r="I273">
        <v>3520.73</v>
      </c>
      <c r="J273" t="s">
        <v>683</v>
      </c>
      <c r="K273">
        <v>8</v>
      </c>
    </row>
    <row r="274" spans="1:11" x14ac:dyDescent="0.35">
      <c r="A274" t="s">
        <v>2099</v>
      </c>
      <c r="B274" t="s">
        <v>151</v>
      </c>
      <c r="C274" t="s">
        <v>559</v>
      </c>
      <c r="D274" t="s">
        <v>645</v>
      </c>
      <c r="E274" s="1">
        <v>45283</v>
      </c>
      <c r="F274" s="1">
        <v>45287</v>
      </c>
      <c r="G274" s="1">
        <v>45290</v>
      </c>
      <c r="H274" t="s">
        <v>8</v>
      </c>
      <c r="I274">
        <v>3497.24</v>
      </c>
      <c r="J274" t="s">
        <v>683</v>
      </c>
      <c r="K274">
        <v>3</v>
      </c>
    </row>
    <row r="275" spans="1:11" x14ac:dyDescent="0.35">
      <c r="A275" t="s">
        <v>1136</v>
      </c>
      <c r="B275" t="s">
        <v>298</v>
      </c>
      <c r="C275" t="s">
        <v>601</v>
      </c>
      <c r="D275" t="s">
        <v>645</v>
      </c>
      <c r="E275" s="1">
        <v>45524</v>
      </c>
      <c r="F275" s="1">
        <v>45527</v>
      </c>
      <c r="G275" s="1">
        <v>45555</v>
      </c>
      <c r="H275" t="s">
        <v>11</v>
      </c>
      <c r="I275">
        <v>3489.85</v>
      </c>
      <c r="J275" t="s">
        <v>683</v>
      </c>
      <c r="K275">
        <v>28</v>
      </c>
    </row>
    <row r="276" spans="1:11" x14ac:dyDescent="0.35">
      <c r="A276" t="s">
        <v>1405</v>
      </c>
      <c r="B276" t="s">
        <v>248</v>
      </c>
      <c r="C276" t="s">
        <v>585</v>
      </c>
      <c r="D276" t="s">
        <v>645</v>
      </c>
      <c r="E276" s="1">
        <v>45468</v>
      </c>
      <c r="F276" s="1">
        <v>45472</v>
      </c>
      <c r="G276" s="1">
        <v>45481</v>
      </c>
      <c r="H276" t="s">
        <v>11</v>
      </c>
      <c r="I276">
        <v>3471.57</v>
      </c>
      <c r="J276" t="s">
        <v>683</v>
      </c>
      <c r="K276">
        <v>9</v>
      </c>
    </row>
    <row r="277" spans="1:11" x14ac:dyDescent="0.35">
      <c r="A277" t="s">
        <v>731</v>
      </c>
      <c r="B277" t="s">
        <v>399</v>
      </c>
      <c r="C277" t="s">
        <v>537</v>
      </c>
      <c r="D277" t="s">
        <v>645</v>
      </c>
      <c r="E277" s="1">
        <v>45137</v>
      </c>
      <c r="F277" s="1">
        <v>45142</v>
      </c>
      <c r="G277" s="1">
        <v>45150</v>
      </c>
      <c r="H277" t="s">
        <v>13</v>
      </c>
      <c r="I277">
        <v>3463.96</v>
      </c>
      <c r="J277" t="s">
        <v>683</v>
      </c>
      <c r="K277">
        <v>8</v>
      </c>
    </row>
    <row r="278" spans="1:11" x14ac:dyDescent="0.35">
      <c r="A278" t="s">
        <v>2537</v>
      </c>
      <c r="B278" t="s">
        <v>254</v>
      </c>
      <c r="C278" t="s">
        <v>581</v>
      </c>
      <c r="D278" t="s">
        <v>645</v>
      </c>
      <c r="E278" s="1">
        <v>45165</v>
      </c>
      <c r="F278" s="1">
        <v>45168</v>
      </c>
      <c r="G278" s="1">
        <v>45172</v>
      </c>
      <c r="H278" t="s">
        <v>13</v>
      </c>
      <c r="I278">
        <v>3460.41</v>
      </c>
      <c r="J278" t="s">
        <v>683</v>
      </c>
      <c r="K278">
        <v>4</v>
      </c>
    </row>
    <row r="279" spans="1:11" x14ac:dyDescent="0.35">
      <c r="A279" t="s">
        <v>2078</v>
      </c>
      <c r="B279" t="s">
        <v>304</v>
      </c>
      <c r="C279" t="s">
        <v>549</v>
      </c>
      <c r="D279" t="s">
        <v>645</v>
      </c>
      <c r="E279" s="1">
        <v>44966</v>
      </c>
      <c r="F279" s="1">
        <v>44971</v>
      </c>
      <c r="G279" s="1">
        <v>44992</v>
      </c>
      <c r="H279" t="s">
        <v>20</v>
      </c>
      <c r="I279">
        <v>3456.09</v>
      </c>
      <c r="J279" t="s">
        <v>687</v>
      </c>
      <c r="K279">
        <v>21</v>
      </c>
    </row>
    <row r="280" spans="1:11" x14ac:dyDescent="0.35">
      <c r="A280" t="s">
        <v>1503</v>
      </c>
      <c r="B280" t="s">
        <v>200</v>
      </c>
      <c r="C280" t="s">
        <v>595</v>
      </c>
      <c r="D280" t="s">
        <v>645</v>
      </c>
      <c r="E280" s="1">
        <v>45425</v>
      </c>
      <c r="F280" s="1">
        <v>45427</v>
      </c>
      <c r="G280" s="1">
        <v>45447</v>
      </c>
      <c r="H280" t="s">
        <v>20</v>
      </c>
      <c r="I280">
        <v>3450.9</v>
      </c>
      <c r="J280" t="s">
        <v>687</v>
      </c>
      <c r="K280">
        <v>20</v>
      </c>
    </row>
    <row r="281" spans="1:11" x14ac:dyDescent="0.35">
      <c r="A281" t="s">
        <v>2313</v>
      </c>
      <c r="B281" t="s">
        <v>511</v>
      </c>
      <c r="C281" t="s">
        <v>607</v>
      </c>
      <c r="D281" t="s">
        <v>645</v>
      </c>
      <c r="E281" s="1">
        <v>45562</v>
      </c>
      <c r="F281" s="1">
        <v>45566</v>
      </c>
      <c r="G281" s="1"/>
      <c r="H281" t="s">
        <v>11</v>
      </c>
      <c r="I281">
        <v>3446.36</v>
      </c>
      <c r="J281" t="s">
        <v>689</v>
      </c>
    </row>
    <row r="282" spans="1:11" x14ac:dyDescent="0.35">
      <c r="A282" t="s">
        <v>1878</v>
      </c>
      <c r="B282" t="s">
        <v>384</v>
      </c>
      <c r="C282" t="s">
        <v>569</v>
      </c>
      <c r="D282" t="s">
        <v>645</v>
      </c>
      <c r="E282" s="1">
        <v>45028</v>
      </c>
      <c r="F282" s="1">
        <v>45032</v>
      </c>
      <c r="G282" s="1">
        <v>45052</v>
      </c>
      <c r="H282" t="s">
        <v>13</v>
      </c>
      <c r="I282">
        <v>3445.85</v>
      </c>
      <c r="J282" t="s">
        <v>683</v>
      </c>
      <c r="K282">
        <v>20</v>
      </c>
    </row>
    <row r="283" spans="1:11" x14ac:dyDescent="0.35">
      <c r="A283" t="s">
        <v>1528</v>
      </c>
      <c r="B283" t="s">
        <v>458</v>
      </c>
      <c r="C283" t="s">
        <v>607</v>
      </c>
      <c r="D283" t="s">
        <v>645</v>
      </c>
      <c r="E283" s="1">
        <v>44948</v>
      </c>
      <c r="F283" s="1">
        <v>44952</v>
      </c>
      <c r="G283" s="1">
        <v>44957</v>
      </c>
      <c r="H283" t="s">
        <v>11</v>
      </c>
      <c r="I283">
        <v>3437.24</v>
      </c>
      <c r="J283" t="s">
        <v>683</v>
      </c>
      <c r="K283">
        <v>5</v>
      </c>
    </row>
    <row r="284" spans="1:11" x14ac:dyDescent="0.35">
      <c r="A284" t="s">
        <v>1462</v>
      </c>
      <c r="B284" t="s">
        <v>193</v>
      </c>
      <c r="C284" t="s">
        <v>591</v>
      </c>
      <c r="D284" t="s">
        <v>645</v>
      </c>
      <c r="E284" s="1">
        <v>45446</v>
      </c>
      <c r="F284" s="1">
        <v>45451</v>
      </c>
      <c r="G284" s="1">
        <v>45463</v>
      </c>
      <c r="H284" t="s">
        <v>20</v>
      </c>
      <c r="I284">
        <v>3429.82</v>
      </c>
      <c r="J284" t="s">
        <v>683</v>
      </c>
      <c r="K284">
        <v>12</v>
      </c>
    </row>
    <row r="285" spans="1:11" x14ac:dyDescent="0.35">
      <c r="A285" t="s">
        <v>1301</v>
      </c>
      <c r="B285" t="s">
        <v>422</v>
      </c>
      <c r="C285" t="s">
        <v>583</v>
      </c>
      <c r="D285" t="s">
        <v>645</v>
      </c>
      <c r="E285" s="1">
        <v>45303</v>
      </c>
      <c r="F285" s="1">
        <v>45305</v>
      </c>
      <c r="G285" s="1">
        <v>45310</v>
      </c>
      <c r="H285" t="s">
        <v>11</v>
      </c>
      <c r="I285">
        <v>3395.57</v>
      </c>
      <c r="J285" t="s">
        <v>683</v>
      </c>
      <c r="K285">
        <v>5</v>
      </c>
    </row>
    <row r="286" spans="1:11" x14ac:dyDescent="0.35">
      <c r="A286" t="s">
        <v>1337</v>
      </c>
      <c r="B286" t="s">
        <v>513</v>
      </c>
      <c r="C286" t="s">
        <v>583</v>
      </c>
      <c r="D286" t="s">
        <v>645</v>
      </c>
      <c r="E286" s="1">
        <v>45301</v>
      </c>
      <c r="F286" s="1">
        <v>45306</v>
      </c>
      <c r="G286" s="1">
        <v>45336</v>
      </c>
      <c r="H286" t="s">
        <v>20</v>
      </c>
      <c r="I286">
        <v>3387.3</v>
      </c>
      <c r="J286" t="s">
        <v>683</v>
      </c>
      <c r="K286">
        <v>30</v>
      </c>
    </row>
    <row r="287" spans="1:11" x14ac:dyDescent="0.35">
      <c r="A287" t="s">
        <v>903</v>
      </c>
      <c r="B287" t="s">
        <v>372</v>
      </c>
      <c r="C287" t="s">
        <v>603</v>
      </c>
      <c r="D287" t="s">
        <v>645</v>
      </c>
      <c r="E287" s="1">
        <v>45537</v>
      </c>
      <c r="F287" s="1">
        <v>45542</v>
      </c>
      <c r="G287" s="1"/>
      <c r="H287" t="s">
        <v>13</v>
      </c>
      <c r="I287">
        <v>3386.97</v>
      </c>
      <c r="J287" t="s">
        <v>689</v>
      </c>
    </row>
    <row r="288" spans="1:11" x14ac:dyDescent="0.35">
      <c r="A288" t="s">
        <v>1268</v>
      </c>
      <c r="B288" t="s">
        <v>438</v>
      </c>
      <c r="C288" t="s">
        <v>540</v>
      </c>
      <c r="D288" t="s">
        <v>645</v>
      </c>
      <c r="E288" s="1">
        <v>45379</v>
      </c>
      <c r="F288" s="1">
        <v>45380</v>
      </c>
      <c r="G288" s="1">
        <v>45384</v>
      </c>
      <c r="H288" t="s">
        <v>11</v>
      </c>
      <c r="I288">
        <v>3351.54</v>
      </c>
      <c r="J288" t="s">
        <v>683</v>
      </c>
      <c r="K288">
        <v>4</v>
      </c>
    </row>
    <row r="289" spans="1:11" x14ac:dyDescent="0.35">
      <c r="A289" t="s">
        <v>2090</v>
      </c>
      <c r="B289" t="s">
        <v>340</v>
      </c>
      <c r="C289" t="s">
        <v>531</v>
      </c>
      <c r="D289" t="s">
        <v>645</v>
      </c>
      <c r="E289" s="1">
        <v>45205</v>
      </c>
      <c r="F289" s="1">
        <v>45207</v>
      </c>
      <c r="G289" s="1">
        <v>45228</v>
      </c>
      <c r="H289" t="s">
        <v>11</v>
      </c>
      <c r="I289">
        <v>3347.35</v>
      </c>
      <c r="J289" t="s">
        <v>683</v>
      </c>
      <c r="K289">
        <v>21</v>
      </c>
    </row>
    <row r="290" spans="1:11" x14ac:dyDescent="0.35">
      <c r="A290" t="s">
        <v>974</v>
      </c>
      <c r="B290" t="s">
        <v>361</v>
      </c>
      <c r="C290" t="s">
        <v>524</v>
      </c>
      <c r="D290" t="s">
        <v>645</v>
      </c>
      <c r="E290" s="1">
        <v>45539</v>
      </c>
      <c r="F290" s="1">
        <v>45541</v>
      </c>
      <c r="G290" s="1">
        <v>45564</v>
      </c>
      <c r="H290" t="s">
        <v>20</v>
      </c>
      <c r="I290">
        <v>3308.98</v>
      </c>
      <c r="J290" t="s">
        <v>687</v>
      </c>
      <c r="K290">
        <v>23</v>
      </c>
    </row>
    <row r="291" spans="1:11" x14ac:dyDescent="0.35">
      <c r="A291" t="s">
        <v>2626</v>
      </c>
      <c r="B291" t="s">
        <v>46</v>
      </c>
      <c r="C291" t="s">
        <v>549</v>
      </c>
      <c r="D291" t="s">
        <v>645</v>
      </c>
      <c r="E291" s="1">
        <v>45555</v>
      </c>
      <c r="F291" s="1">
        <v>45559</v>
      </c>
      <c r="G291" s="1">
        <v>45582</v>
      </c>
      <c r="H291" t="s">
        <v>11</v>
      </c>
      <c r="I291">
        <v>3304.52</v>
      </c>
      <c r="J291" t="s">
        <v>683</v>
      </c>
      <c r="K291">
        <v>23</v>
      </c>
    </row>
    <row r="292" spans="1:11" x14ac:dyDescent="0.35">
      <c r="A292" t="s">
        <v>1054</v>
      </c>
      <c r="B292" t="s">
        <v>171</v>
      </c>
      <c r="C292" t="s">
        <v>591</v>
      </c>
      <c r="D292" t="s">
        <v>645</v>
      </c>
      <c r="E292" s="1">
        <v>44927</v>
      </c>
      <c r="F292" s="1">
        <v>44929</v>
      </c>
      <c r="G292" s="1">
        <v>44949</v>
      </c>
      <c r="H292" t="s">
        <v>8</v>
      </c>
      <c r="I292">
        <v>3297.2</v>
      </c>
      <c r="J292" t="s">
        <v>683</v>
      </c>
      <c r="K292">
        <v>20</v>
      </c>
    </row>
    <row r="293" spans="1:11" x14ac:dyDescent="0.35">
      <c r="A293" t="s">
        <v>1065</v>
      </c>
      <c r="B293" t="s">
        <v>481</v>
      </c>
      <c r="C293" t="s">
        <v>601</v>
      </c>
      <c r="D293" t="s">
        <v>645</v>
      </c>
      <c r="E293" s="1">
        <v>45555</v>
      </c>
      <c r="F293" s="1">
        <v>45557</v>
      </c>
      <c r="G293" s="1">
        <v>45586</v>
      </c>
      <c r="H293" t="s">
        <v>8</v>
      </c>
      <c r="I293">
        <v>3294.01</v>
      </c>
      <c r="J293" t="s">
        <v>683</v>
      </c>
      <c r="K293">
        <v>29</v>
      </c>
    </row>
    <row r="294" spans="1:11" x14ac:dyDescent="0.35">
      <c r="A294" t="s">
        <v>1504</v>
      </c>
      <c r="B294" t="s">
        <v>92</v>
      </c>
      <c r="C294" t="s">
        <v>569</v>
      </c>
      <c r="D294" t="s">
        <v>645</v>
      </c>
      <c r="E294" s="1">
        <v>45391</v>
      </c>
      <c r="F294" s="1">
        <v>45392</v>
      </c>
      <c r="G294" s="1">
        <v>45400</v>
      </c>
      <c r="H294" t="s">
        <v>25</v>
      </c>
      <c r="I294">
        <v>3283.87</v>
      </c>
      <c r="J294" t="s">
        <v>687</v>
      </c>
      <c r="K294">
        <v>8</v>
      </c>
    </row>
    <row r="295" spans="1:11" x14ac:dyDescent="0.35">
      <c r="A295" t="s">
        <v>1742</v>
      </c>
      <c r="B295" t="s">
        <v>35</v>
      </c>
      <c r="C295" t="s">
        <v>559</v>
      </c>
      <c r="D295" t="s">
        <v>645</v>
      </c>
      <c r="E295" s="1">
        <v>45189</v>
      </c>
      <c r="F295" s="1">
        <v>45192</v>
      </c>
      <c r="G295" s="1">
        <v>45203</v>
      </c>
      <c r="H295" t="s">
        <v>11</v>
      </c>
      <c r="I295">
        <v>3282.25</v>
      </c>
      <c r="J295" t="s">
        <v>683</v>
      </c>
      <c r="K295">
        <v>11</v>
      </c>
    </row>
    <row r="296" spans="1:11" x14ac:dyDescent="0.35">
      <c r="A296" t="s">
        <v>2218</v>
      </c>
      <c r="B296" t="s">
        <v>92</v>
      </c>
      <c r="C296" t="s">
        <v>607</v>
      </c>
      <c r="D296" t="s">
        <v>645</v>
      </c>
      <c r="E296" s="1">
        <v>45585</v>
      </c>
      <c r="F296" s="1">
        <v>45589</v>
      </c>
      <c r="G296" s="1">
        <v>45619</v>
      </c>
      <c r="H296" t="s">
        <v>25</v>
      </c>
      <c r="I296">
        <v>3277.2</v>
      </c>
      <c r="J296" t="s">
        <v>687</v>
      </c>
      <c r="K296">
        <v>30</v>
      </c>
    </row>
    <row r="297" spans="1:11" x14ac:dyDescent="0.35">
      <c r="A297" t="s">
        <v>2209</v>
      </c>
      <c r="B297" t="s">
        <v>352</v>
      </c>
      <c r="C297" t="s">
        <v>569</v>
      </c>
      <c r="D297" t="s">
        <v>645</v>
      </c>
      <c r="E297" s="1">
        <v>45265</v>
      </c>
      <c r="F297" s="1">
        <v>45266</v>
      </c>
      <c r="G297" s="1">
        <v>45284</v>
      </c>
      <c r="H297" t="s">
        <v>20</v>
      </c>
      <c r="I297">
        <v>3260.04</v>
      </c>
      <c r="J297" t="s">
        <v>683</v>
      </c>
      <c r="K297">
        <v>18</v>
      </c>
    </row>
    <row r="298" spans="1:11" x14ac:dyDescent="0.35">
      <c r="A298" t="s">
        <v>1436</v>
      </c>
      <c r="B298" t="s">
        <v>155</v>
      </c>
      <c r="C298" t="s">
        <v>549</v>
      </c>
      <c r="D298" t="s">
        <v>645</v>
      </c>
      <c r="E298" s="1">
        <v>45342</v>
      </c>
      <c r="F298" s="1">
        <v>45345</v>
      </c>
      <c r="G298" s="1">
        <v>45375</v>
      </c>
      <c r="H298" t="s">
        <v>20</v>
      </c>
      <c r="I298">
        <v>3187.94</v>
      </c>
      <c r="J298" t="s">
        <v>683</v>
      </c>
      <c r="K298">
        <v>30</v>
      </c>
    </row>
    <row r="299" spans="1:11" x14ac:dyDescent="0.35">
      <c r="A299" t="s">
        <v>2002</v>
      </c>
      <c r="B299" t="s">
        <v>308</v>
      </c>
      <c r="C299" t="s">
        <v>567</v>
      </c>
      <c r="D299" t="s">
        <v>645</v>
      </c>
      <c r="E299" s="1">
        <v>45055</v>
      </c>
      <c r="F299" s="1">
        <v>45058</v>
      </c>
      <c r="G299" s="1">
        <v>45064</v>
      </c>
      <c r="H299" t="s">
        <v>25</v>
      </c>
      <c r="I299">
        <v>3172.09</v>
      </c>
      <c r="J299" t="s">
        <v>687</v>
      </c>
      <c r="K299">
        <v>6</v>
      </c>
    </row>
    <row r="300" spans="1:11" x14ac:dyDescent="0.35">
      <c r="A300" t="s">
        <v>1320</v>
      </c>
      <c r="B300" t="s">
        <v>424</v>
      </c>
      <c r="C300" t="s">
        <v>589</v>
      </c>
      <c r="D300" t="s">
        <v>645</v>
      </c>
      <c r="E300" s="1">
        <v>45283</v>
      </c>
      <c r="F300" s="1">
        <v>45285</v>
      </c>
      <c r="G300" s="1">
        <v>45312</v>
      </c>
      <c r="H300" t="s">
        <v>11</v>
      </c>
      <c r="I300">
        <v>3166.71</v>
      </c>
      <c r="J300" t="s">
        <v>683</v>
      </c>
      <c r="K300">
        <v>27</v>
      </c>
    </row>
    <row r="301" spans="1:11" x14ac:dyDescent="0.35">
      <c r="A301" t="s">
        <v>1723</v>
      </c>
      <c r="B301" t="s">
        <v>490</v>
      </c>
      <c r="C301" t="s">
        <v>611</v>
      </c>
      <c r="D301" t="s">
        <v>645</v>
      </c>
      <c r="E301" s="1">
        <v>45584</v>
      </c>
      <c r="F301" s="1">
        <v>45585</v>
      </c>
      <c r="G301" s="1">
        <v>45611</v>
      </c>
      <c r="H301" t="s">
        <v>11</v>
      </c>
      <c r="I301">
        <v>3163.07</v>
      </c>
      <c r="J301" t="s">
        <v>683</v>
      </c>
      <c r="K301">
        <v>26</v>
      </c>
    </row>
    <row r="302" spans="1:11" x14ac:dyDescent="0.35">
      <c r="A302" t="s">
        <v>2423</v>
      </c>
      <c r="B302" t="s">
        <v>59</v>
      </c>
      <c r="C302" t="s">
        <v>605</v>
      </c>
      <c r="D302" t="s">
        <v>645</v>
      </c>
      <c r="E302" s="1">
        <v>45576</v>
      </c>
      <c r="F302" s="1">
        <v>45579</v>
      </c>
      <c r="G302" s="1">
        <v>45599</v>
      </c>
      <c r="H302" t="s">
        <v>25</v>
      </c>
      <c r="I302">
        <v>3156.52</v>
      </c>
      <c r="J302" t="s">
        <v>683</v>
      </c>
      <c r="K302">
        <v>20</v>
      </c>
    </row>
    <row r="303" spans="1:11" x14ac:dyDescent="0.35">
      <c r="A303" t="s">
        <v>1203</v>
      </c>
      <c r="B303" t="s">
        <v>56</v>
      </c>
      <c r="C303" t="s">
        <v>540</v>
      </c>
      <c r="D303" t="s">
        <v>645</v>
      </c>
      <c r="E303" s="1">
        <v>45648</v>
      </c>
      <c r="F303" s="1">
        <v>45650</v>
      </c>
      <c r="G303" s="1">
        <v>45676</v>
      </c>
      <c r="H303" t="s">
        <v>11</v>
      </c>
      <c r="I303">
        <v>3150.97</v>
      </c>
      <c r="J303" t="s">
        <v>683</v>
      </c>
      <c r="K303">
        <v>26</v>
      </c>
    </row>
    <row r="304" spans="1:11" x14ac:dyDescent="0.35">
      <c r="A304" t="s">
        <v>2400</v>
      </c>
      <c r="B304" t="s">
        <v>228</v>
      </c>
      <c r="C304" t="s">
        <v>597</v>
      </c>
      <c r="D304" t="s">
        <v>643</v>
      </c>
      <c r="E304" s="1">
        <v>45606</v>
      </c>
      <c r="F304" s="1">
        <v>45609</v>
      </c>
      <c r="G304" s="1">
        <v>45634</v>
      </c>
      <c r="H304" t="s">
        <v>25</v>
      </c>
      <c r="I304">
        <v>2734.64</v>
      </c>
      <c r="J304" t="s">
        <v>687</v>
      </c>
      <c r="K304">
        <v>25</v>
      </c>
    </row>
    <row r="305" spans="1:11" x14ac:dyDescent="0.35">
      <c r="A305" t="s">
        <v>2596</v>
      </c>
      <c r="B305" t="s">
        <v>483</v>
      </c>
      <c r="C305" t="s">
        <v>534</v>
      </c>
      <c r="D305" t="s">
        <v>643</v>
      </c>
      <c r="E305" s="1">
        <v>45425</v>
      </c>
      <c r="F305" s="1">
        <v>45426</v>
      </c>
      <c r="G305" s="1">
        <v>45434</v>
      </c>
      <c r="H305" t="s">
        <v>11</v>
      </c>
      <c r="I305">
        <v>2720.56</v>
      </c>
      <c r="J305" t="s">
        <v>683</v>
      </c>
      <c r="K305">
        <v>8</v>
      </c>
    </row>
    <row r="306" spans="1:11" x14ac:dyDescent="0.35">
      <c r="A306" t="s">
        <v>1863</v>
      </c>
      <c r="B306" t="s">
        <v>404</v>
      </c>
      <c r="C306" t="s">
        <v>573</v>
      </c>
      <c r="D306" t="s">
        <v>643</v>
      </c>
      <c r="E306" s="1">
        <v>45320</v>
      </c>
      <c r="F306" s="1">
        <v>45322</v>
      </c>
      <c r="G306" s="1">
        <v>45332</v>
      </c>
      <c r="H306" t="s">
        <v>8</v>
      </c>
      <c r="I306">
        <v>2718.61</v>
      </c>
      <c r="J306" t="s">
        <v>683</v>
      </c>
      <c r="K306">
        <v>10</v>
      </c>
    </row>
    <row r="307" spans="1:11" x14ac:dyDescent="0.35">
      <c r="A307" t="s">
        <v>976</v>
      </c>
      <c r="B307" t="s">
        <v>198</v>
      </c>
      <c r="C307" t="s">
        <v>609</v>
      </c>
      <c r="D307" t="s">
        <v>643</v>
      </c>
      <c r="E307" s="1">
        <v>45292</v>
      </c>
      <c r="F307" s="1">
        <v>45294</v>
      </c>
      <c r="G307" s="1">
        <v>45300</v>
      </c>
      <c r="H307" t="s">
        <v>11</v>
      </c>
      <c r="I307">
        <v>2708.71</v>
      </c>
      <c r="J307" t="s">
        <v>683</v>
      </c>
      <c r="K307">
        <v>6</v>
      </c>
    </row>
    <row r="308" spans="1:11" x14ac:dyDescent="0.35">
      <c r="A308" t="s">
        <v>691</v>
      </c>
      <c r="B308" t="s">
        <v>363</v>
      </c>
      <c r="C308" t="s">
        <v>597</v>
      </c>
      <c r="D308" t="s">
        <v>643</v>
      </c>
      <c r="E308" s="1">
        <v>45513</v>
      </c>
      <c r="F308" s="1">
        <v>45516</v>
      </c>
      <c r="G308" s="1">
        <v>45540</v>
      </c>
      <c r="H308" t="s">
        <v>11</v>
      </c>
      <c r="I308">
        <v>2708.48</v>
      </c>
      <c r="J308" t="s">
        <v>683</v>
      </c>
      <c r="K308">
        <v>24</v>
      </c>
    </row>
    <row r="309" spans="1:11" x14ac:dyDescent="0.35">
      <c r="A309" t="s">
        <v>1021</v>
      </c>
      <c r="B309" t="s">
        <v>246</v>
      </c>
      <c r="C309" t="s">
        <v>543</v>
      </c>
      <c r="D309" t="s">
        <v>643</v>
      </c>
      <c r="E309" s="1">
        <v>45514</v>
      </c>
      <c r="F309" s="1">
        <v>45518</v>
      </c>
      <c r="G309" s="1">
        <v>45540</v>
      </c>
      <c r="H309" t="s">
        <v>11</v>
      </c>
      <c r="I309">
        <v>2708.17</v>
      </c>
      <c r="J309" t="s">
        <v>683</v>
      </c>
      <c r="K309">
        <v>22</v>
      </c>
    </row>
    <row r="310" spans="1:11" x14ac:dyDescent="0.35">
      <c r="A310" t="s">
        <v>1872</v>
      </c>
      <c r="B310" t="s">
        <v>470</v>
      </c>
      <c r="C310" t="s">
        <v>546</v>
      </c>
      <c r="D310" t="s">
        <v>643</v>
      </c>
      <c r="E310" s="1">
        <v>44994</v>
      </c>
      <c r="F310" s="1">
        <v>44995</v>
      </c>
      <c r="G310" s="1">
        <v>45005</v>
      </c>
      <c r="H310" t="s">
        <v>11</v>
      </c>
      <c r="I310">
        <v>2697.28</v>
      </c>
      <c r="J310" t="s">
        <v>683</v>
      </c>
      <c r="K310">
        <v>10</v>
      </c>
    </row>
    <row r="311" spans="1:11" x14ac:dyDescent="0.35">
      <c r="A311" t="s">
        <v>2531</v>
      </c>
      <c r="B311" t="s">
        <v>51</v>
      </c>
      <c r="C311" t="s">
        <v>524</v>
      </c>
      <c r="D311" t="s">
        <v>643</v>
      </c>
      <c r="E311" s="1">
        <v>45002</v>
      </c>
      <c r="F311" s="1">
        <v>45005</v>
      </c>
      <c r="G311" s="1"/>
      <c r="H311" t="s">
        <v>13</v>
      </c>
      <c r="I311">
        <v>2690.32</v>
      </c>
      <c r="J311" t="s">
        <v>689</v>
      </c>
    </row>
    <row r="312" spans="1:11" x14ac:dyDescent="0.35">
      <c r="A312" t="s">
        <v>1195</v>
      </c>
      <c r="B312" t="s">
        <v>287</v>
      </c>
      <c r="C312" t="s">
        <v>567</v>
      </c>
      <c r="D312" t="s">
        <v>643</v>
      </c>
      <c r="E312" s="1">
        <v>45088</v>
      </c>
      <c r="F312" s="1">
        <v>45092</v>
      </c>
      <c r="G312" s="1">
        <v>45107</v>
      </c>
      <c r="H312" t="s">
        <v>20</v>
      </c>
      <c r="I312">
        <v>2675.35</v>
      </c>
      <c r="J312" t="s">
        <v>683</v>
      </c>
      <c r="K312">
        <v>15</v>
      </c>
    </row>
    <row r="313" spans="1:11" x14ac:dyDescent="0.35">
      <c r="A313" t="s">
        <v>1097</v>
      </c>
      <c r="B313" t="s">
        <v>267</v>
      </c>
      <c r="C313" t="s">
        <v>585</v>
      </c>
      <c r="D313" t="s">
        <v>643</v>
      </c>
      <c r="E313" s="1">
        <v>45540</v>
      </c>
      <c r="F313" s="1">
        <v>45541</v>
      </c>
      <c r="G313" s="1">
        <v>45551</v>
      </c>
      <c r="H313" t="s">
        <v>25</v>
      </c>
      <c r="I313">
        <v>2665.06</v>
      </c>
      <c r="J313" t="s">
        <v>683</v>
      </c>
      <c r="K313">
        <v>10</v>
      </c>
    </row>
    <row r="314" spans="1:11" x14ac:dyDescent="0.35">
      <c r="A314" t="s">
        <v>1253</v>
      </c>
      <c r="B314" t="s">
        <v>207</v>
      </c>
      <c r="C314" t="s">
        <v>605</v>
      </c>
      <c r="D314" t="s">
        <v>643</v>
      </c>
      <c r="E314" s="1">
        <v>44927</v>
      </c>
      <c r="F314" s="1">
        <v>44930</v>
      </c>
      <c r="G314" s="1">
        <v>44947</v>
      </c>
      <c r="H314" t="s">
        <v>11</v>
      </c>
      <c r="I314">
        <v>2656.99</v>
      </c>
      <c r="J314" t="s">
        <v>683</v>
      </c>
      <c r="K314">
        <v>17</v>
      </c>
    </row>
    <row r="315" spans="1:11" x14ac:dyDescent="0.35">
      <c r="A315" t="s">
        <v>2314</v>
      </c>
      <c r="B315" t="s">
        <v>60</v>
      </c>
      <c r="C315" t="s">
        <v>593</v>
      </c>
      <c r="D315" t="s">
        <v>643</v>
      </c>
      <c r="E315" s="1">
        <v>45512</v>
      </c>
      <c r="F315" s="1">
        <v>45517</v>
      </c>
      <c r="G315" s="1">
        <v>45529</v>
      </c>
      <c r="H315" t="s">
        <v>11</v>
      </c>
      <c r="I315">
        <v>2654.75</v>
      </c>
      <c r="J315" t="s">
        <v>683</v>
      </c>
      <c r="K315">
        <v>12</v>
      </c>
    </row>
    <row r="316" spans="1:11" x14ac:dyDescent="0.35">
      <c r="A316" t="s">
        <v>2566</v>
      </c>
      <c r="B316" t="s">
        <v>457</v>
      </c>
      <c r="C316" t="s">
        <v>571</v>
      </c>
      <c r="D316" t="s">
        <v>643</v>
      </c>
      <c r="E316" s="1">
        <v>45576</v>
      </c>
      <c r="F316" s="1">
        <v>45578</v>
      </c>
      <c r="G316" s="1">
        <v>45582</v>
      </c>
      <c r="H316" t="s">
        <v>11</v>
      </c>
      <c r="I316">
        <v>2651.52</v>
      </c>
      <c r="J316" t="s">
        <v>683</v>
      </c>
      <c r="K316">
        <v>4</v>
      </c>
    </row>
    <row r="317" spans="1:11" x14ac:dyDescent="0.35">
      <c r="A317" t="s">
        <v>1799</v>
      </c>
      <c r="B317" t="s">
        <v>187</v>
      </c>
      <c r="C317" t="s">
        <v>546</v>
      </c>
      <c r="D317" t="s">
        <v>643</v>
      </c>
      <c r="E317" s="1">
        <v>45347</v>
      </c>
      <c r="F317" s="1">
        <v>45349</v>
      </c>
      <c r="G317" s="1">
        <v>45363</v>
      </c>
      <c r="H317" t="s">
        <v>11</v>
      </c>
      <c r="I317">
        <v>2645.46</v>
      </c>
      <c r="J317" t="s">
        <v>683</v>
      </c>
      <c r="K317">
        <v>14</v>
      </c>
    </row>
    <row r="318" spans="1:11" x14ac:dyDescent="0.35">
      <c r="A318" t="s">
        <v>1091</v>
      </c>
      <c r="B318" t="s">
        <v>114</v>
      </c>
      <c r="C318" t="s">
        <v>577</v>
      </c>
      <c r="D318" t="s">
        <v>643</v>
      </c>
      <c r="E318" s="1">
        <v>45433</v>
      </c>
      <c r="F318" s="1">
        <v>45435</v>
      </c>
      <c r="G318" s="1">
        <v>45441</v>
      </c>
      <c r="H318" t="s">
        <v>20</v>
      </c>
      <c r="I318">
        <v>2643</v>
      </c>
      <c r="J318" t="s">
        <v>683</v>
      </c>
      <c r="K318">
        <v>6</v>
      </c>
    </row>
    <row r="319" spans="1:11" x14ac:dyDescent="0.35">
      <c r="A319" t="s">
        <v>2226</v>
      </c>
      <c r="B319" t="s">
        <v>55</v>
      </c>
      <c r="C319" t="s">
        <v>524</v>
      </c>
      <c r="D319" t="s">
        <v>643</v>
      </c>
      <c r="E319" s="1">
        <v>45378</v>
      </c>
      <c r="F319" s="1">
        <v>45380</v>
      </c>
      <c r="G319" s="1">
        <v>45402</v>
      </c>
      <c r="H319" t="s">
        <v>11</v>
      </c>
      <c r="I319">
        <v>2638.06</v>
      </c>
      <c r="J319" t="s">
        <v>683</v>
      </c>
      <c r="K319">
        <v>22</v>
      </c>
    </row>
    <row r="320" spans="1:11" x14ac:dyDescent="0.35">
      <c r="A320" t="s">
        <v>1481</v>
      </c>
      <c r="B320" t="s">
        <v>376</v>
      </c>
      <c r="C320" t="s">
        <v>565</v>
      </c>
      <c r="D320" t="s">
        <v>643</v>
      </c>
      <c r="E320" s="1">
        <v>45443</v>
      </c>
      <c r="F320" s="1">
        <v>45444</v>
      </c>
      <c r="G320" s="1">
        <v>45460</v>
      </c>
      <c r="H320" t="s">
        <v>8</v>
      </c>
      <c r="I320">
        <v>2626.34</v>
      </c>
      <c r="J320" t="s">
        <v>687</v>
      </c>
      <c r="K320">
        <v>16</v>
      </c>
    </row>
    <row r="321" spans="1:11" x14ac:dyDescent="0.35">
      <c r="A321" t="s">
        <v>981</v>
      </c>
      <c r="B321" t="s">
        <v>80</v>
      </c>
      <c r="C321" t="s">
        <v>589</v>
      </c>
      <c r="D321" t="s">
        <v>643</v>
      </c>
      <c r="E321" s="1">
        <v>45055</v>
      </c>
      <c r="F321" s="1">
        <v>45059</v>
      </c>
      <c r="G321" s="1">
        <v>45081</v>
      </c>
      <c r="H321" t="s">
        <v>8</v>
      </c>
      <c r="I321">
        <v>2624.43</v>
      </c>
      <c r="J321" t="s">
        <v>683</v>
      </c>
      <c r="K321">
        <v>22</v>
      </c>
    </row>
    <row r="322" spans="1:11" x14ac:dyDescent="0.35">
      <c r="A322" t="s">
        <v>1545</v>
      </c>
      <c r="B322" t="s">
        <v>156</v>
      </c>
      <c r="C322" t="s">
        <v>609</v>
      </c>
      <c r="D322" t="s">
        <v>643</v>
      </c>
      <c r="E322" s="1">
        <v>45089</v>
      </c>
      <c r="F322" s="1">
        <v>45092</v>
      </c>
      <c r="G322" s="1">
        <v>45104</v>
      </c>
      <c r="H322" t="s">
        <v>25</v>
      </c>
      <c r="I322">
        <v>2621.62</v>
      </c>
      <c r="J322" t="s">
        <v>687</v>
      </c>
      <c r="K322">
        <v>12</v>
      </c>
    </row>
    <row r="323" spans="1:11" x14ac:dyDescent="0.35">
      <c r="A323" t="s">
        <v>1571</v>
      </c>
      <c r="B323" t="s">
        <v>159</v>
      </c>
      <c r="C323" t="s">
        <v>571</v>
      </c>
      <c r="D323" t="s">
        <v>643</v>
      </c>
      <c r="E323" s="1">
        <v>45629</v>
      </c>
      <c r="F323" s="1">
        <v>45631</v>
      </c>
      <c r="G323" s="1">
        <v>45635</v>
      </c>
      <c r="H323" t="s">
        <v>11</v>
      </c>
      <c r="I323">
        <v>2608.5</v>
      </c>
      <c r="J323" t="s">
        <v>687</v>
      </c>
      <c r="K323">
        <v>4</v>
      </c>
    </row>
    <row r="324" spans="1:11" x14ac:dyDescent="0.35">
      <c r="A324" t="s">
        <v>2140</v>
      </c>
      <c r="B324" t="s">
        <v>383</v>
      </c>
      <c r="C324" t="s">
        <v>553</v>
      </c>
      <c r="D324" t="s">
        <v>643</v>
      </c>
      <c r="E324" s="1">
        <v>45088</v>
      </c>
      <c r="F324" s="1">
        <v>45092</v>
      </c>
      <c r="G324" s="1">
        <v>45117</v>
      </c>
      <c r="H324" t="s">
        <v>8</v>
      </c>
      <c r="I324">
        <v>2604.2600000000002</v>
      </c>
      <c r="J324" t="s">
        <v>683</v>
      </c>
      <c r="K324">
        <v>25</v>
      </c>
    </row>
    <row r="325" spans="1:11" x14ac:dyDescent="0.35">
      <c r="A325" t="s">
        <v>2181</v>
      </c>
      <c r="B325" t="s">
        <v>46</v>
      </c>
      <c r="C325" t="s">
        <v>563</v>
      </c>
      <c r="D325" t="s">
        <v>643</v>
      </c>
      <c r="E325" s="1">
        <v>45234</v>
      </c>
      <c r="F325" s="1">
        <v>45239</v>
      </c>
      <c r="G325" s="1">
        <v>45261</v>
      </c>
      <c r="H325" t="s">
        <v>11</v>
      </c>
      <c r="I325">
        <v>2600.6</v>
      </c>
      <c r="J325" t="s">
        <v>683</v>
      </c>
      <c r="K325">
        <v>22</v>
      </c>
    </row>
    <row r="326" spans="1:11" x14ac:dyDescent="0.35">
      <c r="A326" t="s">
        <v>1625</v>
      </c>
      <c r="B326" t="s">
        <v>256</v>
      </c>
      <c r="C326" t="s">
        <v>524</v>
      </c>
      <c r="D326" t="s">
        <v>643</v>
      </c>
      <c r="E326" s="1">
        <v>45652</v>
      </c>
      <c r="F326" s="1">
        <v>45654</v>
      </c>
      <c r="G326" s="1"/>
      <c r="H326" t="s">
        <v>8</v>
      </c>
      <c r="I326">
        <v>2592.21</v>
      </c>
      <c r="J326" t="s">
        <v>689</v>
      </c>
    </row>
    <row r="327" spans="1:11" x14ac:dyDescent="0.35">
      <c r="A327" t="s">
        <v>2615</v>
      </c>
      <c r="B327" t="s">
        <v>276</v>
      </c>
      <c r="C327" t="s">
        <v>583</v>
      </c>
      <c r="D327" t="s">
        <v>643</v>
      </c>
      <c r="E327" s="1">
        <v>45240</v>
      </c>
      <c r="F327" s="1">
        <v>45243</v>
      </c>
      <c r="G327" s="1">
        <v>45258</v>
      </c>
      <c r="H327" t="s">
        <v>20</v>
      </c>
      <c r="I327">
        <v>2545.12</v>
      </c>
      <c r="J327" t="s">
        <v>683</v>
      </c>
      <c r="K327">
        <v>15</v>
      </c>
    </row>
    <row r="328" spans="1:11" x14ac:dyDescent="0.35">
      <c r="A328" t="s">
        <v>1048</v>
      </c>
      <c r="B328" t="s">
        <v>480</v>
      </c>
      <c r="C328" t="s">
        <v>553</v>
      </c>
      <c r="D328" t="s">
        <v>643</v>
      </c>
      <c r="E328" s="1">
        <v>45082</v>
      </c>
      <c r="F328" s="1">
        <v>45084</v>
      </c>
      <c r="G328" s="1">
        <v>45093</v>
      </c>
      <c r="H328" t="s">
        <v>11</v>
      </c>
      <c r="I328">
        <v>2530.08</v>
      </c>
      <c r="J328" t="s">
        <v>683</v>
      </c>
      <c r="K328">
        <v>9</v>
      </c>
    </row>
    <row r="329" spans="1:11" x14ac:dyDescent="0.35">
      <c r="A329" t="s">
        <v>1866</v>
      </c>
      <c r="B329" t="s">
        <v>353</v>
      </c>
      <c r="C329" t="s">
        <v>587</v>
      </c>
      <c r="D329" t="s">
        <v>643</v>
      </c>
      <c r="E329" s="1">
        <v>45265</v>
      </c>
      <c r="F329" s="1">
        <v>45269</v>
      </c>
      <c r="G329" s="1"/>
      <c r="H329" t="s">
        <v>20</v>
      </c>
      <c r="I329">
        <v>2522.16</v>
      </c>
      <c r="J329" t="s">
        <v>689</v>
      </c>
    </row>
    <row r="330" spans="1:11" x14ac:dyDescent="0.35">
      <c r="A330" t="s">
        <v>861</v>
      </c>
      <c r="B330" t="s">
        <v>272</v>
      </c>
      <c r="C330" t="s">
        <v>609</v>
      </c>
      <c r="D330" t="s">
        <v>643</v>
      </c>
      <c r="E330" s="1">
        <v>45087</v>
      </c>
      <c r="F330" s="1">
        <v>45090</v>
      </c>
      <c r="G330" s="1">
        <v>45098</v>
      </c>
      <c r="H330" t="s">
        <v>11</v>
      </c>
      <c r="I330">
        <v>2480.4</v>
      </c>
      <c r="J330" t="s">
        <v>687</v>
      </c>
      <c r="K330">
        <v>8</v>
      </c>
    </row>
    <row r="331" spans="1:11" x14ac:dyDescent="0.35">
      <c r="A331" t="s">
        <v>1820</v>
      </c>
      <c r="B331" t="s">
        <v>213</v>
      </c>
      <c r="C331" t="s">
        <v>603</v>
      </c>
      <c r="D331" t="s">
        <v>643</v>
      </c>
      <c r="E331" s="1">
        <v>45257</v>
      </c>
      <c r="F331" s="1">
        <v>45260</v>
      </c>
      <c r="G331" s="1">
        <v>45283</v>
      </c>
      <c r="H331" t="s">
        <v>8</v>
      </c>
      <c r="I331">
        <v>2477.9</v>
      </c>
      <c r="J331" t="s">
        <v>683</v>
      </c>
      <c r="K331">
        <v>23</v>
      </c>
    </row>
    <row r="332" spans="1:11" x14ac:dyDescent="0.35">
      <c r="A332" t="s">
        <v>1724</v>
      </c>
      <c r="B332" t="s">
        <v>36</v>
      </c>
      <c r="C332" t="s">
        <v>563</v>
      </c>
      <c r="D332" t="s">
        <v>643</v>
      </c>
      <c r="E332" s="1">
        <v>45153</v>
      </c>
      <c r="F332" s="1">
        <v>45156</v>
      </c>
      <c r="G332" s="1">
        <v>45174</v>
      </c>
      <c r="H332" t="s">
        <v>11</v>
      </c>
      <c r="I332">
        <v>2459.5100000000002</v>
      </c>
      <c r="J332" t="s">
        <v>683</v>
      </c>
      <c r="K332">
        <v>18</v>
      </c>
    </row>
    <row r="333" spans="1:11" x14ac:dyDescent="0.35">
      <c r="A333" t="s">
        <v>1307</v>
      </c>
      <c r="B333" t="s">
        <v>130</v>
      </c>
      <c r="C333" t="s">
        <v>524</v>
      </c>
      <c r="D333" t="s">
        <v>643</v>
      </c>
      <c r="E333" s="1">
        <v>45555</v>
      </c>
      <c r="F333" s="1">
        <v>45557</v>
      </c>
      <c r="G333" s="1">
        <v>45569</v>
      </c>
      <c r="H333" t="s">
        <v>8</v>
      </c>
      <c r="I333">
        <v>2446.39</v>
      </c>
      <c r="J333" t="s">
        <v>687</v>
      </c>
      <c r="K333">
        <v>12</v>
      </c>
    </row>
    <row r="334" spans="1:11" x14ac:dyDescent="0.35">
      <c r="A334" t="s">
        <v>2110</v>
      </c>
      <c r="B334" t="s">
        <v>431</v>
      </c>
      <c r="C334" t="s">
        <v>524</v>
      </c>
      <c r="D334" t="s">
        <v>643</v>
      </c>
      <c r="E334" s="1">
        <v>45268</v>
      </c>
      <c r="F334" s="1">
        <v>45273</v>
      </c>
      <c r="G334" s="1">
        <v>45303</v>
      </c>
      <c r="H334" t="s">
        <v>20</v>
      </c>
      <c r="I334">
        <v>2445.2800000000002</v>
      </c>
      <c r="J334" t="s">
        <v>683</v>
      </c>
      <c r="K334">
        <v>30</v>
      </c>
    </row>
    <row r="335" spans="1:11" x14ac:dyDescent="0.35">
      <c r="A335" t="s">
        <v>997</v>
      </c>
      <c r="B335" t="s">
        <v>420</v>
      </c>
      <c r="C335" t="s">
        <v>601</v>
      </c>
      <c r="D335" t="s">
        <v>643</v>
      </c>
      <c r="E335" s="1">
        <v>45122</v>
      </c>
      <c r="F335" s="1">
        <v>45125</v>
      </c>
      <c r="G335" s="1">
        <v>45130</v>
      </c>
      <c r="H335" t="s">
        <v>20</v>
      </c>
      <c r="I335">
        <v>2430.7399999999998</v>
      </c>
      <c r="J335" t="s">
        <v>687</v>
      </c>
      <c r="K335">
        <v>5</v>
      </c>
    </row>
    <row r="336" spans="1:11" x14ac:dyDescent="0.35">
      <c r="A336" t="s">
        <v>751</v>
      </c>
      <c r="B336" t="s">
        <v>348</v>
      </c>
      <c r="C336" t="s">
        <v>557</v>
      </c>
      <c r="D336" t="s">
        <v>643</v>
      </c>
      <c r="E336" s="1">
        <v>45402</v>
      </c>
      <c r="F336" s="1">
        <v>45406</v>
      </c>
      <c r="G336" s="1">
        <v>45416</v>
      </c>
      <c r="H336" t="s">
        <v>8</v>
      </c>
      <c r="I336">
        <v>2419.14</v>
      </c>
      <c r="J336" t="s">
        <v>683</v>
      </c>
      <c r="K336">
        <v>10</v>
      </c>
    </row>
    <row r="337" spans="1:11" x14ac:dyDescent="0.35">
      <c r="A337" t="s">
        <v>993</v>
      </c>
      <c r="B337" t="s">
        <v>109</v>
      </c>
      <c r="C337" t="s">
        <v>609</v>
      </c>
      <c r="D337" t="s">
        <v>643</v>
      </c>
      <c r="E337" s="1">
        <v>45566</v>
      </c>
      <c r="F337" s="1">
        <v>45567</v>
      </c>
      <c r="G337" s="1">
        <v>45594</v>
      </c>
      <c r="H337" t="s">
        <v>11</v>
      </c>
      <c r="I337">
        <v>2411.4699999999998</v>
      </c>
      <c r="J337" t="s">
        <v>687</v>
      </c>
      <c r="K337">
        <v>27</v>
      </c>
    </row>
    <row r="338" spans="1:11" x14ac:dyDescent="0.35">
      <c r="A338" t="s">
        <v>2136</v>
      </c>
      <c r="B338" t="s">
        <v>357</v>
      </c>
      <c r="C338" t="s">
        <v>599</v>
      </c>
      <c r="D338" t="s">
        <v>643</v>
      </c>
      <c r="E338" s="1">
        <v>45497</v>
      </c>
      <c r="F338" s="1">
        <v>45500</v>
      </c>
      <c r="G338" s="1">
        <v>45529</v>
      </c>
      <c r="H338" t="s">
        <v>8</v>
      </c>
      <c r="I338">
        <v>2410.31</v>
      </c>
      <c r="J338" t="s">
        <v>683</v>
      </c>
      <c r="K338">
        <v>29</v>
      </c>
    </row>
    <row r="339" spans="1:11" x14ac:dyDescent="0.35">
      <c r="A339" t="s">
        <v>1383</v>
      </c>
      <c r="B339" t="s">
        <v>383</v>
      </c>
      <c r="C339" t="s">
        <v>573</v>
      </c>
      <c r="D339" t="s">
        <v>643</v>
      </c>
      <c r="E339" s="1">
        <v>45130</v>
      </c>
      <c r="F339" s="1">
        <v>45131</v>
      </c>
      <c r="G339" s="1">
        <v>45148</v>
      </c>
      <c r="H339" t="s">
        <v>8</v>
      </c>
      <c r="I339">
        <v>2393.87</v>
      </c>
      <c r="J339" t="s">
        <v>683</v>
      </c>
      <c r="K339">
        <v>17</v>
      </c>
    </row>
    <row r="340" spans="1:11" x14ac:dyDescent="0.35">
      <c r="A340" t="s">
        <v>1590</v>
      </c>
      <c r="B340" t="s">
        <v>468</v>
      </c>
      <c r="C340" t="s">
        <v>607</v>
      </c>
      <c r="D340" t="s">
        <v>643</v>
      </c>
      <c r="E340" s="1">
        <v>45454</v>
      </c>
      <c r="F340" s="1">
        <v>45458</v>
      </c>
      <c r="G340" s="1"/>
      <c r="H340" t="s">
        <v>20</v>
      </c>
      <c r="I340">
        <v>2387.9699999999998</v>
      </c>
      <c r="J340" t="s">
        <v>689</v>
      </c>
    </row>
    <row r="341" spans="1:11" x14ac:dyDescent="0.35">
      <c r="A341" t="s">
        <v>1201</v>
      </c>
      <c r="B341" t="s">
        <v>48</v>
      </c>
      <c r="C341" t="s">
        <v>540</v>
      </c>
      <c r="D341" t="s">
        <v>643</v>
      </c>
      <c r="E341" s="1">
        <v>45140</v>
      </c>
      <c r="F341" s="1">
        <v>45141</v>
      </c>
      <c r="G341" s="1">
        <v>45151</v>
      </c>
      <c r="H341" t="s">
        <v>20</v>
      </c>
      <c r="I341">
        <v>2386.14</v>
      </c>
      <c r="J341" t="s">
        <v>683</v>
      </c>
      <c r="K341">
        <v>10</v>
      </c>
    </row>
    <row r="342" spans="1:11" x14ac:dyDescent="0.35">
      <c r="A342" t="s">
        <v>1938</v>
      </c>
      <c r="B342" t="s">
        <v>407</v>
      </c>
      <c r="C342" t="s">
        <v>567</v>
      </c>
      <c r="D342" t="s">
        <v>643</v>
      </c>
      <c r="E342" s="1">
        <v>45258</v>
      </c>
      <c r="F342" s="1">
        <v>45259</v>
      </c>
      <c r="G342" s="1">
        <v>45263</v>
      </c>
      <c r="H342" t="s">
        <v>8</v>
      </c>
      <c r="I342">
        <v>2380.54</v>
      </c>
      <c r="J342" t="s">
        <v>683</v>
      </c>
      <c r="K342">
        <v>4</v>
      </c>
    </row>
    <row r="343" spans="1:11" x14ac:dyDescent="0.35">
      <c r="A343" t="s">
        <v>2190</v>
      </c>
      <c r="B343" t="s">
        <v>314</v>
      </c>
      <c r="C343" t="s">
        <v>534</v>
      </c>
      <c r="D343" t="s">
        <v>643</v>
      </c>
      <c r="E343" s="1">
        <v>45109</v>
      </c>
      <c r="F343" s="1">
        <v>45110</v>
      </c>
      <c r="G343" s="1">
        <v>45131</v>
      </c>
      <c r="H343" t="s">
        <v>8</v>
      </c>
      <c r="I343">
        <v>2361.6999999999998</v>
      </c>
      <c r="J343" t="s">
        <v>683</v>
      </c>
      <c r="K343">
        <v>21</v>
      </c>
    </row>
    <row r="344" spans="1:11" x14ac:dyDescent="0.35">
      <c r="A344" t="s">
        <v>2493</v>
      </c>
      <c r="B344" t="s">
        <v>224</v>
      </c>
      <c r="C344" t="s">
        <v>567</v>
      </c>
      <c r="D344" t="s">
        <v>643</v>
      </c>
      <c r="E344" s="1">
        <v>45521</v>
      </c>
      <c r="F344" s="1">
        <v>45526</v>
      </c>
      <c r="G344" s="1">
        <v>45544</v>
      </c>
      <c r="H344" t="s">
        <v>11</v>
      </c>
      <c r="I344">
        <v>2353.44</v>
      </c>
      <c r="J344" t="s">
        <v>687</v>
      </c>
      <c r="K344">
        <v>18</v>
      </c>
    </row>
    <row r="345" spans="1:11" x14ac:dyDescent="0.35">
      <c r="A345" t="s">
        <v>2108</v>
      </c>
      <c r="B345" t="s">
        <v>357</v>
      </c>
      <c r="C345" t="s">
        <v>524</v>
      </c>
      <c r="D345" t="s">
        <v>643</v>
      </c>
      <c r="E345" s="1">
        <v>45310</v>
      </c>
      <c r="F345" s="1">
        <v>45315</v>
      </c>
      <c r="G345" s="1">
        <v>45336</v>
      </c>
      <c r="H345" t="s">
        <v>8</v>
      </c>
      <c r="I345">
        <v>2331.91</v>
      </c>
      <c r="J345" t="s">
        <v>683</v>
      </c>
      <c r="K345">
        <v>21</v>
      </c>
    </row>
    <row r="346" spans="1:11" x14ac:dyDescent="0.35">
      <c r="A346" t="s">
        <v>1458</v>
      </c>
      <c r="B346" t="s">
        <v>260</v>
      </c>
      <c r="C346" t="s">
        <v>583</v>
      </c>
      <c r="D346" t="s">
        <v>643</v>
      </c>
      <c r="E346" s="1">
        <v>45030</v>
      </c>
      <c r="F346" s="1">
        <v>45032</v>
      </c>
      <c r="G346" s="1">
        <v>45040</v>
      </c>
      <c r="H346" t="s">
        <v>25</v>
      </c>
      <c r="I346">
        <v>2329.0100000000002</v>
      </c>
      <c r="J346" t="s">
        <v>683</v>
      </c>
      <c r="K346">
        <v>8</v>
      </c>
    </row>
    <row r="347" spans="1:11" x14ac:dyDescent="0.35">
      <c r="A347" t="s">
        <v>1224</v>
      </c>
      <c r="B347" t="s">
        <v>455</v>
      </c>
      <c r="C347" t="s">
        <v>569</v>
      </c>
      <c r="D347" t="s">
        <v>643</v>
      </c>
      <c r="E347" s="1">
        <v>45228</v>
      </c>
      <c r="F347" s="1">
        <v>45229</v>
      </c>
      <c r="G347" s="1"/>
      <c r="H347" t="s">
        <v>13</v>
      </c>
      <c r="I347">
        <v>2307.52</v>
      </c>
      <c r="J347" t="s">
        <v>689</v>
      </c>
    </row>
    <row r="348" spans="1:11" x14ac:dyDescent="0.35">
      <c r="A348" t="s">
        <v>1326</v>
      </c>
      <c r="B348" t="s">
        <v>295</v>
      </c>
      <c r="C348" t="s">
        <v>595</v>
      </c>
      <c r="D348" t="s">
        <v>643</v>
      </c>
      <c r="E348" s="1">
        <v>45205</v>
      </c>
      <c r="F348" s="1">
        <v>45208</v>
      </c>
      <c r="G348" s="1">
        <v>45217</v>
      </c>
      <c r="H348" t="s">
        <v>8</v>
      </c>
      <c r="I348">
        <v>2304.2600000000002</v>
      </c>
      <c r="J348" t="s">
        <v>683</v>
      </c>
      <c r="K348">
        <v>9</v>
      </c>
    </row>
    <row r="349" spans="1:11" x14ac:dyDescent="0.35">
      <c r="A349" t="s">
        <v>2081</v>
      </c>
      <c r="B349" t="s">
        <v>354</v>
      </c>
      <c r="C349" t="s">
        <v>557</v>
      </c>
      <c r="D349" t="s">
        <v>643</v>
      </c>
      <c r="E349" s="1">
        <v>45462</v>
      </c>
      <c r="F349" s="1">
        <v>45463</v>
      </c>
      <c r="G349" s="1">
        <v>45490</v>
      </c>
      <c r="H349" t="s">
        <v>11</v>
      </c>
      <c r="I349">
        <v>2301.96</v>
      </c>
      <c r="J349" t="s">
        <v>683</v>
      </c>
      <c r="K349">
        <v>27</v>
      </c>
    </row>
    <row r="350" spans="1:11" x14ac:dyDescent="0.35">
      <c r="A350" t="s">
        <v>894</v>
      </c>
      <c r="B350" t="s">
        <v>307</v>
      </c>
      <c r="C350" t="s">
        <v>527</v>
      </c>
      <c r="D350" t="s">
        <v>643</v>
      </c>
      <c r="E350" s="1">
        <v>45361</v>
      </c>
      <c r="F350" s="1">
        <v>45366</v>
      </c>
      <c r="G350" s="1">
        <v>45392</v>
      </c>
      <c r="H350" t="s">
        <v>8</v>
      </c>
      <c r="I350">
        <v>2300.15</v>
      </c>
      <c r="J350" t="s">
        <v>683</v>
      </c>
      <c r="K350">
        <v>26</v>
      </c>
    </row>
    <row r="351" spans="1:11" x14ac:dyDescent="0.35">
      <c r="A351" t="s">
        <v>2063</v>
      </c>
      <c r="B351" t="s">
        <v>452</v>
      </c>
      <c r="C351" t="s">
        <v>555</v>
      </c>
      <c r="D351" t="s">
        <v>643</v>
      </c>
      <c r="E351" s="1">
        <v>45479</v>
      </c>
      <c r="F351" s="1">
        <v>45483</v>
      </c>
      <c r="G351" s="1">
        <v>45502</v>
      </c>
      <c r="H351" t="s">
        <v>11</v>
      </c>
      <c r="I351">
        <v>2290.23</v>
      </c>
      <c r="J351" t="s">
        <v>683</v>
      </c>
      <c r="K351">
        <v>19</v>
      </c>
    </row>
    <row r="352" spans="1:11" x14ac:dyDescent="0.35">
      <c r="A352" t="s">
        <v>1379</v>
      </c>
      <c r="B352" t="s">
        <v>329</v>
      </c>
      <c r="C352" t="s">
        <v>565</v>
      </c>
      <c r="D352" t="s">
        <v>643</v>
      </c>
      <c r="E352" s="1">
        <v>45318</v>
      </c>
      <c r="F352" s="1">
        <v>45320</v>
      </c>
      <c r="G352" s="1">
        <v>45333</v>
      </c>
      <c r="H352" t="s">
        <v>13</v>
      </c>
      <c r="I352">
        <v>2283.98</v>
      </c>
      <c r="J352" t="s">
        <v>683</v>
      </c>
      <c r="K352">
        <v>13</v>
      </c>
    </row>
    <row r="353" spans="1:11" x14ac:dyDescent="0.35">
      <c r="A353" t="s">
        <v>1738</v>
      </c>
      <c r="B353" t="s">
        <v>400</v>
      </c>
      <c r="C353" t="s">
        <v>599</v>
      </c>
      <c r="D353" t="s">
        <v>643</v>
      </c>
      <c r="E353" s="1">
        <v>45547</v>
      </c>
      <c r="F353" s="1">
        <v>45548</v>
      </c>
      <c r="G353" s="1">
        <v>45567</v>
      </c>
      <c r="H353" t="s">
        <v>25</v>
      </c>
      <c r="I353">
        <v>2261.12</v>
      </c>
      <c r="J353" t="s">
        <v>683</v>
      </c>
      <c r="K353">
        <v>19</v>
      </c>
    </row>
    <row r="354" spans="1:11" x14ac:dyDescent="0.35">
      <c r="A354" t="s">
        <v>740</v>
      </c>
      <c r="B354" t="s">
        <v>403</v>
      </c>
      <c r="C354" t="s">
        <v>571</v>
      </c>
      <c r="D354" t="s">
        <v>643</v>
      </c>
      <c r="E354" s="1">
        <v>44945</v>
      </c>
      <c r="F354" s="1">
        <v>44946</v>
      </c>
      <c r="G354" s="1">
        <v>44966</v>
      </c>
      <c r="H354" t="s">
        <v>8</v>
      </c>
      <c r="I354">
        <v>2253.35</v>
      </c>
      <c r="J354" t="s">
        <v>683</v>
      </c>
      <c r="K354">
        <v>20</v>
      </c>
    </row>
    <row r="355" spans="1:11" x14ac:dyDescent="0.35">
      <c r="A355" t="s">
        <v>1008</v>
      </c>
      <c r="B355" t="s">
        <v>36</v>
      </c>
      <c r="C355" t="s">
        <v>561</v>
      </c>
      <c r="D355" t="s">
        <v>643</v>
      </c>
      <c r="E355" s="1">
        <v>45360</v>
      </c>
      <c r="F355" s="1">
        <v>45365</v>
      </c>
      <c r="G355" s="1">
        <v>45369</v>
      </c>
      <c r="H355" t="s">
        <v>11</v>
      </c>
      <c r="I355">
        <v>2250.25</v>
      </c>
      <c r="J355" t="s">
        <v>683</v>
      </c>
      <c r="K355">
        <v>4</v>
      </c>
    </row>
    <row r="356" spans="1:11" x14ac:dyDescent="0.35">
      <c r="A356" t="s">
        <v>2049</v>
      </c>
      <c r="B356" t="s">
        <v>372</v>
      </c>
      <c r="C356" t="s">
        <v>537</v>
      </c>
      <c r="D356" t="s">
        <v>643</v>
      </c>
      <c r="E356" s="1">
        <v>45125</v>
      </c>
      <c r="F356" s="1">
        <v>45126</v>
      </c>
      <c r="G356" s="1">
        <v>45140</v>
      </c>
      <c r="H356" t="s">
        <v>13</v>
      </c>
      <c r="I356">
        <v>2245.27</v>
      </c>
      <c r="J356" t="s">
        <v>683</v>
      </c>
      <c r="K356">
        <v>14</v>
      </c>
    </row>
    <row r="357" spans="1:11" x14ac:dyDescent="0.35">
      <c r="A357" t="s">
        <v>2290</v>
      </c>
      <c r="B357" t="s">
        <v>165</v>
      </c>
      <c r="C357" t="s">
        <v>573</v>
      </c>
      <c r="D357" t="s">
        <v>643</v>
      </c>
      <c r="E357" s="1">
        <v>45595</v>
      </c>
      <c r="F357" s="1">
        <v>45598</v>
      </c>
      <c r="G357" s="1">
        <v>45610</v>
      </c>
      <c r="H357" t="s">
        <v>25</v>
      </c>
      <c r="I357">
        <v>2243.54</v>
      </c>
      <c r="J357" t="s">
        <v>683</v>
      </c>
      <c r="K357">
        <v>12</v>
      </c>
    </row>
    <row r="358" spans="1:11" x14ac:dyDescent="0.35">
      <c r="A358" t="s">
        <v>1257</v>
      </c>
      <c r="B358" t="s">
        <v>69</v>
      </c>
      <c r="C358" t="s">
        <v>573</v>
      </c>
      <c r="D358" t="s">
        <v>643</v>
      </c>
      <c r="E358" s="1">
        <v>45258</v>
      </c>
      <c r="F358" s="1">
        <v>45260</v>
      </c>
      <c r="G358" s="1">
        <v>45280</v>
      </c>
      <c r="H358" t="s">
        <v>25</v>
      </c>
      <c r="I358">
        <v>2243.29</v>
      </c>
      <c r="J358" t="s">
        <v>683</v>
      </c>
      <c r="K358">
        <v>20</v>
      </c>
    </row>
    <row r="359" spans="1:11" x14ac:dyDescent="0.35">
      <c r="A359" t="s">
        <v>1778</v>
      </c>
      <c r="B359" t="s">
        <v>255</v>
      </c>
      <c r="C359" t="s">
        <v>589</v>
      </c>
      <c r="D359" t="s">
        <v>643</v>
      </c>
      <c r="E359" s="1">
        <v>45108</v>
      </c>
      <c r="F359" s="1">
        <v>45111</v>
      </c>
      <c r="G359" s="1">
        <v>45126</v>
      </c>
      <c r="H359" t="s">
        <v>20</v>
      </c>
      <c r="I359">
        <v>2240.0700000000002</v>
      </c>
      <c r="J359" t="s">
        <v>683</v>
      </c>
      <c r="K359">
        <v>15</v>
      </c>
    </row>
    <row r="360" spans="1:11" x14ac:dyDescent="0.35">
      <c r="A360" t="s">
        <v>2468</v>
      </c>
      <c r="B360" t="s">
        <v>248</v>
      </c>
      <c r="C360" t="s">
        <v>549</v>
      </c>
      <c r="D360" t="s">
        <v>641</v>
      </c>
      <c r="E360" s="1">
        <v>45065</v>
      </c>
      <c r="F360" s="1">
        <v>45066</v>
      </c>
      <c r="G360" s="1">
        <v>45075</v>
      </c>
      <c r="H360" t="s">
        <v>11</v>
      </c>
      <c r="I360">
        <v>2235.96</v>
      </c>
      <c r="J360" t="s">
        <v>683</v>
      </c>
      <c r="K360">
        <v>9</v>
      </c>
    </row>
    <row r="361" spans="1:11" x14ac:dyDescent="0.35">
      <c r="A361" t="s">
        <v>2426</v>
      </c>
      <c r="B361" t="s">
        <v>516</v>
      </c>
      <c r="C361" t="s">
        <v>531</v>
      </c>
      <c r="D361" t="s">
        <v>643</v>
      </c>
      <c r="E361" s="1">
        <v>45565</v>
      </c>
      <c r="F361" s="1">
        <v>45569</v>
      </c>
      <c r="G361" s="1"/>
      <c r="H361" t="s">
        <v>8</v>
      </c>
      <c r="I361">
        <v>2228.4699999999998</v>
      </c>
      <c r="J361" t="s">
        <v>689</v>
      </c>
    </row>
    <row r="362" spans="1:11" x14ac:dyDescent="0.35">
      <c r="A362" t="s">
        <v>1617</v>
      </c>
      <c r="B362" t="s">
        <v>72</v>
      </c>
      <c r="C362" t="s">
        <v>611</v>
      </c>
      <c r="D362" t="s">
        <v>643</v>
      </c>
      <c r="E362" s="1">
        <v>45159</v>
      </c>
      <c r="F362" s="1">
        <v>45164</v>
      </c>
      <c r="G362" s="1"/>
      <c r="H362" t="s">
        <v>20</v>
      </c>
      <c r="I362">
        <v>2213.87</v>
      </c>
      <c r="J362" t="s">
        <v>689</v>
      </c>
    </row>
    <row r="363" spans="1:11" x14ac:dyDescent="0.35">
      <c r="A363" t="s">
        <v>2415</v>
      </c>
      <c r="B363" t="s">
        <v>457</v>
      </c>
      <c r="C363" t="s">
        <v>603</v>
      </c>
      <c r="D363" t="s">
        <v>643</v>
      </c>
      <c r="E363" s="1">
        <v>45240</v>
      </c>
      <c r="F363" s="1">
        <v>45244</v>
      </c>
      <c r="G363" s="1">
        <v>45273</v>
      </c>
      <c r="H363" t="s">
        <v>11</v>
      </c>
      <c r="I363">
        <v>2213.66</v>
      </c>
      <c r="J363" t="s">
        <v>683</v>
      </c>
      <c r="K363">
        <v>29</v>
      </c>
    </row>
    <row r="364" spans="1:11" x14ac:dyDescent="0.35">
      <c r="A364" t="s">
        <v>688</v>
      </c>
      <c r="B364" t="s">
        <v>123</v>
      </c>
      <c r="C364" t="s">
        <v>607</v>
      </c>
      <c r="D364" t="s">
        <v>641</v>
      </c>
      <c r="E364" s="1">
        <v>45303</v>
      </c>
      <c r="F364" s="1">
        <v>45308</v>
      </c>
      <c r="G364" s="1"/>
      <c r="H364" t="s">
        <v>8</v>
      </c>
      <c r="I364">
        <v>2210.75</v>
      </c>
      <c r="J364" t="s">
        <v>689</v>
      </c>
    </row>
    <row r="365" spans="1:11" x14ac:dyDescent="0.35">
      <c r="A365" t="s">
        <v>1644</v>
      </c>
      <c r="B365" t="s">
        <v>397</v>
      </c>
      <c r="C365" t="s">
        <v>611</v>
      </c>
      <c r="D365" t="s">
        <v>643</v>
      </c>
      <c r="E365" s="1">
        <v>45334</v>
      </c>
      <c r="F365" s="1">
        <v>45339</v>
      </c>
      <c r="G365" s="1">
        <v>45347</v>
      </c>
      <c r="H365" t="s">
        <v>11</v>
      </c>
      <c r="I365">
        <v>2209.81</v>
      </c>
      <c r="J365" t="s">
        <v>683</v>
      </c>
      <c r="K365">
        <v>8</v>
      </c>
    </row>
    <row r="366" spans="1:11" x14ac:dyDescent="0.35">
      <c r="A366" t="s">
        <v>1188</v>
      </c>
      <c r="B366" t="s">
        <v>34</v>
      </c>
      <c r="C366" t="s">
        <v>557</v>
      </c>
      <c r="D366" t="s">
        <v>641</v>
      </c>
      <c r="E366" s="1">
        <v>45274</v>
      </c>
      <c r="F366" s="1">
        <v>45278</v>
      </c>
      <c r="G366" s="1">
        <v>45293</v>
      </c>
      <c r="H366" t="s">
        <v>11</v>
      </c>
      <c r="I366">
        <v>2201.0500000000002</v>
      </c>
      <c r="J366" t="s">
        <v>683</v>
      </c>
      <c r="K366">
        <v>15</v>
      </c>
    </row>
    <row r="367" spans="1:11" x14ac:dyDescent="0.35">
      <c r="A367" t="s">
        <v>2043</v>
      </c>
      <c r="B367" t="s">
        <v>422</v>
      </c>
      <c r="C367" t="s">
        <v>565</v>
      </c>
      <c r="D367" t="s">
        <v>643</v>
      </c>
      <c r="E367" s="1">
        <v>45025</v>
      </c>
      <c r="F367" s="1">
        <v>45030</v>
      </c>
      <c r="G367" s="1">
        <v>45051</v>
      </c>
      <c r="H367" t="s">
        <v>11</v>
      </c>
      <c r="I367">
        <v>2200.89</v>
      </c>
      <c r="J367" t="s">
        <v>683</v>
      </c>
      <c r="K367">
        <v>21</v>
      </c>
    </row>
    <row r="368" spans="1:11" x14ac:dyDescent="0.35">
      <c r="A368" t="s">
        <v>2021</v>
      </c>
      <c r="B368" t="s">
        <v>211</v>
      </c>
      <c r="C368" t="s">
        <v>575</v>
      </c>
      <c r="D368" t="s">
        <v>641</v>
      </c>
      <c r="E368" s="1">
        <v>45017</v>
      </c>
      <c r="F368" s="1">
        <v>45020</v>
      </c>
      <c r="G368" s="1">
        <v>45045</v>
      </c>
      <c r="H368" t="s">
        <v>11</v>
      </c>
      <c r="I368">
        <v>2196.19</v>
      </c>
      <c r="J368" t="s">
        <v>683</v>
      </c>
      <c r="K368">
        <v>25</v>
      </c>
    </row>
    <row r="369" spans="1:11" x14ac:dyDescent="0.35">
      <c r="A369" t="s">
        <v>2082</v>
      </c>
      <c r="B369" t="s">
        <v>16</v>
      </c>
      <c r="C369" t="s">
        <v>569</v>
      </c>
      <c r="D369" t="s">
        <v>641</v>
      </c>
      <c r="E369" s="1">
        <v>45462</v>
      </c>
      <c r="F369" s="1">
        <v>45464</v>
      </c>
      <c r="G369" s="1">
        <v>45492</v>
      </c>
      <c r="H369" t="s">
        <v>8</v>
      </c>
      <c r="I369">
        <v>2193.94</v>
      </c>
      <c r="J369" t="s">
        <v>683</v>
      </c>
      <c r="K369">
        <v>28</v>
      </c>
    </row>
    <row r="370" spans="1:11" x14ac:dyDescent="0.35">
      <c r="A370" t="s">
        <v>1099</v>
      </c>
      <c r="B370" t="s">
        <v>66</v>
      </c>
      <c r="C370" t="s">
        <v>603</v>
      </c>
      <c r="D370" t="s">
        <v>641</v>
      </c>
      <c r="E370" s="1">
        <v>45588</v>
      </c>
      <c r="F370" s="1">
        <v>45591</v>
      </c>
      <c r="G370" s="1">
        <v>45605</v>
      </c>
      <c r="H370" t="s">
        <v>11</v>
      </c>
      <c r="I370">
        <v>2187.7399999999998</v>
      </c>
      <c r="J370" t="s">
        <v>683</v>
      </c>
      <c r="K370">
        <v>14</v>
      </c>
    </row>
    <row r="371" spans="1:11" x14ac:dyDescent="0.35">
      <c r="A371" t="s">
        <v>2261</v>
      </c>
      <c r="B371" t="s">
        <v>166</v>
      </c>
      <c r="C371" t="s">
        <v>583</v>
      </c>
      <c r="D371" t="s">
        <v>641</v>
      </c>
      <c r="E371" s="1">
        <v>45415</v>
      </c>
      <c r="F371" s="1">
        <v>45420</v>
      </c>
      <c r="G371" s="1"/>
      <c r="H371" t="s">
        <v>8</v>
      </c>
      <c r="I371">
        <v>2184.36</v>
      </c>
      <c r="J371" t="s">
        <v>689</v>
      </c>
    </row>
    <row r="372" spans="1:11" x14ac:dyDescent="0.35">
      <c r="A372" t="s">
        <v>1772</v>
      </c>
      <c r="B372" t="s">
        <v>330</v>
      </c>
      <c r="C372" t="s">
        <v>546</v>
      </c>
      <c r="D372" t="s">
        <v>643</v>
      </c>
      <c r="E372" s="1">
        <v>45064</v>
      </c>
      <c r="F372" s="1">
        <v>45067</v>
      </c>
      <c r="G372" s="1">
        <v>45092</v>
      </c>
      <c r="H372" t="s">
        <v>25</v>
      </c>
      <c r="I372">
        <v>2179.46</v>
      </c>
      <c r="J372" t="s">
        <v>687</v>
      </c>
      <c r="K372">
        <v>25</v>
      </c>
    </row>
    <row r="373" spans="1:11" x14ac:dyDescent="0.35">
      <c r="A373" t="s">
        <v>2241</v>
      </c>
      <c r="B373" t="s">
        <v>31</v>
      </c>
      <c r="C373" t="s">
        <v>527</v>
      </c>
      <c r="D373" t="s">
        <v>643</v>
      </c>
      <c r="E373" s="1">
        <v>45426</v>
      </c>
      <c r="F373" s="1">
        <v>45431</v>
      </c>
      <c r="G373" s="1">
        <v>45457</v>
      </c>
      <c r="H373" t="s">
        <v>11</v>
      </c>
      <c r="I373">
        <v>2176.13</v>
      </c>
      <c r="J373" t="s">
        <v>683</v>
      </c>
      <c r="K373">
        <v>26</v>
      </c>
    </row>
    <row r="374" spans="1:11" x14ac:dyDescent="0.35">
      <c r="A374" t="s">
        <v>2010</v>
      </c>
      <c r="B374" t="s">
        <v>167</v>
      </c>
      <c r="C374" t="s">
        <v>559</v>
      </c>
      <c r="D374" t="s">
        <v>641</v>
      </c>
      <c r="E374" s="1">
        <v>45601</v>
      </c>
      <c r="F374" s="1">
        <v>45603</v>
      </c>
      <c r="G374" s="1">
        <v>45612</v>
      </c>
      <c r="H374" t="s">
        <v>11</v>
      </c>
      <c r="I374">
        <v>2173.21</v>
      </c>
      <c r="J374" t="s">
        <v>683</v>
      </c>
      <c r="K374">
        <v>9</v>
      </c>
    </row>
    <row r="375" spans="1:11" x14ac:dyDescent="0.35">
      <c r="A375" t="s">
        <v>1600</v>
      </c>
      <c r="B375" t="s">
        <v>467</v>
      </c>
      <c r="C375" t="s">
        <v>537</v>
      </c>
      <c r="D375" t="s">
        <v>643</v>
      </c>
      <c r="E375" s="1">
        <v>45376</v>
      </c>
      <c r="F375" s="1">
        <v>45381</v>
      </c>
      <c r="G375" s="1"/>
      <c r="H375" t="s">
        <v>13</v>
      </c>
      <c r="I375">
        <v>2159.88</v>
      </c>
      <c r="J375" t="s">
        <v>689</v>
      </c>
    </row>
    <row r="376" spans="1:11" x14ac:dyDescent="0.35">
      <c r="A376" t="s">
        <v>1823</v>
      </c>
      <c r="B376" t="s">
        <v>439</v>
      </c>
      <c r="C376" t="s">
        <v>575</v>
      </c>
      <c r="D376" t="s">
        <v>641</v>
      </c>
      <c r="E376" s="1">
        <v>45430</v>
      </c>
      <c r="F376" s="1">
        <v>45434</v>
      </c>
      <c r="G376" s="1">
        <v>45438</v>
      </c>
      <c r="H376" t="s">
        <v>11</v>
      </c>
      <c r="I376">
        <v>2157.04</v>
      </c>
      <c r="J376" t="s">
        <v>683</v>
      </c>
      <c r="K376">
        <v>4</v>
      </c>
    </row>
    <row r="377" spans="1:11" x14ac:dyDescent="0.35">
      <c r="A377" t="s">
        <v>908</v>
      </c>
      <c r="B377" t="s">
        <v>251</v>
      </c>
      <c r="C377" t="s">
        <v>599</v>
      </c>
      <c r="D377" t="s">
        <v>643</v>
      </c>
      <c r="E377" s="1">
        <v>45317</v>
      </c>
      <c r="F377" s="1">
        <v>45321</v>
      </c>
      <c r="G377" s="1">
        <v>45348</v>
      </c>
      <c r="H377" t="s">
        <v>13</v>
      </c>
      <c r="I377">
        <v>2155.1999999999998</v>
      </c>
      <c r="J377" t="s">
        <v>683</v>
      </c>
      <c r="K377">
        <v>27</v>
      </c>
    </row>
    <row r="378" spans="1:11" x14ac:dyDescent="0.35">
      <c r="A378" t="s">
        <v>1848</v>
      </c>
      <c r="B378" t="s">
        <v>473</v>
      </c>
      <c r="C378" t="s">
        <v>569</v>
      </c>
      <c r="D378" t="s">
        <v>643</v>
      </c>
      <c r="E378" s="1">
        <v>45360</v>
      </c>
      <c r="F378" s="1">
        <v>45365</v>
      </c>
      <c r="G378" s="1">
        <v>45380</v>
      </c>
      <c r="H378" t="s">
        <v>11</v>
      </c>
      <c r="I378">
        <v>2154.66</v>
      </c>
      <c r="J378" t="s">
        <v>683</v>
      </c>
      <c r="K378">
        <v>15</v>
      </c>
    </row>
    <row r="379" spans="1:11" x14ac:dyDescent="0.35">
      <c r="A379" t="s">
        <v>1766</v>
      </c>
      <c r="B379" t="s">
        <v>81</v>
      </c>
      <c r="C379" t="s">
        <v>577</v>
      </c>
      <c r="D379" t="s">
        <v>641</v>
      </c>
      <c r="E379" s="1">
        <v>45512</v>
      </c>
      <c r="F379" s="1">
        <v>45517</v>
      </c>
      <c r="G379" s="1">
        <v>45529</v>
      </c>
      <c r="H379" t="s">
        <v>20</v>
      </c>
      <c r="I379">
        <v>2150.11</v>
      </c>
      <c r="J379" t="s">
        <v>687</v>
      </c>
      <c r="K379">
        <v>12</v>
      </c>
    </row>
    <row r="380" spans="1:11" x14ac:dyDescent="0.35">
      <c r="A380" t="s">
        <v>1341</v>
      </c>
      <c r="B380" t="s">
        <v>288</v>
      </c>
      <c r="C380" t="s">
        <v>573</v>
      </c>
      <c r="D380" t="s">
        <v>641</v>
      </c>
      <c r="E380" s="1">
        <v>45114</v>
      </c>
      <c r="F380" s="1">
        <v>45116</v>
      </c>
      <c r="G380" s="1">
        <v>45141</v>
      </c>
      <c r="H380" t="s">
        <v>11</v>
      </c>
      <c r="I380">
        <v>2148.6999999999998</v>
      </c>
      <c r="J380" t="s">
        <v>683</v>
      </c>
      <c r="K380">
        <v>25</v>
      </c>
    </row>
    <row r="381" spans="1:11" x14ac:dyDescent="0.35">
      <c r="A381" t="s">
        <v>2665</v>
      </c>
      <c r="B381" t="s">
        <v>245</v>
      </c>
      <c r="C381" t="s">
        <v>553</v>
      </c>
      <c r="D381" t="s">
        <v>641</v>
      </c>
      <c r="E381" s="1">
        <v>45042</v>
      </c>
      <c r="F381" s="1">
        <v>45046</v>
      </c>
      <c r="G381" s="1">
        <v>45066</v>
      </c>
      <c r="H381" t="s">
        <v>8</v>
      </c>
      <c r="I381">
        <v>2147.4499999999998</v>
      </c>
      <c r="J381" t="s">
        <v>683</v>
      </c>
      <c r="K381">
        <v>20</v>
      </c>
    </row>
    <row r="382" spans="1:11" x14ac:dyDescent="0.35">
      <c r="A382" t="s">
        <v>2030</v>
      </c>
      <c r="B382" t="s">
        <v>37</v>
      </c>
      <c r="C382" t="s">
        <v>521</v>
      </c>
      <c r="D382" t="s">
        <v>641</v>
      </c>
      <c r="E382" s="1">
        <v>45241</v>
      </c>
      <c r="F382" s="1">
        <v>45244</v>
      </c>
      <c r="G382" s="1">
        <v>45250</v>
      </c>
      <c r="H382" t="s">
        <v>8</v>
      </c>
      <c r="I382">
        <v>2141.77</v>
      </c>
      <c r="J382" t="s">
        <v>687</v>
      </c>
      <c r="K382">
        <v>6</v>
      </c>
    </row>
    <row r="383" spans="1:11" x14ac:dyDescent="0.35">
      <c r="A383" t="s">
        <v>1912</v>
      </c>
      <c r="B383" t="s">
        <v>384</v>
      </c>
      <c r="C383" t="s">
        <v>527</v>
      </c>
      <c r="D383" t="s">
        <v>643</v>
      </c>
      <c r="E383" s="1">
        <v>44929</v>
      </c>
      <c r="F383" s="1">
        <v>44934</v>
      </c>
      <c r="G383" s="1"/>
      <c r="H383" t="s">
        <v>13</v>
      </c>
      <c r="I383">
        <v>2139.2600000000002</v>
      </c>
      <c r="J383" t="s">
        <v>689</v>
      </c>
    </row>
    <row r="384" spans="1:11" x14ac:dyDescent="0.35">
      <c r="A384" t="s">
        <v>941</v>
      </c>
      <c r="B384" t="s">
        <v>207</v>
      </c>
      <c r="C384" t="s">
        <v>546</v>
      </c>
      <c r="D384" t="s">
        <v>641</v>
      </c>
      <c r="E384" s="1">
        <v>45430</v>
      </c>
      <c r="F384" s="1">
        <v>45434</v>
      </c>
      <c r="G384" s="1">
        <v>45459</v>
      </c>
      <c r="H384" t="s">
        <v>11</v>
      </c>
      <c r="I384">
        <v>2135.2800000000002</v>
      </c>
      <c r="J384" t="s">
        <v>683</v>
      </c>
      <c r="K384">
        <v>25</v>
      </c>
    </row>
    <row r="385" spans="1:11" x14ac:dyDescent="0.35">
      <c r="A385" t="s">
        <v>1825</v>
      </c>
      <c r="B385" t="s">
        <v>114</v>
      </c>
      <c r="C385" t="s">
        <v>573</v>
      </c>
      <c r="D385" t="s">
        <v>643</v>
      </c>
      <c r="E385" s="1">
        <v>44971</v>
      </c>
      <c r="F385" s="1">
        <v>44973</v>
      </c>
      <c r="G385" s="1">
        <v>45000</v>
      </c>
      <c r="H385" t="s">
        <v>20</v>
      </c>
      <c r="I385">
        <v>2131.9299999999998</v>
      </c>
      <c r="J385" t="s">
        <v>683</v>
      </c>
      <c r="K385">
        <v>27</v>
      </c>
    </row>
    <row r="386" spans="1:11" x14ac:dyDescent="0.35">
      <c r="A386" t="s">
        <v>1961</v>
      </c>
      <c r="B386" t="s">
        <v>507</v>
      </c>
      <c r="C386" t="s">
        <v>567</v>
      </c>
      <c r="D386" t="s">
        <v>641</v>
      </c>
      <c r="E386" s="1">
        <v>45404</v>
      </c>
      <c r="F386" s="1">
        <v>45405</v>
      </c>
      <c r="G386" s="1">
        <v>45423</v>
      </c>
      <c r="H386" t="s">
        <v>8</v>
      </c>
      <c r="I386">
        <v>2130.4899999999998</v>
      </c>
      <c r="J386" t="s">
        <v>683</v>
      </c>
      <c r="K386">
        <v>18</v>
      </c>
    </row>
    <row r="387" spans="1:11" x14ac:dyDescent="0.35">
      <c r="A387" t="s">
        <v>1803</v>
      </c>
      <c r="B387" t="s">
        <v>61</v>
      </c>
      <c r="C387" t="s">
        <v>524</v>
      </c>
      <c r="D387" t="s">
        <v>641</v>
      </c>
      <c r="E387" s="1">
        <v>45591</v>
      </c>
      <c r="F387" s="1">
        <v>45592</v>
      </c>
      <c r="G387" s="1">
        <v>45609</v>
      </c>
      <c r="H387" t="s">
        <v>11</v>
      </c>
      <c r="I387">
        <v>2125.94</v>
      </c>
      <c r="J387" t="s">
        <v>683</v>
      </c>
      <c r="K387">
        <v>17</v>
      </c>
    </row>
    <row r="388" spans="1:11" x14ac:dyDescent="0.35">
      <c r="A388" t="s">
        <v>1703</v>
      </c>
      <c r="B388" t="s">
        <v>159</v>
      </c>
      <c r="C388" t="s">
        <v>561</v>
      </c>
      <c r="D388" t="s">
        <v>641</v>
      </c>
      <c r="E388" s="1">
        <v>44939</v>
      </c>
      <c r="F388" s="1">
        <v>44943</v>
      </c>
      <c r="G388" s="1"/>
      <c r="H388" t="s">
        <v>11</v>
      </c>
      <c r="I388">
        <v>2122.08</v>
      </c>
      <c r="J388" t="s">
        <v>689</v>
      </c>
    </row>
    <row r="389" spans="1:11" x14ac:dyDescent="0.35">
      <c r="A389" t="s">
        <v>1732</v>
      </c>
      <c r="B389" t="s">
        <v>289</v>
      </c>
      <c r="C389" t="s">
        <v>546</v>
      </c>
      <c r="D389" t="s">
        <v>643</v>
      </c>
      <c r="E389" s="1">
        <v>45454</v>
      </c>
      <c r="F389" s="1">
        <v>45457</v>
      </c>
      <c r="G389" s="1"/>
      <c r="H389" t="s">
        <v>13</v>
      </c>
      <c r="I389">
        <v>2121.2600000000002</v>
      </c>
      <c r="J389" t="s">
        <v>689</v>
      </c>
    </row>
    <row r="390" spans="1:11" x14ac:dyDescent="0.35">
      <c r="A390" t="s">
        <v>1626</v>
      </c>
      <c r="B390" t="s">
        <v>9</v>
      </c>
      <c r="C390" t="s">
        <v>567</v>
      </c>
      <c r="D390" t="s">
        <v>643</v>
      </c>
      <c r="E390" s="1">
        <v>44957</v>
      </c>
      <c r="F390" s="1">
        <v>44959</v>
      </c>
      <c r="G390" s="1">
        <v>44984</v>
      </c>
      <c r="H390" t="s">
        <v>11</v>
      </c>
      <c r="I390">
        <v>2119.56</v>
      </c>
      <c r="J390" t="s">
        <v>683</v>
      </c>
      <c r="K390">
        <v>25</v>
      </c>
    </row>
    <row r="391" spans="1:11" x14ac:dyDescent="0.35">
      <c r="A391" t="s">
        <v>1459</v>
      </c>
      <c r="B391" t="s">
        <v>84</v>
      </c>
      <c r="C391" t="s">
        <v>553</v>
      </c>
      <c r="D391" t="s">
        <v>641</v>
      </c>
      <c r="E391" s="1">
        <v>45140</v>
      </c>
      <c r="F391" s="1">
        <v>45145</v>
      </c>
      <c r="G391" s="1">
        <v>45168</v>
      </c>
      <c r="H391" t="s">
        <v>25</v>
      </c>
      <c r="I391">
        <v>2119.08</v>
      </c>
      <c r="J391" t="s">
        <v>683</v>
      </c>
      <c r="K391">
        <v>23</v>
      </c>
    </row>
    <row r="392" spans="1:11" x14ac:dyDescent="0.35">
      <c r="A392" t="s">
        <v>1082</v>
      </c>
      <c r="B392" t="s">
        <v>449</v>
      </c>
      <c r="C392" t="s">
        <v>534</v>
      </c>
      <c r="D392" t="s">
        <v>643</v>
      </c>
      <c r="E392" s="1">
        <v>45484</v>
      </c>
      <c r="F392" s="1">
        <v>45487</v>
      </c>
      <c r="G392" s="1">
        <v>45506</v>
      </c>
      <c r="H392" t="s">
        <v>13</v>
      </c>
      <c r="I392">
        <v>2117.71</v>
      </c>
      <c r="J392" t="s">
        <v>683</v>
      </c>
      <c r="K392">
        <v>19</v>
      </c>
    </row>
    <row r="393" spans="1:11" x14ac:dyDescent="0.35">
      <c r="A393" t="s">
        <v>1443</v>
      </c>
      <c r="B393" t="s">
        <v>120</v>
      </c>
      <c r="C393" t="s">
        <v>537</v>
      </c>
      <c r="D393" t="s">
        <v>643</v>
      </c>
      <c r="E393" s="1">
        <v>45226</v>
      </c>
      <c r="F393" s="1">
        <v>45230</v>
      </c>
      <c r="G393" s="1">
        <v>45241</v>
      </c>
      <c r="H393" t="s">
        <v>13</v>
      </c>
      <c r="I393">
        <v>2104.46</v>
      </c>
      <c r="J393" t="s">
        <v>687</v>
      </c>
      <c r="K393">
        <v>11</v>
      </c>
    </row>
    <row r="394" spans="1:11" x14ac:dyDescent="0.35">
      <c r="A394" t="s">
        <v>2542</v>
      </c>
      <c r="B394" t="s">
        <v>95</v>
      </c>
      <c r="C394" t="s">
        <v>537</v>
      </c>
      <c r="D394" t="s">
        <v>641</v>
      </c>
      <c r="E394" s="1">
        <v>45484</v>
      </c>
      <c r="F394" s="1">
        <v>45486</v>
      </c>
      <c r="G394" s="1">
        <v>45512</v>
      </c>
      <c r="H394" t="s">
        <v>20</v>
      </c>
      <c r="I394">
        <v>2093.56</v>
      </c>
      <c r="J394" t="s">
        <v>687</v>
      </c>
      <c r="K394">
        <v>26</v>
      </c>
    </row>
    <row r="395" spans="1:11" x14ac:dyDescent="0.35">
      <c r="A395" t="s">
        <v>2556</v>
      </c>
      <c r="B395" t="s">
        <v>233</v>
      </c>
      <c r="C395" t="s">
        <v>567</v>
      </c>
      <c r="D395" t="s">
        <v>643</v>
      </c>
      <c r="E395" s="1">
        <v>45532</v>
      </c>
      <c r="F395" s="1">
        <v>45534</v>
      </c>
      <c r="G395" s="1">
        <v>45537</v>
      </c>
      <c r="H395" t="s">
        <v>20</v>
      </c>
      <c r="I395">
        <v>2086.44</v>
      </c>
      <c r="J395" t="s">
        <v>683</v>
      </c>
      <c r="K395">
        <v>3</v>
      </c>
    </row>
    <row r="396" spans="1:11" x14ac:dyDescent="0.35">
      <c r="A396" t="s">
        <v>890</v>
      </c>
      <c r="B396" t="s">
        <v>454</v>
      </c>
      <c r="C396" t="s">
        <v>553</v>
      </c>
      <c r="D396" t="s">
        <v>641</v>
      </c>
      <c r="E396" s="1">
        <v>44983</v>
      </c>
      <c r="F396" s="1">
        <v>44986</v>
      </c>
      <c r="G396" s="1">
        <v>45006</v>
      </c>
      <c r="H396" t="s">
        <v>20</v>
      </c>
      <c r="I396">
        <v>2069.9</v>
      </c>
      <c r="J396" t="s">
        <v>683</v>
      </c>
      <c r="K396">
        <v>20</v>
      </c>
    </row>
    <row r="397" spans="1:11" x14ac:dyDescent="0.35">
      <c r="A397" t="s">
        <v>1020</v>
      </c>
      <c r="B397" t="s">
        <v>449</v>
      </c>
      <c r="C397" t="s">
        <v>611</v>
      </c>
      <c r="D397" t="s">
        <v>641</v>
      </c>
      <c r="E397" s="1">
        <v>45057</v>
      </c>
      <c r="F397" s="1">
        <v>45059</v>
      </c>
      <c r="G397" s="1">
        <v>45064</v>
      </c>
      <c r="H397" t="s">
        <v>13</v>
      </c>
      <c r="I397">
        <v>2063.48</v>
      </c>
      <c r="J397" t="s">
        <v>687</v>
      </c>
      <c r="K397">
        <v>5</v>
      </c>
    </row>
    <row r="398" spans="1:11" x14ac:dyDescent="0.35">
      <c r="A398" t="s">
        <v>2220</v>
      </c>
      <c r="B398" t="s">
        <v>217</v>
      </c>
      <c r="C398" t="s">
        <v>585</v>
      </c>
      <c r="D398" t="s">
        <v>643</v>
      </c>
      <c r="E398" s="1">
        <v>45518</v>
      </c>
      <c r="F398" s="1">
        <v>45523</v>
      </c>
      <c r="G398" s="1">
        <v>45526</v>
      </c>
      <c r="H398" t="s">
        <v>13</v>
      </c>
      <c r="I398">
        <v>2057.79</v>
      </c>
      <c r="J398" t="s">
        <v>683</v>
      </c>
      <c r="K398">
        <v>3</v>
      </c>
    </row>
    <row r="399" spans="1:11" x14ac:dyDescent="0.35">
      <c r="A399" t="s">
        <v>1516</v>
      </c>
      <c r="B399" t="s">
        <v>506</v>
      </c>
      <c r="C399" t="s">
        <v>605</v>
      </c>
      <c r="D399" t="s">
        <v>643</v>
      </c>
      <c r="E399" s="1">
        <v>45263</v>
      </c>
      <c r="F399" s="1">
        <v>45267</v>
      </c>
      <c r="G399" s="1">
        <v>45277</v>
      </c>
      <c r="H399" t="s">
        <v>11</v>
      </c>
      <c r="I399">
        <v>2057.58</v>
      </c>
      <c r="J399" t="s">
        <v>683</v>
      </c>
      <c r="K399">
        <v>10</v>
      </c>
    </row>
    <row r="400" spans="1:11" x14ac:dyDescent="0.35">
      <c r="A400" t="s">
        <v>2360</v>
      </c>
      <c r="B400" t="s">
        <v>444</v>
      </c>
      <c r="C400" t="s">
        <v>553</v>
      </c>
      <c r="D400" t="s">
        <v>643</v>
      </c>
      <c r="E400" s="1">
        <v>44951</v>
      </c>
      <c r="F400" s="1">
        <v>44952</v>
      </c>
      <c r="G400" s="1">
        <v>44977</v>
      </c>
      <c r="H400" t="s">
        <v>25</v>
      </c>
      <c r="I400">
        <v>2056.7399999999998</v>
      </c>
      <c r="J400" t="s">
        <v>683</v>
      </c>
      <c r="K400">
        <v>25</v>
      </c>
    </row>
    <row r="401" spans="1:11" x14ac:dyDescent="0.35">
      <c r="A401" t="s">
        <v>1300</v>
      </c>
      <c r="B401" t="s">
        <v>399</v>
      </c>
      <c r="C401" t="s">
        <v>585</v>
      </c>
      <c r="D401" t="s">
        <v>643</v>
      </c>
      <c r="E401" s="1">
        <v>45639</v>
      </c>
      <c r="F401" s="1">
        <v>45643</v>
      </c>
      <c r="G401" s="1">
        <v>45660</v>
      </c>
      <c r="H401" t="s">
        <v>13</v>
      </c>
      <c r="I401">
        <v>2053.19</v>
      </c>
      <c r="J401" t="s">
        <v>683</v>
      </c>
      <c r="K401">
        <v>17</v>
      </c>
    </row>
    <row r="402" spans="1:11" x14ac:dyDescent="0.35">
      <c r="A402" t="s">
        <v>2101</v>
      </c>
      <c r="B402" t="s">
        <v>163</v>
      </c>
      <c r="C402" t="s">
        <v>585</v>
      </c>
      <c r="D402" t="s">
        <v>641</v>
      </c>
      <c r="E402" s="1">
        <v>45606</v>
      </c>
      <c r="F402" s="1">
        <v>45610</v>
      </c>
      <c r="G402" s="1">
        <v>45634</v>
      </c>
      <c r="H402" t="s">
        <v>25</v>
      </c>
      <c r="I402">
        <v>2044.76</v>
      </c>
      <c r="J402" t="s">
        <v>683</v>
      </c>
      <c r="K402">
        <v>24</v>
      </c>
    </row>
    <row r="403" spans="1:11" x14ac:dyDescent="0.35">
      <c r="A403" t="s">
        <v>966</v>
      </c>
      <c r="B403" t="s">
        <v>487</v>
      </c>
      <c r="C403" t="s">
        <v>557</v>
      </c>
      <c r="D403" t="s">
        <v>643</v>
      </c>
      <c r="E403" s="1">
        <v>44966</v>
      </c>
      <c r="F403" s="1">
        <v>44968</v>
      </c>
      <c r="G403" s="1">
        <v>44984</v>
      </c>
      <c r="H403" t="s">
        <v>20</v>
      </c>
      <c r="I403">
        <v>2040.32</v>
      </c>
      <c r="J403" t="s">
        <v>683</v>
      </c>
      <c r="K403">
        <v>16</v>
      </c>
    </row>
    <row r="404" spans="1:11" x14ac:dyDescent="0.35">
      <c r="A404" t="s">
        <v>1209</v>
      </c>
      <c r="B404" t="s">
        <v>349</v>
      </c>
      <c r="C404" t="s">
        <v>589</v>
      </c>
      <c r="D404" t="s">
        <v>641</v>
      </c>
      <c r="E404" s="1">
        <v>45393</v>
      </c>
      <c r="F404" s="1">
        <v>45396</v>
      </c>
      <c r="G404" s="1">
        <v>45400</v>
      </c>
      <c r="H404" t="s">
        <v>11</v>
      </c>
      <c r="I404">
        <v>2039.12</v>
      </c>
      <c r="J404" t="s">
        <v>683</v>
      </c>
      <c r="K404">
        <v>4</v>
      </c>
    </row>
    <row r="405" spans="1:11" x14ac:dyDescent="0.35">
      <c r="A405" t="s">
        <v>1149</v>
      </c>
      <c r="B405" t="s">
        <v>146</v>
      </c>
      <c r="C405" t="s">
        <v>609</v>
      </c>
      <c r="D405" t="s">
        <v>643</v>
      </c>
      <c r="E405" s="1">
        <v>45420</v>
      </c>
      <c r="F405" s="1">
        <v>45425</v>
      </c>
      <c r="G405" s="1">
        <v>45444</v>
      </c>
      <c r="H405" t="s">
        <v>11</v>
      </c>
      <c r="I405">
        <v>2036.64</v>
      </c>
      <c r="J405" t="s">
        <v>683</v>
      </c>
      <c r="K405">
        <v>19</v>
      </c>
    </row>
    <row r="406" spans="1:11" x14ac:dyDescent="0.35">
      <c r="A406" t="s">
        <v>967</v>
      </c>
      <c r="B406" t="s">
        <v>91</v>
      </c>
      <c r="C406" t="s">
        <v>603</v>
      </c>
      <c r="D406" t="s">
        <v>643</v>
      </c>
      <c r="E406" s="1">
        <v>45412</v>
      </c>
      <c r="F406" s="1">
        <v>45415</v>
      </c>
      <c r="G406" s="1">
        <v>45433</v>
      </c>
      <c r="H406" t="s">
        <v>13</v>
      </c>
      <c r="I406">
        <v>2035.88</v>
      </c>
      <c r="J406" t="s">
        <v>683</v>
      </c>
      <c r="K406">
        <v>18</v>
      </c>
    </row>
    <row r="407" spans="1:11" x14ac:dyDescent="0.35">
      <c r="A407" t="s">
        <v>1737</v>
      </c>
      <c r="B407" t="s">
        <v>407</v>
      </c>
      <c r="C407" t="s">
        <v>534</v>
      </c>
      <c r="D407" t="s">
        <v>641</v>
      </c>
      <c r="E407" s="1">
        <v>45026</v>
      </c>
      <c r="F407" s="1">
        <v>45029</v>
      </c>
      <c r="G407" s="1">
        <v>45049</v>
      </c>
      <c r="H407" t="s">
        <v>8</v>
      </c>
      <c r="I407">
        <v>2033.98</v>
      </c>
      <c r="J407" t="s">
        <v>683</v>
      </c>
      <c r="K407">
        <v>20</v>
      </c>
    </row>
    <row r="408" spans="1:11" x14ac:dyDescent="0.35">
      <c r="A408" t="s">
        <v>1743</v>
      </c>
      <c r="B408" t="s">
        <v>79</v>
      </c>
      <c r="C408" t="s">
        <v>553</v>
      </c>
      <c r="D408" t="s">
        <v>643</v>
      </c>
      <c r="E408" s="1">
        <v>45200</v>
      </c>
      <c r="F408" s="1">
        <v>45202</v>
      </c>
      <c r="G408" s="1">
        <v>45221</v>
      </c>
      <c r="H408" t="s">
        <v>11</v>
      </c>
      <c r="I408">
        <v>2033.63</v>
      </c>
      <c r="J408" t="s">
        <v>687</v>
      </c>
      <c r="K408">
        <v>19</v>
      </c>
    </row>
    <row r="409" spans="1:11" x14ac:dyDescent="0.35">
      <c r="A409" t="s">
        <v>1795</v>
      </c>
      <c r="B409" t="s">
        <v>262</v>
      </c>
      <c r="C409" t="s">
        <v>607</v>
      </c>
      <c r="D409" t="s">
        <v>643</v>
      </c>
      <c r="E409" s="1">
        <v>45608</v>
      </c>
      <c r="F409" s="1">
        <v>45612</v>
      </c>
      <c r="G409" s="1">
        <v>45618</v>
      </c>
      <c r="H409" t="s">
        <v>20</v>
      </c>
      <c r="I409">
        <v>2030.05</v>
      </c>
      <c r="J409" t="s">
        <v>683</v>
      </c>
      <c r="K409">
        <v>6</v>
      </c>
    </row>
    <row r="410" spans="1:11" x14ac:dyDescent="0.35">
      <c r="A410" t="s">
        <v>2079</v>
      </c>
      <c r="B410" t="s">
        <v>404</v>
      </c>
      <c r="C410" t="s">
        <v>546</v>
      </c>
      <c r="D410" t="s">
        <v>641</v>
      </c>
      <c r="E410" s="1">
        <v>45115</v>
      </c>
      <c r="F410" s="1">
        <v>45116</v>
      </c>
      <c r="G410" s="1">
        <v>45119</v>
      </c>
      <c r="H410" t="s">
        <v>8</v>
      </c>
      <c r="I410">
        <v>2023.36</v>
      </c>
      <c r="J410" t="s">
        <v>683</v>
      </c>
      <c r="K410">
        <v>3</v>
      </c>
    </row>
    <row r="411" spans="1:11" x14ac:dyDescent="0.35">
      <c r="A411" t="s">
        <v>1016</v>
      </c>
      <c r="B411" t="s">
        <v>29</v>
      </c>
      <c r="C411" t="s">
        <v>591</v>
      </c>
      <c r="D411" t="s">
        <v>643</v>
      </c>
      <c r="E411" s="1">
        <v>45383</v>
      </c>
      <c r="F411" s="1">
        <v>45388</v>
      </c>
      <c r="G411" s="1">
        <v>45399</v>
      </c>
      <c r="H411" t="s">
        <v>8</v>
      </c>
      <c r="I411">
        <v>2015.95</v>
      </c>
      <c r="J411" t="s">
        <v>683</v>
      </c>
      <c r="K411">
        <v>11</v>
      </c>
    </row>
    <row r="412" spans="1:11" x14ac:dyDescent="0.35">
      <c r="A412" t="s">
        <v>1108</v>
      </c>
      <c r="B412" t="s">
        <v>403</v>
      </c>
      <c r="C412" t="s">
        <v>595</v>
      </c>
      <c r="D412" t="s">
        <v>641</v>
      </c>
      <c r="E412" s="1">
        <v>45644</v>
      </c>
      <c r="F412" s="1">
        <v>45646</v>
      </c>
      <c r="G412" s="1">
        <v>45669</v>
      </c>
      <c r="H412" t="s">
        <v>8</v>
      </c>
      <c r="I412">
        <v>2012.69</v>
      </c>
      <c r="J412" t="s">
        <v>683</v>
      </c>
      <c r="K412">
        <v>23</v>
      </c>
    </row>
    <row r="413" spans="1:11" x14ac:dyDescent="0.35">
      <c r="A413" t="s">
        <v>2279</v>
      </c>
      <c r="B413" t="s">
        <v>34</v>
      </c>
      <c r="C413" t="s">
        <v>583</v>
      </c>
      <c r="D413" t="s">
        <v>643</v>
      </c>
      <c r="E413" s="1">
        <v>45054</v>
      </c>
      <c r="F413" s="1">
        <v>45056</v>
      </c>
      <c r="G413" s="1">
        <v>45070</v>
      </c>
      <c r="H413" t="s">
        <v>11</v>
      </c>
      <c r="I413">
        <v>2011.19</v>
      </c>
      <c r="J413" t="s">
        <v>683</v>
      </c>
      <c r="K413">
        <v>14</v>
      </c>
    </row>
    <row r="414" spans="1:11" x14ac:dyDescent="0.35">
      <c r="A414" t="s">
        <v>2628</v>
      </c>
      <c r="B414" t="s">
        <v>294</v>
      </c>
      <c r="C414" t="s">
        <v>589</v>
      </c>
      <c r="D414" t="s">
        <v>641</v>
      </c>
      <c r="E414" s="1">
        <v>45306</v>
      </c>
      <c r="F414" s="1">
        <v>45311</v>
      </c>
      <c r="G414" s="1">
        <v>45337</v>
      </c>
      <c r="H414" t="s">
        <v>11</v>
      </c>
      <c r="I414">
        <v>2001.12</v>
      </c>
      <c r="J414" t="s">
        <v>683</v>
      </c>
      <c r="K414">
        <v>26</v>
      </c>
    </row>
    <row r="415" spans="1:11" x14ac:dyDescent="0.35">
      <c r="A415" t="s">
        <v>1102</v>
      </c>
      <c r="B415" t="s">
        <v>410</v>
      </c>
      <c r="C415" t="s">
        <v>527</v>
      </c>
      <c r="D415" t="s">
        <v>641</v>
      </c>
      <c r="E415" s="1">
        <v>45352</v>
      </c>
      <c r="F415" s="1">
        <v>45353</v>
      </c>
      <c r="G415" s="1">
        <v>45380</v>
      </c>
      <c r="H415" t="s">
        <v>20</v>
      </c>
      <c r="I415">
        <v>2000.03</v>
      </c>
      <c r="J415" t="s">
        <v>683</v>
      </c>
      <c r="K415">
        <v>27</v>
      </c>
    </row>
    <row r="416" spans="1:11" x14ac:dyDescent="0.35">
      <c r="A416" t="s">
        <v>2011</v>
      </c>
      <c r="B416" t="s">
        <v>416</v>
      </c>
      <c r="C416" t="s">
        <v>587</v>
      </c>
      <c r="D416" t="s">
        <v>641</v>
      </c>
      <c r="E416" s="1">
        <v>45537</v>
      </c>
      <c r="F416" s="1">
        <v>45538</v>
      </c>
      <c r="G416" s="1">
        <v>45552</v>
      </c>
      <c r="H416" t="s">
        <v>13</v>
      </c>
      <c r="I416">
        <v>1989.09</v>
      </c>
      <c r="J416" t="s">
        <v>683</v>
      </c>
      <c r="K416">
        <v>14</v>
      </c>
    </row>
    <row r="417" spans="1:11" x14ac:dyDescent="0.35">
      <c r="A417" t="s">
        <v>1333</v>
      </c>
      <c r="B417" t="s">
        <v>203</v>
      </c>
      <c r="C417" t="s">
        <v>537</v>
      </c>
      <c r="D417" t="s">
        <v>643</v>
      </c>
      <c r="E417" s="1">
        <v>45584</v>
      </c>
      <c r="F417" s="1">
        <v>45589</v>
      </c>
      <c r="G417" s="1">
        <v>45606</v>
      </c>
      <c r="H417" t="s">
        <v>25</v>
      </c>
      <c r="I417">
        <v>1987.08</v>
      </c>
      <c r="J417" t="s">
        <v>687</v>
      </c>
      <c r="K417">
        <v>17</v>
      </c>
    </row>
    <row r="418" spans="1:11" x14ac:dyDescent="0.35">
      <c r="A418" t="s">
        <v>838</v>
      </c>
      <c r="B418" t="s">
        <v>136</v>
      </c>
      <c r="C418" t="s">
        <v>563</v>
      </c>
      <c r="D418" t="s">
        <v>641</v>
      </c>
      <c r="E418" s="1">
        <v>45129</v>
      </c>
      <c r="F418" s="1">
        <v>45133</v>
      </c>
      <c r="G418" s="1"/>
      <c r="H418" t="s">
        <v>11</v>
      </c>
      <c r="I418">
        <v>1984.85</v>
      </c>
      <c r="J418" t="s">
        <v>689</v>
      </c>
    </row>
    <row r="419" spans="1:11" x14ac:dyDescent="0.35">
      <c r="A419" t="s">
        <v>1596</v>
      </c>
      <c r="B419" t="s">
        <v>230</v>
      </c>
      <c r="C419" t="s">
        <v>579</v>
      </c>
      <c r="D419" t="s">
        <v>643</v>
      </c>
      <c r="E419" s="1">
        <v>45582</v>
      </c>
      <c r="F419" s="1">
        <v>45584</v>
      </c>
      <c r="G419" s="1"/>
      <c r="H419" t="s">
        <v>20</v>
      </c>
      <c r="I419">
        <v>1980.19</v>
      </c>
      <c r="J419" t="s">
        <v>689</v>
      </c>
    </row>
    <row r="420" spans="1:11" x14ac:dyDescent="0.35">
      <c r="A420" t="s">
        <v>1179</v>
      </c>
      <c r="B420" t="s">
        <v>122</v>
      </c>
      <c r="C420" t="s">
        <v>595</v>
      </c>
      <c r="D420" t="s">
        <v>641</v>
      </c>
      <c r="E420" s="1">
        <v>45332</v>
      </c>
      <c r="F420" s="1">
        <v>45333</v>
      </c>
      <c r="G420" s="1">
        <v>45357</v>
      </c>
      <c r="H420" t="s">
        <v>13</v>
      </c>
      <c r="I420">
        <v>1958.55</v>
      </c>
      <c r="J420" t="s">
        <v>683</v>
      </c>
      <c r="K420">
        <v>24</v>
      </c>
    </row>
    <row r="421" spans="1:11" x14ac:dyDescent="0.35">
      <c r="A421" t="s">
        <v>1565</v>
      </c>
      <c r="B421" t="s">
        <v>485</v>
      </c>
      <c r="C421" t="s">
        <v>524</v>
      </c>
      <c r="D421" t="s">
        <v>641</v>
      </c>
      <c r="E421" s="1">
        <v>45127</v>
      </c>
      <c r="F421" s="1">
        <v>45132</v>
      </c>
      <c r="G421" s="1"/>
      <c r="H421" t="s">
        <v>8</v>
      </c>
      <c r="I421">
        <v>1955.35</v>
      </c>
      <c r="J421" t="s">
        <v>689</v>
      </c>
    </row>
    <row r="422" spans="1:11" x14ac:dyDescent="0.35">
      <c r="A422" t="s">
        <v>1145</v>
      </c>
      <c r="B422" t="s">
        <v>399</v>
      </c>
      <c r="C422" t="s">
        <v>599</v>
      </c>
      <c r="D422" t="s">
        <v>641</v>
      </c>
      <c r="E422" s="1">
        <v>45596</v>
      </c>
      <c r="F422" s="1">
        <v>45600</v>
      </c>
      <c r="G422" s="1">
        <v>45623</v>
      </c>
      <c r="H422" t="s">
        <v>13</v>
      </c>
      <c r="I422">
        <v>1946.11</v>
      </c>
      <c r="J422" t="s">
        <v>683</v>
      </c>
      <c r="K422">
        <v>23</v>
      </c>
    </row>
    <row r="423" spans="1:11" x14ac:dyDescent="0.35">
      <c r="A423" t="s">
        <v>2565</v>
      </c>
      <c r="B423" t="s">
        <v>154</v>
      </c>
      <c r="C423" t="s">
        <v>546</v>
      </c>
      <c r="D423" t="s">
        <v>641</v>
      </c>
      <c r="E423" s="1">
        <v>45560</v>
      </c>
      <c r="F423" s="1">
        <v>45563</v>
      </c>
      <c r="G423" s="1">
        <v>45590</v>
      </c>
      <c r="H423" t="s">
        <v>13</v>
      </c>
      <c r="I423">
        <v>1943.33</v>
      </c>
      <c r="J423" t="s">
        <v>683</v>
      </c>
      <c r="K423">
        <v>27</v>
      </c>
    </row>
    <row r="424" spans="1:11" x14ac:dyDescent="0.35">
      <c r="A424" t="s">
        <v>1134</v>
      </c>
      <c r="B424" t="s">
        <v>52</v>
      </c>
      <c r="C424" t="s">
        <v>573</v>
      </c>
      <c r="D424" t="s">
        <v>641</v>
      </c>
      <c r="E424" s="1">
        <v>45563</v>
      </c>
      <c r="F424" s="1">
        <v>45565</v>
      </c>
      <c r="G424" s="1">
        <v>45591</v>
      </c>
      <c r="H424" t="s">
        <v>20</v>
      </c>
      <c r="I424">
        <v>1935.23</v>
      </c>
      <c r="J424" t="s">
        <v>683</v>
      </c>
      <c r="K424">
        <v>26</v>
      </c>
    </row>
    <row r="425" spans="1:11" x14ac:dyDescent="0.35">
      <c r="A425" t="s">
        <v>1004</v>
      </c>
      <c r="B425" t="s">
        <v>223</v>
      </c>
      <c r="C425" t="s">
        <v>569</v>
      </c>
      <c r="D425" t="s">
        <v>641</v>
      </c>
      <c r="E425" s="1">
        <v>45403</v>
      </c>
      <c r="F425" s="1">
        <v>45407</v>
      </c>
      <c r="G425" s="1"/>
      <c r="H425" t="s">
        <v>8</v>
      </c>
      <c r="I425">
        <v>1935.12</v>
      </c>
      <c r="J425" t="s">
        <v>689</v>
      </c>
    </row>
    <row r="426" spans="1:11" x14ac:dyDescent="0.35">
      <c r="A426" t="s">
        <v>1581</v>
      </c>
      <c r="B426" t="s">
        <v>394</v>
      </c>
      <c r="C426" t="s">
        <v>609</v>
      </c>
      <c r="D426" t="s">
        <v>641</v>
      </c>
      <c r="E426" s="1">
        <v>45510</v>
      </c>
      <c r="F426" s="1">
        <v>45515</v>
      </c>
      <c r="G426" s="1">
        <v>45525</v>
      </c>
      <c r="H426" t="s">
        <v>8</v>
      </c>
      <c r="I426">
        <v>1934.76</v>
      </c>
      <c r="J426" t="s">
        <v>683</v>
      </c>
      <c r="K426">
        <v>10</v>
      </c>
    </row>
    <row r="427" spans="1:11" x14ac:dyDescent="0.35">
      <c r="A427" t="s">
        <v>1871</v>
      </c>
      <c r="B427" t="s">
        <v>230</v>
      </c>
      <c r="C427" t="s">
        <v>573</v>
      </c>
      <c r="D427" t="s">
        <v>641</v>
      </c>
      <c r="E427" s="1">
        <v>45286</v>
      </c>
      <c r="F427" s="1">
        <v>45290</v>
      </c>
      <c r="G427" s="1">
        <v>45319</v>
      </c>
      <c r="H427" t="s">
        <v>20</v>
      </c>
      <c r="I427">
        <v>1934.39</v>
      </c>
      <c r="J427" t="s">
        <v>683</v>
      </c>
      <c r="K427">
        <v>29</v>
      </c>
    </row>
    <row r="428" spans="1:11" x14ac:dyDescent="0.35">
      <c r="A428" t="s">
        <v>1790</v>
      </c>
      <c r="B428" t="s">
        <v>368</v>
      </c>
      <c r="C428" t="s">
        <v>585</v>
      </c>
      <c r="D428" t="s">
        <v>641</v>
      </c>
      <c r="E428" s="1">
        <v>45030</v>
      </c>
      <c r="F428" s="1">
        <v>45031</v>
      </c>
      <c r="G428" s="1">
        <v>45045</v>
      </c>
      <c r="H428" t="s">
        <v>20</v>
      </c>
      <c r="I428">
        <v>1931.84</v>
      </c>
      <c r="J428" t="s">
        <v>683</v>
      </c>
      <c r="K428">
        <v>14</v>
      </c>
    </row>
    <row r="429" spans="1:11" x14ac:dyDescent="0.35">
      <c r="A429" t="s">
        <v>1643</v>
      </c>
      <c r="B429" t="s">
        <v>461</v>
      </c>
      <c r="C429" t="s">
        <v>557</v>
      </c>
      <c r="D429" t="s">
        <v>641</v>
      </c>
      <c r="E429" s="1">
        <v>44979</v>
      </c>
      <c r="F429" s="1">
        <v>44982</v>
      </c>
      <c r="G429" s="1">
        <v>44987</v>
      </c>
      <c r="H429" t="s">
        <v>13</v>
      </c>
      <c r="I429">
        <v>1926.43</v>
      </c>
      <c r="J429" t="s">
        <v>683</v>
      </c>
      <c r="K429">
        <v>5</v>
      </c>
    </row>
    <row r="430" spans="1:11" x14ac:dyDescent="0.35">
      <c r="A430" t="s">
        <v>1434</v>
      </c>
      <c r="B430" t="s">
        <v>243</v>
      </c>
      <c r="C430" t="s">
        <v>521</v>
      </c>
      <c r="D430" t="s">
        <v>641</v>
      </c>
      <c r="E430" s="1">
        <v>45480</v>
      </c>
      <c r="F430" s="1">
        <v>45483</v>
      </c>
      <c r="G430" s="1">
        <v>45502</v>
      </c>
      <c r="H430" t="s">
        <v>13</v>
      </c>
      <c r="I430">
        <v>1915.13</v>
      </c>
      <c r="J430" t="s">
        <v>683</v>
      </c>
      <c r="K430">
        <v>19</v>
      </c>
    </row>
    <row r="431" spans="1:11" x14ac:dyDescent="0.35">
      <c r="A431" t="s">
        <v>2055</v>
      </c>
      <c r="B431" t="s">
        <v>157</v>
      </c>
      <c r="C431" t="s">
        <v>605</v>
      </c>
      <c r="D431" t="s">
        <v>641</v>
      </c>
      <c r="E431" s="1">
        <v>45331</v>
      </c>
      <c r="F431" s="1">
        <v>45336</v>
      </c>
      <c r="G431" s="1">
        <v>45366</v>
      </c>
      <c r="H431" t="s">
        <v>11</v>
      </c>
      <c r="I431">
        <v>1912.04</v>
      </c>
      <c r="J431" t="s">
        <v>683</v>
      </c>
      <c r="K431">
        <v>30</v>
      </c>
    </row>
    <row r="432" spans="1:11" x14ac:dyDescent="0.35">
      <c r="A432" t="s">
        <v>1875</v>
      </c>
      <c r="B432" t="s">
        <v>209</v>
      </c>
      <c r="C432" t="s">
        <v>593</v>
      </c>
      <c r="D432" t="s">
        <v>641</v>
      </c>
      <c r="E432" s="1">
        <v>44975</v>
      </c>
      <c r="F432" s="1">
        <v>44977</v>
      </c>
      <c r="G432" s="1">
        <v>44988</v>
      </c>
      <c r="H432" t="s">
        <v>8</v>
      </c>
      <c r="I432">
        <v>1906.32</v>
      </c>
      <c r="J432" t="s">
        <v>687</v>
      </c>
      <c r="K432">
        <v>11</v>
      </c>
    </row>
    <row r="433" spans="1:11" x14ac:dyDescent="0.35">
      <c r="A433" t="s">
        <v>1295</v>
      </c>
      <c r="B433" t="s">
        <v>270</v>
      </c>
      <c r="C433" t="s">
        <v>577</v>
      </c>
      <c r="D433" t="s">
        <v>641</v>
      </c>
      <c r="E433" s="1">
        <v>45376</v>
      </c>
      <c r="F433" s="1">
        <v>45378</v>
      </c>
      <c r="G433" s="1">
        <v>45403</v>
      </c>
      <c r="H433" t="s">
        <v>11</v>
      </c>
      <c r="I433">
        <v>1904.53</v>
      </c>
      <c r="J433" t="s">
        <v>683</v>
      </c>
      <c r="K433">
        <v>25</v>
      </c>
    </row>
    <row r="434" spans="1:11" x14ac:dyDescent="0.35">
      <c r="A434" t="s">
        <v>1515</v>
      </c>
      <c r="B434" t="s">
        <v>134</v>
      </c>
      <c r="C434" t="s">
        <v>577</v>
      </c>
      <c r="D434" t="s">
        <v>641</v>
      </c>
      <c r="E434" s="1">
        <v>45042</v>
      </c>
      <c r="F434" s="1">
        <v>45043</v>
      </c>
      <c r="G434" s="1">
        <v>45054</v>
      </c>
      <c r="H434" t="s">
        <v>11</v>
      </c>
      <c r="I434">
        <v>1904.12</v>
      </c>
      <c r="J434" t="s">
        <v>683</v>
      </c>
      <c r="K434">
        <v>11</v>
      </c>
    </row>
    <row r="435" spans="1:11" x14ac:dyDescent="0.35">
      <c r="A435" t="s">
        <v>1881</v>
      </c>
      <c r="B435" t="s">
        <v>477</v>
      </c>
      <c r="C435" t="s">
        <v>557</v>
      </c>
      <c r="D435" t="s">
        <v>641</v>
      </c>
      <c r="E435" s="1">
        <v>45626</v>
      </c>
      <c r="F435" s="1">
        <v>45627</v>
      </c>
      <c r="G435" s="1"/>
      <c r="H435" t="s">
        <v>20</v>
      </c>
      <c r="I435">
        <v>1902.55</v>
      </c>
      <c r="J435" t="s">
        <v>689</v>
      </c>
    </row>
    <row r="436" spans="1:11" x14ac:dyDescent="0.35">
      <c r="A436" t="s">
        <v>1364</v>
      </c>
      <c r="B436" t="s">
        <v>440</v>
      </c>
      <c r="C436" t="s">
        <v>581</v>
      </c>
      <c r="D436" t="s">
        <v>641</v>
      </c>
      <c r="E436" s="1">
        <v>45494</v>
      </c>
      <c r="F436" s="1">
        <v>45495</v>
      </c>
      <c r="G436" s="1">
        <v>45514</v>
      </c>
      <c r="H436" t="s">
        <v>20</v>
      </c>
      <c r="I436">
        <v>1898.17</v>
      </c>
      <c r="J436" t="s">
        <v>683</v>
      </c>
      <c r="K436">
        <v>19</v>
      </c>
    </row>
    <row r="437" spans="1:11" x14ac:dyDescent="0.35">
      <c r="A437" t="s">
        <v>2117</v>
      </c>
      <c r="B437" t="s">
        <v>388</v>
      </c>
      <c r="C437" t="s">
        <v>579</v>
      </c>
      <c r="D437" t="s">
        <v>641</v>
      </c>
      <c r="E437" s="1">
        <v>45468</v>
      </c>
      <c r="F437" s="1">
        <v>45472</v>
      </c>
      <c r="G437" s="1">
        <v>45496</v>
      </c>
      <c r="H437" t="s">
        <v>8</v>
      </c>
      <c r="I437">
        <v>1897.28</v>
      </c>
      <c r="J437" t="s">
        <v>687</v>
      </c>
      <c r="K437">
        <v>24</v>
      </c>
    </row>
    <row r="438" spans="1:11" x14ac:dyDescent="0.35">
      <c r="A438" t="s">
        <v>1167</v>
      </c>
      <c r="B438" t="s">
        <v>128</v>
      </c>
      <c r="C438" t="s">
        <v>607</v>
      </c>
      <c r="D438" t="s">
        <v>641</v>
      </c>
      <c r="E438" s="1">
        <v>45269</v>
      </c>
      <c r="F438" s="1">
        <v>45270</v>
      </c>
      <c r="G438" s="1">
        <v>45298</v>
      </c>
      <c r="H438" t="s">
        <v>8</v>
      </c>
      <c r="I438">
        <v>1881.09</v>
      </c>
      <c r="J438" t="s">
        <v>683</v>
      </c>
      <c r="K438">
        <v>28</v>
      </c>
    </row>
    <row r="439" spans="1:11" x14ac:dyDescent="0.35">
      <c r="A439" t="s">
        <v>1302</v>
      </c>
      <c r="B439" t="s">
        <v>404</v>
      </c>
      <c r="C439" t="s">
        <v>597</v>
      </c>
      <c r="D439" t="s">
        <v>641</v>
      </c>
      <c r="E439" s="1">
        <v>45477</v>
      </c>
      <c r="F439" s="1">
        <v>45480</v>
      </c>
      <c r="G439" s="1">
        <v>45486</v>
      </c>
      <c r="H439" t="s">
        <v>8</v>
      </c>
      <c r="I439">
        <v>1880.48</v>
      </c>
      <c r="J439" t="s">
        <v>687</v>
      </c>
      <c r="K439">
        <v>6</v>
      </c>
    </row>
    <row r="440" spans="1:11" x14ac:dyDescent="0.35">
      <c r="A440" t="s">
        <v>2122</v>
      </c>
      <c r="B440" t="s">
        <v>488</v>
      </c>
      <c r="C440" t="s">
        <v>557</v>
      </c>
      <c r="D440" t="s">
        <v>641</v>
      </c>
      <c r="E440" s="1">
        <v>45132</v>
      </c>
      <c r="F440" s="1">
        <v>45134</v>
      </c>
      <c r="G440" s="1">
        <v>45159</v>
      </c>
      <c r="H440" t="s">
        <v>25</v>
      </c>
      <c r="I440">
        <v>1880.04</v>
      </c>
      <c r="J440" t="s">
        <v>687</v>
      </c>
      <c r="K440">
        <v>25</v>
      </c>
    </row>
    <row r="441" spans="1:11" x14ac:dyDescent="0.35">
      <c r="A441" t="s">
        <v>2517</v>
      </c>
      <c r="B441" t="s">
        <v>514</v>
      </c>
      <c r="C441" t="s">
        <v>591</v>
      </c>
      <c r="D441" t="s">
        <v>641</v>
      </c>
      <c r="E441" s="1">
        <v>45023</v>
      </c>
      <c r="F441" s="1">
        <v>45027</v>
      </c>
      <c r="G441" s="1">
        <v>45046</v>
      </c>
      <c r="H441" t="s">
        <v>13</v>
      </c>
      <c r="I441">
        <v>1870.25</v>
      </c>
      <c r="J441" t="s">
        <v>683</v>
      </c>
      <c r="K441">
        <v>19</v>
      </c>
    </row>
    <row r="442" spans="1:11" x14ac:dyDescent="0.35">
      <c r="A442" t="s">
        <v>2409</v>
      </c>
      <c r="B442" t="s">
        <v>491</v>
      </c>
      <c r="C442" t="s">
        <v>595</v>
      </c>
      <c r="D442" t="s">
        <v>641</v>
      </c>
      <c r="E442" s="1">
        <v>45292</v>
      </c>
      <c r="F442" s="1">
        <v>45293</v>
      </c>
      <c r="G442" s="1">
        <v>45309</v>
      </c>
      <c r="H442" t="s">
        <v>11</v>
      </c>
      <c r="I442">
        <v>1865.24</v>
      </c>
      <c r="J442" t="s">
        <v>683</v>
      </c>
      <c r="K442">
        <v>16</v>
      </c>
    </row>
    <row r="443" spans="1:11" x14ac:dyDescent="0.35">
      <c r="A443" t="s">
        <v>2496</v>
      </c>
      <c r="B443" t="s">
        <v>105</v>
      </c>
      <c r="C443" t="s">
        <v>607</v>
      </c>
      <c r="D443" t="s">
        <v>641</v>
      </c>
      <c r="E443" s="1">
        <v>45122</v>
      </c>
      <c r="F443" s="1">
        <v>45127</v>
      </c>
      <c r="G443" s="1">
        <v>45144</v>
      </c>
      <c r="H443" t="s">
        <v>20</v>
      </c>
      <c r="I443">
        <v>1860.63</v>
      </c>
      <c r="J443" t="s">
        <v>683</v>
      </c>
      <c r="K443">
        <v>17</v>
      </c>
    </row>
    <row r="444" spans="1:11" x14ac:dyDescent="0.35">
      <c r="A444" t="s">
        <v>1880</v>
      </c>
      <c r="B444" t="s">
        <v>283</v>
      </c>
      <c r="C444" t="s">
        <v>597</v>
      </c>
      <c r="D444" t="s">
        <v>641</v>
      </c>
      <c r="E444" s="1">
        <v>45364</v>
      </c>
      <c r="F444" s="1">
        <v>45366</v>
      </c>
      <c r="G444" s="1">
        <v>45373</v>
      </c>
      <c r="H444" t="s">
        <v>25</v>
      </c>
      <c r="I444">
        <v>1859.37</v>
      </c>
      <c r="J444" t="s">
        <v>683</v>
      </c>
      <c r="K444">
        <v>7</v>
      </c>
    </row>
    <row r="445" spans="1:11" x14ac:dyDescent="0.35">
      <c r="A445" t="s">
        <v>2634</v>
      </c>
      <c r="B445" t="s">
        <v>308</v>
      </c>
      <c r="C445" t="s">
        <v>609</v>
      </c>
      <c r="D445" t="s">
        <v>641</v>
      </c>
      <c r="E445" s="1">
        <v>45019</v>
      </c>
      <c r="F445" s="1">
        <v>45022</v>
      </c>
      <c r="G445" s="1">
        <v>45027</v>
      </c>
      <c r="H445" t="s">
        <v>25</v>
      </c>
      <c r="I445">
        <v>1852.19</v>
      </c>
      <c r="J445" t="s">
        <v>687</v>
      </c>
      <c r="K445">
        <v>5</v>
      </c>
    </row>
    <row r="446" spans="1:11" x14ac:dyDescent="0.35">
      <c r="A446" t="s">
        <v>2503</v>
      </c>
      <c r="B446" t="s">
        <v>276</v>
      </c>
      <c r="C446" t="s">
        <v>543</v>
      </c>
      <c r="D446" t="s">
        <v>641</v>
      </c>
      <c r="E446" s="1">
        <v>45203</v>
      </c>
      <c r="F446" s="1">
        <v>45207</v>
      </c>
      <c r="G446" s="1">
        <v>45226</v>
      </c>
      <c r="H446" t="s">
        <v>20</v>
      </c>
      <c r="I446">
        <v>1849.26</v>
      </c>
      <c r="J446" t="s">
        <v>683</v>
      </c>
      <c r="K446">
        <v>19</v>
      </c>
    </row>
    <row r="447" spans="1:11" x14ac:dyDescent="0.35">
      <c r="A447" t="s">
        <v>1411</v>
      </c>
      <c r="B447" t="s">
        <v>187</v>
      </c>
      <c r="C447" t="s">
        <v>583</v>
      </c>
      <c r="D447" t="s">
        <v>641</v>
      </c>
      <c r="E447" s="1">
        <v>45050</v>
      </c>
      <c r="F447" s="1">
        <v>45051</v>
      </c>
      <c r="G447" s="1">
        <v>45076</v>
      </c>
      <c r="H447" t="s">
        <v>11</v>
      </c>
      <c r="I447">
        <v>1849.01</v>
      </c>
      <c r="J447" t="s">
        <v>687</v>
      </c>
      <c r="K447">
        <v>25</v>
      </c>
    </row>
    <row r="448" spans="1:11" x14ac:dyDescent="0.35">
      <c r="A448" t="s">
        <v>2250</v>
      </c>
      <c r="B448" t="s">
        <v>410</v>
      </c>
      <c r="C448" t="s">
        <v>593</v>
      </c>
      <c r="D448" t="s">
        <v>641</v>
      </c>
      <c r="E448" s="1">
        <v>45066</v>
      </c>
      <c r="F448" s="1">
        <v>45068</v>
      </c>
      <c r="G448" s="1">
        <v>45073</v>
      </c>
      <c r="H448" t="s">
        <v>20</v>
      </c>
      <c r="I448">
        <v>1833.55</v>
      </c>
      <c r="J448" t="s">
        <v>683</v>
      </c>
      <c r="K448">
        <v>5</v>
      </c>
    </row>
    <row r="449" spans="1:11" x14ac:dyDescent="0.35">
      <c r="A449" t="s">
        <v>1404</v>
      </c>
      <c r="B449" t="s">
        <v>123</v>
      </c>
      <c r="C449" t="s">
        <v>561</v>
      </c>
      <c r="D449" t="s">
        <v>641</v>
      </c>
      <c r="E449" s="1">
        <v>45171</v>
      </c>
      <c r="F449" s="1">
        <v>45172</v>
      </c>
      <c r="G449" s="1">
        <v>45189</v>
      </c>
      <c r="H449" t="s">
        <v>8</v>
      </c>
      <c r="I449">
        <v>1832.44</v>
      </c>
      <c r="J449" t="s">
        <v>683</v>
      </c>
      <c r="K449">
        <v>17</v>
      </c>
    </row>
    <row r="450" spans="1:11" x14ac:dyDescent="0.35">
      <c r="A450" t="s">
        <v>2146</v>
      </c>
      <c r="B450" t="s">
        <v>475</v>
      </c>
      <c r="C450" t="s">
        <v>599</v>
      </c>
      <c r="D450" t="s">
        <v>641</v>
      </c>
      <c r="E450" s="1">
        <v>45652</v>
      </c>
      <c r="F450" s="1">
        <v>45654</v>
      </c>
      <c r="G450" s="1"/>
      <c r="H450" t="s">
        <v>20</v>
      </c>
      <c r="I450">
        <v>1825.07</v>
      </c>
      <c r="J450" t="s">
        <v>689</v>
      </c>
    </row>
    <row r="451" spans="1:11" x14ac:dyDescent="0.35">
      <c r="A451" t="s">
        <v>2354</v>
      </c>
      <c r="B451" t="s">
        <v>235</v>
      </c>
      <c r="C451" t="s">
        <v>521</v>
      </c>
      <c r="D451" t="s">
        <v>641</v>
      </c>
      <c r="E451" s="1">
        <v>45241</v>
      </c>
      <c r="F451" s="1">
        <v>45245</v>
      </c>
      <c r="G451" s="1">
        <v>45254</v>
      </c>
      <c r="H451" t="s">
        <v>25</v>
      </c>
      <c r="I451">
        <v>1821.38</v>
      </c>
      <c r="J451" t="s">
        <v>683</v>
      </c>
      <c r="K451">
        <v>9</v>
      </c>
    </row>
    <row r="452" spans="1:11" x14ac:dyDescent="0.35">
      <c r="A452" t="s">
        <v>2524</v>
      </c>
      <c r="B452" t="s">
        <v>70</v>
      </c>
      <c r="C452" t="s">
        <v>557</v>
      </c>
      <c r="D452" t="s">
        <v>641</v>
      </c>
      <c r="E452" s="1">
        <v>45588</v>
      </c>
      <c r="F452" s="1">
        <v>45590</v>
      </c>
      <c r="G452" s="1"/>
      <c r="H452" t="s">
        <v>11</v>
      </c>
      <c r="I452">
        <v>1818.46</v>
      </c>
      <c r="J452" t="s">
        <v>689</v>
      </c>
    </row>
    <row r="453" spans="1:11" x14ac:dyDescent="0.35">
      <c r="A453" t="s">
        <v>1551</v>
      </c>
      <c r="B453" t="s">
        <v>384</v>
      </c>
      <c r="C453" t="s">
        <v>531</v>
      </c>
      <c r="D453" t="s">
        <v>641</v>
      </c>
      <c r="E453" s="1">
        <v>45253</v>
      </c>
      <c r="F453" s="1">
        <v>45258</v>
      </c>
      <c r="G453" s="1">
        <v>45287</v>
      </c>
      <c r="H453" t="s">
        <v>13</v>
      </c>
      <c r="I453">
        <v>1817.68</v>
      </c>
      <c r="J453" t="s">
        <v>683</v>
      </c>
      <c r="K453">
        <v>29</v>
      </c>
    </row>
    <row r="454" spans="1:11" x14ac:dyDescent="0.35">
      <c r="A454" t="s">
        <v>1158</v>
      </c>
      <c r="B454" t="s">
        <v>208</v>
      </c>
      <c r="C454" t="s">
        <v>534</v>
      </c>
      <c r="D454" t="s">
        <v>641</v>
      </c>
      <c r="E454" s="1">
        <v>45371</v>
      </c>
      <c r="F454" s="1">
        <v>45376</v>
      </c>
      <c r="G454" s="1">
        <v>45388</v>
      </c>
      <c r="H454" t="s">
        <v>13</v>
      </c>
      <c r="I454">
        <v>1816.37</v>
      </c>
      <c r="J454" t="s">
        <v>683</v>
      </c>
      <c r="K454">
        <v>12</v>
      </c>
    </row>
    <row r="455" spans="1:11" x14ac:dyDescent="0.35">
      <c r="A455" t="s">
        <v>2477</v>
      </c>
      <c r="B455" t="s">
        <v>375</v>
      </c>
      <c r="C455" t="s">
        <v>589</v>
      </c>
      <c r="D455" t="s">
        <v>641</v>
      </c>
      <c r="E455" s="1">
        <v>45133</v>
      </c>
      <c r="F455" s="1">
        <v>45138</v>
      </c>
      <c r="G455" s="1">
        <v>45151</v>
      </c>
      <c r="H455" t="s">
        <v>20</v>
      </c>
      <c r="I455">
        <v>1809.73</v>
      </c>
      <c r="J455" t="s">
        <v>683</v>
      </c>
      <c r="K455">
        <v>13</v>
      </c>
    </row>
    <row r="456" spans="1:11" x14ac:dyDescent="0.35">
      <c r="A456" t="s">
        <v>1911</v>
      </c>
      <c r="B456" t="s">
        <v>264</v>
      </c>
      <c r="C456" t="s">
        <v>611</v>
      </c>
      <c r="D456" t="s">
        <v>641</v>
      </c>
      <c r="E456" s="1">
        <v>45149</v>
      </c>
      <c r="F456" s="1">
        <v>45154</v>
      </c>
      <c r="G456" s="1">
        <v>45179</v>
      </c>
      <c r="H456" t="s">
        <v>8</v>
      </c>
      <c r="I456">
        <v>1790.14</v>
      </c>
      <c r="J456" t="s">
        <v>683</v>
      </c>
      <c r="K456">
        <v>25</v>
      </c>
    </row>
    <row r="457" spans="1:11" x14ac:dyDescent="0.35">
      <c r="A457" t="s">
        <v>816</v>
      </c>
      <c r="B457" t="s">
        <v>391</v>
      </c>
      <c r="C457" t="s">
        <v>521</v>
      </c>
      <c r="D457" t="s">
        <v>641</v>
      </c>
      <c r="E457" s="1">
        <v>45558</v>
      </c>
      <c r="F457" s="1">
        <v>45561</v>
      </c>
      <c r="G457" s="1">
        <v>45591</v>
      </c>
      <c r="H457" t="s">
        <v>11</v>
      </c>
      <c r="I457">
        <v>1788.7</v>
      </c>
      <c r="J457" t="s">
        <v>687</v>
      </c>
      <c r="K457">
        <v>30</v>
      </c>
    </row>
    <row r="458" spans="1:11" x14ac:dyDescent="0.35">
      <c r="A458" t="s">
        <v>2175</v>
      </c>
      <c r="B458" t="s">
        <v>466</v>
      </c>
      <c r="C458" t="s">
        <v>593</v>
      </c>
      <c r="D458" t="s">
        <v>641</v>
      </c>
      <c r="E458" s="1">
        <v>45403</v>
      </c>
      <c r="F458" s="1">
        <v>45404</v>
      </c>
      <c r="G458" s="1">
        <v>45418</v>
      </c>
      <c r="H458" t="s">
        <v>20</v>
      </c>
      <c r="I458">
        <v>1785.46</v>
      </c>
      <c r="J458" t="s">
        <v>683</v>
      </c>
      <c r="K458">
        <v>14</v>
      </c>
    </row>
    <row r="459" spans="1:11" x14ac:dyDescent="0.35">
      <c r="A459" t="s">
        <v>1959</v>
      </c>
      <c r="B459" t="s">
        <v>457</v>
      </c>
      <c r="C459" t="s">
        <v>569</v>
      </c>
      <c r="D459" t="s">
        <v>641</v>
      </c>
      <c r="E459" s="1">
        <v>45288</v>
      </c>
      <c r="F459" s="1">
        <v>45290</v>
      </c>
      <c r="G459" s="1">
        <v>45306</v>
      </c>
      <c r="H459" t="s">
        <v>11</v>
      </c>
      <c r="I459">
        <v>1765.9</v>
      </c>
      <c r="J459" t="s">
        <v>683</v>
      </c>
      <c r="K459">
        <v>16</v>
      </c>
    </row>
    <row r="460" spans="1:11" x14ac:dyDescent="0.35">
      <c r="A460" t="s">
        <v>1774</v>
      </c>
      <c r="B460" t="s">
        <v>414</v>
      </c>
      <c r="C460" t="s">
        <v>601</v>
      </c>
      <c r="D460" t="s">
        <v>641</v>
      </c>
      <c r="E460" s="1">
        <v>45313</v>
      </c>
      <c r="F460" s="1">
        <v>45315</v>
      </c>
      <c r="G460" s="1">
        <v>45323</v>
      </c>
      <c r="H460" t="s">
        <v>8</v>
      </c>
      <c r="I460">
        <v>1755.36</v>
      </c>
      <c r="J460" t="s">
        <v>687</v>
      </c>
      <c r="K460">
        <v>8</v>
      </c>
    </row>
    <row r="461" spans="1:11" x14ac:dyDescent="0.35">
      <c r="A461" t="s">
        <v>1876</v>
      </c>
      <c r="B461" t="s">
        <v>484</v>
      </c>
      <c r="C461" t="s">
        <v>611</v>
      </c>
      <c r="D461" t="s">
        <v>641</v>
      </c>
      <c r="E461" s="1">
        <v>45613</v>
      </c>
      <c r="F461" s="1">
        <v>45616</v>
      </c>
      <c r="G461" s="1">
        <v>45631</v>
      </c>
      <c r="H461" t="s">
        <v>8</v>
      </c>
      <c r="I461">
        <v>1751.85</v>
      </c>
      <c r="J461" t="s">
        <v>683</v>
      </c>
      <c r="K461">
        <v>15</v>
      </c>
    </row>
    <row r="462" spans="1:11" x14ac:dyDescent="0.35">
      <c r="A462" t="s">
        <v>2499</v>
      </c>
      <c r="B462" t="s">
        <v>70</v>
      </c>
      <c r="C462" t="s">
        <v>559</v>
      </c>
      <c r="D462" t="s">
        <v>663</v>
      </c>
      <c r="E462" s="1">
        <v>45209</v>
      </c>
      <c r="F462" s="1">
        <v>45210</v>
      </c>
      <c r="G462" s="1"/>
      <c r="H462" t="s">
        <v>11</v>
      </c>
      <c r="I462">
        <v>1748.53</v>
      </c>
      <c r="J462" t="s">
        <v>689</v>
      </c>
    </row>
    <row r="463" spans="1:11" x14ac:dyDescent="0.35">
      <c r="A463" t="s">
        <v>891</v>
      </c>
      <c r="B463" t="s">
        <v>475</v>
      </c>
      <c r="C463" t="s">
        <v>559</v>
      </c>
      <c r="D463" t="s">
        <v>641</v>
      </c>
      <c r="E463" s="1">
        <v>44992</v>
      </c>
      <c r="F463" s="1">
        <v>44994</v>
      </c>
      <c r="G463" s="1">
        <v>45023</v>
      </c>
      <c r="H463" t="s">
        <v>20</v>
      </c>
      <c r="I463">
        <v>1743.63</v>
      </c>
      <c r="J463" t="s">
        <v>687</v>
      </c>
      <c r="K463">
        <v>29</v>
      </c>
    </row>
    <row r="464" spans="1:11" x14ac:dyDescent="0.35">
      <c r="A464" t="s">
        <v>1273</v>
      </c>
      <c r="B464" t="s">
        <v>201</v>
      </c>
      <c r="C464" t="s">
        <v>559</v>
      </c>
      <c r="D464" t="s">
        <v>663</v>
      </c>
      <c r="E464" s="1">
        <v>45596</v>
      </c>
      <c r="F464" s="1">
        <v>45601</v>
      </c>
      <c r="G464" s="1">
        <v>45609</v>
      </c>
      <c r="H464" t="s">
        <v>8</v>
      </c>
      <c r="I464">
        <v>1743.31</v>
      </c>
      <c r="J464" t="s">
        <v>683</v>
      </c>
      <c r="K464">
        <v>8</v>
      </c>
    </row>
    <row r="465" spans="1:11" x14ac:dyDescent="0.35">
      <c r="A465" t="s">
        <v>766</v>
      </c>
      <c r="B465" t="s">
        <v>110</v>
      </c>
      <c r="C465" t="s">
        <v>581</v>
      </c>
      <c r="D465" t="s">
        <v>663</v>
      </c>
      <c r="E465" s="1">
        <v>45063</v>
      </c>
      <c r="F465" s="1">
        <v>45065</v>
      </c>
      <c r="G465" s="1">
        <v>45093</v>
      </c>
      <c r="H465" t="s">
        <v>25</v>
      </c>
      <c r="I465">
        <v>1739.35</v>
      </c>
      <c r="J465" t="s">
        <v>687</v>
      </c>
      <c r="K465">
        <v>28</v>
      </c>
    </row>
    <row r="466" spans="1:11" x14ac:dyDescent="0.35">
      <c r="A466" t="s">
        <v>2201</v>
      </c>
      <c r="B466" t="s">
        <v>253</v>
      </c>
      <c r="C466" t="s">
        <v>534</v>
      </c>
      <c r="D466" t="s">
        <v>641</v>
      </c>
      <c r="E466" s="1">
        <v>45414</v>
      </c>
      <c r="F466" s="1">
        <v>45416</v>
      </c>
      <c r="G466" s="1">
        <v>45431</v>
      </c>
      <c r="H466" t="s">
        <v>8</v>
      </c>
      <c r="I466">
        <v>1730.94</v>
      </c>
      <c r="J466" t="s">
        <v>683</v>
      </c>
      <c r="K466">
        <v>15</v>
      </c>
    </row>
    <row r="467" spans="1:11" x14ac:dyDescent="0.35">
      <c r="A467" t="s">
        <v>2519</v>
      </c>
      <c r="B467" t="s">
        <v>251</v>
      </c>
      <c r="C467" t="s">
        <v>583</v>
      </c>
      <c r="D467" t="s">
        <v>663</v>
      </c>
      <c r="E467" s="1">
        <v>45063</v>
      </c>
      <c r="F467" s="1">
        <v>45066</v>
      </c>
      <c r="G467" s="1">
        <v>45086</v>
      </c>
      <c r="H467" t="s">
        <v>13</v>
      </c>
      <c r="I467">
        <v>1727.03</v>
      </c>
      <c r="J467" t="s">
        <v>683</v>
      </c>
      <c r="K467">
        <v>20</v>
      </c>
    </row>
    <row r="468" spans="1:11" x14ac:dyDescent="0.35">
      <c r="A468" t="s">
        <v>719</v>
      </c>
      <c r="B468" t="s">
        <v>516</v>
      </c>
      <c r="C468" t="s">
        <v>549</v>
      </c>
      <c r="D468" t="s">
        <v>641</v>
      </c>
      <c r="E468" s="1">
        <v>45262</v>
      </c>
      <c r="F468" s="1">
        <v>45265</v>
      </c>
      <c r="G468" s="1">
        <v>45288</v>
      </c>
      <c r="H468" t="s">
        <v>8</v>
      </c>
      <c r="I468">
        <v>1722.63</v>
      </c>
      <c r="J468" t="s">
        <v>683</v>
      </c>
      <c r="K468">
        <v>23</v>
      </c>
    </row>
    <row r="469" spans="1:11" x14ac:dyDescent="0.35">
      <c r="A469" t="s">
        <v>2305</v>
      </c>
      <c r="B469" t="s">
        <v>215</v>
      </c>
      <c r="C469" t="s">
        <v>575</v>
      </c>
      <c r="D469" t="s">
        <v>663</v>
      </c>
      <c r="E469" s="1">
        <v>45615</v>
      </c>
      <c r="F469" s="1">
        <v>45616</v>
      </c>
      <c r="G469" s="1">
        <v>45625</v>
      </c>
      <c r="H469" t="s">
        <v>11</v>
      </c>
      <c r="I469">
        <v>1722.35</v>
      </c>
      <c r="J469" t="s">
        <v>683</v>
      </c>
      <c r="K469">
        <v>9</v>
      </c>
    </row>
    <row r="470" spans="1:11" x14ac:dyDescent="0.35">
      <c r="A470" t="s">
        <v>2675</v>
      </c>
      <c r="B470" t="s">
        <v>263</v>
      </c>
      <c r="C470" t="s">
        <v>557</v>
      </c>
      <c r="D470" t="s">
        <v>663</v>
      </c>
      <c r="E470" s="1">
        <v>45249</v>
      </c>
      <c r="F470" s="1">
        <v>45251</v>
      </c>
      <c r="G470" s="1">
        <v>45269</v>
      </c>
      <c r="H470" t="s">
        <v>20</v>
      </c>
      <c r="I470">
        <v>1717.09</v>
      </c>
      <c r="J470" t="s">
        <v>687</v>
      </c>
      <c r="K470">
        <v>18</v>
      </c>
    </row>
    <row r="471" spans="1:11" x14ac:dyDescent="0.35">
      <c r="A471" t="s">
        <v>1474</v>
      </c>
      <c r="B471" t="s">
        <v>204</v>
      </c>
      <c r="C471" t="s">
        <v>611</v>
      </c>
      <c r="D471" t="s">
        <v>663</v>
      </c>
      <c r="E471" s="1">
        <v>45485</v>
      </c>
      <c r="F471" s="1">
        <v>45487</v>
      </c>
      <c r="G471" s="1">
        <v>45507</v>
      </c>
      <c r="H471" t="s">
        <v>8</v>
      </c>
      <c r="I471">
        <v>1712.06</v>
      </c>
      <c r="J471" t="s">
        <v>683</v>
      </c>
      <c r="K471">
        <v>20</v>
      </c>
    </row>
    <row r="472" spans="1:11" x14ac:dyDescent="0.35">
      <c r="A472" t="s">
        <v>2007</v>
      </c>
      <c r="B472" t="s">
        <v>92</v>
      </c>
      <c r="C472" t="s">
        <v>601</v>
      </c>
      <c r="D472" t="s">
        <v>641</v>
      </c>
      <c r="E472" s="1">
        <v>45330</v>
      </c>
      <c r="F472" s="1">
        <v>45334</v>
      </c>
      <c r="G472" s="1">
        <v>45363</v>
      </c>
      <c r="H472" t="s">
        <v>25</v>
      </c>
      <c r="I472">
        <v>1705.84</v>
      </c>
      <c r="J472" t="s">
        <v>683</v>
      </c>
      <c r="K472">
        <v>29</v>
      </c>
    </row>
    <row r="473" spans="1:11" x14ac:dyDescent="0.35">
      <c r="A473" t="s">
        <v>2064</v>
      </c>
      <c r="B473" t="s">
        <v>383</v>
      </c>
      <c r="C473" t="s">
        <v>589</v>
      </c>
      <c r="D473" t="s">
        <v>663</v>
      </c>
      <c r="E473" s="1">
        <v>45294</v>
      </c>
      <c r="F473" s="1">
        <v>45295</v>
      </c>
      <c r="G473" s="1">
        <v>45315</v>
      </c>
      <c r="H473" t="s">
        <v>8</v>
      </c>
      <c r="I473">
        <v>1704.55</v>
      </c>
      <c r="J473" t="s">
        <v>683</v>
      </c>
      <c r="K473">
        <v>20</v>
      </c>
    </row>
    <row r="474" spans="1:11" x14ac:dyDescent="0.35">
      <c r="A474" t="s">
        <v>1885</v>
      </c>
      <c r="B474" t="s">
        <v>409</v>
      </c>
      <c r="C474" t="s">
        <v>603</v>
      </c>
      <c r="D474" t="s">
        <v>641</v>
      </c>
      <c r="E474" s="1">
        <v>45415</v>
      </c>
      <c r="F474" s="1">
        <v>45420</v>
      </c>
      <c r="G474" s="1">
        <v>45430</v>
      </c>
      <c r="H474" t="s">
        <v>8</v>
      </c>
      <c r="I474">
        <v>1704.11</v>
      </c>
      <c r="J474" t="s">
        <v>687</v>
      </c>
      <c r="K474">
        <v>10</v>
      </c>
    </row>
    <row r="475" spans="1:11" x14ac:dyDescent="0.35">
      <c r="A475" t="s">
        <v>1444</v>
      </c>
      <c r="B475" t="s">
        <v>355</v>
      </c>
      <c r="C475" t="s">
        <v>563</v>
      </c>
      <c r="D475" t="s">
        <v>663</v>
      </c>
      <c r="E475" s="1">
        <v>45065</v>
      </c>
      <c r="F475" s="1">
        <v>45069</v>
      </c>
      <c r="G475" s="1">
        <v>45099</v>
      </c>
      <c r="H475" t="s">
        <v>11</v>
      </c>
      <c r="I475">
        <v>1703.87</v>
      </c>
      <c r="J475" t="s">
        <v>683</v>
      </c>
      <c r="K475">
        <v>30</v>
      </c>
    </row>
    <row r="476" spans="1:11" x14ac:dyDescent="0.35">
      <c r="A476" t="s">
        <v>693</v>
      </c>
      <c r="B476" t="s">
        <v>251</v>
      </c>
      <c r="C476" t="s">
        <v>553</v>
      </c>
      <c r="D476" t="s">
        <v>641</v>
      </c>
      <c r="E476" s="1">
        <v>45137</v>
      </c>
      <c r="F476" s="1">
        <v>45142</v>
      </c>
      <c r="G476" s="1">
        <v>45156</v>
      </c>
      <c r="H476" t="s">
        <v>13</v>
      </c>
      <c r="I476">
        <v>1702.89</v>
      </c>
      <c r="J476" t="s">
        <v>683</v>
      </c>
      <c r="K476">
        <v>14</v>
      </c>
    </row>
    <row r="477" spans="1:11" x14ac:dyDescent="0.35">
      <c r="A477" t="s">
        <v>2032</v>
      </c>
      <c r="B477" t="s">
        <v>181</v>
      </c>
      <c r="C477" t="s">
        <v>593</v>
      </c>
      <c r="D477" t="s">
        <v>663</v>
      </c>
      <c r="E477" s="1">
        <v>44967</v>
      </c>
      <c r="F477" s="1">
        <v>44971</v>
      </c>
      <c r="G477" s="1">
        <v>44992</v>
      </c>
      <c r="H477" t="s">
        <v>20</v>
      </c>
      <c r="I477">
        <v>1699.74</v>
      </c>
      <c r="J477" t="s">
        <v>687</v>
      </c>
      <c r="K477">
        <v>21</v>
      </c>
    </row>
    <row r="478" spans="1:11" x14ac:dyDescent="0.35">
      <c r="A478" t="s">
        <v>1560</v>
      </c>
      <c r="B478" t="s">
        <v>489</v>
      </c>
      <c r="C478" t="s">
        <v>537</v>
      </c>
      <c r="D478" t="s">
        <v>663</v>
      </c>
      <c r="E478" s="1">
        <v>45475</v>
      </c>
      <c r="F478" s="1">
        <v>45478</v>
      </c>
      <c r="G478" s="1">
        <v>45493</v>
      </c>
      <c r="H478" t="s">
        <v>11</v>
      </c>
      <c r="I478">
        <v>1693.28</v>
      </c>
      <c r="J478" t="s">
        <v>683</v>
      </c>
      <c r="K478">
        <v>15</v>
      </c>
    </row>
    <row r="479" spans="1:11" x14ac:dyDescent="0.35">
      <c r="A479" t="s">
        <v>961</v>
      </c>
      <c r="B479" t="s">
        <v>171</v>
      </c>
      <c r="C479" t="s">
        <v>546</v>
      </c>
      <c r="D479" t="s">
        <v>641</v>
      </c>
      <c r="E479" s="1">
        <v>45312</v>
      </c>
      <c r="F479" s="1">
        <v>45316</v>
      </c>
      <c r="G479" s="1">
        <v>45333</v>
      </c>
      <c r="H479" t="s">
        <v>8</v>
      </c>
      <c r="I479">
        <v>1688.89</v>
      </c>
      <c r="J479" t="s">
        <v>683</v>
      </c>
      <c r="K479">
        <v>17</v>
      </c>
    </row>
    <row r="480" spans="1:11" x14ac:dyDescent="0.35">
      <c r="A480" t="s">
        <v>1283</v>
      </c>
      <c r="B480" t="s">
        <v>193</v>
      </c>
      <c r="C480" t="s">
        <v>555</v>
      </c>
      <c r="D480" t="s">
        <v>641</v>
      </c>
      <c r="E480" s="1">
        <v>45520</v>
      </c>
      <c r="F480" s="1">
        <v>45523</v>
      </c>
      <c r="G480" s="1">
        <v>45526</v>
      </c>
      <c r="H480" t="s">
        <v>20</v>
      </c>
      <c r="I480">
        <v>1685.14</v>
      </c>
      <c r="J480" t="s">
        <v>683</v>
      </c>
      <c r="K480">
        <v>3</v>
      </c>
    </row>
    <row r="481" spans="1:11" x14ac:dyDescent="0.35">
      <c r="A481" t="s">
        <v>1506</v>
      </c>
      <c r="B481" t="s">
        <v>488</v>
      </c>
      <c r="C481" t="s">
        <v>571</v>
      </c>
      <c r="D481" t="s">
        <v>641</v>
      </c>
      <c r="E481" s="1">
        <v>45657</v>
      </c>
      <c r="F481" s="1">
        <v>45659</v>
      </c>
      <c r="G481" s="1">
        <v>45673</v>
      </c>
      <c r="H481" t="s">
        <v>25</v>
      </c>
      <c r="I481">
        <v>1682.35</v>
      </c>
      <c r="J481" t="s">
        <v>683</v>
      </c>
      <c r="K481">
        <v>14</v>
      </c>
    </row>
    <row r="482" spans="1:11" x14ac:dyDescent="0.35">
      <c r="A482" t="s">
        <v>2088</v>
      </c>
      <c r="B482" t="s">
        <v>294</v>
      </c>
      <c r="C482" t="s">
        <v>601</v>
      </c>
      <c r="D482" t="s">
        <v>641</v>
      </c>
      <c r="E482" s="1">
        <v>45174</v>
      </c>
      <c r="F482" s="1">
        <v>45176</v>
      </c>
      <c r="G482" s="1"/>
      <c r="H482" t="s">
        <v>11</v>
      </c>
      <c r="I482">
        <v>1681.56</v>
      </c>
      <c r="J482" t="s">
        <v>689</v>
      </c>
    </row>
    <row r="483" spans="1:11" x14ac:dyDescent="0.35">
      <c r="A483" t="s">
        <v>1508</v>
      </c>
      <c r="B483" t="s">
        <v>158</v>
      </c>
      <c r="C483" t="s">
        <v>605</v>
      </c>
      <c r="D483" t="s">
        <v>663</v>
      </c>
      <c r="E483" s="1">
        <v>45530</v>
      </c>
      <c r="F483" s="1">
        <v>45534</v>
      </c>
      <c r="G483" s="1">
        <v>45551</v>
      </c>
      <c r="H483" t="s">
        <v>11</v>
      </c>
      <c r="I483">
        <v>1679</v>
      </c>
      <c r="J483" t="s">
        <v>683</v>
      </c>
      <c r="K483">
        <v>17</v>
      </c>
    </row>
    <row r="484" spans="1:11" x14ac:dyDescent="0.35">
      <c r="A484" t="s">
        <v>1232</v>
      </c>
      <c r="B484" t="s">
        <v>413</v>
      </c>
      <c r="C484" t="s">
        <v>589</v>
      </c>
      <c r="D484" t="s">
        <v>641</v>
      </c>
      <c r="E484" s="1">
        <v>45244</v>
      </c>
      <c r="F484" s="1">
        <v>45249</v>
      </c>
      <c r="G484" s="1">
        <v>45275</v>
      </c>
      <c r="H484" t="s">
        <v>8</v>
      </c>
      <c r="I484">
        <v>1675.26</v>
      </c>
      <c r="J484" t="s">
        <v>683</v>
      </c>
      <c r="K484">
        <v>26</v>
      </c>
    </row>
    <row r="485" spans="1:11" x14ac:dyDescent="0.35">
      <c r="A485" t="s">
        <v>2111</v>
      </c>
      <c r="B485" t="s">
        <v>355</v>
      </c>
      <c r="C485" t="s">
        <v>587</v>
      </c>
      <c r="D485" t="s">
        <v>663</v>
      </c>
      <c r="E485" s="1">
        <v>44964</v>
      </c>
      <c r="F485" s="1">
        <v>44967</v>
      </c>
      <c r="G485" s="1">
        <v>44993</v>
      </c>
      <c r="H485" t="s">
        <v>11</v>
      </c>
      <c r="I485">
        <v>1665.31</v>
      </c>
      <c r="J485" t="s">
        <v>683</v>
      </c>
      <c r="K485">
        <v>26</v>
      </c>
    </row>
    <row r="486" spans="1:11" x14ac:dyDescent="0.35">
      <c r="A486" t="s">
        <v>2179</v>
      </c>
      <c r="B486" t="s">
        <v>332</v>
      </c>
      <c r="C486" t="s">
        <v>577</v>
      </c>
      <c r="D486" t="s">
        <v>641</v>
      </c>
      <c r="E486" s="1">
        <v>45188</v>
      </c>
      <c r="F486" s="1">
        <v>45189</v>
      </c>
      <c r="G486" s="1">
        <v>45192</v>
      </c>
      <c r="H486" t="s">
        <v>20</v>
      </c>
      <c r="I486">
        <v>1662.71</v>
      </c>
      <c r="J486" t="s">
        <v>683</v>
      </c>
      <c r="K486">
        <v>3</v>
      </c>
    </row>
    <row r="487" spans="1:11" x14ac:dyDescent="0.35">
      <c r="A487" t="s">
        <v>986</v>
      </c>
      <c r="B487" t="s">
        <v>120</v>
      </c>
      <c r="C487" t="s">
        <v>581</v>
      </c>
      <c r="D487" t="s">
        <v>663</v>
      </c>
      <c r="E487" s="1">
        <v>45195</v>
      </c>
      <c r="F487" s="1">
        <v>45196</v>
      </c>
      <c r="G487" s="1">
        <v>45223</v>
      </c>
      <c r="H487" t="s">
        <v>13</v>
      </c>
      <c r="I487">
        <v>1662.08</v>
      </c>
      <c r="J487" t="s">
        <v>683</v>
      </c>
      <c r="K487">
        <v>27</v>
      </c>
    </row>
    <row r="488" spans="1:11" x14ac:dyDescent="0.35">
      <c r="A488" t="s">
        <v>2050</v>
      </c>
      <c r="B488" t="s">
        <v>46</v>
      </c>
      <c r="C488" t="s">
        <v>607</v>
      </c>
      <c r="D488" t="s">
        <v>641</v>
      </c>
      <c r="E488" s="1">
        <v>45229</v>
      </c>
      <c r="F488" s="1">
        <v>45234</v>
      </c>
      <c r="G488" s="1"/>
      <c r="H488" t="s">
        <v>11</v>
      </c>
      <c r="I488">
        <v>1658.77</v>
      </c>
      <c r="J488" t="s">
        <v>689</v>
      </c>
    </row>
    <row r="489" spans="1:11" x14ac:dyDescent="0.35">
      <c r="A489" t="s">
        <v>1500</v>
      </c>
      <c r="B489" t="s">
        <v>153</v>
      </c>
      <c r="C489" t="s">
        <v>591</v>
      </c>
      <c r="D489" t="s">
        <v>663</v>
      </c>
      <c r="E489" s="1">
        <v>45325</v>
      </c>
      <c r="F489" s="1">
        <v>45326</v>
      </c>
      <c r="G489" s="1"/>
      <c r="H489" t="s">
        <v>13</v>
      </c>
      <c r="I489">
        <v>1654.99</v>
      </c>
      <c r="J489" t="s">
        <v>689</v>
      </c>
    </row>
    <row r="490" spans="1:11" x14ac:dyDescent="0.35">
      <c r="A490" t="s">
        <v>1363</v>
      </c>
      <c r="B490" t="s">
        <v>353</v>
      </c>
      <c r="C490" t="s">
        <v>549</v>
      </c>
      <c r="D490" t="s">
        <v>663</v>
      </c>
      <c r="E490" s="1">
        <v>45347</v>
      </c>
      <c r="F490" s="1">
        <v>45348</v>
      </c>
      <c r="G490" s="1"/>
      <c r="H490" t="s">
        <v>20</v>
      </c>
      <c r="I490">
        <v>1652.8</v>
      </c>
      <c r="J490" t="s">
        <v>689</v>
      </c>
    </row>
    <row r="491" spans="1:11" x14ac:dyDescent="0.35">
      <c r="A491" t="s">
        <v>2306</v>
      </c>
      <c r="B491" t="s">
        <v>62</v>
      </c>
      <c r="C491" t="s">
        <v>540</v>
      </c>
      <c r="D491" t="s">
        <v>641</v>
      </c>
      <c r="E491" s="1">
        <v>45130</v>
      </c>
      <c r="F491" s="1">
        <v>45134</v>
      </c>
      <c r="G491" s="1">
        <v>45153</v>
      </c>
      <c r="H491" t="s">
        <v>8</v>
      </c>
      <c r="I491">
        <v>1646.38</v>
      </c>
      <c r="J491" t="s">
        <v>687</v>
      </c>
      <c r="K491">
        <v>19</v>
      </c>
    </row>
    <row r="492" spans="1:11" x14ac:dyDescent="0.35">
      <c r="A492" t="s">
        <v>2523</v>
      </c>
      <c r="B492" t="s">
        <v>425</v>
      </c>
      <c r="C492" t="s">
        <v>581</v>
      </c>
      <c r="D492" t="s">
        <v>641</v>
      </c>
      <c r="E492" s="1">
        <v>44965</v>
      </c>
      <c r="F492" s="1">
        <v>44966</v>
      </c>
      <c r="G492" s="1"/>
      <c r="H492" t="s">
        <v>25</v>
      </c>
      <c r="I492">
        <v>1645.69</v>
      </c>
      <c r="J492" t="s">
        <v>689</v>
      </c>
    </row>
    <row r="493" spans="1:11" x14ac:dyDescent="0.35">
      <c r="A493" t="s">
        <v>1456</v>
      </c>
      <c r="B493" t="s">
        <v>309</v>
      </c>
      <c r="C493" t="s">
        <v>527</v>
      </c>
      <c r="D493" t="s">
        <v>663</v>
      </c>
      <c r="E493" s="1">
        <v>45199</v>
      </c>
      <c r="F493" s="1">
        <v>45201</v>
      </c>
      <c r="G493" s="1">
        <v>45226</v>
      </c>
      <c r="H493" t="s">
        <v>13</v>
      </c>
      <c r="I493">
        <v>1643.18</v>
      </c>
      <c r="J493" t="s">
        <v>683</v>
      </c>
      <c r="K493">
        <v>25</v>
      </c>
    </row>
    <row r="494" spans="1:11" x14ac:dyDescent="0.35">
      <c r="A494" t="s">
        <v>2373</v>
      </c>
      <c r="B494" t="s">
        <v>115</v>
      </c>
      <c r="C494" t="s">
        <v>611</v>
      </c>
      <c r="D494" t="s">
        <v>663</v>
      </c>
      <c r="E494" s="1">
        <v>44972</v>
      </c>
      <c r="F494" s="1">
        <v>44973</v>
      </c>
      <c r="G494" s="1"/>
      <c r="H494" t="s">
        <v>20</v>
      </c>
      <c r="I494">
        <v>1642.46</v>
      </c>
      <c r="J494" t="s">
        <v>689</v>
      </c>
    </row>
    <row r="495" spans="1:11" x14ac:dyDescent="0.35">
      <c r="A495" t="s">
        <v>1940</v>
      </c>
      <c r="B495" t="s">
        <v>464</v>
      </c>
      <c r="C495" t="s">
        <v>565</v>
      </c>
      <c r="D495" t="s">
        <v>641</v>
      </c>
      <c r="E495" s="1">
        <v>45283</v>
      </c>
      <c r="F495" s="1">
        <v>45284</v>
      </c>
      <c r="G495" s="1">
        <v>45314</v>
      </c>
      <c r="H495" t="s">
        <v>11</v>
      </c>
      <c r="I495">
        <v>1629.62</v>
      </c>
      <c r="J495" t="s">
        <v>683</v>
      </c>
      <c r="K495">
        <v>30</v>
      </c>
    </row>
    <row r="496" spans="1:11" x14ac:dyDescent="0.35">
      <c r="A496" t="s">
        <v>1736</v>
      </c>
      <c r="B496" t="s">
        <v>29</v>
      </c>
      <c r="C496" t="s">
        <v>601</v>
      </c>
      <c r="D496" t="s">
        <v>641</v>
      </c>
      <c r="E496" s="1">
        <v>45385</v>
      </c>
      <c r="F496" s="1">
        <v>45388</v>
      </c>
      <c r="G496" s="1">
        <v>45399</v>
      </c>
      <c r="H496" t="s">
        <v>8</v>
      </c>
      <c r="I496">
        <v>1628.79</v>
      </c>
      <c r="J496" t="s">
        <v>683</v>
      </c>
      <c r="K496">
        <v>11</v>
      </c>
    </row>
    <row r="497" spans="1:11" x14ac:dyDescent="0.35">
      <c r="A497" t="s">
        <v>2602</v>
      </c>
      <c r="B497" t="s">
        <v>299</v>
      </c>
      <c r="C497" t="s">
        <v>561</v>
      </c>
      <c r="D497" t="s">
        <v>663</v>
      </c>
      <c r="E497" s="1">
        <v>45359</v>
      </c>
      <c r="F497" s="1">
        <v>45364</v>
      </c>
      <c r="G497" s="1">
        <v>45368</v>
      </c>
      <c r="H497" t="s">
        <v>25</v>
      </c>
      <c r="I497">
        <v>1625.6</v>
      </c>
      <c r="J497" t="s">
        <v>683</v>
      </c>
      <c r="K497">
        <v>4</v>
      </c>
    </row>
    <row r="498" spans="1:11" x14ac:dyDescent="0.35">
      <c r="A498" t="s">
        <v>1543</v>
      </c>
      <c r="B498" t="s">
        <v>450</v>
      </c>
      <c r="C498" t="s">
        <v>521</v>
      </c>
      <c r="D498" t="s">
        <v>663</v>
      </c>
      <c r="E498" s="1">
        <v>44983</v>
      </c>
      <c r="F498" s="1">
        <v>44985</v>
      </c>
      <c r="G498" s="1">
        <v>45010</v>
      </c>
      <c r="H498" t="s">
        <v>20</v>
      </c>
      <c r="I498">
        <v>1619.03</v>
      </c>
      <c r="J498" t="s">
        <v>683</v>
      </c>
      <c r="K498">
        <v>25</v>
      </c>
    </row>
    <row r="499" spans="1:11" x14ac:dyDescent="0.35">
      <c r="A499" t="s">
        <v>2316</v>
      </c>
      <c r="B499" t="s">
        <v>277</v>
      </c>
      <c r="C499" t="s">
        <v>597</v>
      </c>
      <c r="D499" t="s">
        <v>663</v>
      </c>
      <c r="E499" s="1">
        <v>44948</v>
      </c>
      <c r="F499" s="1">
        <v>44953</v>
      </c>
      <c r="G499" s="1">
        <v>44965</v>
      </c>
      <c r="H499" t="s">
        <v>13</v>
      </c>
      <c r="I499">
        <v>1618.9</v>
      </c>
      <c r="J499" t="s">
        <v>687</v>
      </c>
      <c r="K499">
        <v>12</v>
      </c>
    </row>
    <row r="500" spans="1:11" x14ac:dyDescent="0.35">
      <c r="A500" t="s">
        <v>2599</v>
      </c>
      <c r="B500" t="s">
        <v>260</v>
      </c>
      <c r="C500" t="s">
        <v>583</v>
      </c>
      <c r="D500" t="s">
        <v>663</v>
      </c>
      <c r="E500" s="1">
        <v>45165</v>
      </c>
      <c r="F500" s="1">
        <v>45168</v>
      </c>
      <c r="G500" s="1">
        <v>45178</v>
      </c>
      <c r="H500" t="s">
        <v>25</v>
      </c>
      <c r="I500">
        <v>1607.8</v>
      </c>
      <c r="J500" t="s">
        <v>683</v>
      </c>
      <c r="K500">
        <v>10</v>
      </c>
    </row>
    <row r="501" spans="1:11" x14ac:dyDescent="0.35">
      <c r="A501" t="s">
        <v>809</v>
      </c>
      <c r="B501" t="s">
        <v>503</v>
      </c>
      <c r="C501" t="s">
        <v>553</v>
      </c>
      <c r="D501" t="s">
        <v>663</v>
      </c>
      <c r="E501" s="1">
        <v>45544</v>
      </c>
      <c r="F501" s="1">
        <v>45549</v>
      </c>
      <c r="G501" s="1">
        <v>45578</v>
      </c>
      <c r="H501" t="s">
        <v>20</v>
      </c>
      <c r="I501">
        <v>1580.58</v>
      </c>
      <c r="J501" t="s">
        <v>683</v>
      </c>
      <c r="K501">
        <v>29</v>
      </c>
    </row>
    <row r="502" spans="1:11" x14ac:dyDescent="0.35">
      <c r="A502" t="s">
        <v>1802</v>
      </c>
      <c r="B502" t="s">
        <v>503</v>
      </c>
      <c r="C502" t="s">
        <v>577</v>
      </c>
      <c r="D502" t="s">
        <v>663</v>
      </c>
      <c r="E502" s="1">
        <v>45427</v>
      </c>
      <c r="F502" s="1">
        <v>45431</v>
      </c>
      <c r="G502" s="1">
        <v>45435</v>
      </c>
      <c r="H502" t="s">
        <v>20</v>
      </c>
      <c r="I502">
        <v>1563.53</v>
      </c>
      <c r="J502" t="s">
        <v>683</v>
      </c>
      <c r="K502">
        <v>4</v>
      </c>
    </row>
    <row r="503" spans="1:11" x14ac:dyDescent="0.35">
      <c r="A503" t="s">
        <v>2221</v>
      </c>
      <c r="B503" t="s">
        <v>23</v>
      </c>
      <c r="C503" t="s">
        <v>597</v>
      </c>
      <c r="D503" t="s">
        <v>663</v>
      </c>
      <c r="E503" s="1">
        <v>45481</v>
      </c>
      <c r="F503" s="1">
        <v>45483</v>
      </c>
      <c r="G503" s="1">
        <v>45505</v>
      </c>
      <c r="H503" t="s">
        <v>25</v>
      </c>
      <c r="I503">
        <v>1558.76</v>
      </c>
      <c r="J503" t="s">
        <v>683</v>
      </c>
      <c r="K503">
        <v>22</v>
      </c>
    </row>
    <row r="504" spans="1:11" x14ac:dyDescent="0.35">
      <c r="A504" t="s">
        <v>2587</v>
      </c>
      <c r="B504" t="s">
        <v>87</v>
      </c>
      <c r="C504" t="s">
        <v>569</v>
      </c>
      <c r="D504" t="s">
        <v>663</v>
      </c>
      <c r="E504" s="1">
        <v>45101</v>
      </c>
      <c r="F504" s="1">
        <v>45106</v>
      </c>
      <c r="G504" s="1">
        <v>45130</v>
      </c>
      <c r="H504" t="s">
        <v>8</v>
      </c>
      <c r="I504">
        <v>1555.38</v>
      </c>
      <c r="J504" t="s">
        <v>687</v>
      </c>
      <c r="K504">
        <v>24</v>
      </c>
    </row>
    <row r="505" spans="1:11" x14ac:dyDescent="0.35">
      <c r="A505" t="s">
        <v>959</v>
      </c>
      <c r="B505" t="s">
        <v>205</v>
      </c>
      <c r="C505" t="s">
        <v>543</v>
      </c>
      <c r="D505" t="s">
        <v>663</v>
      </c>
      <c r="E505" s="1">
        <v>45380</v>
      </c>
      <c r="F505" s="1">
        <v>45381</v>
      </c>
      <c r="G505" s="1">
        <v>45397</v>
      </c>
      <c r="H505" t="s">
        <v>11</v>
      </c>
      <c r="I505">
        <v>1553.65</v>
      </c>
      <c r="J505" t="s">
        <v>683</v>
      </c>
      <c r="K505">
        <v>16</v>
      </c>
    </row>
    <row r="506" spans="1:11" x14ac:dyDescent="0.35">
      <c r="A506" t="s">
        <v>1146</v>
      </c>
      <c r="B506" t="s">
        <v>392</v>
      </c>
      <c r="C506" t="s">
        <v>591</v>
      </c>
      <c r="D506" t="s">
        <v>663</v>
      </c>
      <c r="E506" s="1">
        <v>45194</v>
      </c>
      <c r="F506" s="1">
        <v>45197</v>
      </c>
      <c r="G506" s="1">
        <v>45216</v>
      </c>
      <c r="H506" t="s">
        <v>13</v>
      </c>
      <c r="I506">
        <v>1543.16</v>
      </c>
      <c r="J506" t="s">
        <v>683</v>
      </c>
      <c r="K506">
        <v>19</v>
      </c>
    </row>
    <row r="507" spans="1:11" x14ac:dyDescent="0.35">
      <c r="A507" t="s">
        <v>800</v>
      </c>
      <c r="B507" t="s">
        <v>421</v>
      </c>
      <c r="C507" t="s">
        <v>534</v>
      </c>
      <c r="D507" t="s">
        <v>663</v>
      </c>
      <c r="E507" s="1">
        <v>45290</v>
      </c>
      <c r="F507" s="1">
        <v>45291</v>
      </c>
      <c r="G507" s="1"/>
      <c r="H507" t="s">
        <v>8</v>
      </c>
      <c r="I507">
        <v>1541.01</v>
      </c>
      <c r="J507" t="s">
        <v>689</v>
      </c>
    </row>
    <row r="508" spans="1:11" x14ac:dyDescent="0.35">
      <c r="A508" t="s">
        <v>1891</v>
      </c>
      <c r="B508" t="s">
        <v>34</v>
      </c>
      <c r="C508" t="s">
        <v>585</v>
      </c>
      <c r="D508" t="s">
        <v>663</v>
      </c>
      <c r="E508" s="1">
        <v>45385</v>
      </c>
      <c r="F508" s="1">
        <v>45386</v>
      </c>
      <c r="G508" s="1">
        <v>45406</v>
      </c>
      <c r="H508" t="s">
        <v>11</v>
      </c>
      <c r="I508">
        <v>1540.2</v>
      </c>
      <c r="J508" t="s">
        <v>683</v>
      </c>
      <c r="K508">
        <v>20</v>
      </c>
    </row>
    <row r="509" spans="1:11" x14ac:dyDescent="0.35">
      <c r="A509" t="s">
        <v>1290</v>
      </c>
      <c r="B509" t="s">
        <v>324</v>
      </c>
      <c r="C509" t="s">
        <v>569</v>
      </c>
      <c r="D509" t="s">
        <v>663</v>
      </c>
      <c r="E509" s="1">
        <v>45304</v>
      </c>
      <c r="F509" s="1">
        <v>45309</v>
      </c>
      <c r="G509" s="1">
        <v>45331</v>
      </c>
      <c r="H509" t="s">
        <v>8</v>
      </c>
      <c r="I509">
        <v>1537.73</v>
      </c>
      <c r="J509" t="s">
        <v>683</v>
      </c>
      <c r="K509">
        <v>22</v>
      </c>
    </row>
    <row r="510" spans="1:11" x14ac:dyDescent="0.35">
      <c r="A510" t="s">
        <v>1874</v>
      </c>
      <c r="B510" t="s">
        <v>38</v>
      </c>
      <c r="C510" t="s">
        <v>534</v>
      </c>
      <c r="D510" t="s">
        <v>663</v>
      </c>
      <c r="E510" s="1">
        <v>45417</v>
      </c>
      <c r="F510" s="1">
        <v>45418</v>
      </c>
      <c r="G510" s="1">
        <v>45442</v>
      </c>
      <c r="H510" t="s">
        <v>8</v>
      </c>
      <c r="I510">
        <v>1523.81</v>
      </c>
      <c r="J510" t="s">
        <v>683</v>
      </c>
      <c r="K510">
        <v>24</v>
      </c>
    </row>
    <row r="511" spans="1:11" x14ac:dyDescent="0.35">
      <c r="A511" t="s">
        <v>864</v>
      </c>
      <c r="B511" t="s">
        <v>43</v>
      </c>
      <c r="C511" t="s">
        <v>567</v>
      </c>
      <c r="D511" t="s">
        <v>663</v>
      </c>
      <c r="E511" s="1">
        <v>45634</v>
      </c>
      <c r="F511" s="1">
        <v>45635</v>
      </c>
      <c r="G511" s="1">
        <v>45652</v>
      </c>
      <c r="H511" t="s">
        <v>20</v>
      </c>
      <c r="I511">
        <v>1522.92</v>
      </c>
      <c r="J511" t="s">
        <v>683</v>
      </c>
      <c r="K511">
        <v>17</v>
      </c>
    </row>
    <row r="512" spans="1:11" x14ac:dyDescent="0.35">
      <c r="A512" t="s">
        <v>2387</v>
      </c>
      <c r="B512" t="s">
        <v>342</v>
      </c>
      <c r="C512" t="s">
        <v>557</v>
      </c>
      <c r="D512" t="s">
        <v>663</v>
      </c>
      <c r="E512" s="1">
        <v>45293</v>
      </c>
      <c r="F512" s="1">
        <v>45295</v>
      </c>
      <c r="G512" s="1">
        <v>45317</v>
      </c>
      <c r="H512" t="s">
        <v>25</v>
      </c>
      <c r="I512">
        <v>1511.9</v>
      </c>
      <c r="J512" t="s">
        <v>683</v>
      </c>
      <c r="K512">
        <v>22</v>
      </c>
    </row>
    <row r="513" spans="1:11" x14ac:dyDescent="0.35">
      <c r="A513" t="s">
        <v>1780</v>
      </c>
      <c r="B513" t="s">
        <v>312</v>
      </c>
      <c r="C513" t="s">
        <v>587</v>
      </c>
      <c r="D513" t="s">
        <v>663</v>
      </c>
      <c r="E513" s="1">
        <v>45467</v>
      </c>
      <c r="F513" s="1">
        <v>45468</v>
      </c>
      <c r="G513" s="1">
        <v>45489</v>
      </c>
      <c r="H513" t="s">
        <v>11</v>
      </c>
      <c r="I513">
        <v>1509.18</v>
      </c>
      <c r="J513" t="s">
        <v>683</v>
      </c>
      <c r="K513">
        <v>21</v>
      </c>
    </row>
    <row r="514" spans="1:11" x14ac:dyDescent="0.35">
      <c r="A514" t="s">
        <v>2268</v>
      </c>
      <c r="B514" t="s">
        <v>143</v>
      </c>
      <c r="C514" t="s">
        <v>521</v>
      </c>
      <c r="D514" t="s">
        <v>663</v>
      </c>
      <c r="E514" s="1">
        <v>45378</v>
      </c>
      <c r="F514" s="1">
        <v>45380</v>
      </c>
      <c r="G514" s="1">
        <v>45388</v>
      </c>
      <c r="H514" t="s">
        <v>13</v>
      </c>
      <c r="I514">
        <v>1508.32</v>
      </c>
      <c r="J514" t="s">
        <v>683</v>
      </c>
      <c r="K514">
        <v>8</v>
      </c>
    </row>
    <row r="515" spans="1:11" x14ac:dyDescent="0.35">
      <c r="A515" t="s">
        <v>1101</v>
      </c>
      <c r="B515" t="s">
        <v>232</v>
      </c>
      <c r="C515" t="s">
        <v>561</v>
      </c>
      <c r="D515" t="s">
        <v>663</v>
      </c>
      <c r="E515" s="1">
        <v>45548</v>
      </c>
      <c r="F515" s="1">
        <v>45550</v>
      </c>
      <c r="G515" s="1">
        <v>45567</v>
      </c>
      <c r="H515" t="s">
        <v>8</v>
      </c>
      <c r="I515">
        <v>1499.42</v>
      </c>
      <c r="J515" t="s">
        <v>683</v>
      </c>
      <c r="K515">
        <v>17</v>
      </c>
    </row>
    <row r="516" spans="1:11" x14ac:dyDescent="0.35">
      <c r="A516" t="s">
        <v>768</v>
      </c>
      <c r="B516" t="s">
        <v>220</v>
      </c>
      <c r="C516" t="s">
        <v>583</v>
      </c>
      <c r="D516" t="s">
        <v>663</v>
      </c>
      <c r="E516" s="1">
        <v>45326</v>
      </c>
      <c r="F516" s="1">
        <v>45330</v>
      </c>
      <c r="G516" s="1"/>
      <c r="H516" t="s">
        <v>11</v>
      </c>
      <c r="I516">
        <v>1498.86</v>
      </c>
      <c r="J516" t="s">
        <v>689</v>
      </c>
    </row>
    <row r="517" spans="1:11" x14ac:dyDescent="0.35">
      <c r="A517" t="s">
        <v>1966</v>
      </c>
      <c r="B517" t="s">
        <v>92</v>
      </c>
      <c r="C517" t="s">
        <v>601</v>
      </c>
      <c r="D517" t="s">
        <v>623</v>
      </c>
      <c r="E517" s="1">
        <v>44965</v>
      </c>
      <c r="F517" s="1">
        <v>44966</v>
      </c>
      <c r="G517" s="1">
        <v>44971</v>
      </c>
      <c r="H517" t="s">
        <v>25</v>
      </c>
      <c r="I517">
        <v>1490.76</v>
      </c>
      <c r="J517" t="s">
        <v>683</v>
      </c>
      <c r="K517">
        <v>5</v>
      </c>
    </row>
    <row r="518" spans="1:11" x14ac:dyDescent="0.35">
      <c r="A518" t="s">
        <v>2411</v>
      </c>
      <c r="B518" t="s">
        <v>187</v>
      </c>
      <c r="C518" t="s">
        <v>557</v>
      </c>
      <c r="D518" t="s">
        <v>663</v>
      </c>
      <c r="E518" s="1">
        <v>45225</v>
      </c>
      <c r="F518" s="1">
        <v>45227</v>
      </c>
      <c r="G518" s="1">
        <v>45249</v>
      </c>
      <c r="H518" t="s">
        <v>11</v>
      </c>
      <c r="I518">
        <v>1486.56</v>
      </c>
      <c r="J518" t="s">
        <v>683</v>
      </c>
      <c r="K518">
        <v>22</v>
      </c>
    </row>
    <row r="519" spans="1:11" x14ac:dyDescent="0.35">
      <c r="A519" t="s">
        <v>742</v>
      </c>
      <c r="B519" t="s">
        <v>80</v>
      </c>
      <c r="C519" t="s">
        <v>573</v>
      </c>
      <c r="D519" t="s">
        <v>623</v>
      </c>
      <c r="E519" s="1">
        <v>45611</v>
      </c>
      <c r="F519" s="1">
        <v>45615</v>
      </c>
      <c r="G519" s="1">
        <v>45641</v>
      </c>
      <c r="H519" t="s">
        <v>8</v>
      </c>
      <c r="I519">
        <v>1484.84</v>
      </c>
      <c r="J519" t="s">
        <v>683</v>
      </c>
      <c r="K519">
        <v>26</v>
      </c>
    </row>
    <row r="520" spans="1:11" x14ac:dyDescent="0.35">
      <c r="A520" t="s">
        <v>922</v>
      </c>
      <c r="B520" t="s">
        <v>399</v>
      </c>
      <c r="C520" t="s">
        <v>567</v>
      </c>
      <c r="D520" t="s">
        <v>663</v>
      </c>
      <c r="E520" s="1">
        <v>45307</v>
      </c>
      <c r="F520" s="1">
        <v>45309</v>
      </c>
      <c r="G520" s="1">
        <v>45319</v>
      </c>
      <c r="H520" t="s">
        <v>13</v>
      </c>
      <c r="I520">
        <v>1474.2</v>
      </c>
      <c r="J520" t="s">
        <v>683</v>
      </c>
      <c r="K520">
        <v>10</v>
      </c>
    </row>
    <row r="521" spans="1:11" x14ac:dyDescent="0.35">
      <c r="A521" t="s">
        <v>1151</v>
      </c>
      <c r="B521" t="s">
        <v>391</v>
      </c>
      <c r="C521" t="s">
        <v>534</v>
      </c>
      <c r="D521" t="s">
        <v>623</v>
      </c>
      <c r="E521" s="1">
        <v>45395</v>
      </c>
      <c r="F521" s="1">
        <v>45400</v>
      </c>
      <c r="G521" s="1">
        <v>45428</v>
      </c>
      <c r="H521" t="s">
        <v>11</v>
      </c>
      <c r="I521">
        <v>1473.77</v>
      </c>
      <c r="J521" t="s">
        <v>683</v>
      </c>
      <c r="K521">
        <v>28</v>
      </c>
    </row>
    <row r="522" spans="1:11" x14ac:dyDescent="0.35">
      <c r="A522" t="s">
        <v>2112</v>
      </c>
      <c r="B522" t="s">
        <v>111</v>
      </c>
      <c r="C522" t="s">
        <v>583</v>
      </c>
      <c r="D522" t="s">
        <v>663</v>
      </c>
      <c r="E522" s="1">
        <v>45437</v>
      </c>
      <c r="F522" s="1">
        <v>45442</v>
      </c>
      <c r="G522" s="1">
        <v>45454</v>
      </c>
      <c r="H522" t="s">
        <v>8</v>
      </c>
      <c r="I522">
        <v>1468.25</v>
      </c>
      <c r="J522" t="s">
        <v>687</v>
      </c>
      <c r="K522">
        <v>12</v>
      </c>
    </row>
    <row r="523" spans="1:11" x14ac:dyDescent="0.35">
      <c r="A523" t="s">
        <v>1258</v>
      </c>
      <c r="B523" t="s">
        <v>238</v>
      </c>
      <c r="C523" t="s">
        <v>563</v>
      </c>
      <c r="D523" t="s">
        <v>623</v>
      </c>
      <c r="E523" s="1">
        <v>45510</v>
      </c>
      <c r="F523" s="1">
        <v>45512</v>
      </c>
      <c r="G523" s="1">
        <v>45529</v>
      </c>
      <c r="H523" t="s">
        <v>20</v>
      </c>
      <c r="I523">
        <v>1468.17</v>
      </c>
      <c r="J523" t="s">
        <v>683</v>
      </c>
      <c r="K523">
        <v>17</v>
      </c>
    </row>
    <row r="524" spans="1:11" x14ac:dyDescent="0.35">
      <c r="A524" t="s">
        <v>776</v>
      </c>
      <c r="B524" t="s">
        <v>9</v>
      </c>
      <c r="C524" t="s">
        <v>557</v>
      </c>
      <c r="D524" t="s">
        <v>623</v>
      </c>
      <c r="E524" s="1">
        <v>45180</v>
      </c>
      <c r="F524" s="1">
        <v>45185</v>
      </c>
      <c r="G524" s="1">
        <v>45204</v>
      </c>
      <c r="H524" t="s">
        <v>11</v>
      </c>
      <c r="I524">
        <v>1463.77</v>
      </c>
      <c r="J524" t="s">
        <v>683</v>
      </c>
      <c r="K524">
        <v>19</v>
      </c>
    </row>
    <row r="525" spans="1:11" x14ac:dyDescent="0.35">
      <c r="A525" t="s">
        <v>1719</v>
      </c>
      <c r="B525" t="s">
        <v>434</v>
      </c>
      <c r="C525" t="s">
        <v>577</v>
      </c>
      <c r="D525" t="s">
        <v>623</v>
      </c>
      <c r="E525" s="1">
        <v>45479</v>
      </c>
      <c r="F525" s="1">
        <v>45481</v>
      </c>
      <c r="G525" s="1">
        <v>45485</v>
      </c>
      <c r="H525" t="s">
        <v>11</v>
      </c>
      <c r="I525">
        <v>1463.55</v>
      </c>
      <c r="J525" t="s">
        <v>687</v>
      </c>
      <c r="K525">
        <v>4</v>
      </c>
    </row>
    <row r="526" spans="1:11" x14ac:dyDescent="0.35">
      <c r="A526" t="s">
        <v>1672</v>
      </c>
      <c r="B526" t="s">
        <v>506</v>
      </c>
      <c r="C526" t="s">
        <v>587</v>
      </c>
      <c r="D526" t="s">
        <v>663</v>
      </c>
      <c r="E526" s="1">
        <v>45251</v>
      </c>
      <c r="F526" s="1">
        <v>45254</v>
      </c>
      <c r="G526" s="1">
        <v>45258</v>
      </c>
      <c r="H526" t="s">
        <v>11</v>
      </c>
      <c r="I526">
        <v>1459.63</v>
      </c>
      <c r="J526" t="s">
        <v>683</v>
      </c>
      <c r="K526">
        <v>4</v>
      </c>
    </row>
    <row r="527" spans="1:11" x14ac:dyDescent="0.35">
      <c r="A527" t="s">
        <v>2239</v>
      </c>
      <c r="B527" t="s">
        <v>210</v>
      </c>
      <c r="C527" t="s">
        <v>607</v>
      </c>
      <c r="D527" t="s">
        <v>663</v>
      </c>
      <c r="E527" s="1">
        <v>45105</v>
      </c>
      <c r="F527" s="1">
        <v>45106</v>
      </c>
      <c r="G527" s="1">
        <v>45134</v>
      </c>
      <c r="H527" t="s">
        <v>20</v>
      </c>
      <c r="I527">
        <v>1455.29</v>
      </c>
      <c r="J527" t="s">
        <v>683</v>
      </c>
      <c r="K527">
        <v>28</v>
      </c>
    </row>
    <row r="528" spans="1:11" x14ac:dyDescent="0.35">
      <c r="A528" t="s">
        <v>812</v>
      </c>
      <c r="B528" t="s">
        <v>223</v>
      </c>
      <c r="C528" t="s">
        <v>609</v>
      </c>
      <c r="D528" t="s">
        <v>663</v>
      </c>
      <c r="E528" s="1">
        <v>45146</v>
      </c>
      <c r="F528" s="1">
        <v>45148</v>
      </c>
      <c r="G528" s="1">
        <v>45168</v>
      </c>
      <c r="H528" t="s">
        <v>8</v>
      </c>
      <c r="I528">
        <v>1454.18</v>
      </c>
      <c r="J528" t="s">
        <v>683</v>
      </c>
      <c r="K528">
        <v>20</v>
      </c>
    </row>
    <row r="529" spans="1:11" x14ac:dyDescent="0.35">
      <c r="A529" t="s">
        <v>2534</v>
      </c>
      <c r="B529" t="s">
        <v>289</v>
      </c>
      <c r="C529" t="s">
        <v>557</v>
      </c>
      <c r="D529" t="s">
        <v>663</v>
      </c>
      <c r="E529" s="1">
        <v>45652</v>
      </c>
      <c r="F529" s="1">
        <v>45657</v>
      </c>
      <c r="G529" s="1">
        <v>45679</v>
      </c>
      <c r="H529" t="s">
        <v>13</v>
      </c>
      <c r="I529">
        <v>1452.44</v>
      </c>
      <c r="J529" t="s">
        <v>687</v>
      </c>
      <c r="K529">
        <v>22</v>
      </c>
    </row>
    <row r="530" spans="1:11" x14ac:dyDescent="0.35">
      <c r="A530" t="s">
        <v>2194</v>
      </c>
      <c r="B530" t="s">
        <v>377</v>
      </c>
      <c r="C530" t="s">
        <v>579</v>
      </c>
      <c r="D530" t="s">
        <v>663</v>
      </c>
      <c r="E530" s="1">
        <v>45026</v>
      </c>
      <c r="F530" s="1">
        <v>45031</v>
      </c>
      <c r="G530" s="1">
        <v>45041</v>
      </c>
      <c r="H530" t="s">
        <v>8</v>
      </c>
      <c r="I530">
        <v>1450.38</v>
      </c>
      <c r="J530" t="s">
        <v>687</v>
      </c>
      <c r="K530">
        <v>10</v>
      </c>
    </row>
    <row r="531" spans="1:11" x14ac:dyDescent="0.35">
      <c r="A531" t="s">
        <v>965</v>
      </c>
      <c r="B531" t="s">
        <v>392</v>
      </c>
      <c r="C531" t="s">
        <v>605</v>
      </c>
      <c r="D531" t="s">
        <v>623</v>
      </c>
      <c r="E531" s="1">
        <v>45552</v>
      </c>
      <c r="F531" s="1">
        <v>45557</v>
      </c>
      <c r="G531" s="1">
        <v>45581</v>
      </c>
      <c r="H531" t="s">
        <v>13</v>
      </c>
      <c r="I531">
        <v>1441.67</v>
      </c>
      <c r="J531" t="s">
        <v>683</v>
      </c>
      <c r="K531">
        <v>24</v>
      </c>
    </row>
    <row r="532" spans="1:11" x14ac:dyDescent="0.35">
      <c r="A532" t="s">
        <v>2430</v>
      </c>
      <c r="B532" t="s">
        <v>256</v>
      </c>
      <c r="C532" t="s">
        <v>567</v>
      </c>
      <c r="D532" t="s">
        <v>623</v>
      </c>
      <c r="E532" s="1">
        <v>45245</v>
      </c>
      <c r="F532" s="1">
        <v>45246</v>
      </c>
      <c r="G532" s="1"/>
      <c r="H532" t="s">
        <v>8</v>
      </c>
      <c r="I532">
        <v>1438.33</v>
      </c>
      <c r="J532" t="s">
        <v>689</v>
      </c>
    </row>
    <row r="533" spans="1:11" x14ac:dyDescent="0.35">
      <c r="A533" t="s">
        <v>1005</v>
      </c>
      <c r="B533" t="s">
        <v>284</v>
      </c>
      <c r="C533" t="s">
        <v>563</v>
      </c>
      <c r="D533" t="s">
        <v>623</v>
      </c>
      <c r="E533" s="1">
        <v>45191</v>
      </c>
      <c r="F533" s="1">
        <v>45196</v>
      </c>
      <c r="G533" s="1">
        <v>45199</v>
      </c>
      <c r="H533" t="s">
        <v>8</v>
      </c>
      <c r="I533">
        <v>1432.99</v>
      </c>
      <c r="J533" t="s">
        <v>683</v>
      </c>
      <c r="K533">
        <v>3</v>
      </c>
    </row>
    <row r="534" spans="1:11" x14ac:dyDescent="0.35">
      <c r="A534" t="s">
        <v>2340</v>
      </c>
      <c r="B534" t="s">
        <v>413</v>
      </c>
      <c r="C534" t="s">
        <v>527</v>
      </c>
      <c r="D534" t="s">
        <v>663</v>
      </c>
      <c r="E534" s="1">
        <v>45486</v>
      </c>
      <c r="F534" s="1">
        <v>45489</v>
      </c>
      <c r="G534" s="1">
        <v>45517</v>
      </c>
      <c r="H534" t="s">
        <v>8</v>
      </c>
      <c r="I534">
        <v>1431.62</v>
      </c>
      <c r="J534" t="s">
        <v>683</v>
      </c>
      <c r="K534">
        <v>28</v>
      </c>
    </row>
    <row r="535" spans="1:11" x14ac:dyDescent="0.35">
      <c r="A535" t="s">
        <v>2284</v>
      </c>
      <c r="B535" t="s">
        <v>381</v>
      </c>
      <c r="C535" t="s">
        <v>543</v>
      </c>
      <c r="D535" t="s">
        <v>663</v>
      </c>
      <c r="E535" s="1">
        <v>45640</v>
      </c>
      <c r="F535" s="1">
        <v>45642</v>
      </c>
      <c r="G535" s="1"/>
      <c r="H535" t="s">
        <v>11</v>
      </c>
      <c r="I535">
        <v>1429.67</v>
      </c>
      <c r="J535" t="s">
        <v>689</v>
      </c>
    </row>
    <row r="536" spans="1:11" x14ac:dyDescent="0.35">
      <c r="A536" t="s">
        <v>1169</v>
      </c>
      <c r="B536" t="s">
        <v>462</v>
      </c>
      <c r="C536" t="s">
        <v>567</v>
      </c>
      <c r="D536" t="s">
        <v>663</v>
      </c>
      <c r="E536" s="1">
        <v>45350</v>
      </c>
      <c r="F536" s="1">
        <v>45353</v>
      </c>
      <c r="G536" s="1">
        <v>45383</v>
      </c>
      <c r="H536" t="s">
        <v>20</v>
      </c>
      <c r="I536">
        <v>1428.55</v>
      </c>
      <c r="J536" t="s">
        <v>683</v>
      </c>
      <c r="K536">
        <v>30</v>
      </c>
    </row>
    <row r="537" spans="1:11" x14ac:dyDescent="0.35">
      <c r="A537" t="s">
        <v>951</v>
      </c>
      <c r="B537" t="s">
        <v>186</v>
      </c>
      <c r="C537" t="s">
        <v>561</v>
      </c>
      <c r="D537" t="s">
        <v>663</v>
      </c>
      <c r="E537" s="1">
        <v>44998</v>
      </c>
      <c r="F537" s="1">
        <v>45002</v>
      </c>
      <c r="G537" s="1">
        <v>45009</v>
      </c>
      <c r="H537" t="s">
        <v>20</v>
      </c>
      <c r="I537">
        <v>1428.05</v>
      </c>
      <c r="J537" t="s">
        <v>683</v>
      </c>
      <c r="K537">
        <v>7</v>
      </c>
    </row>
    <row r="538" spans="1:11" x14ac:dyDescent="0.35">
      <c r="A538" t="s">
        <v>915</v>
      </c>
      <c r="B538" t="s">
        <v>141</v>
      </c>
      <c r="C538" t="s">
        <v>546</v>
      </c>
      <c r="D538" t="s">
        <v>663</v>
      </c>
      <c r="E538" s="1">
        <v>45581</v>
      </c>
      <c r="F538" s="1">
        <v>45585</v>
      </c>
      <c r="G538" s="1">
        <v>45596</v>
      </c>
      <c r="H538" t="s">
        <v>8</v>
      </c>
      <c r="I538">
        <v>1426.43</v>
      </c>
      <c r="J538" t="s">
        <v>683</v>
      </c>
      <c r="K538">
        <v>11</v>
      </c>
    </row>
    <row r="539" spans="1:11" x14ac:dyDescent="0.35">
      <c r="A539" t="s">
        <v>1039</v>
      </c>
      <c r="B539" t="s">
        <v>144</v>
      </c>
      <c r="C539" t="s">
        <v>589</v>
      </c>
      <c r="D539" t="s">
        <v>623</v>
      </c>
      <c r="E539" s="1">
        <v>45199</v>
      </c>
      <c r="F539" s="1">
        <v>45200</v>
      </c>
      <c r="G539" s="1">
        <v>45205</v>
      </c>
      <c r="H539" t="s">
        <v>8</v>
      </c>
      <c r="I539">
        <v>1424.67</v>
      </c>
      <c r="J539" t="s">
        <v>683</v>
      </c>
      <c r="K539">
        <v>5</v>
      </c>
    </row>
    <row r="540" spans="1:11" x14ac:dyDescent="0.35">
      <c r="A540" t="s">
        <v>2636</v>
      </c>
      <c r="B540" t="s">
        <v>106</v>
      </c>
      <c r="C540" t="s">
        <v>601</v>
      </c>
      <c r="D540" t="s">
        <v>623</v>
      </c>
      <c r="E540" s="1">
        <v>45524</v>
      </c>
      <c r="F540" s="1">
        <v>45528</v>
      </c>
      <c r="G540" s="1">
        <v>45558</v>
      </c>
      <c r="H540" t="s">
        <v>11</v>
      </c>
      <c r="I540">
        <v>1424.59</v>
      </c>
      <c r="J540" t="s">
        <v>683</v>
      </c>
      <c r="K540">
        <v>30</v>
      </c>
    </row>
    <row r="541" spans="1:11" x14ac:dyDescent="0.35">
      <c r="A541" t="s">
        <v>1007</v>
      </c>
      <c r="B541" t="s">
        <v>134</v>
      </c>
      <c r="C541" t="s">
        <v>531</v>
      </c>
      <c r="D541" t="s">
        <v>623</v>
      </c>
      <c r="E541" s="1">
        <v>45412</v>
      </c>
      <c r="F541" s="1">
        <v>45416</v>
      </c>
      <c r="G541" s="1">
        <v>45419</v>
      </c>
      <c r="H541" t="s">
        <v>11</v>
      </c>
      <c r="I541">
        <v>1411.4</v>
      </c>
      <c r="J541" t="s">
        <v>683</v>
      </c>
      <c r="K541">
        <v>3</v>
      </c>
    </row>
    <row r="542" spans="1:11" x14ac:dyDescent="0.35">
      <c r="A542" t="s">
        <v>1899</v>
      </c>
      <c r="B542" t="s">
        <v>141</v>
      </c>
      <c r="C542" t="s">
        <v>587</v>
      </c>
      <c r="D542" t="s">
        <v>663</v>
      </c>
      <c r="E542" s="1">
        <v>45203</v>
      </c>
      <c r="F542" s="1">
        <v>45204</v>
      </c>
      <c r="G542" s="1">
        <v>45218</v>
      </c>
      <c r="H542" t="s">
        <v>8</v>
      </c>
      <c r="I542">
        <v>1411.23</v>
      </c>
      <c r="J542" t="s">
        <v>683</v>
      </c>
      <c r="K542">
        <v>14</v>
      </c>
    </row>
    <row r="543" spans="1:11" x14ac:dyDescent="0.35">
      <c r="A543" t="s">
        <v>1865</v>
      </c>
      <c r="B543" t="s">
        <v>468</v>
      </c>
      <c r="C543" t="s">
        <v>521</v>
      </c>
      <c r="D543" t="s">
        <v>623</v>
      </c>
      <c r="E543" s="1">
        <v>45227</v>
      </c>
      <c r="F543" s="1">
        <v>45230</v>
      </c>
      <c r="G543" s="1">
        <v>45253</v>
      </c>
      <c r="H543" t="s">
        <v>20</v>
      </c>
      <c r="I543">
        <v>1411.03</v>
      </c>
      <c r="J543" t="s">
        <v>683</v>
      </c>
      <c r="K543">
        <v>23</v>
      </c>
    </row>
    <row r="544" spans="1:11" x14ac:dyDescent="0.35">
      <c r="A544" t="s">
        <v>887</v>
      </c>
      <c r="B544" t="s">
        <v>203</v>
      </c>
      <c r="C544" t="s">
        <v>553</v>
      </c>
      <c r="D544" t="s">
        <v>663</v>
      </c>
      <c r="E544" s="1">
        <v>45440</v>
      </c>
      <c r="F544" s="1">
        <v>45441</v>
      </c>
      <c r="G544" s="1">
        <v>45457</v>
      </c>
      <c r="H544" t="s">
        <v>25</v>
      </c>
      <c r="I544">
        <v>1409.33</v>
      </c>
      <c r="J544" t="s">
        <v>683</v>
      </c>
      <c r="K544">
        <v>16</v>
      </c>
    </row>
    <row r="545" spans="1:11" x14ac:dyDescent="0.35">
      <c r="A545" t="s">
        <v>1324</v>
      </c>
      <c r="B545" t="s">
        <v>235</v>
      </c>
      <c r="C545" t="s">
        <v>540</v>
      </c>
      <c r="D545" t="s">
        <v>663</v>
      </c>
      <c r="E545" s="1">
        <v>45053</v>
      </c>
      <c r="F545" s="1">
        <v>45058</v>
      </c>
      <c r="G545" s="1">
        <v>45068</v>
      </c>
      <c r="H545" t="s">
        <v>25</v>
      </c>
      <c r="I545">
        <v>1404.92</v>
      </c>
      <c r="J545" t="s">
        <v>683</v>
      </c>
      <c r="K545">
        <v>10</v>
      </c>
    </row>
    <row r="546" spans="1:11" x14ac:dyDescent="0.35">
      <c r="A546" t="s">
        <v>1765</v>
      </c>
      <c r="B546" t="s">
        <v>66</v>
      </c>
      <c r="C546" t="s">
        <v>581</v>
      </c>
      <c r="D546" t="s">
        <v>623</v>
      </c>
      <c r="E546" s="1">
        <v>44979</v>
      </c>
      <c r="F546" s="1">
        <v>44980</v>
      </c>
      <c r="G546" s="1">
        <v>44998</v>
      </c>
      <c r="H546" t="s">
        <v>11</v>
      </c>
      <c r="I546">
        <v>1403.96</v>
      </c>
      <c r="J546" t="s">
        <v>683</v>
      </c>
      <c r="K546">
        <v>18</v>
      </c>
    </row>
    <row r="547" spans="1:11" x14ac:dyDescent="0.35">
      <c r="A547" t="s">
        <v>1956</v>
      </c>
      <c r="B547" t="s">
        <v>362</v>
      </c>
      <c r="C547" t="s">
        <v>559</v>
      </c>
      <c r="D547" t="s">
        <v>623</v>
      </c>
      <c r="E547" s="1">
        <v>45173</v>
      </c>
      <c r="F547" s="1">
        <v>45174</v>
      </c>
      <c r="G547" s="1">
        <v>45182</v>
      </c>
      <c r="H547" t="s">
        <v>25</v>
      </c>
      <c r="I547">
        <v>1401.62</v>
      </c>
      <c r="J547" t="s">
        <v>687</v>
      </c>
      <c r="K547">
        <v>8</v>
      </c>
    </row>
    <row r="548" spans="1:11" x14ac:dyDescent="0.35">
      <c r="A548" t="s">
        <v>2192</v>
      </c>
      <c r="B548" t="s">
        <v>241</v>
      </c>
      <c r="C548" t="s">
        <v>609</v>
      </c>
      <c r="D548" t="s">
        <v>623</v>
      </c>
      <c r="E548" s="1">
        <v>44991</v>
      </c>
      <c r="F548" s="1">
        <v>44994</v>
      </c>
      <c r="G548" s="1">
        <v>44997</v>
      </c>
      <c r="H548" t="s">
        <v>11</v>
      </c>
      <c r="I548">
        <v>1396.54</v>
      </c>
      <c r="J548" t="s">
        <v>683</v>
      </c>
      <c r="K548">
        <v>3</v>
      </c>
    </row>
    <row r="549" spans="1:11" x14ac:dyDescent="0.35">
      <c r="A549" t="s">
        <v>1100</v>
      </c>
      <c r="B549" t="s">
        <v>374</v>
      </c>
      <c r="C549" t="s">
        <v>543</v>
      </c>
      <c r="D549" t="s">
        <v>623</v>
      </c>
      <c r="E549" s="1">
        <v>45009</v>
      </c>
      <c r="F549" s="1">
        <v>45013</v>
      </c>
      <c r="G549" s="1">
        <v>45016</v>
      </c>
      <c r="H549" t="s">
        <v>8</v>
      </c>
      <c r="I549">
        <v>1395.28</v>
      </c>
      <c r="J549" t="s">
        <v>683</v>
      </c>
      <c r="K549">
        <v>3</v>
      </c>
    </row>
    <row r="550" spans="1:11" x14ac:dyDescent="0.35">
      <c r="A550" t="s">
        <v>2421</v>
      </c>
      <c r="B550" t="s">
        <v>381</v>
      </c>
      <c r="C550" t="s">
        <v>575</v>
      </c>
      <c r="D550" t="s">
        <v>663</v>
      </c>
      <c r="E550" s="1">
        <v>45230</v>
      </c>
      <c r="F550" s="1">
        <v>45231</v>
      </c>
      <c r="G550" s="1">
        <v>45251</v>
      </c>
      <c r="H550" t="s">
        <v>11</v>
      </c>
      <c r="I550">
        <v>1394.53</v>
      </c>
      <c r="J550" t="s">
        <v>683</v>
      </c>
      <c r="K550">
        <v>20</v>
      </c>
    </row>
    <row r="551" spans="1:11" x14ac:dyDescent="0.35">
      <c r="A551" t="s">
        <v>798</v>
      </c>
      <c r="B551" t="s">
        <v>496</v>
      </c>
      <c r="C551" t="s">
        <v>591</v>
      </c>
      <c r="D551" t="s">
        <v>623</v>
      </c>
      <c r="E551" s="1">
        <v>45108</v>
      </c>
      <c r="F551" s="1">
        <v>45110</v>
      </c>
      <c r="G551" s="1">
        <v>45129</v>
      </c>
      <c r="H551" t="s">
        <v>13</v>
      </c>
      <c r="I551">
        <v>1390.02</v>
      </c>
      <c r="J551" t="s">
        <v>683</v>
      </c>
      <c r="K551">
        <v>19</v>
      </c>
    </row>
    <row r="552" spans="1:11" x14ac:dyDescent="0.35">
      <c r="A552" t="s">
        <v>2431</v>
      </c>
      <c r="B552" t="s">
        <v>131</v>
      </c>
      <c r="C552" t="s">
        <v>575</v>
      </c>
      <c r="D552" t="s">
        <v>663</v>
      </c>
      <c r="E552" s="1">
        <v>45515</v>
      </c>
      <c r="F552" s="1">
        <v>45520</v>
      </c>
      <c r="G552" s="1">
        <v>45544</v>
      </c>
      <c r="H552" t="s">
        <v>20</v>
      </c>
      <c r="I552">
        <v>1389.65</v>
      </c>
      <c r="J552" t="s">
        <v>683</v>
      </c>
      <c r="K552">
        <v>24</v>
      </c>
    </row>
    <row r="553" spans="1:11" x14ac:dyDescent="0.35">
      <c r="A553" t="s">
        <v>2485</v>
      </c>
      <c r="B553" t="s">
        <v>156</v>
      </c>
      <c r="C553" t="s">
        <v>531</v>
      </c>
      <c r="D553" t="s">
        <v>663</v>
      </c>
      <c r="E553" s="1">
        <v>45571</v>
      </c>
      <c r="F553" s="1">
        <v>45576</v>
      </c>
      <c r="G553" s="1">
        <v>45589</v>
      </c>
      <c r="H553" t="s">
        <v>25</v>
      </c>
      <c r="I553">
        <v>1384.19</v>
      </c>
      <c r="J553" t="s">
        <v>687</v>
      </c>
      <c r="K553">
        <v>13</v>
      </c>
    </row>
    <row r="554" spans="1:11" x14ac:dyDescent="0.35">
      <c r="A554" t="s">
        <v>1936</v>
      </c>
      <c r="B554" t="s">
        <v>230</v>
      </c>
      <c r="C554" t="s">
        <v>534</v>
      </c>
      <c r="D554" t="s">
        <v>663</v>
      </c>
      <c r="E554" s="1">
        <v>45016</v>
      </c>
      <c r="F554" s="1">
        <v>45017</v>
      </c>
      <c r="G554" s="1">
        <v>45023</v>
      </c>
      <c r="H554" t="s">
        <v>20</v>
      </c>
      <c r="I554">
        <v>1383.8</v>
      </c>
      <c r="J554" t="s">
        <v>683</v>
      </c>
      <c r="K554">
        <v>6</v>
      </c>
    </row>
    <row r="555" spans="1:11" x14ac:dyDescent="0.35">
      <c r="A555" t="s">
        <v>1243</v>
      </c>
      <c r="B555" t="s">
        <v>111</v>
      </c>
      <c r="C555" t="s">
        <v>561</v>
      </c>
      <c r="D555" t="s">
        <v>663</v>
      </c>
      <c r="E555" s="1">
        <v>44967</v>
      </c>
      <c r="F555" s="1">
        <v>44972</v>
      </c>
      <c r="G555" s="1">
        <v>44997</v>
      </c>
      <c r="H555" t="s">
        <v>8</v>
      </c>
      <c r="I555">
        <v>1381.98</v>
      </c>
      <c r="J555" t="s">
        <v>683</v>
      </c>
      <c r="K555">
        <v>25</v>
      </c>
    </row>
    <row r="556" spans="1:11" x14ac:dyDescent="0.35">
      <c r="A556" t="s">
        <v>2580</v>
      </c>
      <c r="B556" t="s">
        <v>14</v>
      </c>
      <c r="C556" t="s">
        <v>585</v>
      </c>
      <c r="D556" t="s">
        <v>623</v>
      </c>
      <c r="E556" s="1">
        <v>45308</v>
      </c>
      <c r="F556" s="1">
        <v>45310</v>
      </c>
      <c r="G556" s="1">
        <v>45314</v>
      </c>
      <c r="H556" t="s">
        <v>8</v>
      </c>
      <c r="I556">
        <v>1381.31</v>
      </c>
      <c r="J556" t="s">
        <v>683</v>
      </c>
      <c r="K556">
        <v>4</v>
      </c>
    </row>
    <row r="557" spans="1:11" x14ac:dyDescent="0.35">
      <c r="A557" t="s">
        <v>1225</v>
      </c>
      <c r="B557" t="s">
        <v>311</v>
      </c>
      <c r="C557" t="s">
        <v>575</v>
      </c>
      <c r="D557" t="s">
        <v>663</v>
      </c>
      <c r="E557" s="1">
        <v>45116</v>
      </c>
      <c r="F557" s="1">
        <v>45120</v>
      </c>
      <c r="G557" s="1">
        <v>45135</v>
      </c>
      <c r="H557" t="s">
        <v>25</v>
      </c>
      <c r="I557">
        <v>1381.13</v>
      </c>
      <c r="J557" t="s">
        <v>683</v>
      </c>
      <c r="K557">
        <v>15</v>
      </c>
    </row>
    <row r="558" spans="1:11" x14ac:dyDescent="0.35">
      <c r="A558" t="s">
        <v>2574</v>
      </c>
      <c r="B558" t="s">
        <v>177</v>
      </c>
      <c r="C558" t="s">
        <v>569</v>
      </c>
      <c r="D558" t="s">
        <v>623</v>
      </c>
      <c r="E558" s="1">
        <v>45605</v>
      </c>
      <c r="F558" s="1">
        <v>45608</v>
      </c>
      <c r="G558" s="1">
        <v>45628</v>
      </c>
      <c r="H558" t="s">
        <v>11</v>
      </c>
      <c r="I558">
        <v>1380.79</v>
      </c>
      <c r="J558" t="s">
        <v>683</v>
      </c>
      <c r="K558">
        <v>20</v>
      </c>
    </row>
    <row r="559" spans="1:11" x14ac:dyDescent="0.35">
      <c r="A559" t="s">
        <v>1833</v>
      </c>
      <c r="B559" t="s">
        <v>456</v>
      </c>
      <c r="C559" t="s">
        <v>587</v>
      </c>
      <c r="D559" t="s">
        <v>663</v>
      </c>
      <c r="E559" s="1">
        <v>45536</v>
      </c>
      <c r="F559" s="1">
        <v>45541</v>
      </c>
      <c r="G559" s="1">
        <v>45562</v>
      </c>
      <c r="H559" t="s">
        <v>11</v>
      </c>
      <c r="I559">
        <v>1374.36</v>
      </c>
      <c r="J559" t="s">
        <v>687</v>
      </c>
      <c r="K559">
        <v>21</v>
      </c>
    </row>
    <row r="560" spans="1:11" x14ac:dyDescent="0.35">
      <c r="A560" t="s">
        <v>1322</v>
      </c>
      <c r="B560" t="s">
        <v>344</v>
      </c>
      <c r="C560" t="s">
        <v>597</v>
      </c>
      <c r="D560" t="s">
        <v>623</v>
      </c>
      <c r="E560" s="1">
        <v>45500</v>
      </c>
      <c r="F560" s="1">
        <v>45502</v>
      </c>
      <c r="G560" s="1">
        <v>45526</v>
      </c>
      <c r="H560" t="s">
        <v>25</v>
      </c>
      <c r="I560">
        <v>1373.16</v>
      </c>
      <c r="J560" t="s">
        <v>687</v>
      </c>
      <c r="K560">
        <v>24</v>
      </c>
    </row>
    <row r="561" spans="1:11" x14ac:dyDescent="0.35">
      <c r="A561" t="s">
        <v>2227</v>
      </c>
      <c r="B561" t="s">
        <v>76</v>
      </c>
      <c r="C561" t="s">
        <v>585</v>
      </c>
      <c r="D561" t="s">
        <v>663</v>
      </c>
      <c r="E561" s="1">
        <v>45354</v>
      </c>
      <c r="F561" s="1">
        <v>45357</v>
      </c>
      <c r="G561" s="1">
        <v>45381</v>
      </c>
      <c r="H561" t="s">
        <v>8</v>
      </c>
      <c r="I561">
        <v>1372.94</v>
      </c>
      <c r="J561" t="s">
        <v>683</v>
      </c>
      <c r="K561">
        <v>24</v>
      </c>
    </row>
    <row r="562" spans="1:11" x14ac:dyDescent="0.35">
      <c r="A562" t="s">
        <v>2188</v>
      </c>
      <c r="B562" t="s">
        <v>282</v>
      </c>
      <c r="C562" t="s">
        <v>557</v>
      </c>
      <c r="D562" t="s">
        <v>623</v>
      </c>
      <c r="E562" s="1">
        <v>45101</v>
      </c>
      <c r="F562" s="1">
        <v>45106</v>
      </c>
      <c r="G562" s="1">
        <v>45135</v>
      </c>
      <c r="H562" t="s">
        <v>25</v>
      </c>
      <c r="I562">
        <v>1370.43</v>
      </c>
      <c r="J562" t="s">
        <v>683</v>
      </c>
      <c r="K562">
        <v>29</v>
      </c>
    </row>
    <row r="563" spans="1:11" x14ac:dyDescent="0.35">
      <c r="A563" t="s">
        <v>900</v>
      </c>
      <c r="B563" t="s">
        <v>130</v>
      </c>
      <c r="C563" t="s">
        <v>579</v>
      </c>
      <c r="D563" t="s">
        <v>623</v>
      </c>
      <c r="E563" s="1">
        <v>45220</v>
      </c>
      <c r="F563" s="1">
        <v>45225</v>
      </c>
      <c r="G563" s="1"/>
      <c r="H563" t="s">
        <v>8</v>
      </c>
      <c r="I563">
        <v>1359.63</v>
      </c>
      <c r="J563" t="s">
        <v>689</v>
      </c>
    </row>
    <row r="564" spans="1:11" x14ac:dyDescent="0.35">
      <c r="A564" t="s">
        <v>2281</v>
      </c>
      <c r="B564" t="s">
        <v>211</v>
      </c>
      <c r="C564" t="s">
        <v>581</v>
      </c>
      <c r="D564" t="s">
        <v>663</v>
      </c>
      <c r="E564" s="1">
        <v>45330</v>
      </c>
      <c r="F564" s="1">
        <v>45335</v>
      </c>
      <c r="G564" s="1">
        <v>45356</v>
      </c>
      <c r="H564" t="s">
        <v>11</v>
      </c>
      <c r="I564">
        <v>1359.5</v>
      </c>
      <c r="J564" t="s">
        <v>683</v>
      </c>
      <c r="K564">
        <v>21</v>
      </c>
    </row>
    <row r="565" spans="1:11" x14ac:dyDescent="0.35">
      <c r="A565" t="s">
        <v>709</v>
      </c>
      <c r="B565" t="s">
        <v>217</v>
      </c>
      <c r="C565" t="s">
        <v>587</v>
      </c>
      <c r="D565" t="s">
        <v>623</v>
      </c>
      <c r="E565" s="1">
        <v>44983</v>
      </c>
      <c r="F565" s="1">
        <v>44986</v>
      </c>
      <c r="G565" s="1">
        <v>44992</v>
      </c>
      <c r="H565" t="s">
        <v>13</v>
      </c>
      <c r="I565">
        <v>1358</v>
      </c>
      <c r="J565" t="s">
        <v>683</v>
      </c>
      <c r="K565">
        <v>6</v>
      </c>
    </row>
    <row r="566" spans="1:11" x14ac:dyDescent="0.35">
      <c r="A566" t="s">
        <v>788</v>
      </c>
      <c r="B566" t="s">
        <v>310</v>
      </c>
      <c r="C566" t="s">
        <v>597</v>
      </c>
      <c r="D566" t="s">
        <v>623</v>
      </c>
      <c r="E566" s="1">
        <v>45187</v>
      </c>
      <c r="F566" s="1">
        <v>45191</v>
      </c>
      <c r="G566" s="1">
        <v>45221</v>
      </c>
      <c r="H566" t="s">
        <v>11</v>
      </c>
      <c r="I566">
        <v>1355.06</v>
      </c>
      <c r="J566" t="s">
        <v>683</v>
      </c>
      <c r="K566">
        <v>30</v>
      </c>
    </row>
    <row r="567" spans="1:11" x14ac:dyDescent="0.35">
      <c r="A567" t="s">
        <v>1027</v>
      </c>
      <c r="B567" t="s">
        <v>472</v>
      </c>
      <c r="C567" t="s">
        <v>557</v>
      </c>
      <c r="D567" t="s">
        <v>663</v>
      </c>
      <c r="E567" s="1">
        <v>45343</v>
      </c>
      <c r="F567" s="1">
        <v>45345</v>
      </c>
      <c r="G567" s="1">
        <v>45369</v>
      </c>
      <c r="H567" t="s">
        <v>13</v>
      </c>
      <c r="I567">
        <v>1352.43</v>
      </c>
      <c r="J567" t="s">
        <v>683</v>
      </c>
      <c r="K567">
        <v>24</v>
      </c>
    </row>
    <row r="568" spans="1:11" x14ac:dyDescent="0.35">
      <c r="A568" t="s">
        <v>1391</v>
      </c>
      <c r="B568" t="s">
        <v>304</v>
      </c>
      <c r="C568" t="s">
        <v>571</v>
      </c>
      <c r="D568" t="s">
        <v>623</v>
      </c>
      <c r="E568" s="1">
        <v>45369</v>
      </c>
      <c r="F568" s="1">
        <v>45373</v>
      </c>
      <c r="G568" s="1">
        <v>45377</v>
      </c>
      <c r="H568" t="s">
        <v>20</v>
      </c>
      <c r="I568">
        <v>1352.09</v>
      </c>
      <c r="J568" t="s">
        <v>683</v>
      </c>
      <c r="K568">
        <v>4</v>
      </c>
    </row>
    <row r="569" spans="1:11" x14ac:dyDescent="0.35">
      <c r="A569" t="s">
        <v>1813</v>
      </c>
      <c r="B569" t="s">
        <v>480</v>
      </c>
      <c r="C569" t="s">
        <v>557</v>
      </c>
      <c r="D569" t="s">
        <v>663</v>
      </c>
      <c r="E569" s="1">
        <v>45410</v>
      </c>
      <c r="F569" s="1">
        <v>45411</v>
      </c>
      <c r="G569" s="1">
        <v>45434</v>
      </c>
      <c r="H569" t="s">
        <v>11</v>
      </c>
      <c r="I569">
        <v>1348.1</v>
      </c>
      <c r="J569" t="s">
        <v>683</v>
      </c>
      <c r="K569">
        <v>23</v>
      </c>
    </row>
    <row r="570" spans="1:11" x14ac:dyDescent="0.35">
      <c r="A570" t="s">
        <v>1681</v>
      </c>
      <c r="B570" t="s">
        <v>509</v>
      </c>
      <c r="C570" t="s">
        <v>583</v>
      </c>
      <c r="D570" t="s">
        <v>663</v>
      </c>
      <c r="E570" s="1">
        <v>45600</v>
      </c>
      <c r="F570" s="1">
        <v>45601</v>
      </c>
      <c r="G570" s="1">
        <v>45615</v>
      </c>
      <c r="H570" t="s">
        <v>25</v>
      </c>
      <c r="I570">
        <v>1345.27</v>
      </c>
      <c r="J570" t="s">
        <v>687</v>
      </c>
      <c r="K570">
        <v>14</v>
      </c>
    </row>
    <row r="571" spans="1:11" x14ac:dyDescent="0.35">
      <c r="A571" t="s">
        <v>1400</v>
      </c>
      <c r="B571" t="s">
        <v>171</v>
      </c>
      <c r="C571" t="s">
        <v>567</v>
      </c>
      <c r="D571" t="s">
        <v>663</v>
      </c>
      <c r="E571" s="1">
        <v>45160</v>
      </c>
      <c r="F571" s="1">
        <v>45164</v>
      </c>
      <c r="G571" s="1">
        <v>45172</v>
      </c>
      <c r="H571" t="s">
        <v>8</v>
      </c>
      <c r="I571">
        <v>1342.73</v>
      </c>
      <c r="J571" t="s">
        <v>687</v>
      </c>
      <c r="K571">
        <v>8</v>
      </c>
    </row>
    <row r="572" spans="1:11" x14ac:dyDescent="0.35">
      <c r="A572" t="s">
        <v>1414</v>
      </c>
      <c r="B572" t="s">
        <v>497</v>
      </c>
      <c r="C572" t="s">
        <v>583</v>
      </c>
      <c r="D572" t="s">
        <v>663</v>
      </c>
      <c r="E572" s="1">
        <v>45572</v>
      </c>
      <c r="F572" s="1">
        <v>45575</v>
      </c>
      <c r="G572" s="1">
        <v>45597</v>
      </c>
      <c r="H572" t="s">
        <v>13</v>
      </c>
      <c r="I572">
        <v>1340.32</v>
      </c>
      <c r="J572" t="s">
        <v>683</v>
      </c>
      <c r="K572">
        <v>22</v>
      </c>
    </row>
    <row r="573" spans="1:11" x14ac:dyDescent="0.35">
      <c r="A573" t="s">
        <v>2375</v>
      </c>
      <c r="B573" t="s">
        <v>62</v>
      </c>
      <c r="C573" t="s">
        <v>565</v>
      </c>
      <c r="D573" t="s">
        <v>623</v>
      </c>
      <c r="E573" s="1">
        <v>45188</v>
      </c>
      <c r="F573" s="1">
        <v>45192</v>
      </c>
      <c r="G573" s="1">
        <v>45208</v>
      </c>
      <c r="H573" t="s">
        <v>8</v>
      </c>
      <c r="I573">
        <v>1334.82</v>
      </c>
      <c r="J573" t="s">
        <v>683</v>
      </c>
      <c r="K573">
        <v>16</v>
      </c>
    </row>
    <row r="574" spans="1:11" x14ac:dyDescent="0.35">
      <c r="A574" t="s">
        <v>2577</v>
      </c>
      <c r="B574" t="s">
        <v>453</v>
      </c>
      <c r="C574" t="s">
        <v>611</v>
      </c>
      <c r="D574" t="s">
        <v>663</v>
      </c>
      <c r="E574" s="1">
        <v>45053</v>
      </c>
      <c r="F574" s="1">
        <v>45055</v>
      </c>
      <c r="G574" s="1">
        <v>45079</v>
      </c>
      <c r="H574" t="s">
        <v>11</v>
      </c>
      <c r="I574">
        <v>1330.91</v>
      </c>
      <c r="J574" t="s">
        <v>683</v>
      </c>
      <c r="K574">
        <v>24</v>
      </c>
    </row>
    <row r="575" spans="1:11" x14ac:dyDescent="0.35">
      <c r="A575" t="s">
        <v>1329</v>
      </c>
      <c r="B575" t="s">
        <v>280</v>
      </c>
      <c r="C575" t="s">
        <v>540</v>
      </c>
      <c r="D575" t="s">
        <v>663</v>
      </c>
      <c r="E575" s="1">
        <v>45220</v>
      </c>
      <c r="F575" s="1">
        <v>45221</v>
      </c>
      <c r="G575" s="1">
        <v>45240</v>
      </c>
      <c r="H575" t="s">
        <v>8</v>
      </c>
      <c r="I575">
        <v>1326.82</v>
      </c>
      <c r="J575" t="s">
        <v>683</v>
      </c>
      <c r="K575">
        <v>19</v>
      </c>
    </row>
    <row r="576" spans="1:11" x14ac:dyDescent="0.35">
      <c r="A576" t="s">
        <v>1873</v>
      </c>
      <c r="B576" t="s">
        <v>307</v>
      </c>
      <c r="C576" t="s">
        <v>565</v>
      </c>
      <c r="D576" t="s">
        <v>623</v>
      </c>
      <c r="E576" s="1">
        <v>45338</v>
      </c>
      <c r="F576" s="1">
        <v>45340</v>
      </c>
      <c r="G576" s="1">
        <v>45360</v>
      </c>
      <c r="H576" t="s">
        <v>8</v>
      </c>
      <c r="I576">
        <v>1325</v>
      </c>
      <c r="J576" t="s">
        <v>683</v>
      </c>
      <c r="K576">
        <v>20</v>
      </c>
    </row>
    <row r="577" spans="1:11" x14ac:dyDescent="0.35">
      <c r="A577" t="s">
        <v>2368</v>
      </c>
      <c r="B577" t="s">
        <v>475</v>
      </c>
      <c r="C577" t="s">
        <v>601</v>
      </c>
      <c r="D577" t="s">
        <v>623</v>
      </c>
      <c r="E577" s="1">
        <v>45009</v>
      </c>
      <c r="F577" s="1">
        <v>45012</v>
      </c>
      <c r="G577" s="1">
        <v>45029</v>
      </c>
      <c r="H577" t="s">
        <v>20</v>
      </c>
      <c r="I577">
        <v>1323.01</v>
      </c>
      <c r="J577" t="s">
        <v>683</v>
      </c>
      <c r="K577">
        <v>17</v>
      </c>
    </row>
    <row r="578" spans="1:11" x14ac:dyDescent="0.35">
      <c r="A578" t="s">
        <v>2238</v>
      </c>
      <c r="B578" t="s">
        <v>94</v>
      </c>
      <c r="C578" t="s">
        <v>581</v>
      </c>
      <c r="D578" t="s">
        <v>663</v>
      </c>
      <c r="E578" s="1">
        <v>45521</v>
      </c>
      <c r="F578" s="1">
        <v>45525</v>
      </c>
      <c r="G578" s="1">
        <v>45535</v>
      </c>
      <c r="H578" t="s">
        <v>8</v>
      </c>
      <c r="I578">
        <v>1322.32</v>
      </c>
      <c r="J578" t="s">
        <v>683</v>
      </c>
      <c r="K578">
        <v>10</v>
      </c>
    </row>
    <row r="579" spans="1:11" x14ac:dyDescent="0.35">
      <c r="A579" t="s">
        <v>1465</v>
      </c>
      <c r="B579" t="s">
        <v>74</v>
      </c>
      <c r="C579" t="s">
        <v>597</v>
      </c>
      <c r="D579" t="s">
        <v>663</v>
      </c>
      <c r="E579" s="1">
        <v>45583</v>
      </c>
      <c r="F579" s="1">
        <v>45584</v>
      </c>
      <c r="G579" s="1">
        <v>45595</v>
      </c>
      <c r="H579" t="s">
        <v>8</v>
      </c>
      <c r="I579">
        <v>1317.23</v>
      </c>
      <c r="J579" t="s">
        <v>683</v>
      </c>
      <c r="K579">
        <v>11</v>
      </c>
    </row>
    <row r="580" spans="1:11" x14ac:dyDescent="0.35">
      <c r="A580" t="s">
        <v>1142</v>
      </c>
      <c r="B580" t="s">
        <v>182</v>
      </c>
      <c r="C580" t="s">
        <v>531</v>
      </c>
      <c r="D580" t="s">
        <v>623</v>
      </c>
      <c r="E580" s="1">
        <v>45403</v>
      </c>
      <c r="F580" s="1">
        <v>45405</v>
      </c>
      <c r="G580" s="1">
        <v>45418</v>
      </c>
      <c r="H580" t="s">
        <v>11</v>
      </c>
      <c r="I580">
        <v>1315.77</v>
      </c>
      <c r="J580" t="s">
        <v>683</v>
      </c>
      <c r="K580">
        <v>13</v>
      </c>
    </row>
    <row r="581" spans="1:11" x14ac:dyDescent="0.35">
      <c r="A581" t="s">
        <v>1299</v>
      </c>
      <c r="B581" t="s">
        <v>503</v>
      </c>
      <c r="C581" t="s">
        <v>561</v>
      </c>
      <c r="D581" t="s">
        <v>623</v>
      </c>
      <c r="E581" s="1">
        <v>45044</v>
      </c>
      <c r="F581" s="1">
        <v>45045</v>
      </c>
      <c r="G581" s="1"/>
      <c r="H581" t="s">
        <v>20</v>
      </c>
      <c r="I581">
        <v>1315.49</v>
      </c>
      <c r="J581" t="s">
        <v>689</v>
      </c>
    </row>
    <row r="582" spans="1:11" x14ac:dyDescent="0.35">
      <c r="A582" t="s">
        <v>1840</v>
      </c>
      <c r="B582" t="s">
        <v>18</v>
      </c>
      <c r="C582" t="s">
        <v>557</v>
      </c>
      <c r="D582" t="s">
        <v>663</v>
      </c>
      <c r="E582" s="1">
        <v>45144</v>
      </c>
      <c r="F582" s="1">
        <v>45146</v>
      </c>
      <c r="G582" s="1">
        <v>45150</v>
      </c>
      <c r="H582" t="s">
        <v>8</v>
      </c>
      <c r="I582">
        <v>1315.42</v>
      </c>
      <c r="J582" t="s">
        <v>683</v>
      </c>
      <c r="K582">
        <v>4</v>
      </c>
    </row>
    <row r="583" spans="1:11" x14ac:dyDescent="0.35">
      <c r="A583" t="s">
        <v>984</v>
      </c>
      <c r="B583" t="s">
        <v>209</v>
      </c>
      <c r="C583" t="s">
        <v>534</v>
      </c>
      <c r="D583" t="s">
        <v>663</v>
      </c>
      <c r="E583" s="1">
        <v>45459</v>
      </c>
      <c r="F583" s="1">
        <v>45461</v>
      </c>
      <c r="G583" s="1">
        <v>45490</v>
      </c>
      <c r="H583" t="s">
        <v>8</v>
      </c>
      <c r="I583">
        <v>1315.3</v>
      </c>
      <c r="J583" t="s">
        <v>683</v>
      </c>
      <c r="K583">
        <v>29</v>
      </c>
    </row>
    <row r="584" spans="1:11" x14ac:dyDescent="0.35">
      <c r="A584" t="s">
        <v>1191</v>
      </c>
      <c r="B584" t="s">
        <v>440</v>
      </c>
      <c r="C584" t="s">
        <v>605</v>
      </c>
      <c r="D584" t="s">
        <v>623</v>
      </c>
      <c r="E584" s="1">
        <v>45002</v>
      </c>
      <c r="F584" s="1">
        <v>45005</v>
      </c>
      <c r="G584" s="1"/>
      <c r="H584" t="s">
        <v>20</v>
      </c>
      <c r="I584">
        <v>1312.7</v>
      </c>
      <c r="J584" t="s">
        <v>689</v>
      </c>
    </row>
    <row r="585" spans="1:11" x14ac:dyDescent="0.35">
      <c r="A585" t="s">
        <v>763</v>
      </c>
      <c r="B585" t="s">
        <v>253</v>
      </c>
      <c r="C585" t="s">
        <v>543</v>
      </c>
      <c r="D585" t="s">
        <v>663</v>
      </c>
      <c r="E585" s="1">
        <v>45004</v>
      </c>
      <c r="F585" s="1">
        <v>45006</v>
      </c>
      <c r="G585" s="1">
        <v>45033</v>
      </c>
      <c r="H585" t="s">
        <v>8</v>
      </c>
      <c r="I585">
        <v>1312</v>
      </c>
      <c r="J585" t="s">
        <v>683</v>
      </c>
      <c r="K585">
        <v>27</v>
      </c>
    </row>
    <row r="586" spans="1:11" x14ac:dyDescent="0.35">
      <c r="A586" t="s">
        <v>1696</v>
      </c>
      <c r="B586" t="s">
        <v>278</v>
      </c>
      <c r="C586" t="s">
        <v>557</v>
      </c>
      <c r="D586" t="s">
        <v>623</v>
      </c>
      <c r="E586" s="1">
        <v>45144</v>
      </c>
      <c r="F586" s="1">
        <v>45146</v>
      </c>
      <c r="G586" s="1">
        <v>45175</v>
      </c>
      <c r="H586" t="s">
        <v>25</v>
      </c>
      <c r="I586">
        <v>1311.55</v>
      </c>
      <c r="J586" t="s">
        <v>683</v>
      </c>
      <c r="K586">
        <v>29</v>
      </c>
    </row>
    <row r="587" spans="1:11" x14ac:dyDescent="0.35">
      <c r="A587" t="s">
        <v>757</v>
      </c>
      <c r="B587" t="s">
        <v>32</v>
      </c>
      <c r="C587" t="s">
        <v>575</v>
      </c>
      <c r="D587" t="s">
        <v>623</v>
      </c>
      <c r="E587" s="1">
        <v>45186</v>
      </c>
      <c r="F587" s="1">
        <v>45189</v>
      </c>
      <c r="G587" s="1">
        <v>45214</v>
      </c>
      <c r="H587" t="s">
        <v>25</v>
      </c>
      <c r="I587">
        <v>1308.8499999999999</v>
      </c>
      <c r="J587" t="s">
        <v>683</v>
      </c>
      <c r="K587">
        <v>25</v>
      </c>
    </row>
    <row r="588" spans="1:11" x14ac:dyDescent="0.35">
      <c r="A588" t="s">
        <v>1693</v>
      </c>
      <c r="B588" t="s">
        <v>512</v>
      </c>
      <c r="C588" t="s">
        <v>534</v>
      </c>
      <c r="D588" t="s">
        <v>663</v>
      </c>
      <c r="E588" s="1">
        <v>45327</v>
      </c>
      <c r="F588" s="1">
        <v>45329</v>
      </c>
      <c r="G588" s="1">
        <v>45333</v>
      </c>
      <c r="H588" t="s">
        <v>11</v>
      </c>
      <c r="I588">
        <v>1307.83</v>
      </c>
      <c r="J588" t="s">
        <v>687</v>
      </c>
      <c r="K588">
        <v>4</v>
      </c>
    </row>
    <row r="589" spans="1:11" x14ac:dyDescent="0.35">
      <c r="A589" t="s">
        <v>2020</v>
      </c>
      <c r="B589" t="s">
        <v>301</v>
      </c>
      <c r="C589" t="s">
        <v>559</v>
      </c>
      <c r="D589" t="s">
        <v>663</v>
      </c>
      <c r="E589" s="1">
        <v>45619</v>
      </c>
      <c r="F589" s="1">
        <v>45621</v>
      </c>
      <c r="G589" s="1">
        <v>45644</v>
      </c>
      <c r="H589" t="s">
        <v>8</v>
      </c>
      <c r="I589">
        <v>1306.8900000000001</v>
      </c>
      <c r="J589" t="s">
        <v>683</v>
      </c>
      <c r="K589">
        <v>23</v>
      </c>
    </row>
    <row r="590" spans="1:11" x14ac:dyDescent="0.35">
      <c r="A590" t="s">
        <v>921</v>
      </c>
      <c r="B590" t="s">
        <v>45</v>
      </c>
      <c r="C590" t="s">
        <v>611</v>
      </c>
      <c r="D590" t="s">
        <v>623</v>
      </c>
      <c r="E590" s="1">
        <v>45530</v>
      </c>
      <c r="F590" s="1">
        <v>45534</v>
      </c>
      <c r="G590" s="1">
        <v>45549</v>
      </c>
      <c r="H590" t="s">
        <v>11</v>
      </c>
      <c r="I590">
        <v>1305.29</v>
      </c>
      <c r="J590" t="s">
        <v>683</v>
      </c>
      <c r="K590">
        <v>15</v>
      </c>
    </row>
    <row r="591" spans="1:11" x14ac:dyDescent="0.35">
      <c r="A591" t="s">
        <v>1731</v>
      </c>
      <c r="B591" t="s">
        <v>404</v>
      </c>
      <c r="C591" t="s">
        <v>587</v>
      </c>
      <c r="D591" t="s">
        <v>663</v>
      </c>
      <c r="E591" s="1">
        <v>44957</v>
      </c>
      <c r="F591" s="1">
        <v>44962</v>
      </c>
      <c r="G591" s="1">
        <v>44987</v>
      </c>
      <c r="H591" t="s">
        <v>8</v>
      </c>
      <c r="I591">
        <v>1301.94</v>
      </c>
      <c r="J591" t="s">
        <v>683</v>
      </c>
      <c r="K591">
        <v>25</v>
      </c>
    </row>
    <row r="592" spans="1:11" x14ac:dyDescent="0.35">
      <c r="A592" t="s">
        <v>1445</v>
      </c>
      <c r="B592" t="s">
        <v>375</v>
      </c>
      <c r="C592" t="s">
        <v>571</v>
      </c>
      <c r="D592" t="s">
        <v>623</v>
      </c>
      <c r="E592" s="1">
        <v>45285</v>
      </c>
      <c r="F592" s="1">
        <v>45290</v>
      </c>
      <c r="G592" s="1">
        <v>45316</v>
      </c>
      <c r="H592" t="s">
        <v>20</v>
      </c>
      <c r="I592">
        <v>1296.82</v>
      </c>
      <c r="J592" t="s">
        <v>683</v>
      </c>
      <c r="K592">
        <v>26</v>
      </c>
    </row>
    <row r="593" spans="1:11" x14ac:dyDescent="0.35">
      <c r="A593" t="s">
        <v>2178</v>
      </c>
      <c r="B593" t="s">
        <v>402</v>
      </c>
      <c r="C593" t="s">
        <v>567</v>
      </c>
      <c r="D593" t="s">
        <v>623</v>
      </c>
      <c r="E593" s="1">
        <v>45508</v>
      </c>
      <c r="F593" s="1">
        <v>45513</v>
      </c>
      <c r="G593" s="1">
        <v>45538</v>
      </c>
      <c r="H593" t="s">
        <v>11</v>
      </c>
      <c r="I593">
        <v>1291.3499999999999</v>
      </c>
      <c r="J593" t="s">
        <v>683</v>
      </c>
      <c r="K593">
        <v>25</v>
      </c>
    </row>
    <row r="594" spans="1:11" x14ac:dyDescent="0.35">
      <c r="A594" t="s">
        <v>727</v>
      </c>
      <c r="B594" t="s">
        <v>75</v>
      </c>
      <c r="C594" t="s">
        <v>587</v>
      </c>
      <c r="D594" t="s">
        <v>663</v>
      </c>
      <c r="E594" s="1">
        <v>45085</v>
      </c>
      <c r="F594" s="1">
        <v>45088</v>
      </c>
      <c r="G594" s="1">
        <v>45118</v>
      </c>
      <c r="H594" t="s">
        <v>8</v>
      </c>
      <c r="I594">
        <v>1284.75</v>
      </c>
      <c r="J594" t="s">
        <v>683</v>
      </c>
      <c r="K594">
        <v>30</v>
      </c>
    </row>
    <row r="595" spans="1:11" x14ac:dyDescent="0.35">
      <c r="A595" t="s">
        <v>1649</v>
      </c>
      <c r="B595" t="s">
        <v>473</v>
      </c>
      <c r="C595" t="s">
        <v>605</v>
      </c>
      <c r="D595" t="s">
        <v>663</v>
      </c>
      <c r="E595" s="1">
        <v>45131</v>
      </c>
      <c r="F595" s="1">
        <v>45132</v>
      </c>
      <c r="G595" s="1">
        <v>45152</v>
      </c>
      <c r="H595" t="s">
        <v>11</v>
      </c>
      <c r="I595">
        <v>1279.76</v>
      </c>
      <c r="J595" t="s">
        <v>683</v>
      </c>
      <c r="K595">
        <v>20</v>
      </c>
    </row>
    <row r="596" spans="1:11" x14ac:dyDescent="0.35">
      <c r="A596" t="s">
        <v>1818</v>
      </c>
      <c r="B596" t="s">
        <v>162</v>
      </c>
      <c r="C596" t="s">
        <v>591</v>
      </c>
      <c r="D596" t="s">
        <v>663</v>
      </c>
      <c r="E596" s="1">
        <v>45383</v>
      </c>
      <c r="F596" s="1">
        <v>45386</v>
      </c>
      <c r="G596" s="1">
        <v>45389</v>
      </c>
      <c r="H596" t="s">
        <v>11</v>
      </c>
      <c r="I596">
        <v>1276.08</v>
      </c>
      <c r="J596" t="s">
        <v>687</v>
      </c>
      <c r="K596">
        <v>3</v>
      </c>
    </row>
    <row r="597" spans="1:11" x14ac:dyDescent="0.35">
      <c r="A597" t="s">
        <v>2323</v>
      </c>
      <c r="B597" t="s">
        <v>395</v>
      </c>
      <c r="C597" t="s">
        <v>587</v>
      </c>
      <c r="D597" t="s">
        <v>663</v>
      </c>
      <c r="E597" s="1">
        <v>45156</v>
      </c>
      <c r="F597" s="1">
        <v>45160</v>
      </c>
      <c r="G597" s="1">
        <v>45167</v>
      </c>
      <c r="H597" t="s">
        <v>11</v>
      </c>
      <c r="I597">
        <v>1274.21</v>
      </c>
      <c r="J597" t="s">
        <v>683</v>
      </c>
      <c r="K597">
        <v>7</v>
      </c>
    </row>
    <row r="598" spans="1:11" x14ac:dyDescent="0.35">
      <c r="A598" t="s">
        <v>1794</v>
      </c>
      <c r="B598" t="s">
        <v>275</v>
      </c>
      <c r="C598" t="s">
        <v>583</v>
      </c>
      <c r="D598" t="s">
        <v>623</v>
      </c>
      <c r="E598" s="1">
        <v>45619</v>
      </c>
      <c r="F598" s="1">
        <v>45621</v>
      </c>
      <c r="G598" s="1">
        <v>45627</v>
      </c>
      <c r="H598" t="s">
        <v>8</v>
      </c>
      <c r="I598">
        <v>1265.32</v>
      </c>
      <c r="J598" t="s">
        <v>683</v>
      </c>
      <c r="K598">
        <v>6</v>
      </c>
    </row>
    <row r="599" spans="1:11" x14ac:dyDescent="0.35">
      <c r="A599" t="s">
        <v>1651</v>
      </c>
      <c r="B599" t="s">
        <v>239</v>
      </c>
      <c r="C599" t="s">
        <v>569</v>
      </c>
      <c r="D599" t="s">
        <v>663</v>
      </c>
      <c r="E599" s="1">
        <v>45397</v>
      </c>
      <c r="F599" s="1">
        <v>45401</v>
      </c>
      <c r="G599" s="1">
        <v>45425</v>
      </c>
      <c r="H599" t="s">
        <v>20</v>
      </c>
      <c r="I599">
        <v>1263.33</v>
      </c>
      <c r="J599" t="s">
        <v>683</v>
      </c>
      <c r="K599">
        <v>24</v>
      </c>
    </row>
    <row r="600" spans="1:11" x14ac:dyDescent="0.35">
      <c r="A600" t="s">
        <v>2651</v>
      </c>
      <c r="B600" t="s">
        <v>216</v>
      </c>
      <c r="C600" t="s">
        <v>599</v>
      </c>
      <c r="D600" t="s">
        <v>623</v>
      </c>
      <c r="E600" s="1">
        <v>44983</v>
      </c>
      <c r="F600" s="1">
        <v>44985</v>
      </c>
      <c r="G600" s="1">
        <v>45010</v>
      </c>
      <c r="H600" t="s">
        <v>20</v>
      </c>
      <c r="I600">
        <v>1260.32</v>
      </c>
      <c r="J600" t="s">
        <v>683</v>
      </c>
      <c r="K600">
        <v>25</v>
      </c>
    </row>
    <row r="601" spans="1:11" x14ac:dyDescent="0.35">
      <c r="A601" t="s">
        <v>957</v>
      </c>
      <c r="B601" t="s">
        <v>304</v>
      </c>
      <c r="C601" t="s">
        <v>549</v>
      </c>
      <c r="D601" t="s">
        <v>623</v>
      </c>
      <c r="E601" s="1">
        <v>45480</v>
      </c>
      <c r="F601" s="1">
        <v>45481</v>
      </c>
      <c r="G601" s="1">
        <v>45506</v>
      </c>
      <c r="H601" t="s">
        <v>20</v>
      </c>
      <c r="I601">
        <v>1256.78</v>
      </c>
      <c r="J601" t="s">
        <v>683</v>
      </c>
      <c r="K601">
        <v>25</v>
      </c>
    </row>
    <row r="602" spans="1:11" x14ac:dyDescent="0.35">
      <c r="A602" t="s">
        <v>848</v>
      </c>
      <c r="B602" t="s">
        <v>271</v>
      </c>
      <c r="C602" t="s">
        <v>521</v>
      </c>
      <c r="D602" t="s">
        <v>623</v>
      </c>
      <c r="E602" s="1">
        <v>45091</v>
      </c>
      <c r="F602" s="1">
        <v>45092</v>
      </c>
      <c r="G602" s="1">
        <v>45110</v>
      </c>
      <c r="H602" t="s">
        <v>8</v>
      </c>
      <c r="I602">
        <v>1249.17</v>
      </c>
      <c r="J602" t="s">
        <v>683</v>
      </c>
      <c r="K602">
        <v>18</v>
      </c>
    </row>
    <row r="603" spans="1:11" x14ac:dyDescent="0.35">
      <c r="A603" t="s">
        <v>2282</v>
      </c>
      <c r="B603" t="s">
        <v>167</v>
      </c>
      <c r="C603" t="s">
        <v>553</v>
      </c>
      <c r="D603" t="s">
        <v>623</v>
      </c>
      <c r="E603" s="1">
        <v>44955</v>
      </c>
      <c r="F603" s="1">
        <v>44960</v>
      </c>
      <c r="G603" s="1">
        <v>44964</v>
      </c>
      <c r="H603" t="s">
        <v>11</v>
      </c>
      <c r="I603">
        <v>1248.82</v>
      </c>
      <c r="J603" t="s">
        <v>683</v>
      </c>
      <c r="K603">
        <v>4</v>
      </c>
    </row>
    <row r="604" spans="1:11" x14ac:dyDescent="0.35">
      <c r="A604" t="s">
        <v>2207</v>
      </c>
      <c r="B604" t="s">
        <v>299</v>
      </c>
      <c r="C604" t="s">
        <v>583</v>
      </c>
      <c r="D604" t="s">
        <v>623</v>
      </c>
      <c r="E604" s="1">
        <v>45241</v>
      </c>
      <c r="F604" s="1">
        <v>45246</v>
      </c>
      <c r="G604" s="1">
        <v>45257</v>
      </c>
      <c r="H604" t="s">
        <v>25</v>
      </c>
      <c r="I604">
        <v>1244.26</v>
      </c>
      <c r="J604" t="s">
        <v>687</v>
      </c>
      <c r="K604">
        <v>11</v>
      </c>
    </row>
    <row r="605" spans="1:11" x14ac:dyDescent="0.35">
      <c r="A605" t="s">
        <v>1715</v>
      </c>
      <c r="B605" t="s">
        <v>74</v>
      </c>
      <c r="C605" t="s">
        <v>585</v>
      </c>
      <c r="D605" t="s">
        <v>623</v>
      </c>
      <c r="E605" s="1">
        <v>45027</v>
      </c>
      <c r="F605" s="1">
        <v>45030</v>
      </c>
      <c r="G605" s="1">
        <v>45045</v>
      </c>
      <c r="H605" t="s">
        <v>8</v>
      </c>
      <c r="I605">
        <v>1219.8399999999999</v>
      </c>
      <c r="J605" t="s">
        <v>683</v>
      </c>
      <c r="K605">
        <v>15</v>
      </c>
    </row>
    <row r="606" spans="1:11" x14ac:dyDescent="0.35">
      <c r="A606" t="s">
        <v>2573</v>
      </c>
      <c r="B606" t="s">
        <v>324</v>
      </c>
      <c r="C606" t="s">
        <v>543</v>
      </c>
      <c r="D606" t="s">
        <v>623</v>
      </c>
      <c r="E606" s="1">
        <v>45132</v>
      </c>
      <c r="F606" s="1">
        <v>45135</v>
      </c>
      <c r="G606" s="1">
        <v>45150</v>
      </c>
      <c r="H606" t="s">
        <v>8</v>
      </c>
      <c r="I606">
        <v>1216.21</v>
      </c>
      <c r="J606" t="s">
        <v>683</v>
      </c>
      <c r="K606">
        <v>15</v>
      </c>
    </row>
    <row r="607" spans="1:11" x14ac:dyDescent="0.35">
      <c r="A607" t="s">
        <v>1237</v>
      </c>
      <c r="B607" t="s">
        <v>406</v>
      </c>
      <c r="C607" t="s">
        <v>567</v>
      </c>
      <c r="D607" t="s">
        <v>623</v>
      </c>
      <c r="E607" s="1">
        <v>45270</v>
      </c>
      <c r="F607" s="1">
        <v>45274</v>
      </c>
      <c r="G607" s="1">
        <v>45280</v>
      </c>
      <c r="H607" t="s">
        <v>11</v>
      </c>
      <c r="I607">
        <v>1198.67</v>
      </c>
      <c r="J607" t="s">
        <v>683</v>
      </c>
      <c r="K607">
        <v>6</v>
      </c>
    </row>
    <row r="608" spans="1:11" x14ac:dyDescent="0.35">
      <c r="A608" t="s">
        <v>1507</v>
      </c>
      <c r="B608" t="s">
        <v>391</v>
      </c>
      <c r="C608" t="s">
        <v>585</v>
      </c>
      <c r="D608" t="s">
        <v>623</v>
      </c>
      <c r="E608" s="1">
        <v>45008</v>
      </c>
      <c r="F608" s="1">
        <v>45009</v>
      </c>
      <c r="G608" s="1"/>
      <c r="H608" t="s">
        <v>11</v>
      </c>
      <c r="I608">
        <v>1193.98</v>
      </c>
      <c r="J608" t="s">
        <v>689</v>
      </c>
    </row>
    <row r="609" spans="1:11" x14ac:dyDescent="0.35">
      <c r="A609" t="s">
        <v>2051</v>
      </c>
      <c r="B609" t="s">
        <v>61</v>
      </c>
      <c r="C609" t="s">
        <v>599</v>
      </c>
      <c r="D609" t="s">
        <v>623</v>
      </c>
      <c r="E609" s="1">
        <v>45253</v>
      </c>
      <c r="F609" s="1">
        <v>45255</v>
      </c>
      <c r="G609" s="1">
        <v>45270</v>
      </c>
      <c r="H609" t="s">
        <v>11</v>
      </c>
      <c r="I609">
        <v>1193.3900000000001</v>
      </c>
      <c r="J609" t="s">
        <v>683</v>
      </c>
      <c r="K609">
        <v>15</v>
      </c>
    </row>
    <row r="610" spans="1:11" x14ac:dyDescent="0.35">
      <c r="A610" t="s">
        <v>1532</v>
      </c>
      <c r="B610" t="s">
        <v>287</v>
      </c>
      <c r="C610" t="s">
        <v>559</v>
      </c>
      <c r="D610" t="s">
        <v>623</v>
      </c>
      <c r="E610" s="1">
        <v>45492</v>
      </c>
      <c r="F610" s="1">
        <v>45496</v>
      </c>
      <c r="G610" s="1">
        <v>45510</v>
      </c>
      <c r="H610" t="s">
        <v>20</v>
      </c>
      <c r="I610">
        <v>1187.99</v>
      </c>
      <c r="J610" t="s">
        <v>683</v>
      </c>
      <c r="K610">
        <v>14</v>
      </c>
    </row>
    <row r="611" spans="1:11" x14ac:dyDescent="0.35">
      <c r="A611" t="s">
        <v>883</v>
      </c>
      <c r="B611" t="s">
        <v>385</v>
      </c>
      <c r="C611" t="s">
        <v>587</v>
      </c>
      <c r="D611" t="s">
        <v>623</v>
      </c>
      <c r="E611" s="1">
        <v>45124</v>
      </c>
      <c r="F611" s="1">
        <v>45128</v>
      </c>
      <c r="G611" s="1"/>
      <c r="H611" t="s">
        <v>20</v>
      </c>
      <c r="I611">
        <v>1186.74</v>
      </c>
      <c r="J611" t="s">
        <v>689</v>
      </c>
    </row>
    <row r="612" spans="1:11" x14ac:dyDescent="0.35">
      <c r="A612" t="s">
        <v>1386</v>
      </c>
      <c r="B612" t="s">
        <v>243</v>
      </c>
      <c r="C612" t="s">
        <v>589</v>
      </c>
      <c r="D612" t="s">
        <v>623</v>
      </c>
      <c r="E612" s="1">
        <v>45314</v>
      </c>
      <c r="F612" s="1">
        <v>45316</v>
      </c>
      <c r="G612" s="1">
        <v>45319</v>
      </c>
      <c r="H612" t="s">
        <v>13</v>
      </c>
      <c r="I612">
        <v>1182.82</v>
      </c>
      <c r="J612" t="s">
        <v>687</v>
      </c>
      <c r="K612">
        <v>3</v>
      </c>
    </row>
    <row r="613" spans="1:11" x14ac:dyDescent="0.35">
      <c r="A613" t="s">
        <v>1498</v>
      </c>
      <c r="B613" t="s">
        <v>508</v>
      </c>
      <c r="C613" t="s">
        <v>567</v>
      </c>
      <c r="D613" t="s">
        <v>623</v>
      </c>
      <c r="E613" s="1">
        <v>45142</v>
      </c>
      <c r="F613" s="1">
        <v>45146</v>
      </c>
      <c r="G613" s="1">
        <v>45156</v>
      </c>
      <c r="H613" t="s">
        <v>25</v>
      </c>
      <c r="I613">
        <v>1175.6099999999999</v>
      </c>
      <c r="J613" t="s">
        <v>687</v>
      </c>
      <c r="K613">
        <v>10</v>
      </c>
    </row>
    <row r="614" spans="1:11" x14ac:dyDescent="0.35">
      <c r="A614" t="s">
        <v>2529</v>
      </c>
      <c r="B614" t="s">
        <v>286</v>
      </c>
      <c r="C614" t="s">
        <v>524</v>
      </c>
      <c r="D614" t="s">
        <v>623</v>
      </c>
      <c r="E614" s="1">
        <v>45013</v>
      </c>
      <c r="F614" s="1">
        <v>45016</v>
      </c>
      <c r="G614" s="1">
        <v>45031</v>
      </c>
      <c r="H614" t="s">
        <v>8</v>
      </c>
      <c r="I614">
        <v>1172.45</v>
      </c>
      <c r="J614" t="s">
        <v>683</v>
      </c>
      <c r="K614">
        <v>15</v>
      </c>
    </row>
    <row r="615" spans="1:11" x14ac:dyDescent="0.35">
      <c r="A615" t="s">
        <v>904</v>
      </c>
      <c r="B615" t="s">
        <v>432</v>
      </c>
      <c r="C615" t="s">
        <v>581</v>
      </c>
      <c r="D615" t="s">
        <v>623</v>
      </c>
      <c r="E615" s="1">
        <v>45630</v>
      </c>
      <c r="F615" s="1">
        <v>45635</v>
      </c>
      <c r="G615" s="1">
        <v>45665</v>
      </c>
      <c r="H615" t="s">
        <v>11</v>
      </c>
      <c r="I615">
        <v>1168.3599999999999</v>
      </c>
      <c r="J615" t="s">
        <v>683</v>
      </c>
      <c r="K615">
        <v>30</v>
      </c>
    </row>
    <row r="616" spans="1:11" x14ac:dyDescent="0.35">
      <c r="A616" t="s">
        <v>2222</v>
      </c>
      <c r="B616" t="s">
        <v>368</v>
      </c>
      <c r="C616" t="s">
        <v>573</v>
      </c>
      <c r="D616" t="s">
        <v>623</v>
      </c>
      <c r="E616" s="1">
        <v>45384</v>
      </c>
      <c r="F616" s="1">
        <v>45387</v>
      </c>
      <c r="G616" s="1">
        <v>45397</v>
      </c>
      <c r="H616" t="s">
        <v>20</v>
      </c>
      <c r="I616">
        <v>1162.52</v>
      </c>
      <c r="J616" t="s">
        <v>683</v>
      </c>
      <c r="K616">
        <v>10</v>
      </c>
    </row>
    <row r="617" spans="1:11" x14ac:dyDescent="0.35">
      <c r="A617" t="s">
        <v>1011</v>
      </c>
      <c r="B617" t="s">
        <v>147</v>
      </c>
      <c r="C617" t="s">
        <v>559</v>
      </c>
      <c r="D617" t="s">
        <v>623</v>
      </c>
      <c r="E617" s="1">
        <v>45498</v>
      </c>
      <c r="F617" s="1">
        <v>45503</v>
      </c>
      <c r="G617" s="1">
        <v>45515</v>
      </c>
      <c r="H617" t="s">
        <v>8</v>
      </c>
      <c r="I617">
        <v>1160.5899999999999</v>
      </c>
      <c r="J617" t="s">
        <v>683</v>
      </c>
      <c r="K617">
        <v>12</v>
      </c>
    </row>
    <row r="618" spans="1:11" x14ac:dyDescent="0.35">
      <c r="A618" t="s">
        <v>2074</v>
      </c>
      <c r="B618" t="s">
        <v>351</v>
      </c>
      <c r="C618" t="s">
        <v>537</v>
      </c>
      <c r="D618" t="s">
        <v>623</v>
      </c>
      <c r="E618" s="1">
        <v>45633</v>
      </c>
      <c r="F618" s="1">
        <v>45635</v>
      </c>
      <c r="G618" s="1">
        <v>45643</v>
      </c>
      <c r="H618" t="s">
        <v>11</v>
      </c>
      <c r="I618">
        <v>1144.97</v>
      </c>
      <c r="J618" t="s">
        <v>687</v>
      </c>
      <c r="K618">
        <v>8</v>
      </c>
    </row>
    <row r="619" spans="1:11" x14ac:dyDescent="0.35">
      <c r="A619" t="s">
        <v>1652</v>
      </c>
      <c r="B619" t="s">
        <v>202</v>
      </c>
      <c r="C619" t="s">
        <v>577</v>
      </c>
      <c r="D619" t="s">
        <v>623</v>
      </c>
      <c r="E619" s="1">
        <v>45392</v>
      </c>
      <c r="F619" s="1">
        <v>45397</v>
      </c>
      <c r="G619" s="1">
        <v>45407</v>
      </c>
      <c r="H619" t="s">
        <v>13</v>
      </c>
      <c r="I619">
        <v>1144.24</v>
      </c>
      <c r="J619" t="s">
        <v>683</v>
      </c>
      <c r="K619">
        <v>10</v>
      </c>
    </row>
    <row r="620" spans="1:11" x14ac:dyDescent="0.35">
      <c r="A620" t="s">
        <v>682</v>
      </c>
      <c r="B620" t="s">
        <v>388</v>
      </c>
      <c r="C620" t="s">
        <v>567</v>
      </c>
      <c r="D620" t="s">
        <v>623</v>
      </c>
      <c r="E620" s="1">
        <v>44940</v>
      </c>
      <c r="F620" s="1">
        <v>44945</v>
      </c>
      <c r="G620" s="1">
        <v>44973</v>
      </c>
      <c r="H620" t="s">
        <v>8</v>
      </c>
      <c r="I620">
        <v>1141.93</v>
      </c>
      <c r="J620" t="s">
        <v>683</v>
      </c>
      <c r="K620">
        <v>28</v>
      </c>
    </row>
    <row r="621" spans="1:11" x14ac:dyDescent="0.35">
      <c r="A621" t="s">
        <v>1797</v>
      </c>
      <c r="B621" t="s">
        <v>296</v>
      </c>
      <c r="C621" t="s">
        <v>575</v>
      </c>
      <c r="D621" t="s">
        <v>623</v>
      </c>
      <c r="E621" s="1">
        <v>45101</v>
      </c>
      <c r="F621" s="1">
        <v>45104</v>
      </c>
      <c r="G621" s="1">
        <v>45107</v>
      </c>
      <c r="H621" t="s">
        <v>11</v>
      </c>
      <c r="I621">
        <v>1132.9000000000001</v>
      </c>
      <c r="J621" t="s">
        <v>683</v>
      </c>
      <c r="K621">
        <v>3</v>
      </c>
    </row>
    <row r="622" spans="1:11" x14ac:dyDescent="0.35">
      <c r="A622" t="s">
        <v>2441</v>
      </c>
      <c r="B622" t="s">
        <v>256</v>
      </c>
      <c r="C622" t="s">
        <v>563</v>
      </c>
      <c r="D622" t="s">
        <v>623</v>
      </c>
      <c r="E622" s="1">
        <v>45435</v>
      </c>
      <c r="F622" s="1">
        <v>45437</v>
      </c>
      <c r="G622" s="1">
        <v>45464</v>
      </c>
      <c r="H622" t="s">
        <v>8</v>
      </c>
      <c r="I622">
        <v>1128.9100000000001</v>
      </c>
      <c r="J622" t="s">
        <v>683</v>
      </c>
      <c r="K622">
        <v>27</v>
      </c>
    </row>
    <row r="623" spans="1:11" x14ac:dyDescent="0.35">
      <c r="A623" t="s">
        <v>2469</v>
      </c>
      <c r="B623" t="s">
        <v>344</v>
      </c>
      <c r="C623" t="s">
        <v>565</v>
      </c>
      <c r="D623" t="s">
        <v>623</v>
      </c>
      <c r="E623" s="1">
        <v>45624</v>
      </c>
      <c r="F623" s="1">
        <v>45629</v>
      </c>
      <c r="G623" s="1">
        <v>45638</v>
      </c>
      <c r="H623" t="s">
        <v>25</v>
      </c>
      <c r="I623">
        <v>1125.33</v>
      </c>
      <c r="J623" t="s">
        <v>683</v>
      </c>
      <c r="K623">
        <v>9</v>
      </c>
    </row>
    <row r="624" spans="1:11" x14ac:dyDescent="0.35">
      <c r="A624" t="s">
        <v>1441</v>
      </c>
      <c r="B624" t="s">
        <v>466</v>
      </c>
      <c r="C624" t="s">
        <v>609</v>
      </c>
      <c r="D624" t="s">
        <v>631</v>
      </c>
      <c r="E624" s="1">
        <v>45309</v>
      </c>
      <c r="F624" s="1">
        <v>45310</v>
      </c>
      <c r="G624" s="1">
        <v>45330</v>
      </c>
      <c r="H624" t="s">
        <v>20</v>
      </c>
      <c r="I624">
        <v>1119.54</v>
      </c>
      <c r="J624" t="s">
        <v>683</v>
      </c>
      <c r="K624">
        <v>20</v>
      </c>
    </row>
    <row r="625" spans="1:11" x14ac:dyDescent="0.35">
      <c r="A625" t="s">
        <v>2158</v>
      </c>
      <c r="B625" t="s">
        <v>276</v>
      </c>
      <c r="C625" t="s">
        <v>607</v>
      </c>
      <c r="D625" t="s">
        <v>623</v>
      </c>
      <c r="E625" s="1">
        <v>45415</v>
      </c>
      <c r="F625" s="1">
        <v>45417</v>
      </c>
      <c r="G625" s="1">
        <v>45439</v>
      </c>
      <c r="H625" t="s">
        <v>20</v>
      </c>
      <c r="I625">
        <v>1116.51</v>
      </c>
      <c r="J625" t="s">
        <v>683</v>
      </c>
      <c r="K625">
        <v>22</v>
      </c>
    </row>
    <row r="626" spans="1:11" x14ac:dyDescent="0.35">
      <c r="A626" t="s">
        <v>2208</v>
      </c>
      <c r="B626" t="s">
        <v>57</v>
      </c>
      <c r="C626" t="s">
        <v>593</v>
      </c>
      <c r="D626" t="s">
        <v>623</v>
      </c>
      <c r="E626" s="1">
        <v>45094</v>
      </c>
      <c r="F626" s="1">
        <v>45095</v>
      </c>
      <c r="G626" s="1">
        <v>45124</v>
      </c>
      <c r="H626" t="s">
        <v>11</v>
      </c>
      <c r="I626">
        <v>1113.5899999999999</v>
      </c>
      <c r="J626" t="s">
        <v>683</v>
      </c>
      <c r="K626">
        <v>29</v>
      </c>
    </row>
    <row r="627" spans="1:11" x14ac:dyDescent="0.35">
      <c r="A627" t="s">
        <v>1631</v>
      </c>
      <c r="B627" t="s">
        <v>46</v>
      </c>
      <c r="C627" t="s">
        <v>601</v>
      </c>
      <c r="D627" t="s">
        <v>631</v>
      </c>
      <c r="E627" s="1">
        <v>45372</v>
      </c>
      <c r="F627" s="1">
        <v>45373</v>
      </c>
      <c r="G627" s="1">
        <v>45391</v>
      </c>
      <c r="H627" t="s">
        <v>11</v>
      </c>
      <c r="I627">
        <v>1113.28</v>
      </c>
      <c r="J627" t="s">
        <v>683</v>
      </c>
      <c r="K627">
        <v>18</v>
      </c>
    </row>
    <row r="628" spans="1:11" x14ac:dyDescent="0.35">
      <c r="A628" t="s">
        <v>2644</v>
      </c>
      <c r="B628" t="s">
        <v>362</v>
      </c>
      <c r="C628" t="s">
        <v>573</v>
      </c>
      <c r="D628" t="s">
        <v>623</v>
      </c>
      <c r="E628" s="1">
        <v>45339</v>
      </c>
      <c r="F628" s="1">
        <v>45342</v>
      </c>
      <c r="G628" s="1"/>
      <c r="H628" t="s">
        <v>25</v>
      </c>
      <c r="I628">
        <v>1111.96</v>
      </c>
      <c r="J628" t="s">
        <v>689</v>
      </c>
    </row>
    <row r="629" spans="1:11" x14ac:dyDescent="0.35">
      <c r="A629" t="s">
        <v>2659</v>
      </c>
      <c r="B629" t="s">
        <v>373</v>
      </c>
      <c r="C629" t="s">
        <v>567</v>
      </c>
      <c r="D629" t="s">
        <v>631</v>
      </c>
      <c r="E629" s="1">
        <v>45460</v>
      </c>
      <c r="F629" s="1">
        <v>45465</v>
      </c>
      <c r="G629" s="1">
        <v>45495</v>
      </c>
      <c r="H629" t="s">
        <v>20</v>
      </c>
      <c r="I629">
        <v>1110.49</v>
      </c>
      <c r="J629" t="s">
        <v>683</v>
      </c>
      <c r="K629">
        <v>30</v>
      </c>
    </row>
    <row r="630" spans="1:11" x14ac:dyDescent="0.35">
      <c r="A630" t="s">
        <v>1624</v>
      </c>
      <c r="B630" t="s">
        <v>75</v>
      </c>
      <c r="C630" t="s">
        <v>573</v>
      </c>
      <c r="D630" t="s">
        <v>631</v>
      </c>
      <c r="E630" s="1">
        <v>45207</v>
      </c>
      <c r="F630" s="1">
        <v>45208</v>
      </c>
      <c r="G630" s="1">
        <v>45219</v>
      </c>
      <c r="H630" t="s">
        <v>8</v>
      </c>
      <c r="I630">
        <v>1107.05</v>
      </c>
      <c r="J630" t="s">
        <v>683</v>
      </c>
      <c r="K630">
        <v>11</v>
      </c>
    </row>
    <row r="631" spans="1:11" x14ac:dyDescent="0.35">
      <c r="A631" t="s">
        <v>2345</v>
      </c>
      <c r="B631" t="s">
        <v>217</v>
      </c>
      <c r="C631" t="s">
        <v>577</v>
      </c>
      <c r="D631" t="s">
        <v>631</v>
      </c>
      <c r="E631" s="1">
        <v>45434</v>
      </c>
      <c r="F631" s="1">
        <v>45437</v>
      </c>
      <c r="G631" s="1">
        <v>45453</v>
      </c>
      <c r="H631" t="s">
        <v>13</v>
      </c>
      <c r="I631">
        <v>1101.27</v>
      </c>
      <c r="J631" t="s">
        <v>687</v>
      </c>
      <c r="K631">
        <v>16</v>
      </c>
    </row>
    <row r="632" spans="1:11" x14ac:dyDescent="0.35">
      <c r="A632" t="s">
        <v>1447</v>
      </c>
      <c r="B632" t="s">
        <v>289</v>
      </c>
      <c r="C632" t="s">
        <v>540</v>
      </c>
      <c r="D632" t="s">
        <v>631</v>
      </c>
      <c r="E632" s="1">
        <v>45311</v>
      </c>
      <c r="F632" s="1">
        <v>45314</v>
      </c>
      <c r="G632" s="1">
        <v>45317</v>
      </c>
      <c r="H632" t="s">
        <v>13</v>
      </c>
      <c r="I632">
        <v>1100.3399999999999</v>
      </c>
      <c r="J632" t="s">
        <v>683</v>
      </c>
      <c r="K632">
        <v>3</v>
      </c>
    </row>
    <row r="633" spans="1:11" x14ac:dyDescent="0.35">
      <c r="A633" t="s">
        <v>1574</v>
      </c>
      <c r="B633" t="s">
        <v>452</v>
      </c>
      <c r="C633" t="s">
        <v>589</v>
      </c>
      <c r="D633" t="s">
        <v>623</v>
      </c>
      <c r="E633" s="1">
        <v>45191</v>
      </c>
      <c r="F633" s="1">
        <v>45192</v>
      </c>
      <c r="G633" s="1">
        <v>45202</v>
      </c>
      <c r="H633" t="s">
        <v>11</v>
      </c>
      <c r="I633">
        <v>1099.9100000000001</v>
      </c>
      <c r="J633" t="s">
        <v>683</v>
      </c>
      <c r="K633">
        <v>10</v>
      </c>
    </row>
    <row r="634" spans="1:11" x14ac:dyDescent="0.35">
      <c r="A634" t="s">
        <v>703</v>
      </c>
      <c r="B634" t="s">
        <v>333</v>
      </c>
      <c r="C634" t="s">
        <v>581</v>
      </c>
      <c r="D634" t="s">
        <v>623</v>
      </c>
      <c r="E634" s="1">
        <v>45080</v>
      </c>
      <c r="F634" s="1">
        <v>45083</v>
      </c>
      <c r="G634" s="1">
        <v>45113</v>
      </c>
      <c r="H634" t="s">
        <v>13</v>
      </c>
      <c r="I634">
        <v>1099.3499999999999</v>
      </c>
      <c r="J634" t="s">
        <v>687</v>
      </c>
      <c r="K634">
        <v>30</v>
      </c>
    </row>
    <row r="635" spans="1:11" x14ac:dyDescent="0.35">
      <c r="A635" t="s">
        <v>1979</v>
      </c>
      <c r="B635" t="s">
        <v>279</v>
      </c>
      <c r="C635" t="s">
        <v>569</v>
      </c>
      <c r="D635" t="s">
        <v>631</v>
      </c>
      <c r="E635" s="1">
        <v>45438</v>
      </c>
      <c r="F635" s="1">
        <v>45439</v>
      </c>
      <c r="G635" s="1">
        <v>45459</v>
      </c>
      <c r="H635" t="s">
        <v>11</v>
      </c>
      <c r="I635">
        <v>1098.52</v>
      </c>
      <c r="J635" t="s">
        <v>683</v>
      </c>
      <c r="K635">
        <v>20</v>
      </c>
    </row>
    <row r="636" spans="1:11" x14ac:dyDescent="0.35">
      <c r="A636" t="s">
        <v>728</v>
      </c>
      <c r="B636" t="s">
        <v>87</v>
      </c>
      <c r="C636" t="s">
        <v>589</v>
      </c>
      <c r="D636" t="s">
        <v>623</v>
      </c>
      <c r="E636" s="1">
        <v>45114</v>
      </c>
      <c r="F636" s="1">
        <v>45115</v>
      </c>
      <c r="G636" s="1">
        <v>45134</v>
      </c>
      <c r="H636" t="s">
        <v>8</v>
      </c>
      <c r="I636">
        <v>1098.43</v>
      </c>
      <c r="J636" t="s">
        <v>683</v>
      </c>
      <c r="K636">
        <v>19</v>
      </c>
    </row>
    <row r="637" spans="1:11" x14ac:dyDescent="0.35">
      <c r="A637" t="s">
        <v>2353</v>
      </c>
      <c r="B637" t="s">
        <v>341</v>
      </c>
      <c r="C637" t="s">
        <v>571</v>
      </c>
      <c r="D637" t="s">
        <v>623</v>
      </c>
      <c r="E637" s="1">
        <v>45005</v>
      </c>
      <c r="F637" s="1">
        <v>45009</v>
      </c>
      <c r="G637" s="1">
        <v>45030</v>
      </c>
      <c r="H637" t="s">
        <v>11</v>
      </c>
      <c r="I637">
        <v>1094.3499999999999</v>
      </c>
      <c r="J637" t="s">
        <v>683</v>
      </c>
      <c r="K637">
        <v>21</v>
      </c>
    </row>
    <row r="638" spans="1:11" x14ac:dyDescent="0.35">
      <c r="A638" t="s">
        <v>1246</v>
      </c>
      <c r="B638" t="s">
        <v>55</v>
      </c>
      <c r="C638" t="s">
        <v>569</v>
      </c>
      <c r="D638" t="s">
        <v>623</v>
      </c>
      <c r="E638" s="1">
        <v>45630</v>
      </c>
      <c r="F638" s="1">
        <v>45631</v>
      </c>
      <c r="G638" s="1">
        <v>45656</v>
      </c>
      <c r="H638" t="s">
        <v>11</v>
      </c>
      <c r="I638">
        <v>1090.81</v>
      </c>
      <c r="J638" t="s">
        <v>683</v>
      </c>
      <c r="K638">
        <v>25</v>
      </c>
    </row>
    <row r="639" spans="1:11" x14ac:dyDescent="0.35">
      <c r="A639" t="s">
        <v>2344</v>
      </c>
      <c r="B639" t="s">
        <v>149</v>
      </c>
      <c r="C639" t="s">
        <v>567</v>
      </c>
      <c r="D639" t="s">
        <v>623</v>
      </c>
      <c r="E639" s="1">
        <v>44985</v>
      </c>
      <c r="F639" s="1">
        <v>44988</v>
      </c>
      <c r="G639" s="1">
        <v>45003</v>
      </c>
      <c r="H639" t="s">
        <v>8</v>
      </c>
      <c r="I639">
        <v>1081.83</v>
      </c>
      <c r="J639" t="s">
        <v>683</v>
      </c>
      <c r="K639">
        <v>15</v>
      </c>
    </row>
    <row r="640" spans="1:11" x14ac:dyDescent="0.35">
      <c r="A640" t="s">
        <v>1053</v>
      </c>
      <c r="B640" t="s">
        <v>448</v>
      </c>
      <c r="C640" t="s">
        <v>609</v>
      </c>
      <c r="D640" t="s">
        <v>623</v>
      </c>
      <c r="E640" s="1">
        <v>45050</v>
      </c>
      <c r="F640" s="1">
        <v>45053</v>
      </c>
      <c r="G640" s="1">
        <v>45065</v>
      </c>
      <c r="H640" t="s">
        <v>8</v>
      </c>
      <c r="I640">
        <v>1080.54</v>
      </c>
      <c r="J640" t="s">
        <v>683</v>
      </c>
      <c r="K640">
        <v>12</v>
      </c>
    </row>
    <row r="641" spans="1:11" x14ac:dyDescent="0.35">
      <c r="A641" t="s">
        <v>2642</v>
      </c>
      <c r="B641" t="s">
        <v>399</v>
      </c>
      <c r="C641" t="s">
        <v>581</v>
      </c>
      <c r="D641" t="s">
        <v>631</v>
      </c>
      <c r="E641" s="1">
        <v>45125</v>
      </c>
      <c r="F641" s="1">
        <v>45126</v>
      </c>
      <c r="G641" s="1"/>
      <c r="H641" t="s">
        <v>13</v>
      </c>
      <c r="I641">
        <v>1079.45</v>
      </c>
      <c r="J641" t="s">
        <v>689</v>
      </c>
    </row>
    <row r="642" spans="1:11" x14ac:dyDescent="0.35">
      <c r="A642" t="s">
        <v>2061</v>
      </c>
      <c r="B642" t="s">
        <v>38</v>
      </c>
      <c r="C642" t="s">
        <v>549</v>
      </c>
      <c r="D642" t="s">
        <v>631</v>
      </c>
      <c r="E642" s="1">
        <v>45035</v>
      </c>
      <c r="F642" s="1">
        <v>45036</v>
      </c>
      <c r="G642" s="1"/>
      <c r="H642" t="s">
        <v>8</v>
      </c>
      <c r="I642">
        <v>1076.92</v>
      </c>
      <c r="J642" t="s">
        <v>689</v>
      </c>
    </row>
    <row r="643" spans="1:11" x14ac:dyDescent="0.35">
      <c r="A643" t="s">
        <v>1796</v>
      </c>
      <c r="B643" t="s">
        <v>152</v>
      </c>
      <c r="C643" t="s">
        <v>577</v>
      </c>
      <c r="D643" t="s">
        <v>631</v>
      </c>
      <c r="E643" s="1">
        <v>45625</v>
      </c>
      <c r="F643" s="1">
        <v>45626</v>
      </c>
      <c r="G643" s="1">
        <v>45651</v>
      </c>
      <c r="H643" t="s">
        <v>20</v>
      </c>
      <c r="I643">
        <v>1069.97</v>
      </c>
      <c r="J643" t="s">
        <v>683</v>
      </c>
      <c r="K643">
        <v>25</v>
      </c>
    </row>
    <row r="644" spans="1:11" x14ac:dyDescent="0.35">
      <c r="A644" t="s">
        <v>1641</v>
      </c>
      <c r="B644" t="s">
        <v>463</v>
      </c>
      <c r="C644" t="s">
        <v>603</v>
      </c>
      <c r="D644" t="s">
        <v>631</v>
      </c>
      <c r="E644" s="1">
        <v>45104</v>
      </c>
      <c r="F644" s="1">
        <v>45109</v>
      </c>
      <c r="G644" s="1">
        <v>45115</v>
      </c>
      <c r="H644" t="s">
        <v>8</v>
      </c>
      <c r="I644">
        <v>1067.05</v>
      </c>
      <c r="J644" t="s">
        <v>683</v>
      </c>
      <c r="K644">
        <v>6</v>
      </c>
    </row>
    <row r="645" spans="1:11" x14ac:dyDescent="0.35">
      <c r="A645" t="s">
        <v>720</v>
      </c>
      <c r="B645" t="s">
        <v>225</v>
      </c>
      <c r="C645" t="s">
        <v>609</v>
      </c>
      <c r="D645" t="s">
        <v>631</v>
      </c>
      <c r="E645" s="1">
        <v>45624</v>
      </c>
      <c r="F645" s="1">
        <v>45628</v>
      </c>
      <c r="G645" s="1">
        <v>45648</v>
      </c>
      <c r="H645" t="s">
        <v>8</v>
      </c>
      <c r="I645">
        <v>1065.9100000000001</v>
      </c>
      <c r="J645" t="s">
        <v>683</v>
      </c>
      <c r="K645">
        <v>20</v>
      </c>
    </row>
    <row r="646" spans="1:11" x14ac:dyDescent="0.35">
      <c r="A646" t="s">
        <v>2107</v>
      </c>
      <c r="B646" t="s">
        <v>457</v>
      </c>
      <c r="C646" t="s">
        <v>565</v>
      </c>
      <c r="D646" t="s">
        <v>631</v>
      </c>
      <c r="E646" s="1">
        <v>45441</v>
      </c>
      <c r="F646" s="1">
        <v>45444</v>
      </c>
      <c r="G646" s="1">
        <v>45459</v>
      </c>
      <c r="H646" t="s">
        <v>11</v>
      </c>
      <c r="I646">
        <v>1062.1099999999999</v>
      </c>
      <c r="J646" t="s">
        <v>683</v>
      </c>
      <c r="K646">
        <v>15</v>
      </c>
    </row>
    <row r="647" spans="1:11" x14ac:dyDescent="0.35">
      <c r="A647" t="s">
        <v>1771</v>
      </c>
      <c r="B647" t="s">
        <v>470</v>
      </c>
      <c r="C647" t="s">
        <v>527</v>
      </c>
      <c r="D647" t="s">
        <v>631</v>
      </c>
      <c r="E647" s="1">
        <v>45324</v>
      </c>
      <c r="F647" s="1">
        <v>45325</v>
      </c>
      <c r="G647" s="1">
        <v>45329</v>
      </c>
      <c r="H647" t="s">
        <v>11</v>
      </c>
      <c r="I647">
        <v>1058.31</v>
      </c>
      <c r="J647" t="s">
        <v>687</v>
      </c>
      <c r="K647">
        <v>4</v>
      </c>
    </row>
    <row r="648" spans="1:11" x14ac:dyDescent="0.35">
      <c r="A648" t="s">
        <v>2249</v>
      </c>
      <c r="B648" t="s">
        <v>421</v>
      </c>
      <c r="C648" t="s">
        <v>607</v>
      </c>
      <c r="D648" t="s">
        <v>631</v>
      </c>
      <c r="E648" s="1">
        <v>45209</v>
      </c>
      <c r="F648" s="1">
        <v>45212</v>
      </c>
      <c r="G648" s="1"/>
      <c r="H648" t="s">
        <v>8</v>
      </c>
      <c r="I648">
        <v>1053.46</v>
      </c>
      <c r="J648" t="s">
        <v>689</v>
      </c>
    </row>
    <row r="649" spans="1:11" x14ac:dyDescent="0.35">
      <c r="A649" t="s">
        <v>1218</v>
      </c>
      <c r="B649" t="s">
        <v>343</v>
      </c>
      <c r="C649" t="s">
        <v>585</v>
      </c>
      <c r="D649" t="s">
        <v>631</v>
      </c>
      <c r="E649" s="1">
        <v>45217</v>
      </c>
      <c r="F649" s="1">
        <v>45219</v>
      </c>
      <c r="G649" s="1">
        <v>45222</v>
      </c>
      <c r="H649" t="s">
        <v>8</v>
      </c>
      <c r="I649">
        <v>1043.6199999999999</v>
      </c>
      <c r="J649" t="s">
        <v>683</v>
      </c>
      <c r="K649">
        <v>3</v>
      </c>
    </row>
    <row r="650" spans="1:11" x14ac:dyDescent="0.35">
      <c r="A650" t="s">
        <v>1517</v>
      </c>
      <c r="B650" t="s">
        <v>89</v>
      </c>
      <c r="C650" t="s">
        <v>546</v>
      </c>
      <c r="D650" t="s">
        <v>631</v>
      </c>
      <c r="E650" s="1">
        <v>45073</v>
      </c>
      <c r="F650" s="1">
        <v>45077</v>
      </c>
      <c r="G650" s="1">
        <v>45093</v>
      </c>
      <c r="H650" t="s">
        <v>11</v>
      </c>
      <c r="I650">
        <v>1032.8699999999999</v>
      </c>
      <c r="J650" t="s">
        <v>683</v>
      </c>
      <c r="K650">
        <v>16</v>
      </c>
    </row>
    <row r="651" spans="1:11" x14ac:dyDescent="0.35">
      <c r="A651" t="s">
        <v>1050</v>
      </c>
      <c r="B651" t="s">
        <v>459</v>
      </c>
      <c r="C651" t="s">
        <v>559</v>
      </c>
      <c r="D651" t="s">
        <v>631</v>
      </c>
      <c r="E651" s="1">
        <v>45380</v>
      </c>
      <c r="F651" s="1">
        <v>45382</v>
      </c>
      <c r="G651" s="1">
        <v>45406</v>
      </c>
      <c r="H651" t="s">
        <v>25</v>
      </c>
      <c r="I651">
        <v>1032.23</v>
      </c>
      <c r="J651" t="s">
        <v>683</v>
      </c>
      <c r="K651">
        <v>24</v>
      </c>
    </row>
    <row r="652" spans="1:11" x14ac:dyDescent="0.35">
      <c r="A652" t="s">
        <v>1792</v>
      </c>
      <c r="B652" t="s">
        <v>210</v>
      </c>
      <c r="C652" t="s">
        <v>601</v>
      </c>
      <c r="D652" t="s">
        <v>631</v>
      </c>
      <c r="E652" s="1">
        <v>45624</v>
      </c>
      <c r="F652" s="1">
        <v>45627</v>
      </c>
      <c r="G652" s="1">
        <v>45644</v>
      </c>
      <c r="H652" t="s">
        <v>20</v>
      </c>
      <c r="I652">
        <v>1029.31</v>
      </c>
      <c r="J652" t="s">
        <v>683</v>
      </c>
      <c r="K652">
        <v>17</v>
      </c>
    </row>
    <row r="653" spans="1:11" x14ac:dyDescent="0.35">
      <c r="A653" t="s">
        <v>1762</v>
      </c>
      <c r="B653" t="s">
        <v>161</v>
      </c>
      <c r="C653" t="s">
        <v>563</v>
      </c>
      <c r="D653" t="s">
        <v>631</v>
      </c>
      <c r="E653" s="1">
        <v>45576</v>
      </c>
      <c r="F653" s="1">
        <v>45581</v>
      </c>
      <c r="G653" s="1">
        <v>45603</v>
      </c>
      <c r="H653" t="s">
        <v>13</v>
      </c>
      <c r="I653">
        <v>1028.3599999999999</v>
      </c>
      <c r="J653" t="s">
        <v>683</v>
      </c>
      <c r="K653">
        <v>22</v>
      </c>
    </row>
    <row r="654" spans="1:11" x14ac:dyDescent="0.35">
      <c r="A654" t="s">
        <v>2232</v>
      </c>
      <c r="B654" t="s">
        <v>180</v>
      </c>
      <c r="C654" t="s">
        <v>601</v>
      </c>
      <c r="D654" t="s">
        <v>631</v>
      </c>
      <c r="E654" s="1">
        <v>45239</v>
      </c>
      <c r="F654" s="1">
        <v>45242</v>
      </c>
      <c r="G654" s="1">
        <v>45254</v>
      </c>
      <c r="H654" t="s">
        <v>11</v>
      </c>
      <c r="I654">
        <v>1021.48</v>
      </c>
      <c r="J654" t="s">
        <v>683</v>
      </c>
      <c r="K654">
        <v>12</v>
      </c>
    </row>
    <row r="655" spans="1:11" x14ac:dyDescent="0.35">
      <c r="A655" t="s">
        <v>1071</v>
      </c>
      <c r="B655" t="s">
        <v>223</v>
      </c>
      <c r="C655" t="s">
        <v>585</v>
      </c>
      <c r="D655" t="s">
        <v>631</v>
      </c>
      <c r="E655" s="1">
        <v>45319</v>
      </c>
      <c r="F655" s="1">
        <v>45321</v>
      </c>
      <c r="G655" s="1">
        <v>45324</v>
      </c>
      <c r="H655" t="s">
        <v>8</v>
      </c>
      <c r="I655">
        <v>1020.43</v>
      </c>
      <c r="J655" t="s">
        <v>683</v>
      </c>
      <c r="K655">
        <v>3</v>
      </c>
    </row>
    <row r="656" spans="1:11" x14ac:dyDescent="0.35">
      <c r="A656" t="s">
        <v>2183</v>
      </c>
      <c r="B656" t="s">
        <v>182</v>
      </c>
      <c r="C656" t="s">
        <v>601</v>
      </c>
      <c r="D656" t="s">
        <v>631</v>
      </c>
      <c r="E656" s="1">
        <v>45441</v>
      </c>
      <c r="F656" s="1">
        <v>45442</v>
      </c>
      <c r="G656" s="1">
        <v>45450</v>
      </c>
      <c r="H656" t="s">
        <v>11</v>
      </c>
      <c r="I656">
        <v>1019.2</v>
      </c>
      <c r="J656" t="s">
        <v>687</v>
      </c>
      <c r="K656">
        <v>8</v>
      </c>
    </row>
    <row r="657" spans="1:11" x14ac:dyDescent="0.35">
      <c r="A657" t="s">
        <v>1132</v>
      </c>
      <c r="B657" t="s">
        <v>29</v>
      </c>
      <c r="C657" t="s">
        <v>589</v>
      </c>
      <c r="D657" t="s">
        <v>631</v>
      </c>
      <c r="E657" s="1">
        <v>44994</v>
      </c>
      <c r="F657" s="1">
        <v>44995</v>
      </c>
      <c r="G657" s="1">
        <v>45010</v>
      </c>
      <c r="H657" t="s">
        <v>8</v>
      </c>
      <c r="I657">
        <v>1005.76</v>
      </c>
      <c r="J657" t="s">
        <v>683</v>
      </c>
      <c r="K657">
        <v>15</v>
      </c>
    </row>
    <row r="658" spans="1:11" x14ac:dyDescent="0.35">
      <c r="A658" t="s">
        <v>1739</v>
      </c>
      <c r="B658" t="s">
        <v>60</v>
      </c>
      <c r="C658" t="s">
        <v>599</v>
      </c>
      <c r="D658" t="s">
        <v>631</v>
      </c>
      <c r="E658" s="1">
        <v>45099</v>
      </c>
      <c r="F658" s="1">
        <v>45101</v>
      </c>
      <c r="G658" s="1">
        <v>45111</v>
      </c>
      <c r="H658" t="s">
        <v>11</v>
      </c>
      <c r="I658">
        <v>1002.62</v>
      </c>
      <c r="J658" t="s">
        <v>683</v>
      </c>
      <c r="K658">
        <v>10</v>
      </c>
    </row>
    <row r="659" spans="1:11" x14ac:dyDescent="0.35">
      <c r="A659" t="s">
        <v>1423</v>
      </c>
      <c r="B659" t="s">
        <v>358</v>
      </c>
      <c r="C659" t="s">
        <v>597</v>
      </c>
      <c r="D659" t="s">
        <v>631</v>
      </c>
      <c r="E659" s="1">
        <v>45035</v>
      </c>
      <c r="F659" s="1">
        <v>45039</v>
      </c>
      <c r="G659" s="1">
        <v>45047</v>
      </c>
      <c r="H659" t="s">
        <v>11</v>
      </c>
      <c r="I659">
        <v>999.95</v>
      </c>
      <c r="J659" t="s">
        <v>683</v>
      </c>
      <c r="K659">
        <v>8</v>
      </c>
    </row>
    <row r="660" spans="1:11" x14ac:dyDescent="0.35">
      <c r="A660" t="s">
        <v>2598</v>
      </c>
      <c r="B660" t="s">
        <v>450</v>
      </c>
      <c r="C660" t="s">
        <v>534</v>
      </c>
      <c r="D660" t="s">
        <v>631</v>
      </c>
      <c r="E660" s="1">
        <v>45019</v>
      </c>
      <c r="F660" s="1">
        <v>45023</v>
      </c>
      <c r="G660" s="1">
        <v>45053</v>
      </c>
      <c r="H660" t="s">
        <v>20</v>
      </c>
      <c r="I660">
        <v>999.34</v>
      </c>
      <c r="J660" t="s">
        <v>683</v>
      </c>
      <c r="K660">
        <v>30</v>
      </c>
    </row>
    <row r="661" spans="1:11" x14ac:dyDescent="0.35">
      <c r="A661" t="s">
        <v>1859</v>
      </c>
      <c r="B661" t="s">
        <v>155</v>
      </c>
      <c r="C661" t="s">
        <v>549</v>
      </c>
      <c r="D661" t="s">
        <v>631</v>
      </c>
      <c r="E661" s="1">
        <v>45288</v>
      </c>
      <c r="F661" s="1">
        <v>45290</v>
      </c>
      <c r="G661" s="1">
        <v>45300</v>
      </c>
      <c r="H661" t="s">
        <v>20</v>
      </c>
      <c r="I661">
        <v>997.44</v>
      </c>
      <c r="J661" t="s">
        <v>687</v>
      </c>
      <c r="K661">
        <v>10</v>
      </c>
    </row>
    <row r="662" spans="1:11" x14ac:dyDescent="0.35">
      <c r="A662" t="s">
        <v>1014</v>
      </c>
      <c r="B662" t="s">
        <v>106</v>
      </c>
      <c r="C662" t="s">
        <v>603</v>
      </c>
      <c r="D662" t="s">
        <v>649</v>
      </c>
      <c r="E662" s="1">
        <v>45376</v>
      </c>
      <c r="F662" s="1">
        <v>45380</v>
      </c>
      <c r="G662" s="1">
        <v>45395</v>
      </c>
      <c r="H662" t="s">
        <v>11</v>
      </c>
      <c r="I662">
        <v>996.98</v>
      </c>
      <c r="J662" t="s">
        <v>683</v>
      </c>
      <c r="K662">
        <v>15</v>
      </c>
    </row>
    <row r="663" spans="1:11" x14ac:dyDescent="0.35">
      <c r="A663" t="s">
        <v>2168</v>
      </c>
      <c r="B663" t="s">
        <v>211</v>
      </c>
      <c r="C663" t="s">
        <v>575</v>
      </c>
      <c r="D663" t="s">
        <v>631</v>
      </c>
      <c r="E663" s="1">
        <v>45093</v>
      </c>
      <c r="F663" s="1">
        <v>45097</v>
      </c>
      <c r="G663" s="1">
        <v>45108</v>
      </c>
      <c r="H663" t="s">
        <v>11</v>
      </c>
      <c r="I663">
        <v>995.68</v>
      </c>
      <c r="J663" t="s">
        <v>683</v>
      </c>
      <c r="K663">
        <v>11</v>
      </c>
    </row>
    <row r="664" spans="1:11" x14ac:dyDescent="0.35">
      <c r="A664" t="s">
        <v>1104</v>
      </c>
      <c r="B664" t="s">
        <v>68</v>
      </c>
      <c r="C664" t="s">
        <v>599</v>
      </c>
      <c r="D664" t="s">
        <v>649</v>
      </c>
      <c r="E664" s="1">
        <v>45639</v>
      </c>
      <c r="F664" s="1">
        <v>45644</v>
      </c>
      <c r="G664" s="1"/>
      <c r="H664" t="s">
        <v>25</v>
      </c>
      <c r="I664">
        <v>995.41</v>
      </c>
      <c r="J664" t="s">
        <v>689</v>
      </c>
    </row>
    <row r="665" spans="1:11" x14ac:dyDescent="0.35">
      <c r="A665" t="s">
        <v>2308</v>
      </c>
      <c r="B665" t="s">
        <v>31</v>
      </c>
      <c r="C665" t="s">
        <v>611</v>
      </c>
      <c r="D665" t="s">
        <v>631</v>
      </c>
      <c r="E665" s="1">
        <v>45313</v>
      </c>
      <c r="F665" s="1">
        <v>45314</v>
      </c>
      <c r="G665" s="1"/>
      <c r="H665" t="s">
        <v>11</v>
      </c>
      <c r="I665">
        <v>994.03</v>
      </c>
      <c r="J665" t="s">
        <v>689</v>
      </c>
    </row>
    <row r="666" spans="1:11" x14ac:dyDescent="0.35">
      <c r="A666" t="s">
        <v>2225</v>
      </c>
      <c r="B666" t="s">
        <v>292</v>
      </c>
      <c r="C666" t="s">
        <v>607</v>
      </c>
      <c r="D666" t="s">
        <v>649</v>
      </c>
      <c r="E666" s="1">
        <v>45021</v>
      </c>
      <c r="F666" s="1">
        <v>45022</v>
      </c>
      <c r="G666" s="1">
        <v>45052</v>
      </c>
      <c r="H666" t="s">
        <v>13</v>
      </c>
      <c r="I666">
        <v>988.19</v>
      </c>
      <c r="J666" t="s">
        <v>683</v>
      </c>
      <c r="K666">
        <v>30</v>
      </c>
    </row>
    <row r="667" spans="1:11" x14ac:dyDescent="0.35">
      <c r="A667" t="s">
        <v>2135</v>
      </c>
      <c r="B667" t="s">
        <v>391</v>
      </c>
      <c r="C667" t="s">
        <v>549</v>
      </c>
      <c r="D667" t="s">
        <v>631</v>
      </c>
      <c r="E667" s="1">
        <v>45198</v>
      </c>
      <c r="F667" s="1">
        <v>45201</v>
      </c>
      <c r="G667" s="1">
        <v>45226</v>
      </c>
      <c r="H667" t="s">
        <v>11</v>
      </c>
      <c r="I667">
        <v>984.56</v>
      </c>
      <c r="J667" t="s">
        <v>683</v>
      </c>
      <c r="K667">
        <v>25</v>
      </c>
    </row>
    <row r="668" spans="1:11" x14ac:dyDescent="0.35">
      <c r="A668" t="s">
        <v>1261</v>
      </c>
      <c r="B668" t="s">
        <v>147</v>
      </c>
      <c r="C668" t="s">
        <v>563</v>
      </c>
      <c r="D668" t="s">
        <v>631</v>
      </c>
      <c r="E668" s="1">
        <v>45194</v>
      </c>
      <c r="F668" s="1">
        <v>45198</v>
      </c>
      <c r="G668" s="1">
        <v>45223</v>
      </c>
      <c r="H668" t="s">
        <v>8</v>
      </c>
      <c r="I668">
        <v>982.91</v>
      </c>
      <c r="J668" t="s">
        <v>683</v>
      </c>
      <c r="K668">
        <v>25</v>
      </c>
    </row>
    <row r="669" spans="1:11" x14ac:dyDescent="0.35">
      <c r="A669" t="s">
        <v>1658</v>
      </c>
      <c r="B669" t="s">
        <v>47</v>
      </c>
      <c r="C669" t="s">
        <v>543</v>
      </c>
      <c r="D669" t="s">
        <v>649</v>
      </c>
      <c r="E669" s="1">
        <v>45001</v>
      </c>
      <c r="F669" s="1">
        <v>45002</v>
      </c>
      <c r="G669" s="1">
        <v>45014</v>
      </c>
      <c r="H669" t="s">
        <v>20</v>
      </c>
      <c r="I669">
        <v>982.12</v>
      </c>
      <c r="J669" t="s">
        <v>687</v>
      </c>
      <c r="K669">
        <v>12</v>
      </c>
    </row>
    <row r="670" spans="1:11" x14ac:dyDescent="0.35">
      <c r="A670" t="s">
        <v>1200</v>
      </c>
      <c r="B670" t="s">
        <v>353</v>
      </c>
      <c r="C670" t="s">
        <v>527</v>
      </c>
      <c r="D670" t="s">
        <v>631</v>
      </c>
      <c r="E670" s="1">
        <v>45188</v>
      </c>
      <c r="F670" s="1">
        <v>45189</v>
      </c>
      <c r="G670" s="1">
        <v>45204</v>
      </c>
      <c r="H670" t="s">
        <v>20</v>
      </c>
      <c r="I670">
        <v>980.85</v>
      </c>
      <c r="J670" t="s">
        <v>683</v>
      </c>
      <c r="K670">
        <v>15</v>
      </c>
    </row>
    <row r="671" spans="1:11" x14ac:dyDescent="0.35">
      <c r="A671" t="s">
        <v>2583</v>
      </c>
      <c r="B671" t="s">
        <v>443</v>
      </c>
      <c r="C671" t="s">
        <v>609</v>
      </c>
      <c r="D671" t="s">
        <v>631</v>
      </c>
      <c r="E671" s="1">
        <v>45510</v>
      </c>
      <c r="F671" s="1">
        <v>45511</v>
      </c>
      <c r="G671" s="1">
        <v>45516</v>
      </c>
      <c r="H671" t="s">
        <v>11</v>
      </c>
      <c r="I671">
        <v>980.11</v>
      </c>
      <c r="J671" t="s">
        <v>683</v>
      </c>
      <c r="K671">
        <v>5</v>
      </c>
    </row>
    <row r="672" spans="1:11" x14ac:dyDescent="0.35">
      <c r="A672" t="s">
        <v>1721</v>
      </c>
      <c r="B672" t="s">
        <v>319</v>
      </c>
      <c r="C672" t="s">
        <v>591</v>
      </c>
      <c r="D672" t="s">
        <v>649</v>
      </c>
      <c r="E672" s="1">
        <v>45229</v>
      </c>
      <c r="F672" s="1">
        <v>45231</v>
      </c>
      <c r="G672" s="1">
        <v>45237</v>
      </c>
      <c r="H672" t="s">
        <v>8</v>
      </c>
      <c r="I672">
        <v>978.01</v>
      </c>
      <c r="J672" t="s">
        <v>683</v>
      </c>
      <c r="K672">
        <v>6</v>
      </c>
    </row>
    <row r="673" spans="1:11" x14ac:dyDescent="0.35">
      <c r="A673" t="s">
        <v>2309</v>
      </c>
      <c r="B673" t="s">
        <v>60</v>
      </c>
      <c r="C673" t="s">
        <v>589</v>
      </c>
      <c r="D673" t="s">
        <v>649</v>
      </c>
      <c r="E673" s="1">
        <v>45024</v>
      </c>
      <c r="F673" s="1">
        <v>45029</v>
      </c>
      <c r="G673" s="1">
        <v>45044</v>
      </c>
      <c r="H673" t="s">
        <v>11</v>
      </c>
      <c r="I673">
        <v>977.66</v>
      </c>
      <c r="J673" t="s">
        <v>683</v>
      </c>
      <c r="K673">
        <v>15</v>
      </c>
    </row>
    <row r="674" spans="1:11" x14ac:dyDescent="0.35">
      <c r="A674" t="s">
        <v>1499</v>
      </c>
      <c r="B674" t="s">
        <v>427</v>
      </c>
      <c r="C674" t="s">
        <v>555</v>
      </c>
      <c r="D674" t="s">
        <v>631</v>
      </c>
      <c r="E674" s="1">
        <v>45333</v>
      </c>
      <c r="F674" s="1">
        <v>45336</v>
      </c>
      <c r="G674" s="1">
        <v>45361</v>
      </c>
      <c r="H674" t="s">
        <v>20</v>
      </c>
      <c r="I674">
        <v>975.2</v>
      </c>
      <c r="J674" t="s">
        <v>683</v>
      </c>
      <c r="K674">
        <v>25</v>
      </c>
    </row>
    <row r="675" spans="1:11" x14ac:dyDescent="0.35">
      <c r="A675" t="s">
        <v>2594</v>
      </c>
      <c r="B675" t="s">
        <v>269</v>
      </c>
      <c r="C675" t="s">
        <v>555</v>
      </c>
      <c r="D675" t="s">
        <v>649</v>
      </c>
      <c r="E675" s="1">
        <v>45375</v>
      </c>
      <c r="F675" s="1">
        <v>45380</v>
      </c>
      <c r="G675" s="1">
        <v>45398</v>
      </c>
      <c r="H675" t="s">
        <v>20</v>
      </c>
      <c r="I675">
        <v>970.62</v>
      </c>
      <c r="J675" t="s">
        <v>683</v>
      </c>
      <c r="K675">
        <v>18</v>
      </c>
    </row>
    <row r="676" spans="1:11" x14ac:dyDescent="0.35">
      <c r="A676" t="s">
        <v>1064</v>
      </c>
      <c r="B676" t="s">
        <v>250</v>
      </c>
      <c r="C676" t="s">
        <v>531</v>
      </c>
      <c r="D676" t="s">
        <v>649</v>
      </c>
      <c r="E676" s="1">
        <v>45239</v>
      </c>
      <c r="F676" s="1">
        <v>45240</v>
      </c>
      <c r="G676" s="1">
        <v>45264</v>
      </c>
      <c r="H676" t="s">
        <v>11</v>
      </c>
      <c r="I676">
        <v>970.53</v>
      </c>
      <c r="J676" t="s">
        <v>683</v>
      </c>
      <c r="K676">
        <v>24</v>
      </c>
    </row>
    <row r="677" spans="1:11" x14ac:dyDescent="0.35">
      <c r="A677" t="s">
        <v>1325</v>
      </c>
      <c r="B677" t="s">
        <v>125</v>
      </c>
      <c r="C677" t="s">
        <v>527</v>
      </c>
      <c r="D677" t="s">
        <v>631</v>
      </c>
      <c r="E677" s="1">
        <v>45149</v>
      </c>
      <c r="F677" s="1">
        <v>45154</v>
      </c>
      <c r="G677" s="1"/>
      <c r="H677" t="s">
        <v>11</v>
      </c>
      <c r="I677">
        <v>966.13</v>
      </c>
      <c r="J677" t="s">
        <v>689</v>
      </c>
    </row>
    <row r="678" spans="1:11" x14ac:dyDescent="0.35">
      <c r="A678" t="s">
        <v>943</v>
      </c>
      <c r="B678" t="s">
        <v>405</v>
      </c>
      <c r="C678" t="s">
        <v>531</v>
      </c>
      <c r="D678" t="s">
        <v>649</v>
      </c>
      <c r="E678" s="1">
        <v>45512</v>
      </c>
      <c r="F678" s="1">
        <v>45517</v>
      </c>
      <c r="G678" s="1">
        <v>45525</v>
      </c>
      <c r="H678" t="s">
        <v>13</v>
      </c>
      <c r="I678">
        <v>963.82</v>
      </c>
      <c r="J678" t="s">
        <v>687</v>
      </c>
      <c r="K678">
        <v>8</v>
      </c>
    </row>
    <row r="679" spans="1:11" x14ac:dyDescent="0.35">
      <c r="A679" t="s">
        <v>1990</v>
      </c>
      <c r="B679" t="s">
        <v>59</v>
      </c>
      <c r="C679" t="s">
        <v>595</v>
      </c>
      <c r="D679" t="s">
        <v>649</v>
      </c>
      <c r="E679" s="1">
        <v>45081</v>
      </c>
      <c r="F679" s="1">
        <v>45083</v>
      </c>
      <c r="G679" s="1"/>
      <c r="H679" t="s">
        <v>25</v>
      </c>
      <c r="I679">
        <v>956.93</v>
      </c>
      <c r="J679" t="s">
        <v>689</v>
      </c>
    </row>
    <row r="680" spans="1:11" x14ac:dyDescent="0.35">
      <c r="A680" t="s">
        <v>882</v>
      </c>
      <c r="B680" t="s">
        <v>285</v>
      </c>
      <c r="C680" t="s">
        <v>565</v>
      </c>
      <c r="D680" t="s">
        <v>631</v>
      </c>
      <c r="E680" s="1">
        <v>45420</v>
      </c>
      <c r="F680" s="1">
        <v>45422</v>
      </c>
      <c r="G680" s="1"/>
      <c r="H680" t="s">
        <v>13</v>
      </c>
      <c r="I680">
        <v>950.71</v>
      </c>
      <c r="J680" t="s">
        <v>689</v>
      </c>
    </row>
    <row r="681" spans="1:11" x14ac:dyDescent="0.35">
      <c r="A681" t="s">
        <v>2389</v>
      </c>
      <c r="B681" t="s">
        <v>45</v>
      </c>
      <c r="C681" t="s">
        <v>553</v>
      </c>
      <c r="D681" t="s">
        <v>631</v>
      </c>
      <c r="E681" s="1">
        <v>45570</v>
      </c>
      <c r="F681" s="1">
        <v>45572</v>
      </c>
      <c r="G681" s="1">
        <v>45579</v>
      </c>
      <c r="H681" t="s">
        <v>11</v>
      </c>
      <c r="I681">
        <v>949.79</v>
      </c>
      <c r="J681" t="s">
        <v>683</v>
      </c>
      <c r="K681">
        <v>7</v>
      </c>
    </row>
    <row r="682" spans="1:11" x14ac:dyDescent="0.35">
      <c r="A682" t="s">
        <v>2459</v>
      </c>
      <c r="B682" t="s">
        <v>406</v>
      </c>
      <c r="C682" t="s">
        <v>555</v>
      </c>
      <c r="D682" t="s">
        <v>649</v>
      </c>
      <c r="E682" s="1">
        <v>45178</v>
      </c>
      <c r="F682" s="1">
        <v>45182</v>
      </c>
      <c r="G682" s="1"/>
      <c r="H682" t="s">
        <v>11</v>
      </c>
      <c r="I682">
        <v>949.04</v>
      </c>
      <c r="J682" t="s">
        <v>689</v>
      </c>
    </row>
    <row r="683" spans="1:11" x14ac:dyDescent="0.35">
      <c r="A683" t="s">
        <v>863</v>
      </c>
      <c r="B683" t="s">
        <v>192</v>
      </c>
      <c r="C683" t="s">
        <v>585</v>
      </c>
      <c r="D683" t="s">
        <v>649</v>
      </c>
      <c r="E683" s="1">
        <v>45555</v>
      </c>
      <c r="F683" s="1">
        <v>45558</v>
      </c>
      <c r="G683" s="1">
        <v>45575</v>
      </c>
      <c r="H683" t="s">
        <v>11</v>
      </c>
      <c r="I683">
        <v>946.87</v>
      </c>
      <c r="J683" t="s">
        <v>683</v>
      </c>
      <c r="K683">
        <v>17</v>
      </c>
    </row>
    <row r="684" spans="1:11" x14ac:dyDescent="0.35">
      <c r="A684" t="s">
        <v>2561</v>
      </c>
      <c r="B684" t="s">
        <v>226</v>
      </c>
      <c r="C684" t="s">
        <v>591</v>
      </c>
      <c r="D684" t="s">
        <v>631</v>
      </c>
      <c r="E684" s="1">
        <v>45564</v>
      </c>
      <c r="F684" s="1">
        <v>45567</v>
      </c>
      <c r="G684" s="1">
        <v>45581</v>
      </c>
      <c r="H684" t="s">
        <v>20</v>
      </c>
      <c r="I684">
        <v>946.39</v>
      </c>
      <c r="J684" t="s">
        <v>687</v>
      </c>
      <c r="K684">
        <v>14</v>
      </c>
    </row>
    <row r="685" spans="1:11" x14ac:dyDescent="0.35">
      <c r="A685" t="s">
        <v>1804</v>
      </c>
      <c r="B685" t="s">
        <v>466</v>
      </c>
      <c r="C685" t="s">
        <v>579</v>
      </c>
      <c r="D685" t="s">
        <v>631</v>
      </c>
      <c r="E685" s="1">
        <v>44959</v>
      </c>
      <c r="F685" s="1">
        <v>44961</v>
      </c>
      <c r="G685" s="1">
        <v>44980</v>
      </c>
      <c r="H685" t="s">
        <v>20</v>
      </c>
      <c r="I685">
        <v>946.02</v>
      </c>
      <c r="J685" t="s">
        <v>683</v>
      </c>
      <c r="K685">
        <v>19</v>
      </c>
    </row>
    <row r="686" spans="1:11" x14ac:dyDescent="0.35">
      <c r="A686" t="s">
        <v>1284</v>
      </c>
      <c r="B686" t="s">
        <v>331</v>
      </c>
      <c r="C686" t="s">
        <v>537</v>
      </c>
      <c r="D686" t="s">
        <v>631</v>
      </c>
      <c r="E686" s="1">
        <v>45411</v>
      </c>
      <c r="F686" s="1">
        <v>45416</v>
      </c>
      <c r="G686" s="1"/>
      <c r="H686" t="s">
        <v>8</v>
      </c>
      <c r="I686">
        <v>945.93</v>
      </c>
      <c r="J686" t="s">
        <v>689</v>
      </c>
    </row>
    <row r="687" spans="1:11" x14ac:dyDescent="0.35">
      <c r="A687" t="s">
        <v>1248</v>
      </c>
      <c r="B687" t="s">
        <v>297</v>
      </c>
      <c r="C687" t="s">
        <v>601</v>
      </c>
      <c r="D687" t="s">
        <v>649</v>
      </c>
      <c r="E687" s="1">
        <v>45585</v>
      </c>
      <c r="F687" s="1">
        <v>45586</v>
      </c>
      <c r="G687" s="1">
        <v>45598</v>
      </c>
      <c r="H687" t="s">
        <v>8</v>
      </c>
      <c r="I687">
        <v>944.93</v>
      </c>
      <c r="J687" t="s">
        <v>687</v>
      </c>
      <c r="K687">
        <v>12</v>
      </c>
    </row>
    <row r="688" spans="1:11" x14ac:dyDescent="0.35">
      <c r="A688" t="s">
        <v>1493</v>
      </c>
      <c r="B688" t="s">
        <v>488</v>
      </c>
      <c r="C688" t="s">
        <v>599</v>
      </c>
      <c r="D688" t="s">
        <v>649</v>
      </c>
      <c r="E688" s="1">
        <v>45621</v>
      </c>
      <c r="F688" s="1">
        <v>45622</v>
      </c>
      <c r="G688" s="1">
        <v>45651</v>
      </c>
      <c r="H688" t="s">
        <v>25</v>
      </c>
      <c r="I688">
        <v>944.38</v>
      </c>
      <c r="J688" t="s">
        <v>687</v>
      </c>
      <c r="K688">
        <v>29</v>
      </c>
    </row>
    <row r="689" spans="1:11" x14ac:dyDescent="0.35">
      <c r="A689" t="s">
        <v>700</v>
      </c>
      <c r="B689" t="s">
        <v>175</v>
      </c>
      <c r="C689" t="s">
        <v>575</v>
      </c>
      <c r="D689" t="s">
        <v>631</v>
      </c>
      <c r="E689" s="1">
        <v>44946</v>
      </c>
      <c r="F689" s="1">
        <v>44949</v>
      </c>
      <c r="G689" s="1">
        <v>44969</v>
      </c>
      <c r="H689" t="s">
        <v>20</v>
      </c>
      <c r="I689">
        <v>943.36</v>
      </c>
      <c r="J689" t="s">
        <v>683</v>
      </c>
      <c r="K689">
        <v>20</v>
      </c>
    </row>
    <row r="690" spans="1:11" x14ac:dyDescent="0.35">
      <c r="A690" t="s">
        <v>1390</v>
      </c>
      <c r="B690" t="s">
        <v>281</v>
      </c>
      <c r="C690" t="s">
        <v>567</v>
      </c>
      <c r="D690" t="s">
        <v>631</v>
      </c>
      <c r="E690" s="1">
        <v>45270</v>
      </c>
      <c r="F690" s="1">
        <v>45275</v>
      </c>
      <c r="G690" s="1">
        <v>45292</v>
      </c>
      <c r="H690" t="s">
        <v>11</v>
      </c>
      <c r="I690">
        <v>939.45</v>
      </c>
      <c r="J690" t="s">
        <v>683</v>
      </c>
      <c r="K690">
        <v>17</v>
      </c>
    </row>
    <row r="691" spans="1:11" x14ac:dyDescent="0.35">
      <c r="A691" t="s">
        <v>2611</v>
      </c>
      <c r="B691" t="s">
        <v>63</v>
      </c>
      <c r="C691" t="s">
        <v>563</v>
      </c>
      <c r="D691" t="s">
        <v>631</v>
      </c>
      <c r="E691" s="1">
        <v>45251</v>
      </c>
      <c r="F691" s="1">
        <v>45253</v>
      </c>
      <c r="G691" s="1">
        <v>45259</v>
      </c>
      <c r="H691" t="s">
        <v>25</v>
      </c>
      <c r="I691">
        <v>937.55</v>
      </c>
      <c r="J691" t="s">
        <v>687</v>
      </c>
      <c r="K691">
        <v>6</v>
      </c>
    </row>
    <row r="692" spans="1:11" x14ac:dyDescent="0.35">
      <c r="A692" t="s">
        <v>2684</v>
      </c>
      <c r="B692" t="s">
        <v>503</v>
      </c>
      <c r="C692" t="s">
        <v>589</v>
      </c>
      <c r="D692" t="s">
        <v>631</v>
      </c>
      <c r="E692" s="1">
        <v>45498</v>
      </c>
      <c r="F692" s="1">
        <v>45502</v>
      </c>
      <c r="G692" s="1">
        <v>45514</v>
      </c>
      <c r="H692" t="s">
        <v>20</v>
      </c>
      <c r="I692">
        <v>936.75</v>
      </c>
      <c r="J692" t="s">
        <v>683</v>
      </c>
      <c r="K692">
        <v>12</v>
      </c>
    </row>
    <row r="693" spans="1:11" x14ac:dyDescent="0.35">
      <c r="A693" t="s">
        <v>1749</v>
      </c>
      <c r="B693" t="s">
        <v>435</v>
      </c>
      <c r="C693" t="s">
        <v>605</v>
      </c>
      <c r="D693" t="s">
        <v>631</v>
      </c>
      <c r="E693" s="1">
        <v>45414</v>
      </c>
      <c r="F693" s="1">
        <v>45415</v>
      </c>
      <c r="G693" s="1">
        <v>45422</v>
      </c>
      <c r="H693" t="s">
        <v>20</v>
      </c>
      <c r="I693">
        <v>935.4</v>
      </c>
      <c r="J693" t="s">
        <v>683</v>
      </c>
      <c r="K693">
        <v>7</v>
      </c>
    </row>
    <row r="694" spans="1:11" x14ac:dyDescent="0.35">
      <c r="A694" t="s">
        <v>1402</v>
      </c>
      <c r="B694" t="s">
        <v>284</v>
      </c>
      <c r="C694" t="s">
        <v>546</v>
      </c>
      <c r="D694" t="s">
        <v>649</v>
      </c>
      <c r="E694" s="1">
        <v>45188</v>
      </c>
      <c r="F694" s="1">
        <v>45193</v>
      </c>
      <c r="G694" s="1">
        <v>45202</v>
      </c>
      <c r="H694" t="s">
        <v>8</v>
      </c>
      <c r="I694">
        <v>935.39</v>
      </c>
      <c r="J694" t="s">
        <v>683</v>
      </c>
      <c r="K694">
        <v>9</v>
      </c>
    </row>
    <row r="695" spans="1:11" x14ac:dyDescent="0.35">
      <c r="A695" t="s">
        <v>1156</v>
      </c>
      <c r="B695" t="s">
        <v>206</v>
      </c>
      <c r="C695" t="s">
        <v>611</v>
      </c>
      <c r="D695" t="s">
        <v>649</v>
      </c>
      <c r="E695" s="1">
        <v>45610</v>
      </c>
      <c r="F695" s="1">
        <v>45612</v>
      </c>
      <c r="G695" s="1">
        <v>45616</v>
      </c>
      <c r="H695" t="s">
        <v>13</v>
      </c>
      <c r="I695">
        <v>935.07</v>
      </c>
      <c r="J695" t="s">
        <v>683</v>
      </c>
      <c r="K695">
        <v>4</v>
      </c>
    </row>
    <row r="696" spans="1:11" x14ac:dyDescent="0.35">
      <c r="A696" t="s">
        <v>2451</v>
      </c>
      <c r="B696" t="s">
        <v>58</v>
      </c>
      <c r="C696" t="s">
        <v>609</v>
      </c>
      <c r="D696" t="s">
        <v>649</v>
      </c>
      <c r="E696" s="1">
        <v>45371</v>
      </c>
      <c r="F696" s="1">
        <v>45376</v>
      </c>
      <c r="G696" s="1">
        <v>45391</v>
      </c>
      <c r="H696" t="s">
        <v>8</v>
      </c>
      <c r="I696">
        <v>931.36</v>
      </c>
      <c r="J696" t="s">
        <v>683</v>
      </c>
      <c r="K696">
        <v>15</v>
      </c>
    </row>
    <row r="697" spans="1:11" x14ac:dyDescent="0.35">
      <c r="A697" t="s">
        <v>1752</v>
      </c>
      <c r="B697" t="s">
        <v>116</v>
      </c>
      <c r="C697" t="s">
        <v>607</v>
      </c>
      <c r="D697" t="s">
        <v>658</v>
      </c>
      <c r="E697" s="1">
        <v>45282</v>
      </c>
      <c r="F697" s="1">
        <v>45286</v>
      </c>
      <c r="G697" s="1">
        <v>45306</v>
      </c>
      <c r="H697" t="s">
        <v>13</v>
      </c>
      <c r="I697">
        <v>931.21</v>
      </c>
      <c r="J697" t="s">
        <v>683</v>
      </c>
      <c r="K697">
        <v>20</v>
      </c>
    </row>
    <row r="698" spans="1:11" x14ac:dyDescent="0.35">
      <c r="A698" t="s">
        <v>2125</v>
      </c>
      <c r="B698" t="s">
        <v>160</v>
      </c>
      <c r="C698" t="s">
        <v>549</v>
      </c>
      <c r="D698" t="s">
        <v>631</v>
      </c>
      <c r="E698" s="1">
        <v>45422</v>
      </c>
      <c r="F698" s="1">
        <v>45424</v>
      </c>
      <c r="G698" s="1">
        <v>45444</v>
      </c>
      <c r="H698" t="s">
        <v>20</v>
      </c>
      <c r="I698">
        <v>927.01</v>
      </c>
      <c r="J698" t="s">
        <v>683</v>
      </c>
      <c r="K698">
        <v>20</v>
      </c>
    </row>
    <row r="699" spans="1:11" x14ac:dyDescent="0.35">
      <c r="A699" t="s">
        <v>2667</v>
      </c>
      <c r="B699" t="s">
        <v>134</v>
      </c>
      <c r="C699" t="s">
        <v>531</v>
      </c>
      <c r="D699" t="s">
        <v>649</v>
      </c>
      <c r="E699" s="1">
        <v>45611</v>
      </c>
      <c r="F699" s="1">
        <v>45616</v>
      </c>
      <c r="G699" s="1"/>
      <c r="H699" t="s">
        <v>11</v>
      </c>
      <c r="I699">
        <v>926.86</v>
      </c>
      <c r="J699" t="s">
        <v>689</v>
      </c>
    </row>
    <row r="700" spans="1:11" x14ac:dyDescent="0.35">
      <c r="A700" t="s">
        <v>1690</v>
      </c>
      <c r="B700" t="s">
        <v>161</v>
      </c>
      <c r="C700" t="s">
        <v>561</v>
      </c>
      <c r="D700" t="s">
        <v>649</v>
      </c>
      <c r="E700" s="1">
        <v>45494</v>
      </c>
      <c r="F700" s="1">
        <v>45497</v>
      </c>
      <c r="G700" s="1">
        <v>45503</v>
      </c>
      <c r="H700" t="s">
        <v>13</v>
      </c>
      <c r="I700">
        <v>925.35</v>
      </c>
      <c r="J700" t="s">
        <v>683</v>
      </c>
      <c r="K700">
        <v>6</v>
      </c>
    </row>
    <row r="701" spans="1:11" x14ac:dyDescent="0.35">
      <c r="A701" t="s">
        <v>1533</v>
      </c>
      <c r="B701" t="s">
        <v>179</v>
      </c>
      <c r="C701" t="s">
        <v>559</v>
      </c>
      <c r="D701" t="s">
        <v>658</v>
      </c>
      <c r="E701" s="1">
        <v>45246</v>
      </c>
      <c r="F701" s="1">
        <v>45249</v>
      </c>
      <c r="G701" s="1">
        <v>45265</v>
      </c>
      <c r="H701" t="s">
        <v>11</v>
      </c>
      <c r="I701">
        <v>924.02</v>
      </c>
      <c r="J701" t="s">
        <v>683</v>
      </c>
      <c r="K701">
        <v>16</v>
      </c>
    </row>
    <row r="702" spans="1:11" x14ac:dyDescent="0.35">
      <c r="A702" t="s">
        <v>828</v>
      </c>
      <c r="B702" t="s">
        <v>79</v>
      </c>
      <c r="C702" t="s">
        <v>583</v>
      </c>
      <c r="D702" t="s">
        <v>658</v>
      </c>
      <c r="E702" s="1">
        <v>45176</v>
      </c>
      <c r="F702" s="1">
        <v>45178</v>
      </c>
      <c r="G702" s="1">
        <v>45194</v>
      </c>
      <c r="H702" t="s">
        <v>11</v>
      </c>
      <c r="I702">
        <v>923.27</v>
      </c>
      <c r="J702" t="s">
        <v>683</v>
      </c>
      <c r="K702">
        <v>16</v>
      </c>
    </row>
    <row r="703" spans="1:11" x14ac:dyDescent="0.35">
      <c r="A703" t="s">
        <v>2196</v>
      </c>
      <c r="B703" t="s">
        <v>58</v>
      </c>
      <c r="C703" t="s">
        <v>591</v>
      </c>
      <c r="D703" t="s">
        <v>649</v>
      </c>
      <c r="E703" s="1">
        <v>45054</v>
      </c>
      <c r="F703" s="1">
        <v>45059</v>
      </c>
      <c r="G703" s="1">
        <v>45067</v>
      </c>
      <c r="H703" t="s">
        <v>8</v>
      </c>
      <c r="I703">
        <v>922.84</v>
      </c>
      <c r="J703" t="s">
        <v>683</v>
      </c>
      <c r="K703">
        <v>8</v>
      </c>
    </row>
    <row r="704" spans="1:11" x14ac:dyDescent="0.35">
      <c r="A704" t="s">
        <v>811</v>
      </c>
      <c r="B704" t="s">
        <v>479</v>
      </c>
      <c r="C704" t="s">
        <v>601</v>
      </c>
      <c r="D704" t="s">
        <v>658</v>
      </c>
      <c r="E704" s="1">
        <v>45268</v>
      </c>
      <c r="F704" s="1">
        <v>45269</v>
      </c>
      <c r="G704" s="1">
        <v>45291</v>
      </c>
      <c r="H704" t="s">
        <v>20</v>
      </c>
      <c r="I704">
        <v>922.81</v>
      </c>
      <c r="J704" t="s">
        <v>683</v>
      </c>
      <c r="K704">
        <v>22</v>
      </c>
    </row>
    <row r="705" spans="1:11" x14ac:dyDescent="0.35">
      <c r="A705" t="s">
        <v>1807</v>
      </c>
      <c r="B705" t="s">
        <v>380</v>
      </c>
      <c r="C705" t="s">
        <v>593</v>
      </c>
      <c r="D705" t="s">
        <v>658</v>
      </c>
      <c r="E705" s="1">
        <v>45564</v>
      </c>
      <c r="F705" s="1">
        <v>45567</v>
      </c>
      <c r="G705" s="1">
        <v>45575</v>
      </c>
      <c r="H705" t="s">
        <v>8</v>
      </c>
      <c r="I705">
        <v>922</v>
      </c>
      <c r="J705" t="s">
        <v>683</v>
      </c>
      <c r="K705">
        <v>8</v>
      </c>
    </row>
    <row r="706" spans="1:11" x14ac:dyDescent="0.35">
      <c r="A706" t="s">
        <v>1034</v>
      </c>
      <c r="B706" t="s">
        <v>45</v>
      </c>
      <c r="C706" t="s">
        <v>537</v>
      </c>
      <c r="D706" t="s">
        <v>649</v>
      </c>
      <c r="E706" s="1">
        <v>45240</v>
      </c>
      <c r="F706" s="1">
        <v>45242</v>
      </c>
      <c r="G706" s="1">
        <v>45260</v>
      </c>
      <c r="H706" t="s">
        <v>11</v>
      </c>
      <c r="I706">
        <v>921.77</v>
      </c>
      <c r="J706" t="s">
        <v>683</v>
      </c>
      <c r="K706">
        <v>18</v>
      </c>
    </row>
    <row r="707" spans="1:11" x14ac:dyDescent="0.35">
      <c r="A707" t="s">
        <v>1471</v>
      </c>
      <c r="B707" t="s">
        <v>121</v>
      </c>
      <c r="C707" t="s">
        <v>573</v>
      </c>
      <c r="D707" t="s">
        <v>649</v>
      </c>
      <c r="E707" s="1">
        <v>45043</v>
      </c>
      <c r="F707" s="1">
        <v>45048</v>
      </c>
      <c r="G707" s="1">
        <v>45067</v>
      </c>
      <c r="H707" t="s">
        <v>13</v>
      </c>
      <c r="I707">
        <v>921.68</v>
      </c>
      <c r="J707" t="s">
        <v>683</v>
      </c>
      <c r="K707">
        <v>19</v>
      </c>
    </row>
    <row r="708" spans="1:11" x14ac:dyDescent="0.35">
      <c r="A708" t="s">
        <v>980</v>
      </c>
      <c r="B708" t="s">
        <v>337</v>
      </c>
      <c r="C708" t="s">
        <v>577</v>
      </c>
      <c r="D708" t="s">
        <v>658</v>
      </c>
      <c r="E708" s="1">
        <v>44942</v>
      </c>
      <c r="F708" s="1">
        <v>44946</v>
      </c>
      <c r="G708" s="1">
        <v>44967</v>
      </c>
      <c r="H708" t="s">
        <v>11</v>
      </c>
      <c r="I708">
        <v>919.24</v>
      </c>
      <c r="J708" t="s">
        <v>683</v>
      </c>
      <c r="K708">
        <v>21</v>
      </c>
    </row>
    <row r="709" spans="1:11" x14ac:dyDescent="0.35">
      <c r="A709" t="s">
        <v>2286</v>
      </c>
      <c r="B709" t="s">
        <v>416</v>
      </c>
      <c r="C709" t="s">
        <v>540</v>
      </c>
      <c r="D709" t="s">
        <v>649</v>
      </c>
      <c r="E709" s="1">
        <v>45495</v>
      </c>
      <c r="F709" s="1">
        <v>45500</v>
      </c>
      <c r="G709" s="1">
        <v>45526</v>
      </c>
      <c r="H709" t="s">
        <v>13</v>
      </c>
      <c r="I709">
        <v>918.61</v>
      </c>
      <c r="J709" t="s">
        <v>683</v>
      </c>
      <c r="K709">
        <v>26</v>
      </c>
    </row>
    <row r="710" spans="1:11" x14ac:dyDescent="0.35">
      <c r="A710" t="s">
        <v>819</v>
      </c>
      <c r="B710" t="s">
        <v>356</v>
      </c>
      <c r="C710" t="s">
        <v>569</v>
      </c>
      <c r="D710" t="s">
        <v>649</v>
      </c>
      <c r="E710" s="1">
        <v>45544</v>
      </c>
      <c r="F710" s="1">
        <v>45545</v>
      </c>
      <c r="G710" s="1">
        <v>45567</v>
      </c>
      <c r="H710" t="s">
        <v>13</v>
      </c>
      <c r="I710">
        <v>917.86</v>
      </c>
      <c r="J710" t="s">
        <v>683</v>
      </c>
      <c r="K710">
        <v>22</v>
      </c>
    </row>
    <row r="711" spans="1:11" x14ac:dyDescent="0.35">
      <c r="A711" t="s">
        <v>1140</v>
      </c>
      <c r="B711" t="s">
        <v>354</v>
      </c>
      <c r="C711" t="s">
        <v>563</v>
      </c>
      <c r="D711" t="s">
        <v>631</v>
      </c>
      <c r="E711" s="1">
        <v>45621</v>
      </c>
      <c r="F711" s="1">
        <v>45626</v>
      </c>
      <c r="G711" s="1">
        <v>45643</v>
      </c>
      <c r="H711" t="s">
        <v>11</v>
      </c>
      <c r="I711">
        <v>917.84</v>
      </c>
      <c r="J711" t="s">
        <v>683</v>
      </c>
      <c r="K711">
        <v>17</v>
      </c>
    </row>
    <row r="712" spans="1:11" x14ac:dyDescent="0.35">
      <c r="A712" t="s">
        <v>1751</v>
      </c>
      <c r="B712" t="s">
        <v>420</v>
      </c>
      <c r="C712" t="s">
        <v>561</v>
      </c>
      <c r="D712" t="s">
        <v>631</v>
      </c>
      <c r="E712" s="1">
        <v>44991</v>
      </c>
      <c r="F712" s="1">
        <v>44995</v>
      </c>
      <c r="G712" s="1">
        <v>44999</v>
      </c>
      <c r="H712" t="s">
        <v>20</v>
      </c>
      <c r="I712">
        <v>915.7</v>
      </c>
      <c r="J712" t="s">
        <v>683</v>
      </c>
      <c r="K712">
        <v>4</v>
      </c>
    </row>
    <row r="713" spans="1:11" x14ac:dyDescent="0.35">
      <c r="A713" t="s">
        <v>1538</v>
      </c>
      <c r="B713" t="s">
        <v>298</v>
      </c>
      <c r="C713" t="s">
        <v>549</v>
      </c>
      <c r="D713" t="s">
        <v>631</v>
      </c>
      <c r="E713" s="1">
        <v>45607</v>
      </c>
      <c r="F713" s="1">
        <v>45609</v>
      </c>
      <c r="G713" s="1">
        <v>45626</v>
      </c>
      <c r="H713" t="s">
        <v>11</v>
      </c>
      <c r="I713">
        <v>915.01</v>
      </c>
      <c r="J713" t="s">
        <v>683</v>
      </c>
      <c r="K713">
        <v>17</v>
      </c>
    </row>
    <row r="714" spans="1:11" x14ac:dyDescent="0.35">
      <c r="A714" t="s">
        <v>872</v>
      </c>
      <c r="B714" t="s">
        <v>77</v>
      </c>
      <c r="C714" t="s">
        <v>546</v>
      </c>
      <c r="D714" t="s">
        <v>649</v>
      </c>
      <c r="E714" s="1">
        <v>45499</v>
      </c>
      <c r="F714" s="1">
        <v>45504</v>
      </c>
      <c r="G714" s="1">
        <v>45529</v>
      </c>
      <c r="H714" t="s">
        <v>20</v>
      </c>
      <c r="I714">
        <v>913.37</v>
      </c>
      <c r="J714" t="s">
        <v>683</v>
      </c>
      <c r="K714">
        <v>25</v>
      </c>
    </row>
    <row r="715" spans="1:11" x14ac:dyDescent="0.35">
      <c r="A715" t="s">
        <v>2006</v>
      </c>
      <c r="B715" t="s">
        <v>191</v>
      </c>
      <c r="C715" t="s">
        <v>543</v>
      </c>
      <c r="D715" t="s">
        <v>631</v>
      </c>
      <c r="E715" s="1">
        <v>45253</v>
      </c>
      <c r="F715" s="1">
        <v>45257</v>
      </c>
      <c r="G715" s="1">
        <v>45261</v>
      </c>
      <c r="H715" t="s">
        <v>20</v>
      </c>
      <c r="I715">
        <v>912.03</v>
      </c>
      <c r="J715" t="s">
        <v>683</v>
      </c>
      <c r="K715">
        <v>4</v>
      </c>
    </row>
    <row r="716" spans="1:11" x14ac:dyDescent="0.35">
      <c r="A716" t="s">
        <v>1413</v>
      </c>
      <c r="B716" t="s">
        <v>289</v>
      </c>
      <c r="C716" t="s">
        <v>583</v>
      </c>
      <c r="D716" t="s">
        <v>658</v>
      </c>
      <c r="E716" s="1">
        <v>45013</v>
      </c>
      <c r="F716" s="1">
        <v>45016</v>
      </c>
      <c r="G716" s="1">
        <v>45031</v>
      </c>
      <c r="H716" t="s">
        <v>13</v>
      </c>
      <c r="I716">
        <v>911.58</v>
      </c>
      <c r="J716" t="s">
        <v>683</v>
      </c>
      <c r="K716">
        <v>15</v>
      </c>
    </row>
    <row r="717" spans="1:11" x14ac:dyDescent="0.35">
      <c r="A717" t="s">
        <v>840</v>
      </c>
      <c r="B717" t="s">
        <v>194</v>
      </c>
      <c r="C717" t="s">
        <v>601</v>
      </c>
      <c r="D717" t="s">
        <v>658</v>
      </c>
      <c r="E717" s="1">
        <v>45398</v>
      </c>
      <c r="F717" s="1">
        <v>45399</v>
      </c>
      <c r="G717" s="1">
        <v>45425</v>
      </c>
      <c r="H717" t="s">
        <v>25</v>
      </c>
      <c r="I717">
        <v>911.49</v>
      </c>
      <c r="J717" t="s">
        <v>683</v>
      </c>
      <c r="K717">
        <v>26</v>
      </c>
    </row>
    <row r="718" spans="1:11" x14ac:dyDescent="0.35">
      <c r="A718" t="s">
        <v>1619</v>
      </c>
      <c r="B718" t="s">
        <v>253</v>
      </c>
      <c r="C718" t="s">
        <v>589</v>
      </c>
      <c r="D718" t="s">
        <v>631</v>
      </c>
      <c r="E718" s="1">
        <v>45363</v>
      </c>
      <c r="F718" s="1">
        <v>45367</v>
      </c>
      <c r="G718" s="1"/>
      <c r="H718" t="s">
        <v>8</v>
      </c>
      <c r="I718">
        <v>911.09</v>
      </c>
      <c r="J718" t="s">
        <v>689</v>
      </c>
    </row>
    <row r="719" spans="1:11" x14ac:dyDescent="0.35">
      <c r="A719" t="s">
        <v>1464</v>
      </c>
      <c r="B719" t="s">
        <v>180</v>
      </c>
      <c r="C719" t="s">
        <v>583</v>
      </c>
      <c r="D719" t="s">
        <v>631</v>
      </c>
      <c r="E719" s="1">
        <v>45443</v>
      </c>
      <c r="F719" s="1">
        <v>45445</v>
      </c>
      <c r="G719" s="1"/>
      <c r="H719" t="s">
        <v>11</v>
      </c>
      <c r="I719">
        <v>909.17</v>
      </c>
      <c r="J719" t="s">
        <v>689</v>
      </c>
    </row>
    <row r="720" spans="1:11" x14ac:dyDescent="0.35">
      <c r="A720" t="s">
        <v>830</v>
      </c>
      <c r="B720" t="s">
        <v>86</v>
      </c>
      <c r="C720" t="s">
        <v>599</v>
      </c>
      <c r="D720" t="s">
        <v>658</v>
      </c>
      <c r="E720" s="1">
        <v>45459</v>
      </c>
      <c r="F720" s="1">
        <v>45461</v>
      </c>
      <c r="G720" s="1">
        <v>45478</v>
      </c>
      <c r="H720" t="s">
        <v>20</v>
      </c>
      <c r="I720">
        <v>904.78</v>
      </c>
      <c r="J720" t="s">
        <v>683</v>
      </c>
      <c r="K720">
        <v>17</v>
      </c>
    </row>
    <row r="721" spans="1:11" x14ac:dyDescent="0.35">
      <c r="A721" t="s">
        <v>1768</v>
      </c>
      <c r="B721" t="s">
        <v>304</v>
      </c>
      <c r="C721" t="s">
        <v>599</v>
      </c>
      <c r="D721" t="s">
        <v>649</v>
      </c>
      <c r="E721" s="1">
        <v>45451</v>
      </c>
      <c r="F721" s="1">
        <v>45453</v>
      </c>
      <c r="G721" s="1">
        <v>45476</v>
      </c>
      <c r="H721" t="s">
        <v>20</v>
      </c>
      <c r="I721">
        <v>900.44</v>
      </c>
      <c r="J721" t="s">
        <v>683</v>
      </c>
      <c r="K721">
        <v>23</v>
      </c>
    </row>
    <row r="722" spans="1:11" x14ac:dyDescent="0.35">
      <c r="A722" t="s">
        <v>2428</v>
      </c>
      <c r="B722" t="s">
        <v>314</v>
      </c>
      <c r="C722" t="s">
        <v>567</v>
      </c>
      <c r="D722" t="s">
        <v>658</v>
      </c>
      <c r="E722" s="1">
        <v>45090</v>
      </c>
      <c r="F722" s="1">
        <v>45091</v>
      </c>
      <c r="G722" s="1">
        <v>45109</v>
      </c>
      <c r="H722" t="s">
        <v>8</v>
      </c>
      <c r="I722">
        <v>898.51</v>
      </c>
      <c r="J722" t="s">
        <v>683</v>
      </c>
      <c r="K722">
        <v>18</v>
      </c>
    </row>
    <row r="723" spans="1:11" x14ac:dyDescent="0.35">
      <c r="A723" t="s">
        <v>773</v>
      </c>
      <c r="B723" t="s">
        <v>352</v>
      </c>
      <c r="C723" t="s">
        <v>534</v>
      </c>
      <c r="D723" t="s">
        <v>631</v>
      </c>
      <c r="E723" s="1">
        <v>44976</v>
      </c>
      <c r="F723" s="1">
        <v>44981</v>
      </c>
      <c r="G723" s="1">
        <v>45003</v>
      </c>
      <c r="H723" t="s">
        <v>20</v>
      </c>
      <c r="I723">
        <v>896.53</v>
      </c>
      <c r="J723" t="s">
        <v>687</v>
      </c>
      <c r="K723">
        <v>22</v>
      </c>
    </row>
    <row r="724" spans="1:11" x14ac:dyDescent="0.35">
      <c r="A724" t="s">
        <v>2475</v>
      </c>
      <c r="B724" t="s">
        <v>279</v>
      </c>
      <c r="C724" t="s">
        <v>567</v>
      </c>
      <c r="D724" t="s">
        <v>649</v>
      </c>
      <c r="E724" s="1">
        <v>45499</v>
      </c>
      <c r="F724" s="1">
        <v>45504</v>
      </c>
      <c r="G724" s="1">
        <v>45530</v>
      </c>
      <c r="H724" t="s">
        <v>11</v>
      </c>
      <c r="I724">
        <v>896.41</v>
      </c>
      <c r="J724" t="s">
        <v>683</v>
      </c>
      <c r="K724">
        <v>26</v>
      </c>
    </row>
    <row r="725" spans="1:11" x14ac:dyDescent="0.35">
      <c r="A725" t="s">
        <v>2604</v>
      </c>
      <c r="B725" t="s">
        <v>350</v>
      </c>
      <c r="C725" t="s">
        <v>587</v>
      </c>
      <c r="D725" t="s">
        <v>631</v>
      </c>
      <c r="E725" s="1">
        <v>45243</v>
      </c>
      <c r="F725" s="1">
        <v>45247</v>
      </c>
      <c r="G725" s="1">
        <v>45268</v>
      </c>
      <c r="H725" t="s">
        <v>20</v>
      </c>
      <c r="I725">
        <v>894.6</v>
      </c>
      <c r="J725" t="s">
        <v>683</v>
      </c>
      <c r="K725">
        <v>21</v>
      </c>
    </row>
    <row r="726" spans="1:11" x14ac:dyDescent="0.35">
      <c r="A726" t="s">
        <v>923</v>
      </c>
      <c r="B726" t="s">
        <v>35</v>
      </c>
      <c r="C726" t="s">
        <v>599</v>
      </c>
      <c r="D726" t="s">
        <v>631</v>
      </c>
      <c r="E726" s="1">
        <v>45606</v>
      </c>
      <c r="F726" s="1">
        <v>45608</v>
      </c>
      <c r="G726" s="1">
        <v>45637</v>
      </c>
      <c r="H726" t="s">
        <v>11</v>
      </c>
      <c r="I726">
        <v>894.38</v>
      </c>
      <c r="J726" t="s">
        <v>683</v>
      </c>
      <c r="K726">
        <v>29</v>
      </c>
    </row>
    <row r="727" spans="1:11" x14ac:dyDescent="0.35">
      <c r="A727" t="s">
        <v>939</v>
      </c>
      <c r="B727" t="s">
        <v>44</v>
      </c>
      <c r="C727" t="s">
        <v>611</v>
      </c>
      <c r="D727" t="s">
        <v>649</v>
      </c>
      <c r="E727" s="1">
        <v>45635</v>
      </c>
      <c r="F727" s="1">
        <v>45636</v>
      </c>
      <c r="G727" s="1">
        <v>45655</v>
      </c>
      <c r="H727" t="s">
        <v>11</v>
      </c>
      <c r="I727">
        <v>891.97</v>
      </c>
      <c r="J727" t="s">
        <v>683</v>
      </c>
      <c r="K727">
        <v>19</v>
      </c>
    </row>
    <row r="728" spans="1:11" x14ac:dyDescent="0.35">
      <c r="A728" t="s">
        <v>1811</v>
      </c>
      <c r="B728" t="s">
        <v>141</v>
      </c>
      <c r="C728" t="s">
        <v>583</v>
      </c>
      <c r="D728" t="s">
        <v>658</v>
      </c>
      <c r="E728" s="1">
        <v>45481</v>
      </c>
      <c r="F728" s="1">
        <v>45484</v>
      </c>
      <c r="G728" s="1">
        <v>45487</v>
      </c>
      <c r="H728" t="s">
        <v>8</v>
      </c>
      <c r="I728">
        <v>890.66</v>
      </c>
      <c r="J728" t="s">
        <v>683</v>
      </c>
      <c r="K728">
        <v>3</v>
      </c>
    </row>
    <row r="729" spans="1:11" x14ac:dyDescent="0.35">
      <c r="A729" t="s">
        <v>711</v>
      </c>
      <c r="B729" t="s">
        <v>330</v>
      </c>
      <c r="C729" t="s">
        <v>587</v>
      </c>
      <c r="D729" t="s">
        <v>658</v>
      </c>
      <c r="E729" s="1">
        <v>45199</v>
      </c>
      <c r="F729" s="1">
        <v>45204</v>
      </c>
      <c r="G729" s="1">
        <v>45225</v>
      </c>
      <c r="H729" t="s">
        <v>25</v>
      </c>
      <c r="I729">
        <v>890.1</v>
      </c>
      <c r="J729" t="s">
        <v>683</v>
      </c>
      <c r="K729">
        <v>21</v>
      </c>
    </row>
    <row r="730" spans="1:11" x14ac:dyDescent="0.35">
      <c r="A730" t="s">
        <v>1986</v>
      </c>
      <c r="B730" t="s">
        <v>396</v>
      </c>
      <c r="C730" t="s">
        <v>595</v>
      </c>
      <c r="D730" t="s">
        <v>631</v>
      </c>
      <c r="E730" s="1">
        <v>45493</v>
      </c>
      <c r="F730" s="1">
        <v>45497</v>
      </c>
      <c r="G730" s="1">
        <v>45516</v>
      </c>
      <c r="H730" t="s">
        <v>11</v>
      </c>
      <c r="I730">
        <v>889.44</v>
      </c>
      <c r="J730" t="s">
        <v>683</v>
      </c>
      <c r="K730">
        <v>19</v>
      </c>
    </row>
    <row r="731" spans="1:11" x14ac:dyDescent="0.35">
      <c r="A731" t="s">
        <v>2660</v>
      </c>
      <c r="B731" t="s">
        <v>46</v>
      </c>
      <c r="C731" t="s">
        <v>609</v>
      </c>
      <c r="D731" t="s">
        <v>658</v>
      </c>
      <c r="E731" s="1">
        <v>45444</v>
      </c>
      <c r="F731" s="1">
        <v>45447</v>
      </c>
      <c r="G731" s="1">
        <v>45461</v>
      </c>
      <c r="H731" t="s">
        <v>11</v>
      </c>
      <c r="I731">
        <v>888.73</v>
      </c>
      <c r="J731" t="s">
        <v>683</v>
      </c>
      <c r="K731">
        <v>14</v>
      </c>
    </row>
    <row r="732" spans="1:11" x14ac:dyDescent="0.35">
      <c r="A732" t="s">
        <v>2013</v>
      </c>
      <c r="B732" t="s">
        <v>474</v>
      </c>
      <c r="C732" t="s">
        <v>531</v>
      </c>
      <c r="D732" t="s">
        <v>658</v>
      </c>
      <c r="E732" s="1">
        <v>45285</v>
      </c>
      <c r="F732" s="1">
        <v>45286</v>
      </c>
      <c r="G732" s="1">
        <v>45306</v>
      </c>
      <c r="H732" t="s">
        <v>25</v>
      </c>
      <c r="I732">
        <v>886.12</v>
      </c>
      <c r="J732" t="s">
        <v>687</v>
      </c>
      <c r="K732">
        <v>20</v>
      </c>
    </row>
    <row r="733" spans="1:11" x14ac:dyDescent="0.35">
      <c r="A733" t="s">
        <v>1642</v>
      </c>
      <c r="B733" t="s">
        <v>464</v>
      </c>
      <c r="C733" t="s">
        <v>597</v>
      </c>
      <c r="D733" t="s">
        <v>658</v>
      </c>
      <c r="E733" s="1">
        <v>45338</v>
      </c>
      <c r="F733" s="1">
        <v>45342</v>
      </c>
      <c r="G733" s="1">
        <v>45354</v>
      </c>
      <c r="H733" t="s">
        <v>11</v>
      </c>
      <c r="I733">
        <v>885.67</v>
      </c>
      <c r="J733" t="s">
        <v>683</v>
      </c>
      <c r="K733">
        <v>12</v>
      </c>
    </row>
    <row r="734" spans="1:11" x14ac:dyDescent="0.35">
      <c r="A734" t="s">
        <v>1260</v>
      </c>
      <c r="B734" t="s">
        <v>428</v>
      </c>
      <c r="C734" t="s">
        <v>583</v>
      </c>
      <c r="D734" t="s">
        <v>649</v>
      </c>
      <c r="E734" s="1">
        <v>45035</v>
      </c>
      <c r="F734" s="1">
        <v>45036</v>
      </c>
      <c r="G734" s="1">
        <v>45062</v>
      </c>
      <c r="H734" t="s">
        <v>20</v>
      </c>
      <c r="I734">
        <v>882.8</v>
      </c>
      <c r="J734" t="s">
        <v>683</v>
      </c>
      <c r="K734">
        <v>26</v>
      </c>
    </row>
    <row r="735" spans="1:11" x14ac:dyDescent="0.35">
      <c r="A735" t="s">
        <v>1845</v>
      </c>
      <c r="B735" t="s">
        <v>440</v>
      </c>
      <c r="C735" t="s">
        <v>603</v>
      </c>
      <c r="D735" t="s">
        <v>649</v>
      </c>
      <c r="E735" s="1">
        <v>45557</v>
      </c>
      <c r="F735" s="1">
        <v>45562</v>
      </c>
      <c r="G735" s="1">
        <v>45582</v>
      </c>
      <c r="H735" t="s">
        <v>20</v>
      </c>
      <c r="I735">
        <v>882.61</v>
      </c>
      <c r="J735" t="s">
        <v>687</v>
      </c>
      <c r="K735">
        <v>20</v>
      </c>
    </row>
    <row r="736" spans="1:11" x14ac:dyDescent="0.35">
      <c r="A736" t="s">
        <v>989</v>
      </c>
      <c r="B736" t="s">
        <v>230</v>
      </c>
      <c r="C736" t="s">
        <v>565</v>
      </c>
      <c r="D736" t="s">
        <v>658</v>
      </c>
      <c r="E736" s="1">
        <v>45028</v>
      </c>
      <c r="F736" s="1">
        <v>45029</v>
      </c>
      <c r="G736" s="1">
        <v>45054</v>
      </c>
      <c r="H736" t="s">
        <v>20</v>
      </c>
      <c r="I736">
        <v>881.58</v>
      </c>
      <c r="J736" t="s">
        <v>683</v>
      </c>
      <c r="K736">
        <v>25</v>
      </c>
    </row>
    <row r="737" spans="1:11" x14ac:dyDescent="0.35">
      <c r="A737" t="s">
        <v>1371</v>
      </c>
      <c r="B737" t="s">
        <v>380</v>
      </c>
      <c r="C737" t="s">
        <v>579</v>
      </c>
      <c r="D737" t="s">
        <v>649</v>
      </c>
      <c r="E737" s="1">
        <v>45345</v>
      </c>
      <c r="F737" s="1">
        <v>45350</v>
      </c>
      <c r="G737" s="1">
        <v>45374</v>
      </c>
      <c r="H737" t="s">
        <v>8</v>
      </c>
      <c r="I737">
        <v>881.57</v>
      </c>
      <c r="J737" t="s">
        <v>683</v>
      </c>
      <c r="K737">
        <v>24</v>
      </c>
    </row>
    <row r="738" spans="1:11" x14ac:dyDescent="0.35">
      <c r="A738" t="s">
        <v>929</v>
      </c>
      <c r="B738" t="s">
        <v>169</v>
      </c>
      <c r="C738" t="s">
        <v>609</v>
      </c>
      <c r="D738" t="s">
        <v>631</v>
      </c>
      <c r="E738" s="1">
        <v>44970</v>
      </c>
      <c r="F738" s="1">
        <v>44973</v>
      </c>
      <c r="G738" s="1">
        <v>44996</v>
      </c>
      <c r="H738" t="s">
        <v>11</v>
      </c>
      <c r="I738">
        <v>880.94</v>
      </c>
      <c r="J738" t="s">
        <v>683</v>
      </c>
      <c r="K738">
        <v>23</v>
      </c>
    </row>
    <row r="739" spans="1:11" x14ac:dyDescent="0.35">
      <c r="A739" t="s">
        <v>2417</v>
      </c>
      <c r="B739" t="s">
        <v>492</v>
      </c>
      <c r="C739" t="s">
        <v>563</v>
      </c>
      <c r="D739" t="s">
        <v>658</v>
      </c>
      <c r="E739" s="1">
        <v>45257</v>
      </c>
      <c r="F739" s="1">
        <v>45258</v>
      </c>
      <c r="G739" s="1">
        <v>45268</v>
      </c>
      <c r="H739" t="s">
        <v>13</v>
      </c>
      <c r="I739">
        <v>880.15</v>
      </c>
      <c r="J739" t="s">
        <v>683</v>
      </c>
      <c r="K739">
        <v>10</v>
      </c>
    </row>
    <row r="740" spans="1:11" x14ac:dyDescent="0.35">
      <c r="A740" t="s">
        <v>2605</v>
      </c>
      <c r="B740" t="s">
        <v>393</v>
      </c>
      <c r="C740" t="s">
        <v>597</v>
      </c>
      <c r="D740" t="s">
        <v>658</v>
      </c>
      <c r="E740" s="1">
        <v>45221</v>
      </c>
      <c r="F740" s="1">
        <v>45225</v>
      </c>
      <c r="G740" s="1">
        <v>45236</v>
      </c>
      <c r="H740" t="s">
        <v>11</v>
      </c>
      <c r="I740">
        <v>878.86</v>
      </c>
      <c r="J740" t="s">
        <v>683</v>
      </c>
      <c r="K740">
        <v>11</v>
      </c>
    </row>
    <row r="741" spans="1:11" x14ac:dyDescent="0.35">
      <c r="A741" t="s">
        <v>2510</v>
      </c>
      <c r="B741" t="s">
        <v>26</v>
      </c>
      <c r="C741" t="s">
        <v>597</v>
      </c>
      <c r="D741" t="s">
        <v>631</v>
      </c>
      <c r="E741" s="1">
        <v>45493</v>
      </c>
      <c r="F741" s="1">
        <v>45494</v>
      </c>
      <c r="G741" s="1">
        <v>45504</v>
      </c>
      <c r="H741" t="s">
        <v>11</v>
      </c>
      <c r="I741">
        <v>876.69</v>
      </c>
      <c r="J741" t="s">
        <v>683</v>
      </c>
      <c r="K741">
        <v>10</v>
      </c>
    </row>
    <row r="742" spans="1:11" x14ac:dyDescent="0.35">
      <c r="A742" t="s">
        <v>826</v>
      </c>
      <c r="B742" t="s">
        <v>273</v>
      </c>
      <c r="C742" t="s">
        <v>587</v>
      </c>
      <c r="D742" t="s">
        <v>658</v>
      </c>
      <c r="E742" s="1">
        <v>45545</v>
      </c>
      <c r="F742" s="1">
        <v>45547</v>
      </c>
      <c r="G742" s="1"/>
      <c r="H742" t="s">
        <v>8</v>
      </c>
      <c r="I742">
        <v>874.62</v>
      </c>
      <c r="J742" t="s">
        <v>689</v>
      </c>
    </row>
    <row r="743" spans="1:11" x14ac:dyDescent="0.35">
      <c r="A743" t="s">
        <v>1706</v>
      </c>
      <c r="B743" t="s">
        <v>285</v>
      </c>
      <c r="C743" t="s">
        <v>537</v>
      </c>
      <c r="D743" t="s">
        <v>649</v>
      </c>
      <c r="E743" s="1">
        <v>45449</v>
      </c>
      <c r="F743" s="1">
        <v>45451</v>
      </c>
      <c r="G743" s="1">
        <v>45460</v>
      </c>
      <c r="H743" t="s">
        <v>13</v>
      </c>
      <c r="I743">
        <v>873.45</v>
      </c>
      <c r="J743" t="s">
        <v>683</v>
      </c>
      <c r="K743">
        <v>9</v>
      </c>
    </row>
    <row r="744" spans="1:11" x14ac:dyDescent="0.35">
      <c r="A744" t="s">
        <v>704</v>
      </c>
      <c r="B744" t="s">
        <v>223</v>
      </c>
      <c r="C744" t="s">
        <v>573</v>
      </c>
      <c r="D744" t="s">
        <v>649</v>
      </c>
      <c r="E744" s="1">
        <v>45395</v>
      </c>
      <c r="F744" s="1">
        <v>45396</v>
      </c>
      <c r="G744" s="1">
        <v>45408</v>
      </c>
      <c r="H744" t="s">
        <v>8</v>
      </c>
      <c r="I744">
        <v>872.29</v>
      </c>
      <c r="J744" t="s">
        <v>683</v>
      </c>
      <c r="K744">
        <v>12</v>
      </c>
    </row>
    <row r="745" spans="1:11" x14ac:dyDescent="0.35">
      <c r="A745" t="s">
        <v>1194</v>
      </c>
      <c r="B745" t="s">
        <v>122</v>
      </c>
      <c r="C745" t="s">
        <v>561</v>
      </c>
      <c r="D745" t="s">
        <v>658</v>
      </c>
      <c r="E745" s="1">
        <v>45120</v>
      </c>
      <c r="F745" s="1">
        <v>45125</v>
      </c>
      <c r="G745" s="1"/>
      <c r="H745" t="s">
        <v>13</v>
      </c>
      <c r="I745">
        <v>871.41</v>
      </c>
      <c r="J745" t="s">
        <v>689</v>
      </c>
    </row>
    <row r="746" spans="1:11" x14ac:dyDescent="0.35">
      <c r="A746" t="s">
        <v>1728</v>
      </c>
      <c r="B746" t="s">
        <v>464</v>
      </c>
      <c r="C746" t="s">
        <v>583</v>
      </c>
      <c r="D746" t="s">
        <v>665</v>
      </c>
      <c r="E746" s="1">
        <v>45136</v>
      </c>
      <c r="F746" s="1">
        <v>45138</v>
      </c>
      <c r="G746" s="1">
        <v>45156</v>
      </c>
      <c r="H746" t="s">
        <v>11</v>
      </c>
      <c r="I746">
        <v>870.35</v>
      </c>
      <c r="J746" t="s">
        <v>683</v>
      </c>
      <c r="K746">
        <v>18</v>
      </c>
    </row>
    <row r="747" spans="1:11" x14ac:dyDescent="0.35">
      <c r="A747" t="s">
        <v>1671</v>
      </c>
      <c r="B747" t="s">
        <v>207</v>
      </c>
      <c r="C747" t="s">
        <v>553</v>
      </c>
      <c r="D747" t="s">
        <v>631</v>
      </c>
      <c r="E747" s="1">
        <v>45316</v>
      </c>
      <c r="F747" s="1">
        <v>45321</v>
      </c>
      <c r="G747" s="1">
        <v>45328</v>
      </c>
      <c r="H747" t="s">
        <v>11</v>
      </c>
      <c r="I747">
        <v>870.26</v>
      </c>
      <c r="J747" t="s">
        <v>683</v>
      </c>
      <c r="K747">
        <v>7</v>
      </c>
    </row>
    <row r="748" spans="1:11" x14ac:dyDescent="0.35">
      <c r="A748" t="s">
        <v>2202</v>
      </c>
      <c r="B748" t="s">
        <v>38</v>
      </c>
      <c r="C748" t="s">
        <v>577</v>
      </c>
      <c r="D748" t="s">
        <v>658</v>
      </c>
      <c r="E748" s="1">
        <v>45004</v>
      </c>
      <c r="F748" s="1">
        <v>45009</v>
      </c>
      <c r="G748" s="1"/>
      <c r="H748" t="s">
        <v>8</v>
      </c>
      <c r="I748">
        <v>870.12</v>
      </c>
      <c r="J748" t="s">
        <v>689</v>
      </c>
    </row>
    <row r="749" spans="1:11" x14ac:dyDescent="0.35">
      <c r="A749" t="s">
        <v>1077</v>
      </c>
      <c r="B749" t="s">
        <v>396</v>
      </c>
      <c r="C749" t="s">
        <v>597</v>
      </c>
      <c r="D749" t="s">
        <v>631</v>
      </c>
      <c r="E749" s="1">
        <v>45145</v>
      </c>
      <c r="F749" s="1">
        <v>45147</v>
      </c>
      <c r="G749" s="1"/>
      <c r="H749" t="s">
        <v>11</v>
      </c>
      <c r="I749">
        <v>869.19</v>
      </c>
      <c r="J749" t="s">
        <v>689</v>
      </c>
    </row>
    <row r="750" spans="1:11" x14ac:dyDescent="0.35">
      <c r="A750" t="s">
        <v>2513</v>
      </c>
      <c r="B750" t="s">
        <v>505</v>
      </c>
      <c r="C750" t="s">
        <v>555</v>
      </c>
      <c r="D750" t="s">
        <v>665</v>
      </c>
      <c r="E750" s="1">
        <v>45548</v>
      </c>
      <c r="F750" s="1">
        <v>45549</v>
      </c>
      <c r="G750" s="1">
        <v>45563</v>
      </c>
      <c r="H750" t="s">
        <v>20</v>
      </c>
      <c r="I750">
        <v>869.14</v>
      </c>
      <c r="J750" t="s">
        <v>687</v>
      </c>
      <c r="K750">
        <v>14</v>
      </c>
    </row>
    <row r="751" spans="1:11" x14ac:dyDescent="0.35">
      <c r="A751" t="s">
        <v>1915</v>
      </c>
      <c r="B751" t="s">
        <v>90</v>
      </c>
      <c r="C751" t="s">
        <v>571</v>
      </c>
      <c r="D751" t="s">
        <v>631</v>
      </c>
      <c r="E751" s="1">
        <v>45446</v>
      </c>
      <c r="F751" s="1">
        <v>45447</v>
      </c>
      <c r="G751" s="1">
        <v>45457</v>
      </c>
      <c r="H751" t="s">
        <v>20</v>
      </c>
      <c r="I751">
        <v>866.59</v>
      </c>
      <c r="J751" t="s">
        <v>683</v>
      </c>
      <c r="K751">
        <v>10</v>
      </c>
    </row>
    <row r="752" spans="1:11" x14ac:dyDescent="0.35">
      <c r="A752" t="s">
        <v>1407</v>
      </c>
      <c r="B752" t="s">
        <v>206</v>
      </c>
      <c r="C752" t="s">
        <v>587</v>
      </c>
      <c r="D752" t="s">
        <v>649</v>
      </c>
      <c r="E752" s="1">
        <v>45048</v>
      </c>
      <c r="F752" s="1">
        <v>45052</v>
      </c>
      <c r="G752" s="1">
        <v>45074</v>
      </c>
      <c r="H752" t="s">
        <v>13</v>
      </c>
      <c r="I752">
        <v>862.73</v>
      </c>
      <c r="J752" t="s">
        <v>683</v>
      </c>
      <c r="K752">
        <v>22</v>
      </c>
    </row>
    <row r="753" spans="1:11" x14ac:dyDescent="0.35">
      <c r="A753" t="s">
        <v>2307</v>
      </c>
      <c r="B753" t="s">
        <v>304</v>
      </c>
      <c r="C753" t="s">
        <v>577</v>
      </c>
      <c r="D753" t="s">
        <v>649</v>
      </c>
      <c r="E753" s="1">
        <v>45509</v>
      </c>
      <c r="F753" s="1">
        <v>45514</v>
      </c>
      <c r="G753" s="1">
        <v>45538</v>
      </c>
      <c r="H753" t="s">
        <v>20</v>
      </c>
      <c r="I753">
        <v>860.86</v>
      </c>
      <c r="J753" t="s">
        <v>683</v>
      </c>
      <c r="K753">
        <v>24</v>
      </c>
    </row>
    <row r="754" spans="1:11" x14ac:dyDescent="0.35">
      <c r="A754" t="s">
        <v>767</v>
      </c>
      <c r="B754" t="s">
        <v>238</v>
      </c>
      <c r="C754" t="s">
        <v>565</v>
      </c>
      <c r="D754" t="s">
        <v>631</v>
      </c>
      <c r="E754" s="1">
        <v>45528</v>
      </c>
      <c r="F754" s="1">
        <v>45530</v>
      </c>
      <c r="G754" s="1">
        <v>45560</v>
      </c>
      <c r="H754" t="s">
        <v>20</v>
      </c>
      <c r="I754">
        <v>859.93</v>
      </c>
      <c r="J754" t="s">
        <v>687</v>
      </c>
      <c r="K754">
        <v>30</v>
      </c>
    </row>
    <row r="755" spans="1:11" x14ac:dyDescent="0.35">
      <c r="A755" t="s">
        <v>1673</v>
      </c>
      <c r="B755" t="s">
        <v>198</v>
      </c>
      <c r="C755" t="s">
        <v>567</v>
      </c>
      <c r="D755" t="s">
        <v>665</v>
      </c>
      <c r="E755" s="1">
        <v>45083</v>
      </c>
      <c r="F755" s="1">
        <v>45088</v>
      </c>
      <c r="G755" s="1">
        <v>45101</v>
      </c>
      <c r="H755" t="s">
        <v>11</v>
      </c>
      <c r="I755">
        <v>859.55</v>
      </c>
      <c r="J755" t="s">
        <v>683</v>
      </c>
      <c r="K755">
        <v>13</v>
      </c>
    </row>
    <row r="756" spans="1:11" x14ac:dyDescent="0.35">
      <c r="A756" t="s">
        <v>1479</v>
      </c>
      <c r="B756" t="s">
        <v>371</v>
      </c>
      <c r="C756" t="s">
        <v>557</v>
      </c>
      <c r="D756" t="s">
        <v>658</v>
      </c>
      <c r="E756" s="1">
        <v>45413</v>
      </c>
      <c r="F756" s="1">
        <v>45418</v>
      </c>
      <c r="G756" s="1">
        <v>45434</v>
      </c>
      <c r="H756" t="s">
        <v>25</v>
      </c>
      <c r="I756">
        <v>857.05</v>
      </c>
      <c r="J756" t="s">
        <v>687</v>
      </c>
      <c r="K756">
        <v>16</v>
      </c>
    </row>
    <row r="757" spans="1:11" x14ac:dyDescent="0.35">
      <c r="A757" t="s">
        <v>1129</v>
      </c>
      <c r="B757" t="s">
        <v>65</v>
      </c>
      <c r="C757" t="s">
        <v>559</v>
      </c>
      <c r="D757" t="s">
        <v>649</v>
      </c>
      <c r="E757" s="1">
        <v>45148</v>
      </c>
      <c r="F757" s="1">
        <v>45151</v>
      </c>
      <c r="G757" s="1">
        <v>45169</v>
      </c>
      <c r="H757" t="s">
        <v>8</v>
      </c>
      <c r="I757">
        <v>853.56</v>
      </c>
      <c r="J757" t="s">
        <v>683</v>
      </c>
      <c r="K757">
        <v>18</v>
      </c>
    </row>
    <row r="758" spans="1:11" x14ac:dyDescent="0.35">
      <c r="A758" t="s">
        <v>913</v>
      </c>
      <c r="B758" t="s">
        <v>213</v>
      </c>
      <c r="C758" t="s">
        <v>581</v>
      </c>
      <c r="D758" t="s">
        <v>631</v>
      </c>
      <c r="E758" s="1">
        <v>44994</v>
      </c>
      <c r="F758" s="1">
        <v>44995</v>
      </c>
      <c r="G758" s="1">
        <v>45012</v>
      </c>
      <c r="H758" t="s">
        <v>8</v>
      </c>
      <c r="I758">
        <v>852.27</v>
      </c>
      <c r="J758" t="s">
        <v>683</v>
      </c>
      <c r="K758">
        <v>17</v>
      </c>
    </row>
    <row r="759" spans="1:11" x14ac:dyDescent="0.35">
      <c r="A759" t="s">
        <v>1105</v>
      </c>
      <c r="B759" t="s">
        <v>287</v>
      </c>
      <c r="C759" t="s">
        <v>579</v>
      </c>
      <c r="D759" t="s">
        <v>658</v>
      </c>
      <c r="E759" s="1">
        <v>45210</v>
      </c>
      <c r="F759" s="1">
        <v>45214</v>
      </c>
      <c r="G759" s="1">
        <v>45222</v>
      </c>
      <c r="H759" t="s">
        <v>20</v>
      </c>
      <c r="I759">
        <v>850.18</v>
      </c>
      <c r="J759" t="s">
        <v>683</v>
      </c>
      <c r="K759">
        <v>8</v>
      </c>
    </row>
    <row r="760" spans="1:11" x14ac:dyDescent="0.35">
      <c r="A760" t="s">
        <v>906</v>
      </c>
      <c r="B760" t="s">
        <v>223</v>
      </c>
      <c r="C760" t="s">
        <v>581</v>
      </c>
      <c r="D760" t="s">
        <v>665</v>
      </c>
      <c r="E760" s="1">
        <v>45487</v>
      </c>
      <c r="F760" s="1">
        <v>45489</v>
      </c>
      <c r="G760" s="1">
        <v>45506</v>
      </c>
      <c r="H760" t="s">
        <v>8</v>
      </c>
      <c r="I760">
        <v>849.7</v>
      </c>
      <c r="J760" t="s">
        <v>683</v>
      </c>
      <c r="K760">
        <v>17</v>
      </c>
    </row>
    <row r="761" spans="1:11" x14ac:dyDescent="0.35">
      <c r="A761" t="s">
        <v>1611</v>
      </c>
      <c r="B761" t="s">
        <v>16</v>
      </c>
      <c r="C761" t="s">
        <v>595</v>
      </c>
      <c r="D761" t="s">
        <v>631</v>
      </c>
      <c r="E761" s="1">
        <v>45493</v>
      </c>
      <c r="F761" s="1">
        <v>45498</v>
      </c>
      <c r="G761" s="1">
        <v>45528</v>
      </c>
      <c r="H761" t="s">
        <v>8</v>
      </c>
      <c r="I761">
        <v>847.89</v>
      </c>
      <c r="J761" t="s">
        <v>683</v>
      </c>
      <c r="K761">
        <v>30</v>
      </c>
    </row>
    <row r="762" spans="1:11" x14ac:dyDescent="0.35">
      <c r="A762" t="s">
        <v>713</v>
      </c>
      <c r="B762" t="s">
        <v>384</v>
      </c>
      <c r="C762" t="s">
        <v>575</v>
      </c>
      <c r="D762" t="s">
        <v>631</v>
      </c>
      <c r="E762" s="1">
        <v>45509</v>
      </c>
      <c r="F762" s="1">
        <v>45511</v>
      </c>
      <c r="G762" s="1"/>
      <c r="H762" t="s">
        <v>13</v>
      </c>
      <c r="I762">
        <v>847.72</v>
      </c>
      <c r="J762" t="s">
        <v>689</v>
      </c>
    </row>
    <row r="763" spans="1:11" x14ac:dyDescent="0.35">
      <c r="A763" t="s">
        <v>1251</v>
      </c>
      <c r="B763" t="s">
        <v>203</v>
      </c>
      <c r="C763" t="s">
        <v>589</v>
      </c>
      <c r="D763" t="s">
        <v>649</v>
      </c>
      <c r="E763" s="1">
        <v>45484</v>
      </c>
      <c r="F763" s="1">
        <v>45487</v>
      </c>
      <c r="G763" s="1">
        <v>45504</v>
      </c>
      <c r="H763" t="s">
        <v>25</v>
      </c>
      <c r="I763">
        <v>847.54</v>
      </c>
      <c r="J763" t="s">
        <v>683</v>
      </c>
      <c r="K763">
        <v>17</v>
      </c>
    </row>
    <row r="764" spans="1:11" x14ac:dyDescent="0.35">
      <c r="A764" t="s">
        <v>920</v>
      </c>
      <c r="B764" t="s">
        <v>77</v>
      </c>
      <c r="C764" t="s">
        <v>563</v>
      </c>
      <c r="D764" t="s">
        <v>631</v>
      </c>
      <c r="E764" s="1">
        <v>45554</v>
      </c>
      <c r="F764" s="1">
        <v>45555</v>
      </c>
      <c r="G764" s="1">
        <v>45570</v>
      </c>
      <c r="H764" t="s">
        <v>20</v>
      </c>
      <c r="I764">
        <v>846.63</v>
      </c>
      <c r="J764" t="s">
        <v>683</v>
      </c>
      <c r="K764">
        <v>15</v>
      </c>
    </row>
    <row r="765" spans="1:11" x14ac:dyDescent="0.35">
      <c r="A765" t="s">
        <v>1949</v>
      </c>
      <c r="B765" t="s">
        <v>347</v>
      </c>
      <c r="C765" t="s">
        <v>555</v>
      </c>
      <c r="D765" t="s">
        <v>658</v>
      </c>
      <c r="E765" s="1">
        <v>45497</v>
      </c>
      <c r="F765" s="1">
        <v>45502</v>
      </c>
      <c r="G765" s="1">
        <v>45528</v>
      </c>
      <c r="H765" t="s">
        <v>8</v>
      </c>
      <c r="I765">
        <v>846.58</v>
      </c>
      <c r="J765" t="s">
        <v>683</v>
      </c>
      <c r="K765">
        <v>26</v>
      </c>
    </row>
    <row r="766" spans="1:11" x14ac:dyDescent="0.35">
      <c r="A766" t="s">
        <v>2433</v>
      </c>
      <c r="B766" t="s">
        <v>423</v>
      </c>
      <c r="C766" t="s">
        <v>573</v>
      </c>
      <c r="D766" t="s">
        <v>649</v>
      </c>
      <c r="E766" s="1">
        <v>45612</v>
      </c>
      <c r="F766" s="1">
        <v>45614</v>
      </c>
      <c r="G766" s="1">
        <v>45620</v>
      </c>
      <c r="H766" t="s">
        <v>13</v>
      </c>
      <c r="I766">
        <v>846.15</v>
      </c>
      <c r="J766" t="s">
        <v>683</v>
      </c>
      <c r="K766">
        <v>6</v>
      </c>
    </row>
    <row r="767" spans="1:11" x14ac:dyDescent="0.35">
      <c r="A767" t="s">
        <v>2126</v>
      </c>
      <c r="B767" t="s">
        <v>32</v>
      </c>
      <c r="C767" t="s">
        <v>597</v>
      </c>
      <c r="D767" t="s">
        <v>649</v>
      </c>
      <c r="E767" s="1">
        <v>45305</v>
      </c>
      <c r="F767" s="1">
        <v>45306</v>
      </c>
      <c r="G767" s="1">
        <v>45315</v>
      </c>
      <c r="H767" t="s">
        <v>25</v>
      </c>
      <c r="I767">
        <v>845.7</v>
      </c>
      <c r="J767" t="s">
        <v>687</v>
      </c>
      <c r="K767">
        <v>9</v>
      </c>
    </row>
    <row r="768" spans="1:11" x14ac:dyDescent="0.35">
      <c r="A768" t="s">
        <v>2297</v>
      </c>
      <c r="B768" t="s">
        <v>214</v>
      </c>
      <c r="C768" t="s">
        <v>591</v>
      </c>
      <c r="D768" t="s">
        <v>658</v>
      </c>
      <c r="E768" s="1">
        <v>45338</v>
      </c>
      <c r="F768" s="1">
        <v>45341</v>
      </c>
      <c r="G768" s="1">
        <v>45347</v>
      </c>
      <c r="H768" t="s">
        <v>20</v>
      </c>
      <c r="I768">
        <v>845.7</v>
      </c>
      <c r="J768" t="s">
        <v>683</v>
      </c>
      <c r="K768">
        <v>6</v>
      </c>
    </row>
    <row r="769" spans="1:11" x14ac:dyDescent="0.35">
      <c r="A769" t="s">
        <v>2057</v>
      </c>
      <c r="B769" t="s">
        <v>334</v>
      </c>
      <c r="C769" t="s">
        <v>527</v>
      </c>
      <c r="D769" t="s">
        <v>665</v>
      </c>
      <c r="E769" s="1">
        <v>45058</v>
      </c>
      <c r="F769" s="1">
        <v>45059</v>
      </c>
      <c r="G769" s="1">
        <v>45082</v>
      </c>
      <c r="H769" t="s">
        <v>11</v>
      </c>
      <c r="I769">
        <v>844.03</v>
      </c>
      <c r="J769" t="s">
        <v>683</v>
      </c>
      <c r="K769">
        <v>23</v>
      </c>
    </row>
    <row r="770" spans="1:11" x14ac:dyDescent="0.35">
      <c r="A770" t="s">
        <v>1661</v>
      </c>
      <c r="B770" t="s">
        <v>92</v>
      </c>
      <c r="C770" t="s">
        <v>583</v>
      </c>
      <c r="D770" t="s">
        <v>665</v>
      </c>
      <c r="E770" s="1">
        <v>45517</v>
      </c>
      <c r="F770" s="1">
        <v>45520</v>
      </c>
      <c r="G770" s="1"/>
      <c r="H770" t="s">
        <v>25</v>
      </c>
      <c r="I770">
        <v>843.98</v>
      </c>
      <c r="J770" t="s">
        <v>689</v>
      </c>
    </row>
    <row r="771" spans="1:11" x14ac:dyDescent="0.35">
      <c r="A771" t="s">
        <v>2507</v>
      </c>
      <c r="B771" t="s">
        <v>19</v>
      </c>
      <c r="C771" t="s">
        <v>593</v>
      </c>
      <c r="D771" t="s">
        <v>631</v>
      </c>
      <c r="E771" s="1">
        <v>45079</v>
      </c>
      <c r="F771" s="1">
        <v>45081</v>
      </c>
      <c r="G771" s="1">
        <v>45093</v>
      </c>
      <c r="H771" t="s">
        <v>20</v>
      </c>
      <c r="I771">
        <v>843.85</v>
      </c>
      <c r="J771" t="s">
        <v>683</v>
      </c>
      <c r="K771">
        <v>12</v>
      </c>
    </row>
    <row r="772" spans="1:11" x14ac:dyDescent="0.35">
      <c r="A772" t="s">
        <v>2084</v>
      </c>
      <c r="B772" t="s">
        <v>359</v>
      </c>
      <c r="C772" t="s">
        <v>579</v>
      </c>
      <c r="D772" t="s">
        <v>631</v>
      </c>
      <c r="E772" s="1">
        <v>45216</v>
      </c>
      <c r="F772" s="1">
        <v>45217</v>
      </c>
      <c r="G772" s="1">
        <v>45239</v>
      </c>
      <c r="H772" t="s">
        <v>25</v>
      </c>
      <c r="I772">
        <v>843.42</v>
      </c>
      <c r="J772" t="s">
        <v>683</v>
      </c>
      <c r="K772">
        <v>22</v>
      </c>
    </row>
    <row r="773" spans="1:11" x14ac:dyDescent="0.35">
      <c r="A773" t="s">
        <v>1909</v>
      </c>
      <c r="B773" t="s">
        <v>498</v>
      </c>
      <c r="C773" t="s">
        <v>573</v>
      </c>
      <c r="D773" t="s">
        <v>658</v>
      </c>
      <c r="E773" s="1">
        <v>45640</v>
      </c>
      <c r="F773" s="1">
        <v>45641</v>
      </c>
      <c r="G773" s="1">
        <v>45650</v>
      </c>
      <c r="H773" t="s">
        <v>25</v>
      </c>
      <c r="I773">
        <v>843.19</v>
      </c>
      <c r="J773" t="s">
        <v>683</v>
      </c>
      <c r="K773">
        <v>9</v>
      </c>
    </row>
    <row r="774" spans="1:11" x14ac:dyDescent="0.35">
      <c r="A774" t="s">
        <v>999</v>
      </c>
      <c r="B774" t="s">
        <v>128</v>
      </c>
      <c r="C774" t="s">
        <v>553</v>
      </c>
      <c r="D774" t="s">
        <v>658</v>
      </c>
      <c r="E774" s="1">
        <v>45308</v>
      </c>
      <c r="F774" s="1">
        <v>45312</v>
      </c>
      <c r="G774" s="1">
        <v>45328</v>
      </c>
      <c r="H774" t="s">
        <v>8</v>
      </c>
      <c r="I774">
        <v>843.13</v>
      </c>
      <c r="J774" t="s">
        <v>687</v>
      </c>
      <c r="K774">
        <v>16</v>
      </c>
    </row>
    <row r="775" spans="1:11" x14ac:dyDescent="0.35">
      <c r="A775" t="s">
        <v>1312</v>
      </c>
      <c r="B775" t="s">
        <v>353</v>
      </c>
      <c r="C775" t="s">
        <v>563</v>
      </c>
      <c r="D775" t="s">
        <v>649</v>
      </c>
      <c r="E775" s="1">
        <v>45276</v>
      </c>
      <c r="F775" s="1">
        <v>45280</v>
      </c>
      <c r="G775" s="1">
        <v>45309</v>
      </c>
      <c r="H775" t="s">
        <v>20</v>
      </c>
      <c r="I775">
        <v>843.06</v>
      </c>
      <c r="J775" t="s">
        <v>687</v>
      </c>
      <c r="K775">
        <v>29</v>
      </c>
    </row>
    <row r="776" spans="1:11" x14ac:dyDescent="0.35">
      <c r="A776" t="s">
        <v>953</v>
      </c>
      <c r="B776" t="s">
        <v>182</v>
      </c>
      <c r="C776" t="s">
        <v>524</v>
      </c>
      <c r="D776" t="s">
        <v>649</v>
      </c>
      <c r="E776" s="1">
        <v>45485</v>
      </c>
      <c r="F776" s="1">
        <v>45489</v>
      </c>
      <c r="G776" s="1">
        <v>45511</v>
      </c>
      <c r="H776" t="s">
        <v>11</v>
      </c>
      <c r="I776">
        <v>843.05</v>
      </c>
      <c r="J776" t="s">
        <v>683</v>
      </c>
      <c r="K776">
        <v>22</v>
      </c>
    </row>
    <row r="777" spans="1:11" x14ac:dyDescent="0.35">
      <c r="A777" t="s">
        <v>708</v>
      </c>
      <c r="B777" t="s">
        <v>152</v>
      </c>
      <c r="C777" t="s">
        <v>609</v>
      </c>
      <c r="D777" t="s">
        <v>665</v>
      </c>
      <c r="E777" s="1">
        <v>45114</v>
      </c>
      <c r="F777" s="1">
        <v>45119</v>
      </c>
      <c r="G777" s="1">
        <v>45130</v>
      </c>
      <c r="H777" t="s">
        <v>20</v>
      </c>
      <c r="I777">
        <v>842.86</v>
      </c>
      <c r="J777" t="s">
        <v>683</v>
      </c>
      <c r="K777">
        <v>11</v>
      </c>
    </row>
    <row r="778" spans="1:11" x14ac:dyDescent="0.35">
      <c r="A778" t="s">
        <v>718</v>
      </c>
      <c r="B778" t="s">
        <v>330</v>
      </c>
      <c r="C778" t="s">
        <v>595</v>
      </c>
      <c r="D778" t="s">
        <v>665</v>
      </c>
      <c r="E778" s="1">
        <v>45654</v>
      </c>
      <c r="F778" s="1">
        <v>45658</v>
      </c>
      <c r="G778" s="1">
        <v>45667</v>
      </c>
      <c r="H778" t="s">
        <v>25</v>
      </c>
      <c r="I778">
        <v>841.38</v>
      </c>
      <c r="J778" t="s">
        <v>683</v>
      </c>
      <c r="K778">
        <v>9</v>
      </c>
    </row>
    <row r="779" spans="1:11" x14ac:dyDescent="0.35">
      <c r="A779" t="s">
        <v>2098</v>
      </c>
      <c r="B779" t="s">
        <v>111</v>
      </c>
      <c r="C779" t="s">
        <v>531</v>
      </c>
      <c r="D779" t="s">
        <v>665</v>
      </c>
      <c r="E779" s="1">
        <v>45252</v>
      </c>
      <c r="F779" s="1">
        <v>45256</v>
      </c>
      <c r="G779" s="1">
        <v>45276</v>
      </c>
      <c r="H779" t="s">
        <v>8</v>
      </c>
      <c r="I779">
        <v>841.27</v>
      </c>
      <c r="J779" t="s">
        <v>683</v>
      </c>
      <c r="K779">
        <v>20</v>
      </c>
    </row>
    <row r="780" spans="1:11" x14ac:dyDescent="0.35">
      <c r="A780" t="s">
        <v>842</v>
      </c>
      <c r="B780" t="s">
        <v>406</v>
      </c>
      <c r="C780" t="s">
        <v>575</v>
      </c>
      <c r="D780" t="s">
        <v>658</v>
      </c>
      <c r="E780" s="1">
        <v>45125</v>
      </c>
      <c r="F780" s="1">
        <v>45128</v>
      </c>
      <c r="G780" s="1">
        <v>45155</v>
      </c>
      <c r="H780" t="s">
        <v>11</v>
      </c>
      <c r="I780">
        <v>841.23</v>
      </c>
      <c r="J780" t="s">
        <v>683</v>
      </c>
      <c r="K780">
        <v>27</v>
      </c>
    </row>
    <row r="781" spans="1:11" x14ac:dyDescent="0.35">
      <c r="A781" t="s">
        <v>2590</v>
      </c>
      <c r="B781" t="s">
        <v>473</v>
      </c>
      <c r="C781" t="s">
        <v>577</v>
      </c>
      <c r="D781" t="s">
        <v>665</v>
      </c>
      <c r="E781" s="1">
        <v>44945</v>
      </c>
      <c r="F781" s="1">
        <v>44946</v>
      </c>
      <c r="G781" s="1">
        <v>44957</v>
      </c>
      <c r="H781" t="s">
        <v>11</v>
      </c>
      <c r="I781">
        <v>841.23</v>
      </c>
      <c r="J781" t="s">
        <v>683</v>
      </c>
      <c r="K781">
        <v>11</v>
      </c>
    </row>
    <row r="782" spans="1:11" x14ac:dyDescent="0.35">
      <c r="A782" t="s">
        <v>2666</v>
      </c>
      <c r="B782" t="s">
        <v>27</v>
      </c>
      <c r="C782" t="s">
        <v>591</v>
      </c>
      <c r="D782" t="s">
        <v>631</v>
      </c>
      <c r="E782" s="1">
        <v>44975</v>
      </c>
      <c r="F782" s="1">
        <v>44976</v>
      </c>
      <c r="G782" s="1">
        <v>44985</v>
      </c>
      <c r="H782" t="s">
        <v>20</v>
      </c>
      <c r="I782">
        <v>839.39</v>
      </c>
      <c r="J782" t="s">
        <v>683</v>
      </c>
      <c r="K782">
        <v>9</v>
      </c>
    </row>
    <row r="783" spans="1:11" x14ac:dyDescent="0.35">
      <c r="A783" t="s">
        <v>1488</v>
      </c>
      <c r="B783" t="s">
        <v>312</v>
      </c>
      <c r="C783" t="s">
        <v>524</v>
      </c>
      <c r="D783" t="s">
        <v>658</v>
      </c>
      <c r="E783" s="1">
        <v>45073</v>
      </c>
      <c r="F783" s="1">
        <v>45075</v>
      </c>
      <c r="G783" s="1">
        <v>45099</v>
      </c>
      <c r="H783" t="s">
        <v>11</v>
      </c>
      <c r="I783">
        <v>837.15</v>
      </c>
      <c r="J783" t="s">
        <v>683</v>
      </c>
      <c r="K783">
        <v>24</v>
      </c>
    </row>
    <row r="784" spans="1:11" x14ac:dyDescent="0.35">
      <c r="A784" t="s">
        <v>1293</v>
      </c>
      <c r="B784" t="s">
        <v>441</v>
      </c>
      <c r="C784" t="s">
        <v>597</v>
      </c>
      <c r="D784" t="s">
        <v>649</v>
      </c>
      <c r="E784" s="1">
        <v>45031</v>
      </c>
      <c r="F784" s="1">
        <v>45033</v>
      </c>
      <c r="G784" s="1">
        <v>45061</v>
      </c>
      <c r="H784" t="s">
        <v>11</v>
      </c>
      <c r="I784">
        <v>835.32</v>
      </c>
      <c r="J784" t="s">
        <v>683</v>
      </c>
      <c r="K784">
        <v>28</v>
      </c>
    </row>
    <row r="785" spans="1:11" x14ac:dyDescent="0.35">
      <c r="A785" t="s">
        <v>2025</v>
      </c>
      <c r="B785" t="s">
        <v>446</v>
      </c>
      <c r="C785" t="s">
        <v>607</v>
      </c>
      <c r="D785" t="s">
        <v>649</v>
      </c>
      <c r="E785" s="1">
        <v>44984</v>
      </c>
      <c r="F785" s="1">
        <v>44986</v>
      </c>
      <c r="G785" s="1">
        <v>44996</v>
      </c>
      <c r="H785" t="s">
        <v>8</v>
      </c>
      <c r="I785">
        <v>833.57</v>
      </c>
      <c r="J785" t="s">
        <v>683</v>
      </c>
      <c r="K785">
        <v>10</v>
      </c>
    </row>
    <row r="786" spans="1:11" x14ac:dyDescent="0.35">
      <c r="A786" t="s">
        <v>1019</v>
      </c>
      <c r="B786" t="s">
        <v>309</v>
      </c>
      <c r="C786" t="s">
        <v>563</v>
      </c>
      <c r="D786" t="s">
        <v>665</v>
      </c>
      <c r="E786" s="1">
        <v>45152</v>
      </c>
      <c r="F786" s="1">
        <v>45155</v>
      </c>
      <c r="G786" s="1">
        <v>45175</v>
      </c>
      <c r="H786" t="s">
        <v>13</v>
      </c>
      <c r="I786">
        <v>833.26</v>
      </c>
      <c r="J786" t="s">
        <v>683</v>
      </c>
      <c r="K786">
        <v>20</v>
      </c>
    </row>
    <row r="787" spans="1:11" x14ac:dyDescent="0.35">
      <c r="A787" t="s">
        <v>2266</v>
      </c>
      <c r="B787" t="s">
        <v>38</v>
      </c>
      <c r="C787" t="s">
        <v>561</v>
      </c>
      <c r="D787" t="s">
        <v>649</v>
      </c>
      <c r="E787" s="1">
        <v>45485</v>
      </c>
      <c r="F787" s="1">
        <v>45487</v>
      </c>
      <c r="G787" s="1">
        <v>45502</v>
      </c>
      <c r="H787" t="s">
        <v>8</v>
      </c>
      <c r="I787">
        <v>832.99</v>
      </c>
      <c r="J787" t="s">
        <v>683</v>
      </c>
      <c r="K787">
        <v>15</v>
      </c>
    </row>
    <row r="788" spans="1:11" x14ac:dyDescent="0.35">
      <c r="A788" t="s">
        <v>1763</v>
      </c>
      <c r="B788" t="s">
        <v>343</v>
      </c>
      <c r="C788" t="s">
        <v>611</v>
      </c>
      <c r="D788" t="s">
        <v>631</v>
      </c>
      <c r="E788" s="1">
        <v>45491</v>
      </c>
      <c r="F788" s="1">
        <v>45495</v>
      </c>
      <c r="G788" s="1">
        <v>45525</v>
      </c>
      <c r="H788" t="s">
        <v>8</v>
      </c>
      <c r="I788">
        <v>832.34</v>
      </c>
      <c r="J788" t="s">
        <v>683</v>
      </c>
      <c r="K788">
        <v>30</v>
      </c>
    </row>
    <row r="789" spans="1:11" x14ac:dyDescent="0.35">
      <c r="A789" t="s">
        <v>1052</v>
      </c>
      <c r="B789" t="s">
        <v>456</v>
      </c>
      <c r="C789" t="s">
        <v>573</v>
      </c>
      <c r="D789" t="s">
        <v>649</v>
      </c>
      <c r="E789" s="1">
        <v>45586</v>
      </c>
      <c r="F789" s="1">
        <v>45589</v>
      </c>
      <c r="G789" s="1">
        <v>45596</v>
      </c>
      <c r="H789" t="s">
        <v>11</v>
      </c>
      <c r="I789">
        <v>830.42</v>
      </c>
      <c r="J789" t="s">
        <v>683</v>
      </c>
      <c r="K789">
        <v>7</v>
      </c>
    </row>
    <row r="790" spans="1:11" x14ac:dyDescent="0.35">
      <c r="A790" t="s">
        <v>1704</v>
      </c>
      <c r="B790" t="s">
        <v>326</v>
      </c>
      <c r="C790" t="s">
        <v>603</v>
      </c>
      <c r="D790" t="s">
        <v>658</v>
      </c>
      <c r="E790" s="1">
        <v>45027</v>
      </c>
      <c r="F790" s="1">
        <v>45031</v>
      </c>
      <c r="G790" s="1">
        <v>45053</v>
      </c>
      <c r="H790" t="s">
        <v>20</v>
      </c>
      <c r="I790">
        <v>829.99</v>
      </c>
      <c r="J790" t="s">
        <v>683</v>
      </c>
      <c r="K790">
        <v>22</v>
      </c>
    </row>
    <row r="791" spans="1:11" x14ac:dyDescent="0.35">
      <c r="A791" t="s">
        <v>1422</v>
      </c>
      <c r="B791" t="s">
        <v>406</v>
      </c>
      <c r="C791" t="s">
        <v>565</v>
      </c>
      <c r="D791" t="s">
        <v>631</v>
      </c>
      <c r="E791" s="1">
        <v>45426</v>
      </c>
      <c r="F791" s="1">
        <v>45431</v>
      </c>
      <c r="G791" s="1">
        <v>45443</v>
      </c>
      <c r="H791" t="s">
        <v>11</v>
      </c>
      <c r="I791">
        <v>829.93</v>
      </c>
      <c r="J791" t="s">
        <v>683</v>
      </c>
      <c r="K791">
        <v>12</v>
      </c>
    </row>
    <row r="792" spans="1:11" x14ac:dyDescent="0.35">
      <c r="A792" t="s">
        <v>2299</v>
      </c>
      <c r="B792" t="s">
        <v>416</v>
      </c>
      <c r="C792" t="s">
        <v>549</v>
      </c>
      <c r="D792" t="s">
        <v>649</v>
      </c>
      <c r="E792" s="1">
        <v>45607</v>
      </c>
      <c r="F792" s="1">
        <v>45612</v>
      </c>
      <c r="G792" s="1">
        <v>45642</v>
      </c>
      <c r="H792" t="s">
        <v>13</v>
      </c>
      <c r="I792">
        <v>829.61</v>
      </c>
      <c r="J792" t="s">
        <v>687</v>
      </c>
      <c r="K792">
        <v>30</v>
      </c>
    </row>
    <row r="793" spans="1:11" x14ac:dyDescent="0.35">
      <c r="A793" t="s">
        <v>849</v>
      </c>
      <c r="B793" t="s">
        <v>429</v>
      </c>
      <c r="C793" t="s">
        <v>537</v>
      </c>
      <c r="D793" t="s">
        <v>658</v>
      </c>
      <c r="E793" s="1">
        <v>45240</v>
      </c>
      <c r="F793" s="1">
        <v>45242</v>
      </c>
      <c r="G793" s="1">
        <v>45256</v>
      </c>
      <c r="H793" t="s">
        <v>13</v>
      </c>
      <c r="I793">
        <v>829.56</v>
      </c>
      <c r="J793" t="s">
        <v>687</v>
      </c>
      <c r="K793">
        <v>14</v>
      </c>
    </row>
    <row r="794" spans="1:11" x14ac:dyDescent="0.35">
      <c r="A794" t="s">
        <v>990</v>
      </c>
      <c r="B794" t="s">
        <v>258</v>
      </c>
      <c r="C794" t="s">
        <v>524</v>
      </c>
      <c r="D794" t="s">
        <v>631</v>
      </c>
      <c r="E794" s="1">
        <v>45432</v>
      </c>
      <c r="F794" s="1">
        <v>45433</v>
      </c>
      <c r="G794" s="1">
        <v>45455</v>
      </c>
      <c r="H794" t="s">
        <v>8</v>
      </c>
      <c r="I794">
        <v>827.76</v>
      </c>
      <c r="J794" t="s">
        <v>683</v>
      </c>
      <c r="K794">
        <v>22</v>
      </c>
    </row>
    <row r="795" spans="1:11" x14ac:dyDescent="0.35">
      <c r="A795" t="s">
        <v>936</v>
      </c>
      <c r="B795" t="s">
        <v>126</v>
      </c>
      <c r="C795" t="s">
        <v>593</v>
      </c>
      <c r="D795" t="s">
        <v>649</v>
      </c>
      <c r="E795" s="1">
        <v>45305</v>
      </c>
      <c r="F795" s="1">
        <v>45308</v>
      </c>
      <c r="G795" s="1">
        <v>45336</v>
      </c>
      <c r="H795" t="s">
        <v>8</v>
      </c>
      <c r="I795">
        <v>827.39</v>
      </c>
      <c r="J795" t="s">
        <v>687</v>
      </c>
      <c r="K795">
        <v>28</v>
      </c>
    </row>
    <row r="796" spans="1:11" x14ac:dyDescent="0.35">
      <c r="A796" t="s">
        <v>1822</v>
      </c>
      <c r="B796" t="s">
        <v>237</v>
      </c>
      <c r="C796" t="s">
        <v>575</v>
      </c>
      <c r="D796" t="s">
        <v>631</v>
      </c>
      <c r="E796" s="1">
        <v>45655</v>
      </c>
      <c r="F796" s="1">
        <v>45657</v>
      </c>
      <c r="G796" s="1">
        <v>45664</v>
      </c>
      <c r="H796" t="s">
        <v>11</v>
      </c>
      <c r="I796">
        <v>825.52</v>
      </c>
      <c r="J796" t="s">
        <v>683</v>
      </c>
      <c r="K796">
        <v>7</v>
      </c>
    </row>
    <row r="797" spans="1:11" x14ac:dyDescent="0.35">
      <c r="A797" t="s">
        <v>2237</v>
      </c>
      <c r="B797" t="s">
        <v>73</v>
      </c>
      <c r="C797" t="s">
        <v>521</v>
      </c>
      <c r="D797" t="s">
        <v>665</v>
      </c>
      <c r="E797" s="1">
        <v>45552</v>
      </c>
      <c r="F797" s="1">
        <v>45556</v>
      </c>
      <c r="G797" s="1">
        <v>45565</v>
      </c>
      <c r="H797" t="s">
        <v>13</v>
      </c>
      <c r="I797">
        <v>824.03</v>
      </c>
      <c r="J797" t="s">
        <v>683</v>
      </c>
      <c r="K797">
        <v>9</v>
      </c>
    </row>
    <row r="798" spans="1:11" x14ac:dyDescent="0.35">
      <c r="A798" t="s">
        <v>1476</v>
      </c>
      <c r="B798" t="s">
        <v>99</v>
      </c>
      <c r="C798" t="s">
        <v>546</v>
      </c>
      <c r="D798" t="s">
        <v>649</v>
      </c>
      <c r="E798" s="1">
        <v>45172</v>
      </c>
      <c r="F798" s="1">
        <v>45176</v>
      </c>
      <c r="G798" s="1">
        <v>45195</v>
      </c>
      <c r="H798" t="s">
        <v>25</v>
      </c>
      <c r="I798">
        <v>821.84</v>
      </c>
      <c r="J798" t="s">
        <v>687</v>
      </c>
      <c r="K798">
        <v>19</v>
      </c>
    </row>
    <row r="799" spans="1:11" x14ac:dyDescent="0.35">
      <c r="A799" t="s">
        <v>1998</v>
      </c>
      <c r="B799" t="s">
        <v>21</v>
      </c>
      <c r="C799" t="s">
        <v>593</v>
      </c>
      <c r="D799" t="s">
        <v>665</v>
      </c>
      <c r="E799" s="1">
        <v>45173</v>
      </c>
      <c r="F799" s="1">
        <v>45176</v>
      </c>
      <c r="G799" s="1">
        <v>45187</v>
      </c>
      <c r="H799" t="s">
        <v>11</v>
      </c>
      <c r="I799">
        <v>821.43</v>
      </c>
      <c r="J799" t="s">
        <v>683</v>
      </c>
      <c r="K799">
        <v>11</v>
      </c>
    </row>
    <row r="800" spans="1:11" x14ac:dyDescent="0.35">
      <c r="A800" t="s">
        <v>1812</v>
      </c>
      <c r="B800" t="s">
        <v>329</v>
      </c>
      <c r="C800" t="s">
        <v>563</v>
      </c>
      <c r="D800" t="s">
        <v>658</v>
      </c>
      <c r="E800" s="1">
        <v>45299</v>
      </c>
      <c r="F800" s="1">
        <v>45304</v>
      </c>
      <c r="G800" s="1">
        <v>45334</v>
      </c>
      <c r="H800" t="s">
        <v>13</v>
      </c>
      <c r="I800">
        <v>820.55</v>
      </c>
      <c r="J800" t="s">
        <v>683</v>
      </c>
      <c r="K800">
        <v>30</v>
      </c>
    </row>
    <row r="801" spans="1:11" x14ac:dyDescent="0.35">
      <c r="A801" t="s">
        <v>2446</v>
      </c>
      <c r="B801" t="s">
        <v>495</v>
      </c>
      <c r="C801" t="s">
        <v>605</v>
      </c>
      <c r="D801" t="s">
        <v>658</v>
      </c>
      <c r="E801" s="1">
        <v>45620</v>
      </c>
      <c r="F801" s="1">
        <v>45621</v>
      </c>
      <c r="G801" s="1">
        <v>45626</v>
      </c>
      <c r="H801" t="s">
        <v>13</v>
      </c>
      <c r="I801">
        <v>820.51</v>
      </c>
      <c r="J801" t="s">
        <v>683</v>
      </c>
      <c r="K801">
        <v>5</v>
      </c>
    </row>
    <row r="802" spans="1:11" x14ac:dyDescent="0.35">
      <c r="A802" t="s">
        <v>2382</v>
      </c>
      <c r="B802" t="s">
        <v>145</v>
      </c>
      <c r="C802" t="s">
        <v>561</v>
      </c>
      <c r="D802" t="s">
        <v>665</v>
      </c>
      <c r="E802" s="1">
        <v>45345</v>
      </c>
      <c r="F802" s="1">
        <v>45350</v>
      </c>
      <c r="G802" s="1">
        <v>45369</v>
      </c>
      <c r="H802" t="s">
        <v>8</v>
      </c>
      <c r="I802">
        <v>820.35</v>
      </c>
      <c r="J802" t="s">
        <v>683</v>
      </c>
      <c r="K802">
        <v>19</v>
      </c>
    </row>
    <row r="803" spans="1:11" x14ac:dyDescent="0.35">
      <c r="A803" t="s">
        <v>2533</v>
      </c>
      <c r="B803" t="s">
        <v>364</v>
      </c>
      <c r="C803" t="s">
        <v>567</v>
      </c>
      <c r="D803" t="s">
        <v>665</v>
      </c>
      <c r="E803" s="1">
        <v>45340</v>
      </c>
      <c r="F803" s="1">
        <v>45342</v>
      </c>
      <c r="G803" s="1"/>
      <c r="H803" t="s">
        <v>11</v>
      </c>
      <c r="I803">
        <v>819.85</v>
      </c>
      <c r="J803" t="s">
        <v>689</v>
      </c>
    </row>
    <row r="804" spans="1:11" x14ac:dyDescent="0.35">
      <c r="A804" t="s">
        <v>1518</v>
      </c>
      <c r="B804" t="s">
        <v>298</v>
      </c>
      <c r="C804" t="s">
        <v>561</v>
      </c>
      <c r="D804" t="s">
        <v>631</v>
      </c>
      <c r="E804" s="1">
        <v>45501</v>
      </c>
      <c r="F804" s="1">
        <v>45502</v>
      </c>
      <c r="G804" s="1">
        <v>45523</v>
      </c>
      <c r="H804" t="s">
        <v>11</v>
      </c>
      <c r="I804">
        <v>819.82</v>
      </c>
      <c r="J804" t="s">
        <v>683</v>
      </c>
      <c r="K804">
        <v>21</v>
      </c>
    </row>
    <row r="805" spans="1:11" x14ac:dyDescent="0.35">
      <c r="A805" t="s">
        <v>1042</v>
      </c>
      <c r="B805" t="s">
        <v>455</v>
      </c>
      <c r="C805" t="s">
        <v>579</v>
      </c>
      <c r="D805" t="s">
        <v>658</v>
      </c>
      <c r="E805" s="1">
        <v>45215</v>
      </c>
      <c r="F805" s="1">
        <v>45216</v>
      </c>
      <c r="G805" s="1">
        <v>45230</v>
      </c>
      <c r="H805" t="s">
        <v>13</v>
      </c>
      <c r="I805">
        <v>817.35</v>
      </c>
      <c r="J805" t="s">
        <v>683</v>
      </c>
      <c r="K805">
        <v>14</v>
      </c>
    </row>
    <row r="806" spans="1:11" x14ac:dyDescent="0.35">
      <c r="A806" t="s">
        <v>1029</v>
      </c>
      <c r="B806" t="s">
        <v>440</v>
      </c>
      <c r="C806" t="s">
        <v>585</v>
      </c>
      <c r="D806" t="s">
        <v>658</v>
      </c>
      <c r="E806" s="1">
        <v>45618</v>
      </c>
      <c r="F806" s="1">
        <v>45623</v>
      </c>
      <c r="G806" s="1">
        <v>45628</v>
      </c>
      <c r="H806" t="s">
        <v>20</v>
      </c>
      <c r="I806">
        <v>813.75</v>
      </c>
      <c r="J806" t="s">
        <v>683</v>
      </c>
      <c r="K806">
        <v>5</v>
      </c>
    </row>
    <row r="807" spans="1:11" x14ac:dyDescent="0.35">
      <c r="A807" t="s">
        <v>1068</v>
      </c>
      <c r="B807" t="s">
        <v>135</v>
      </c>
      <c r="C807" t="s">
        <v>540</v>
      </c>
      <c r="D807" t="s">
        <v>631</v>
      </c>
      <c r="E807" s="1">
        <v>45386</v>
      </c>
      <c r="F807" s="1">
        <v>45388</v>
      </c>
      <c r="G807" s="1">
        <v>45416</v>
      </c>
      <c r="H807" t="s">
        <v>8</v>
      </c>
      <c r="I807">
        <v>813.71</v>
      </c>
      <c r="J807" t="s">
        <v>683</v>
      </c>
      <c r="K807">
        <v>28</v>
      </c>
    </row>
    <row r="808" spans="1:11" x14ac:dyDescent="0.35">
      <c r="A808" t="s">
        <v>2450</v>
      </c>
      <c r="B808" t="s">
        <v>170</v>
      </c>
      <c r="C808" t="s">
        <v>601</v>
      </c>
      <c r="D808" t="s">
        <v>649</v>
      </c>
      <c r="E808" s="1">
        <v>45113</v>
      </c>
      <c r="F808" s="1">
        <v>45117</v>
      </c>
      <c r="G808" s="1">
        <v>45129</v>
      </c>
      <c r="H808" t="s">
        <v>11</v>
      </c>
      <c r="I808">
        <v>813.19</v>
      </c>
      <c r="J808" t="s">
        <v>683</v>
      </c>
      <c r="K808">
        <v>12</v>
      </c>
    </row>
    <row r="809" spans="1:11" x14ac:dyDescent="0.35">
      <c r="A809" t="s">
        <v>2059</v>
      </c>
      <c r="B809" t="s">
        <v>237</v>
      </c>
      <c r="C809" t="s">
        <v>575</v>
      </c>
      <c r="D809" t="s">
        <v>658</v>
      </c>
      <c r="E809" s="1">
        <v>45325</v>
      </c>
      <c r="F809" s="1">
        <v>45327</v>
      </c>
      <c r="G809" s="1"/>
      <c r="H809" t="s">
        <v>11</v>
      </c>
      <c r="I809">
        <v>809.68</v>
      </c>
      <c r="J809" t="s">
        <v>689</v>
      </c>
    </row>
    <row r="810" spans="1:11" x14ac:dyDescent="0.35">
      <c r="A810" t="s">
        <v>1558</v>
      </c>
      <c r="B810" t="s">
        <v>394</v>
      </c>
      <c r="C810" t="s">
        <v>549</v>
      </c>
      <c r="D810" t="s">
        <v>665</v>
      </c>
      <c r="E810" s="1">
        <v>45475</v>
      </c>
      <c r="F810" s="1">
        <v>45479</v>
      </c>
      <c r="G810" s="1">
        <v>45501</v>
      </c>
      <c r="H810" t="s">
        <v>8</v>
      </c>
      <c r="I810">
        <v>808.77</v>
      </c>
      <c r="J810" t="s">
        <v>683</v>
      </c>
      <c r="K810">
        <v>22</v>
      </c>
    </row>
    <row r="811" spans="1:11" x14ac:dyDescent="0.35">
      <c r="A811" t="s">
        <v>1688</v>
      </c>
      <c r="B811" t="s">
        <v>106</v>
      </c>
      <c r="C811" t="s">
        <v>546</v>
      </c>
      <c r="D811" t="s">
        <v>649</v>
      </c>
      <c r="E811" s="1">
        <v>45124</v>
      </c>
      <c r="F811" s="1">
        <v>45129</v>
      </c>
      <c r="G811" s="1">
        <v>45148</v>
      </c>
      <c r="H811" t="s">
        <v>11</v>
      </c>
      <c r="I811">
        <v>807.74</v>
      </c>
      <c r="J811" t="s">
        <v>683</v>
      </c>
      <c r="K811">
        <v>19</v>
      </c>
    </row>
    <row r="812" spans="1:11" x14ac:dyDescent="0.35">
      <c r="A812" t="s">
        <v>761</v>
      </c>
      <c r="B812" t="s">
        <v>329</v>
      </c>
      <c r="C812" t="s">
        <v>549</v>
      </c>
      <c r="D812" t="s">
        <v>665</v>
      </c>
      <c r="E812" s="1">
        <v>45636</v>
      </c>
      <c r="F812" s="1">
        <v>45640</v>
      </c>
      <c r="G812" s="1">
        <v>45669</v>
      </c>
      <c r="H812" t="s">
        <v>13</v>
      </c>
      <c r="I812">
        <v>806.98</v>
      </c>
      <c r="J812" t="s">
        <v>683</v>
      </c>
      <c r="K812">
        <v>29</v>
      </c>
    </row>
    <row r="813" spans="1:11" x14ac:dyDescent="0.35">
      <c r="A813" t="s">
        <v>954</v>
      </c>
      <c r="B813" t="s">
        <v>425</v>
      </c>
      <c r="C813" t="s">
        <v>589</v>
      </c>
      <c r="D813" t="s">
        <v>658</v>
      </c>
      <c r="E813" s="1">
        <v>45164</v>
      </c>
      <c r="F813" s="1">
        <v>45165</v>
      </c>
      <c r="G813" s="1">
        <v>45181</v>
      </c>
      <c r="H813" t="s">
        <v>25</v>
      </c>
      <c r="I813">
        <v>805.28</v>
      </c>
      <c r="J813" t="s">
        <v>687</v>
      </c>
      <c r="K813">
        <v>16</v>
      </c>
    </row>
    <row r="814" spans="1:11" x14ac:dyDescent="0.35">
      <c r="A814" t="s">
        <v>1808</v>
      </c>
      <c r="B814" t="s">
        <v>387</v>
      </c>
      <c r="C814" t="s">
        <v>611</v>
      </c>
      <c r="D814" t="s">
        <v>658</v>
      </c>
      <c r="E814" s="1">
        <v>44938</v>
      </c>
      <c r="F814" s="1">
        <v>44940</v>
      </c>
      <c r="G814" s="1">
        <v>44954</v>
      </c>
      <c r="H814" t="s">
        <v>11</v>
      </c>
      <c r="I814">
        <v>802.67</v>
      </c>
      <c r="J814" t="s">
        <v>683</v>
      </c>
      <c r="K814">
        <v>14</v>
      </c>
    </row>
    <row r="815" spans="1:11" x14ac:dyDescent="0.35">
      <c r="A815" t="s">
        <v>2182</v>
      </c>
      <c r="B815" t="s">
        <v>100</v>
      </c>
      <c r="C815" t="s">
        <v>607</v>
      </c>
      <c r="D815" t="s">
        <v>649</v>
      </c>
      <c r="E815" s="1">
        <v>45171</v>
      </c>
      <c r="F815" s="1">
        <v>45176</v>
      </c>
      <c r="G815" s="1">
        <v>45200</v>
      </c>
      <c r="H815" t="s">
        <v>20</v>
      </c>
      <c r="I815">
        <v>801.06</v>
      </c>
      <c r="J815" t="s">
        <v>683</v>
      </c>
      <c r="K815">
        <v>24</v>
      </c>
    </row>
    <row r="816" spans="1:11" x14ac:dyDescent="0.35">
      <c r="A816" t="s">
        <v>1655</v>
      </c>
      <c r="B816" t="s">
        <v>511</v>
      </c>
      <c r="C816" t="s">
        <v>555</v>
      </c>
      <c r="D816" t="s">
        <v>649</v>
      </c>
      <c r="E816" s="1">
        <v>45216</v>
      </c>
      <c r="F816" s="1">
        <v>45218</v>
      </c>
      <c r="G816" s="1">
        <v>45227</v>
      </c>
      <c r="H816" t="s">
        <v>11</v>
      </c>
      <c r="I816">
        <v>800.87</v>
      </c>
      <c r="J816" t="s">
        <v>683</v>
      </c>
      <c r="K816">
        <v>9</v>
      </c>
    </row>
    <row r="817" spans="1:11" x14ac:dyDescent="0.35">
      <c r="A817" t="s">
        <v>2009</v>
      </c>
      <c r="B817" t="s">
        <v>430</v>
      </c>
      <c r="C817" t="s">
        <v>534</v>
      </c>
      <c r="D817" t="s">
        <v>658</v>
      </c>
      <c r="E817" s="1">
        <v>45532</v>
      </c>
      <c r="F817" s="1">
        <v>45536</v>
      </c>
      <c r="G817" s="1">
        <v>45560</v>
      </c>
      <c r="H817" t="s">
        <v>20</v>
      </c>
      <c r="I817">
        <v>798.58</v>
      </c>
      <c r="J817" t="s">
        <v>683</v>
      </c>
      <c r="K817">
        <v>24</v>
      </c>
    </row>
    <row r="818" spans="1:11" x14ac:dyDescent="0.35">
      <c r="A818" t="s">
        <v>1170</v>
      </c>
      <c r="B818" t="s">
        <v>359</v>
      </c>
      <c r="C818" t="s">
        <v>540</v>
      </c>
      <c r="D818" t="s">
        <v>649</v>
      </c>
      <c r="E818" s="1">
        <v>45258</v>
      </c>
      <c r="F818" s="1">
        <v>45261</v>
      </c>
      <c r="G818" s="1">
        <v>45278</v>
      </c>
      <c r="H818" t="s">
        <v>25</v>
      </c>
      <c r="I818">
        <v>797.63</v>
      </c>
      <c r="J818" t="s">
        <v>687</v>
      </c>
      <c r="K818">
        <v>17</v>
      </c>
    </row>
    <row r="819" spans="1:11" x14ac:dyDescent="0.35">
      <c r="A819" t="s">
        <v>2505</v>
      </c>
      <c r="B819" t="s">
        <v>496</v>
      </c>
      <c r="C819" t="s">
        <v>534</v>
      </c>
      <c r="D819" t="s">
        <v>658</v>
      </c>
      <c r="E819" s="1">
        <v>45245</v>
      </c>
      <c r="F819" s="1">
        <v>45248</v>
      </c>
      <c r="G819" s="1">
        <v>45275</v>
      </c>
      <c r="H819" t="s">
        <v>13</v>
      </c>
      <c r="I819">
        <v>794.25</v>
      </c>
      <c r="J819" t="s">
        <v>687</v>
      </c>
      <c r="K819">
        <v>27</v>
      </c>
    </row>
    <row r="820" spans="1:11" x14ac:dyDescent="0.35">
      <c r="A820" t="s">
        <v>2116</v>
      </c>
      <c r="B820" t="s">
        <v>203</v>
      </c>
      <c r="C820" t="s">
        <v>555</v>
      </c>
      <c r="D820" t="s">
        <v>658</v>
      </c>
      <c r="E820" s="1">
        <v>45232</v>
      </c>
      <c r="F820" s="1">
        <v>45234</v>
      </c>
      <c r="G820" s="1">
        <v>45250</v>
      </c>
      <c r="H820" t="s">
        <v>25</v>
      </c>
      <c r="I820">
        <v>792.9</v>
      </c>
      <c r="J820" t="s">
        <v>683</v>
      </c>
      <c r="K820">
        <v>16</v>
      </c>
    </row>
    <row r="821" spans="1:11" x14ac:dyDescent="0.35">
      <c r="A821" t="s">
        <v>2514</v>
      </c>
      <c r="B821" t="s">
        <v>231</v>
      </c>
      <c r="C821" t="s">
        <v>589</v>
      </c>
      <c r="D821" t="s">
        <v>649</v>
      </c>
      <c r="E821" s="1">
        <v>45103</v>
      </c>
      <c r="F821" s="1">
        <v>45108</v>
      </c>
      <c r="G821" s="1">
        <v>45117</v>
      </c>
      <c r="H821" t="s">
        <v>8</v>
      </c>
      <c r="I821">
        <v>791.91</v>
      </c>
      <c r="J821" t="s">
        <v>683</v>
      </c>
      <c r="K821">
        <v>9</v>
      </c>
    </row>
    <row r="822" spans="1:11" x14ac:dyDescent="0.35">
      <c r="A822" t="s">
        <v>2352</v>
      </c>
      <c r="B822" t="s">
        <v>445</v>
      </c>
      <c r="C822" t="s">
        <v>579</v>
      </c>
      <c r="D822" t="s">
        <v>658</v>
      </c>
      <c r="E822" s="1">
        <v>45192</v>
      </c>
      <c r="F822" s="1">
        <v>45195</v>
      </c>
      <c r="G822" s="1">
        <v>45199</v>
      </c>
      <c r="H822" t="s">
        <v>20</v>
      </c>
      <c r="I822">
        <v>791.26</v>
      </c>
      <c r="J822" t="s">
        <v>683</v>
      </c>
      <c r="K822">
        <v>4</v>
      </c>
    </row>
    <row r="823" spans="1:11" x14ac:dyDescent="0.35">
      <c r="A823" t="s">
        <v>1937</v>
      </c>
      <c r="B823" t="s">
        <v>189</v>
      </c>
      <c r="C823" t="s">
        <v>609</v>
      </c>
      <c r="D823" t="s">
        <v>658</v>
      </c>
      <c r="E823" s="1">
        <v>45372</v>
      </c>
      <c r="F823" s="1">
        <v>45375</v>
      </c>
      <c r="G823" s="1">
        <v>45402</v>
      </c>
      <c r="H823" t="s">
        <v>8</v>
      </c>
      <c r="I823">
        <v>789.65</v>
      </c>
      <c r="J823" t="s">
        <v>683</v>
      </c>
      <c r="K823">
        <v>27</v>
      </c>
    </row>
    <row r="824" spans="1:11" x14ac:dyDescent="0.35">
      <c r="A824" t="s">
        <v>919</v>
      </c>
      <c r="B824" t="s">
        <v>84</v>
      </c>
      <c r="C824" t="s">
        <v>599</v>
      </c>
      <c r="D824" t="s">
        <v>665</v>
      </c>
      <c r="E824" s="1">
        <v>45652</v>
      </c>
      <c r="F824" s="1">
        <v>45653</v>
      </c>
      <c r="G824" s="1">
        <v>45683</v>
      </c>
      <c r="H824" t="s">
        <v>25</v>
      </c>
      <c r="I824">
        <v>789.45</v>
      </c>
      <c r="J824" t="s">
        <v>683</v>
      </c>
      <c r="K824">
        <v>30</v>
      </c>
    </row>
    <row r="825" spans="1:11" x14ac:dyDescent="0.35">
      <c r="A825" t="s">
        <v>1130</v>
      </c>
      <c r="B825" t="s">
        <v>436</v>
      </c>
      <c r="C825" t="s">
        <v>581</v>
      </c>
      <c r="D825" t="s">
        <v>665</v>
      </c>
      <c r="E825" s="1">
        <v>44967</v>
      </c>
      <c r="F825" s="1">
        <v>44970</v>
      </c>
      <c r="G825" s="1"/>
      <c r="H825" t="s">
        <v>8</v>
      </c>
      <c r="I825">
        <v>787.36</v>
      </c>
      <c r="J825" t="s">
        <v>689</v>
      </c>
    </row>
    <row r="826" spans="1:11" x14ac:dyDescent="0.35">
      <c r="A826" t="s">
        <v>1439</v>
      </c>
      <c r="B826" t="s">
        <v>165</v>
      </c>
      <c r="C826" t="s">
        <v>543</v>
      </c>
      <c r="D826" t="s">
        <v>658</v>
      </c>
      <c r="E826" s="1">
        <v>45423</v>
      </c>
      <c r="F826" s="1">
        <v>45425</v>
      </c>
      <c r="G826" s="1">
        <v>45437</v>
      </c>
      <c r="H826" t="s">
        <v>25</v>
      </c>
      <c r="I826">
        <v>785.34</v>
      </c>
      <c r="J826" t="s">
        <v>687</v>
      </c>
      <c r="K826">
        <v>12</v>
      </c>
    </row>
    <row r="827" spans="1:11" x14ac:dyDescent="0.35">
      <c r="A827" t="s">
        <v>1542</v>
      </c>
      <c r="B827" t="s">
        <v>367</v>
      </c>
      <c r="C827" t="s">
        <v>593</v>
      </c>
      <c r="D827" t="s">
        <v>658</v>
      </c>
      <c r="E827" s="1">
        <v>45212</v>
      </c>
      <c r="F827" s="1">
        <v>45216</v>
      </c>
      <c r="G827" s="1"/>
      <c r="H827" t="s">
        <v>11</v>
      </c>
      <c r="I827">
        <v>783.9</v>
      </c>
      <c r="J827" t="s">
        <v>689</v>
      </c>
    </row>
    <row r="828" spans="1:11" x14ac:dyDescent="0.35">
      <c r="A828" t="s">
        <v>2402</v>
      </c>
      <c r="B828" t="s">
        <v>292</v>
      </c>
      <c r="C828" t="s">
        <v>561</v>
      </c>
      <c r="D828" t="s">
        <v>649</v>
      </c>
      <c r="E828" s="1">
        <v>45295</v>
      </c>
      <c r="F828" s="1">
        <v>45296</v>
      </c>
      <c r="G828" s="1">
        <v>45320</v>
      </c>
      <c r="H828" t="s">
        <v>13</v>
      </c>
      <c r="I828">
        <v>783.68</v>
      </c>
      <c r="J828" t="s">
        <v>683</v>
      </c>
      <c r="K828">
        <v>24</v>
      </c>
    </row>
    <row r="829" spans="1:11" x14ac:dyDescent="0.35">
      <c r="A829" t="s">
        <v>2104</v>
      </c>
      <c r="B829" t="s">
        <v>175</v>
      </c>
      <c r="C829" t="s">
        <v>603</v>
      </c>
      <c r="D829" t="s">
        <v>658</v>
      </c>
      <c r="E829" s="1">
        <v>45011</v>
      </c>
      <c r="F829" s="1">
        <v>45012</v>
      </c>
      <c r="G829" s="1">
        <v>45037</v>
      </c>
      <c r="H829" t="s">
        <v>20</v>
      </c>
      <c r="I829">
        <v>782.43</v>
      </c>
      <c r="J829" t="s">
        <v>683</v>
      </c>
      <c r="K829">
        <v>25</v>
      </c>
    </row>
    <row r="830" spans="1:11" x14ac:dyDescent="0.35">
      <c r="A830" t="s">
        <v>2102</v>
      </c>
      <c r="B830" t="s">
        <v>506</v>
      </c>
      <c r="C830" t="s">
        <v>537</v>
      </c>
      <c r="D830" t="s">
        <v>649</v>
      </c>
      <c r="E830" s="1">
        <v>45317</v>
      </c>
      <c r="F830" s="1">
        <v>45319</v>
      </c>
      <c r="G830" s="1">
        <v>45330</v>
      </c>
      <c r="H830" t="s">
        <v>11</v>
      </c>
      <c r="I830">
        <v>782.02</v>
      </c>
      <c r="J830" t="s">
        <v>683</v>
      </c>
      <c r="K830">
        <v>11</v>
      </c>
    </row>
    <row r="831" spans="1:11" x14ac:dyDescent="0.35">
      <c r="A831" t="s">
        <v>2327</v>
      </c>
      <c r="B831" t="s">
        <v>369</v>
      </c>
      <c r="C831" t="s">
        <v>589</v>
      </c>
      <c r="D831" t="s">
        <v>649</v>
      </c>
      <c r="E831" s="1">
        <v>45034</v>
      </c>
      <c r="F831" s="1">
        <v>45039</v>
      </c>
      <c r="G831" s="1">
        <v>45055</v>
      </c>
      <c r="H831" t="s">
        <v>11</v>
      </c>
      <c r="I831">
        <v>780</v>
      </c>
      <c r="J831" t="s">
        <v>683</v>
      </c>
      <c r="K831">
        <v>16</v>
      </c>
    </row>
    <row r="832" spans="1:11" x14ac:dyDescent="0.35">
      <c r="A832" t="s">
        <v>1553</v>
      </c>
      <c r="B832" t="s">
        <v>262</v>
      </c>
      <c r="C832" t="s">
        <v>534</v>
      </c>
      <c r="D832" t="s">
        <v>649</v>
      </c>
      <c r="E832" s="1">
        <v>45573</v>
      </c>
      <c r="F832" s="1">
        <v>45576</v>
      </c>
      <c r="G832" s="1">
        <v>45591</v>
      </c>
      <c r="H832" t="s">
        <v>20</v>
      </c>
      <c r="I832">
        <v>779.86</v>
      </c>
      <c r="J832" t="s">
        <v>683</v>
      </c>
      <c r="K832">
        <v>15</v>
      </c>
    </row>
    <row r="833" spans="1:11" x14ac:dyDescent="0.35">
      <c r="A833" t="s">
        <v>2120</v>
      </c>
      <c r="B833" t="s">
        <v>210</v>
      </c>
      <c r="C833" t="s">
        <v>609</v>
      </c>
      <c r="D833" t="s">
        <v>649</v>
      </c>
      <c r="E833" s="1">
        <v>45038</v>
      </c>
      <c r="F833" s="1">
        <v>45043</v>
      </c>
      <c r="G833" s="1">
        <v>45057</v>
      </c>
      <c r="H833" t="s">
        <v>20</v>
      </c>
      <c r="I833">
        <v>779.85</v>
      </c>
      <c r="J833" t="s">
        <v>683</v>
      </c>
      <c r="K833">
        <v>14</v>
      </c>
    </row>
    <row r="834" spans="1:11" x14ac:dyDescent="0.35">
      <c r="A834" t="s">
        <v>2557</v>
      </c>
      <c r="B834" t="s">
        <v>506</v>
      </c>
      <c r="C834" t="s">
        <v>573</v>
      </c>
      <c r="D834" t="s">
        <v>658</v>
      </c>
      <c r="E834" s="1">
        <v>45588</v>
      </c>
      <c r="F834" s="1">
        <v>45589</v>
      </c>
      <c r="G834" s="1">
        <v>45612</v>
      </c>
      <c r="H834" t="s">
        <v>11</v>
      </c>
      <c r="I834">
        <v>779.75</v>
      </c>
      <c r="J834" t="s">
        <v>687</v>
      </c>
      <c r="K834">
        <v>23</v>
      </c>
    </row>
    <row r="835" spans="1:11" x14ac:dyDescent="0.35">
      <c r="A835" t="s">
        <v>1067</v>
      </c>
      <c r="B835" t="s">
        <v>239</v>
      </c>
      <c r="C835" t="s">
        <v>611</v>
      </c>
      <c r="D835" t="s">
        <v>649</v>
      </c>
      <c r="E835" s="1">
        <v>45580</v>
      </c>
      <c r="F835" s="1">
        <v>45585</v>
      </c>
      <c r="G835" s="1">
        <v>45605</v>
      </c>
      <c r="H835" t="s">
        <v>20</v>
      </c>
      <c r="I835">
        <v>778.63</v>
      </c>
      <c r="J835" t="s">
        <v>683</v>
      </c>
      <c r="K835">
        <v>20</v>
      </c>
    </row>
    <row r="836" spans="1:11" x14ac:dyDescent="0.35">
      <c r="A836" t="s">
        <v>2109</v>
      </c>
      <c r="B836" t="s">
        <v>205</v>
      </c>
      <c r="C836" t="s">
        <v>557</v>
      </c>
      <c r="D836" t="s">
        <v>665</v>
      </c>
      <c r="E836" s="1">
        <v>45617</v>
      </c>
      <c r="F836" s="1">
        <v>45622</v>
      </c>
      <c r="G836" s="1">
        <v>45652</v>
      </c>
      <c r="H836" t="s">
        <v>11</v>
      </c>
      <c r="I836">
        <v>778.6</v>
      </c>
      <c r="J836" t="s">
        <v>683</v>
      </c>
      <c r="K836">
        <v>30</v>
      </c>
    </row>
    <row r="837" spans="1:11" x14ac:dyDescent="0.35">
      <c r="A837" t="s">
        <v>1358</v>
      </c>
      <c r="B837" t="s">
        <v>485</v>
      </c>
      <c r="C837" t="s">
        <v>577</v>
      </c>
      <c r="D837" t="s">
        <v>658</v>
      </c>
      <c r="E837" s="1">
        <v>45216</v>
      </c>
      <c r="F837" s="1">
        <v>45220</v>
      </c>
      <c r="G837" s="1"/>
      <c r="H837" t="s">
        <v>8</v>
      </c>
      <c r="I837">
        <v>778.45</v>
      </c>
      <c r="J837" t="s">
        <v>689</v>
      </c>
    </row>
    <row r="838" spans="1:11" x14ac:dyDescent="0.35">
      <c r="A838" t="s">
        <v>2612</v>
      </c>
      <c r="B838" t="s">
        <v>267</v>
      </c>
      <c r="C838" t="s">
        <v>557</v>
      </c>
      <c r="D838" t="s">
        <v>649</v>
      </c>
      <c r="E838" s="1">
        <v>45231</v>
      </c>
      <c r="F838" s="1">
        <v>45234</v>
      </c>
      <c r="G838" s="1">
        <v>45246</v>
      </c>
      <c r="H838" t="s">
        <v>25</v>
      </c>
      <c r="I838">
        <v>775.54</v>
      </c>
      <c r="J838" t="s">
        <v>687</v>
      </c>
      <c r="K838">
        <v>12</v>
      </c>
    </row>
    <row r="839" spans="1:11" x14ac:dyDescent="0.35">
      <c r="A839" t="s">
        <v>1238</v>
      </c>
      <c r="B839" t="s">
        <v>483</v>
      </c>
      <c r="C839" t="s">
        <v>565</v>
      </c>
      <c r="D839" t="s">
        <v>658</v>
      </c>
      <c r="E839" s="1">
        <v>45475</v>
      </c>
      <c r="F839" s="1">
        <v>45476</v>
      </c>
      <c r="G839" s="1">
        <v>45487</v>
      </c>
      <c r="H839" t="s">
        <v>11</v>
      </c>
      <c r="I839">
        <v>774.23</v>
      </c>
      <c r="J839" t="s">
        <v>683</v>
      </c>
      <c r="K839">
        <v>11</v>
      </c>
    </row>
    <row r="840" spans="1:11" x14ac:dyDescent="0.35">
      <c r="A840" t="s">
        <v>2349</v>
      </c>
      <c r="B840" t="s">
        <v>111</v>
      </c>
      <c r="C840" t="s">
        <v>605</v>
      </c>
      <c r="D840" t="s">
        <v>658</v>
      </c>
      <c r="E840" s="1">
        <v>44991</v>
      </c>
      <c r="F840" s="1">
        <v>44996</v>
      </c>
      <c r="G840" s="1">
        <v>45000</v>
      </c>
      <c r="H840" t="s">
        <v>8</v>
      </c>
      <c r="I840">
        <v>773.06</v>
      </c>
      <c r="J840" t="s">
        <v>683</v>
      </c>
      <c r="K840">
        <v>4</v>
      </c>
    </row>
    <row r="841" spans="1:11" x14ac:dyDescent="0.35">
      <c r="A841" t="s">
        <v>769</v>
      </c>
      <c r="B841" t="s">
        <v>154</v>
      </c>
      <c r="C841" t="s">
        <v>559</v>
      </c>
      <c r="D841" t="s">
        <v>658</v>
      </c>
      <c r="E841" s="1">
        <v>45431</v>
      </c>
      <c r="F841" s="1">
        <v>45434</v>
      </c>
      <c r="G841" s="1">
        <v>45448</v>
      </c>
      <c r="H841" t="s">
        <v>13</v>
      </c>
      <c r="I841">
        <v>770.58</v>
      </c>
      <c r="J841" t="s">
        <v>687</v>
      </c>
      <c r="K841">
        <v>14</v>
      </c>
    </row>
    <row r="842" spans="1:11" x14ac:dyDescent="0.35">
      <c r="A842" t="s">
        <v>964</v>
      </c>
      <c r="B842" t="s">
        <v>226</v>
      </c>
      <c r="C842" t="s">
        <v>601</v>
      </c>
      <c r="D842" t="s">
        <v>665</v>
      </c>
      <c r="E842" s="1">
        <v>45209</v>
      </c>
      <c r="F842" s="1">
        <v>45212</v>
      </c>
      <c r="G842" s="1">
        <v>45223</v>
      </c>
      <c r="H842" t="s">
        <v>20</v>
      </c>
      <c r="I842">
        <v>769.52</v>
      </c>
      <c r="J842" t="s">
        <v>683</v>
      </c>
      <c r="K842">
        <v>11</v>
      </c>
    </row>
    <row r="843" spans="1:11" x14ac:dyDescent="0.35">
      <c r="A843" t="s">
        <v>1311</v>
      </c>
      <c r="B843" t="s">
        <v>221</v>
      </c>
      <c r="C843" t="s">
        <v>607</v>
      </c>
      <c r="D843" t="s">
        <v>665</v>
      </c>
      <c r="E843" s="1">
        <v>45313</v>
      </c>
      <c r="F843" s="1">
        <v>45318</v>
      </c>
      <c r="G843" s="1">
        <v>45338</v>
      </c>
      <c r="H843" t="s">
        <v>20</v>
      </c>
      <c r="I843">
        <v>769.24</v>
      </c>
      <c r="J843" t="s">
        <v>687</v>
      </c>
      <c r="K843">
        <v>20</v>
      </c>
    </row>
    <row r="844" spans="1:11" x14ac:dyDescent="0.35">
      <c r="A844" t="s">
        <v>852</v>
      </c>
      <c r="B844" t="s">
        <v>93</v>
      </c>
      <c r="C844" t="s">
        <v>577</v>
      </c>
      <c r="D844" t="s">
        <v>649</v>
      </c>
      <c r="E844" s="1">
        <v>45507</v>
      </c>
      <c r="F844" s="1">
        <v>45510</v>
      </c>
      <c r="G844" s="1">
        <v>45528</v>
      </c>
      <c r="H844" t="s">
        <v>20</v>
      </c>
      <c r="I844">
        <v>768.94</v>
      </c>
      <c r="J844" t="s">
        <v>683</v>
      </c>
      <c r="K844">
        <v>18</v>
      </c>
    </row>
    <row r="845" spans="1:11" x14ac:dyDescent="0.35">
      <c r="A845" t="s">
        <v>1135</v>
      </c>
      <c r="B845" t="s">
        <v>117</v>
      </c>
      <c r="C845" t="s">
        <v>575</v>
      </c>
      <c r="D845" t="s">
        <v>658</v>
      </c>
      <c r="E845" s="1">
        <v>45548</v>
      </c>
      <c r="F845" s="1">
        <v>45552</v>
      </c>
      <c r="G845" s="1">
        <v>45563</v>
      </c>
      <c r="H845" t="s">
        <v>8</v>
      </c>
      <c r="I845">
        <v>768.85</v>
      </c>
      <c r="J845" t="s">
        <v>683</v>
      </c>
      <c r="K845">
        <v>11</v>
      </c>
    </row>
    <row r="846" spans="1:11" x14ac:dyDescent="0.35">
      <c r="A846" t="s">
        <v>2048</v>
      </c>
      <c r="B846" t="s">
        <v>454</v>
      </c>
      <c r="C846" t="s">
        <v>599</v>
      </c>
      <c r="D846" t="s">
        <v>649</v>
      </c>
      <c r="E846" s="1">
        <v>45626</v>
      </c>
      <c r="F846" s="1">
        <v>45628</v>
      </c>
      <c r="G846" s="1">
        <v>45649</v>
      </c>
      <c r="H846" t="s">
        <v>20</v>
      </c>
      <c r="I846">
        <v>768.39</v>
      </c>
      <c r="J846" t="s">
        <v>687</v>
      </c>
      <c r="K846">
        <v>21</v>
      </c>
    </row>
    <row r="847" spans="1:11" x14ac:dyDescent="0.35">
      <c r="A847" t="s">
        <v>2424</v>
      </c>
      <c r="B847" t="s">
        <v>227</v>
      </c>
      <c r="C847" t="s">
        <v>603</v>
      </c>
      <c r="D847" t="s">
        <v>665</v>
      </c>
      <c r="E847" s="1">
        <v>45264</v>
      </c>
      <c r="F847" s="1">
        <v>45268</v>
      </c>
      <c r="G847" s="1">
        <v>45296</v>
      </c>
      <c r="H847" t="s">
        <v>8</v>
      </c>
      <c r="I847">
        <v>768.38</v>
      </c>
      <c r="J847" t="s">
        <v>683</v>
      </c>
      <c r="K847">
        <v>28</v>
      </c>
    </row>
    <row r="848" spans="1:11" x14ac:dyDescent="0.35">
      <c r="A848" t="s">
        <v>1687</v>
      </c>
      <c r="B848" t="s">
        <v>33</v>
      </c>
      <c r="C848" t="s">
        <v>611</v>
      </c>
      <c r="D848" t="s">
        <v>665</v>
      </c>
      <c r="E848" s="1">
        <v>45103</v>
      </c>
      <c r="F848" s="1">
        <v>45108</v>
      </c>
      <c r="G848" s="1">
        <v>45112</v>
      </c>
      <c r="H848" t="s">
        <v>8</v>
      </c>
      <c r="I848">
        <v>767.89</v>
      </c>
      <c r="J848" t="s">
        <v>683</v>
      </c>
      <c r="K848">
        <v>4</v>
      </c>
    </row>
    <row r="849" spans="1:11" x14ac:dyDescent="0.35">
      <c r="A849" t="s">
        <v>1509</v>
      </c>
      <c r="B849" t="s">
        <v>253</v>
      </c>
      <c r="C849" t="s">
        <v>540</v>
      </c>
      <c r="D849" t="s">
        <v>658</v>
      </c>
      <c r="E849" s="1">
        <v>45613</v>
      </c>
      <c r="F849" s="1">
        <v>45617</v>
      </c>
      <c r="G849" s="1">
        <v>45647</v>
      </c>
      <c r="H849" t="s">
        <v>8</v>
      </c>
      <c r="I849">
        <v>765.95</v>
      </c>
      <c r="J849" t="s">
        <v>683</v>
      </c>
      <c r="K849">
        <v>30</v>
      </c>
    </row>
    <row r="850" spans="1:11" x14ac:dyDescent="0.35">
      <c r="A850" t="s">
        <v>2555</v>
      </c>
      <c r="B850" t="s">
        <v>103</v>
      </c>
      <c r="C850" t="s">
        <v>583</v>
      </c>
      <c r="D850" t="s">
        <v>658</v>
      </c>
      <c r="E850" s="1">
        <v>44944</v>
      </c>
      <c r="F850" s="1">
        <v>44946</v>
      </c>
      <c r="G850" s="1">
        <v>44975</v>
      </c>
      <c r="H850" t="s">
        <v>20</v>
      </c>
      <c r="I850">
        <v>761.46</v>
      </c>
      <c r="J850" t="s">
        <v>683</v>
      </c>
      <c r="K850">
        <v>29</v>
      </c>
    </row>
    <row r="851" spans="1:11" x14ac:dyDescent="0.35">
      <c r="A851" t="s">
        <v>1103</v>
      </c>
      <c r="B851" t="s">
        <v>432</v>
      </c>
      <c r="C851" t="s">
        <v>557</v>
      </c>
      <c r="D851" t="s">
        <v>658</v>
      </c>
      <c r="E851" s="1">
        <v>45201</v>
      </c>
      <c r="F851" s="1">
        <v>45202</v>
      </c>
      <c r="G851" s="1">
        <v>45222</v>
      </c>
      <c r="H851" t="s">
        <v>11</v>
      </c>
      <c r="I851">
        <v>760.47</v>
      </c>
      <c r="J851" t="s">
        <v>683</v>
      </c>
      <c r="K851">
        <v>20</v>
      </c>
    </row>
    <row r="852" spans="1:11" x14ac:dyDescent="0.35">
      <c r="A852" t="s">
        <v>1244</v>
      </c>
      <c r="B852" t="s">
        <v>326</v>
      </c>
      <c r="C852" t="s">
        <v>575</v>
      </c>
      <c r="D852" t="s">
        <v>658</v>
      </c>
      <c r="E852" s="1">
        <v>45477</v>
      </c>
      <c r="F852" s="1">
        <v>45478</v>
      </c>
      <c r="G852" s="1">
        <v>45483</v>
      </c>
      <c r="H852" t="s">
        <v>20</v>
      </c>
      <c r="I852">
        <v>760.17</v>
      </c>
      <c r="J852" t="s">
        <v>683</v>
      </c>
      <c r="K852">
        <v>5</v>
      </c>
    </row>
    <row r="853" spans="1:11" x14ac:dyDescent="0.35">
      <c r="A853" t="s">
        <v>1087</v>
      </c>
      <c r="B853" t="s">
        <v>429</v>
      </c>
      <c r="C853" t="s">
        <v>593</v>
      </c>
      <c r="D853" t="s">
        <v>658</v>
      </c>
      <c r="E853" s="1">
        <v>45628</v>
      </c>
      <c r="F853" s="1">
        <v>45632</v>
      </c>
      <c r="G853" s="1"/>
      <c r="H853" t="s">
        <v>13</v>
      </c>
      <c r="I853">
        <v>759.14</v>
      </c>
      <c r="J853" t="s">
        <v>689</v>
      </c>
    </row>
    <row r="854" spans="1:11" x14ac:dyDescent="0.35">
      <c r="A854" t="s">
        <v>2623</v>
      </c>
      <c r="B854" t="s">
        <v>55</v>
      </c>
      <c r="C854" t="s">
        <v>585</v>
      </c>
      <c r="D854" t="s">
        <v>649</v>
      </c>
      <c r="E854" s="1">
        <v>45313</v>
      </c>
      <c r="F854" s="1">
        <v>45318</v>
      </c>
      <c r="G854" s="1">
        <v>45336</v>
      </c>
      <c r="H854" t="s">
        <v>11</v>
      </c>
      <c r="I854">
        <v>757.74</v>
      </c>
      <c r="J854" t="s">
        <v>683</v>
      </c>
      <c r="K854">
        <v>18</v>
      </c>
    </row>
    <row r="855" spans="1:11" x14ac:dyDescent="0.35">
      <c r="A855" t="s">
        <v>1835</v>
      </c>
      <c r="B855" t="s">
        <v>510</v>
      </c>
      <c r="C855" t="s">
        <v>605</v>
      </c>
      <c r="D855" t="s">
        <v>665</v>
      </c>
      <c r="E855" s="1">
        <v>45338</v>
      </c>
      <c r="F855" s="1">
        <v>45340</v>
      </c>
      <c r="G855" s="1">
        <v>45357</v>
      </c>
      <c r="H855" t="s">
        <v>11</v>
      </c>
      <c r="I855">
        <v>756.69</v>
      </c>
      <c r="J855" t="s">
        <v>683</v>
      </c>
      <c r="K855">
        <v>17</v>
      </c>
    </row>
    <row r="856" spans="1:11" x14ac:dyDescent="0.35">
      <c r="A856" t="s">
        <v>1895</v>
      </c>
      <c r="B856" t="s">
        <v>345</v>
      </c>
      <c r="C856" t="s">
        <v>577</v>
      </c>
      <c r="D856" t="s">
        <v>649</v>
      </c>
      <c r="E856" s="1">
        <v>45348</v>
      </c>
      <c r="F856" s="1">
        <v>45349</v>
      </c>
      <c r="G856" s="1"/>
      <c r="H856" t="s">
        <v>8</v>
      </c>
      <c r="I856">
        <v>756.5</v>
      </c>
      <c r="J856" t="s">
        <v>689</v>
      </c>
    </row>
    <row r="857" spans="1:11" x14ac:dyDescent="0.35">
      <c r="A857" t="s">
        <v>2016</v>
      </c>
      <c r="B857" t="s">
        <v>196</v>
      </c>
      <c r="C857" t="s">
        <v>581</v>
      </c>
      <c r="D857" t="s">
        <v>665</v>
      </c>
      <c r="E857" s="1">
        <v>44943</v>
      </c>
      <c r="F857" s="1">
        <v>44945</v>
      </c>
      <c r="G857" s="1">
        <v>44974</v>
      </c>
      <c r="H857" t="s">
        <v>13</v>
      </c>
      <c r="I857">
        <v>755.84</v>
      </c>
      <c r="J857" t="s">
        <v>683</v>
      </c>
      <c r="K857">
        <v>29</v>
      </c>
    </row>
    <row r="858" spans="1:11" x14ac:dyDescent="0.35">
      <c r="A858" t="s">
        <v>1095</v>
      </c>
      <c r="B858" t="s">
        <v>74</v>
      </c>
      <c r="C858" t="s">
        <v>561</v>
      </c>
      <c r="D858" t="s">
        <v>665</v>
      </c>
      <c r="E858" s="1">
        <v>45196</v>
      </c>
      <c r="F858" s="1">
        <v>45200</v>
      </c>
      <c r="G858" s="1">
        <v>45211</v>
      </c>
      <c r="H858" t="s">
        <v>8</v>
      </c>
      <c r="I858">
        <v>755.79</v>
      </c>
      <c r="J858" t="s">
        <v>683</v>
      </c>
      <c r="K858">
        <v>11</v>
      </c>
    </row>
    <row r="859" spans="1:11" x14ac:dyDescent="0.35">
      <c r="A859" t="s">
        <v>1272</v>
      </c>
      <c r="B859" t="s">
        <v>334</v>
      </c>
      <c r="C859" t="s">
        <v>531</v>
      </c>
      <c r="D859" t="s">
        <v>649</v>
      </c>
      <c r="E859" s="1">
        <v>45269</v>
      </c>
      <c r="F859" s="1">
        <v>45270</v>
      </c>
      <c r="G859" s="1">
        <v>45276</v>
      </c>
      <c r="H859" t="s">
        <v>11</v>
      </c>
      <c r="I859">
        <v>754.45</v>
      </c>
      <c r="J859" t="s">
        <v>683</v>
      </c>
      <c r="K859">
        <v>6</v>
      </c>
    </row>
    <row r="860" spans="1:11" x14ac:dyDescent="0.35">
      <c r="A860" t="s">
        <v>1241</v>
      </c>
      <c r="B860" t="s">
        <v>362</v>
      </c>
      <c r="C860" t="s">
        <v>577</v>
      </c>
      <c r="D860" t="s">
        <v>665</v>
      </c>
      <c r="E860" s="1">
        <v>45497</v>
      </c>
      <c r="F860" s="1">
        <v>45502</v>
      </c>
      <c r="G860" s="1">
        <v>45514</v>
      </c>
      <c r="H860" t="s">
        <v>25</v>
      </c>
      <c r="I860">
        <v>753.45</v>
      </c>
      <c r="J860" t="s">
        <v>687</v>
      </c>
      <c r="K860">
        <v>12</v>
      </c>
    </row>
    <row r="861" spans="1:11" x14ac:dyDescent="0.35">
      <c r="A861" t="s">
        <v>1002</v>
      </c>
      <c r="B861" t="s">
        <v>75</v>
      </c>
      <c r="C861" t="s">
        <v>569</v>
      </c>
      <c r="D861" t="s">
        <v>649</v>
      </c>
      <c r="E861" s="1">
        <v>45627</v>
      </c>
      <c r="F861" s="1">
        <v>45632</v>
      </c>
      <c r="G861" s="1">
        <v>45648</v>
      </c>
      <c r="H861" t="s">
        <v>8</v>
      </c>
      <c r="I861">
        <v>753.4</v>
      </c>
      <c r="J861" t="s">
        <v>687</v>
      </c>
      <c r="K861">
        <v>16</v>
      </c>
    </row>
    <row r="862" spans="1:11" x14ac:dyDescent="0.35">
      <c r="A862" t="s">
        <v>926</v>
      </c>
      <c r="B862" t="s">
        <v>90</v>
      </c>
      <c r="C862" t="s">
        <v>573</v>
      </c>
      <c r="D862" t="s">
        <v>669</v>
      </c>
      <c r="E862" s="1">
        <v>45373</v>
      </c>
      <c r="F862" s="1">
        <v>45374</v>
      </c>
      <c r="G862" s="1">
        <v>45382</v>
      </c>
      <c r="H862" t="s">
        <v>20</v>
      </c>
      <c r="I862">
        <v>749.77</v>
      </c>
      <c r="J862" t="s">
        <v>683</v>
      </c>
      <c r="K862">
        <v>8</v>
      </c>
    </row>
    <row r="863" spans="1:11" x14ac:dyDescent="0.35">
      <c r="A863" t="s">
        <v>739</v>
      </c>
      <c r="B863" t="s">
        <v>495</v>
      </c>
      <c r="C863" t="s">
        <v>543</v>
      </c>
      <c r="D863" t="s">
        <v>665</v>
      </c>
      <c r="E863" s="1">
        <v>45630</v>
      </c>
      <c r="F863" s="1">
        <v>45633</v>
      </c>
      <c r="G863" s="1">
        <v>45658</v>
      </c>
      <c r="H863" t="s">
        <v>13</v>
      </c>
      <c r="I863">
        <v>748.79</v>
      </c>
      <c r="J863" t="s">
        <v>683</v>
      </c>
      <c r="K863">
        <v>25</v>
      </c>
    </row>
    <row r="864" spans="1:11" x14ac:dyDescent="0.35">
      <c r="A864" t="s">
        <v>2609</v>
      </c>
      <c r="B864" t="s">
        <v>32</v>
      </c>
      <c r="C864" t="s">
        <v>591</v>
      </c>
      <c r="D864" t="s">
        <v>665</v>
      </c>
      <c r="E864" s="1">
        <v>44997</v>
      </c>
      <c r="F864" s="1">
        <v>44998</v>
      </c>
      <c r="G864" s="1"/>
      <c r="H864" t="s">
        <v>25</v>
      </c>
      <c r="I864">
        <v>747.91</v>
      </c>
      <c r="J864" t="s">
        <v>689</v>
      </c>
    </row>
    <row r="865" spans="1:11" x14ac:dyDescent="0.35">
      <c r="A865" t="s">
        <v>1529</v>
      </c>
      <c r="B865" t="s">
        <v>299</v>
      </c>
      <c r="C865" t="s">
        <v>543</v>
      </c>
      <c r="D865" t="s">
        <v>665</v>
      </c>
      <c r="E865" s="1">
        <v>45275</v>
      </c>
      <c r="F865" s="1">
        <v>45280</v>
      </c>
      <c r="G865" s="1">
        <v>45301</v>
      </c>
      <c r="H865" t="s">
        <v>25</v>
      </c>
      <c r="I865">
        <v>747.76</v>
      </c>
      <c r="J865" t="s">
        <v>683</v>
      </c>
      <c r="K865">
        <v>21</v>
      </c>
    </row>
    <row r="866" spans="1:11" x14ac:dyDescent="0.35">
      <c r="A866" t="s">
        <v>2380</v>
      </c>
      <c r="B866" t="s">
        <v>453</v>
      </c>
      <c r="C866" t="s">
        <v>553</v>
      </c>
      <c r="D866" t="s">
        <v>669</v>
      </c>
      <c r="E866" s="1">
        <v>44980</v>
      </c>
      <c r="F866" s="1">
        <v>44985</v>
      </c>
      <c r="G866" s="1">
        <v>45014</v>
      </c>
      <c r="H866" t="s">
        <v>11</v>
      </c>
      <c r="I866">
        <v>747.15</v>
      </c>
      <c r="J866" t="s">
        <v>683</v>
      </c>
      <c r="K866">
        <v>29</v>
      </c>
    </row>
    <row r="867" spans="1:11" x14ac:dyDescent="0.35">
      <c r="A867" t="s">
        <v>827</v>
      </c>
      <c r="B867" t="s">
        <v>181</v>
      </c>
      <c r="C867" t="s">
        <v>605</v>
      </c>
      <c r="D867" t="s">
        <v>669</v>
      </c>
      <c r="E867" s="1">
        <v>45522</v>
      </c>
      <c r="F867" s="1">
        <v>45524</v>
      </c>
      <c r="G867" s="1"/>
      <c r="H867" t="s">
        <v>20</v>
      </c>
      <c r="I867">
        <v>746.84</v>
      </c>
      <c r="J867" t="s">
        <v>689</v>
      </c>
    </row>
    <row r="868" spans="1:11" x14ac:dyDescent="0.35">
      <c r="A868" t="s">
        <v>2347</v>
      </c>
      <c r="B868" t="s">
        <v>342</v>
      </c>
      <c r="C868" t="s">
        <v>555</v>
      </c>
      <c r="D868" t="s">
        <v>649</v>
      </c>
      <c r="E868" s="1">
        <v>45339</v>
      </c>
      <c r="F868" s="1">
        <v>45341</v>
      </c>
      <c r="G868" s="1">
        <v>45362</v>
      </c>
      <c r="H868" t="s">
        <v>25</v>
      </c>
      <c r="I868">
        <v>746.57</v>
      </c>
      <c r="J868" t="s">
        <v>683</v>
      </c>
      <c r="K868">
        <v>21</v>
      </c>
    </row>
    <row r="869" spans="1:11" x14ac:dyDescent="0.35">
      <c r="A869" t="s">
        <v>748</v>
      </c>
      <c r="B869" t="s">
        <v>486</v>
      </c>
      <c r="C869" t="s">
        <v>527</v>
      </c>
      <c r="D869" t="s">
        <v>649</v>
      </c>
      <c r="E869" s="1">
        <v>45072</v>
      </c>
      <c r="F869" s="1">
        <v>45077</v>
      </c>
      <c r="G869" s="1">
        <v>45087</v>
      </c>
      <c r="H869" t="s">
        <v>8</v>
      </c>
      <c r="I869">
        <v>746.48</v>
      </c>
      <c r="J869" t="s">
        <v>683</v>
      </c>
      <c r="K869">
        <v>10</v>
      </c>
    </row>
    <row r="870" spans="1:11" x14ac:dyDescent="0.35">
      <c r="A870" t="s">
        <v>808</v>
      </c>
      <c r="B870" t="s">
        <v>90</v>
      </c>
      <c r="C870" t="s">
        <v>557</v>
      </c>
      <c r="D870" t="s">
        <v>658</v>
      </c>
      <c r="E870" s="1">
        <v>45334</v>
      </c>
      <c r="F870" s="1">
        <v>45339</v>
      </c>
      <c r="G870" s="1">
        <v>45369</v>
      </c>
      <c r="H870" t="s">
        <v>20</v>
      </c>
      <c r="I870">
        <v>745.48</v>
      </c>
      <c r="J870" t="s">
        <v>687</v>
      </c>
      <c r="K870">
        <v>30</v>
      </c>
    </row>
    <row r="871" spans="1:11" x14ac:dyDescent="0.35">
      <c r="A871" t="s">
        <v>1860</v>
      </c>
      <c r="B871" t="s">
        <v>315</v>
      </c>
      <c r="C871" t="s">
        <v>549</v>
      </c>
      <c r="D871" t="s">
        <v>649</v>
      </c>
      <c r="E871" s="1">
        <v>45367</v>
      </c>
      <c r="F871" s="1">
        <v>45369</v>
      </c>
      <c r="G871" s="1">
        <v>45396</v>
      </c>
      <c r="H871" t="s">
        <v>13</v>
      </c>
      <c r="I871">
        <v>745.25</v>
      </c>
      <c r="J871" t="s">
        <v>687</v>
      </c>
      <c r="K871">
        <v>27</v>
      </c>
    </row>
    <row r="872" spans="1:11" x14ac:dyDescent="0.35">
      <c r="A872" t="s">
        <v>2114</v>
      </c>
      <c r="B872" t="s">
        <v>304</v>
      </c>
      <c r="C872" t="s">
        <v>527</v>
      </c>
      <c r="D872" t="s">
        <v>658</v>
      </c>
      <c r="E872" s="1">
        <v>45095</v>
      </c>
      <c r="F872" s="1">
        <v>45096</v>
      </c>
      <c r="G872" s="1">
        <v>45123</v>
      </c>
      <c r="H872" t="s">
        <v>20</v>
      </c>
      <c r="I872">
        <v>744.57</v>
      </c>
      <c r="J872" t="s">
        <v>687</v>
      </c>
      <c r="K872">
        <v>27</v>
      </c>
    </row>
    <row r="873" spans="1:11" x14ac:dyDescent="0.35">
      <c r="A873" t="s">
        <v>1396</v>
      </c>
      <c r="B873" t="s">
        <v>478</v>
      </c>
      <c r="C873" t="s">
        <v>559</v>
      </c>
      <c r="D873" t="s">
        <v>658</v>
      </c>
      <c r="E873" s="1">
        <v>45081</v>
      </c>
      <c r="F873" s="1">
        <v>45082</v>
      </c>
      <c r="G873" s="1">
        <v>45101</v>
      </c>
      <c r="H873" t="s">
        <v>13</v>
      </c>
      <c r="I873">
        <v>743.42</v>
      </c>
      <c r="J873" t="s">
        <v>683</v>
      </c>
      <c r="K873">
        <v>19</v>
      </c>
    </row>
    <row r="874" spans="1:11" x14ac:dyDescent="0.35">
      <c r="A874" t="s">
        <v>1163</v>
      </c>
      <c r="B874" t="s">
        <v>254</v>
      </c>
      <c r="C874" t="s">
        <v>575</v>
      </c>
      <c r="D874" t="s">
        <v>658</v>
      </c>
      <c r="E874" s="1">
        <v>45406</v>
      </c>
      <c r="F874" s="1">
        <v>45409</v>
      </c>
      <c r="G874" s="1">
        <v>45423</v>
      </c>
      <c r="H874" t="s">
        <v>13</v>
      </c>
      <c r="I874">
        <v>742.37</v>
      </c>
      <c r="J874" t="s">
        <v>683</v>
      </c>
      <c r="K874">
        <v>14</v>
      </c>
    </row>
    <row r="875" spans="1:11" x14ac:dyDescent="0.35">
      <c r="A875" t="s">
        <v>870</v>
      </c>
      <c r="B875" t="s">
        <v>107</v>
      </c>
      <c r="C875" t="s">
        <v>537</v>
      </c>
      <c r="D875" t="s">
        <v>658</v>
      </c>
      <c r="E875" s="1">
        <v>45590</v>
      </c>
      <c r="F875" s="1">
        <v>45592</v>
      </c>
      <c r="G875" s="1">
        <v>45596</v>
      </c>
      <c r="H875" t="s">
        <v>20</v>
      </c>
      <c r="I875">
        <v>740.6</v>
      </c>
      <c r="J875" t="s">
        <v>683</v>
      </c>
      <c r="K875">
        <v>4</v>
      </c>
    </row>
    <row r="876" spans="1:11" x14ac:dyDescent="0.35">
      <c r="A876" t="s">
        <v>1185</v>
      </c>
      <c r="B876" t="s">
        <v>413</v>
      </c>
      <c r="C876" t="s">
        <v>599</v>
      </c>
      <c r="D876" t="s">
        <v>649</v>
      </c>
      <c r="E876" s="1">
        <v>45105</v>
      </c>
      <c r="F876" s="1">
        <v>45107</v>
      </c>
      <c r="G876" s="1">
        <v>45123</v>
      </c>
      <c r="H876" t="s">
        <v>8</v>
      </c>
      <c r="I876">
        <v>740.27</v>
      </c>
      <c r="J876" t="s">
        <v>683</v>
      </c>
      <c r="K876">
        <v>16</v>
      </c>
    </row>
    <row r="877" spans="1:11" x14ac:dyDescent="0.35">
      <c r="A877" t="s">
        <v>1111</v>
      </c>
      <c r="B877" t="s">
        <v>312</v>
      </c>
      <c r="C877" t="s">
        <v>521</v>
      </c>
      <c r="D877" t="s">
        <v>665</v>
      </c>
      <c r="E877" s="1">
        <v>45562</v>
      </c>
      <c r="F877" s="1">
        <v>45567</v>
      </c>
      <c r="G877" s="1">
        <v>45596</v>
      </c>
      <c r="H877" t="s">
        <v>11</v>
      </c>
      <c r="I877">
        <v>740.26</v>
      </c>
      <c r="J877" t="s">
        <v>683</v>
      </c>
      <c r="K877">
        <v>29</v>
      </c>
    </row>
    <row r="878" spans="1:11" x14ac:dyDescent="0.35">
      <c r="A878" t="s">
        <v>1026</v>
      </c>
      <c r="B878" t="s">
        <v>91</v>
      </c>
      <c r="C878" t="s">
        <v>565</v>
      </c>
      <c r="D878" t="s">
        <v>665</v>
      </c>
      <c r="E878" s="1">
        <v>45116</v>
      </c>
      <c r="F878" s="1">
        <v>45121</v>
      </c>
      <c r="G878" s="1">
        <v>45149</v>
      </c>
      <c r="H878" t="s">
        <v>13</v>
      </c>
      <c r="I878">
        <v>740.15</v>
      </c>
      <c r="J878" t="s">
        <v>687</v>
      </c>
      <c r="K878">
        <v>28</v>
      </c>
    </row>
    <row r="879" spans="1:11" x14ac:dyDescent="0.35">
      <c r="A879" t="s">
        <v>1395</v>
      </c>
      <c r="B879" t="s">
        <v>253</v>
      </c>
      <c r="C879" t="s">
        <v>546</v>
      </c>
      <c r="D879" t="s">
        <v>669</v>
      </c>
      <c r="E879" s="1">
        <v>45592</v>
      </c>
      <c r="F879" s="1">
        <v>45597</v>
      </c>
      <c r="G879" s="1">
        <v>45604</v>
      </c>
      <c r="H879" t="s">
        <v>8</v>
      </c>
      <c r="I879">
        <v>737.48</v>
      </c>
      <c r="J879" t="s">
        <v>683</v>
      </c>
      <c r="K879">
        <v>7</v>
      </c>
    </row>
    <row r="880" spans="1:11" x14ac:dyDescent="0.35">
      <c r="A880" t="s">
        <v>2085</v>
      </c>
      <c r="B880" t="s">
        <v>142</v>
      </c>
      <c r="C880" t="s">
        <v>607</v>
      </c>
      <c r="D880" t="s">
        <v>658</v>
      </c>
      <c r="E880" s="1">
        <v>45359</v>
      </c>
      <c r="F880" s="1">
        <v>45362</v>
      </c>
      <c r="G880" s="1">
        <v>45369</v>
      </c>
      <c r="H880" t="s">
        <v>8</v>
      </c>
      <c r="I880">
        <v>736.18</v>
      </c>
      <c r="J880" t="s">
        <v>683</v>
      </c>
      <c r="K880">
        <v>7</v>
      </c>
    </row>
    <row r="881" spans="1:11" x14ac:dyDescent="0.35">
      <c r="A881" t="s">
        <v>2470</v>
      </c>
      <c r="B881" t="s">
        <v>459</v>
      </c>
      <c r="C881" t="s">
        <v>534</v>
      </c>
      <c r="D881" t="s">
        <v>669</v>
      </c>
      <c r="E881" s="1">
        <v>45111</v>
      </c>
      <c r="F881" s="1">
        <v>45113</v>
      </c>
      <c r="G881" s="1">
        <v>45125</v>
      </c>
      <c r="H881" t="s">
        <v>25</v>
      </c>
      <c r="I881">
        <v>735.71</v>
      </c>
      <c r="J881" t="s">
        <v>683</v>
      </c>
      <c r="K881">
        <v>12</v>
      </c>
    </row>
    <row r="882" spans="1:11" x14ac:dyDescent="0.35">
      <c r="A882" t="s">
        <v>851</v>
      </c>
      <c r="B882" t="s">
        <v>120</v>
      </c>
      <c r="C882" t="s">
        <v>577</v>
      </c>
      <c r="D882" t="s">
        <v>665</v>
      </c>
      <c r="E882" s="1">
        <v>45008</v>
      </c>
      <c r="F882" s="1">
        <v>45012</v>
      </c>
      <c r="G882" s="1">
        <v>45024</v>
      </c>
      <c r="H882" t="s">
        <v>13</v>
      </c>
      <c r="I882">
        <v>735.59</v>
      </c>
      <c r="J882" t="s">
        <v>683</v>
      </c>
      <c r="K882">
        <v>12</v>
      </c>
    </row>
    <row r="883" spans="1:11" x14ac:dyDescent="0.35">
      <c r="A883" t="s">
        <v>2214</v>
      </c>
      <c r="B883" t="s">
        <v>338</v>
      </c>
      <c r="C883" t="s">
        <v>527</v>
      </c>
      <c r="D883" t="s">
        <v>649</v>
      </c>
      <c r="E883" s="1">
        <v>45316</v>
      </c>
      <c r="F883" s="1">
        <v>45321</v>
      </c>
      <c r="G883" s="1">
        <v>45341</v>
      </c>
      <c r="H883" t="s">
        <v>8</v>
      </c>
      <c r="I883">
        <v>735.1</v>
      </c>
      <c r="J883" t="s">
        <v>683</v>
      </c>
      <c r="K883">
        <v>20</v>
      </c>
    </row>
    <row r="884" spans="1:11" x14ac:dyDescent="0.35">
      <c r="A884" t="s">
        <v>2161</v>
      </c>
      <c r="B884" t="s">
        <v>426</v>
      </c>
      <c r="C884" t="s">
        <v>571</v>
      </c>
      <c r="D884" t="s">
        <v>665</v>
      </c>
      <c r="E884" s="1">
        <v>45030</v>
      </c>
      <c r="F884" s="1">
        <v>45033</v>
      </c>
      <c r="G884" s="1">
        <v>45053</v>
      </c>
      <c r="H884" t="s">
        <v>8</v>
      </c>
      <c r="I884">
        <v>734.86</v>
      </c>
      <c r="J884" t="s">
        <v>683</v>
      </c>
      <c r="K884">
        <v>20</v>
      </c>
    </row>
    <row r="885" spans="1:11" x14ac:dyDescent="0.35">
      <c r="A885" t="s">
        <v>2559</v>
      </c>
      <c r="B885" t="s">
        <v>294</v>
      </c>
      <c r="C885" t="s">
        <v>611</v>
      </c>
      <c r="D885" t="s">
        <v>658</v>
      </c>
      <c r="E885" s="1">
        <v>45340</v>
      </c>
      <c r="F885" s="1">
        <v>45342</v>
      </c>
      <c r="G885" s="1">
        <v>45361</v>
      </c>
      <c r="H885" t="s">
        <v>11</v>
      </c>
      <c r="I885">
        <v>734.29</v>
      </c>
      <c r="J885" t="s">
        <v>683</v>
      </c>
      <c r="K885">
        <v>19</v>
      </c>
    </row>
    <row r="886" spans="1:11" x14ac:dyDescent="0.35">
      <c r="A886" t="s">
        <v>2193</v>
      </c>
      <c r="B886" t="s">
        <v>349</v>
      </c>
      <c r="C886" t="s">
        <v>571</v>
      </c>
      <c r="D886" t="s">
        <v>658</v>
      </c>
      <c r="E886" s="1">
        <v>45400</v>
      </c>
      <c r="F886" s="1">
        <v>45402</v>
      </c>
      <c r="G886" s="1">
        <v>45412</v>
      </c>
      <c r="H886" t="s">
        <v>11</v>
      </c>
      <c r="I886">
        <v>732.77</v>
      </c>
      <c r="J886" t="s">
        <v>683</v>
      </c>
      <c r="K886">
        <v>10</v>
      </c>
    </row>
    <row r="887" spans="1:11" x14ac:dyDescent="0.35">
      <c r="A887" t="s">
        <v>876</v>
      </c>
      <c r="B887" t="s">
        <v>363</v>
      </c>
      <c r="C887" t="s">
        <v>611</v>
      </c>
      <c r="D887" t="s">
        <v>658</v>
      </c>
      <c r="E887" s="1">
        <v>45607</v>
      </c>
      <c r="F887" s="1">
        <v>45611</v>
      </c>
      <c r="G887" s="1">
        <v>45632</v>
      </c>
      <c r="H887" t="s">
        <v>11</v>
      </c>
      <c r="I887">
        <v>731.91</v>
      </c>
      <c r="J887" t="s">
        <v>683</v>
      </c>
      <c r="K887">
        <v>21</v>
      </c>
    </row>
    <row r="888" spans="1:11" x14ac:dyDescent="0.35">
      <c r="A888" t="s">
        <v>1452</v>
      </c>
      <c r="B888" t="s">
        <v>44</v>
      </c>
      <c r="C888" t="s">
        <v>540</v>
      </c>
      <c r="D888" t="s">
        <v>658</v>
      </c>
      <c r="E888" s="1">
        <v>45037</v>
      </c>
      <c r="F888" s="1">
        <v>45039</v>
      </c>
      <c r="G888" s="1">
        <v>45051</v>
      </c>
      <c r="H888" t="s">
        <v>11</v>
      </c>
      <c r="I888">
        <v>730.39</v>
      </c>
      <c r="J888" t="s">
        <v>683</v>
      </c>
      <c r="K888">
        <v>12</v>
      </c>
    </row>
    <row r="889" spans="1:11" x14ac:dyDescent="0.35">
      <c r="A889" t="s">
        <v>907</v>
      </c>
      <c r="B889" t="s">
        <v>272</v>
      </c>
      <c r="C889" t="s">
        <v>563</v>
      </c>
      <c r="D889" t="s">
        <v>658</v>
      </c>
      <c r="E889" s="1">
        <v>44958</v>
      </c>
      <c r="F889" s="1">
        <v>44961</v>
      </c>
      <c r="G889" s="1">
        <v>44975</v>
      </c>
      <c r="H889" t="s">
        <v>11</v>
      </c>
      <c r="I889">
        <v>730.31</v>
      </c>
      <c r="J889" t="s">
        <v>683</v>
      </c>
      <c r="K889">
        <v>14</v>
      </c>
    </row>
    <row r="890" spans="1:11" x14ac:dyDescent="0.35">
      <c r="A890" t="s">
        <v>2619</v>
      </c>
      <c r="B890" t="s">
        <v>320</v>
      </c>
      <c r="C890" t="s">
        <v>537</v>
      </c>
      <c r="D890" t="s">
        <v>665</v>
      </c>
      <c r="E890" s="1">
        <v>45455</v>
      </c>
      <c r="F890" s="1">
        <v>45457</v>
      </c>
      <c r="G890" s="1"/>
      <c r="H890" t="s">
        <v>11</v>
      </c>
      <c r="I890">
        <v>730.25</v>
      </c>
      <c r="J890" t="s">
        <v>689</v>
      </c>
    </row>
    <row r="891" spans="1:11" x14ac:dyDescent="0.35">
      <c r="A891" t="s">
        <v>2530</v>
      </c>
      <c r="B891" t="s">
        <v>350</v>
      </c>
      <c r="C891" t="s">
        <v>593</v>
      </c>
      <c r="D891" t="s">
        <v>658</v>
      </c>
      <c r="E891" s="1">
        <v>45391</v>
      </c>
      <c r="F891" s="1">
        <v>45394</v>
      </c>
      <c r="G891" s="1">
        <v>45413</v>
      </c>
      <c r="H891" t="s">
        <v>20</v>
      </c>
      <c r="I891">
        <v>727.81</v>
      </c>
      <c r="J891" t="s">
        <v>683</v>
      </c>
      <c r="K891">
        <v>19</v>
      </c>
    </row>
    <row r="892" spans="1:11" x14ac:dyDescent="0.35">
      <c r="A892" t="s">
        <v>2646</v>
      </c>
      <c r="B892" t="s">
        <v>106</v>
      </c>
      <c r="C892" t="s">
        <v>546</v>
      </c>
      <c r="D892" t="s">
        <v>658</v>
      </c>
      <c r="E892" s="1">
        <v>45585</v>
      </c>
      <c r="F892" s="1">
        <v>45590</v>
      </c>
      <c r="G892" s="1">
        <v>45609</v>
      </c>
      <c r="H892" t="s">
        <v>11</v>
      </c>
      <c r="I892">
        <v>727.47</v>
      </c>
      <c r="J892" t="s">
        <v>683</v>
      </c>
      <c r="K892">
        <v>19</v>
      </c>
    </row>
    <row r="893" spans="1:11" x14ac:dyDescent="0.35">
      <c r="A893" t="s">
        <v>1607</v>
      </c>
      <c r="B893" t="s">
        <v>216</v>
      </c>
      <c r="C893" t="s">
        <v>595</v>
      </c>
      <c r="D893" t="s">
        <v>665</v>
      </c>
      <c r="E893" s="1">
        <v>45221</v>
      </c>
      <c r="F893" s="1">
        <v>45226</v>
      </c>
      <c r="G893" s="1">
        <v>45230</v>
      </c>
      <c r="H893" t="s">
        <v>20</v>
      </c>
      <c r="I893">
        <v>727.08</v>
      </c>
      <c r="J893" t="s">
        <v>683</v>
      </c>
      <c r="K893">
        <v>4</v>
      </c>
    </row>
    <row r="894" spans="1:11" x14ac:dyDescent="0.35">
      <c r="A894" t="s">
        <v>1713</v>
      </c>
      <c r="B894" t="s">
        <v>213</v>
      </c>
      <c r="C894" t="s">
        <v>589</v>
      </c>
      <c r="D894" t="s">
        <v>649</v>
      </c>
      <c r="E894" s="1">
        <v>45578</v>
      </c>
      <c r="F894" s="1">
        <v>45582</v>
      </c>
      <c r="G894" s="1">
        <v>45610</v>
      </c>
      <c r="H894" t="s">
        <v>8</v>
      </c>
      <c r="I894">
        <v>726.84</v>
      </c>
      <c r="J894" t="s">
        <v>683</v>
      </c>
      <c r="K894">
        <v>28</v>
      </c>
    </row>
    <row r="895" spans="1:11" x14ac:dyDescent="0.35">
      <c r="A895" t="s">
        <v>893</v>
      </c>
      <c r="B895" t="s">
        <v>320</v>
      </c>
      <c r="C895" t="s">
        <v>611</v>
      </c>
      <c r="D895" t="s">
        <v>665</v>
      </c>
      <c r="E895" s="1">
        <v>45070</v>
      </c>
      <c r="F895" s="1">
        <v>45071</v>
      </c>
      <c r="G895" s="1">
        <v>45095</v>
      </c>
      <c r="H895" t="s">
        <v>11</v>
      </c>
      <c r="I895">
        <v>725.64</v>
      </c>
      <c r="J895" t="s">
        <v>683</v>
      </c>
      <c r="K895">
        <v>24</v>
      </c>
    </row>
    <row r="896" spans="1:11" x14ac:dyDescent="0.35">
      <c r="A896" t="s">
        <v>1683</v>
      </c>
      <c r="B896" t="s">
        <v>21</v>
      </c>
      <c r="C896" t="s">
        <v>579</v>
      </c>
      <c r="D896" t="s">
        <v>649</v>
      </c>
      <c r="E896" s="1">
        <v>45378</v>
      </c>
      <c r="F896" s="1">
        <v>45383</v>
      </c>
      <c r="G896" s="1">
        <v>45393</v>
      </c>
      <c r="H896" t="s">
        <v>11</v>
      </c>
      <c r="I896">
        <v>724.43</v>
      </c>
      <c r="J896" t="s">
        <v>683</v>
      </c>
      <c r="K896">
        <v>10</v>
      </c>
    </row>
    <row r="897" spans="1:11" x14ac:dyDescent="0.35">
      <c r="A897" t="s">
        <v>1072</v>
      </c>
      <c r="B897" t="s">
        <v>111</v>
      </c>
      <c r="C897" t="s">
        <v>563</v>
      </c>
      <c r="D897" t="s">
        <v>658</v>
      </c>
      <c r="E897" s="1">
        <v>45133</v>
      </c>
      <c r="F897" s="1">
        <v>45135</v>
      </c>
      <c r="G897" s="1">
        <v>45160</v>
      </c>
      <c r="H897" t="s">
        <v>8</v>
      </c>
      <c r="I897">
        <v>721.38</v>
      </c>
      <c r="J897" t="s">
        <v>683</v>
      </c>
      <c r="K897">
        <v>25</v>
      </c>
    </row>
    <row r="898" spans="1:11" x14ac:dyDescent="0.35">
      <c r="A898" t="s">
        <v>1877</v>
      </c>
      <c r="B898" t="s">
        <v>166</v>
      </c>
      <c r="C898" t="s">
        <v>607</v>
      </c>
      <c r="D898" t="s">
        <v>649</v>
      </c>
      <c r="E898" s="1">
        <v>45490</v>
      </c>
      <c r="F898" s="1">
        <v>45495</v>
      </c>
      <c r="G898" s="1">
        <v>45500</v>
      </c>
      <c r="H898" t="s">
        <v>8</v>
      </c>
      <c r="I898">
        <v>721.04</v>
      </c>
      <c r="J898" t="s">
        <v>683</v>
      </c>
      <c r="K898">
        <v>5</v>
      </c>
    </row>
    <row r="899" spans="1:11" x14ac:dyDescent="0.35">
      <c r="A899" t="s">
        <v>2333</v>
      </c>
      <c r="B899" t="s">
        <v>99</v>
      </c>
      <c r="C899" t="s">
        <v>581</v>
      </c>
      <c r="D899" t="s">
        <v>669</v>
      </c>
      <c r="E899" s="1">
        <v>45235</v>
      </c>
      <c r="F899" s="1">
        <v>45236</v>
      </c>
      <c r="G899" s="1">
        <v>45252</v>
      </c>
      <c r="H899" t="s">
        <v>25</v>
      </c>
      <c r="I899">
        <v>720.81</v>
      </c>
      <c r="J899" t="s">
        <v>683</v>
      </c>
      <c r="K899">
        <v>16</v>
      </c>
    </row>
    <row r="900" spans="1:11" x14ac:dyDescent="0.35">
      <c r="A900" t="s">
        <v>734</v>
      </c>
      <c r="B900" t="s">
        <v>429</v>
      </c>
      <c r="C900" t="s">
        <v>557</v>
      </c>
      <c r="D900" t="s">
        <v>649</v>
      </c>
      <c r="E900" s="1">
        <v>45035</v>
      </c>
      <c r="F900" s="1">
        <v>45036</v>
      </c>
      <c r="G900" s="1">
        <v>45045</v>
      </c>
      <c r="H900" t="s">
        <v>13</v>
      </c>
      <c r="I900">
        <v>720.11</v>
      </c>
      <c r="J900" t="s">
        <v>683</v>
      </c>
      <c r="K900">
        <v>9</v>
      </c>
    </row>
    <row r="901" spans="1:11" x14ac:dyDescent="0.35">
      <c r="A901" t="s">
        <v>1041</v>
      </c>
      <c r="B901" t="s">
        <v>132</v>
      </c>
      <c r="C901" t="s">
        <v>565</v>
      </c>
      <c r="D901" t="s">
        <v>665</v>
      </c>
      <c r="E901" s="1">
        <v>45577</v>
      </c>
      <c r="F901" s="1">
        <v>45582</v>
      </c>
      <c r="G901" s="1">
        <v>45597</v>
      </c>
      <c r="H901" t="s">
        <v>8</v>
      </c>
      <c r="I901">
        <v>719.96</v>
      </c>
      <c r="J901" t="s">
        <v>683</v>
      </c>
      <c r="K901">
        <v>15</v>
      </c>
    </row>
    <row r="902" spans="1:11" x14ac:dyDescent="0.35">
      <c r="A902" t="s">
        <v>2625</v>
      </c>
      <c r="B902" t="s">
        <v>148</v>
      </c>
      <c r="C902" t="s">
        <v>587</v>
      </c>
      <c r="D902" t="s">
        <v>658</v>
      </c>
      <c r="E902" s="1">
        <v>45467</v>
      </c>
      <c r="F902" s="1">
        <v>45472</v>
      </c>
      <c r="G902" s="1"/>
      <c r="H902" t="s">
        <v>8</v>
      </c>
      <c r="I902">
        <v>719.39</v>
      </c>
      <c r="J902" t="s">
        <v>689</v>
      </c>
    </row>
    <row r="903" spans="1:11" x14ac:dyDescent="0.35">
      <c r="A903" t="s">
        <v>721</v>
      </c>
      <c r="B903" t="s">
        <v>371</v>
      </c>
      <c r="C903" t="s">
        <v>561</v>
      </c>
      <c r="D903" t="s">
        <v>669</v>
      </c>
      <c r="E903" s="1">
        <v>44981</v>
      </c>
      <c r="F903" s="1">
        <v>44984</v>
      </c>
      <c r="G903" s="1">
        <v>44998</v>
      </c>
      <c r="H903" t="s">
        <v>25</v>
      </c>
      <c r="I903">
        <v>719.21</v>
      </c>
      <c r="J903" t="s">
        <v>683</v>
      </c>
      <c r="K903">
        <v>14</v>
      </c>
    </row>
    <row r="904" spans="1:11" x14ac:dyDescent="0.35">
      <c r="A904" t="s">
        <v>2288</v>
      </c>
      <c r="B904" t="s">
        <v>469</v>
      </c>
      <c r="C904" t="s">
        <v>573</v>
      </c>
      <c r="D904" t="s">
        <v>665</v>
      </c>
      <c r="E904" s="1">
        <v>45144</v>
      </c>
      <c r="F904" s="1">
        <v>45147</v>
      </c>
      <c r="G904" s="1">
        <v>45165</v>
      </c>
      <c r="H904" t="s">
        <v>8</v>
      </c>
      <c r="I904">
        <v>717.52</v>
      </c>
      <c r="J904" t="s">
        <v>683</v>
      </c>
      <c r="K904">
        <v>18</v>
      </c>
    </row>
    <row r="905" spans="1:11" x14ac:dyDescent="0.35">
      <c r="A905" t="s">
        <v>1492</v>
      </c>
      <c r="B905" t="s">
        <v>472</v>
      </c>
      <c r="C905" t="s">
        <v>569</v>
      </c>
      <c r="D905" t="s">
        <v>669</v>
      </c>
      <c r="E905" s="1">
        <v>45508</v>
      </c>
      <c r="F905" s="1">
        <v>45511</v>
      </c>
      <c r="G905" s="1">
        <v>45535</v>
      </c>
      <c r="H905" t="s">
        <v>13</v>
      </c>
      <c r="I905">
        <v>716.78</v>
      </c>
      <c r="J905" t="s">
        <v>683</v>
      </c>
      <c r="K905">
        <v>24</v>
      </c>
    </row>
    <row r="906" spans="1:11" x14ac:dyDescent="0.35">
      <c r="A906" t="s">
        <v>1841</v>
      </c>
      <c r="B906" t="s">
        <v>304</v>
      </c>
      <c r="C906" t="s">
        <v>569</v>
      </c>
      <c r="D906" t="s">
        <v>658</v>
      </c>
      <c r="E906" s="1">
        <v>45442</v>
      </c>
      <c r="F906" s="1">
        <v>45446</v>
      </c>
      <c r="G906" s="1">
        <v>45475</v>
      </c>
      <c r="H906" t="s">
        <v>20</v>
      </c>
      <c r="I906">
        <v>716.04</v>
      </c>
      <c r="J906" t="s">
        <v>683</v>
      </c>
      <c r="K906">
        <v>29</v>
      </c>
    </row>
    <row r="907" spans="1:11" x14ac:dyDescent="0.35">
      <c r="A907" t="s">
        <v>972</v>
      </c>
      <c r="B907" t="s">
        <v>441</v>
      </c>
      <c r="C907" t="s">
        <v>546</v>
      </c>
      <c r="D907" t="s">
        <v>669</v>
      </c>
      <c r="E907" s="1">
        <v>45614</v>
      </c>
      <c r="F907" s="1">
        <v>45617</v>
      </c>
      <c r="G907" s="1">
        <v>45641</v>
      </c>
      <c r="H907" t="s">
        <v>11</v>
      </c>
      <c r="I907">
        <v>714.91</v>
      </c>
      <c r="J907" t="s">
        <v>683</v>
      </c>
      <c r="K907">
        <v>24</v>
      </c>
    </row>
    <row r="908" spans="1:11" x14ac:dyDescent="0.35">
      <c r="A908" t="s">
        <v>2476</v>
      </c>
      <c r="B908" t="s">
        <v>283</v>
      </c>
      <c r="C908" t="s">
        <v>546</v>
      </c>
      <c r="D908" t="s">
        <v>665</v>
      </c>
      <c r="E908" s="1">
        <v>45014</v>
      </c>
      <c r="F908" s="1">
        <v>45017</v>
      </c>
      <c r="G908" s="1">
        <v>45047</v>
      </c>
      <c r="H908" t="s">
        <v>25</v>
      </c>
      <c r="I908">
        <v>713.44</v>
      </c>
      <c r="J908" t="s">
        <v>687</v>
      </c>
      <c r="K908">
        <v>30</v>
      </c>
    </row>
    <row r="909" spans="1:11" x14ac:dyDescent="0.35">
      <c r="A909" t="s">
        <v>952</v>
      </c>
      <c r="B909" t="s">
        <v>484</v>
      </c>
      <c r="C909" t="s">
        <v>567</v>
      </c>
      <c r="D909" t="s">
        <v>658</v>
      </c>
      <c r="E909" s="1">
        <v>45493</v>
      </c>
      <c r="F909" s="1">
        <v>45497</v>
      </c>
      <c r="G909" s="1">
        <v>45517</v>
      </c>
      <c r="H909" t="s">
        <v>8</v>
      </c>
      <c r="I909">
        <v>711.29</v>
      </c>
      <c r="J909" t="s">
        <v>683</v>
      </c>
      <c r="K909">
        <v>20</v>
      </c>
    </row>
    <row r="910" spans="1:11" x14ac:dyDescent="0.35">
      <c r="A910" t="s">
        <v>1030</v>
      </c>
      <c r="B910" t="s">
        <v>315</v>
      </c>
      <c r="C910" t="s">
        <v>549</v>
      </c>
      <c r="D910" t="s">
        <v>669</v>
      </c>
      <c r="E910" s="1">
        <v>45472</v>
      </c>
      <c r="F910" s="1">
        <v>45473</v>
      </c>
      <c r="G910" s="1">
        <v>45486</v>
      </c>
      <c r="H910" t="s">
        <v>13</v>
      </c>
      <c r="I910">
        <v>710.23</v>
      </c>
      <c r="J910" t="s">
        <v>683</v>
      </c>
      <c r="K910">
        <v>13</v>
      </c>
    </row>
    <row r="911" spans="1:11" x14ac:dyDescent="0.35">
      <c r="A911" t="s">
        <v>2585</v>
      </c>
      <c r="B911" t="s">
        <v>276</v>
      </c>
      <c r="C911" t="s">
        <v>569</v>
      </c>
      <c r="D911" t="s">
        <v>665</v>
      </c>
      <c r="E911" s="1">
        <v>45435</v>
      </c>
      <c r="F911" s="1">
        <v>45439</v>
      </c>
      <c r="G911" s="1">
        <v>45466</v>
      </c>
      <c r="H911" t="s">
        <v>20</v>
      </c>
      <c r="I911">
        <v>709.84</v>
      </c>
      <c r="J911" t="s">
        <v>683</v>
      </c>
      <c r="K911">
        <v>27</v>
      </c>
    </row>
    <row r="912" spans="1:11" x14ac:dyDescent="0.35">
      <c r="A912" t="s">
        <v>1374</v>
      </c>
      <c r="B912" t="s">
        <v>487</v>
      </c>
      <c r="C912" t="s">
        <v>595</v>
      </c>
      <c r="D912" t="s">
        <v>669</v>
      </c>
      <c r="E912" s="1">
        <v>45401</v>
      </c>
      <c r="F912" s="1">
        <v>45404</v>
      </c>
      <c r="G912" s="1">
        <v>45434</v>
      </c>
      <c r="H912" t="s">
        <v>20</v>
      </c>
      <c r="I912">
        <v>708.66</v>
      </c>
      <c r="J912" t="s">
        <v>683</v>
      </c>
      <c r="K912">
        <v>30</v>
      </c>
    </row>
    <row r="913" spans="1:11" x14ac:dyDescent="0.35">
      <c r="A913" t="s">
        <v>1730</v>
      </c>
      <c r="B913" t="s">
        <v>162</v>
      </c>
      <c r="C913" t="s">
        <v>597</v>
      </c>
      <c r="D913" t="s">
        <v>669</v>
      </c>
      <c r="E913" s="1">
        <v>45026</v>
      </c>
      <c r="F913" s="1">
        <v>45028</v>
      </c>
      <c r="G913" s="1">
        <v>45043</v>
      </c>
      <c r="H913" t="s">
        <v>11</v>
      </c>
      <c r="I913">
        <v>706.64</v>
      </c>
      <c r="J913" t="s">
        <v>683</v>
      </c>
      <c r="K913">
        <v>15</v>
      </c>
    </row>
    <row r="914" spans="1:11" x14ac:dyDescent="0.35">
      <c r="A914" t="s">
        <v>2576</v>
      </c>
      <c r="B914" t="s">
        <v>252</v>
      </c>
      <c r="C914" t="s">
        <v>585</v>
      </c>
      <c r="D914" t="s">
        <v>665</v>
      </c>
      <c r="E914" s="1">
        <v>45485</v>
      </c>
      <c r="F914" s="1">
        <v>45486</v>
      </c>
      <c r="G914" s="1">
        <v>45508</v>
      </c>
      <c r="H914" t="s">
        <v>11</v>
      </c>
      <c r="I914">
        <v>701.37</v>
      </c>
      <c r="J914" t="s">
        <v>683</v>
      </c>
      <c r="K914">
        <v>22</v>
      </c>
    </row>
    <row r="915" spans="1:11" x14ac:dyDescent="0.35">
      <c r="A915" t="s">
        <v>715</v>
      </c>
      <c r="B915" t="s">
        <v>334</v>
      </c>
      <c r="C915" t="s">
        <v>534</v>
      </c>
      <c r="D915" t="s">
        <v>665</v>
      </c>
      <c r="E915" s="1">
        <v>45147</v>
      </c>
      <c r="F915" s="1">
        <v>45150</v>
      </c>
      <c r="G915" s="1">
        <v>45169</v>
      </c>
      <c r="H915" t="s">
        <v>11</v>
      </c>
      <c r="I915">
        <v>699.71</v>
      </c>
      <c r="J915" t="s">
        <v>683</v>
      </c>
      <c r="K915">
        <v>19</v>
      </c>
    </row>
    <row r="916" spans="1:11" x14ac:dyDescent="0.35">
      <c r="A916" t="s">
        <v>2113</v>
      </c>
      <c r="B916" t="s">
        <v>197</v>
      </c>
      <c r="C916" t="s">
        <v>575</v>
      </c>
      <c r="D916" t="s">
        <v>665</v>
      </c>
      <c r="E916" s="1">
        <v>45346</v>
      </c>
      <c r="F916" s="1">
        <v>45350</v>
      </c>
      <c r="G916" s="1">
        <v>45372</v>
      </c>
      <c r="H916" t="s">
        <v>13</v>
      </c>
      <c r="I916">
        <v>697.48</v>
      </c>
      <c r="J916" t="s">
        <v>683</v>
      </c>
      <c r="K916">
        <v>22</v>
      </c>
    </row>
    <row r="917" spans="1:11" x14ac:dyDescent="0.35">
      <c r="A917" t="s">
        <v>1001</v>
      </c>
      <c r="B917" t="s">
        <v>391</v>
      </c>
      <c r="C917" t="s">
        <v>534</v>
      </c>
      <c r="D917" t="s">
        <v>658</v>
      </c>
      <c r="E917" s="1">
        <v>45153</v>
      </c>
      <c r="F917" s="1">
        <v>45157</v>
      </c>
      <c r="G917" s="1">
        <v>45181</v>
      </c>
      <c r="H917" t="s">
        <v>11</v>
      </c>
      <c r="I917">
        <v>697.22</v>
      </c>
      <c r="J917" t="s">
        <v>683</v>
      </c>
      <c r="K917">
        <v>24</v>
      </c>
    </row>
    <row r="918" spans="1:11" x14ac:dyDescent="0.35">
      <c r="A918" t="s">
        <v>1463</v>
      </c>
      <c r="B918" t="s">
        <v>315</v>
      </c>
      <c r="C918" t="s">
        <v>555</v>
      </c>
      <c r="D918" t="s">
        <v>665</v>
      </c>
      <c r="E918" s="1">
        <v>45210</v>
      </c>
      <c r="F918" s="1">
        <v>45211</v>
      </c>
      <c r="G918" s="1">
        <v>45215</v>
      </c>
      <c r="H918" t="s">
        <v>13</v>
      </c>
      <c r="I918">
        <v>697.13</v>
      </c>
      <c r="J918" t="s">
        <v>683</v>
      </c>
      <c r="K918">
        <v>4</v>
      </c>
    </row>
    <row r="919" spans="1:11" x14ac:dyDescent="0.35">
      <c r="A919" t="s">
        <v>1788</v>
      </c>
      <c r="B919" t="s">
        <v>362</v>
      </c>
      <c r="C919" t="s">
        <v>583</v>
      </c>
      <c r="D919" t="s">
        <v>669</v>
      </c>
      <c r="E919" s="1">
        <v>45613</v>
      </c>
      <c r="F919" s="1">
        <v>45617</v>
      </c>
      <c r="G919" s="1">
        <v>45628</v>
      </c>
      <c r="H919" t="s">
        <v>25</v>
      </c>
      <c r="I919">
        <v>696.82</v>
      </c>
      <c r="J919" t="s">
        <v>683</v>
      </c>
      <c r="K919">
        <v>11</v>
      </c>
    </row>
    <row r="920" spans="1:11" x14ac:dyDescent="0.35">
      <c r="A920" t="s">
        <v>1579</v>
      </c>
      <c r="B920" t="s">
        <v>488</v>
      </c>
      <c r="C920" t="s">
        <v>573</v>
      </c>
      <c r="D920" t="s">
        <v>669</v>
      </c>
      <c r="E920" s="1">
        <v>45001</v>
      </c>
      <c r="F920" s="1">
        <v>45003</v>
      </c>
      <c r="G920" s="1">
        <v>45031</v>
      </c>
      <c r="H920" t="s">
        <v>25</v>
      </c>
      <c r="I920">
        <v>695.89</v>
      </c>
      <c r="J920" t="s">
        <v>683</v>
      </c>
      <c r="K920">
        <v>28</v>
      </c>
    </row>
    <row r="921" spans="1:11" x14ac:dyDescent="0.35">
      <c r="A921" t="s">
        <v>2381</v>
      </c>
      <c r="B921" t="s">
        <v>127</v>
      </c>
      <c r="C921" t="s">
        <v>521</v>
      </c>
      <c r="D921" t="s">
        <v>669</v>
      </c>
      <c r="E921" s="1">
        <v>45616</v>
      </c>
      <c r="F921" s="1">
        <v>45619</v>
      </c>
      <c r="G921" s="1">
        <v>45627</v>
      </c>
      <c r="H921" t="s">
        <v>11</v>
      </c>
      <c r="I921">
        <v>693.78</v>
      </c>
      <c r="J921" t="s">
        <v>683</v>
      </c>
      <c r="K921">
        <v>8</v>
      </c>
    </row>
    <row r="922" spans="1:11" x14ac:dyDescent="0.35">
      <c r="A922" t="s">
        <v>1653</v>
      </c>
      <c r="B922" t="s">
        <v>485</v>
      </c>
      <c r="C922" t="s">
        <v>563</v>
      </c>
      <c r="D922" t="s">
        <v>658</v>
      </c>
      <c r="E922" s="1">
        <v>44938</v>
      </c>
      <c r="F922" s="1">
        <v>44941</v>
      </c>
      <c r="G922" s="1">
        <v>44958</v>
      </c>
      <c r="H922" t="s">
        <v>8</v>
      </c>
      <c r="I922">
        <v>693.11</v>
      </c>
      <c r="J922" t="s">
        <v>683</v>
      </c>
      <c r="K922">
        <v>17</v>
      </c>
    </row>
    <row r="923" spans="1:11" x14ac:dyDescent="0.35">
      <c r="A923" t="s">
        <v>2473</v>
      </c>
      <c r="B923" t="s">
        <v>447</v>
      </c>
      <c r="C923" t="s">
        <v>603</v>
      </c>
      <c r="D923" t="s">
        <v>669</v>
      </c>
      <c r="E923" s="1">
        <v>45182</v>
      </c>
      <c r="F923" s="1">
        <v>45185</v>
      </c>
      <c r="G923" s="1">
        <v>45199</v>
      </c>
      <c r="H923" t="s">
        <v>11</v>
      </c>
      <c r="I923">
        <v>692.23</v>
      </c>
      <c r="J923" t="s">
        <v>683</v>
      </c>
      <c r="K923">
        <v>14</v>
      </c>
    </row>
    <row r="924" spans="1:11" x14ac:dyDescent="0.35">
      <c r="A924" t="s">
        <v>2223</v>
      </c>
      <c r="B924" t="s">
        <v>242</v>
      </c>
      <c r="C924" t="s">
        <v>609</v>
      </c>
      <c r="D924" t="s">
        <v>665</v>
      </c>
      <c r="E924" s="1">
        <v>45015</v>
      </c>
      <c r="F924" s="1">
        <v>45019</v>
      </c>
      <c r="G924" s="1">
        <v>45038</v>
      </c>
      <c r="H924" t="s">
        <v>11</v>
      </c>
      <c r="I924">
        <v>691.6</v>
      </c>
      <c r="J924" t="s">
        <v>683</v>
      </c>
      <c r="K924">
        <v>19</v>
      </c>
    </row>
    <row r="925" spans="1:11" x14ac:dyDescent="0.35">
      <c r="A925" t="s">
        <v>1183</v>
      </c>
      <c r="B925" t="s">
        <v>281</v>
      </c>
      <c r="C925" t="s">
        <v>537</v>
      </c>
      <c r="D925" t="s">
        <v>665</v>
      </c>
      <c r="E925" s="1">
        <v>45431</v>
      </c>
      <c r="F925" s="1">
        <v>45436</v>
      </c>
      <c r="G925" s="1">
        <v>45461</v>
      </c>
      <c r="H925" t="s">
        <v>11</v>
      </c>
      <c r="I925">
        <v>688.08</v>
      </c>
      <c r="J925" t="s">
        <v>683</v>
      </c>
      <c r="K925">
        <v>25</v>
      </c>
    </row>
    <row r="926" spans="1:11" x14ac:dyDescent="0.35">
      <c r="A926" t="s">
        <v>1514</v>
      </c>
      <c r="B926" t="s">
        <v>424</v>
      </c>
      <c r="C926" t="s">
        <v>534</v>
      </c>
      <c r="D926" t="s">
        <v>669</v>
      </c>
      <c r="E926" s="1">
        <v>45255</v>
      </c>
      <c r="F926" s="1">
        <v>45256</v>
      </c>
      <c r="G926" s="1">
        <v>45278</v>
      </c>
      <c r="H926" t="s">
        <v>11</v>
      </c>
      <c r="I926">
        <v>688.06</v>
      </c>
      <c r="J926" t="s">
        <v>683</v>
      </c>
      <c r="K926">
        <v>22</v>
      </c>
    </row>
    <row r="927" spans="1:11" x14ac:dyDescent="0.35">
      <c r="A927" t="s">
        <v>2083</v>
      </c>
      <c r="B927" t="s">
        <v>420</v>
      </c>
      <c r="C927" t="s">
        <v>573</v>
      </c>
      <c r="D927" t="s">
        <v>667</v>
      </c>
      <c r="E927" s="1">
        <v>44930</v>
      </c>
      <c r="F927" s="1">
        <v>44933</v>
      </c>
      <c r="G927" s="1">
        <v>44946</v>
      </c>
      <c r="H927" t="s">
        <v>20</v>
      </c>
      <c r="I927">
        <v>686.18</v>
      </c>
      <c r="J927" t="s">
        <v>683</v>
      </c>
      <c r="K927">
        <v>13</v>
      </c>
    </row>
    <row r="928" spans="1:11" x14ac:dyDescent="0.35">
      <c r="A928" t="s">
        <v>1775</v>
      </c>
      <c r="B928" t="s">
        <v>437</v>
      </c>
      <c r="C928" t="s">
        <v>599</v>
      </c>
      <c r="D928" t="s">
        <v>658</v>
      </c>
      <c r="E928" s="1">
        <v>45037</v>
      </c>
      <c r="F928" s="1">
        <v>45040</v>
      </c>
      <c r="G928" s="1">
        <v>45043</v>
      </c>
      <c r="H928" t="s">
        <v>20</v>
      </c>
      <c r="I928">
        <v>685.59</v>
      </c>
      <c r="J928" t="s">
        <v>683</v>
      </c>
      <c r="K928">
        <v>3</v>
      </c>
    </row>
    <row r="929" spans="1:11" x14ac:dyDescent="0.35">
      <c r="A929" t="s">
        <v>1131</v>
      </c>
      <c r="B929" t="s">
        <v>141</v>
      </c>
      <c r="C929" t="s">
        <v>591</v>
      </c>
      <c r="D929" t="s">
        <v>658</v>
      </c>
      <c r="E929" s="1">
        <v>45634</v>
      </c>
      <c r="F929" s="1">
        <v>45636</v>
      </c>
      <c r="G929" s="1">
        <v>45664</v>
      </c>
      <c r="H929" t="s">
        <v>8</v>
      </c>
      <c r="I929">
        <v>685.07</v>
      </c>
      <c r="J929" t="s">
        <v>683</v>
      </c>
      <c r="K929">
        <v>28</v>
      </c>
    </row>
    <row r="930" spans="1:11" x14ac:dyDescent="0.35">
      <c r="A930" t="s">
        <v>1094</v>
      </c>
      <c r="B930" t="s">
        <v>380</v>
      </c>
      <c r="C930" t="s">
        <v>561</v>
      </c>
      <c r="D930" t="s">
        <v>669</v>
      </c>
      <c r="E930" s="1">
        <v>45350</v>
      </c>
      <c r="F930" s="1">
        <v>45351</v>
      </c>
      <c r="G930" s="1">
        <v>45373</v>
      </c>
      <c r="H930" t="s">
        <v>8</v>
      </c>
      <c r="I930">
        <v>685.03</v>
      </c>
      <c r="J930" t="s">
        <v>683</v>
      </c>
      <c r="K930">
        <v>22</v>
      </c>
    </row>
    <row r="931" spans="1:11" x14ac:dyDescent="0.35">
      <c r="A931" t="s">
        <v>2392</v>
      </c>
      <c r="B931" t="s">
        <v>177</v>
      </c>
      <c r="C931" t="s">
        <v>609</v>
      </c>
      <c r="D931" t="s">
        <v>658</v>
      </c>
      <c r="E931" s="1">
        <v>44999</v>
      </c>
      <c r="F931" s="1">
        <v>45000</v>
      </c>
      <c r="G931" s="1">
        <v>45013</v>
      </c>
      <c r="H931" t="s">
        <v>11</v>
      </c>
      <c r="I931">
        <v>685.03</v>
      </c>
      <c r="J931" t="s">
        <v>683</v>
      </c>
      <c r="K931">
        <v>13</v>
      </c>
    </row>
    <row r="932" spans="1:11" x14ac:dyDescent="0.35">
      <c r="A932" t="s">
        <v>1190</v>
      </c>
      <c r="B932" t="s">
        <v>476</v>
      </c>
      <c r="C932" t="s">
        <v>557</v>
      </c>
      <c r="D932" t="s">
        <v>667</v>
      </c>
      <c r="E932" s="1">
        <v>45332</v>
      </c>
      <c r="F932" s="1">
        <v>45334</v>
      </c>
      <c r="G932" s="1">
        <v>45364</v>
      </c>
      <c r="H932" t="s">
        <v>20</v>
      </c>
      <c r="I932">
        <v>684.71</v>
      </c>
      <c r="J932" t="s">
        <v>683</v>
      </c>
      <c r="K932">
        <v>30</v>
      </c>
    </row>
    <row r="933" spans="1:11" x14ac:dyDescent="0.35">
      <c r="A933" t="s">
        <v>1281</v>
      </c>
      <c r="B933" t="s">
        <v>203</v>
      </c>
      <c r="C933" t="s">
        <v>565</v>
      </c>
      <c r="D933" t="s">
        <v>665</v>
      </c>
      <c r="E933" s="1">
        <v>45565</v>
      </c>
      <c r="F933" s="1">
        <v>45569</v>
      </c>
      <c r="G933" s="1">
        <v>45578</v>
      </c>
      <c r="H933" t="s">
        <v>25</v>
      </c>
      <c r="I933">
        <v>684.66</v>
      </c>
      <c r="J933" t="s">
        <v>683</v>
      </c>
      <c r="K933">
        <v>9</v>
      </c>
    </row>
    <row r="934" spans="1:11" x14ac:dyDescent="0.35">
      <c r="A934" t="s">
        <v>2077</v>
      </c>
      <c r="B934" t="s">
        <v>22</v>
      </c>
      <c r="C934" t="s">
        <v>595</v>
      </c>
      <c r="D934" t="s">
        <v>669</v>
      </c>
      <c r="E934" s="1">
        <v>45209</v>
      </c>
      <c r="F934" s="1">
        <v>45213</v>
      </c>
      <c r="G934" s="1">
        <v>45217</v>
      </c>
      <c r="H934" t="s">
        <v>8</v>
      </c>
      <c r="I934">
        <v>684.37</v>
      </c>
      <c r="J934" t="s">
        <v>683</v>
      </c>
      <c r="K934">
        <v>4</v>
      </c>
    </row>
    <row r="935" spans="1:11" x14ac:dyDescent="0.35">
      <c r="A935" t="s">
        <v>1783</v>
      </c>
      <c r="B935" t="s">
        <v>236</v>
      </c>
      <c r="C935" t="s">
        <v>534</v>
      </c>
      <c r="D935" t="s">
        <v>658</v>
      </c>
      <c r="E935" s="1">
        <v>45304</v>
      </c>
      <c r="F935" s="1">
        <v>45305</v>
      </c>
      <c r="G935" s="1">
        <v>45324</v>
      </c>
      <c r="H935" t="s">
        <v>11</v>
      </c>
      <c r="I935">
        <v>682.66</v>
      </c>
      <c r="J935" t="s">
        <v>687</v>
      </c>
      <c r="K935">
        <v>19</v>
      </c>
    </row>
    <row r="936" spans="1:11" x14ac:dyDescent="0.35">
      <c r="A936" t="s">
        <v>2095</v>
      </c>
      <c r="B936" t="s">
        <v>314</v>
      </c>
      <c r="C936" t="s">
        <v>581</v>
      </c>
      <c r="D936" t="s">
        <v>658</v>
      </c>
      <c r="E936" s="1">
        <v>45435</v>
      </c>
      <c r="F936" s="1">
        <v>45438</v>
      </c>
      <c r="G936" s="1">
        <v>45445</v>
      </c>
      <c r="H936" t="s">
        <v>8</v>
      </c>
      <c r="I936">
        <v>680.36</v>
      </c>
      <c r="J936" t="s">
        <v>687</v>
      </c>
      <c r="K936">
        <v>7</v>
      </c>
    </row>
    <row r="937" spans="1:11" x14ac:dyDescent="0.35">
      <c r="A937" t="s">
        <v>1931</v>
      </c>
      <c r="B937" t="s">
        <v>115</v>
      </c>
      <c r="C937" t="s">
        <v>585</v>
      </c>
      <c r="D937" t="s">
        <v>667</v>
      </c>
      <c r="E937" s="1">
        <v>45506</v>
      </c>
      <c r="F937" s="1">
        <v>45508</v>
      </c>
      <c r="G937" s="1">
        <v>45527</v>
      </c>
      <c r="H937" t="s">
        <v>20</v>
      </c>
      <c r="I937">
        <v>680.22</v>
      </c>
      <c r="J937" t="s">
        <v>683</v>
      </c>
      <c r="K937">
        <v>19</v>
      </c>
    </row>
    <row r="938" spans="1:11" x14ac:dyDescent="0.35">
      <c r="A938" t="s">
        <v>799</v>
      </c>
      <c r="B938" t="s">
        <v>172</v>
      </c>
      <c r="C938" t="s">
        <v>557</v>
      </c>
      <c r="D938" t="s">
        <v>665</v>
      </c>
      <c r="E938" s="1">
        <v>45612</v>
      </c>
      <c r="F938" s="1">
        <v>45615</v>
      </c>
      <c r="G938" s="1">
        <v>45628</v>
      </c>
      <c r="H938" t="s">
        <v>13</v>
      </c>
      <c r="I938">
        <v>676.34</v>
      </c>
      <c r="J938" t="s">
        <v>683</v>
      </c>
      <c r="K938">
        <v>13</v>
      </c>
    </row>
    <row r="939" spans="1:11" x14ac:dyDescent="0.35">
      <c r="A939" t="s">
        <v>1349</v>
      </c>
      <c r="B939" t="s">
        <v>29</v>
      </c>
      <c r="C939" t="s">
        <v>585</v>
      </c>
      <c r="D939" t="s">
        <v>669</v>
      </c>
      <c r="E939" s="1">
        <v>44949</v>
      </c>
      <c r="F939" s="1">
        <v>44950</v>
      </c>
      <c r="G939" s="1">
        <v>44957</v>
      </c>
      <c r="H939" t="s">
        <v>8</v>
      </c>
      <c r="I939">
        <v>675.92</v>
      </c>
      <c r="J939" t="s">
        <v>683</v>
      </c>
      <c r="K939">
        <v>7</v>
      </c>
    </row>
    <row r="940" spans="1:11" x14ac:dyDescent="0.35">
      <c r="A940" t="s">
        <v>1199</v>
      </c>
      <c r="B940" t="s">
        <v>29</v>
      </c>
      <c r="C940" t="s">
        <v>531</v>
      </c>
      <c r="D940" t="s">
        <v>667</v>
      </c>
      <c r="E940" s="1">
        <v>45013</v>
      </c>
      <c r="F940" s="1">
        <v>45015</v>
      </c>
      <c r="G940" s="1">
        <v>45026</v>
      </c>
      <c r="H940" t="s">
        <v>8</v>
      </c>
      <c r="I940">
        <v>674.73</v>
      </c>
      <c r="J940" t="s">
        <v>683</v>
      </c>
      <c r="K940">
        <v>11</v>
      </c>
    </row>
    <row r="941" spans="1:11" x14ac:dyDescent="0.35">
      <c r="A941" t="s">
        <v>2317</v>
      </c>
      <c r="B941" t="s">
        <v>125</v>
      </c>
      <c r="C941" t="s">
        <v>546</v>
      </c>
      <c r="D941" t="s">
        <v>667</v>
      </c>
      <c r="E941" s="1">
        <v>45080</v>
      </c>
      <c r="F941" s="1">
        <v>45085</v>
      </c>
      <c r="G941" s="1">
        <v>45114</v>
      </c>
      <c r="H941" t="s">
        <v>11</v>
      </c>
      <c r="I941">
        <v>674.62</v>
      </c>
      <c r="J941" t="s">
        <v>683</v>
      </c>
      <c r="K941">
        <v>29</v>
      </c>
    </row>
    <row r="942" spans="1:11" x14ac:dyDescent="0.35">
      <c r="A942" t="s">
        <v>2092</v>
      </c>
      <c r="B942" t="s">
        <v>316</v>
      </c>
      <c r="C942" t="s">
        <v>611</v>
      </c>
      <c r="D942" t="s">
        <v>665</v>
      </c>
      <c r="E942" s="1">
        <v>45180</v>
      </c>
      <c r="F942" s="1">
        <v>45182</v>
      </c>
      <c r="G942" s="1">
        <v>45187</v>
      </c>
      <c r="H942" t="s">
        <v>13</v>
      </c>
      <c r="I942">
        <v>674.1</v>
      </c>
      <c r="J942" t="s">
        <v>683</v>
      </c>
      <c r="K942">
        <v>5</v>
      </c>
    </row>
    <row r="943" spans="1:11" x14ac:dyDescent="0.35">
      <c r="A943" t="s">
        <v>1534</v>
      </c>
      <c r="B943" t="s">
        <v>476</v>
      </c>
      <c r="C943" t="s">
        <v>549</v>
      </c>
      <c r="D943" t="s">
        <v>665</v>
      </c>
      <c r="E943" s="1">
        <v>45052</v>
      </c>
      <c r="F943" s="1">
        <v>45056</v>
      </c>
      <c r="G943" s="1">
        <v>45086</v>
      </c>
      <c r="H943" t="s">
        <v>20</v>
      </c>
      <c r="I943">
        <v>671.59</v>
      </c>
      <c r="J943" t="s">
        <v>683</v>
      </c>
      <c r="K943">
        <v>30</v>
      </c>
    </row>
    <row r="944" spans="1:11" x14ac:dyDescent="0.35">
      <c r="A944" t="s">
        <v>1236</v>
      </c>
      <c r="B944" t="s">
        <v>245</v>
      </c>
      <c r="C944" t="s">
        <v>591</v>
      </c>
      <c r="D944" t="s">
        <v>669</v>
      </c>
      <c r="E944" s="1">
        <v>45159</v>
      </c>
      <c r="F944" s="1">
        <v>45163</v>
      </c>
      <c r="G944" s="1">
        <v>45178</v>
      </c>
      <c r="H944" t="s">
        <v>8</v>
      </c>
      <c r="I944">
        <v>671.19</v>
      </c>
      <c r="J944" t="s">
        <v>683</v>
      </c>
      <c r="K944">
        <v>15</v>
      </c>
    </row>
    <row r="945" spans="1:11" x14ac:dyDescent="0.35">
      <c r="A945" t="s">
        <v>2001</v>
      </c>
      <c r="B945" t="s">
        <v>224</v>
      </c>
      <c r="C945" t="s">
        <v>603</v>
      </c>
      <c r="D945" t="s">
        <v>667</v>
      </c>
      <c r="E945" s="1">
        <v>45425</v>
      </c>
      <c r="F945" s="1">
        <v>45428</v>
      </c>
      <c r="G945" s="1">
        <v>45457</v>
      </c>
      <c r="H945" t="s">
        <v>11</v>
      </c>
      <c r="I945">
        <v>670.09</v>
      </c>
      <c r="J945" t="s">
        <v>683</v>
      </c>
      <c r="K945">
        <v>29</v>
      </c>
    </row>
    <row r="946" spans="1:11" x14ac:dyDescent="0.35">
      <c r="A946" t="s">
        <v>765</v>
      </c>
      <c r="B946" t="s">
        <v>402</v>
      </c>
      <c r="C946" t="s">
        <v>555</v>
      </c>
      <c r="D946" t="s">
        <v>665</v>
      </c>
      <c r="E946" s="1">
        <v>45001</v>
      </c>
      <c r="F946" s="1">
        <v>45005</v>
      </c>
      <c r="G946" s="1">
        <v>45008</v>
      </c>
      <c r="H946" t="s">
        <v>11</v>
      </c>
      <c r="I946">
        <v>669.37</v>
      </c>
      <c r="J946" t="s">
        <v>687</v>
      </c>
      <c r="K946">
        <v>3</v>
      </c>
    </row>
    <row r="947" spans="1:11" x14ac:dyDescent="0.35">
      <c r="A947" t="s">
        <v>1083</v>
      </c>
      <c r="B947" t="s">
        <v>289</v>
      </c>
      <c r="C947" t="s">
        <v>595</v>
      </c>
      <c r="D947" t="s">
        <v>667</v>
      </c>
      <c r="E947" s="1">
        <v>45476</v>
      </c>
      <c r="F947" s="1">
        <v>45478</v>
      </c>
      <c r="G947" s="1">
        <v>45483</v>
      </c>
      <c r="H947" t="s">
        <v>13</v>
      </c>
      <c r="I947">
        <v>668.62</v>
      </c>
      <c r="J947" t="s">
        <v>687</v>
      </c>
      <c r="K947">
        <v>5</v>
      </c>
    </row>
    <row r="948" spans="1:11" x14ac:dyDescent="0.35">
      <c r="A948" t="s">
        <v>1993</v>
      </c>
      <c r="B948" t="s">
        <v>269</v>
      </c>
      <c r="C948" t="s">
        <v>567</v>
      </c>
      <c r="D948" t="s">
        <v>665</v>
      </c>
      <c r="E948" s="1">
        <v>45579</v>
      </c>
      <c r="F948" s="1">
        <v>45581</v>
      </c>
      <c r="G948" s="1">
        <v>45598</v>
      </c>
      <c r="H948" t="s">
        <v>20</v>
      </c>
      <c r="I948">
        <v>668.41</v>
      </c>
      <c r="J948" t="s">
        <v>687</v>
      </c>
      <c r="K948">
        <v>17</v>
      </c>
    </row>
    <row r="949" spans="1:11" x14ac:dyDescent="0.35">
      <c r="A949" t="s">
        <v>2217</v>
      </c>
      <c r="B949" t="s">
        <v>89</v>
      </c>
      <c r="C949" t="s">
        <v>597</v>
      </c>
      <c r="D949" t="s">
        <v>665</v>
      </c>
      <c r="E949" s="1">
        <v>45409</v>
      </c>
      <c r="F949" s="1">
        <v>45411</v>
      </c>
      <c r="G949" s="1"/>
      <c r="H949" t="s">
        <v>11</v>
      </c>
      <c r="I949">
        <v>666.64</v>
      </c>
      <c r="J949" t="s">
        <v>689</v>
      </c>
    </row>
    <row r="950" spans="1:11" x14ac:dyDescent="0.35">
      <c r="A950" t="s">
        <v>2591</v>
      </c>
      <c r="B950" t="s">
        <v>205</v>
      </c>
      <c r="C950" t="s">
        <v>540</v>
      </c>
      <c r="D950" t="s">
        <v>667</v>
      </c>
      <c r="E950" s="1">
        <v>45121</v>
      </c>
      <c r="F950" s="1">
        <v>45126</v>
      </c>
      <c r="G950" s="1">
        <v>45154</v>
      </c>
      <c r="H950" t="s">
        <v>11</v>
      </c>
      <c r="I950">
        <v>666.16</v>
      </c>
      <c r="J950" t="s">
        <v>683</v>
      </c>
      <c r="K950">
        <v>28</v>
      </c>
    </row>
    <row r="951" spans="1:11" x14ac:dyDescent="0.35">
      <c r="A951" t="s">
        <v>2397</v>
      </c>
      <c r="B951" t="s">
        <v>491</v>
      </c>
      <c r="C951" t="s">
        <v>555</v>
      </c>
      <c r="D951" t="s">
        <v>669</v>
      </c>
      <c r="E951" s="1">
        <v>45096</v>
      </c>
      <c r="F951" s="1">
        <v>45100</v>
      </c>
      <c r="G951" s="1"/>
      <c r="H951" t="s">
        <v>11</v>
      </c>
      <c r="I951">
        <v>664.66</v>
      </c>
      <c r="J951" t="s">
        <v>689</v>
      </c>
    </row>
    <row r="952" spans="1:11" x14ac:dyDescent="0.35">
      <c r="A952" t="s">
        <v>1744</v>
      </c>
      <c r="B952" t="s">
        <v>507</v>
      </c>
      <c r="C952" t="s">
        <v>607</v>
      </c>
      <c r="D952" t="s">
        <v>669</v>
      </c>
      <c r="E952" s="1">
        <v>44929</v>
      </c>
      <c r="F952" s="1">
        <v>44930</v>
      </c>
      <c r="G952" s="1">
        <v>44955</v>
      </c>
      <c r="H952" t="s">
        <v>8</v>
      </c>
      <c r="I952">
        <v>663.68</v>
      </c>
      <c r="J952" t="s">
        <v>683</v>
      </c>
      <c r="K952">
        <v>25</v>
      </c>
    </row>
    <row r="953" spans="1:11" x14ac:dyDescent="0.35">
      <c r="A953" t="s">
        <v>1753</v>
      </c>
      <c r="B953" t="s">
        <v>179</v>
      </c>
      <c r="C953" t="s">
        <v>561</v>
      </c>
      <c r="D953" t="s">
        <v>667</v>
      </c>
      <c r="E953" s="1">
        <v>45459</v>
      </c>
      <c r="F953" s="1">
        <v>45461</v>
      </c>
      <c r="G953" s="1">
        <v>45473</v>
      </c>
      <c r="H953" t="s">
        <v>11</v>
      </c>
      <c r="I953">
        <v>663.16</v>
      </c>
      <c r="J953" t="s">
        <v>687</v>
      </c>
      <c r="K953">
        <v>12</v>
      </c>
    </row>
    <row r="954" spans="1:11" x14ac:dyDescent="0.35">
      <c r="A954" t="s">
        <v>1962</v>
      </c>
      <c r="B954" t="s">
        <v>447</v>
      </c>
      <c r="C954" t="s">
        <v>565</v>
      </c>
      <c r="D954" t="s">
        <v>665</v>
      </c>
      <c r="E954" s="1">
        <v>45278</v>
      </c>
      <c r="F954" s="1">
        <v>45279</v>
      </c>
      <c r="G954" s="1">
        <v>45300</v>
      </c>
      <c r="H954" t="s">
        <v>11</v>
      </c>
      <c r="I954">
        <v>663.08</v>
      </c>
      <c r="J954" t="s">
        <v>683</v>
      </c>
      <c r="K954">
        <v>21</v>
      </c>
    </row>
    <row r="955" spans="1:11" x14ac:dyDescent="0.35">
      <c r="A955" t="s">
        <v>949</v>
      </c>
      <c r="B955" t="s">
        <v>262</v>
      </c>
      <c r="C955" t="s">
        <v>534</v>
      </c>
      <c r="D955" t="s">
        <v>667</v>
      </c>
      <c r="E955" s="1">
        <v>45411</v>
      </c>
      <c r="F955" s="1">
        <v>45416</v>
      </c>
      <c r="G955" s="1">
        <v>45426</v>
      </c>
      <c r="H955" t="s">
        <v>20</v>
      </c>
      <c r="I955">
        <v>662.77</v>
      </c>
      <c r="J955" t="s">
        <v>683</v>
      </c>
      <c r="K955">
        <v>10</v>
      </c>
    </row>
    <row r="956" spans="1:11" x14ac:dyDescent="0.35">
      <c r="A956" t="s">
        <v>1832</v>
      </c>
      <c r="B956" t="s">
        <v>406</v>
      </c>
      <c r="C956" t="s">
        <v>577</v>
      </c>
      <c r="D956" t="s">
        <v>665</v>
      </c>
      <c r="E956" s="1">
        <v>45083</v>
      </c>
      <c r="F956" s="1">
        <v>45085</v>
      </c>
      <c r="G956" s="1"/>
      <c r="H956" t="s">
        <v>11</v>
      </c>
      <c r="I956">
        <v>662.49</v>
      </c>
      <c r="J956" t="s">
        <v>689</v>
      </c>
    </row>
    <row r="957" spans="1:11" x14ac:dyDescent="0.35">
      <c r="A957" t="s">
        <v>2680</v>
      </c>
      <c r="B957" t="s">
        <v>133</v>
      </c>
      <c r="C957" t="s">
        <v>601</v>
      </c>
      <c r="D957" t="s">
        <v>669</v>
      </c>
      <c r="E957" s="1">
        <v>44985</v>
      </c>
      <c r="F957" s="1">
        <v>44989</v>
      </c>
      <c r="G957" s="1">
        <v>44996</v>
      </c>
      <c r="H957" t="s">
        <v>8</v>
      </c>
      <c r="I957">
        <v>662.43</v>
      </c>
      <c r="J957" t="s">
        <v>683</v>
      </c>
      <c r="K957">
        <v>7</v>
      </c>
    </row>
    <row r="958" spans="1:11" x14ac:dyDescent="0.35">
      <c r="A958" t="s">
        <v>1900</v>
      </c>
      <c r="B958" t="s">
        <v>191</v>
      </c>
      <c r="C958" t="s">
        <v>534</v>
      </c>
      <c r="D958" t="s">
        <v>665</v>
      </c>
      <c r="E958" s="1">
        <v>45484</v>
      </c>
      <c r="F958" s="1">
        <v>45485</v>
      </c>
      <c r="G958" s="1"/>
      <c r="H958" t="s">
        <v>20</v>
      </c>
      <c r="I958">
        <v>661.93</v>
      </c>
      <c r="J958" t="s">
        <v>689</v>
      </c>
    </row>
    <row r="959" spans="1:11" x14ac:dyDescent="0.35">
      <c r="A959" t="s">
        <v>1869</v>
      </c>
      <c r="B959" t="s">
        <v>405</v>
      </c>
      <c r="C959" t="s">
        <v>573</v>
      </c>
      <c r="D959" t="s">
        <v>667</v>
      </c>
      <c r="E959" s="1">
        <v>45619</v>
      </c>
      <c r="F959" s="1">
        <v>45624</v>
      </c>
      <c r="G959" s="1">
        <v>45627</v>
      </c>
      <c r="H959" t="s">
        <v>13</v>
      </c>
      <c r="I959">
        <v>660.24</v>
      </c>
      <c r="J959" t="s">
        <v>683</v>
      </c>
      <c r="K959">
        <v>3</v>
      </c>
    </row>
    <row r="960" spans="1:11" x14ac:dyDescent="0.35">
      <c r="A960" t="s">
        <v>2312</v>
      </c>
      <c r="B960" t="s">
        <v>326</v>
      </c>
      <c r="C960" t="s">
        <v>587</v>
      </c>
      <c r="D960" t="s">
        <v>667</v>
      </c>
      <c r="E960" s="1">
        <v>45440</v>
      </c>
      <c r="F960" s="1">
        <v>45445</v>
      </c>
      <c r="G960" s="1">
        <v>45461</v>
      </c>
      <c r="H960" t="s">
        <v>20</v>
      </c>
      <c r="I960">
        <v>659.32</v>
      </c>
      <c r="J960" t="s">
        <v>683</v>
      </c>
      <c r="K960">
        <v>16</v>
      </c>
    </row>
    <row r="961" spans="1:11" x14ac:dyDescent="0.35">
      <c r="A961" t="s">
        <v>1397</v>
      </c>
      <c r="B961" t="s">
        <v>457</v>
      </c>
      <c r="C961" t="s">
        <v>589</v>
      </c>
      <c r="D961" t="s">
        <v>667</v>
      </c>
      <c r="E961" s="1">
        <v>45356</v>
      </c>
      <c r="F961" s="1">
        <v>45357</v>
      </c>
      <c r="G961" s="1">
        <v>45382</v>
      </c>
      <c r="H961" t="s">
        <v>11</v>
      </c>
      <c r="I961">
        <v>659.27</v>
      </c>
      <c r="J961" t="s">
        <v>683</v>
      </c>
      <c r="K961">
        <v>25</v>
      </c>
    </row>
    <row r="962" spans="1:11" x14ac:dyDescent="0.35">
      <c r="A962" t="s">
        <v>937</v>
      </c>
      <c r="B962" t="s">
        <v>498</v>
      </c>
      <c r="C962" t="s">
        <v>561</v>
      </c>
      <c r="D962" t="s">
        <v>667</v>
      </c>
      <c r="E962" s="1">
        <v>45104</v>
      </c>
      <c r="F962" s="1">
        <v>45109</v>
      </c>
      <c r="G962" s="1">
        <v>45126</v>
      </c>
      <c r="H962" t="s">
        <v>25</v>
      </c>
      <c r="I962">
        <v>656.05</v>
      </c>
      <c r="J962" t="s">
        <v>687</v>
      </c>
      <c r="K962">
        <v>17</v>
      </c>
    </row>
    <row r="963" spans="1:11" x14ac:dyDescent="0.35">
      <c r="A963" t="s">
        <v>2606</v>
      </c>
      <c r="B963" t="s">
        <v>162</v>
      </c>
      <c r="C963" t="s">
        <v>577</v>
      </c>
      <c r="D963" t="s">
        <v>669</v>
      </c>
      <c r="E963" s="1">
        <v>45566</v>
      </c>
      <c r="F963" s="1">
        <v>45569</v>
      </c>
      <c r="G963" s="1">
        <v>45587</v>
      </c>
      <c r="H963" t="s">
        <v>11</v>
      </c>
      <c r="I963">
        <v>655.97</v>
      </c>
      <c r="J963" t="s">
        <v>683</v>
      </c>
      <c r="K963">
        <v>18</v>
      </c>
    </row>
    <row r="964" spans="1:11" x14ac:dyDescent="0.35">
      <c r="A964" t="s">
        <v>857</v>
      </c>
      <c r="B964" t="s">
        <v>347</v>
      </c>
      <c r="C964" t="s">
        <v>577</v>
      </c>
      <c r="D964" t="s">
        <v>665</v>
      </c>
      <c r="E964" s="1">
        <v>45297</v>
      </c>
      <c r="F964" s="1">
        <v>45299</v>
      </c>
      <c r="G964" s="1">
        <v>45328</v>
      </c>
      <c r="H964" t="s">
        <v>8</v>
      </c>
      <c r="I964">
        <v>653.21</v>
      </c>
      <c r="J964" t="s">
        <v>687</v>
      </c>
      <c r="K964">
        <v>29</v>
      </c>
    </row>
    <row r="965" spans="1:11" x14ac:dyDescent="0.35">
      <c r="A965" t="s">
        <v>2149</v>
      </c>
      <c r="B965" t="s">
        <v>337</v>
      </c>
      <c r="C965" t="s">
        <v>555</v>
      </c>
      <c r="D965" t="s">
        <v>669</v>
      </c>
      <c r="E965" s="1">
        <v>45362</v>
      </c>
      <c r="F965" s="1">
        <v>45365</v>
      </c>
      <c r="G965" s="1">
        <v>45369</v>
      </c>
      <c r="H965" t="s">
        <v>11</v>
      </c>
      <c r="I965">
        <v>652.08000000000004</v>
      </c>
      <c r="J965" t="s">
        <v>683</v>
      </c>
      <c r="K965">
        <v>4</v>
      </c>
    </row>
    <row r="966" spans="1:11" x14ac:dyDescent="0.35">
      <c r="A966" t="s">
        <v>714</v>
      </c>
      <c r="B966" t="s">
        <v>445</v>
      </c>
      <c r="C966" t="s">
        <v>595</v>
      </c>
      <c r="D966" t="s">
        <v>669</v>
      </c>
      <c r="E966" s="1">
        <v>45442</v>
      </c>
      <c r="F966" s="1">
        <v>45445</v>
      </c>
      <c r="G966" s="1">
        <v>45455</v>
      </c>
      <c r="H966" t="s">
        <v>20</v>
      </c>
      <c r="I966">
        <v>651.71</v>
      </c>
      <c r="J966" t="s">
        <v>683</v>
      </c>
      <c r="K966">
        <v>10</v>
      </c>
    </row>
    <row r="967" spans="1:11" x14ac:dyDescent="0.35">
      <c r="A967" t="s">
        <v>2259</v>
      </c>
      <c r="B967" t="s">
        <v>330</v>
      </c>
      <c r="C967" t="s">
        <v>583</v>
      </c>
      <c r="D967" t="s">
        <v>665</v>
      </c>
      <c r="E967" s="1">
        <v>45244</v>
      </c>
      <c r="F967" s="1">
        <v>45245</v>
      </c>
      <c r="G967" s="1">
        <v>45257</v>
      </c>
      <c r="H967" t="s">
        <v>25</v>
      </c>
      <c r="I967">
        <v>651.5</v>
      </c>
      <c r="J967" t="s">
        <v>687</v>
      </c>
      <c r="K967">
        <v>12</v>
      </c>
    </row>
    <row r="968" spans="1:11" x14ac:dyDescent="0.35">
      <c r="A968" t="s">
        <v>1152</v>
      </c>
      <c r="B968" t="s">
        <v>26</v>
      </c>
      <c r="C968" t="s">
        <v>534</v>
      </c>
      <c r="D968" t="s">
        <v>669</v>
      </c>
      <c r="E968" s="1">
        <v>45587</v>
      </c>
      <c r="F968" s="1">
        <v>45591</v>
      </c>
      <c r="G968" s="1">
        <v>45621</v>
      </c>
      <c r="H968" t="s">
        <v>11</v>
      </c>
      <c r="I968">
        <v>651.27</v>
      </c>
      <c r="J968" t="s">
        <v>683</v>
      </c>
      <c r="K968">
        <v>30</v>
      </c>
    </row>
    <row r="969" spans="1:11" x14ac:dyDescent="0.35">
      <c r="A969" t="s">
        <v>960</v>
      </c>
      <c r="B969" t="s">
        <v>418</v>
      </c>
      <c r="C969" t="s">
        <v>527</v>
      </c>
      <c r="D969" t="s">
        <v>667</v>
      </c>
      <c r="E969" s="1">
        <v>45194</v>
      </c>
      <c r="F969" s="1">
        <v>45196</v>
      </c>
      <c r="G969" s="1">
        <v>45205</v>
      </c>
      <c r="H969" t="s">
        <v>13</v>
      </c>
      <c r="I969">
        <v>650.44000000000005</v>
      </c>
      <c r="J969" t="s">
        <v>683</v>
      </c>
      <c r="K969">
        <v>9</v>
      </c>
    </row>
    <row r="970" spans="1:11" x14ac:dyDescent="0.35">
      <c r="A970" t="s">
        <v>735</v>
      </c>
      <c r="B970" t="s">
        <v>458</v>
      </c>
      <c r="C970" t="s">
        <v>589</v>
      </c>
      <c r="D970" t="s">
        <v>667</v>
      </c>
      <c r="E970" s="1">
        <v>45002</v>
      </c>
      <c r="F970" s="1">
        <v>45003</v>
      </c>
      <c r="G970" s="1"/>
      <c r="H970" t="s">
        <v>11</v>
      </c>
      <c r="I970">
        <v>650.13</v>
      </c>
      <c r="J970" t="s">
        <v>689</v>
      </c>
    </row>
    <row r="971" spans="1:11" x14ac:dyDescent="0.35">
      <c r="A971" t="s">
        <v>1745</v>
      </c>
      <c r="B971" t="s">
        <v>255</v>
      </c>
      <c r="C971" t="s">
        <v>531</v>
      </c>
      <c r="D971" t="s">
        <v>669</v>
      </c>
      <c r="E971" s="1">
        <v>44954</v>
      </c>
      <c r="F971" s="1">
        <v>44956</v>
      </c>
      <c r="G971" s="1">
        <v>44960</v>
      </c>
      <c r="H971" t="s">
        <v>20</v>
      </c>
      <c r="I971">
        <v>649.34</v>
      </c>
      <c r="J971" t="s">
        <v>687</v>
      </c>
      <c r="K971">
        <v>4</v>
      </c>
    </row>
    <row r="972" spans="1:11" x14ac:dyDescent="0.35">
      <c r="A972" t="s">
        <v>2331</v>
      </c>
      <c r="B972" t="s">
        <v>289</v>
      </c>
      <c r="C972" t="s">
        <v>585</v>
      </c>
      <c r="D972" t="s">
        <v>669</v>
      </c>
      <c r="E972" s="1">
        <v>45293</v>
      </c>
      <c r="F972" s="1">
        <v>45297</v>
      </c>
      <c r="G972" s="1">
        <v>45308</v>
      </c>
      <c r="H972" t="s">
        <v>13</v>
      </c>
      <c r="I972">
        <v>646.21</v>
      </c>
      <c r="J972" t="s">
        <v>687</v>
      </c>
      <c r="K972">
        <v>11</v>
      </c>
    </row>
    <row r="973" spans="1:11" x14ac:dyDescent="0.35">
      <c r="A973" t="s">
        <v>2547</v>
      </c>
      <c r="B973" t="s">
        <v>122</v>
      </c>
      <c r="C973" t="s">
        <v>579</v>
      </c>
      <c r="D973" t="s">
        <v>667</v>
      </c>
      <c r="E973" s="1">
        <v>45327</v>
      </c>
      <c r="F973" s="1">
        <v>45332</v>
      </c>
      <c r="G973" s="1">
        <v>45350</v>
      </c>
      <c r="H973" t="s">
        <v>13</v>
      </c>
      <c r="I973">
        <v>645.96</v>
      </c>
      <c r="J973" t="s">
        <v>683</v>
      </c>
      <c r="K973">
        <v>18</v>
      </c>
    </row>
    <row r="974" spans="1:11" x14ac:dyDescent="0.35">
      <c r="A974" t="s">
        <v>2176</v>
      </c>
      <c r="B974" t="s">
        <v>321</v>
      </c>
      <c r="C974" t="s">
        <v>549</v>
      </c>
      <c r="D974" t="s">
        <v>669</v>
      </c>
      <c r="E974" s="1">
        <v>44999</v>
      </c>
      <c r="F974" s="1">
        <v>45001</v>
      </c>
      <c r="G974" s="1">
        <v>45006</v>
      </c>
      <c r="H974" t="s">
        <v>8</v>
      </c>
      <c r="I974">
        <v>645.92999999999995</v>
      </c>
      <c r="J974" t="s">
        <v>683</v>
      </c>
      <c r="K974">
        <v>5</v>
      </c>
    </row>
    <row r="975" spans="1:11" x14ac:dyDescent="0.35">
      <c r="A975" t="s">
        <v>1457</v>
      </c>
      <c r="B975" t="s">
        <v>387</v>
      </c>
      <c r="C975" t="s">
        <v>531</v>
      </c>
      <c r="D975" t="s">
        <v>667</v>
      </c>
      <c r="E975" s="1">
        <v>45025</v>
      </c>
      <c r="F975" s="1">
        <v>45027</v>
      </c>
      <c r="G975" s="1">
        <v>45049</v>
      </c>
      <c r="H975" t="s">
        <v>11</v>
      </c>
      <c r="I975">
        <v>645.91</v>
      </c>
      <c r="J975" t="s">
        <v>683</v>
      </c>
      <c r="K975">
        <v>22</v>
      </c>
    </row>
    <row r="976" spans="1:11" x14ac:dyDescent="0.35">
      <c r="A976" t="s">
        <v>866</v>
      </c>
      <c r="B976" t="s">
        <v>156</v>
      </c>
      <c r="C976" t="s">
        <v>611</v>
      </c>
      <c r="D976" t="s">
        <v>665</v>
      </c>
      <c r="E976" s="1">
        <v>45253</v>
      </c>
      <c r="F976" s="1">
        <v>45258</v>
      </c>
      <c r="G976" s="1">
        <v>45282</v>
      </c>
      <c r="H976" t="s">
        <v>25</v>
      </c>
      <c r="I976">
        <v>645.09</v>
      </c>
      <c r="J976" t="s">
        <v>683</v>
      </c>
      <c r="K976">
        <v>24</v>
      </c>
    </row>
    <row r="977" spans="1:11" x14ac:dyDescent="0.35">
      <c r="A977" t="s">
        <v>1012</v>
      </c>
      <c r="B977" t="s">
        <v>172</v>
      </c>
      <c r="C977" t="s">
        <v>569</v>
      </c>
      <c r="D977" t="s">
        <v>665</v>
      </c>
      <c r="E977" s="1">
        <v>45303</v>
      </c>
      <c r="F977" s="1">
        <v>45307</v>
      </c>
      <c r="G977" s="1">
        <v>45313</v>
      </c>
      <c r="H977" t="s">
        <v>13</v>
      </c>
      <c r="I977">
        <v>645</v>
      </c>
      <c r="J977" t="s">
        <v>683</v>
      </c>
      <c r="K977">
        <v>6</v>
      </c>
    </row>
    <row r="978" spans="1:11" x14ac:dyDescent="0.35">
      <c r="A978" t="s">
        <v>1424</v>
      </c>
      <c r="B978" t="s">
        <v>450</v>
      </c>
      <c r="C978" t="s">
        <v>555</v>
      </c>
      <c r="D978" t="s">
        <v>665</v>
      </c>
      <c r="E978" s="1">
        <v>45204</v>
      </c>
      <c r="F978" s="1">
        <v>45205</v>
      </c>
      <c r="G978" s="1">
        <v>45225</v>
      </c>
      <c r="H978" t="s">
        <v>20</v>
      </c>
      <c r="I978">
        <v>644</v>
      </c>
      <c r="J978" t="s">
        <v>683</v>
      </c>
      <c r="K978">
        <v>20</v>
      </c>
    </row>
    <row r="979" spans="1:11" x14ac:dyDescent="0.35">
      <c r="A979" t="s">
        <v>1368</v>
      </c>
      <c r="B979" t="s">
        <v>217</v>
      </c>
      <c r="C979" t="s">
        <v>611</v>
      </c>
      <c r="D979" t="s">
        <v>669</v>
      </c>
      <c r="E979" s="1">
        <v>45595</v>
      </c>
      <c r="F979" s="1">
        <v>45597</v>
      </c>
      <c r="G979" s="1"/>
      <c r="H979" t="s">
        <v>13</v>
      </c>
      <c r="I979">
        <v>643</v>
      </c>
      <c r="J979" t="s">
        <v>689</v>
      </c>
    </row>
    <row r="980" spans="1:11" x14ac:dyDescent="0.35">
      <c r="A980" t="s">
        <v>2563</v>
      </c>
      <c r="B980" t="s">
        <v>185</v>
      </c>
      <c r="C980" t="s">
        <v>543</v>
      </c>
      <c r="D980" t="s">
        <v>669</v>
      </c>
      <c r="E980" s="1">
        <v>45342</v>
      </c>
      <c r="F980" s="1">
        <v>45344</v>
      </c>
      <c r="G980" s="1">
        <v>45371</v>
      </c>
      <c r="H980" t="s">
        <v>11</v>
      </c>
      <c r="I980">
        <v>642.45000000000005</v>
      </c>
      <c r="J980" t="s">
        <v>683</v>
      </c>
      <c r="K980">
        <v>27</v>
      </c>
    </row>
    <row r="981" spans="1:11" x14ac:dyDescent="0.35">
      <c r="A981" t="s">
        <v>1154</v>
      </c>
      <c r="B981" t="s">
        <v>318</v>
      </c>
      <c r="C981" t="s">
        <v>563</v>
      </c>
      <c r="D981" t="s">
        <v>669</v>
      </c>
      <c r="E981" s="1">
        <v>45230</v>
      </c>
      <c r="F981" s="1">
        <v>45233</v>
      </c>
      <c r="G981" s="1">
        <v>45239</v>
      </c>
      <c r="H981" t="s">
        <v>13</v>
      </c>
      <c r="I981">
        <v>641.30999999999995</v>
      </c>
      <c r="J981" t="s">
        <v>687</v>
      </c>
      <c r="K981">
        <v>6</v>
      </c>
    </row>
    <row r="982" spans="1:11" x14ac:dyDescent="0.35">
      <c r="A982" t="s">
        <v>1375</v>
      </c>
      <c r="B982" t="s">
        <v>400</v>
      </c>
      <c r="C982" t="s">
        <v>579</v>
      </c>
      <c r="D982" t="s">
        <v>665</v>
      </c>
      <c r="E982" s="1">
        <v>45052</v>
      </c>
      <c r="F982" s="1">
        <v>45055</v>
      </c>
      <c r="G982" s="1">
        <v>45063</v>
      </c>
      <c r="H982" t="s">
        <v>25</v>
      </c>
      <c r="I982">
        <v>640.82000000000005</v>
      </c>
      <c r="J982" t="s">
        <v>687</v>
      </c>
      <c r="K982">
        <v>8</v>
      </c>
    </row>
    <row r="983" spans="1:11" x14ac:dyDescent="0.35">
      <c r="A983" t="s">
        <v>1410</v>
      </c>
      <c r="B983" t="s">
        <v>119</v>
      </c>
      <c r="C983" t="s">
        <v>583</v>
      </c>
      <c r="D983" t="s">
        <v>669</v>
      </c>
      <c r="E983" s="1">
        <v>45096</v>
      </c>
      <c r="F983" s="1">
        <v>45097</v>
      </c>
      <c r="G983" s="1"/>
      <c r="H983" t="s">
        <v>20</v>
      </c>
      <c r="I983">
        <v>639.83000000000004</v>
      </c>
      <c r="J983" t="s">
        <v>689</v>
      </c>
    </row>
    <row r="984" spans="1:11" x14ac:dyDescent="0.35">
      <c r="A984" t="s">
        <v>1449</v>
      </c>
      <c r="B984" t="s">
        <v>163</v>
      </c>
      <c r="C984" t="s">
        <v>583</v>
      </c>
      <c r="D984" t="s">
        <v>667</v>
      </c>
      <c r="E984" s="1">
        <v>45206</v>
      </c>
      <c r="F984" s="1">
        <v>45211</v>
      </c>
      <c r="G984" s="1">
        <v>45217</v>
      </c>
      <c r="H984" t="s">
        <v>25</v>
      </c>
      <c r="I984">
        <v>635.85</v>
      </c>
      <c r="J984" t="s">
        <v>687</v>
      </c>
      <c r="K984">
        <v>6</v>
      </c>
    </row>
    <row r="985" spans="1:11" x14ac:dyDescent="0.35">
      <c r="A985" t="s">
        <v>1834</v>
      </c>
      <c r="B985" t="s">
        <v>138</v>
      </c>
      <c r="C985" t="s">
        <v>563</v>
      </c>
      <c r="D985" t="s">
        <v>669</v>
      </c>
      <c r="E985" s="1">
        <v>45152</v>
      </c>
      <c r="F985" s="1">
        <v>45153</v>
      </c>
      <c r="G985" s="1">
        <v>45176</v>
      </c>
      <c r="H985" t="s">
        <v>20</v>
      </c>
      <c r="I985">
        <v>635.21</v>
      </c>
      <c r="J985" t="s">
        <v>687</v>
      </c>
      <c r="K985">
        <v>23</v>
      </c>
    </row>
    <row r="986" spans="1:11" x14ac:dyDescent="0.35">
      <c r="A986" t="s">
        <v>1280</v>
      </c>
      <c r="B986" t="s">
        <v>272</v>
      </c>
      <c r="C986" t="s">
        <v>549</v>
      </c>
      <c r="D986" t="s">
        <v>665</v>
      </c>
      <c r="E986" s="1">
        <v>45599</v>
      </c>
      <c r="F986" s="1">
        <v>45602</v>
      </c>
      <c r="G986" s="1">
        <v>45612</v>
      </c>
      <c r="H986" t="s">
        <v>11</v>
      </c>
      <c r="I986">
        <v>635.12</v>
      </c>
      <c r="J986" t="s">
        <v>683</v>
      </c>
      <c r="K986">
        <v>10</v>
      </c>
    </row>
    <row r="987" spans="1:11" x14ac:dyDescent="0.35">
      <c r="A987" t="s">
        <v>1562</v>
      </c>
      <c r="B987" t="s">
        <v>449</v>
      </c>
      <c r="C987" t="s">
        <v>553</v>
      </c>
      <c r="D987" t="s">
        <v>669</v>
      </c>
      <c r="E987" s="1">
        <v>45574</v>
      </c>
      <c r="F987" s="1">
        <v>45578</v>
      </c>
      <c r="G987" s="1">
        <v>45588</v>
      </c>
      <c r="H987" t="s">
        <v>13</v>
      </c>
      <c r="I987">
        <v>633.1</v>
      </c>
      <c r="J987" t="s">
        <v>683</v>
      </c>
      <c r="K987">
        <v>10</v>
      </c>
    </row>
    <row r="988" spans="1:11" x14ac:dyDescent="0.35">
      <c r="A988" t="s">
        <v>2672</v>
      </c>
      <c r="B988" t="s">
        <v>262</v>
      </c>
      <c r="C988" t="s">
        <v>589</v>
      </c>
      <c r="D988" t="s">
        <v>669</v>
      </c>
      <c r="E988" s="1">
        <v>45458</v>
      </c>
      <c r="F988" s="1">
        <v>45462</v>
      </c>
      <c r="G988" s="1">
        <v>45472</v>
      </c>
      <c r="H988" t="s">
        <v>20</v>
      </c>
      <c r="I988">
        <v>633.02</v>
      </c>
      <c r="J988" t="s">
        <v>683</v>
      </c>
      <c r="K988">
        <v>10</v>
      </c>
    </row>
    <row r="989" spans="1:11" x14ac:dyDescent="0.35">
      <c r="A989" t="s">
        <v>2072</v>
      </c>
      <c r="B989" t="s">
        <v>132</v>
      </c>
      <c r="C989" t="s">
        <v>579</v>
      </c>
      <c r="D989" t="s">
        <v>667</v>
      </c>
      <c r="E989" s="1">
        <v>45197</v>
      </c>
      <c r="F989" s="1">
        <v>45198</v>
      </c>
      <c r="G989" s="1">
        <v>45226</v>
      </c>
      <c r="H989" t="s">
        <v>8</v>
      </c>
      <c r="I989">
        <v>632.47</v>
      </c>
      <c r="J989" t="s">
        <v>683</v>
      </c>
      <c r="K989">
        <v>28</v>
      </c>
    </row>
    <row r="990" spans="1:11" x14ac:dyDescent="0.35">
      <c r="A990" t="s">
        <v>1242</v>
      </c>
      <c r="B990" t="s">
        <v>286</v>
      </c>
      <c r="C990" t="s">
        <v>581</v>
      </c>
      <c r="D990" t="s">
        <v>667</v>
      </c>
      <c r="E990" s="1">
        <v>45109</v>
      </c>
      <c r="F990" s="1">
        <v>45110</v>
      </c>
      <c r="G990" s="1">
        <v>45120</v>
      </c>
      <c r="H990" t="s">
        <v>8</v>
      </c>
      <c r="I990">
        <v>631.44000000000005</v>
      </c>
      <c r="J990" t="s">
        <v>683</v>
      </c>
      <c r="K990">
        <v>10</v>
      </c>
    </row>
    <row r="991" spans="1:11" x14ac:dyDescent="0.35">
      <c r="A991" t="s">
        <v>2564</v>
      </c>
      <c r="B991" t="s">
        <v>346</v>
      </c>
      <c r="C991" t="s">
        <v>599</v>
      </c>
      <c r="D991" t="s">
        <v>667</v>
      </c>
      <c r="E991" s="1">
        <v>45425</v>
      </c>
      <c r="F991" s="1">
        <v>45426</v>
      </c>
      <c r="G991" s="1">
        <v>45448</v>
      </c>
      <c r="H991" t="s">
        <v>8</v>
      </c>
      <c r="I991">
        <v>630.16999999999996</v>
      </c>
      <c r="J991" t="s">
        <v>683</v>
      </c>
      <c r="K991">
        <v>22</v>
      </c>
    </row>
    <row r="992" spans="1:11" x14ac:dyDescent="0.35">
      <c r="A992" t="s">
        <v>1850</v>
      </c>
      <c r="B992" t="s">
        <v>218</v>
      </c>
      <c r="C992" t="s">
        <v>531</v>
      </c>
      <c r="D992" t="s">
        <v>669</v>
      </c>
      <c r="E992" s="1">
        <v>45069</v>
      </c>
      <c r="F992" s="1">
        <v>45071</v>
      </c>
      <c r="G992" s="1">
        <v>45085</v>
      </c>
      <c r="H992" t="s">
        <v>11</v>
      </c>
      <c r="I992">
        <v>628.91999999999996</v>
      </c>
      <c r="J992" t="s">
        <v>683</v>
      </c>
      <c r="K992">
        <v>14</v>
      </c>
    </row>
    <row r="993" spans="1:11" x14ac:dyDescent="0.35">
      <c r="A993" t="s">
        <v>2543</v>
      </c>
      <c r="B993" t="s">
        <v>126</v>
      </c>
      <c r="C993" t="s">
        <v>527</v>
      </c>
      <c r="D993" t="s">
        <v>669</v>
      </c>
      <c r="E993" s="1">
        <v>45298</v>
      </c>
      <c r="F993" s="1">
        <v>45302</v>
      </c>
      <c r="G993" s="1">
        <v>45326</v>
      </c>
      <c r="H993" t="s">
        <v>8</v>
      </c>
      <c r="I993">
        <v>628.79999999999995</v>
      </c>
      <c r="J993" t="s">
        <v>683</v>
      </c>
      <c r="K993">
        <v>24</v>
      </c>
    </row>
    <row r="994" spans="1:11" x14ac:dyDescent="0.35">
      <c r="A994" t="s">
        <v>1308</v>
      </c>
      <c r="B994" t="s">
        <v>449</v>
      </c>
      <c r="C994" t="s">
        <v>597</v>
      </c>
      <c r="D994" t="s">
        <v>667</v>
      </c>
      <c r="E994" s="1">
        <v>45440</v>
      </c>
      <c r="F994" s="1">
        <v>45442</v>
      </c>
      <c r="G994" s="1">
        <v>45466</v>
      </c>
      <c r="H994" t="s">
        <v>13</v>
      </c>
      <c r="I994">
        <v>628.17999999999995</v>
      </c>
      <c r="J994" t="s">
        <v>683</v>
      </c>
      <c r="K994">
        <v>24</v>
      </c>
    </row>
    <row r="995" spans="1:11" x14ac:dyDescent="0.35">
      <c r="A995" t="s">
        <v>1472</v>
      </c>
      <c r="B995" t="s">
        <v>244</v>
      </c>
      <c r="C995" t="s">
        <v>587</v>
      </c>
      <c r="D995" t="s">
        <v>667</v>
      </c>
      <c r="E995" s="1">
        <v>45193</v>
      </c>
      <c r="F995" s="1">
        <v>45195</v>
      </c>
      <c r="G995" s="1">
        <v>45214</v>
      </c>
      <c r="H995" t="s">
        <v>11</v>
      </c>
      <c r="I995">
        <v>627.29999999999995</v>
      </c>
      <c r="J995" t="s">
        <v>683</v>
      </c>
      <c r="K995">
        <v>19</v>
      </c>
    </row>
    <row r="996" spans="1:11" x14ac:dyDescent="0.35">
      <c r="A996" t="s">
        <v>1327</v>
      </c>
      <c r="B996" t="s">
        <v>190</v>
      </c>
      <c r="C996" t="s">
        <v>593</v>
      </c>
      <c r="D996" t="s">
        <v>669</v>
      </c>
      <c r="E996" s="1">
        <v>45334</v>
      </c>
      <c r="F996" s="1">
        <v>45337</v>
      </c>
      <c r="G996" s="1">
        <v>45358</v>
      </c>
      <c r="H996" t="s">
        <v>13</v>
      </c>
      <c r="I996">
        <v>626.21</v>
      </c>
      <c r="J996" t="s">
        <v>683</v>
      </c>
      <c r="K996">
        <v>21</v>
      </c>
    </row>
    <row r="997" spans="1:11" x14ac:dyDescent="0.35">
      <c r="A997" t="s">
        <v>2652</v>
      </c>
      <c r="B997" t="s">
        <v>168</v>
      </c>
      <c r="C997" t="s">
        <v>599</v>
      </c>
      <c r="D997" t="s">
        <v>669</v>
      </c>
      <c r="E997" s="1">
        <v>45158</v>
      </c>
      <c r="F997" s="1">
        <v>45159</v>
      </c>
      <c r="G997" s="1">
        <v>45177</v>
      </c>
      <c r="H997" t="s">
        <v>8</v>
      </c>
      <c r="I997">
        <v>625.66</v>
      </c>
      <c r="J997" t="s">
        <v>687</v>
      </c>
      <c r="K997">
        <v>18</v>
      </c>
    </row>
    <row r="998" spans="1:11" x14ac:dyDescent="0.35">
      <c r="A998" t="s">
        <v>1667</v>
      </c>
      <c r="B998" t="s">
        <v>127</v>
      </c>
      <c r="C998" t="s">
        <v>583</v>
      </c>
      <c r="D998" t="s">
        <v>667</v>
      </c>
      <c r="E998" s="1">
        <v>45220</v>
      </c>
      <c r="F998" s="1">
        <v>45221</v>
      </c>
      <c r="G998" s="1">
        <v>45239</v>
      </c>
      <c r="H998" t="s">
        <v>11</v>
      </c>
      <c r="I998">
        <v>625.38</v>
      </c>
      <c r="J998" t="s">
        <v>683</v>
      </c>
      <c r="K998">
        <v>18</v>
      </c>
    </row>
    <row r="999" spans="1:11" x14ac:dyDescent="0.35">
      <c r="A999" t="s">
        <v>1485</v>
      </c>
      <c r="B999" t="s">
        <v>442</v>
      </c>
      <c r="C999" t="s">
        <v>527</v>
      </c>
      <c r="D999" t="s">
        <v>667</v>
      </c>
      <c r="E999" s="1">
        <v>45450</v>
      </c>
      <c r="F999" s="1">
        <v>45453</v>
      </c>
      <c r="G999" s="1">
        <v>45460</v>
      </c>
      <c r="H999" t="s">
        <v>11</v>
      </c>
      <c r="I999">
        <v>625.34</v>
      </c>
      <c r="J999" t="s">
        <v>683</v>
      </c>
      <c r="K999">
        <v>7</v>
      </c>
    </row>
    <row r="1000" spans="1:11" x14ac:dyDescent="0.35">
      <c r="A1000" t="s">
        <v>1051</v>
      </c>
      <c r="B1000" t="s">
        <v>255</v>
      </c>
      <c r="C1000" t="s">
        <v>583</v>
      </c>
      <c r="D1000" t="s">
        <v>667</v>
      </c>
      <c r="E1000" s="1">
        <v>45127</v>
      </c>
      <c r="F1000" s="1">
        <v>45128</v>
      </c>
      <c r="G1000" s="1">
        <v>45150</v>
      </c>
      <c r="H1000" t="s">
        <v>20</v>
      </c>
      <c r="I1000">
        <v>624.32000000000005</v>
      </c>
      <c r="J1000" t="s">
        <v>683</v>
      </c>
      <c r="K1000">
        <v>22</v>
      </c>
    </row>
    <row r="1001" spans="1:11" x14ac:dyDescent="0.35">
      <c r="A1001" t="s">
        <v>2343</v>
      </c>
      <c r="B1001" t="s">
        <v>307</v>
      </c>
      <c r="C1001" t="s">
        <v>524</v>
      </c>
      <c r="D1001" t="s">
        <v>667</v>
      </c>
      <c r="E1001" s="1">
        <v>45026</v>
      </c>
      <c r="F1001" s="1">
        <v>45031</v>
      </c>
      <c r="G1001" s="1">
        <v>45061</v>
      </c>
      <c r="H1001" t="s">
        <v>8</v>
      </c>
      <c r="I1001">
        <v>624.27</v>
      </c>
      <c r="J1001" t="s">
        <v>683</v>
      </c>
      <c r="K1001">
        <v>30</v>
      </c>
    </row>
    <row r="1002" spans="1:11" x14ac:dyDescent="0.35">
      <c r="A1002" t="s">
        <v>1675</v>
      </c>
      <c r="B1002" t="s">
        <v>421</v>
      </c>
      <c r="C1002" t="s">
        <v>605</v>
      </c>
      <c r="D1002" t="s">
        <v>667</v>
      </c>
      <c r="E1002" s="1">
        <v>45577</v>
      </c>
      <c r="F1002" s="1">
        <v>45578</v>
      </c>
      <c r="G1002" s="1">
        <v>45586</v>
      </c>
      <c r="H1002" t="s">
        <v>8</v>
      </c>
      <c r="I1002">
        <v>622.83000000000004</v>
      </c>
      <c r="J1002" t="s">
        <v>683</v>
      </c>
      <c r="K1002">
        <v>8</v>
      </c>
    </row>
    <row r="1003" spans="1:11" x14ac:dyDescent="0.35">
      <c r="A1003" t="s">
        <v>2162</v>
      </c>
      <c r="B1003" t="s">
        <v>475</v>
      </c>
      <c r="C1003" t="s">
        <v>581</v>
      </c>
      <c r="D1003" t="s">
        <v>667</v>
      </c>
      <c r="E1003" s="1">
        <v>45022</v>
      </c>
      <c r="F1003" s="1">
        <v>45027</v>
      </c>
      <c r="G1003" s="1">
        <v>45031</v>
      </c>
      <c r="H1003" t="s">
        <v>20</v>
      </c>
      <c r="I1003">
        <v>621.72</v>
      </c>
      <c r="J1003" t="s">
        <v>683</v>
      </c>
      <c r="K1003">
        <v>4</v>
      </c>
    </row>
    <row r="1004" spans="1:11" x14ac:dyDescent="0.35">
      <c r="A1004" t="s">
        <v>991</v>
      </c>
      <c r="B1004" t="s">
        <v>447</v>
      </c>
      <c r="C1004" t="s">
        <v>581</v>
      </c>
      <c r="D1004" t="s">
        <v>669</v>
      </c>
      <c r="E1004" s="1">
        <v>45497</v>
      </c>
      <c r="F1004" s="1">
        <v>45501</v>
      </c>
      <c r="G1004" s="1">
        <v>45505</v>
      </c>
      <c r="H1004" t="s">
        <v>11</v>
      </c>
      <c r="I1004">
        <v>617.57000000000005</v>
      </c>
      <c r="J1004" t="s">
        <v>683</v>
      </c>
      <c r="K1004">
        <v>4</v>
      </c>
    </row>
    <row r="1005" spans="1:11" x14ac:dyDescent="0.35">
      <c r="A1005" t="s">
        <v>2371</v>
      </c>
      <c r="B1005" t="s">
        <v>234</v>
      </c>
      <c r="C1005" t="s">
        <v>603</v>
      </c>
      <c r="D1005" t="s">
        <v>669</v>
      </c>
      <c r="E1005" s="1">
        <v>44999</v>
      </c>
      <c r="F1005" s="1">
        <v>45002</v>
      </c>
      <c r="G1005" s="1">
        <v>45032</v>
      </c>
      <c r="H1005" t="s">
        <v>20</v>
      </c>
      <c r="I1005">
        <v>616.66999999999996</v>
      </c>
      <c r="J1005" t="s">
        <v>683</v>
      </c>
      <c r="K1005">
        <v>30</v>
      </c>
    </row>
    <row r="1006" spans="1:11" x14ac:dyDescent="0.35">
      <c r="A1006" t="s">
        <v>1025</v>
      </c>
      <c r="B1006" t="s">
        <v>42</v>
      </c>
      <c r="C1006" t="s">
        <v>569</v>
      </c>
      <c r="D1006" t="s">
        <v>667</v>
      </c>
      <c r="E1006" s="1">
        <v>45144</v>
      </c>
      <c r="F1006" s="1">
        <v>45148</v>
      </c>
      <c r="G1006" s="1">
        <v>45176</v>
      </c>
      <c r="H1006" t="s">
        <v>20</v>
      </c>
      <c r="I1006">
        <v>616.39</v>
      </c>
      <c r="J1006" t="s">
        <v>683</v>
      </c>
      <c r="K1006">
        <v>28</v>
      </c>
    </row>
    <row r="1007" spans="1:11" x14ac:dyDescent="0.35">
      <c r="A1007" t="s">
        <v>1339</v>
      </c>
      <c r="B1007" t="s">
        <v>489</v>
      </c>
      <c r="C1007" t="s">
        <v>591</v>
      </c>
      <c r="D1007" t="s">
        <v>669</v>
      </c>
      <c r="E1007" s="1">
        <v>45560</v>
      </c>
      <c r="F1007" s="1">
        <v>45564</v>
      </c>
      <c r="G1007" s="1">
        <v>45579</v>
      </c>
      <c r="H1007" t="s">
        <v>11</v>
      </c>
      <c r="I1007">
        <v>615.15</v>
      </c>
      <c r="J1007" t="s">
        <v>687</v>
      </c>
      <c r="K1007">
        <v>15</v>
      </c>
    </row>
    <row r="1008" spans="1:11" x14ac:dyDescent="0.35">
      <c r="A1008" t="s">
        <v>1839</v>
      </c>
      <c r="B1008" t="s">
        <v>423</v>
      </c>
      <c r="C1008" t="s">
        <v>605</v>
      </c>
      <c r="D1008" t="s">
        <v>667</v>
      </c>
      <c r="E1008" s="1">
        <v>45397</v>
      </c>
      <c r="F1008" s="1">
        <v>45399</v>
      </c>
      <c r="G1008" s="1">
        <v>45406</v>
      </c>
      <c r="H1008" t="s">
        <v>13</v>
      </c>
      <c r="I1008">
        <v>614.03</v>
      </c>
      <c r="J1008" t="s">
        <v>683</v>
      </c>
      <c r="K1008">
        <v>7</v>
      </c>
    </row>
    <row r="1009" spans="1:11" x14ac:dyDescent="0.35">
      <c r="A1009" t="s">
        <v>1247</v>
      </c>
      <c r="B1009" t="s">
        <v>88</v>
      </c>
      <c r="C1009" t="s">
        <v>599</v>
      </c>
      <c r="D1009" t="s">
        <v>669</v>
      </c>
      <c r="E1009" s="1">
        <v>45420</v>
      </c>
      <c r="F1009" s="1">
        <v>45421</v>
      </c>
      <c r="G1009" s="1">
        <v>45430</v>
      </c>
      <c r="H1009" t="s">
        <v>13</v>
      </c>
      <c r="I1009">
        <v>611.62</v>
      </c>
      <c r="J1009" t="s">
        <v>683</v>
      </c>
      <c r="K1009">
        <v>9</v>
      </c>
    </row>
    <row r="1010" spans="1:11" x14ac:dyDescent="0.35">
      <c r="A1010" t="s">
        <v>2298</v>
      </c>
      <c r="B1010" t="s">
        <v>412</v>
      </c>
      <c r="C1010" t="s">
        <v>583</v>
      </c>
      <c r="D1010" t="s">
        <v>669</v>
      </c>
      <c r="E1010" s="1">
        <v>45244</v>
      </c>
      <c r="F1010" s="1">
        <v>45247</v>
      </c>
      <c r="G1010" s="1">
        <v>45273</v>
      </c>
      <c r="H1010" t="s">
        <v>8</v>
      </c>
      <c r="I1010">
        <v>609.09</v>
      </c>
      <c r="J1010" t="s">
        <v>687</v>
      </c>
      <c r="K1010">
        <v>26</v>
      </c>
    </row>
    <row r="1011" spans="1:11" x14ac:dyDescent="0.35">
      <c r="A1011" t="s">
        <v>2210</v>
      </c>
      <c r="B1011" t="s">
        <v>178</v>
      </c>
      <c r="C1011" t="s">
        <v>546</v>
      </c>
      <c r="D1011" t="s">
        <v>667</v>
      </c>
      <c r="E1011" s="1">
        <v>45119</v>
      </c>
      <c r="F1011" s="1">
        <v>45121</v>
      </c>
      <c r="G1011" s="1">
        <v>45147</v>
      </c>
      <c r="H1011" t="s">
        <v>8</v>
      </c>
      <c r="I1011">
        <v>608.72</v>
      </c>
      <c r="J1011" t="s">
        <v>683</v>
      </c>
      <c r="K1011">
        <v>26</v>
      </c>
    </row>
    <row r="1012" spans="1:11" x14ac:dyDescent="0.35">
      <c r="A1012" t="s">
        <v>1666</v>
      </c>
      <c r="B1012" t="s">
        <v>117</v>
      </c>
      <c r="C1012" t="s">
        <v>527</v>
      </c>
      <c r="D1012" t="s">
        <v>669</v>
      </c>
      <c r="E1012" s="1">
        <v>45652</v>
      </c>
      <c r="F1012" s="1">
        <v>45653</v>
      </c>
      <c r="G1012" s="1">
        <v>45679</v>
      </c>
      <c r="H1012" t="s">
        <v>8</v>
      </c>
      <c r="I1012">
        <v>606.5</v>
      </c>
      <c r="J1012" t="s">
        <v>687</v>
      </c>
      <c r="K1012">
        <v>26</v>
      </c>
    </row>
    <row r="1013" spans="1:11" x14ac:dyDescent="0.35">
      <c r="A1013" t="s">
        <v>2518</v>
      </c>
      <c r="B1013" t="s">
        <v>44</v>
      </c>
      <c r="C1013" t="s">
        <v>546</v>
      </c>
      <c r="D1013" t="s">
        <v>667</v>
      </c>
      <c r="E1013" s="1">
        <v>45139</v>
      </c>
      <c r="F1013" s="1">
        <v>45142</v>
      </c>
      <c r="G1013" s="1">
        <v>45148</v>
      </c>
      <c r="H1013" t="s">
        <v>11</v>
      </c>
      <c r="I1013">
        <v>604.98</v>
      </c>
      <c r="J1013" t="s">
        <v>683</v>
      </c>
      <c r="K1013">
        <v>6</v>
      </c>
    </row>
    <row r="1014" spans="1:11" x14ac:dyDescent="0.35">
      <c r="A1014" t="s">
        <v>1972</v>
      </c>
      <c r="B1014" t="s">
        <v>146</v>
      </c>
      <c r="C1014" t="s">
        <v>546</v>
      </c>
      <c r="D1014" t="s">
        <v>669</v>
      </c>
      <c r="E1014" s="1">
        <v>45012</v>
      </c>
      <c r="F1014" s="1">
        <v>45017</v>
      </c>
      <c r="G1014" s="1">
        <v>45041</v>
      </c>
      <c r="H1014" t="s">
        <v>11</v>
      </c>
      <c r="I1014">
        <v>604.96</v>
      </c>
      <c r="J1014" t="s">
        <v>683</v>
      </c>
      <c r="K1014">
        <v>24</v>
      </c>
    </row>
    <row r="1015" spans="1:11" x14ac:dyDescent="0.35">
      <c r="A1015" t="s">
        <v>1679</v>
      </c>
      <c r="B1015" t="s">
        <v>182</v>
      </c>
      <c r="C1015" t="s">
        <v>605</v>
      </c>
      <c r="D1015" t="s">
        <v>669</v>
      </c>
      <c r="E1015" s="1">
        <v>45585</v>
      </c>
      <c r="F1015" s="1">
        <v>45586</v>
      </c>
      <c r="G1015" s="1">
        <v>45597</v>
      </c>
      <c r="H1015" t="s">
        <v>11</v>
      </c>
      <c r="I1015">
        <v>604.14</v>
      </c>
      <c r="J1015" t="s">
        <v>683</v>
      </c>
      <c r="K1015">
        <v>11</v>
      </c>
    </row>
    <row r="1016" spans="1:11" x14ac:dyDescent="0.35">
      <c r="A1016" t="s">
        <v>685</v>
      </c>
      <c r="B1016" t="s">
        <v>138</v>
      </c>
      <c r="C1016" t="s">
        <v>540</v>
      </c>
      <c r="D1016" t="s">
        <v>667</v>
      </c>
      <c r="E1016" s="1">
        <v>45344</v>
      </c>
      <c r="F1016" s="1">
        <v>45345</v>
      </c>
      <c r="G1016" s="1">
        <v>45359</v>
      </c>
      <c r="H1016" t="s">
        <v>20</v>
      </c>
      <c r="I1016">
        <v>603.91</v>
      </c>
      <c r="J1016" t="s">
        <v>683</v>
      </c>
      <c r="K1016">
        <v>14</v>
      </c>
    </row>
    <row r="1017" spans="1:11" x14ac:dyDescent="0.35">
      <c r="A1017" t="s">
        <v>1980</v>
      </c>
      <c r="B1017" t="s">
        <v>207</v>
      </c>
      <c r="C1017" t="s">
        <v>555</v>
      </c>
      <c r="D1017" t="s">
        <v>669</v>
      </c>
      <c r="E1017" s="1">
        <v>45082</v>
      </c>
      <c r="F1017" s="1">
        <v>45087</v>
      </c>
      <c r="G1017" s="1">
        <v>45098</v>
      </c>
      <c r="H1017" t="s">
        <v>11</v>
      </c>
      <c r="I1017">
        <v>600.47</v>
      </c>
      <c r="J1017" t="s">
        <v>683</v>
      </c>
      <c r="K1017">
        <v>11</v>
      </c>
    </row>
    <row r="1018" spans="1:11" x14ac:dyDescent="0.35">
      <c r="A1018" t="s">
        <v>859</v>
      </c>
      <c r="B1018" t="s">
        <v>198</v>
      </c>
      <c r="C1018" t="s">
        <v>597</v>
      </c>
      <c r="D1018" t="s">
        <v>669</v>
      </c>
      <c r="E1018" s="1">
        <v>45371</v>
      </c>
      <c r="F1018" s="1">
        <v>45373</v>
      </c>
      <c r="G1018" s="1">
        <v>45394</v>
      </c>
      <c r="H1018" t="s">
        <v>11</v>
      </c>
      <c r="I1018">
        <v>600.11</v>
      </c>
      <c r="J1018" t="s">
        <v>683</v>
      </c>
      <c r="K1018">
        <v>21</v>
      </c>
    </row>
    <row r="1019" spans="1:11" x14ac:dyDescent="0.35">
      <c r="A1019" t="s">
        <v>2443</v>
      </c>
      <c r="B1019" t="s">
        <v>451</v>
      </c>
      <c r="C1019" t="s">
        <v>546</v>
      </c>
      <c r="D1019" t="s">
        <v>669</v>
      </c>
      <c r="E1019" s="1">
        <v>45545</v>
      </c>
      <c r="F1019" s="1">
        <v>45550</v>
      </c>
      <c r="G1019" s="1">
        <v>45577</v>
      </c>
      <c r="H1019" t="s">
        <v>11</v>
      </c>
      <c r="I1019">
        <v>597.75</v>
      </c>
      <c r="J1019" t="s">
        <v>683</v>
      </c>
      <c r="K1019">
        <v>27</v>
      </c>
    </row>
    <row r="1020" spans="1:11" x14ac:dyDescent="0.35">
      <c r="A1020" t="s">
        <v>2040</v>
      </c>
      <c r="B1020" t="s">
        <v>335</v>
      </c>
      <c r="C1020" t="s">
        <v>549</v>
      </c>
      <c r="D1020" t="s">
        <v>669</v>
      </c>
      <c r="E1020" s="1">
        <v>45182</v>
      </c>
      <c r="F1020" s="1">
        <v>45184</v>
      </c>
      <c r="G1020" s="1">
        <v>45193</v>
      </c>
      <c r="H1020" t="s">
        <v>8</v>
      </c>
      <c r="I1020">
        <v>597.63</v>
      </c>
      <c r="J1020" t="s">
        <v>683</v>
      </c>
      <c r="K1020">
        <v>9</v>
      </c>
    </row>
    <row r="1021" spans="1:11" x14ac:dyDescent="0.35">
      <c r="A1021" t="s">
        <v>792</v>
      </c>
      <c r="B1021" t="s">
        <v>467</v>
      </c>
      <c r="C1021" t="s">
        <v>583</v>
      </c>
      <c r="D1021" t="s">
        <v>667</v>
      </c>
      <c r="E1021" s="1">
        <v>45186</v>
      </c>
      <c r="F1021" s="1">
        <v>45190</v>
      </c>
      <c r="G1021" s="1">
        <v>45218</v>
      </c>
      <c r="H1021" t="s">
        <v>13</v>
      </c>
      <c r="I1021">
        <v>597.42999999999995</v>
      </c>
      <c r="J1021" t="s">
        <v>687</v>
      </c>
      <c r="K1021">
        <v>28</v>
      </c>
    </row>
    <row r="1022" spans="1:11" x14ac:dyDescent="0.35">
      <c r="A1022" t="s">
        <v>804</v>
      </c>
      <c r="B1022" t="s">
        <v>427</v>
      </c>
      <c r="C1022" t="s">
        <v>567</v>
      </c>
      <c r="D1022" t="s">
        <v>667</v>
      </c>
      <c r="E1022" s="1">
        <v>45522</v>
      </c>
      <c r="F1022" s="1">
        <v>45523</v>
      </c>
      <c r="G1022" s="1">
        <v>45548</v>
      </c>
      <c r="H1022" t="s">
        <v>20</v>
      </c>
      <c r="I1022">
        <v>594.80999999999995</v>
      </c>
      <c r="J1022" t="s">
        <v>683</v>
      </c>
      <c r="K1022">
        <v>25</v>
      </c>
    </row>
    <row r="1023" spans="1:11" x14ac:dyDescent="0.35">
      <c r="A1023" t="s">
        <v>1000</v>
      </c>
      <c r="B1023" t="s">
        <v>433</v>
      </c>
      <c r="C1023" t="s">
        <v>571</v>
      </c>
      <c r="D1023" t="s">
        <v>669</v>
      </c>
      <c r="E1023" s="1">
        <v>45571</v>
      </c>
      <c r="F1023" s="1">
        <v>45574</v>
      </c>
      <c r="G1023" s="1">
        <v>45603</v>
      </c>
      <c r="H1023" t="s">
        <v>8</v>
      </c>
      <c r="I1023">
        <v>594.48</v>
      </c>
      <c r="J1023" t="s">
        <v>687</v>
      </c>
      <c r="K1023">
        <v>29</v>
      </c>
    </row>
    <row r="1024" spans="1:11" x14ac:dyDescent="0.35">
      <c r="A1024" t="s">
        <v>1491</v>
      </c>
      <c r="B1024" t="s">
        <v>476</v>
      </c>
      <c r="C1024" t="s">
        <v>563</v>
      </c>
      <c r="D1024" t="s">
        <v>667</v>
      </c>
      <c r="E1024" s="1">
        <v>45546</v>
      </c>
      <c r="F1024" s="1">
        <v>45550</v>
      </c>
      <c r="G1024" s="1">
        <v>45569</v>
      </c>
      <c r="H1024" t="s">
        <v>20</v>
      </c>
      <c r="I1024">
        <v>590.84</v>
      </c>
      <c r="J1024" t="s">
        <v>683</v>
      </c>
      <c r="K1024">
        <v>19</v>
      </c>
    </row>
    <row r="1025" spans="1:11" x14ac:dyDescent="0.35">
      <c r="A1025" t="s">
        <v>2143</v>
      </c>
      <c r="B1025" t="s">
        <v>111</v>
      </c>
      <c r="C1025" t="s">
        <v>537</v>
      </c>
      <c r="D1025" t="s">
        <v>667</v>
      </c>
      <c r="E1025" s="1">
        <v>45577</v>
      </c>
      <c r="F1025" s="1">
        <v>45581</v>
      </c>
      <c r="G1025" s="1">
        <v>45595</v>
      </c>
      <c r="H1025" t="s">
        <v>8</v>
      </c>
      <c r="I1025">
        <v>590.79999999999995</v>
      </c>
      <c r="J1025" t="s">
        <v>683</v>
      </c>
      <c r="K1025">
        <v>14</v>
      </c>
    </row>
    <row r="1026" spans="1:11" x14ac:dyDescent="0.35">
      <c r="A1026" t="s">
        <v>1657</v>
      </c>
      <c r="B1026" t="s">
        <v>263</v>
      </c>
      <c r="C1026" t="s">
        <v>599</v>
      </c>
      <c r="D1026" t="s">
        <v>669</v>
      </c>
      <c r="E1026" s="1">
        <v>45565</v>
      </c>
      <c r="F1026" s="1">
        <v>45567</v>
      </c>
      <c r="G1026" s="1">
        <v>45577</v>
      </c>
      <c r="H1026" t="s">
        <v>20</v>
      </c>
      <c r="I1026">
        <v>590.61</v>
      </c>
      <c r="J1026" t="s">
        <v>687</v>
      </c>
      <c r="K1026">
        <v>10</v>
      </c>
    </row>
    <row r="1027" spans="1:11" x14ac:dyDescent="0.35">
      <c r="A1027" t="s">
        <v>1318</v>
      </c>
      <c r="B1027" t="s">
        <v>477</v>
      </c>
      <c r="C1027" t="s">
        <v>527</v>
      </c>
      <c r="D1027" t="s">
        <v>667</v>
      </c>
      <c r="E1027" s="1">
        <v>45161</v>
      </c>
      <c r="F1027" s="1">
        <v>45164</v>
      </c>
      <c r="G1027" s="1">
        <v>45181</v>
      </c>
      <c r="H1027" t="s">
        <v>20</v>
      </c>
      <c r="I1027">
        <v>590.1</v>
      </c>
      <c r="J1027" t="s">
        <v>683</v>
      </c>
      <c r="K1027">
        <v>17</v>
      </c>
    </row>
    <row r="1028" spans="1:11" x14ac:dyDescent="0.35">
      <c r="A1028" t="s">
        <v>1380</v>
      </c>
      <c r="B1028" t="s">
        <v>324</v>
      </c>
      <c r="C1028" t="s">
        <v>591</v>
      </c>
      <c r="D1028" t="s">
        <v>667</v>
      </c>
      <c r="E1028" s="1">
        <v>45614</v>
      </c>
      <c r="F1028" s="1">
        <v>45618</v>
      </c>
      <c r="G1028" s="1">
        <v>45631</v>
      </c>
      <c r="H1028" t="s">
        <v>8</v>
      </c>
      <c r="I1028">
        <v>589.75</v>
      </c>
      <c r="J1028" t="s">
        <v>683</v>
      </c>
      <c r="K1028">
        <v>13</v>
      </c>
    </row>
    <row r="1029" spans="1:11" x14ac:dyDescent="0.35">
      <c r="A1029" t="s">
        <v>1856</v>
      </c>
      <c r="B1029" t="s">
        <v>463</v>
      </c>
      <c r="C1029" t="s">
        <v>557</v>
      </c>
      <c r="D1029" t="s">
        <v>667</v>
      </c>
      <c r="E1029" s="1">
        <v>45016</v>
      </c>
      <c r="F1029" s="1">
        <v>45019</v>
      </c>
      <c r="G1029" s="1">
        <v>45046</v>
      </c>
      <c r="H1029" t="s">
        <v>8</v>
      </c>
      <c r="I1029">
        <v>589.62</v>
      </c>
      <c r="J1029" t="s">
        <v>683</v>
      </c>
      <c r="K1029">
        <v>27</v>
      </c>
    </row>
    <row r="1030" spans="1:11" x14ac:dyDescent="0.35">
      <c r="A1030" t="s">
        <v>2528</v>
      </c>
      <c r="B1030" t="s">
        <v>180</v>
      </c>
      <c r="C1030" t="s">
        <v>546</v>
      </c>
      <c r="D1030" t="s">
        <v>669</v>
      </c>
      <c r="E1030" s="1">
        <v>45352</v>
      </c>
      <c r="F1030" s="1">
        <v>45354</v>
      </c>
      <c r="G1030" s="1">
        <v>45374</v>
      </c>
      <c r="H1030" t="s">
        <v>11</v>
      </c>
      <c r="I1030">
        <v>587.95000000000005</v>
      </c>
      <c r="J1030" t="s">
        <v>687</v>
      </c>
      <c r="K1030">
        <v>20</v>
      </c>
    </row>
    <row r="1031" spans="1:11" x14ac:dyDescent="0.35">
      <c r="A1031" t="s">
        <v>2123</v>
      </c>
      <c r="B1031" t="s">
        <v>289</v>
      </c>
      <c r="C1031" t="s">
        <v>555</v>
      </c>
      <c r="D1031" t="s">
        <v>669</v>
      </c>
      <c r="E1031" s="1">
        <v>45111</v>
      </c>
      <c r="F1031" s="1">
        <v>45112</v>
      </c>
      <c r="G1031" s="1">
        <v>45121</v>
      </c>
      <c r="H1031" t="s">
        <v>13</v>
      </c>
      <c r="I1031">
        <v>587.83000000000004</v>
      </c>
      <c r="J1031" t="s">
        <v>687</v>
      </c>
      <c r="K1031">
        <v>9</v>
      </c>
    </row>
    <row r="1032" spans="1:11" x14ac:dyDescent="0.35">
      <c r="A1032" t="s">
        <v>835</v>
      </c>
      <c r="B1032" t="s">
        <v>95</v>
      </c>
      <c r="C1032" t="s">
        <v>557</v>
      </c>
      <c r="D1032" t="s">
        <v>667</v>
      </c>
      <c r="E1032" s="1">
        <v>45565</v>
      </c>
      <c r="F1032" s="1">
        <v>45569</v>
      </c>
      <c r="G1032" s="1">
        <v>45583</v>
      </c>
      <c r="H1032" t="s">
        <v>20</v>
      </c>
      <c r="I1032">
        <v>587.42999999999995</v>
      </c>
      <c r="J1032" t="s">
        <v>683</v>
      </c>
      <c r="K1032">
        <v>14</v>
      </c>
    </row>
    <row r="1033" spans="1:11" x14ac:dyDescent="0.35">
      <c r="A1033" t="s">
        <v>2169</v>
      </c>
      <c r="B1033" t="s">
        <v>27</v>
      </c>
      <c r="C1033" t="s">
        <v>534</v>
      </c>
      <c r="D1033" t="s">
        <v>667</v>
      </c>
      <c r="E1033" s="1">
        <v>45435</v>
      </c>
      <c r="F1033" s="1">
        <v>45437</v>
      </c>
      <c r="G1033" s="1">
        <v>45448</v>
      </c>
      <c r="H1033" t="s">
        <v>20</v>
      </c>
      <c r="I1033">
        <v>585.70000000000005</v>
      </c>
      <c r="J1033" t="s">
        <v>683</v>
      </c>
      <c r="K1033">
        <v>11</v>
      </c>
    </row>
    <row r="1034" spans="1:11" x14ac:dyDescent="0.35">
      <c r="A1034" t="s">
        <v>2322</v>
      </c>
      <c r="B1034" t="s">
        <v>272</v>
      </c>
      <c r="C1034" t="s">
        <v>589</v>
      </c>
      <c r="D1034" t="s">
        <v>667</v>
      </c>
      <c r="E1034" s="1">
        <v>45421</v>
      </c>
      <c r="F1034" s="1">
        <v>45426</v>
      </c>
      <c r="G1034" s="1">
        <v>45437</v>
      </c>
      <c r="H1034" t="s">
        <v>11</v>
      </c>
      <c r="I1034">
        <v>585.53</v>
      </c>
      <c r="J1034" t="s">
        <v>683</v>
      </c>
      <c r="K1034">
        <v>11</v>
      </c>
    </row>
    <row r="1035" spans="1:11" x14ac:dyDescent="0.35">
      <c r="A1035" t="s">
        <v>2552</v>
      </c>
      <c r="B1035" t="s">
        <v>260</v>
      </c>
      <c r="C1035" t="s">
        <v>553</v>
      </c>
      <c r="D1035" t="s">
        <v>667</v>
      </c>
      <c r="E1035" s="1">
        <v>45411</v>
      </c>
      <c r="F1035" s="1">
        <v>45414</v>
      </c>
      <c r="G1035" s="1">
        <v>45439</v>
      </c>
      <c r="H1035" t="s">
        <v>25</v>
      </c>
      <c r="I1035">
        <v>585.45000000000005</v>
      </c>
      <c r="J1035" t="s">
        <v>683</v>
      </c>
      <c r="K1035">
        <v>25</v>
      </c>
    </row>
    <row r="1036" spans="1:11" x14ac:dyDescent="0.35">
      <c r="A1036" t="s">
        <v>1215</v>
      </c>
      <c r="B1036" t="s">
        <v>54</v>
      </c>
      <c r="C1036" t="s">
        <v>537</v>
      </c>
      <c r="D1036" t="s">
        <v>667</v>
      </c>
      <c r="E1036" s="1">
        <v>45547</v>
      </c>
      <c r="F1036" s="1">
        <v>45552</v>
      </c>
      <c r="G1036" s="1">
        <v>45569</v>
      </c>
      <c r="H1036" t="s">
        <v>11</v>
      </c>
      <c r="I1036">
        <v>584.20000000000005</v>
      </c>
      <c r="J1036" t="s">
        <v>683</v>
      </c>
      <c r="K1036">
        <v>17</v>
      </c>
    </row>
    <row r="1037" spans="1:11" x14ac:dyDescent="0.35">
      <c r="A1037" t="s">
        <v>1467</v>
      </c>
      <c r="B1037" t="s">
        <v>324</v>
      </c>
      <c r="C1037" t="s">
        <v>559</v>
      </c>
      <c r="D1037" t="s">
        <v>669</v>
      </c>
      <c r="E1037" s="1">
        <v>45090</v>
      </c>
      <c r="F1037" s="1">
        <v>45093</v>
      </c>
      <c r="G1037" s="1">
        <v>45105</v>
      </c>
      <c r="H1037" t="s">
        <v>8</v>
      </c>
      <c r="I1037">
        <v>584</v>
      </c>
      <c r="J1037" t="s">
        <v>687</v>
      </c>
      <c r="K1037">
        <v>12</v>
      </c>
    </row>
    <row r="1038" spans="1:11" x14ac:dyDescent="0.35">
      <c r="A1038" t="s">
        <v>2462</v>
      </c>
      <c r="B1038" t="s">
        <v>246</v>
      </c>
      <c r="C1038" t="s">
        <v>559</v>
      </c>
      <c r="D1038" t="s">
        <v>669</v>
      </c>
      <c r="E1038" s="1">
        <v>45261</v>
      </c>
      <c r="F1038" s="1">
        <v>45262</v>
      </c>
      <c r="G1038" s="1">
        <v>45266</v>
      </c>
      <c r="H1038" t="s">
        <v>11</v>
      </c>
      <c r="I1038">
        <v>582.78</v>
      </c>
      <c r="J1038" t="s">
        <v>683</v>
      </c>
      <c r="K1038">
        <v>4</v>
      </c>
    </row>
    <row r="1039" spans="1:11" x14ac:dyDescent="0.35">
      <c r="A1039" t="s">
        <v>1702</v>
      </c>
      <c r="B1039" t="s">
        <v>461</v>
      </c>
      <c r="C1039" t="s">
        <v>601</v>
      </c>
      <c r="D1039" t="s">
        <v>667</v>
      </c>
      <c r="E1039" s="1">
        <v>45161</v>
      </c>
      <c r="F1039" s="1">
        <v>45164</v>
      </c>
      <c r="G1039" s="1">
        <v>45191</v>
      </c>
      <c r="H1039" t="s">
        <v>13</v>
      </c>
      <c r="I1039">
        <v>581.98</v>
      </c>
      <c r="J1039" t="s">
        <v>683</v>
      </c>
      <c r="K1039">
        <v>27</v>
      </c>
    </row>
    <row r="1040" spans="1:11" x14ac:dyDescent="0.35">
      <c r="A1040" t="s">
        <v>1482</v>
      </c>
      <c r="B1040" t="s">
        <v>200</v>
      </c>
      <c r="C1040" t="s">
        <v>524</v>
      </c>
      <c r="D1040" t="s">
        <v>667</v>
      </c>
      <c r="E1040" s="1">
        <v>45110</v>
      </c>
      <c r="F1040" s="1">
        <v>45112</v>
      </c>
      <c r="G1040" s="1">
        <v>45131</v>
      </c>
      <c r="H1040" t="s">
        <v>20</v>
      </c>
      <c r="I1040">
        <v>581.27</v>
      </c>
      <c r="J1040" t="s">
        <v>683</v>
      </c>
      <c r="K1040">
        <v>19</v>
      </c>
    </row>
    <row r="1041" spans="1:11" x14ac:dyDescent="0.35">
      <c r="A1041" t="s">
        <v>1061</v>
      </c>
      <c r="B1041" t="s">
        <v>195</v>
      </c>
      <c r="C1041" t="s">
        <v>521</v>
      </c>
      <c r="D1041" t="s">
        <v>669</v>
      </c>
      <c r="E1041" s="1">
        <v>45117</v>
      </c>
      <c r="F1041" s="1">
        <v>45121</v>
      </c>
      <c r="G1041" s="1">
        <v>45141</v>
      </c>
      <c r="H1041" t="s">
        <v>20</v>
      </c>
      <c r="I1041">
        <v>580.32000000000005</v>
      </c>
      <c r="J1041" t="s">
        <v>683</v>
      </c>
      <c r="K1041">
        <v>20</v>
      </c>
    </row>
    <row r="1042" spans="1:11" x14ac:dyDescent="0.35">
      <c r="A1042" t="s">
        <v>1098</v>
      </c>
      <c r="B1042" t="s">
        <v>292</v>
      </c>
      <c r="C1042" t="s">
        <v>561</v>
      </c>
      <c r="D1042" t="s">
        <v>667</v>
      </c>
      <c r="E1042" s="1">
        <v>45653</v>
      </c>
      <c r="F1042" s="1">
        <v>45658</v>
      </c>
      <c r="G1042" s="1">
        <v>45665</v>
      </c>
      <c r="H1042" t="s">
        <v>13</v>
      </c>
      <c r="I1042">
        <v>579.78</v>
      </c>
      <c r="J1042" t="s">
        <v>687</v>
      </c>
      <c r="K1042">
        <v>7</v>
      </c>
    </row>
    <row r="1043" spans="1:11" x14ac:dyDescent="0.35">
      <c r="A1043" t="s">
        <v>710</v>
      </c>
      <c r="B1043" t="s">
        <v>266</v>
      </c>
      <c r="C1043" t="s">
        <v>595</v>
      </c>
      <c r="D1043" t="s">
        <v>667</v>
      </c>
      <c r="E1043" s="1">
        <v>44946</v>
      </c>
      <c r="F1043" s="1">
        <v>44949</v>
      </c>
      <c r="G1043" s="1">
        <v>44966</v>
      </c>
      <c r="H1043" t="s">
        <v>20</v>
      </c>
      <c r="I1043">
        <v>578.54999999999995</v>
      </c>
      <c r="J1043" t="s">
        <v>683</v>
      </c>
      <c r="K1043">
        <v>17</v>
      </c>
    </row>
    <row r="1044" spans="1:11" x14ac:dyDescent="0.35">
      <c r="A1044" t="s">
        <v>2445</v>
      </c>
      <c r="B1044" t="s">
        <v>223</v>
      </c>
      <c r="C1044" t="s">
        <v>559</v>
      </c>
      <c r="D1044" t="s">
        <v>667</v>
      </c>
      <c r="E1044" s="1">
        <v>45295</v>
      </c>
      <c r="F1044" s="1">
        <v>45296</v>
      </c>
      <c r="G1044" s="1">
        <v>45317</v>
      </c>
      <c r="H1044" t="s">
        <v>8</v>
      </c>
      <c r="I1044">
        <v>577.70000000000005</v>
      </c>
      <c r="J1044" t="s">
        <v>683</v>
      </c>
      <c r="K1044">
        <v>21</v>
      </c>
    </row>
    <row r="1045" spans="1:11" x14ac:dyDescent="0.35">
      <c r="A1045" t="s">
        <v>1263</v>
      </c>
      <c r="B1045" t="s">
        <v>262</v>
      </c>
      <c r="C1045" t="s">
        <v>521</v>
      </c>
      <c r="D1045" t="s">
        <v>667</v>
      </c>
      <c r="E1045" s="1">
        <v>45166</v>
      </c>
      <c r="F1045" s="1">
        <v>45171</v>
      </c>
      <c r="G1045" s="1">
        <v>45196</v>
      </c>
      <c r="H1045" t="s">
        <v>20</v>
      </c>
      <c r="I1045">
        <v>577.55999999999995</v>
      </c>
      <c r="J1045" t="s">
        <v>683</v>
      </c>
      <c r="K1045">
        <v>25</v>
      </c>
    </row>
    <row r="1046" spans="1:11" x14ac:dyDescent="0.35">
      <c r="A1046" t="s">
        <v>2337</v>
      </c>
      <c r="B1046" t="s">
        <v>487</v>
      </c>
      <c r="C1046" t="s">
        <v>577</v>
      </c>
      <c r="D1046" t="s">
        <v>667</v>
      </c>
      <c r="E1046" s="1">
        <v>44999</v>
      </c>
      <c r="F1046" s="1">
        <v>45003</v>
      </c>
      <c r="G1046" s="1">
        <v>45027</v>
      </c>
      <c r="H1046" t="s">
        <v>20</v>
      </c>
      <c r="I1046">
        <v>575.46</v>
      </c>
      <c r="J1046" t="s">
        <v>683</v>
      </c>
      <c r="K1046">
        <v>24</v>
      </c>
    </row>
    <row r="1047" spans="1:11" x14ac:dyDescent="0.35">
      <c r="A1047" t="s">
        <v>1212</v>
      </c>
      <c r="B1047" t="s">
        <v>463</v>
      </c>
      <c r="C1047" t="s">
        <v>559</v>
      </c>
      <c r="D1047" t="s">
        <v>669</v>
      </c>
      <c r="E1047" s="1">
        <v>45375</v>
      </c>
      <c r="F1047" s="1">
        <v>45378</v>
      </c>
      <c r="G1047" s="1">
        <v>45401</v>
      </c>
      <c r="H1047" t="s">
        <v>8</v>
      </c>
      <c r="I1047">
        <v>574.42999999999995</v>
      </c>
      <c r="J1047" t="s">
        <v>683</v>
      </c>
      <c r="K1047">
        <v>23</v>
      </c>
    </row>
    <row r="1048" spans="1:11" x14ac:dyDescent="0.35">
      <c r="A1048" t="s">
        <v>2076</v>
      </c>
      <c r="B1048" t="s">
        <v>164</v>
      </c>
      <c r="C1048" t="s">
        <v>534</v>
      </c>
      <c r="D1048" t="s">
        <v>667</v>
      </c>
      <c r="E1048" s="1">
        <v>45206</v>
      </c>
      <c r="F1048" s="1">
        <v>45209</v>
      </c>
      <c r="G1048" s="1">
        <v>45227</v>
      </c>
      <c r="H1048" t="s">
        <v>11</v>
      </c>
      <c r="I1048">
        <v>573.54</v>
      </c>
      <c r="J1048" t="s">
        <v>683</v>
      </c>
      <c r="K1048">
        <v>18</v>
      </c>
    </row>
    <row r="1049" spans="1:11" x14ac:dyDescent="0.35">
      <c r="A1049" t="s">
        <v>1496</v>
      </c>
      <c r="B1049" t="s">
        <v>404</v>
      </c>
      <c r="C1049" t="s">
        <v>603</v>
      </c>
      <c r="D1049" t="s">
        <v>667</v>
      </c>
      <c r="E1049" s="1">
        <v>45513</v>
      </c>
      <c r="F1049" s="1">
        <v>45517</v>
      </c>
      <c r="G1049" s="1">
        <v>45539</v>
      </c>
      <c r="H1049" t="s">
        <v>8</v>
      </c>
      <c r="I1049">
        <v>573.16999999999996</v>
      </c>
      <c r="J1049" t="s">
        <v>683</v>
      </c>
      <c r="K1049">
        <v>22</v>
      </c>
    </row>
    <row r="1050" spans="1:11" x14ac:dyDescent="0.35">
      <c r="A1050" t="s">
        <v>1975</v>
      </c>
      <c r="B1050" t="s">
        <v>427</v>
      </c>
      <c r="C1050" t="s">
        <v>579</v>
      </c>
      <c r="D1050" t="s">
        <v>669</v>
      </c>
      <c r="E1050" s="1">
        <v>45347</v>
      </c>
      <c r="F1050" s="1">
        <v>45351</v>
      </c>
      <c r="G1050" s="1"/>
      <c r="H1050" t="s">
        <v>20</v>
      </c>
      <c r="I1050">
        <v>572.21</v>
      </c>
      <c r="J1050" t="s">
        <v>689</v>
      </c>
    </row>
    <row r="1051" spans="1:11" x14ac:dyDescent="0.35">
      <c r="A1051" t="s">
        <v>1429</v>
      </c>
      <c r="B1051" t="s">
        <v>515</v>
      </c>
      <c r="C1051" t="s">
        <v>603</v>
      </c>
      <c r="D1051" t="s">
        <v>669</v>
      </c>
      <c r="E1051" s="1">
        <v>45231</v>
      </c>
      <c r="F1051" s="1">
        <v>45236</v>
      </c>
      <c r="G1051" s="1">
        <v>45247</v>
      </c>
      <c r="H1051" t="s">
        <v>11</v>
      </c>
      <c r="I1051">
        <v>571.57000000000005</v>
      </c>
      <c r="J1051" t="s">
        <v>683</v>
      </c>
      <c r="K1051">
        <v>11</v>
      </c>
    </row>
    <row r="1052" spans="1:11" x14ac:dyDescent="0.35">
      <c r="A1052" t="s">
        <v>962</v>
      </c>
      <c r="B1052" t="s">
        <v>71</v>
      </c>
      <c r="C1052" t="s">
        <v>591</v>
      </c>
      <c r="D1052" t="s">
        <v>667</v>
      </c>
      <c r="E1052" s="1">
        <v>45313</v>
      </c>
      <c r="F1052" s="1">
        <v>45318</v>
      </c>
      <c r="G1052" s="1">
        <v>45337</v>
      </c>
      <c r="H1052" t="s">
        <v>25</v>
      </c>
      <c r="I1052">
        <v>571.48</v>
      </c>
      <c r="J1052" t="s">
        <v>683</v>
      </c>
      <c r="K1052">
        <v>19</v>
      </c>
    </row>
    <row r="1053" spans="1:11" x14ac:dyDescent="0.35">
      <c r="A1053" t="s">
        <v>1084</v>
      </c>
      <c r="B1053" t="s">
        <v>80</v>
      </c>
      <c r="C1053" t="s">
        <v>527</v>
      </c>
      <c r="D1053" t="s">
        <v>667</v>
      </c>
      <c r="E1053" s="1">
        <v>45068</v>
      </c>
      <c r="F1053" s="1">
        <v>45072</v>
      </c>
      <c r="G1053" s="1">
        <v>45090</v>
      </c>
      <c r="H1053" t="s">
        <v>8</v>
      </c>
      <c r="I1053">
        <v>571.46</v>
      </c>
      <c r="J1053" t="s">
        <v>683</v>
      </c>
      <c r="K1053">
        <v>18</v>
      </c>
    </row>
    <row r="1054" spans="1:11" x14ac:dyDescent="0.35">
      <c r="A1054" t="s">
        <v>1928</v>
      </c>
      <c r="B1054" t="s">
        <v>64</v>
      </c>
      <c r="C1054" t="s">
        <v>571</v>
      </c>
      <c r="D1054" t="s">
        <v>667</v>
      </c>
      <c r="E1054" s="1">
        <v>45508</v>
      </c>
      <c r="F1054" s="1">
        <v>45513</v>
      </c>
      <c r="G1054" s="1">
        <v>45536</v>
      </c>
      <c r="H1054" t="s">
        <v>8</v>
      </c>
      <c r="I1054">
        <v>568.53</v>
      </c>
      <c r="J1054" t="s">
        <v>683</v>
      </c>
      <c r="K1054">
        <v>23</v>
      </c>
    </row>
    <row r="1055" spans="1:11" x14ac:dyDescent="0.35">
      <c r="A1055" t="s">
        <v>1677</v>
      </c>
      <c r="B1055" t="s">
        <v>225</v>
      </c>
      <c r="C1055" t="s">
        <v>555</v>
      </c>
      <c r="D1055" t="s">
        <v>669</v>
      </c>
      <c r="E1055" s="1">
        <v>45503</v>
      </c>
      <c r="F1055" s="1">
        <v>45505</v>
      </c>
      <c r="G1055" s="1"/>
      <c r="H1055" t="s">
        <v>8</v>
      </c>
      <c r="I1055">
        <v>566.67999999999995</v>
      </c>
      <c r="J1055" t="s">
        <v>689</v>
      </c>
    </row>
    <row r="1056" spans="1:11" x14ac:dyDescent="0.35">
      <c r="A1056" t="s">
        <v>2199</v>
      </c>
      <c r="B1056" t="s">
        <v>262</v>
      </c>
      <c r="C1056" t="s">
        <v>540</v>
      </c>
      <c r="D1056" t="s">
        <v>667</v>
      </c>
      <c r="E1056" s="1">
        <v>44969</v>
      </c>
      <c r="F1056" s="1">
        <v>44973</v>
      </c>
      <c r="G1056" s="1">
        <v>44976</v>
      </c>
      <c r="H1056" t="s">
        <v>20</v>
      </c>
      <c r="I1056">
        <v>563.52</v>
      </c>
      <c r="J1056" t="s">
        <v>683</v>
      </c>
      <c r="K1056">
        <v>3</v>
      </c>
    </row>
    <row r="1057" spans="1:11" x14ac:dyDescent="0.35">
      <c r="A1057" t="s">
        <v>698</v>
      </c>
      <c r="B1057" t="s">
        <v>409</v>
      </c>
      <c r="C1057" t="s">
        <v>589</v>
      </c>
      <c r="D1057" t="s">
        <v>669</v>
      </c>
      <c r="E1057" s="1">
        <v>45307</v>
      </c>
      <c r="F1057" s="1">
        <v>45309</v>
      </c>
      <c r="G1057" s="1">
        <v>45314</v>
      </c>
      <c r="H1057" t="s">
        <v>8</v>
      </c>
      <c r="I1057">
        <v>563.1</v>
      </c>
      <c r="J1057" t="s">
        <v>687</v>
      </c>
      <c r="K1057">
        <v>5</v>
      </c>
    </row>
    <row r="1058" spans="1:11" x14ac:dyDescent="0.35">
      <c r="A1058" t="s">
        <v>1554</v>
      </c>
      <c r="B1058" t="s">
        <v>105</v>
      </c>
      <c r="C1058" t="s">
        <v>569</v>
      </c>
      <c r="D1058" t="s">
        <v>669</v>
      </c>
      <c r="E1058" s="1">
        <v>45505</v>
      </c>
      <c r="F1058" s="1">
        <v>45509</v>
      </c>
      <c r="G1058" s="1">
        <v>45536</v>
      </c>
      <c r="H1058" t="s">
        <v>20</v>
      </c>
      <c r="I1058">
        <v>562.16</v>
      </c>
      <c r="J1058" t="s">
        <v>683</v>
      </c>
      <c r="K1058">
        <v>27</v>
      </c>
    </row>
    <row r="1059" spans="1:11" x14ac:dyDescent="0.35">
      <c r="A1059" t="s">
        <v>1527</v>
      </c>
      <c r="B1059" t="s">
        <v>211</v>
      </c>
      <c r="C1059" t="s">
        <v>553</v>
      </c>
      <c r="D1059" t="s">
        <v>667</v>
      </c>
      <c r="E1059" s="1">
        <v>45406</v>
      </c>
      <c r="F1059" s="1">
        <v>45411</v>
      </c>
      <c r="G1059" s="1">
        <v>45416</v>
      </c>
      <c r="H1059" t="s">
        <v>11</v>
      </c>
      <c r="I1059">
        <v>559.74</v>
      </c>
      <c r="J1059" t="s">
        <v>683</v>
      </c>
      <c r="K1059">
        <v>5</v>
      </c>
    </row>
    <row r="1060" spans="1:11" x14ac:dyDescent="0.35">
      <c r="A1060" t="s">
        <v>1663</v>
      </c>
      <c r="B1060" t="s">
        <v>455</v>
      </c>
      <c r="C1060" t="s">
        <v>557</v>
      </c>
      <c r="D1060" t="s">
        <v>667</v>
      </c>
      <c r="E1060" s="1">
        <v>45167</v>
      </c>
      <c r="F1060" s="1">
        <v>45168</v>
      </c>
      <c r="G1060" s="1">
        <v>45196</v>
      </c>
      <c r="H1060" t="s">
        <v>13</v>
      </c>
      <c r="I1060">
        <v>559.49</v>
      </c>
      <c r="J1060" t="s">
        <v>683</v>
      </c>
      <c r="K1060">
        <v>28</v>
      </c>
    </row>
    <row r="1061" spans="1:11" x14ac:dyDescent="0.35">
      <c r="A1061" t="s">
        <v>2363</v>
      </c>
      <c r="B1061" t="s">
        <v>91</v>
      </c>
      <c r="C1061" t="s">
        <v>583</v>
      </c>
      <c r="D1061" t="s">
        <v>633</v>
      </c>
      <c r="E1061" s="1">
        <v>45227</v>
      </c>
      <c r="F1061" s="1">
        <v>45228</v>
      </c>
      <c r="G1061" s="1">
        <v>45254</v>
      </c>
      <c r="H1061" t="s">
        <v>13</v>
      </c>
      <c r="I1061">
        <v>559.41999999999996</v>
      </c>
      <c r="J1061" t="s">
        <v>687</v>
      </c>
      <c r="K1061">
        <v>26</v>
      </c>
    </row>
    <row r="1062" spans="1:11" x14ac:dyDescent="0.35">
      <c r="A1062" t="s">
        <v>2558</v>
      </c>
      <c r="B1062" t="s">
        <v>19</v>
      </c>
      <c r="C1062" t="s">
        <v>603</v>
      </c>
      <c r="D1062" t="s">
        <v>633</v>
      </c>
      <c r="E1062" s="1">
        <v>45215</v>
      </c>
      <c r="F1062" s="1">
        <v>45219</v>
      </c>
      <c r="G1062" s="1">
        <v>45248</v>
      </c>
      <c r="H1062" t="s">
        <v>20</v>
      </c>
      <c r="I1062">
        <v>559.34</v>
      </c>
      <c r="J1062" t="s">
        <v>683</v>
      </c>
      <c r="K1062">
        <v>29</v>
      </c>
    </row>
    <row r="1063" spans="1:11" x14ac:dyDescent="0.35">
      <c r="A1063" t="s">
        <v>2022</v>
      </c>
      <c r="B1063" t="s">
        <v>415</v>
      </c>
      <c r="C1063" t="s">
        <v>593</v>
      </c>
      <c r="D1063" t="s">
        <v>669</v>
      </c>
      <c r="E1063" s="1">
        <v>45008</v>
      </c>
      <c r="F1063" s="1">
        <v>45010</v>
      </c>
      <c r="G1063" s="1">
        <v>45037</v>
      </c>
      <c r="H1063" t="s">
        <v>13</v>
      </c>
      <c r="I1063">
        <v>559.12</v>
      </c>
      <c r="J1063" t="s">
        <v>683</v>
      </c>
      <c r="K1063">
        <v>27</v>
      </c>
    </row>
    <row r="1064" spans="1:11" x14ac:dyDescent="0.35">
      <c r="A1064" t="s">
        <v>850</v>
      </c>
      <c r="B1064" t="s">
        <v>471</v>
      </c>
      <c r="C1064" t="s">
        <v>577</v>
      </c>
      <c r="D1064" t="s">
        <v>669</v>
      </c>
      <c r="E1064" s="1">
        <v>44947</v>
      </c>
      <c r="F1064" s="1">
        <v>44948</v>
      </c>
      <c r="G1064" s="1">
        <v>44959</v>
      </c>
      <c r="H1064" t="s">
        <v>25</v>
      </c>
      <c r="I1064">
        <v>558.74</v>
      </c>
      <c r="J1064" t="s">
        <v>683</v>
      </c>
      <c r="K1064">
        <v>11</v>
      </c>
    </row>
    <row r="1065" spans="1:11" x14ac:dyDescent="0.35">
      <c r="A1065" t="s">
        <v>1564</v>
      </c>
      <c r="B1065" t="s">
        <v>230</v>
      </c>
      <c r="C1065" t="s">
        <v>546</v>
      </c>
      <c r="D1065" t="s">
        <v>633</v>
      </c>
      <c r="E1065" s="1">
        <v>45054</v>
      </c>
      <c r="F1065" s="1">
        <v>45059</v>
      </c>
      <c r="G1065" s="1">
        <v>45074</v>
      </c>
      <c r="H1065" t="s">
        <v>20</v>
      </c>
      <c r="I1065">
        <v>558.73</v>
      </c>
      <c r="J1065" t="s">
        <v>687</v>
      </c>
      <c r="K1065">
        <v>15</v>
      </c>
    </row>
    <row r="1066" spans="1:11" x14ac:dyDescent="0.35">
      <c r="A1066" t="s">
        <v>1583</v>
      </c>
      <c r="B1066" t="s">
        <v>86</v>
      </c>
      <c r="C1066" t="s">
        <v>579</v>
      </c>
      <c r="D1066" t="s">
        <v>633</v>
      </c>
      <c r="E1066" s="1">
        <v>45611</v>
      </c>
      <c r="F1066" s="1">
        <v>45613</v>
      </c>
      <c r="G1066" s="1">
        <v>45638</v>
      </c>
      <c r="H1066" t="s">
        <v>20</v>
      </c>
      <c r="I1066">
        <v>558.36</v>
      </c>
      <c r="J1066" t="s">
        <v>683</v>
      </c>
      <c r="K1066">
        <v>25</v>
      </c>
    </row>
    <row r="1067" spans="1:11" x14ac:dyDescent="0.35">
      <c r="A1067" t="s">
        <v>1336</v>
      </c>
      <c r="B1067" t="s">
        <v>245</v>
      </c>
      <c r="C1067" t="s">
        <v>540</v>
      </c>
      <c r="D1067" t="s">
        <v>633</v>
      </c>
      <c r="E1067" s="1">
        <v>45355</v>
      </c>
      <c r="F1067" s="1">
        <v>45357</v>
      </c>
      <c r="G1067" s="1">
        <v>45361</v>
      </c>
      <c r="H1067" t="s">
        <v>8</v>
      </c>
      <c r="I1067">
        <v>558.27</v>
      </c>
      <c r="J1067" t="s">
        <v>683</v>
      </c>
      <c r="K1067">
        <v>4</v>
      </c>
    </row>
    <row r="1068" spans="1:11" x14ac:dyDescent="0.35">
      <c r="A1068" t="s">
        <v>1603</v>
      </c>
      <c r="B1068" t="s">
        <v>154</v>
      </c>
      <c r="C1068" t="s">
        <v>579</v>
      </c>
      <c r="D1068" t="s">
        <v>633</v>
      </c>
      <c r="E1068" s="1">
        <v>45110</v>
      </c>
      <c r="F1068" s="1">
        <v>45114</v>
      </c>
      <c r="G1068" s="1">
        <v>45138</v>
      </c>
      <c r="H1068" t="s">
        <v>13</v>
      </c>
      <c r="I1068">
        <v>557.91999999999996</v>
      </c>
      <c r="J1068" t="s">
        <v>683</v>
      </c>
      <c r="K1068">
        <v>24</v>
      </c>
    </row>
    <row r="1069" spans="1:11" x14ac:dyDescent="0.35">
      <c r="A1069" t="s">
        <v>736</v>
      </c>
      <c r="B1069" t="s">
        <v>417</v>
      </c>
      <c r="C1069" t="s">
        <v>569</v>
      </c>
      <c r="D1069" t="s">
        <v>669</v>
      </c>
      <c r="E1069" s="1">
        <v>45468</v>
      </c>
      <c r="F1069" s="1">
        <v>45471</v>
      </c>
      <c r="G1069" s="1">
        <v>45484</v>
      </c>
      <c r="H1069" t="s">
        <v>25</v>
      </c>
      <c r="I1069">
        <v>556.64</v>
      </c>
      <c r="J1069" t="s">
        <v>683</v>
      </c>
      <c r="K1069">
        <v>13</v>
      </c>
    </row>
    <row r="1070" spans="1:11" x14ac:dyDescent="0.35">
      <c r="A1070" t="s">
        <v>846</v>
      </c>
      <c r="B1070" t="s">
        <v>203</v>
      </c>
      <c r="C1070" t="s">
        <v>573</v>
      </c>
      <c r="D1070" t="s">
        <v>669</v>
      </c>
      <c r="E1070" s="1">
        <v>45068</v>
      </c>
      <c r="F1070" s="1">
        <v>45073</v>
      </c>
      <c r="G1070" s="1">
        <v>45095</v>
      </c>
      <c r="H1070" t="s">
        <v>25</v>
      </c>
      <c r="I1070">
        <v>556.53</v>
      </c>
      <c r="J1070" t="s">
        <v>683</v>
      </c>
      <c r="K1070">
        <v>22</v>
      </c>
    </row>
    <row r="1071" spans="1:11" x14ac:dyDescent="0.35">
      <c r="A1071" t="s">
        <v>1970</v>
      </c>
      <c r="B1071" t="s">
        <v>503</v>
      </c>
      <c r="C1071" t="s">
        <v>561</v>
      </c>
      <c r="D1071" t="s">
        <v>667</v>
      </c>
      <c r="E1071" s="1">
        <v>45526</v>
      </c>
      <c r="F1071" s="1">
        <v>45527</v>
      </c>
      <c r="G1071" s="1">
        <v>45543</v>
      </c>
      <c r="H1071" t="s">
        <v>20</v>
      </c>
      <c r="I1071">
        <v>555.85</v>
      </c>
      <c r="J1071" t="s">
        <v>683</v>
      </c>
      <c r="K1071">
        <v>16</v>
      </c>
    </row>
    <row r="1072" spans="1:11" x14ac:dyDescent="0.35">
      <c r="A1072" t="s">
        <v>1870</v>
      </c>
      <c r="B1072" t="s">
        <v>432</v>
      </c>
      <c r="C1072" t="s">
        <v>591</v>
      </c>
      <c r="D1072" t="s">
        <v>633</v>
      </c>
      <c r="E1072" s="1">
        <v>45382</v>
      </c>
      <c r="F1072" s="1">
        <v>45387</v>
      </c>
      <c r="G1072" s="1">
        <v>45402</v>
      </c>
      <c r="H1072" t="s">
        <v>11</v>
      </c>
      <c r="I1072">
        <v>555.70000000000005</v>
      </c>
      <c r="J1072" t="s">
        <v>683</v>
      </c>
      <c r="K1072">
        <v>15</v>
      </c>
    </row>
    <row r="1073" spans="1:11" x14ac:dyDescent="0.35">
      <c r="A1073" t="s">
        <v>1274</v>
      </c>
      <c r="B1073" t="s">
        <v>18</v>
      </c>
      <c r="C1073" t="s">
        <v>559</v>
      </c>
      <c r="D1073" t="s">
        <v>667</v>
      </c>
      <c r="E1073" s="1">
        <v>45357</v>
      </c>
      <c r="F1073" s="1">
        <v>45362</v>
      </c>
      <c r="G1073" s="1">
        <v>45387</v>
      </c>
      <c r="H1073" t="s">
        <v>8</v>
      </c>
      <c r="I1073">
        <v>555.67999999999995</v>
      </c>
      <c r="J1073" t="s">
        <v>683</v>
      </c>
      <c r="K1073">
        <v>25</v>
      </c>
    </row>
    <row r="1074" spans="1:11" x14ac:dyDescent="0.35">
      <c r="A1074" t="s">
        <v>2526</v>
      </c>
      <c r="B1074" t="s">
        <v>483</v>
      </c>
      <c r="C1074" t="s">
        <v>601</v>
      </c>
      <c r="D1074" t="s">
        <v>633</v>
      </c>
      <c r="E1074" s="1">
        <v>45556</v>
      </c>
      <c r="F1074" s="1">
        <v>45559</v>
      </c>
      <c r="G1074" s="1">
        <v>45588</v>
      </c>
      <c r="H1074" t="s">
        <v>11</v>
      </c>
      <c r="I1074">
        <v>554.72</v>
      </c>
      <c r="J1074" t="s">
        <v>683</v>
      </c>
      <c r="K1074">
        <v>29</v>
      </c>
    </row>
    <row r="1075" spans="1:11" x14ac:dyDescent="0.35">
      <c r="A1075" t="s">
        <v>759</v>
      </c>
      <c r="B1075" t="s">
        <v>120</v>
      </c>
      <c r="C1075" t="s">
        <v>605</v>
      </c>
      <c r="D1075" t="s">
        <v>633</v>
      </c>
      <c r="E1075" s="1">
        <v>44973</v>
      </c>
      <c r="F1075" s="1">
        <v>44975</v>
      </c>
      <c r="G1075" s="1">
        <v>45004</v>
      </c>
      <c r="H1075" t="s">
        <v>13</v>
      </c>
      <c r="I1075">
        <v>554.38</v>
      </c>
      <c r="J1075" t="s">
        <v>683</v>
      </c>
      <c r="K1075">
        <v>29</v>
      </c>
    </row>
    <row r="1076" spans="1:11" x14ac:dyDescent="0.35">
      <c r="A1076" t="s">
        <v>2141</v>
      </c>
      <c r="B1076" t="s">
        <v>322</v>
      </c>
      <c r="C1076" t="s">
        <v>540</v>
      </c>
      <c r="D1076" t="s">
        <v>633</v>
      </c>
      <c r="E1076" s="1">
        <v>45180</v>
      </c>
      <c r="F1076" s="1">
        <v>45181</v>
      </c>
      <c r="G1076" s="1">
        <v>45211</v>
      </c>
      <c r="H1076" t="s">
        <v>11</v>
      </c>
      <c r="I1076">
        <v>554.17999999999995</v>
      </c>
      <c r="J1076" t="s">
        <v>687</v>
      </c>
      <c r="K1076">
        <v>30</v>
      </c>
    </row>
    <row r="1077" spans="1:11" x14ac:dyDescent="0.35">
      <c r="A1077" t="s">
        <v>2494</v>
      </c>
      <c r="B1077" t="s">
        <v>393</v>
      </c>
      <c r="C1077" t="s">
        <v>571</v>
      </c>
      <c r="D1077" t="s">
        <v>667</v>
      </c>
      <c r="E1077" s="1">
        <v>44995</v>
      </c>
      <c r="F1077" s="1">
        <v>45000</v>
      </c>
      <c r="G1077" s="1">
        <v>45028</v>
      </c>
      <c r="H1077" t="s">
        <v>11</v>
      </c>
      <c r="I1077">
        <v>553.82000000000005</v>
      </c>
      <c r="J1077" t="s">
        <v>683</v>
      </c>
      <c r="K1077">
        <v>28</v>
      </c>
    </row>
    <row r="1078" spans="1:11" x14ac:dyDescent="0.35">
      <c r="A1078" t="s">
        <v>871</v>
      </c>
      <c r="B1078" t="s">
        <v>496</v>
      </c>
      <c r="C1078" t="s">
        <v>585</v>
      </c>
      <c r="D1078" t="s">
        <v>669</v>
      </c>
      <c r="E1078" s="1">
        <v>45499</v>
      </c>
      <c r="F1078" s="1">
        <v>45501</v>
      </c>
      <c r="G1078" s="1"/>
      <c r="H1078" t="s">
        <v>13</v>
      </c>
      <c r="I1078">
        <v>553.78</v>
      </c>
      <c r="J1078" t="s">
        <v>689</v>
      </c>
    </row>
    <row r="1079" spans="1:11" x14ac:dyDescent="0.35">
      <c r="A1079" t="s">
        <v>1598</v>
      </c>
      <c r="B1079" t="s">
        <v>167</v>
      </c>
      <c r="C1079" t="s">
        <v>543</v>
      </c>
      <c r="D1079" t="s">
        <v>633</v>
      </c>
      <c r="E1079" s="1">
        <v>45114</v>
      </c>
      <c r="F1079" s="1">
        <v>45117</v>
      </c>
      <c r="G1079" s="1"/>
      <c r="H1079" t="s">
        <v>11</v>
      </c>
      <c r="I1079">
        <v>552.04</v>
      </c>
      <c r="J1079" t="s">
        <v>689</v>
      </c>
    </row>
    <row r="1080" spans="1:11" x14ac:dyDescent="0.35">
      <c r="A1080" t="s">
        <v>752</v>
      </c>
      <c r="B1080" t="s">
        <v>186</v>
      </c>
      <c r="C1080" t="s">
        <v>540</v>
      </c>
      <c r="D1080" t="s">
        <v>669</v>
      </c>
      <c r="E1080" s="1">
        <v>45229</v>
      </c>
      <c r="F1080" s="1">
        <v>45232</v>
      </c>
      <c r="G1080" s="1">
        <v>45255</v>
      </c>
      <c r="H1080" t="s">
        <v>20</v>
      </c>
      <c r="I1080">
        <v>551.25</v>
      </c>
      <c r="J1080" t="s">
        <v>687</v>
      </c>
      <c r="K1080">
        <v>23</v>
      </c>
    </row>
    <row r="1081" spans="1:11" x14ac:dyDescent="0.35">
      <c r="A1081" t="s">
        <v>2484</v>
      </c>
      <c r="B1081" t="s">
        <v>382</v>
      </c>
      <c r="C1081" t="s">
        <v>589</v>
      </c>
      <c r="D1081" t="s">
        <v>669</v>
      </c>
      <c r="E1081" s="1">
        <v>45267</v>
      </c>
      <c r="F1081" s="1">
        <v>45268</v>
      </c>
      <c r="G1081" s="1">
        <v>45271</v>
      </c>
      <c r="H1081" t="s">
        <v>8</v>
      </c>
      <c r="I1081">
        <v>550.98</v>
      </c>
      <c r="J1081" t="s">
        <v>683</v>
      </c>
      <c r="K1081">
        <v>3</v>
      </c>
    </row>
    <row r="1082" spans="1:11" x14ac:dyDescent="0.35">
      <c r="A1082" t="s">
        <v>1175</v>
      </c>
      <c r="B1082" t="s">
        <v>495</v>
      </c>
      <c r="C1082" t="s">
        <v>531</v>
      </c>
      <c r="D1082" t="s">
        <v>669</v>
      </c>
      <c r="E1082" s="1">
        <v>45453</v>
      </c>
      <c r="F1082" s="1">
        <v>45458</v>
      </c>
      <c r="G1082" s="1">
        <v>45474</v>
      </c>
      <c r="H1082" t="s">
        <v>13</v>
      </c>
      <c r="I1082">
        <v>550.32000000000005</v>
      </c>
      <c r="J1082" t="s">
        <v>683</v>
      </c>
      <c r="K1082">
        <v>16</v>
      </c>
    </row>
    <row r="1083" spans="1:11" x14ac:dyDescent="0.35">
      <c r="A1083" t="s">
        <v>1350</v>
      </c>
      <c r="B1083" t="s">
        <v>112</v>
      </c>
      <c r="C1083" t="s">
        <v>587</v>
      </c>
      <c r="D1083" t="s">
        <v>669</v>
      </c>
      <c r="E1083" s="1">
        <v>45286</v>
      </c>
      <c r="F1083" s="1">
        <v>45287</v>
      </c>
      <c r="G1083" s="1">
        <v>45292</v>
      </c>
      <c r="H1083" t="s">
        <v>13</v>
      </c>
      <c r="I1083">
        <v>549.4</v>
      </c>
      <c r="J1083" t="s">
        <v>683</v>
      </c>
      <c r="K1083">
        <v>5</v>
      </c>
    </row>
    <row r="1084" spans="1:11" x14ac:dyDescent="0.35">
      <c r="A1084" t="s">
        <v>2516</v>
      </c>
      <c r="B1084" t="s">
        <v>295</v>
      </c>
      <c r="C1084" t="s">
        <v>583</v>
      </c>
      <c r="D1084" t="s">
        <v>669</v>
      </c>
      <c r="E1084" s="1">
        <v>45240</v>
      </c>
      <c r="F1084" s="1">
        <v>45242</v>
      </c>
      <c r="G1084" s="1">
        <v>45257</v>
      </c>
      <c r="H1084" t="s">
        <v>8</v>
      </c>
      <c r="I1084">
        <v>546.29999999999995</v>
      </c>
      <c r="J1084" t="s">
        <v>683</v>
      </c>
      <c r="K1084">
        <v>15</v>
      </c>
    </row>
    <row r="1085" spans="1:11" x14ac:dyDescent="0.35">
      <c r="A1085" t="s">
        <v>2541</v>
      </c>
      <c r="B1085" t="s">
        <v>189</v>
      </c>
      <c r="C1085" t="s">
        <v>540</v>
      </c>
      <c r="D1085" t="s">
        <v>633</v>
      </c>
      <c r="E1085" s="1">
        <v>45598</v>
      </c>
      <c r="F1085" s="1">
        <v>45602</v>
      </c>
      <c r="G1085" s="1">
        <v>45614</v>
      </c>
      <c r="H1085" t="s">
        <v>8</v>
      </c>
      <c r="I1085">
        <v>544.64</v>
      </c>
      <c r="J1085" t="s">
        <v>683</v>
      </c>
      <c r="K1085">
        <v>12</v>
      </c>
    </row>
    <row r="1086" spans="1:11" x14ac:dyDescent="0.35">
      <c r="A1086" t="s">
        <v>2130</v>
      </c>
      <c r="B1086" t="s">
        <v>431</v>
      </c>
      <c r="C1086" t="s">
        <v>527</v>
      </c>
      <c r="D1086" t="s">
        <v>633</v>
      </c>
      <c r="E1086" s="1">
        <v>45430</v>
      </c>
      <c r="F1086" s="1">
        <v>45434</v>
      </c>
      <c r="G1086" s="1">
        <v>45447</v>
      </c>
      <c r="H1086" t="s">
        <v>20</v>
      </c>
      <c r="I1086">
        <v>543.66999999999996</v>
      </c>
      <c r="J1086" t="s">
        <v>683</v>
      </c>
      <c r="K1086">
        <v>13</v>
      </c>
    </row>
    <row r="1087" spans="1:11" x14ac:dyDescent="0.35">
      <c r="A1087" t="s">
        <v>1139</v>
      </c>
      <c r="B1087" t="s">
        <v>239</v>
      </c>
      <c r="C1087" t="s">
        <v>565</v>
      </c>
      <c r="D1087" t="s">
        <v>633</v>
      </c>
      <c r="E1087" s="1">
        <v>45181</v>
      </c>
      <c r="F1087" s="1">
        <v>45183</v>
      </c>
      <c r="G1087" s="1">
        <v>45200</v>
      </c>
      <c r="H1087" t="s">
        <v>20</v>
      </c>
      <c r="I1087">
        <v>542.17999999999995</v>
      </c>
      <c r="J1087" t="s">
        <v>683</v>
      </c>
      <c r="K1087">
        <v>17</v>
      </c>
    </row>
    <row r="1088" spans="1:11" x14ac:dyDescent="0.35">
      <c r="A1088" t="s">
        <v>1310</v>
      </c>
      <c r="B1088" t="s">
        <v>516</v>
      </c>
      <c r="C1088" t="s">
        <v>577</v>
      </c>
      <c r="D1088" t="s">
        <v>633</v>
      </c>
      <c r="E1088" s="1">
        <v>45604</v>
      </c>
      <c r="F1088" s="1">
        <v>45609</v>
      </c>
      <c r="G1088" s="1"/>
      <c r="H1088" t="s">
        <v>8</v>
      </c>
      <c r="I1088">
        <v>541.88</v>
      </c>
      <c r="J1088" t="s">
        <v>689</v>
      </c>
    </row>
    <row r="1089" spans="1:11" x14ac:dyDescent="0.35">
      <c r="A1089" t="s">
        <v>988</v>
      </c>
      <c r="B1089" t="s">
        <v>422</v>
      </c>
      <c r="C1089" t="s">
        <v>571</v>
      </c>
      <c r="D1089" t="s">
        <v>667</v>
      </c>
      <c r="E1089" s="1">
        <v>45186</v>
      </c>
      <c r="F1089" s="1">
        <v>45190</v>
      </c>
      <c r="G1089" s="1">
        <v>45198</v>
      </c>
      <c r="H1089" t="s">
        <v>11</v>
      </c>
      <c r="I1089">
        <v>541.04999999999995</v>
      </c>
      <c r="J1089" t="s">
        <v>683</v>
      </c>
      <c r="K1089">
        <v>8</v>
      </c>
    </row>
    <row r="1090" spans="1:11" x14ac:dyDescent="0.35">
      <c r="A1090" t="s">
        <v>2252</v>
      </c>
      <c r="B1090" t="s">
        <v>350</v>
      </c>
      <c r="C1090" t="s">
        <v>555</v>
      </c>
      <c r="D1090" t="s">
        <v>633</v>
      </c>
      <c r="E1090" s="1">
        <v>45023</v>
      </c>
      <c r="F1090" s="1">
        <v>45025</v>
      </c>
      <c r="G1090" s="1">
        <v>45048</v>
      </c>
      <c r="H1090" t="s">
        <v>20</v>
      </c>
      <c r="I1090">
        <v>540.12</v>
      </c>
      <c r="J1090" t="s">
        <v>683</v>
      </c>
      <c r="K1090">
        <v>23</v>
      </c>
    </row>
    <row r="1091" spans="1:11" x14ac:dyDescent="0.35">
      <c r="A1091" t="s">
        <v>2647</v>
      </c>
      <c r="B1091" t="s">
        <v>253</v>
      </c>
      <c r="C1091" t="s">
        <v>561</v>
      </c>
      <c r="D1091" t="s">
        <v>667</v>
      </c>
      <c r="E1091" s="1">
        <v>45355</v>
      </c>
      <c r="F1091" s="1">
        <v>45358</v>
      </c>
      <c r="G1091" s="1">
        <v>45374</v>
      </c>
      <c r="H1091" t="s">
        <v>8</v>
      </c>
      <c r="I1091">
        <v>539.63</v>
      </c>
      <c r="J1091" t="s">
        <v>683</v>
      </c>
      <c r="K1091">
        <v>16</v>
      </c>
    </row>
    <row r="1092" spans="1:11" x14ac:dyDescent="0.35">
      <c r="A1092" t="s">
        <v>1893</v>
      </c>
      <c r="B1092" t="s">
        <v>267</v>
      </c>
      <c r="C1092" t="s">
        <v>587</v>
      </c>
      <c r="D1092" t="s">
        <v>667</v>
      </c>
      <c r="E1092" s="1">
        <v>45492</v>
      </c>
      <c r="F1092" s="1">
        <v>45493</v>
      </c>
      <c r="G1092" s="1">
        <v>45510</v>
      </c>
      <c r="H1092" t="s">
        <v>25</v>
      </c>
      <c r="I1092">
        <v>538.9</v>
      </c>
      <c r="J1092" t="s">
        <v>683</v>
      </c>
      <c r="K1092">
        <v>17</v>
      </c>
    </row>
    <row r="1093" spans="1:11" x14ac:dyDescent="0.35">
      <c r="A1093" t="s">
        <v>2508</v>
      </c>
      <c r="B1093" t="s">
        <v>382</v>
      </c>
      <c r="C1093" t="s">
        <v>546</v>
      </c>
      <c r="D1093" t="s">
        <v>633</v>
      </c>
      <c r="E1093" s="1">
        <v>45237</v>
      </c>
      <c r="F1093" s="1">
        <v>45241</v>
      </c>
      <c r="G1093" s="1">
        <v>45249</v>
      </c>
      <c r="H1093" t="s">
        <v>8</v>
      </c>
      <c r="I1093">
        <v>538.26</v>
      </c>
      <c r="J1093" t="s">
        <v>683</v>
      </c>
      <c r="K1093">
        <v>8</v>
      </c>
    </row>
    <row r="1094" spans="1:11" x14ac:dyDescent="0.35">
      <c r="A1094" t="s">
        <v>1003</v>
      </c>
      <c r="B1094" t="s">
        <v>59</v>
      </c>
      <c r="C1094" t="s">
        <v>575</v>
      </c>
      <c r="D1094" t="s">
        <v>667</v>
      </c>
      <c r="E1094" s="1">
        <v>45402</v>
      </c>
      <c r="F1094" s="1">
        <v>45403</v>
      </c>
      <c r="G1094" s="1">
        <v>45408</v>
      </c>
      <c r="H1094" t="s">
        <v>25</v>
      </c>
      <c r="I1094">
        <v>538.23</v>
      </c>
      <c r="J1094" t="s">
        <v>683</v>
      </c>
      <c r="K1094">
        <v>5</v>
      </c>
    </row>
    <row r="1095" spans="1:11" x14ac:dyDescent="0.35">
      <c r="A1095" t="s">
        <v>797</v>
      </c>
      <c r="B1095" t="s">
        <v>189</v>
      </c>
      <c r="C1095" t="s">
        <v>609</v>
      </c>
      <c r="D1095" t="s">
        <v>667</v>
      </c>
      <c r="E1095" s="1">
        <v>45538</v>
      </c>
      <c r="F1095" s="1">
        <v>45539</v>
      </c>
      <c r="G1095" s="1">
        <v>45560</v>
      </c>
      <c r="H1095" t="s">
        <v>8</v>
      </c>
      <c r="I1095">
        <v>536.29999999999995</v>
      </c>
      <c r="J1095" t="s">
        <v>683</v>
      </c>
      <c r="K1095">
        <v>21</v>
      </c>
    </row>
    <row r="1096" spans="1:11" x14ac:dyDescent="0.35">
      <c r="A1096" t="s">
        <v>1821</v>
      </c>
      <c r="B1096" t="s">
        <v>389</v>
      </c>
      <c r="C1096" t="s">
        <v>527</v>
      </c>
      <c r="D1096" t="s">
        <v>633</v>
      </c>
      <c r="E1096" s="1">
        <v>45151</v>
      </c>
      <c r="F1096" s="1">
        <v>45156</v>
      </c>
      <c r="G1096" s="1">
        <v>45164</v>
      </c>
      <c r="H1096" t="s">
        <v>8</v>
      </c>
      <c r="I1096">
        <v>535.73</v>
      </c>
      <c r="J1096" t="s">
        <v>683</v>
      </c>
      <c r="K1096">
        <v>8</v>
      </c>
    </row>
    <row r="1097" spans="1:11" x14ac:dyDescent="0.35">
      <c r="A1097" t="s">
        <v>1622</v>
      </c>
      <c r="B1097" t="s">
        <v>213</v>
      </c>
      <c r="C1097" t="s">
        <v>611</v>
      </c>
      <c r="D1097" t="s">
        <v>633</v>
      </c>
      <c r="E1097" s="1">
        <v>44979</v>
      </c>
      <c r="F1097" s="1">
        <v>44981</v>
      </c>
      <c r="G1097" s="1">
        <v>45002</v>
      </c>
      <c r="H1097" t="s">
        <v>8</v>
      </c>
      <c r="I1097">
        <v>534.75</v>
      </c>
      <c r="J1097" t="s">
        <v>683</v>
      </c>
      <c r="K1097">
        <v>21</v>
      </c>
    </row>
    <row r="1098" spans="1:11" x14ac:dyDescent="0.35">
      <c r="A1098" t="s">
        <v>2521</v>
      </c>
      <c r="B1098" t="s">
        <v>329</v>
      </c>
      <c r="C1098" t="s">
        <v>527</v>
      </c>
      <c r="D1098" t="s">
        <v>633</v>
      </c>
      <c r="E1098" s="1">
        <v>45035</v>
      </c>
      <c r="F1098" s="1">
        <v>45038</v>
      </c>
      <c r="G1098" s="1">
        <v>45043</v>
      </c>
      <c r="H1098" t="s">
        <v>13</v>
      </c>
      <c r="I1098">
        <v>534.01</v>
      </c>
      <c r="J1098" t="s">
        <v>683</v>
      </c>
      <c r="K1098">
        <v>5</v>
      </c>
    </row>
    <row r="1099" spans="1:11" x14ac:dyDescent="0.35">
      <c r="A1099" t="s">
        <v>1332</v>
      </c>
      <c r="B1099" t="s">
        <v>127</v>
      </c>
      <c r="C1099" t="s">
        <v>595</v>
      </c>
      <c r="D1099" t="s">
        <v>667</v>
      </c>
      <c r="E1099" s="1">
        <v>45033</v>
      </c>
      <c r="F1099" s="1">
        <v>45037</v>
      </c>
      <c r="G1099" s="1">
        <v>45052</v>
      </c>
      <c r="H1099" t="s">
        <v>11</v>
      </c>
      <c r="I1099">
        <v>533.14</v>
      </c>
      <c r="J1099" t="s">
        <v>683</v>
      </c>
      <c r="K1099">
        <v>15</v>
      </c>
    </row>
    <row r="1100" spans="1:11" x14ac:dyDescent="0.35">
      <c r="A1100" t="s">
        <v>2664</v>
      </c>
      <c r="B1100" t="s">
        <v>474</v>
      </c>
      <c r="C1100" t="s">
        <v>527</v>
      </c>
      <c r="D1100" t="s">
        <v>633</v>
      </c>
      <c r="E1100" s="1">
        <v>45261</v>
      </c>
      <c r="F1100" s="1">
        <v>45263</v>
      </c>
      <c r="G1100" s="1"/>
      <c r="H1100" t="s">
        <v>25</v>
      </c>
      <c r="I1100">
        <v>532.54</v>
      </c>
      <c r="J1100" t="s">
        <v>689</v>
      </c>
    </row>
    <row r="1101" spans="1:11" x14ac:dyDescent="0.35">
      <c r="A1101" t="s">
        <v>1764</v>
      </c>
      <c r="B1101" t="s">
        <v>379</v>
      </c>
      <c r="C1101" t="s">
        <v>603</v>
      </c>
      <c r="D1101" t="s">
        <v>667</v>
      </c>
      <c r="E1101" s="1">
        <v>44970</v>
      </c>
      <c r="F1101" s="1">
        <v>44973</v>
      </c>
      <c r="G1101" s="1"/>
      <c r="H1101" t="s">
        <v>13</v>
      </c>
      <c r="I1101">
        <v>531.45000000000005</v>
      </c>
      <c r="J1101" t="s">
        <v>689</v>
      </c>
    </row>
    <row r="1102" spans="1:11" x14ac:dyDescent="0.35">
      <c r="A1102" t="s">
        <v>879</v>
      </c>
      <c r="B1102" t="s">
        <v>159</v>
      </c>
      <c r="C1102" t="s">
        <v>571</v>
      </c>
      <c r="D1102" t="s">
        <v>667</v>
      </c>
      <c r="E1102" s="1">
        <v>45103</v>
      </c>
      <c r="F1102" s="1">
        <v>45108</v>
      </c>
      <c r="G1102" s="1">
        <v>45125</v>
      </c>
      <c r="H1102" t="s">
        <v>11</v>
      </c>
      <c r="I1102">
        <v>528.83000000000004</v>
      </c>
      <c r="J1102" t="s">
        <v>683</v>
      </c>
      <c r="K1102">
        <v>17</v>
      </c>
    </row>
    <row r="1103" spans="1:11" x14ac:dyDescent="0.35">
      <c r="A1103" t="s">
        <v>2031</v>
      </c>
      <c r="B1103" t="s">
        <v>80</v>
      </c>
      <c r="C1103" t="s">
        <v>540</v>
      </c>
      <c r="D1103" t="s">
        <v>667</v>
      </c>
      <c r="E1103" s="1">
        <v>45641</v>
      </c>
      <c r="F1103" s="1">
        <v>45644</v>
      </c>
      <c r="G1103" s="1">
        <v>45662</v>
      </c>
      <c r="H1103" t="s">
        <v>8</v>
      </c>
      <c r="I1103">
        <v>527.83000000000004</v>
      </c>
      <c r="J1103" t="s">
        <v>683</v>
      </c>
      <c r="K1103">
        <v>18</v>
      </c>
    </row>
    <row r="1104" spans="1:11" x14ac:dyDescent="0.35">
      <c r="A1104" t="s">
        <v>1017</v>
      </c>
      <c r="B1104" t="s">
        <v>477</v>
      </c>
      <c r="C1104" t="s">
        <v>569</v>
      </c>
      <c r="D1104" t="s">
        <v>633</v>
      </c>
      <c r="E1104" s="1">
        <v>45651</v>
      </c>
      <c r="F1104" s="1">
        <v>45654</v>
      </c>
      <c r="G1104" s="1">
        <v>45663</v>
      </c>
      <c r="H1104" t="s">
        <v>20</v>
      </c>
      <c r="I1104">
        <v>527.78</v>
      </c>
      <c r="J1104" t="s">
        <v>683</v>
      </c>
      <c r="K1104">
        <v>9</v>
      </c>
    </row>
    <row r="1105" spans="1:11" x14ac:dyDescent="0.35">
      <c r="A1105" t="s">
        <v>2029</v>
      </c>
      <c r="B1105" t="s">
        <v>122</v>
      </c>
      <c r="C1105" t="s">
        <v>581</v>
      </c>
      <c r="D1105" t="s">
        <v>633</v>
      </c>
      <c r="E1105" s="1">
        <v>45192</v>
      </c>
      <c r="F1105" s="1">
        <v>45197</v>
      </c>
      <c r="G1105" s="1">
        <v>45227</v>
      </c>
      <c r="H1105" t="s">
        <v>13</v>
      </c>
      <c r="I1105">
        <v>526.6</v>
      </c>
      <c r="J1105" t="s">
        <v>683</v>
      </c>
      <c r="K1105">
        <v>30</v>
      </c>
    </row>
    <row r="1106" spans="1:11" x14ac:dyDescent="0.35">
      <c r="A1106" t="s">
        <v>1889</v>
      </c>
      <c r="B1106" t="s">
        <v>286</v>
      </c>
      <c r="C1106" t="s">
        <v>521</v>
      </c>
      <c r="D1106" t="s">
        <v>633</v>
      </c>
      <c r="E1106" s="1">
        <v>45522</v>
      </c>
      <c r="F1106" s="1">
        <v>45525</v>
      </c>
      <c r="G1106" s="1">
        <v>45534</v>
      </c>
      <c r="H1106" t="s">
        <v>8</v>
      </c>
      <c r="I1106">
        <v>524.80999999999995</v>
      </c>
      <c r="J1106" t="s">
        <v>683</v>
      </c>
      <c r="K1106">
        <v>9</v>
      </c>
    </row>
    <row r="1107" spans="1:11" x14ac:dyDescent="0.35">
      <c r="A1107" t="s">
        <v>1477</v>
      </c>
      <c r="B1107" t="s">
        <v>202</v>
      </c>
      <c r="C1107" t="s">
        <v>577</v>
      </c>
      <c r="D1107" t="s">
        <v>633</v>
      </c>
      <c r="E1107" s="1">
        <v>45587</v>
      </c>
      <c r="F1107" s="1">
        <v>45590</v>
      </c>
      <c r="G1107" s="1">
        <v>45601</v>
      </c>
      <c r="H1107" t="s">
        <v>13</v>
      </c>
      <c r="I1107">
        <v>524.15</v>
      </c>
      <c r="J1107" t="s">
        <v>683</v>
      </c>
      <c r="K1107">
        <v>11</v>
      </c>
    </row>
    <row r="1108" spans="1:11" x14ac:dyDescent="0.35">
      <c r="A1108" t="s">
        <v>1125</v>
      </c>
      <c r="B1108" t="s">
        <v>76</v>
      </c>
      <c r="C1108" t="s">
        <v>585</v>
      </c>
      <c r="D1108" t="s">
        <v>633</v>
      </c>
      <c r="E1108" s="1">
        <v>45015</v>
      </c>
      <c r="F1108" s="1">
        <v>45017</v>
      </c>
      <c r="G1108" s="1">
        <v>45023</v>
      </c>
      <c r="H1108" t="s">
        <v>8</v>
      </c>
      <c r="I1108">
        <v>523.5</v>
      </c>
      <c r="J1108" t="s">
        <v>683</v>
      </c>
      <c r="K1108">
        <v>6</v>
      </c>
    </row>
    <row r="1109" spans="1:11" x14ac:dyDescent="0.35">
      <c r="A1109" t="s">
        <v>2293</v>
      </c>
      <c r="B1109" t="s">
        <v>478</v>
      </c>
      <c r="C1109" t="s">
        <v>593</v>
      </c>
      <c r="D1109" t="s">
        <v>667</v>
      </c>
      <c r="E1109" s="1">
        <v>45248</v>
      </c>
      <c r="F1109" s="1">
        <v>45253</v>
      </c>
      <c r="G1109" s="1">
        <v>45271</v>
      </c>
      <c r="H1109" t="s">
        <v>13</v>
      </c>
      <c r="I1109">
        <v>519.48</v>
      </c>
      <c r="J1109" t="s">
        <v>687</v>
      </c>
      <c r="K1109">
        <v>18</v>
      </c>
    </row>
    <row r="1110" spans="1:11" x14ac:dyDescent="0.35">
      <c r="A1110" t="s">
        <v>1063</v>
      </c>
      <c r="B1110" t="s">
        <v>309</v>
      </c>
      <c r="C1110" t="s">
        <v>543</v>
      </c>
      <c r="D1110" t="s">
        <v>633</v>
      </c>
      <c r="E1110" s="1">
        <v>45153</v>
      </c>
      <c r="F1110" s="1">
        <v>45158</v>
      </c>
      <c r="G1110" s="1"/>
      <c r="H1110" t="s">
        <v>13</v>
      </c>
      <c r="I1110">
        <v>519.16999999999996</v>
      </c>
      <c r="J1110" t="s">
        <v>689</v>
      </c>
    </row>
    <row r="1111" spans="1:11" x14ac:dyDescent="0.35">
      <c r="A1111" t="s">
        <v>2303</v>
      </c>
      <c r="B1111" t="s">
        <v>158</v>
      </c>
      <c r="C1111" t="s">
        <v>571</v>
      </c>
      <c r="D1111" t="s">
        <v>633</v>
      </c>
      <c r="E1111" s="1">
        <v>45351</v>
      </c>
      <c r="F1111" s="1">
        <v>45355</v>
      </c>
      <c r="G1111" s="1">
        <v>45384</v>
      </c>
      <c r="H1111" t="s">
        <v>11</v>
      </c>
      <c r="I1111">
        <v>518.47</v>
      </c>
      <c r="J1111" t="s">
        <v>683</v>
      </c>
      <c r="K1111">
        <v>29</v>
      </c>
    </row>
    <row r="1112" spans="1:11" x14ac:dyDescent="0.35">
      <c r="A1112" t="s">
        <v>1127</v>
      </c>
      <c r="B1112" t="s">
        <v>55</v>
      </c>
      <c r="C1112" t="s">
        <v>565</v>
      </c>
      <c r="D1112" t="s">
        <v>633</v>
      </c>
      <c r="E1112" s="1">
        <v>45129</v>
      </c>
      <c r="F1112" s="1">
        <v>45132</v>
      </c>
      <c r="G1112" s="1">
        <v>45143</v>
      </c>
      <c r="H1112" t="s">
        <v>11</v>
      </c>
      <c r="I1112">
        <v>517.82000000000005</v>
      </c>
      <c r="J1112" t="s">
        <v>687</v>
      </c>
      <c r="K1112">
        <v>11</v>
      </c>
    </row>
    <row r="1113" spans="1:11" x14ac:dyDescent="0.35">
      <c r="A1113" t="s">
        <v>1627</v>
      </c>
      <c r="B1113" t="s">
        <v>465</v>
      </c>
      <c r="C1113" t="s">
        <v>597</v>
      </c>
      <c r="D1113" t="s">
        <v>633</v>
      </c>
      <c r="E1113" s="1">
        <v>45263</v>
      </c>
      <c r="F1113" s="1">
        <v>45264</v>
      </c>
      <c r="G1113" s="1">
        <v>45291</v>
      </c>
      <c r="H1113" t="s">
        <v>11</v>
      </c>
      <c r="I1113">
        <v>517.14</v>
      </c>
      <c r="J1113" t="s">
        <v>683</v>
      </c>
      <c r="K1113">
        <v>27</v>
      </c>
    </row>
    <row r="1114" spans="1:11" x14ac:dyDescent="0.35">
      <c r="A1114" t="s">
        <v>2346</v>
      </c>
      <c r="B1114" t="s">
        <v>301</v>
      </c>
      <c r="C1114" t="s">
        <v>524</v>
      </c>
      <c r="D1114" t="s">
        <v>667</v>
      </c>
      <c r="E1114" s="1">
        <v>45184</v>
      </c>
      <c r="F1114" s="1">
        <v>45187</v>
      </c>
      <c r="G1114" s="1">
        <v>45198</v>
      </c>
      <c r="H1114" t="s">
        <v>8</v>
      </c>
      <c r="I1114">
        <v>516.66</v>
      </c>
      <c r="J1114" t="s">
        <v>683</v>
      </c>
      <c r="K1114">
        <v>11</v>
      </c>
    </row>
    <row r="1115" spans="1:11" x14ac:dyDescent="0.35">
      <c r="A1115" t="s">
        <v>1470</v>
      </c>
      <c r="B1115" t="s">
        <v>481</v>
      </c>
      <c r="C1115" t="s">
        <v>583</v>
      </c>
      <c r="D1115" t="s">
        <v>667</v>
      </c>
      <c r="E1115" s="1">
        <v>45017</v>
      </c>
      <c r="F1115" s="1">
        <v>45018</v>
      </c>
      <c r="G1115" s="1">
        <v>45044</v>
      </c>
      <c r="H1115" t="s">
        <v>8</v>
      </c>
      <c r="I1115">
        <v>515.11</v>
      </c>
      <c r="J1115" t="s">
        <v>683</v>
      </c>
      <c r="K1115">
        <v>26</v>
      </c>
    </row>
    <row r="1116" spans="1:11" x14ac:dyDescent="0.35">
      <c r="A1116" t="s">
        <v>1705</v>
      </c>
      <c r="B1116" t="s">
        <v>299</v>
      </c>
      <c r="C1116" t="s">
        <v>573</v>
      </c>
      <c r="D1116" t="s">
        <v>667</v>
      </c>
      <c r="E1116" s="1">
        <v>45462</v>
      </c>
      <c r="F1116" s="1">
        <v>45465</v>
      </c>
      <c r="G1116" s="1">
        <v>45472</v>
      </c>
      <c r="H1116" t="s">
        <v>25</v>
      </c>
      <c r="I1116">
        <v>513.66</v>
      </c>
      <c r="J1116" t="s">
        <v>687</v>
      </c>
      <c r="K1116">
        <v>7</v>
      </c>
    </row>
    <row r="1117" spans="1:11" x14ac:dyDescent="0.35">
      <c r="A1117" t="s">
        <v>2356</v>
      </c>
      <c r="B1117" t="s">
        <v>88</v>
      </c>
      <c r="C1117" t="s">
        <v>565</v>
      </c>
      <c r="D1117" t="s">
        <v>633</v>
      </c>
      <c r="E1117" s="1">
        <v>45486</v>
      </c>
      <c r="F1117" s="1">
        <v>45491</v>
      </c>
      <c r="G1117" s="1"/>
      <c r="H1117" t="s">
        <v>13</v>
      </c>
      <c r="I1117">
        <v>513.63</v>
      </c>
      <c r="J1117" t="s">
        <v>689</v>
      </c>
    </row>
    <row r="1118" spans="1:11" x14ac:dyDescent="0.35">
      <c r="A1118" t="s">
        <v>2012</v>
      </c>
      <c r="B1118" t="s">
        <v>286</v>
      </c>
      <c r="C1118" t="s">
        <v>591</v>
      </c>
      <c r="D1118" t="s">
        <v>633</v>
      </c>
      <c r="E1118" s="1">
        <v>45551</v>
      </c>
      <c r="F1118" s="1">
        <v>45554</v>
      </c>
      <c r="G1118" s="1">
        <v>45562</v>
      </c>
      <c r="H1118" t="s">
        <v>8</v>
      </c>
      <c r="I1118">
        <v>511.19</v>
      </c>
      <c r="J1118" t="s">
        <v>683</v>
      </c>
      <c r="K1118">
        <v>8</v>
      </c>
    </row>
    <row r="1119" spans="1:11" x14ac:dyDescent="0.35">
      <c r="A1119" t="s">
        <v>1128</v>
      </c>
      <c r="B1119" t="s">
        <v>44</v>
      </c>
      <c r="C1119" t="s">
        <v>605</v>
      </c>
      <c r="D1119" t="s">
        <v>633</v>
      </c>
      <c r="E1119" s="1">
        <v>45260</v>
      </c>
      <c r="F1119" s="1">
        <v>45264</v>
      </c>
      <c r="G1119" s="1">
        <v>45288</v>
      </c>
      <c r="H1119" t="s">
        <v>11</v>
      </c>
      <c r="I1119">
        <v>510.43</v>
      </c>
      <c r="J1119" t="s">
        <v>683</v>
      </c>
      <c r="K1119">
        <v>24</v>
      </c>
    </row>
    <row r="1120" spans="1:11" x14ac:dyDescent="0.35">
      <c r="A1120" t="s">
        <v>970</v>
      </c>
      <c r="B1120" t="s">
        <v>149</v>
      </c>
      <c r="C1120" t="s">
        <v>605</v>
      </c>
      <c r="D1120" t="s">
        <v>633</v>
      </c>
      <c r="E1120" s="1">
        <v>45446</v>
      </c>
      <c r="F1120" s="1">
        <v>45451</v>
      </c>
      <c r="G1120" s="1">
        <v>45466</v>
      </c>
      <c r="H1120" t="s">
        <v>8</v>
      </c>
      <c r="I1120">
        <v>510.33</v>
      </c>
      <c r="J1120" t="s">
        <v>683</v>
      </c>
      <c r="K1120">
        <v>15</v>
      </c>
    </row>
    <row r="1121" spans="1:11" x14ac:dyDescent="0.35">
      <c r="A1121" t="s">
        <v>1913</v>
      </c>
      <c r="B1121" t="s">
        <v>511</v>
      </c>
      <c r="C1121" t="s">
        <v>581</v>
      </c>
      <c r="D1121" t="s">
        <v>633</v>
      </c>
      <c r="E1121" s="1">
        <v>45444</v>
      </c>
      <c r="F1121" s="1">
        <v>45448</v>
      </c>
      <c r="G1121" s="1"/>
      <c r="H1121" t="s">
        <v>11</v>
      </c>
      <c r="I1121">
        <v>508.01</v>
      </c>
      <c r="J1121" t="s">
        <v>689</v>
      </c>
    </row>
    <row r="1122" spans="1:11" x14ac:dyDescent="0.35">
      <c r="A1122" t="s">
        <v>938</v>
      </c>
      <c r="B1122" t="s">
        <v>199</v>
      </c>
      <c r="C1122" t="s">
        <v>531</v>
      </c>
      <c r="D1122" t="s">
        <v>633</v>
      </c>
      <c r="E1122" s="1">
        <v>45353</v>
      </c>
      <c r="F1122" s="1">
        <v>45355</v>
      </c>
      <c r="G1122" s="1">
        <v>45381</v>
      </c>
      <c r="H1122" t="s">
        <v>11</v>
      </c>
      <c r="I1122">
        <v>507.5</v>
      </c>
      <c r="J1122" t="s">
        <v>687</v>
      </c>
      <c r="K1122">
        <v>26</v>
      </c>
    </row>
    <row r="1123" spans="1:11" x14ac:dyDescent="0.35">
      <c r="A1123" t="s">
        <v>2262</v>
      </c>
      <c r="B1123" t="s">
        <v>470</v>
      </c>
      <c r="C1123" t="s">
        <v>607</v>
      </c>
      <c r="D1123" t="s">
        <v>667</v>
      </c>
      <c r="E1123" s="1">
        <v>44945</v>
      </c>
      <c r="F1123" s="1">
        <v>44947</v>
      </c>
      <c r="G1123" s="1">
        <v>44975</v>
      </c>
      <c r="H1123" t="s">
        <v>11</v>
      </c>
      <c r="I1123">
        <v>506.12</v>
      </c>
      <c r="J1123" t="s">
        <v>683</v>
      </c>
      <c r="K1123">
        <v>28</v>
      </c>
    </row>
    <row r="1124" spans="1:11" x14ac:dyDescent="0.35">
      <c r="A1124" t="s">
        <v>1109</v>
      </c>
      <c r="B1124" t="s">
        <v>309</v>
      </c>
      <c r="C1124" t="s">
        <v>591</v>
      </c>
      <c r="D1124" t="s">
        <v>667</v>
      </c>
      <c r="E1124" s="1">
        <v>44989</v>
      </c>
      <c r="F1124" s="1">
        <v>44994</v>
      </c>
      <c r="G1124" s="1">
        <v>45022</v>
      </c>
      <c r="H1124" t="s">
        <v>13</v>
      </c>
      <c r="I1124">
        <v>505.84</v>
      </c>
      <c r="J1124" t="s">
        <v>683</v>
      </c>
      <c r="K1124">
        <v>28</v>
      </c>
    </row>
    <row r="1125" spans="1:11" x14ac:dyDescent="0.35">
      <c r="A1125" t="s">
        <v>2378</v>
      </c>
      <c r="B1125" t="s">
        <v>399</v>
      </c>
      <c r="C1125" t="s">
        <v>561</v>
      </c>
      <c r="D1125" t="s">
        <v>633</v>
      </c>
      <c r="E1125" s="1">
        <v>45583</v>
      </c>
      <c r="F1125" s="1">
        <v>45588</v>
      </c>
      <c r="G1125" s="1">
        <v>45592</v>
      </c>
      <c r="H1125" t="s">
        <v>13</v>
      </c>
      <c r="I1125">
        <v>504.02</v>
      </c>
      <c r="J1125" t="s">
        <v>683</v>
      </c>
      <c r="K1125">
        <v>4</v>
      </c>
    </row>
    <row r="1126" spans="1:11" x14ac:dyDescent="0.35">
      <c r="A1126" t="s">
        <v>1153</v>
      </c>
      <c r="B1126" t="s">
        <v>492</v>
      </c>
      <c r="C1126" t="s">
        <v>571</v>
      </c>
      <c r="D1126" t="s">
        <v>633</v>
      </c>
      <c r="E1126" s="1">
        <v>45251</v>
      </c>
      <c r="F1126" s="1">
        <v>45255</v>
      </c>
      <c r="G1126" s="1">
        <v>45275</v>
      </c>
      <c r="H1126" t="s">
        <v>13</v>
      </c>
      <c r="I1126">
        <v>501.85</v>
      </c>
      <c r="J1126" t="s">
        <v>683</v>
      </c>
      <c r="K1126">
        <v>20</v>
      </c>
    </row>
    <row r="1127" spans="1:11" x14ac:dyDescent="0.35">
      <c r="A1127" t="s">
        <v>1252</v>
      </c>
      <c r="B1127" t="s">
        <v>502</v>
      </c>
      <c r="C1127" t="s">
        <v>537</v>
      </c>
      <c r="D1127" t="s">
        <v>667</v>
      </c>
      <c r="E1127" s="1">
        <v>45483</v>
      </c>
      <c r="F1127" s="1">
        <v>45484</v>
      </c>
      <c r="G1127" s="1">
        <v>45495</v>
      </c>
      <c r="H1127" t="s">
        <v>13</v>
      </c>
      <c r="I1127">
        <v>500.93</v>
      </c>
      <c r="J1127" t="s">
        <v>683</v>
      </c>
      <c r="K1127">
        <v>11</v>
      </c>
    </row>
    <row r="1128" spans="1:11" x14ac:dyDescent="0.35">
      <c r="A1128" t="s">
        <v>924</v>
      </c>
      <c r="B1128" t="s">
        <v>187</v>
      </c>
      <c r="C1128" t="s">
        <v>581</v>
      </c>
      <c r="D1128" t="s">
        <v>633</v>
      </c>
      <c r="E1128" s="1">
        <v>44984</v>
      </c>
      <c r="F1128" s="1">
        <v>44988</v>
      </c>
      <c r="G1128" s="1">
        <v>45003</v>
      </c>
      <c r="H1128" t="s">
        <v>11</v>
      </c>
      <c r="I1128">
        <v>500.13</v>
      </c>
      <c r="J1128" t="s">
        <v>683</v>
      </c>
      <c r="K1128">
        <v>15</v>
      </c>
    </row>
    <row r="1129" spans="1:11" x14ac:dyDescent="0.35">
      <c r="A1129" t="s">
        <v>2673</v>
      </c>
      <c r="B1129" t="s">
        <v>421</v>
      </c>
      <c r="C1129" t="s">
        <v>567</v>
      </c>
      <c r="D1129" t="s">
        <v>633</v>
      </c>
      <c r="E1129" s="1">
        <v>45147</v>
      </c>
      <c r="F1129" s="1">
        <v>45148</v>
      </c>
      <c r="G1129" s="1">
        <v>45171</v>
      </c>
      <c r="H1129" t="s">
        <v>8</v>
      </c>
      <c r="I1129">
        <v>499.39</v>
      </c>
      <c r="J1129" t="s">
        <v>683</v>
      </c>
      <c r="K1129">
        <v>23</v>
      </c>
    </row>
    <row r="1130" spans="1:11" x14ac:dyDescent="0.35">
      <c r="A1130" t="s">
        <v>1908</v>
      </c>
      <c r="B1130" t="s">
        <v>428</v>
      </c>
      <c r="C1130" t="s">
        <v>527</v>
      </c>
      <c r="D1130" t="s">
        <v>667</v>
      </c>
      <c r="E1130" s="1">
        <v>45516</v>
      </c>
      <c r="F1130" s="1">
        <v>45519</v>
      </c>
      <c r="G1130" s="1">
        <v>45539</v>
      </c>
      <c r="H1130" t="s">
        <v>20</v>
      </c>
      <c r="I1130">
        <v>499.26</v>
      </c>
      <c r="J1130" t="s">
        <v>683</v>
      </c>
      <c r="K1130">
        <v>20</v>
      </c>
    </row>
    <row r="1131" spans="1:11" x14ac:dyDescent="0.35">
      <c r="A1131" t="s">
        <v>1120</v>
      </c>
      <c r="B1131" t="s">
        <v>208</v>
      </c>
      <c r="C1131" t="s">
        <v>593</v>
      </c>
      <c r="D1131" t="s">
        <v>633</v>
      </c>
      <c r="E1131" s="1">
        <v>45212</v>
      </c>
      <c r="F1131" s="1">
        <v>45214</v>
      </c>
      <c r="G1131" s="1">
        <v>45228</v>
      </c>
      <c r="H1131" t="s">
        <v>13</v>
      </c>
      <c r="I1131">
        <v>498.21</v>
      </c>
      <c r="J1131" t="s">
        <v>683</v>
      </c>
      <c r="K1131">
        <v>14</v>
      </c>
    </row>
    <row r="1132" spans="1:11" x14ac:dyDescent="0.35">
      <c r="A1132" t="s">
        <v>1013</v>
      </c>
      <c r="B1132" t="s">
        <v>200</v>
      </c>
      <c r="C1132" t="s">
        <v>607</v>
      </c>
      <c r="D1132" t="s">
        <v>633</v>
      </c>
      <c r="E1132" s="1">
        <v>45321</v>
      </c>
      <c r="F1132" s="1">
        <v>45322</v>
      </c>
      <c r="G1132" s="1">
        <v>45328</v>
      </c>
      <c r="H1132" t="s">
        <v>20</v>
      </c>
      <c r="I1132">
        <v>498.07</v>
      </c>
      <c r="J1132" t="s">
        <v>683</v>
      </c>
      <c r="K1132">
        <v>6</v>
      </c>
    </row>
    <row r="1133" spans="1:11" x14ac:dyDescent="0.35">
      <c r="A1133" t="s">
        <v>1974</v>
      </c>
      <c r="B1133" t="s">
        <v>331</v>
      </c>
      <c r="C1133" t="s">
        <v>587</v>
      </c>
      <c r="D1133" t="s">
        <v>671</v>
      </c>
      <c r="E1133" s="1">
        <v>45063</v>
      </c>
      <c r="F1133" s="1">
        <v>45064</v>
      </c>
      <c r="G1133" s="1">
        <v>45075</v>
      </c>
      <c r="H1133" t="s">
        <v>8</v>
      </c>
      <c r="I1133">
        <v>496.11</v>
      </c>
      <c r="J1133" t="s">
        <v>683</v>
      </c>
      <c r="K1133">
        <v>11</v>
      </c>
    </row>
    <row r="1134" spans="1:11" x14ac:dyDescent="0.35">
      <c r="A1134" t="s">
        <v>1815</v>
      </c>
      <c r="B1134" t="s">
        <v>302</v>
      </c>
      <c r="C1134" t="s">
        <v>585</v>
      </c>
      <c r="D1134" t="s">
        <v>671</v>
      </c>
      <c r="E1134" s="1">
        <v>45154</v>
      </c>
      <c r="F1134" s="1">
        <v>45156</v>
      </c>
      <c r="G1134" s="1">
        <v>45172</v>
      </c>
      <c r="H1134" t="s">
        <v>8</v>
      </c>
      <c r="I1134">
        <v>495.53</v>
      </c>
      <c r="J1134" t="s">
        <v>687</v>
      </c>
      <c r="K1134">
        <v>16</v>
      </c>
    </row>
    <row r="1135" spans="1:11" x14ac:dyDescent="0.35">
      <c r="A1135" t="s">
        <v>2613</v>
      </c>
      <c r="B1135" t="s">
        <v>203</v>
      </c>
      <c r="C1135" t="s">
        <v>609</v>
      </c>
      <c r="D1135" t="s">
        <v>671</v>
      </c>
      <c r="E1135" s="1">
        <v>45377</v>
      </c>
      <c r="F1135" s="1">
        <v>45378</v>
      </c>
      <c r="G1135" s="1">
        <v>45399</v>
      </c>
      <c r="H1135" t="s">
        <v>25</v>
      </c>
      <c r="I1135">
        <v>494.63</v>
      </c>
      <c r="J1135" t="s">
        <v>683</v>
      </c>
      <c r="K1135">
        <v>21</v>
      </c>
    </row>
    <row r="1136" spans="1:11" x14ac:dyDescent="0.35">
      <c r="A1136" t="s">
        <v>1950</v>
      </c>
      <c r="B1136" t="s">
        <v>288</v>
      </c>
      <c r="C1136" t="s">
        <v>531</v>
      </c>
      <c r="D1136" t="s">
        <v>671</v>
      </c>
      <c r="E1136" s="1">
        <v>45051</v>
      </c>
      <c r="F1136" s="1">
        <v>45052</v>
      </c>
      <c r="G1136" s="1">
        <v>45055</v>
      </c>
      <c r="H1136" t="s">
        <v>11</v>
      </c>
      <c r="I1136">
        <v>493.87</v>
      </c>
      <c r="J1136" t="s">
        <v>683</v>
      </c>
      <c r="K1136">
        <v>3</v>
      </c>
    </row>
    <row r="1137" spans="1:11" x14ac:dyDescent="0.35">
      <c r="A1137" t="s">
        <v>820</v>
      </c>
      <c r="B1137" t="s">
        <v>373</v>
      </c>
      <c r="C1137" t="s">
        <v>567</v>
      </c>
      <c r="D1137" t="s">
        <v>671</v>
      </c>
      <c r="E1137" s="1">
        <v>45655</v>
      </c>
      <c r="F1137" s="1">
        <v>45660</v>
      </c>
      <c r="G1137" s="1">
        <v>45672</v>
      </c>
      <c r="H1137" t="s">
        <v>20</v>
      </c>
      <c r="I1137">
        <v>491.69</v>
      </c>
      <c r="J1137" t="s">
        <v>687</v>
      </c>
      <c r="K1137">
        <v>12</v>
      </c>
    </row>
    <row r="1138" spans="1:11" x14ac:dyDescent="0.35">
      <c r="A1138" t="s">
        <v>1419</v>
      </c>
      <c r="B1138" t="s">
        <v>440</v>
      </c>
      <c r="C1138" t="s">
        <v>524</v>
      </c>
      <c r="D1138" t="s">
        <v>671</v>
      </c>
      <c r="E1138" s="1">
        <v>44985</v>
      </c>
      <c r="F1138" s="1">
        <v>44987</v>
      </c>
      <c r="G1138" s="1">
        <v>44998</v>
      </c>
      <c r="H1138" t="s">
        <v>20</v>
      </c>
      <c r="I1138">
        <v>490.47</v>
      </c>
      <c r="J1138" t="s">
        <v>683</v>
      </c>
      <c r="K1138">
        <v>11</v>
      </c>
    </row>
    <row r="1139" spans="1:11" x14ac:dyDescent="0.35">
      <c r="A1139" t="s">
        <v>1618</v>
      </c>
      <c r="B1139" t="s">
        <v>459</v>
      </c>
      <c r="C1139" t="s">
        <v>577</v>
      </c>
      <c r="D1139" t="s">
        <v>671</v>
      </c>
      <c r="E1139" s="1">
        <v>45596</v>
      </c>
      <c r="F1139" s="1">
        <v>45600</v>
      </c>
      <c r="G1139" s="1">
        <v>45628</v>
      </c>
      <c r="H1139" t="s">
        <v>25</v>
      </c>
      <c r="I1139">
        <v>488.95</v>
      </c>
      <c r="J1139" t="s">
        <v>683</v>
      </c>
      <c r="K1139">
        <v>28</v>
      </c>
    </row>
    <row r="1140" spans="1:11" x14ac:dyDescent="0.35">
      <c r="A1140" t="s">
        <v>1798</v>
      </c>
      <c r="B1140" t="s">
        <v>287</v>
      </c>
      <c r="C1140" t="s">
        <v>531</v>
      </c>
      <c r="D1140" t="s">
        <v>671</v>
      </c>
      <c r="E1140" s="1">
        <v>45600</v>
      </c>
      <c r="F1140" s="1">
        <v>45605</v>
      </c>
      <c r="G1140" s="1">
        <v>45633</v>
      </c>
      <c r="H1140" t="s">
        <v>20</v>
      </c>
      <c r="I1140">
        <v>486.43</v>
      </c>
      <c r="J1140" t="s">
        <v>683</v>
      </c>
      <c r="K1140">
        <v>28</v>
      </c>
    </row>
    <row r="1141" spans="1:11" x14ac:dyDescent="0.35">
      <c r="A1141" t="s">
        <v>1958</v>
      </c>
      <c r="B1141" t="s">
        <v>278</v>
      </c>
      <c r="C1141" t="s">
        <v>567</v>
      </c>
      <c r="D1141" t="s">
        <v>633</v>
      </c>
      <c r="E1141" s="1">
        <v>45067</v>
      </c>
      <c r="F1141" s="1">
        <v>45071</v>
      </c>
      <c r="G1141" s="1">
        <v>45076</v>
      </c>
      <c r="H1141" t="s">
        <v>25</v>
      </c>
      <c r="I1141">
        <v>485.94</v>
      </c>
      <c r="J1141" t="s">
        <v>687</v>
      </c>
      <c r="K1141">
        <v>5</v>
      </c>
    </row>
    <row r="1142" spans="1:11" x14ac:dyDescent="0.35">
      <c r="A1142" t="s">
        <v>1249</v>
      </c>
      <c r="B1142" t="s">
        <v>349</v>
      </c>
      <c r="C1142" t="s">
        <v>521</v>
      </c>
      <c r="D1142" t="s">
        <v>671</v>
      </c>
      <c r="E1142" s="1">
        <v>45259</v>
      </c>
      <c r="F1142" s="1">
        <v>45261</v>
      </c>
      <c r="G1142" s="1">
        <v>45266</v>
      </c>
      <c r="H1142" t="s">
        <v>11</v>
      </c>
      <c r="I1142">
        <v>485.62</v>
      </c>
      <c r="J1142" t="s">
        <v>683</v>
      </c>
      <c r="K1142">
        <v>5</v>
      </c>
    </row>
    <row r="1143" spans="1:11" x14ac:dyDescent="0.35">
      <c r="A1143" t="s">
        <v>868</v>
      </c>
      <c r="B1143" t="s">
        <v>461</v>
      </c>
      <c r="C1143" t="s">
        <v>571</v>
      </c>
      <c r="D1143" t="s">
        <v>671</v>
      </c>
      <c r="E1143" s="1">
        <v>45215</v>
      </c>
      <c r="F1143" s="1">
        <v>45217</v>
      </c>
      <c r="G1143" s="1">
        <v>45233</v>
      </c>
      <c r="H1143" t="s">
        <v>13</v>
      </c>
      <c r="I1143">
        <v>485.3</v>
      </c>
      <c r="J1143" t="s">
        <v>683</v>
      </c>
      <c r="K1143">
        <v>16</v>
      </c>
    </row>
    <row r="1144" spans="1:11" x14ac:dyDescent="0.35">
      <c r="A1144" t="s">
        <v>1256</v>
      </c>
      <c r="B1144" t="s">
        <v>236</v>
      </c>
      <c r="C1144" t="s">
        <v>585</v>
      </c>
      <c r="D1144" t="s">
        <v>633</v>
      </c>
      <c r="E1144" s="1">
        <v>44945</v>
      </c>
      <c r="F1144" s="1">
        <v>44950</v>
      </c>
      <c r="G1144" s="1">
        <v>44972</v>
      </c>
      <c r="H1144" t="s">
        <v>11</v>
      </c>
      <c r="I1144">
        <v>482.05</v>
      </c>
      <c r="J1144" t="s">
        <v>683</v>
      </c>
      <c r="K1144">
        <v>22</v>
      </c>
    </row>
    <row r="1145" spans="1:11" x14ac:dyDescent="0.35">
      <c r="A1145" t="s">
        <v>2492</v>
      </c>
      <c r="B1145" t="s">
        <v>104</v>
      </c>
      <c r="C1145" t="s">
        <v>607</v>
      </c>
      <c r="D1145" t="s">
        <v>671</v>
      </c>
      <c r="E1145" s="1">
        <v>45522</v>
      </c>
      <c r="F1145" s="1">
        <v>45525</v>
      </c>
      <c r="G1145" s="1">
        <v>45546</v>
      </c>
      <c r="H1145" t="s">
        <v>8</v>
      </c>
      <c r="I1145">
        <v>482.02</v>
      </c>
      <c r="J1145" t="s">
        <v>683</v>
      </c>
      <c r="K1145">
        <v>21</v>
      </c>
    </row>
    <row r="1146" spans="1:11" x14ac:dyDescent="0.35">
      <c r="A1146" t="s">
        <v>793</v>
      </c>
      <c r="B1146" t="s">
        <v>238</v>
      </c>
      <c r="C1146" t="s">
        <v>543</v>
      </c>
      <c r="D1146" t="s">
        <v>633</v>
      </c>
      <c r="E1146" s="1">
        <v>45564</v>
      </c>
      <c r="F1146" s="1">
        <v>45569</v>
      </c>
      <c r="G1146" s="1">
        <v>45581</v>
      </c>
      <c r="H1146" t="s">
        <v>20</v>
      </c>
      <c r="I1146">
        <v>480.97</v>
      </c>
      <c r="J1146" t="s">
        <v>683</v>
      </c>
      <c r="K1146">
        <v>12</v>
      </c>
    </row>
    <row r="1147" spans="1:11" x14ac:dyDescent="0.35">
      <c r="A1147" t="s">
        <v>1561</v>
      </c>
      <c r="B1147" t="s">
        <v>356</v>
      </c>
      <c r="C1147" t="s">
        <v>543</v>
      </c>
      <c r="D1147" t="s">
        <v>671</v>
      </c>
      <c r="E1147" s="1">
        <v>45067</v>
      </c>
      <c r="F1147" s="1">
        <v>45072</v>
      </c>
      <c r="G1147" s="1">
        <v>45088</v>
      </c>
      <c r="H1147" t="s">
        <v>13</v>
      </c>
      <c r="I1147">
        <v>480.77</v>
      </c>
      <c r="J1147" t="s">
        <v>683</v>
      </c>
      <c r="K1147">
        <v>16</v>
      </c>
    </row>
    <row r="1148" spans="1:11" x14ac:dyDescent="0.35">
      <c r="A1148" t="s">
        <v>802</v>
      </c>
      <c r="B1148" t="s">
        <v>126</v>
      </c>
      <c r="C1148" t="s">
        <v>571</v>
      </c>
      <c r="D1148" t="s">
        <v>671</v>
      </c>
      <c r="E1148" s="1">
        <v>45495</v>
      </c>
      <c r="F1148" s="1">
        <v>45500</v>
      </c>
      <c r="G1148" s="1">
        <v>45512</v>
      </c>
      <c r="H1148" t="s">
        <v>8</v>
      </c>
      <c r="I1148">
        <v>480.63</v>
      </c>
      <c r="J1148" t="s">
        <v>683</v>
      </c>
      <c r="K1148">
        <v>12</v>
      </c>
    </row>
    <row r="1149" spans="1:11" x14ac:dyDescent="0.35">
      <c r="A1149" t="s">
        <v>697</v>
      </c>
      <c r="B1149" t="s">
        <v>65</v>
      </c>
      <c r="C1149" t="s">
        <v>599</v>
      </c>
      <c r="D1149" t="s">
        <v>671</v>
      </c>
      <c r="E1149" s="1">
        <v>45549</v>
      </c>
      <c r="F1149" s="1">
        <v>45553</v>
      </c>
      <c r="G1149" s="1">
        <v>45583</v>
      </c>
      <c r="H1149" t="s">
        <v>8</v>
      </c>
      <c r="I1149">
        <v>480.31</v>
      </c>
      <c r="J1149" t="s">
        <v>683</v>
      </c>
      <c r="K1149">
        <v>30</v>
      </c>
    </row>
    <row r="1150" spans="1:11" x14ac:dyDescent="0.35">
      <c r="A1150" t="s">
        <v>1809</v>
      </c>
      <c r="B1150" t="s">
        <v>119</v>
      </c>
      <c r="C1150" t="s">
        <v>599</v>
      </c>
      <c r="D1150" t="s">
        <v>633</v>
      </c>
      <c r="E1150" s="1">
        <v>45454</v>
      </c>
      <c r="F1150" s="1">
        <v>45457</v>
      </c>
      <c r="G1150" s="1">
        <v>45478</v>
      </c>
      <c r="H1150" t="s">
        <v>20</v>
      </c>
      <c r="I1150">
        <v>477.86</v>
      </c>
      <c r="J1150" t="s">
        <v>683</v>
      </c>
      <c r="K1150">
        <v>21</v>
      </c>
    </row>
    <row r="1151" spans="1:11" x14ac:dyDescent="0.35">
      <c r="A1151" t="s">
        <v>1460</v>
      </c>
      <c r="B1151" t="s">
        <v>230</v>
      </c>
      <c r="C1151" t="s">
        <v>524</v>
      </c>
      <c r="D1151" t="s">
        <v>671</v>
      </c>
      <c r="E1151" s="1">
        <v>45590</v>
      </c>
      <c r="F1151" s="1">
        <v>45591</v>
      </c>
      <c r="G1151" s="1"/>
      <c r="H1151" t="s">
        <v>20</v>
      </c>
      <c r="I1151">
        <v>477.41</v>
      </c>
      <c r="J1151" t="s">
        <v>689</v>
      </c>
    </row>
    <row r="1152" spans="1:11" x14ac:dyDescent="0.35">
      <c r="A1152" t="s">
        <v>1489</v>
      </c>
      <c r="B1152" t="s">
        <v>113</v>
      </c>
      <c r="C1152" t="s">
        <v>603</v>
      </c>
      <c r="D1152" t="s">
        <v>633</v>
      </c>
      <c r="E1152" s="1">
        <v>45592</v>
      </c>
      <c r="F1152" s="1">
        <v>45597</v>
      </c>
      <c r="G1152" s="1">
        <v>45615</v>
      </c>
      <c r="H1152" t="s">
        <v>13</v>
      </c>
      <c r="I1152">
        <v>476.87</v>
      </c>
      <c r="J1152" t="s">
        <v>683</v>
      </c>
      <c r="K1152">
        <v>18</v>
      </c>
    </row>
    <row r="1153" spans="1:11" x14ac:dyDescent="0.35">
      <c r="A1153" t="s">
        <v>817</v>
      </c>
      <c r="B1153" t="s">
        <v>342</v>
      </c>
      <c r="C1153" t="s">
        <v>575</v>
      </c>
      <c r="D1153" t="s">
        <v>633</v>
      </c>
      <c r="E1153" s="1">
        <v>45326</v>
      </c>
      <c r="F1153" s="1">
        <v>45327</v>
      </c>
      <c r="G1153" s="1">
        <v>45332</v>
      </c>
      <c r="H1153" t="s">
        <v>25</v>
      </c>
      <c r="I1153">
        <v>476.65</v>
      </c>
      <c r="J1153" t="s">
        <v>687</v>
      </c>
      <c r="K1153">
        <v>5</v>
      </c>
    </row>
    <row r="1154" spans="1:11" x14ac:dyDescent="0.35">
      <c r="A1154" t="s">
        <v>1317</v>
      </c>
      <c r="B1154" t="s">
        <v>415</v>
      </c>
      <c r="C1154" t="s">
        <v>561</v>
      </c>
      <c r="D1154" t="s">
        <v>671</v>
      </c>
      <c r="E1154" s="1">
        <v>45345</v>
      </c>
      <c r="F1154" s="1">
        <v>45349</v>
      </c>
      <c r="G1154" s="1">
        <v>45371</v>
      </c>
      <c r="H1154" t="s">
        <v>13</v>
      </c>
      <c r="I1154">
        <v>476.5</v>
      </c>
      <c r="J1154" t="s">
        <v>687</v>
      </c>
      <c r="K1154">
        <v>22</v>
      </c>
    </row>
    <row r="1155" spans="1:11" x14ac:dyDescent="0.35">
      <c r="A1155" t="s">
        <v>884</v>
      </c>
      <c r="B1155" t="s">
        <v>307</v>
      </c>
      <c r="C1155" t="s">
        <v>524</v>
      </c>
      <c r="D1155" t="s">
        <v>671</v>
      </c>
      <c r="E1155" s="1">
        <v>45536</v>
      </c>
      <c r="F1155" s="1">
        <v>45538</v>
      </c>
      <c r="G1155" s="1">
        <v>45564</v>
      </c>
      <c r="H1155" t="s">
        <v>8</v>
      </c>
      <c r="I1155">
        <v>475.52</v>
      </c>
      <c r="J1155" t="s">
        <v>683</v>
      </c>
      <c r="K1155">
        <v>26</v>
      </c>
    </row>
    <row r="1156" spans="1:11" x14ac:dyDescent="0.35">
      <c r="A1156" t="s">
        <v>730</v>
      </c>
      <c r="B1156" t="s">
        <v>281</v>
      </c>
      <c r="C1156" t="s">
        <v>601</v>
      </c>
      <c r="D1156" t="s">
        <v>633</v>
      </c>
      <c r="E1156" s="1">
        <v>45245</v>
      </c>
      <c r="F1156" s="1">
        <v>45246</v>
      </c>
      <c r="G1156" s="1">
        <v>45259</v>
      </c>
      <c r="H1156" t="s">
        <v>11</v>
      </c>
      <c r="I1156">
        <v>475.01</v>
      </c>
      <c r="J1156" t="s">
        <v>683</v>
      </c>
      <c r="K1156">
        <v>13</v>
      </c>
    </row>
    <row r="1157" spans="1:11" x14ac:dyDescent="0.35">
      <c r="A1157" t="s">
        <v>1569</v>
      </c>
      <c r="B1157" t="s">
        <v>310</v>
      </c>
      <c r="C1157" t="s">
        <v>549</v>
      </c>
      <c r="D1157" t="s">
        <v>633</v>
      </c>
      <c r="E1157" s="1">
        <v>45473</v>
      </c>
      <c r="F1157" s="1">
        <v>45475</v>
      </c>
      <c r="G1157" s="1">
        <v>45478</v>
      </c>
      <c r="H1157" t="s">
        <v>11</v>
      </c>
      <c r="I1157">
        <v>474.42</v>
      </c>
      <c r="J1157" t="s">
        <v>683</v>
      </c>
      <c r="K1157">
        <v>3</v>
      </c>
    </row>
    <row r="1158" spans="1:11" x14ac:dyDescent="0.35">
      <c r="A1158" t="s">
        <v>874</v>
      </c>
      <c r="B1158" t="s">
        <v>467</v>
      </c>
      <c r="C1158" t="s">
        <v>573</v>
      </c>
      <c r="D1158" t="s">
        <v>633</v>
      </c>
      <c r="E1158" s="1">
        <v>44954</v>
      </c>
      <c r="F1158" s="1">
        <v>44958</v>
      </c>
      <c r="G1158" s="1">
        <v>44980</v>
      </c>
      <c r="H1158" t="s">
        <v>13</v>
      </c>
      <c r="I1158">
        <v>468.71</v>
      </c>
      <c r="J1158" t="s">
        <v>683</v>
      </c>
      <c r="K1158">
        <v>22</v>
      </c>
    </row>
    <row r="1159" spans="1:11" x14ac:dyDescent="0.35">
      <c r="A1159" t="s">
        <v>2015</v>
      </c>
      <c r="B1159" t="s">
        <v>509</v>
      </c>
      <c r="C1159" t="s">
        <v>571</v>
      </c>
      <c r="D1159" t="s">
        <v>633</v>
      </c>
      <c r="E1159" s="1">
        <v>45644</v>
      </c>
      <c r="F1159" s="1">
        <v>45646</v>
      </c>
      <c r="G1159" s="1">
        <v>45667</v>
      </c>
      <c r="H1159" t="s">
        <v>25</v>
      </c>
      <c r="I1159">
        <v>467.69</v>
      </c>
      <c r="J1159" t="s">
        <v>687</v>
      </c>
      <c r="K1159">
        <v>21</v>
      </c>
    </row>
    <row r="1160" spans="1:11" x14ac:dyDescent="0.35">
      <c r="A1160" t="s">
        <v>1836</v>
      </c>
      <c r="B1160" t="s">
        <v>124</v>
      </c>
      <c r="C1160" t="s">
        <v>573</v>
      </c>
      <c r="D1160" t="s">
        <v>671</v>
      </c>
      <c r="E1160" s="1">
        <v>45131</v>
      </c>
      <c r="F1160" s="1">
        <v>45134</v>
      </c>
      <c r="G1160" s="1">
        <v>45149</v>
      </c>
      <c r="H1160" t="s">
        <v>13</v>
      </c>
      <c r="I1160">
        <v>466.91</v>
      </c>
      <c r="J1160" t="s">
        <v>683</v>
      </c>
      <c r="K1160">
        <v>15</v>
      </c>
    </row>
    <row r="1161" spans="1:11" x14ac:dyDescent="0.35">
      <c r="A1161" t="s">
        <v>2548</v>
      </c>
      <c r="B1161" t="s">
        <v>63</v>
      </c>
      <c r="C1161" t="s">
        <v>537</v>
      </c>
      <c r="D1161" t="s">
        <v>671</v>
      </c>
      <c r="E1161" s="1">
        <v>45173</v>
      </c>
      <c r="F1161" s="1">
        <v>45177</v>
      </c>
      <c r="G1161" s="1">
        <v>45186</v>
      </c>
      <c r="H1161" t="s">
        <v>25</v>
      </c>
      <c r="I1161">
        <v>466.86</v>
      </c>
      <c r="J1161" t="s">
        <v>683</v>
      </c>
      <c r="K1161">
        <v>9</v>
      </c>
    </row>
    <row r="1162" spans="1:11" x14ac:dyDescent="0.35">
      <c r="A1162" t="s">
        <v>1448</v>
      </c>
      <c r="B1162" t="s">
        <v>18</v>
      </c>
      <c r="C1162" t="s">
        <v>559</v>
      </c>
      <c r="D1162" t="s">
        <v>671</v>
      </c>
      <c r="E1162" s="1">
        <v>45530</v>
      </c>
      <c r="F1162" s="1">
        <v>45534</v>
      </c>
      <c r="G1162" s="1"/>
      <c r="H1162" t="s">
        <v>8</v>
      </c>
      <c r="I1162">
        <v>466.05</v>
      </c>
      <c r="J1162" t="s">
        <v>689</v>
      </c>
    </row>
    <row r="1163" spans="1:11" x14ac:dyDescent="0.35">
      <c r="A1163" t="s">
        <v>2570</v>
      </c>
      <c r="B1163" t="s">
        <v>322</v>
      </c>
      <c r="C1163" t="s">
        <v>534</v>
      </c>
      <c r="D1163" t="s">
        <v>633</v>
      </c>
      <c r="E1163" s="1">
        <v>45160</v>
      </c>
      <c r="F1163" s="1">
        <v>45165</v>
      </c>
      <c r="G1163" s="1">
        <v>45182</v>
      </c>
      <c r="H1163" t="s">
        <v>11</v>
      </c>
      <c r="I1163">
        <v>464.57</v>
      </c>
      <c r="J1163" t="s">
        <v>687</v>
      </c>
      <c r="K1163">
        <v>17</v>
      </c>
    </row>
    <row r="1164" spans="1:11" x14ac:dyDescent="0.35">
      <c r="A1164" t="s">
        <v>1635</v>
      </c>
      <c r="B1164" t="s">
        <v>348</v>
      </c>
      <c r="C1164" t="s">
        <v>591</v>
      </c>
      <c r="D1164" t="s">
        <v>633</v>
      </c>
      <c r="E1164" s="1">
        <v>45382</v>
      </c>
      <c r="F1164" s="1">
        <v>45387</v>
      </c>
      <c r="G1164" s="1">
        <v>45399</v>
      </c>
      <c r="H1164" t="s">
        <v>8</v>
      </c>
      <c r="I1164">
        <v>464.27</v>
      </c>
      <c r="J1164" t="s">
        <v>687</v>
      </c>
      <c r="K1164">
        <v>12</v>
      </c>
    </row>
    <row r="1165" spans="1:11" x14ac:dyDescent="0.35">
      <c r="A1165" t="s">
        <v>1844</v>
      </c>
      <c r="B1165" t="s">
        <v>287</v>
      </c>
      <c r="C1165" t="s">
        <v>559</v>
      </c>
      <c r="D1165" t="s">
        <v>671</v>
      </c>
      <c r="E1165" s="1">
        <v>45319</v>
      </c>
      <c r="F1165" s="1">
        <v>45324</v>
      </c>
      <c r="G1165" s="1">
        <v>45353</v>
      </c>
      <c r="H1165" t="s">
        <v>20</v>
      </c>
      <c r="I1165">
        <v>464.1</v>
      </c>
      <c r="J1165" t="s">
        <v>683</v>
      </c>
      <c r="K1165">
        <v>29</v>
      </c>
    </row>
    <row r="1166" spans="1:11" x14ac:dyDescent="0.35">
      <c r="A1166" t="s">
        <v>994</v>
      </c>
      <c r="B1166" t="s">
        <v>446</v>
      </c>
      <c r="C1166" t="s">
        <v>587</v>
      </c>
      <c r="D1166" t="s">
        <v>671</v>
      </c>
      <c r="E1166" s="1">
        <v>45463</v>
      </c>
      <c r="F1166" s="1">
        <v>45468</v>
      </c>
      <c r="G1166" s="1">
        <v>45485</v>
      </c>
      <c r="H1166" t="s">
        <v>8</v>
      </c>
      <c r="I1166">
        <v>462.01</v>
      </c>
      <c r="J1166" t="s">
        <v>683</v>
      </c>
      <c r="K1166">
        <v>17</v>
      </c>
    </row>
    <row r="1167" spans="1:11" x14ac:dyDescent="0.35">
      <c r="A1167" t="s">
        <v>1174</v>
      </c>
      <c r="B1167" t="s">
        <v>239</v>
      </c>
      <c r="C1167" t="s">
        <v>579</v>
      </c>
      <c r="D1167" t="s">
        <v>633</v>
      </c>
      <c r="E1167" s="1">
        <v>45485</v>
      </c>
      <c r="F1167" s="1">
        <v>45487</v>
      </c>
      <c r="G1167" s="1"/>
      <c r="H1167" t="s">
        <v>20</v>
      </c>
      <c r="I1167">
        <v>460.96</v>
      </c>
      <c r="J1167" t="s">
        <v>689</v>
      </c>
    </row>
    <row r="1168" spans="1:11" x14ac:dyDescent="0.35">
      <c r="A1168" t="s">
        <v>1338</v>
      </c>
      <c r="B1168" t="s">
        <v>172</v>
      </c>
      <c r="C1168" t="s">
        <v>599</v>
      </c>
      <c r="D1168" t="s">
        <v>633</v>
      </c>
      <c r="E1168" s="1">
        <v>44999</v>
      </c>
      <c r="F1168" s="1">
        <v>45002</v>
      </c>
      <c r="G1168" s="1">
        <v>45014</v>
      </c>
      <c r="H1168" t="s">
        <v>13</v>
      </c>
      <c r="I1168">
        <v>459.47</v>
      </c>
      <c r="J1168" t="s">
        <v>683</v>
      </c>
      <c r="K1168">
        <v>12</v>
      </c>
    </row>
    <row r="1169" spans="1:11" x14ac:dyDescent="0.35">
      <c r="A1169" t="s">
        <v>892</v>
      </c>
      <c r="B1169" t="s">
        <v>430</v>
      </c>
      <c r="C1169" t="s">
        <v>524</v>
      </c>
      <c r="D1169" t="s">
        <v>671</v>
      </c>
      <c r="E1169" s="1">
        <v>45024</v>
      </c>
      <c r="F1169" s="1">
        <v>45029</v>
      </c>
      <c r="G1169" s="1">
        <v>45059</v>
      </c>
      <c r="H1169" t="s">
        <v>20</v>
      </c>
      <c r="I1169">
        <v>456.61</v>
      </c>
      <c r="J1169" t="s">
        <v>683</v>
      </c>
      <c r="K1169">
        <v>30</v>
      </c>
    </row>
    <row r="1170" spans="1:11" x14ac:dyDescent="0.35">
      <c r="A1170" t="s">
        <v>1076</v>
      </c>
      <c r="B1170" t="s">
        <v>292</v>
      </c>
      <c r="C1170" t="s">
        <v>553</v>
      </c>
      <c r="D1170" t="s">
        <v>671</v>
      </c>
      <c r="E1170" s="1">
        <v>45177</v>
      </c>
      <c r="F1170" s="1">
        <v>45181</v>
      </c>
      <c r="G1170" s="1">
        <v>45189</v>
      </c>
      <c r="H1170" t="s">
        <v>13</v>
      </c>
      <c r="I1170">
        <v>453.84</v>
      </c>
      <c r="J1170" t="s">
        <v>687</v>
      </c>
      <c r="K1170">
        <v>8</v>
      </c>
    </row>
    <row r="1171" spans="1:11" x14ac:dyDescent="0.35">
      <c r="A1171" t="s">
        <v>733</v>
      </c>
      <c r="B1171" t="s">
        <v>406</v>
      </c>
      <c r="C1171" t="s">
        <v>607</v>
      </c>
      <c r="D1171" t="s">
        <v>671</v>
      </c>
      <c r="E1171" s="1">
        <v>45590</v>
      </c>
      <c r="F1171" s="1">
        <v>45595</v>
      </c>
      <c r="G1171" s="1">
        <v>45612</v>
      </c>
      <c r="H1171" t="s">
        <v>11</v>
      </c>
      <c r="I1171">
        <v>453.79</v>
      </c>
      <c r="J1171" t="s">
        <v>683</v>
      </c>
      <c r="K1171">
        <v>17</v>
      </c>
    </row>
    <row r="1172" spans="1:11" x14ac:dyDescent="0.35">
      <c r="A1172" t="s">
        <v>898</v>
      </c>
      <c r="B1172" t="s">
        <v>478</v>
      </c>
      <c r="C1172" t="s">
        <v>569</v>
      </c>
      <c r="D1172" t="s">
        <v>633</v>
      </c>
      <c r="E1172" s="1">
        <v>45514</v>
      </c>
      <c r="F1172" s="1">
        <v>45516</v>
      </c>
      <c r="G1172" s="1">
        <v>45530</v>
      </c>
      <c r="H1172" t="s">
        <v>13</v>
      </c>
      <c r="I1172">
        <v>453.77</v>
      </c>
      <c r="J1172" t="s">
        <v>687</v>
      </c>
      <c r="K1172">
        <v>14</v>
      </c>
    </row>
    <row r="1173" spans="1:11" x14ac:dyDescent="0.35">
      <c r="A1173" t="s">
        <v>947</v>
      </c>
      <c r="B1173" t="s">
        <v>66</v>
      </c>
      <c r="C1173" t="s">
        <v>601</v>
      </c>
      <c r="D1173" t="s">
        <v>671</v>
      </c>
      <c r="E1173" s="1">
        <v>45223</v>
      </c>
      <c r="F1173" s="1">
        <v>45226</v>
      </c>
      <c r="G1173" s="1">
        <v>45244</v>
      </c>
      <c r="H1173" t="s">
        <v>11</v>
      </c>
      <c r="I1173">
        <v>453.44</v>
      </c>
      <c r="J1173" t="s">
        <v>687</v>
      </c>
      <c r="K1173">
        <v>18</v>
      </c>
    </row>
    <row r="1174" spans="1:11" x14ac:dyDescent="0.35">
      <c r="A1174" t="s">
        <v>1584</v>
      </c>
      <c r="B1174" t="s">
        <v>129</v>
      </c>
      <c r="C1174" t="s">
        <v>577</v>
      </c>
      <c r="D1174" t="s">
        <v>671</v>
      </c>
      <c r="E1174" s="1">
        <v>45216</v>
      </c>
      <c r="F1174" s="1">
        <v>45220</v>
      </c>
      <c r="G1174" s="1">
        <v>45245</v>
      </c>
      <c r="H1174" t="s">
        <v>8</v>
      </c>
      <c r="I1174">
        <v>452.87</v>
      </c>
      <c r="J1174" t="s">
        <v>683</v>
      </c>
      <c r="K1174">
        <v>25</v>
      </c>
    </row>
    <row r="1175" spans="1:11" x14ac:dyDescent="0.35">
      <c r="A1175" t="s">
        <v>1853</v>
      </c>
      <c r="B1175" t="s">
        <v>128</v>
      </c>
      <c r="C1175" t="s">
        <v>534</v>
      </c>
      <c r="D1175" t="s">
        <v>671</v>
      </c>
      <c r="E1175" s="1">
        <v>45159</v>
      </c>
      <c r="F1175" s="1">
        <v>45160</v>
      </c>
      <c r="G1175" s="1">
        <v>45177</v>
      </c>
      <c r="H1175" t="s">
        <v>8</v>
      </c>
      <c r="I1175">
        <v>452.81</v>
      </c>
      <c r="J1175" t="s">
        <v>683</v>
      </c>
      <c r="K1175">
        <v>17</v>
      </c>
    </row>
    <row r="1176" spans="1:11" x14ac:dyDescent="0.35">
      <c r="A1176" t="s">
        <v>747</v>
      </c>
      <c r="B1176" t="s">
        <v>261</v>
      </c>
      <c r="C1176" t="s">
        <v>557</v>
      </c>
      <c r="D1176" t="s">
        <v>633</v>
      </c>
      <c r="E1176" s="1">
        <v>45407</v>
      </c>
      <c r="F1176" s="1">
        <v>45412</v>
      </c>
      <c r="G1176" s="1">
        <v>45441</v>
      </c>
      <c r="H1176" t="s">
        <v>20</v>
      </c>
      <c r="I1176">
        <v>452.48</v>
      </c>
      <c r="J1176" t="s">
        <v>683</v>
      </c>
      <c r="K1176">
        <v>29</v>
      </c>
    </row>
    <row r="1177" spans="1:11" x14ac:dyDescent="0.35">
      <c r="A1177" t="s">
        <v>1235</v>
      </c>
      <c r="B1177" t="s">
        <v>513</v>
      </c>
      <c r="C1177" t="s">
        <v>593</v>
      </c>
      <c r="D1177" t="s">
        <v>671</v>
      </c>
      <c r="E1177" s="1">
        <v>45308</v>
      </c>
      <c r="F1177" s="1">
        <v>45311</v>
      </c>
      <c r="G1177" s="1">
        <v>45323</v>
      </c>
      <c r="H1177" t="s">
        <v>20</v>
      </c>
      <c r="I1177">
        <v>452.32</v>
      </c>
      <c r="J1177" t="s">
        <v>687</v>
      </c>
      <c r="K1177">
        <v>12</v>
      </c>
    </row>
    <row r="1178" spans="1:11" x14ac:dyDescent="0.35">
      <c r="A1178" t="s">
        <v>2490</v>
      </c>
      <c r="B1178" t="s">
        <v>62</v>
      </c>
      <c r="C1178" t="s">
        <v>559</v>
      </c>
      <c r="D1178" t="s">
        <v>671</v>
      </c>
      <c r="E1178" s="1">
        <v>45547</v>
      </c>
      <c r="F1178" s="1">
        <v>45549</v>
      </c>
      <c r="G1178" s="1">
        <v>45552</v>
      </c>
      <c r="H1178" t="s">
        <v>8</v>
      </c>
      <c r="I1178">
        <v>452.25</v>
      </c>
      <c r="J1178" t="s">
        <v>687</v>
      </c>
      <c r="K1178">
        <v>3</v>
      </c>
    </row>
    <row r="1179" spans="1:11" x14ac:dyDescent="0.35">
      <c r="A1179" t="s">
        <v>2254</v>
      </c>
      <c r="B1179" t="s">
        <v>162</v>
      </c>
      <c r="C1179" t="s">
        <v>573</v>
      </c>
      <c r="D1179" t="s">
        <v>671</v>
      </c>
      <c r="E1179" s="1">
        <v>45495</v>
      </c>
      <c r="F1179" s="1">
        <v>45499</v>
      </c>
      <c r="G1179" s="1">
        <v>45516</v>
      </c>
      <c r="H1179" t="s">
        <v>11</v>
      </c>
      <c r="I1179">
        <v>452.24</v>
      </c>
      <c r="J1179" t="s">
        <v>683</v>
      </c>
      <c r="K1179">
        <v>17</v>
      </c>
    </row>
    <row r="1180" spans="1:11" x14ac:dyDescent="0.35">
      <c r="A1180" t="s">
        <v>2318</v>
      </c>
      <c r="B1180" t="s">
        <v>299</v>
      </c>
      <c r="C1180" t="s">
        <v>585</v>
      </c>
      <c r="D1180" t="s">
        <v>671</v>
      </c>
      <c r="E1180" s="1">
        <v>45365</v>
      </c>
      <c r="F1180" s="1">
        <v>45369</v>
      </c>
      <c r="G1180" s="1">
        <v>45383</v>
      </c>
      <c r="H1180" t="s">
        <v>25</v>
      </c>
      <c r="I1180">
        <v>452.01</v>
      </c>
      <c r="J1180" t="s">
        <v>687</v>
      </c>
      <c r="K1180">
        <v>14</v>
      </c>
    </row>
    <row r="1181" spans="1:11" x14ac:dyDescent="0.35">
      <c r="A1181" t="s">
        <v>1610</v>
      </c>
      <c r="B1181" t="s">
        <v>208</v>
      </c>
      <c r="C1181" t="s">
        <v>549</v>
      </c>
      <c r="D1181" t="s">
        <v>633</v>
      </c>
      <c r="E1181" s="1">
        <v>45558</v>
      </c>
      <c r="F1181" s="1">
        <v>45561</v>
      </c>
      <c r="G1181" s="1">
        <v>45584</v>
      </c>
      <c r="H1181" t="s">
        <v>13</v>
      </c>
      <c r="I1181">
        <v>450.34</v>
      </c>
      <c r="J1181" t="s">
        <v>683</v>
      </c>
      <c r="K1181">
        <v>23</v>
      </c>
    </row>
    <row r="1182" spans="1:11" x14ac:dyDescent="0.35">
      <c r="A1182" t="s">
        <v>914</v>
      </c>
      <c r="B1182" t="s">
        <v>357</v>
      </c>
      <c r="C1182" t="s">
        <v>563</v>
      </c>
      <c r="D1182" t="s">
        <v>671</v>
      </c>
      <c r="E1182" s="1">
        <v>45140</v>
      </c>
      <c r="F1182" s="1">
        <v>45143</v>
      </c>
      <c r="G1182" s="1">
        <v>45157</v>
      </c>
      <c r="H1182" t="s">
        <v>8</v>
      </c>
      <c r="I1182">
        <v>450.27</v>
      </c>
      <c r="J1182" t="s">
        <v>683</v>
      </c>
      <c r="K1182">
        <v>14</v>
      </c>
    </row>
    <row r="1183" spans="1:11" x14ac:dyDescent="0.35">
      <c r="A1183" t="s">
        <v>1973</v>
      </c>
      <c r="B1183" t="s">
        <v>490</v>
      </c>
      <c r="C1183" t="s">
        <v>561</v>
      </c>
      <c r="D1183" t="s">
        <v>633</v>
      </c>
      <c r="E1183" s="1">
        <v>44970</v>
      </c>
      <c r="F1183" s="1">
        <v>44975</v>
      </c>
      <c r="G1183" s="1">
        <v>44996</v>
      </c>
      <c r="H1183" t="s">
        <v>11</v>
      </c>
      <c r="I1183">
        <v>449.2</v>
      </c>
      <c r="J1183" t="s">
        <v>683</v>
      </c>
      <c r="K1183">
        <v>21</v>
      </c>
    </row>
    <row r="1184" spans="1:11" x14ac:dyDescent="0.35">
      <c r="A1184" t="s">
        <v>1334</v>
      </c>
      <c r="B1184" t="s">
        <v>285</v>
      </c>
      <c r="C1184" t="s">
        <v>609</v>
      </c>
      <c r="D1184" t="s">
        <v>671</v>
      </c>
      <c r="E1184" s="1">
        <v>45346</v>
      </c>
      <c r="F1184" s="1">
        <v>45351</v>
      </c>
      <c r="G1184" s="1">
        <v>45379</v>
      </c>
      <c r="H1184" t="s">
        <v>13</v>
      </c>
      <c r="I1184">
        <v>447.82</v>
      </c>
      <c r="J1184" t="s">
        <v>687</v>
      </c>
      <c r="K1184">
        <v>28</v>
      </c>
    </row>
    <row r="1185" spans="1:11" x14ac:dyDescent="0.35">
      <c r="A1185" t="s">
        <v>2610</v>
      </c>
      <c r="B1185" t="s">
        <v>371</v>
      </c>
      <c r="C1185" t="s">
        <v>583</v>
      </c>
      <c r="D1185" t="s">
        <v>671</v>
      </c>
      <c r="E1185" s="1">
        <v>45195</v>
      </c>
      <c r="F1185" s="1">
        <v>45196</v>
      </c>
      <c r="G1185" s="1">
        <v>45226</v>
      </c>
      <c r="H1185" t="s">
        <v>25</v>
      </c>
      <c r="I1185">
        <v>446.43</v>
      </c>
      <c r="J1185" t="s">
        <v>687</v>
      </c>
      <c r="K1185">
        <v>30</v>
      </c>
    </row>
    <row r="1186" spans="1:11" x14ac:dyDescent="0.35">
      <c r="A1186" t="s">
        <v>2405</v>
      </c>
      <c r="B1186" t="s">
        <v>276</v>
      </c>
      <c r="C1186" t="s">
        <v>595</v>
      </c>
      <c r="D1186" t="s">
        <v>671</v>
      </c>
      <c r="E1186" s="1">
        <v>45406</v>
      </c>
      <c r="F1186" s="1">
        <v>45410</v>
      </c>
      <c r="G1186" s="1">
        <v>45427</v>
      </c>
      <c r="H1186" t="s">
        <v>20</v>
      </c>
      <c r="I1186">
        <v>445.32</v>
      </c>
      <c r="J1186" t="s">
        <v>683</v>
      </c>
      <c r="K1186">
        <v>17</v>
      </c>
    </row>
    <row r="1187" spans="1:11" x14ac:dyDescent="0.35">
      <c r="A1187" t="s">
        <v>1620</v>
      </c>
      <c r="B1187" t="s">
        <v>374</v>
      </c>
      <c r="C1187" t="s">
        <v>593</v>
      </c>
      <c r="D1187" t="s">
        <v>633</v>
      </c>
      <c r="E1187" s="1">
        <v>45459</v>
      </c>
      <c r="F1187" s="1">
        <v>45460</v>
      </c>
      <c r="G1187" s="1">
        <v>45486</v>
      </c>
      <c r="H1187" t="s">
        <v>8</v>
      </c>
      <c r="I1187">
        <v>444.73</v>
      </c>
      <c r="J1187" t="s">
        <v>683</v>
      </c>
      <c r="K1187">
        <v>26</v>
      </c>
    </row>
    <row r="1188" spans="1:11" x14ac:dyDescent="0.35">
      <c r="A1188" t="s">
        <v>1546</v>
      </c>
      <c r="B1188" t="s">
        <v>487</v>
      </c>
      <c r="C1188" t="s">
        <v>531</v>
      </c>
      <c r="D1188" t="s">
        <v>633</v>
      </c>
      <c r="E1188" s="1">
        <v>44945</v>
      </c>
      <c r="F1188" s="1">
        <v>44948</v>
      </c>
      <c r="G1188" s="1">
        <v>44968</v>
      </c>
      <c r="H1188" t="s">
        <v>20</v>
      </c>
      <c r="I1188">
        <v>444.37</v>
      </c>
      <c r="J1188" t="s">
        <v>683</v>
      </c>
      <c r="K1188">
        <v>20</v>
      </c>
    </row>
    <row r="1189" spans="1:11" x14ac:dyDescent="0.35">
      <c r="A1189" t="s">
        <v>1755</v>
      </c>
      <c r="B1189" t="s">
        <v>138</v>
      </c>
      <c r="C1189" t="s">
        <v>589</v>
      </c>
      <c r="D1189" t="s">
        <v>671</v>
      </c>
      <c r="E1189" s="1">
        <v>45161</v>
      </c>
      <c r="F1189" s="1">
        <v>45166</v>
      </c>
      <c r="G1189" s="1">
        <v>45178</v>
      </c>
      <c r="H1189" t="s">
        <v>20</v>
      </c>
      <c r="I1189">
        <v>442.29</v>
      </c>
      <c r="J1189" t="s">
        <v>683</v>
      </c>
      <c r="K1189">
        <v>12</v>
      </c>
    </row>
    <row r="1190" spans="1:11" x14ac:dyDescent="0.35">
      <c r="A1190" t="s">
        <v>2460</v>
      </c>
      <c r="B1190" t="s">
        <v>446</v>
      </c>
      <c r="C1190" t="s">
        <v>589</v>
      </c>
      <c r="D1190" t="s">
        <v>671</v>
      </c>
      <c r="E1190" s="1">
        <v>45545</v>
      </c>
      <c r="F1190" s="1">
        <v>45546</v>
      </c>
      <c r="G1190" s="1">
        <v>45550</v>
      </c>
      <c r="H1190" t="s">
        <v>8</v>
      </c>
      <c r="I1190">
        <v>442.28</v>
      </c>
      <c r="J1190" t="s">
        <v>683</v>
      </c>
      <c r="K1190">
        <v>4</v>
      </c>
    </row>
    <row r="1191" spans="1:11" x14ac:dyDescent="0.35">
      <c r="A1191" t="s">
        <v>1570</v>
      </c>
      <c r="B1191" t="s">
        <v>269</v>
      </c>
      <c r="C1191" t="s">
        <v>573</v>
      </c>
      <c r="D1191" t="s">
        <v>671</v>
      </c>
      <c r="E1191" s="1">
        <v>45120</v>
      </c>
      <c r="F1191" s="1">
        <v>45121</v>
      </c>
      <c r="G1191" s="1">
        <v>45145</v>
      </c>
      <c r="H1191" t="s">
        <v>20</v>
      </c>
      <c r="I1191">
        <v>441.87</v>
      </c>
      <c r="J1191" t="s">
        <v>683</v>
      </c>
      <c r="K1191">
        <v>24</v>
      </c>
    </row>
    <row r="1192" spans="1:11" x14ac:dyDescent="0.35">
      <c r="A1192" t="s">
        <v>1495</v>
      </c>
      <c r="B1192" t="s">
        <v>386</v>
      </c>
      <c r="C1192" t="s">
        <v>557</v>
      </c>
      <c r="D1192" t="s">
        <v>633</v>
      </c>
      <c r="E1192" s="1">
        <v>45028</v>
      </c>
      <c r="F1192" s="1">
        <v>45030</v>
      </c>
      <c r="G1192" s="1"/>
      <c r="H1192" t="s">
        <v>13</v>
      </c>
      <c r="I1192">
        <v>441.24</v>
      </c>
      <c r="J1192" t="s">
        <v>689</v>
      </c>
    </row>
    <row r="1193" spans="1:11" x14ac:dyDescent="0.35">
      <c r="A1193" t="s">
        <v>1073</v>
      </c>
      <c r="B1193" t="s">
        <v>389</v>
      </c>
      <c r="C1193" t="s">
        <v>607</v>
      </c>
      <c r="D1193" t="s">
        <v>671</v>
      </c>
      <c r="E1193" s="1">
        <v>45136</v>
      </c>
      <c r="F1193" s="1">
        <v>45139</v>
      </c>
      <c r="G1193" s="1">
        <v>45151</v>
      </c>
      <c r="H1193" t="s">
        <v>8</v>
      </c>
      <c r="I1193">
        <v>441.23</v>
      </c>
      <c r="J1193" t="s">
        <v>683</v>
      </c>
      <c r="K1193">
        <v>12</v>
      </c>
    </row>
    <row r="1194" spans="1:11" x14ac:dyDescent="0.35">
      <c r="A1194" t="s">
        <v>1849</v>
      </c>
      <c r="B1194" t="s">
        <v>245</v>
      </c>
      <c r="C1194" t="s">
        <v>540</v>
      </c>
      <c r="D1194" t="s">
        <v>671</v>
      </c>
      <c r="E1194" s="1">
        <v>45257</v>
      </c>
      <c r="F1194" s="1">
        <v>45258</v>
      </c>
      <c r="G1194" s="1"/>
      <c r="H1194" t="s">
        <v>8</v>
      </c>
      <c r="I1194">
        <v>440.57</v>
      </c>
      <c r="J1194" t="s">
        <v>689</v>
      </c>
    </row>
    <row r="1195" spans="1:11" x14ac:dyDescent="0.35">
      <c r="A1195" t="s">
        <v>1888</v>
      </c>
      <c r="B1195" t="s">
        <v>103</v>
      </c>
      <c r="C1195" t="s">
        <v>537</v>
      </c>
      <c r="D1195" t="s">
        <v>671</v>
      </c>
      <c r="E1195" s="1">
        <v>44931</v>
      </c>
      <c r="F1195" s="1">
        <v>44932</v>
      </c>
      <c r="G1195" s="1">
        <v>44958</v>
      </c>
      <c r="H1195" t="s">
        <v>20</v>
      </c>
      <c r="I1195">
        <v>439.9</v>
      </c>
      <c r="J1195" t="s">
        <v>683</v>
      </c>
      <c r="K1195">
        <v>26</v>
      </c>
    </row>
    <row r="1196" spans="1:11" x14ac:dyDescent="0.35">
      <c r="A1196" t="s">
        <v>1684</v>
      </c>
      <c r="B1196" t="s">
        <v>206</v>
      </c>
      <c r="C1196" t="s">
        <v>555</v>
      </c>
      <c r="D1196" t="s">
        <v>671</v>
      </c>
      <c r="E1196" s="1">
        <v>45538</v>
      </c>
      <c r="F1196" s="1">
        <v>45540</v>
      </c>
      <c r="G1196" s="1">
        <v>45545</v>
      </c>
      <c r="H1196" t="s">
        <v>13</v>
      </c>
      <c r="I1196">
        <v>438.09</v>
      </c>
      <c r="J1196" t="s">
        <v>683</v>
      </c>
      <c r="K1196">
        <v>5</v>
      </c>
    </row>
    <row r="1197" spans="1:11" x14ac:dyDescent="0.35">
      <c r="A1197" t="s">
        <v>1353</v>
      </c>
      <c r="B1197" t="s">
        <v>254</v>
      </c>
      <c r="C1197" t="s">
        <v>603</v>
      </c>
      <c r="D1197" t="s">
        <v>671</v>
      </c>
      <c r="E1197" s="1">
        <v>45598</v>
      </c>
      <c r="F1197" s="1">
        <v>45599</v>
      </c>
      <c r="G1197" s="1">
        <v>45614</v>
      </c>
      <c r="H1197" t="s">
        <v>13</v>
      </c>
      <c r="I1197">
        <v>436.95</v>
      </c>
      <c r="J1197" t="s">
        <v>683</v>
      </c>
      <c r="K1197">
        <v>15</v>
      </c>
    </row>
    <row r="1198" spans="1:11" x14ac:dyDescent="0.35">
      <c r="A1198" t="s">
        <v>1776</v>
      </c>
      <c r="B1198" t="s">
        <v>384</v>
      </c>
      <c r="C1198" t="s">
        <v>559</v>
      </c>
      <c r="D1198" t="s">
        <v>633</v>
      </c>
      <c r="E1198" s="1">
        <v>45540</v>
      </c>
      <c r="F1198" s="1">
        <v>45542</v>
      </c>
      <c r="G1198" s="1"/>
      <c r="H1198" t="s">
        <v>13</v>
      </c>
      <c r="I1198">
        <v>436.68</v>
      </c>
      <c r="J1198" t="s">
        <v>689</v>
      </c>
    </row>
    <row r="1199" spans="1:11" x14ac:dyDescent="0.35">
      <c r="A1199" t="s">
        <v>1066</v>
      </c>
      <c r="B1199" t="s">
        <v>255</v>
      </c>
      <c r="C1199" t="s">
        <v>527</v>
      </c>
      <c r="D1199" t="s">
        <v>656</v>
      </c>
      <c r="E1199" s="1">
        <v>45228</v>
      </c>
      <c r="F1199" s="1">
        <v>45232</v>
      </c>
      <c r="G1199" s="1">
        <v>45246</v>
      </c>
      <c r="H1199" t="s">
        <v>20</v>
      </c>
      <c r="I1199">
        <v>436.3</v>
      </c>
      <c r="J1199" t="s">
        <v>683</v>
      </c>
      <c r="K1199">
        <v>14</v>
      </c>
    </row>
    <row r="1200" spans="1:11" x14ac:dyDescent="0.35">
      <c r="A1200" t="s">
        <v>2621</v>
      </c>
      <c r="B1200" t="s">
        <v>490</v>
      </c>
      <c r="C1200" t="s">
        <v>579</v>
      </c>
      <c r="D1200" t="s">
        <v>671</v>
      </c>
      <c r="E1200" s="1">
        <v>45463</v>
      </c>
      <c r="F1200" s="1">
        <v>45465</v>
      </c>
      <c r="G1200" s="1">
        <v>45476</v>
      </c>
      <c r="H1200" t="s">
        <v>11</v>
      </c>
      <c r="I1200">
        <v>436.09</v>
      </c>
      <c r="J1200" t="s">
        <v>683</v>
      </c>
      <c r="K1200">
        <v>11</v>
      </c>
    </row>
    <row r="1201" spans="1:11" x14ac:dyDescent="0.35">
      <c r="A1201" t="s">
        <v>858</v>
      </c>
      <c r="B1201" t="s">
        <v>497</v>
      </c>
      <c r="C1201" t="s">
        <v>561</v>
      </c>
      <c r="D1201" t="s">
        <v>656</v>
      </c>
      <c r="E1201" s="1">
        <v>45310</v>
      </c>
      <c r="F1201" s="1">
        <v>45312</v>
      </c>
      <c r="G1201" s="1">
        <v>45342</v>
      </c>
      <c r="H1201" t="s">
        <v>13</v>
      </c>
      <c r="I1201">
        <v>434.54</v>
      </c>
      <c r="J1201" t="s">
        <v>683</v>
      </c>
      <c r="K1201">
        <v>30</v>
      </c>
    </row>
    <row r="1202" spans="1:11" x14ac:dyDescent="0.35">
      <c r="A1202" t="s">
        <v>1828</v>
      </c>
      <c r="B1202" t="s">
        <v>189</v>
      </c>
      <c r="C1202" t="s">
        <v>593</v>
      </c>
      <c r="D1202" t="s">
        <v>671</v>
      </c>
      <c r="E1202" s="1">
        <v>45570</v>
      </c>
      <c r="F1202" s="1">
        <v>45573</v>
      </c>
      <c r="G1202" s="1">
        <v>45602</v>
      </c>
      <c r="H1202" t="s">
        <v>8</v>
      </c>
      <c r="I1202">
        <v>434.32</v>
      </c>
      <c r="J1202" t="s">
        <v>683</v>
      </c>
      <c r="K1202">
        <v>29</v>
      </c>
    </row>
    <row r="1203" spans="1:11" x14ac:dyDescent="0.35">
      <c r="A1203" t="s">
        <v>2582</v>
      </c>
      <c r="B1203" t="s">
        <v>148</v>
      </c>
      <c r="C1203" t="s">
        <v>589</v>
      </c>
      <c r="D1203" t="s">
        <v>671</v>
      </c>
      <c r="E1203" s="1">
        <v>45590</v>
      </c>
      <c r="F1203" s="1">
        <v>45591</v>
      </c>
      <c r="G1203" s="1">
        <v>45595</v>
      </c>
      <c r="H1203" t="s">
        <v>8</v>
      </c>
      <c r="I1203">
        <v>433.89</v>
      </c>
      <c r="J1203" t="s">
        <v>683</v>
      </c>
      <c r="K1203">
        <v>4</v>
      </c>
    </row>
    <row r="1204" spans="1:11" x14ac:dyDescent="0.35">
      <c r="A1204" t="s">
        <v>1777</v>
      </c>
      <c r="B1204" t="s">
        <v>479</v>
      </c>
      <c r="C1204" t="s">
        <v>531</v>
      </c>
      <c r="D1204" t="s">
        <v>633</v>
      </c>
      <c r="E1204" s="1">
        <v>44943</v>
      </c>
      <c r="F1204" s="1">
        <v>44948</v>
      </c>
      <c r="G1204" s="1">
        <v>44962</v>
      </c>
      <c r="H1204" t="s">
        <v>20</v>
      </c>
      <c r="I1204">
        <v>433.13</v>
      </c>
      <c r="J1204" t="s">
        <v>687</v>
      </c>
      <c r="K1204">
        <v>14</v>
      </c>
    </row>
    <row r="1205" spans="1:11" x14ac:dyDescent="0.35">
      <c r="A1205" t="s">
        <v>1393</v>
      </c>
      <c r="B1205" t="s">
        <v>156</v>
      </c>
      <c r="C1205" t="s">
        <v>567</v>
      </c>
      <c r="D1205" t="s">
        <v>633</v>
      </c>
      <c r="E1205" s="1">
        <v>45001</v>
      </c>
      <c r="F1205" s="1">
        <v>45003</v>
      </c>
      <c r="G1205" s="1">
        <v>45008</v>
      </c>
      <c r="H1205" t="s">
        <v>25</v>
      </c>
      <c r="I1205">
        <v>433.11</v>
      </c>
      <c r="J1205" t="s">
        <v>683</v>
      </c>
      <c r="K1205">
        <v>5</v>
      </c>
    </row>
    <row r="1206" spans="1:11" x14ac:dyDescent="0.35">
      <c r="A1206" t="s">
        <v>2668</v>
      </c>
      <c r="B1206" t="s">
        <v>366</v>
      </c>
      <c r="C1206" t="s">
        <v>534</v>
      </c>
      <c r="D1206" t="s">
        <v>656</v>
      </c>
      <c r="E1206" s="1">
        <v>45008</v>
      </c>
      <c r="F1206" s="1">
        <v>45013</v>
      </c>
      <c r="G1206" s="1">
        <v>45034</v>
      </c>
      <c r="H1206" t="s">
        <v>8</v>
      </c>
      <c r="I1206">
        <v>432.59</v>
      </c>
      <c r="J1206" t="s">
        <v>683</v>
      </c>
      <c r="K1206">
        <v>21</v>
      </c>
    </row>
    <row r="1207" spans="1:11" x14ac:dyDescent="0.35">
      <c r="A1207" t="s">
        <v>1589</v>
      </c>
      <c r="B1207" t="s">
        <v>487</v>
      </c>
      <c r="C1207" t="s">
        <v>607</v>
      </c>
      <c r="D1207" t="s">
        <v>633</v>
      </c>
      <c r="E1207" s="1">
        <v>45284</v>
      </c>
      <c r="F1207" s="1">
        <v>45288</v>
      </c>
      <c r="G1207" s="1">
        <v>45300</v>
      </c>
      <c r="H1207" t="s">
        <v>20</v>
      </c>
      <c r="I1207">
        <v>432.04</v>
      </c>
      <c r="J1207" t="s">
        <v>683</v>
      </c>
      <c r="K1207">
        <v>12</v>
      </c>
    </row>
    <row r="1208" spans="1:11" x14ac:dyDescent="0.35">
      <c r="A1208" t="s">
        <v>1760</v>
      </c>
      <c r="B1208" t="s">
        <v>333</v>
      </c>
      <c r="C1208" t="s">
        <v>593</v>
      </c>
      <c r="D1208" t="s">
        <v>671</v>
      </c>
      <c r="E1208" s="1">
        <v>45044</v>
      </c>
      <c r="F1208" s="1">
        <v>45046</v>
      </c>
      <c r="G1208" s="1">
        <v>45075</v>
      </c>
      <c r="H1208" t="s">
        <v>13</v>
      </c>
      <c r="I1208">
        <v>431.45</v>
      </c>
      <c r="J1208" t="s">
        <v>683</v>
      </c>
      <c r="K1208">
        <v>29</v>
      </c>
    </row>
    <row r="1209" spans="1:11" x14ac:dyDescent="0.35">
      <c r="A1209" t="s">
        <v>1297</v>
      </c>
      <c r="B1209" t="s">
        <v>266</v>
      </c>
      <c r="C1209" t="s">
        <v>557</v>
      </c>
      <c r="D1209" t="s">
        <v>656</v>
      </c>
      <c r="E1209" s="1">
        <v>45136</v>
      </c>
      <c r="F1209" s="1">
        <v>45140</v>
      </c>
      <c r="G1209" s="1">
        <v>45159</v>
      </c>
      <c r="H1209" t="s">
        <v>20</v>
      </c>
      <c r="I1209">
        <v>430.65</v>
      </c>
      <c r="J1209" t="s">
        <v>683</v>
      </c>
      <c r="K1209">
        <v>19</v>
      </c>
    </row>
    <row r="1210" spans="1:11" x14ac:dyDescent="0.35">
      <c r="A1210" t="s">
        <v>867</v>
      </c>
      <c r="B1210" t="s">
        <v>315</v>
      </c>
      <c r="C1210" t="s">
        <v>540</v>
      </c>
      <c r="D1210" t="s">
        <v>633</v>
      </c>
      <c r="E1210" s="1">
        <v>45524</v>
      </c>
      <c r="F1210" s="1">
        <v>45525</v>
      </c>
      <c r="G1210" s="1">
        <v>45532</v>
      </c>
      <c r="H1210" t="s">
        <v>13</v>
      </c>
      <c r="I1210">
        <v>430.59</v>
      </c>
      <c r="J1210" t="s">
        <v>683</v>
      </c>
      <c r="K1210">
        <v>7</v>
      </c>
    </row>
    <row r="1211" spans="1:11" x14ac:dyDescent="0.35">
      <c r="A1211" t="s">
        <v>2677</v>
      </c>
      <c r="B1211" t="s">
        <v>177</v>
      </c>
      <c r="C1211" t="s">
        <v>605</v>
      </c>
      <c r="D1211" t="s">
        <v>671</v>
      </c>
      <c r="E1211" s="1">
        <v>45620</v>
      </c>
      <c r="F1211" s="1">
        <v>45624</v>
      </c>
      <c r="G1211" s="1">
        <v>45651</v>
      </c>
      <c r="H1211" t="s">
        <v>11</v>
      </c>
      <c r="I1211">
        <v>430.16</v>
      </c>
      <c r="J1211" t="s">
        <v>683</v>
      </c>
      <c r="K1211">
        <v>27</v>
      </c>
    </row>
    <row r="1212" spans="1:11" x14ac:dyDescent="0.35">
      <c r="A1212" t="s">
        <v>1680</v>
      </c>
      <c r="B1212" t="s">
        <v>115</v>
      </c>
      <c r="C1212" t="s">
        <v>540</v>
      </c>
      <c r="D1212" t="s">
        <v>633</v>
      </c>
      <c r="E1212" s="1">
        <v>45063</v>
      </c>
      <c r="F1212" s="1">
        <v>45066</v>
      </c>
      <c r="G1212" s="1">
        <v>45076</v>
      </c>
      <c r="H1212" t="s">
        <v>20</v>
      </c>
      <c r="I1212">
        <v>429.83</v>
      </c>
      <c r="J1212" t="s">
        <v>683</v>
      </c>
      <c r="K1212">
        <v>10</v>
      </c>
    </row>
    <row r="1213" spans="1:11" x14ac:dyDescent="0.35">
      <c r="A1213" t="s">
        <v>1093</v>
      </c>
      <c r="B1213" t="s">
        <v>87</v>
      </c>
      <c r="C1213" t="s">
        <v>559</v>
      </c>
      <c r="D1213" t="s">
        <v>633</v>
      </c>
      <c r="E1213" s="1">
        <v>45207</v>
      </c>
      <c r="F1213" s="1">
        <v>45211</v>
      </c>
      <c r="G1213" s="1">
        <v>45224</v>
      </c>
      <c r="H1213" t="s">
        <v>8</v>
      </c>
      <c r="I1213">
        <v>429.76</v>
      </c>
      <c r="J1213" t="s">
        <v>683</v>
      </c>
      <c r="K1213">
        <v>13</v>
      </c>
    </row>
    <row r="1214" spans="1:11" x14ac:dyDescent="0.35">
      <c r="A1214" t="s">
        <v>2624</v>
      </c>
      <c r="B1214" t="s">
        <v>505</v>
      </c>
      <c r="C1214" t="s">
        <v>543</v>
      </c>
      <c r="D1214" t="s">
        <v>671</v>
      </c>
      <c r="E1214" s="1">
        <v>45133</v>
      </c>
      <c r="F1214" s="1">
        <v>45135</v>
      </c>
      <c r="G1214" s="1">
        <v>45165</v>
      </c>
      <c r="H1214" t="s">
        <v>20</v>
      </c>
      <c r="I1214">
        <v>429.45</v>
      </c>
      <c r="J1214" t="s">
        <v>683</v>
      </c>
      <c r="K1214">
        <v>30</v>
      </c>
    </row>
    <row r="1215" spans="1:11" x14ac:dyDescent="0.35">
      <c r="A1215" t="s">
        <v>1890</v>
      </c>
      <c r="B1215" t="s">
        <v>241</v>
      </c>
      <c r="C1215" t="s">
        <v>540</v>
      </c>
      <c r="D1215" t="s">
        <v>633</v>
      </c>
      <c r="E1215" s="1">
        <v>45287</v>
      </c>
      <c r="F1215" s="1">
        <v>45290</v>
      </c>
      <c r="G1215" s="1">
        <v>45313</v>
      </c>
      <c r="H1215" t="s">
        <v>11</v>
      </c>
      <c r="I1215">
        <v>428.6</v>
      </c>
      <c r="J1215" t="s">
        <v>683</v>
      </c>
      <c r="K1215">
        <v>23</v>
      </c>
    </row>
    <row r="1216" spans="1:11" x14ac:dyDescent="0.35">
      <c r="A1216" t="s">
        <v>1552</v>
      </c>
      <c r="B1216" t="s">
        <v>145</v>
      </c>
      <c r="C1216" t="s">
        <v>567</v>
      </c>
      <c r="D1216" t="s">
        <v>633</v>
      </c>
      <c r="E1216" s="1">
        <v>45468</v>
      </c>
      <c r="F1216" s="1">
        <v>45473</v>
      </c>
      <c r="G1216" s="1">
        <v>45496</v>
      </c>
      <c r="H1216" t="s">
        <v>8</v>
      </c>
      <c r="I1216">
        <v>427.34</v>
      </c>
      <c r="J1216" t="s">
        <v>683</v>
      </c>
      <c r="K1216">
        <v>23</v>
      </c>
    </row>
    <row r="1217" spans="1:11" x14ac:dyDescent="0.35">
      <c r="A1217" t="s">
        <v>1926</v>
      </c>
      <c r="B1217" t="s">
        <v>371</v>
      </c>
      <c r="C1217" t="s">
        <v>569</v>
      </c>
      <c r="D1217" t="s">
        <v>633</v>
      </c>
      <c r="E1217" s="1">
        <v>45594</v>
      </c>
      <c r="F1217" s="1">
        <v>45595</v>
      </c>
      <c r="G1217" s="1">
        <v>45612</v>
      </c>
      <c r="H1217" t="s">
        <v>25</v>
      </c>
      <c r="I1217">
        <v>427.3</v>
      </c>
      <c r="J1217" t="s">
        <v>683</v>
      </c>
      <c r="K1217">
        <v>17</v>
      </c>
    </row>
    <row r="1218" spans="1:11" x14ac:dyDescent="0.35">
      <c r="A1218" t="s">
        <v>2471</v>
      </c>
      <c r="B1218" t="s">
        <v>68</v>
      </c>
      <c r="C1218" t="s">
        <v>546</v>
      </c>
      <c r="D1218" t="s">
        <v>656</v>
      </c>
      <c r="E1218" s="1">
        <v>45131</v>
      </c>
      <c r="F1218" s="1">
        <v>45135</v>
      </c>
      <c r="G1218" s="1">
        <v>45143</v>
      </c>
      <c r="H1218" t="s">
        <v>25</v>
      </c>
      <c r="I1218">
        <v>426.91</v>
      </c>
      <c r="J1218" t="s">
        <v>683</v>
      </c>
      <c r="K1218">
        <v>8</v>
      </c>
    </row>
    <row r="1219" spans="1:11" x14ac:dyDescent="0.35">
      <c r="A1219" t="s">
        <v>1566</v>
      </c>
      <c r="B1219" t="s">
        <v>462</v>
      </c>
      <c r="C1219" t="s">
        <v>543</v>
      </c>
      <c r="D1219" t="s">
        <v>656</v>
      </c>
      <c r="E1219" s="1">
        <v>45053</v>
      </c>
      <c r="F1219" s="1">
        <v>45054</v>
      </c>
      <c r="G1219" s="1">
        <v>45080</v>
      </c>
      <c r="H1219" t="s">
        <v>20</v>
      </c>
      <c r="I1219">
        <v>425.9</v>
      </c>
      <c r="J1219" t="s">
        <v>683</v>
      </c>
      <c r="K1219">
        <v>26</v>
      </c>
    </row>
    <row r="1220" spans="1:11" x14ac:dyDescent="0.35">
      <c r="A1220" t="s">
        <v>1433</v>
      </c>
      <c r="B1220" t="s">
        <v>449</v>
      </c>
      <c r="C1220" t="s">
        <v>579</v>
      </c>
      <c r="D1220" t="s">
        <v>633</v>
      </c>
      <c r="E1220" s="1">
        <v>45269</v>
      </c>
      <c r="F1220" s="1">
        <v>45273</v>
      </c>
      <c r="G1220" s="1">
        <v>45290</v>
      </c>
      <c r="H1220" t="s">
        <v>13</v>
      </c>
      <c r="I1220">
        <v>425.31</v>
      </c>
      <c r="J1220" t="s">
        <v>683</v>
      </c>
      <c r="K1220">
        <v>17</v>
      </c>
    </row>
    <row r="1221" spans="1:11" x14ac:dyDescent="0.35">
      <c r="A1221" t="s">
        <v>1314</v>
      </c>
      <c r="B1221" t="s">
        <v>436</v>
      </c>
      <c r="C1221" t="s">
        <v>589</v>
      </c>
      <c r="D1221" t="s">
        <v>671</v>
      </c>
      <c r="E1221" s="1">
        <v>45184</v>
      </c>
      <c r="F1221" s="1">
        <v>45186</v>
      </c>
      <c r="G1221" s="1">
        <v>45194</v>
      </c>
      <c r="H1221" t="s">
        <v>8</v>
      </c>
      <c r="I1221">
        <v>425.06</v>
      </c>
      <c r="J1221" t="s">
        <v>683</v>
      </c>
      <c r="K1221">
        <v>8</v>
      </c>
    </row>
    <row r="1222" spans="1:11" x14ac:dyDescent="0.35">
      <c r="A1222" t="s">
        <v>2536</v>
      </c>
      <c r="B1222" t="s">
        <v>224</v>
      </c>
      <c r="C1222" t="s">
        <v>549</v>
      </c>
      <c r="D1222" t="s">
        <v>671</v>
      </c>
      <c r="E1222" s="1">
        <v>45211</v>
      </c>
      <c r="F1222" s="1">
        <v>45212</v>
      </c>
      <c r="G1222" s="1">
        <v>45231</v>
      </c>
      <c r="H1222" t="s">
        <v>11</v>
      </c>
      <c r="I1222">
        <v>425.01</v>
      </c>
      <c r="J1222" t="s">
        <v>683</v>
      </c>
      <c r="K1222">
        <v>19</v>
      </c>
    </row>
    <row r="1223" spans="1:11" x14ac:dyDescent="0.35">
      <c r="A1223" t="s">
        <v>1490</v>
      </c>
      <c r="B1223" t="s">
        <v>463</v>
      </c>
      <c r="C1223" t="s">
        <v>559</v>
      </c>
      <c r="D1223" t="s">
        <v>656</v>
      </c>
      <c r="E1223" s="1">
        <v>45230</v>
      </c>
      <c r="F1223" s="1">
        <v>45232</v>
      </c>
      <c r="G1223" s="1">
        <v>45250</v>
      </c>
      <c r="H1223" t="s">
        <v>8</v>
      </c>
      <c r="I1223">
        <v>424.53</v>
      </c>
      <c r="J1223" t="s">
        <v>683</v>
      </c>
      <c r="K1223">
        <v>18</v>
      </c>
    </row>
    <row r="1224" spans="1:11" x14ac:dyDescent="0.35">
      <c r="A1224" t="s">
        <v>1229</v>
      </c>
      <c r="B1224" t="s">
        <v>240</v>
      </c>
      <c r="C1224" t="s">
        <v>575</v>
      </c>
      <c r="D1224" t="s">
        <v>656</v>
      </c>
      <c r="E1224" s="1">
        <v>45528</v>
      </c>
      <c r="F1224" s="1">
        <v>45531</v>
      </c>
      <c r="G1224" s="1">
        <v>45559</v>
      </c>
      <c r="H1224" t="s">
        <v>11</v>
      </c>
      <c r="I1224">
        <v>424.25</v>
      </c>
      <c r="J1224" t="s">
        <v>683</v>
      </c>
      <c r="K1224">
        <v>28</v>
      </c>
    </row>
    <row r="1225" spans="1:11" x14ac:dyDescent="0.35">
      <c r="A1225" t="s">
        <v>1388</v>
      </c>
      <c r="B1225" t="s">
        <v>114</v>
      </c>
      <c r="C1225" t="s">
        <v>549</v>
      </c>
      <c r="D1225" t="s">
        <v>633</v>
      </c>
      <c r="E1225" s="1">
        <v>45360</v>
      </c>
      <c r="F1225" s="1">
        <v>45363</v>
      </c>
      <c r="G1225" s="1">
        <v>45381</v>
      </c>
      <c r="H1225" t="s">
        <v>20</v>
      </c>
      <c r="I1225">
        <v>424.1</v>
      </c>
      <c r="J1225" t="s">
        <v>683</v>
      </c>
      <c r="K1225">
        <v>18</v>
      </c>
    </row>
    <row r="1226" spans="1:11" x14ac:dyDescent="0.35">
      <c r="A1226" t="s">
        <v>1593</v>
      </c>
      <c r="B1226" t="s">
        <v>165</v>
      </c>
      <c r="C1226" t="s">
        <v>537</v>
      </c>
      <c r="D1226" t="s">
        <v>633</v>
      </c>
      <c r="E1226" s="1">
        <v>45301</v>
      </c>
      <c r="F1226" s="1">
        <v>45306</v>
      </c>
      <c r="G1226" s="1">
        <v>45332</v>
      </c>
      <c r="H1226" t="s">
        <v>25</v>
      </c>
      <c r="I1226">
        <v>423.58</v>
      </c>
      <c r="J1226" t="s">
        <v>687</v>
      </c>
      <c r="K1226">
        <v>26</v>
      </c>
    </row>
    <row r="1227" spans="1:11" x14ac:dyDescent="0.35">
      <c r="A1227" t="s">
        <v>1919</v>
      </c>
      <c r="B1227" t="s">
        <v>330</v>
      </c>
      <c r="C1227" t="s">
        <v>537</v>
      </c>
      <c r="D1227" t="s">
        <v>633</v>
      </c>
      <c r="E1227" s="1">
        <v>45546</v>
      </c>
      <c r="F1227" s="1">
        <v>45549</v>
      </c>
      <c r="G1227" s="1">
        <v>45559</v>
      </c>
      <c r="H1227" t="s">
        <v>25</v>
      </c>
      <c r="I1227">
        <v>423.5</v>
      </c>
      <c r="J1227" t="s">
        <v>683</v>
      </c>
      <c r="K1227">
        <v>10</v>
      </c>
    </row>
    <row r="1228" spans="1:11" x14ac:dyDescent="0.35">
      <c r="A1228" t="s">
        <v>1884</v>
      </c>
      <c r="B1228" t="s">
        <v>12</v>
      </c>
      <c r="C1228" t="s">
        <v>589</v>
      </c>
      <c r="D1228" t="s">
        <v>671</v>
      </c>
      <c r="E1228" s="1">
        <v>45085</v>
      </c>
      <c r="F1228" s="1">
        <v>45088</v>
      </c>
      <c r="G1228" s="1">
        <v>45096</v>
      </c>
      <c r="H1228" t="s">
        <v>13</v>
      </c>
      <c r="I1228">
        <v>423.31</v>
      </c>
      <c r="J1228" t="s">
        <v>683</v>
      </c>
      <c r="K1228">
        <v>8</v>
      </c>
    </row>
    <row r="1229" spans="1:11" x14ac:dyDescent="0.35">
      <c r="A1229" t="s">
        <v>1389</v>
      </c>
      <c r="B1229" t="s">
        <v>224</v>
      </c>
      <c r="C1229" t="s">
        <v>565</v>
      </c>
      <c r="D1229" t="s">
        <v>633</v>
      </c>
      <c r="E1229" s="1">
        <v>45302</v>
      </c>
      <c r="F1229" s="1">
        <v>45304</v>
      </c>
      <c r="G1229" s="1">
        <v>45326</v>
      </c>
      <c r="H1229" t="s">
        <v>11</v>
      </c>
      <c r="I1229">
        <v>422.92</v>
      </c>
      <c r="J1229" t="s">
        <v>683</v>
      </c>
      <c r="K1229">
        <v>22</v>
      </c>
    </row>
    <row r="1230" spans="1:11" x14ac:dyDescent="0.35">
      <c r="A1230" t="s">
        <v>1304</v>
      </c>
      <c r="B1230" t="s">
        <v>61</v>
      </c>
      <c r="C1230" t="s">
        <v>603</v>
      </c>
      <c r="D1230" t="s">
        <v>656</v>
      </c>
      <c r="E1230" s="1">
        <v>45010</v>
      </c>
      <c r="F1230" s="1">
        <v>45015</v>
      </c>
      <c r="G1230" s="1">
        <v>45022</v>
      </c>
      <c r="H1230" t="s">
        <v>11</v>
      </c>
      <c r="I1230">
        <v>422.38</v>
      </c>
      <c r="J1230" t="s">
        <v>687</v>
      </c>
      <c r="K1230">
        <v>7</v>
      </c>
    </row>
    <row r="1231" spans="1:11" x14ac:dyDescent="0.35">
      <c r="A1231" t="s">
        <v>1239</v>
      </c>
      <c r="B1231" t="s">
        <v>93</v>
      </c>
      <c r="C1231" t="s">
        <v>607</v>
      </c>
      <c r="D1231" t="s">
        <v>633</v>
      </c>
      <c r="E1231" s="1">
        <v>45479</v>
      </c>
      <c r="F1231" s="1">
        <v>45482</v>
      </c>
      <c r="G1231" s="1">
        <v>45498</v>
      </c>
      <c r="H1231" t="s">
        <v>20</v>
      </c>
      <c r="I1231">
        <v>421.21</v>
      </c>
      <c r="J1231" t="s">
        <v>687</v>
      </c>
      <c r="K1231">
        <v>16</v>
      </c>
    </row>
    <row r="1232" spans="1:11" x14ac:dyDescent="0.35">
      <c r="A1232" t="s">
        <v>843</v>
      </c>
      <c r="B1232" t="s">
        <v>233</v>
      </c>
      <c r="C1232" t="s">
        <v>573</v>
      </c>
      <c r="D1232" t="s">
        <v>633</v>
      </c>
      <c r="E1232" s="1">
        <v>45352</v>
      </c>
      <c r="F1232" s="1">
        <v>45356</v>
      </c>
      <c r="G1232" s="1">
        <v>45384</v>
      </c>
      <c r="H1232" t="s">
        <v>20</v>
      </c>
      <c r="I1232">
        <v>420.67</v>
      </c>
      <c r="J1232" t="s">
        <v>683</v>
      </c>
      <c r="K1232">
        <v>28</v>
      </c>
    </row>
    <row r="1233" spans="1:11" x14ac:dyDescent="0.35">
      <c r="A1233" t="s">
        <v>2045</v>
      </c>
      <c r="B1233" t="s">
        <v>288</v>
      </c>
      <c r="C1233" t="s">
        <v>540</v>
      </c>
      <c r="D1233" t="s">
        <v>656</v>
      </c>
      <c r="E1233" s="1">
        <v>45208</v>
      </c>
      <c r="F1233" s="1">
        <v>45213</v>
      </c>
      <c r="G1233" s="1">
        <v>45219</v>
      </c>
      <c r="H1233" t="s">
        <v>11</v>
      </c>
      <c r="I1233">
        <v>420.48</v>
      </c>
      <c r="J1233" t="s">
        <v>687</v>
      </c>
      <c r="K1233">
        <v>6</v>
      </c>
    </row>
    <row r="1234" spans="1:11" x14ac:dyDescent="0.35">
      <c r="A1234" t="s">
        <v>745</v>
      </c>
      <c r="B1234" t="s">
        <v>506</v>
      </c>
      <c r="C1234" t="s">
        <v>577</v>
      </c>
      <c r="D1234" t="s">
        <v>671</v>
      </c>
      <c r="E1234" s="1">
        <v>45039</v>
      </c>
      <c r="F1234" s="1">
        <v>45043</v>
      </c>
      <c r="G1234" s="1">
        <v>45071</v>
      </c>
      <c r="H1234" t="s">
        <v>11</v>
      </c>
      <c r="I1234">
        <v>420.22</v>
      </c>
      <c r="J1234" t="s">
        <v>683</v>
      </c>
      <c r="K1234">
        <v>28</v>
      </c>
    </row>
    <row r="1235" spans="1:11" x14ac:dyDescent="0.35">
      <c r="A1235" t="s">
        <v>1155</v>
      </c>
      <c r="B1235" t="s">
        <v>112</v>
      </c>
      <c r="C1235" t="s">
        <v>605</v>
      </c>
      <c r="D1235" t="s">
        <v>633</v>
      </c>
      <c r="E1235" s="1">
        <v>45202</v>
      </c>
      <c r="F1235" s="1">
        <v>45204</v>
      </c>
      <c r="G1235" s="1">
        <v>45221</v>
      </c>
      <c r="H1235" t="s">
        <v>13</v>
      </c>
      <c r="I1235">
        <v>419.75</v>
      </c>
      <c r="J1235" t="s">
        <v>683</v>
      </c>
      <c r="K1235">
        <v>17</v>
      </c>
    </row>
    <row r="1236" spans="1:11" x14ac:dyDescent="0.35">
      <c r="A1236" t="s">
        <v>1278</v>
      </c>
      <c r="B1236" t="s">
        <v>410</v>
      </c>
      <c r="C1236" t="s">
        <v>569</v>
      </c>
      <c r="D1236" t="s">
        <v>656</v>
      </c>
      <c r="E1236" s="1">
        <v>45584</v>
      </c>
      <c r="F1236" s="1">
        <v>45585</v>
      </c>
      <c r="G1236" s="1">
        <v>45598</v>
      </c>
      <c r="H1236" t="s">
        <v>20</v>
      </c>
      <c r="I1236">
        <v>419.68</v>
      </c>
      <c r="J1236" t="s">
        <v>683</v>
      </c>
      <c r="K1236">
        <v>13</v>
      </c>
    </row>
    <row r="1237" spans="1:11" x14ac:dyDescent="0.35">
      <c r="A1237" t="s">
        <v>968</v>
      </c>
      <c r="B1237" t="s">
        <v>293</v>
      </c>
      <c r="C1237" t="s">
        <v>557</v>
      </c>
      <c r="D1237" t="s">
        <v>656</v>
      </c>
      <c r="E1237" s="1">
        <v>45146</v>
      </c>
      <c r="F1237" s="1">
        <v>45147</v>
      </c>
      <c r="G1237" s="1">
        <v>45177</v>
      </c>
      <c r="H1237" t="s">
        <v>20</v>
      </c>
      <c r="I1237">
        <v>419.16</v>
      </c>
      <c r="J1237" t="s">
        <v>683</v>
      </c>
      <c r="K1237">
        <v>30</v>
      </c>
    </row>
    <row r="1238" spans="1:11" x14ac:dyDescent="0.35">
      <c r="A1238" t="s">
        <v>2186</v>
      </c>
      <c r="B1238" t="s">
        <v>112</v>
      </c>
      <c r="C1238" t="s">
        <v>524</v>
      </c>
      <c r="D1238" t="s">
        <v>656</v>
      </c>
      <c r="E1238" s="1">
        <v>45487</v>
      </c>
      <c r="F1238" s="1">
        <v>45488</v>
      </c>
      <c r="G1238" s="1">
        <v>45493</v>
      </c>
      <c r="H1238" t="s">
        <v>13</v>
      </c>
      <c r="I1238">
        <v>418.54</v>
      </c>
      <c r="J1238" t="s">
        <v>683</v>
      </c>
      <c r="K1238">
        <v>5</v>
      </c>
    </row>
    <row r="1239" spans="1:11" x14ac:dyDescent="0.35">
      <c r="A1239" t="s">
        <v>2483</v>
      </c>
      <c r="B1239" t="s">
        <v>374</v>
      </c>
      <c r="C1239" t="s">
        <v>561</v>
      </c>
      <c r="D1239" t="s">
        <v>633</v>
      </c>
      <c r="E1239" s="1">
        <v>44964</v>
      </c>
      <c r="F1239" s="1">
        <v>44966</v>
      </c>
      <c r="G1239" s="1">
        <v>44974</v>
      </c>
      <c r="H1239" t="s">
        <v>8</v>
      </c>
      <c r="I1239">
        <v>418.21</v>
      </c>
      <c r="J1239" t="s">
        <v>687</v>
      </c>
      <c r="K1239">
        <v>8</v>
      </c>
    </row>
    <row r="1240" spans="1:11" x14ac:dyDescent="0.35">
      <c r="A1240" t="s">
        <v>1567</v>
      </c>
      <c r="B1240" t="s">
        <v>497</v>
      </c>
      <c r="C1240" t="s">
        <v>553</v>
      </c>
      <c r="D1240" t="s">
        <v>633</v>
      </c>
      <c r="E1240" s="1">
        <v>45183</v>
      </c>
      <c r="F1240" s="1">
        <v>45187</v>
      </c>
      <c r="G1240" s="1">
        <v>45204</v>
      </c>
      <c r="H1240" t="s">
        <v>13</v>
      </c>
      <c r="I1240">
        <v>418.08</v>
      </c>
      <c r="J1240" t="s">
        <v>683</v>
      </c>
      <c r="K1240">
        <v>17</v>
      </c>
    </row>
    <row r="1241" spans="1:11" x14ac:dyDescent="0.35">
      <c r="A1241" t="s">
        <v>1062</v>
      </c>
      <c r="B1241" t="s">
        <v>228</v>
      </c>
      <c r="C1241" t="s">
        <v>589</v>
      </c>
      <c r="D1241" t="s">
        <v>656</v>
      </c>
      <c r="E1241" s="1">
        <v>45459</v>
      </c>
      <c r="F1241" s="1">
        <v>45464</v>
      </c>
      <c r="G1241" s="1">
        <v>45477</v>
      </c>
      <c r="H1241" t="s">
        <v>25</v>
      </c>
      <c r="I1241">
        <v>417.9</v>
      </c>
      <c r="J1241" t="s">
        <v>683</v>
      </c>
      <c r="K1241">
        <v>13</v>
      </c>
    </row>
    <row r="1242" spans="1:11" x14ac:dyDescent="0.35">
      <c r="A1242" t="s">
        <v>1714</v>
      </c>
      <c r="B1242" t="s">
        <v>486</v>
      </c>
      <c r="C1242" t="s">
        <v>573</v>
      </c>
      <c r="D1242" t="s">
        <v>671</v>
      </c>
      <c r="E1242" s="1">
        <v>45219</v>
      </c>
      <c r="F1242" s="1">
        <v>45220</v>
      </c>
      <c r="G1242" s="1">
        <v>45227</v>
      </c>
      <c r="H1242" t="s">
        <v>8</v>
      </c>
      <c r="I1242">
        <v>417.64</v>
      </c>
      <c r="J1242" t="s">
        <v>683</v>
      </c>
      <c r="K1242">
        <v>7</v>
      </c>
    </row>
    <row r="1243" spans="1:11" x14ac:dyDescent="0.35">
      <c r="A1243" t="s">
        <v>1494</v>
      </c>
      <c r="B1243" t="s">
        <v>224</v>
      </c>
      <c r="C1243" t="s">
        <v>537</v>
      </c>
      <c r="D1243" t="s">
        <v>671</v>
      </c>
      <c r="E1243" s="1">
        <v>45154</v>
      </c>
      <c r="F1243" s="1">
        <v>45159</v>
      </c>
      <c r="G1243" s="1">
        <v>45168</v>
      </c>
      <c r="H1243" t="s">
        <v>11</v>
      </c>
      <c r="I1243">
        <v>417.47</v>
      </c>
      <c r="J1243" t="s">
        <v>683</v>
      </c>
      <c r="K1243">
        <v>9</v>
      </c>
    </row>
    <row r="1244" spans="1:11" x14ac:dyDescent="0.35">
      <c r="A1244" t="s">
        <v>2676</v>
      </c>
      <c r="B1244" t="s">
        <v>45</v>
      </c>
      <c r="C1244" t="s">
        <v>524</v>
      </c>
      <c r="D1244" t="s">
        <v>633</v>
      </c>
      <c r="E1244" s="1">
        <v>44929</v>
      </c>
      <c r="F1244" s="1">
        <v>44930</v>
      </c>
      <c r="G1244" s="1">
        <v>44951</v>
      </c>
      <c r="H1244" t="s">
        <v>11</v>
      </c>
      <c r="I1244">
        <v>416.98</v>
      </c>
      <c r="J1244" t="s">
        <v>687</v>
      </c>
      <c r="K1244">
        <v>21</v>
      </c>
    </row>
    <row r="1245" spans="1:11" x14ac:dyDescent="0.35">
      <c r="A1245" t="s">
        <v>2388</v>
      </c>
      <c r="B1245" t="s">
        <v>21</v>
      </c>
      <c r="C1245" t="s">
        <v>549</v>
      </c>
      <c r="D1245" t="s">
        <v>656</v>
      </c>
      <c r="E1245" s="1">
        <v>45197</v>
      </c>
      <c r="F1245" s="1">
        <v>45199</v>
      </c>
      <c r="G1245" s="1">
        <v>45212</v>
      </c>
      <c r="H1245" t="s">
        <v>11</v>
      </c>
      <c r="I1245">
        <v>416.57</v>
      </c>
      <c r="J1245" t="s">
        <v>683</v>
      </c>
      <c r="K1245">
        <v>13</v>
      </c>
    </row>
    <row r="1246" spans="1:11" x14ac:dyDescent="0.35">
      <c r="A1246" t="s">
        <v>2562</v>
      </c>
      <c r="B1246" t="s">
        <v>513</v>
      </c>
      <c r="C1246" t="s">
        <v>591</v>
      </c>
      <c r="D1246" t="s">
        <v>633</v>
      </c>
      <c r="E1246" s="1">
        <v>45161</v>
      </c>
      <c r="F1246" s="1">
        <v>45164</v>
      </c>
      <c r="G1246" s="1"/>
      <c r="H1246" t="s">
        <v>20</v>
      </c>
      <c r="I1246">
        <v>416.19</v>
      </c>
      <c r="J1246" t="s">
        <v>689</v>
      </c>
    </row>
    <row r="1247" spans="1:11" x14ac:dyDescent="0.35">
      <c r="A1247" t="s">
        <v>1313</v>
      </c>
      <c r="B1247" t="s">
        <v>454</v>
      </c>
      <c r="C1247" t="s">
        <v>559</v>
      </c>
      <c r="D1247" t="s">
        <v>633</v>
      </c>
      <c r="E1247" s="1">
        <v>45222</v>
      </c>
      <c r="F1247" s="1">
        <v>45226</v>
      </c>
      <c r="G1247" s="1">
        <v>45238</v>
      </c>
      <c r="H1247" t="s">
        <v>20</v>
      </c>
      <c r="I1247">
        <v>415.59</v>
      </c>
      <c r="J1247" t="s">
        <v>683</v>
      </c>
      <c r="K1247">
        <v>12</v>
      </c>
    </row>
    <row r="1248" spans="1:11" x14ac:dyDescent="0.35">
      <c r="A1248" t="s">
        <v>1785</v>
      </c>
      <c r="B1248" t="s">
        <v>206</v>
      </c>
      <c r="C1248" t="s">
        <v>521</v>
      </c>
      <c r="D1248" t="s">
        <v>671</v>
      </c>
      <c r="E1248" s="1">
        <v>45156</v>
      </c>
      <c r="F1248" s="1">
        <v>45158</v>
      </c>
      <c r="G1248" s="1"/>
      <c r="H1248" t="s">
        <v>13</v>
      </c>
      <c r="I1248">
        <v>415.4</v>
      </c>
      <c r="J1248" t="s">
        <v>689</v>
      </c>
    </row>
    <row r="1249" spans="1:11" x14ac:dyDescent="0.35">
      <c r="A1249" t="s">
        <v>2355</v>
      </c>
      <c r="B1249" t="s">
        <v>105</v>
      </c>
      <c r="C1249" t="s">
        <v>521</v>
      </c>
      <c r="D1249" t="s">
        <v>656</v>
      </c>
      <c r="E1249" s="1">
        <v>45588</v>
      </c>
      <c r="F1249" s="1">
        <v>45590</v>
      </c>
      <c r="G1249" s="1">
        <v>45610</v>
      </c>
      <c r="H1249" t="s">
        <v>20</v>
      </c>
      <c r="I1249">
        <v>414.28</v>
      </c>
      <c r="J1249" t="s">
        <v>683</v>
      </c>
      <c r="K1249">
        <v>20</v>
      </c>
    </row>
    <row r="1250" spans="1:11" x14ac:dyDescent="0.35">
      <c r="A1250" t="s">
        <v>1331</v>
      </c>
      <c r="B1250" t="s">
        <v>490</v>
      </c>
      <c r="C1250" t="s">
        <v>559</v>
      </c>
      <c r="D1250" t="s">
        <v>633</v>
      </c>
      <c r="E1250" s="1">
        <v>45364</v>
      </c>
      <c r="F1250" s="1">
        <v>45366</v>
      </c>
      <c r="G1250" s="1"/>
      <c r="H1250" t="s">
        <v>11</v>
      </c>
      <c r="I1250">
        <v>413.71</v>
      </c>
      <c r="J1250" t="s">
        <v>689</v>
      </c>
    </row>
    <row r="1251" spans="1:11" x14ac:dyDescent="0.35">
      <c r="A1251" t="s">
        <v>1505</v>
      </c>
      <c r="B1251" t="s">
        <v>303</v>
      </c>
      <c r="C1251" t="s">
        <v>537</v>
      </c>
      <c r="D1251" t="s">
        <v>656</v>
      </c>
      <c r="E1251" s="1">
        <v>45617</v>
      </c>
      <c r="F1251" s="1">
        <v>45621</v>
      </c>
      <c r="G1251" s="1">
        <v>45645</v>
      </c>
      <c r="H1251" t="s">
        <v>8</v>
      </c>
      <c r="I1251">
        <v>412.31</v>
      </c>
      <c r="J1251" t="s">
        <v>683</v>
      </c>
      <c r="K1251">
        <v>24</v>
      </c>
    </row>
    <row r="1252" spans="1:11" x14ac:dyDescent="0.35">
      <c r="A1252" t="s">
        <v>1438</v>
      </c>
      <c r="B1252" t="s">
        <v>321</v>
      </c>
      <c r="C1252" t="s">
        <v>563</v>
      </c>
      <c r="D1252" t="s">
        <v>633</v>
      </c>
      <c r="E1252" s="1">
        <v>45489</v>
      </c>
      <c r="F1252" s="1">
        <v>45493</v>
      </c>
      <c r="G1252" s="1">
        <v>45503</v>
      </c>
      <c r="H1252" t="s">
        <v>8</v>
      </c>
      <c r="I1252">
        <v>410.17</v>
      </c>
      <c r="J1252" t="s">
        <v>683</v>
      </c>
      <c r="K1252">
        <v>10</v>
      </c>
    </row>
    <row r="1253" spans="1:11" x14ac:dyDescent="0.35">
      <c r="A1253" t="s">
        <v>1887</v>
      </c>
      <c r="B1253" t="s">
        <v>92</v>
      </c>
      <c r="C1253" t="s">
        <v>593</v>
      </c>
      <c r="D1253" t="s">
        <v>656</v>
      </c>
      <c r="E1253" s="1">
        <v>45168</v>
      </c>
      <c r="F1253" s="1">
        <v>45173</v>
      </c>
      <c r="G1253" s="1"/>
      <c r="H1253" t="s">
        <v>25</v>
      </c>
      <c r="I1253">
        <v>409.99</v>
      </c>
      <c r="J1253" t="s">
        <v>689</v>
      </c>
    </row>
    <row r="1254" spans="1:11" x14ac:dyDescent="0.35">
      <c r="A1254" t="s">
        <v>1399</v>
      </c>
      <c r="B1254" t="s">
        <v>88</v>
      </c>
      <c r="C1254" t="s">
        <v>531</v>
      </c>
      <c r="D1254" t="s">
        <v>656</v>
      </c>
      <c r="E1254" s="1">
        <v>45374</v>
      </c>
      <c r="F1254" s="1">
        <v>45378</v>
      </c>
      <c r="G1254" s="1">
        <v>45400</v>
      </c>
      <c r="H1254" t="s">
        <v>13</v>
      </c>
      <c r="I1254">
        <v>409.63</v>
      </c>
      <c r="J1254" t="s">
        <v>687</v>
      </c>
      <c r="K1254">
        <v>22</v>
      </c>
    </row>
    <row r="1255" spans="1:11" x14ac:dyDescent="0.35">
      <c r="A1255" t="s">
        <v>2052</v>
      </c>
      <c r="B1255" t="s">
        <v>291</v>
      </c>
      <c r="C1255" t="s">
        <v>561</v>
      </c>
      <c r="D1255" t="s">
        <v>656</v>
      </c>
      <c r="E1255" s="1">
        <v>45080</v>
      </c>
      <c r="F1255" s="1">
        <v>45084</v>
      </c>
      <c r="G1255" s="1">
        <v>45111</v>
      </c>
      <c r="H1255" t="s">
        <v>13</v>
      </c>
      <c r="I1255">
        <v>409.13</v>
      </c>
      <c r="J1255" t="s">
        <v>687</v>
      </c>
      <c r="K1255">
        <v>27</v>
      </c>
    </row>
    <row r="1256" spans="1:11" x14ac:dyDescent="0.35">
      <c r="A1256" t="s">
        <v>2278</v>
      </c>
      <c r="B1256" t="s">
        <v>164</v>
      </c>
      <c r="C1256" t="s">
        <v>607</v>
      </c>
      <c r="D1256" t="s">
        <v>656</v>
      </c>
      <c r="E1256" s="1">
        <v>45329</v>
      </c>
      <c r="F1256" s="1">
        <v>45334</v>
      </c>
      <c r="G1256" s="1">
        <v>45338</v>
      </c>
      <c r="H1256" t="s">
        <v>11</v>
      </c>
      <c r="I1256">
        <v>409.06</v>
      </c>
      <c r="J1256" t="s">
        <v>683</v>
      </c>
      <c r="K1256">
        <v>4</v>
      </c>
    </row>
    <row r="1257" spans="1:11" x14ac:dyDescent="0.35">
      <c r="A1257" t="s">
        <v>1695</v>
      </c>
      <c r="B1257" t="s">
        <v>445</v>
      </c>
      <c r="C1257" t="s">
        <v>549</v>
      </c>
      <c r="D1257" t="s">
        <v>671</v>
      </c>
      <c r="E1257" s="1">
        <v>45397</v>
      </c>
      <c r="F1257" s="1">
        <v>45400</v>
      </c>
      <c r="G1257" s="1">
        <v>45429</v>
      </c>
      <c r="H1257" t="s">
        <v>20</v>
      </c>
      <c r="I1257">
        <v>408.99</v>
      </c>
      <c r="J1257" t="s">
        <v>683</v>
      </c>
      <c r="K1257">
        <v>29</v>
      </c>
    </row>
    <row r="1258" spans="1:11" x14ac:dyDescent="0.35">
      <c r="A1258" t="s">
        <v>2271</v>
      </c>
      <c r="B1258" t="s">
        <v>372</v>
      </c>
      <c r="C1258" t="s">
        <v>527</v>
      </c>
      <c r="D1258" t="s">
        <v>656</v>
      </c>
      <c r="E1258" s="1">
        <v>45010</v>
      </c>
      <c r="F1258" s="1">
        <v>45011</v>
      </c>
      <c r="G1258" s="1">
        <v>45028</v>
      </c>
      <c r="H1258" t="s">
        <v>13</v>
      </c>
      <c r="I1258">
        <v>408.54</v>
      </c>
      <c r="J1258" t="s">
        <v>683</v>
      </c>
      <c r="K1258">
        <v>17</v>
      </c>
    </row>
    <row r="1259" spans="1:11" x14ac:dyDescent="0.35">
      <c r="A1259" t="s">
        <v>1741</v>
      </c>
      <c r="B1259" t="s">
        <v>415</v>
      </c>
      <c r="C1259" t="s">
        <v>609</v>
      </c>
      <c r="D1259" t="s">
        <v>671</v>
      </c>
      <c r="E1259" s="1">
        <v>45654</v>
      </c>
      <c r="F1259" s="1">
        <v>45658</v>
      </c>
      <c r="G1259" s="1">
        <v>45675</v>
      </c>
      <c r="H1259" t="s">
        <v>13</v>
      </c>
      <c r="I1259">
        <v>407.95</v>
      </c>
      <c r="J1259" t="s">
        <v>683</v>
      </c>
      <c r="K1259">
        <v>17</v>
      </c>
    </row>
    <row r="1260" spans="1:11" x14ac:dyDescent="0.35">
      <c r="A1260" t="s">
        <v>940</v>
      </c>
      <c r="B1260" t="s">
        <v>213</v>
      </c>
      <c r="C1260" t="s">
        <v>546</v>
      </c>
      <c r="D1260" t="s">
        <v>671</v>
      </c>
      <c r="E1260" s="1">
        <v>45233</v>
      </c>
      <c r="F1260" s="1">
        <v>45236</v>
      </c>
      <c r="G1260" s="1">
        <v>45248</v>
      </c>
      <c r="H1260" t="s">
        <v>8</v>
      </c>
      <c r="I1260">
        <v>406.78</v>
      </c>
      <c r="J1260" t="s">
        <v>683</v>
      </c>
      <c r="K1260">
        <v>12</v>
      </c>
    </row>
    <row r="1261" spans="1:11" x14ac:dyDescent="0.35">
      <c r="A1261" t="s">
        <v>1340</v>
      </c>
      <c r="B1261" t="s">
        <v>205</v>
      </c>
      <c r="C1261" t="s">
        <v>603</v>
      </c>
      <c r="D1261" t="s">
        <v>633</v>
      </c>
      <c r="E1261" s="1">
        <v>44956</v>
      </c>
      <c r="F1261" s="1">
        <v>44961</v>
      </c>
      <c r="G1261" s="1">
        <v>44981</v>
      </c>
      <c r="H1261" t="s">
        <v>11</v>
      </c>
      <c r="I1261">
        <v>406.33</v>
      </c>
      <c r="J1261" t="s">
        <v>683</v>
      </c>
      <c r="K1261">
        <v>20</v>
      </c>
    </row>
    <row r="1262" spans="1:11" x14ac:dyDescent="0.35">
      <c r="A1262" t="s">
        <v>2650</v>
      </c>
      <c r="B1262" t="s">
        <v>60</v>
      </c>
      <c r="C1262" t="s">
        <v>557</v>
      </c>
      <c r="D1262" t="s">
        <v>633</v>
      </c>
      <c r="E1262" s="1">
        <v>45468</v>
      </c>
      <c r="F1262" s="1">
        <v>45471</v>
      </c>
      <c r="G1262" s="1">
        <v>45483</v>
      </c>
      <c r="H1262" t="s">
        <v>11</v>
      </c>
      <c r="I1262">
        <v>405.91</v>
      </c>
      <c r="J1262" t="s">
        <v>683</v>
      </c>
      <c r="K1262">
        <v>12</v>
      </c>
    </row>
    <row r="1263" spans="1:11" x14ac:dyDescent="0.35">
      <c r="A1263" t="s">
        <v>2509</v>
      </c>
      <c r="B1263" t="s">
        <v>138</v>
      </c>
      <c r="C1263" t="s">
        <v>595</v>
      </c>
      <c r="D1263" t="s">
        <v>656</v>
      </c>
      <c r="E1263" s="1">
        <v>45470</v>
      </c>
      <c r="F1263" s="1">
        <v>45471</v>
      </c>
      <c r="G1263" s="1">
        <v>45478</v>
      </c>
      <c r="H1263" t="s">
        <v>20</v>
      </c>
      <c r="I1263">
        <v>405.13</v>
      </c>
      <c r="J1263" t="s">
        <v>687</v>
      </c>
      <c r="K1263">
        <v>7</v>
      </c>
    </row>
    <row r="1264" spans="1:11" x14ac:dyDescent="0.35">
      <c r="A1264" t="s">
        <v>1075</v>
      </c>
      <c r="B1264" t="s">
        <v>382</v>
      </c>
      <c r="C1264" t="s">
        <v>577</v>
      </c>
      <c r="D1264" t="s">
        <v>671</v>
      </c>
      <c r="E1264" s="1">
        <v>45572</v>
      </c>
      <c r="F1264" s="1">
        <v>45573</v>
      </c>
      <c r="G1264" s="1">
        <v>45576</v>
      </c>
      <c r="H1264" t="s">
        <v>8</v>
      </c>
      <c r="I1264">
        <v>404.83</v>
      </c>
      <c r="J1264" t="s">
        <v>683</v>
      </c>
      <c r="K1264">
        <v>3</v>
      </c>
    </row>
    <row r="1265" spans="1:11" x14ac:dyDescent="0.35">
      <c r="A1265" t="s">
        <v>1321</v>
      </c>
      <c r="B1265" t="s">
        <v>74</v>
      </c>
      <c r="C1265" t="s">
        <v>599</v>
      </c>
      <c r="D1265" t="s">
        <v>671</v>
      </c>
      <c r="E1265" s="1">
        <v>45139</v>
      </c>
      <c r="F1265" s="1">
        <v>45143</v>
      </c>
      <c r="G1265" s="1">
        <v>45161</v>
      </c>
      <c r="H1265" t="s">
        <v>8</v>
      </c>
      <c r="I1265">
        <v>402.45</v>
      </c>
      <c r="J1265" t="s">
        <v>683</v>
      </c>
      <c r="K1265">
        <v>18</v>
      </c>
    </row>
    <row r="1266" spans="1:11" x14ac:dyDescent="0.35">
      <c r="A1266" t="s">
        <v>1983</v>
      </c>
      <c r="B1266" t="s">
        <v>446</v>
      </c>
      <c r="C1266" t="s">
        <v>573</v>
      </c>
      <c r="D1266" t="s">
        <v>656</v>
      </c>
      <c r="E1266" s="1">
        <v>45654</v>
      </c>
      <c r="F1266" s="1">
        <v>45658</v>
      </c>
      <c r="G1266" s="1">
        <v>45669</v>
      </c>
      <c r="H1266" t="s">
        <v>8</v>
      </c>
      <c r="I1266">
        <v>402.29</v>
      </c>
      <c r="J1266" t="s">
        <v>683</v>
      </c>
      <c r="K1266">
        <v>11</v>
      </c>
    </row>
    <row r="1267" spans="1:11" x14ac:dyDescent="0.35">
      <c r="A1267" t="s">
        <v>1786</v>
      </c>
      <c r="B1267" t="s">
        <v>404</v>
      </c>
      <c r="C1267" t="s">
        <v>609</v>
      </c>
      <c r="D1267" t="s">
        <v>671</v>
      </c>
      <c r="E1267" s="1">
        <v>45045</v>
      </c>
      <c r="F1267" s="1">
        <v>45050</v>
      </c>
      <c r="G1267" s="1">
        <v>45060</v>
      </c>
      <c r="H1267" t="s">
        <v>8</v>
      </c>
      <c r="I1267">
        <v>401.81</v>
      </c>
      <c r="J1267" t="s">
        <v>683</v>
      </c>
      <c r="K1267">
        <v>10</v>
      </c>
    </row>
    <row r="1268" spans="1:11" x14ac:dyDescent="0.35">
      <c r="A1268" t="s">
        <v>1707</v>
      </c>
      <c r="B1268" t="s">
        <v>257</v>
      </c>
      <c r="C1268" t="s">
        <v>521</v>
      </c>
      <c r="D1268" t="s">
        <v>656</v>
      </c>
      <c r="E1268" s="1">
        <v>45378</v>
      </c>
      <c r="F1268" s="1">
        <v>45380</v>
      </c>
      <c r="G1268" s="1">
        <v>45400</v>
      </c>
      <c r="H1268" t="s">
        <v>8</v>
      </c>
      <c r="I1268">
        <v>401.09</v>
      </c>
      <c r="J1268" t="s">
        <v>683</v>
      </c>
      <c r="K1268">
        <v>20</v>
      </c>
    </row>
    <row r="1269" spans="1:11" x14ac:dyDescent="0.35">
      <c r="A1269" t="s">
        <v>1524</v>
      </c>
      <c r="B1269" t="s">
        <v>339</v>
      </c>
      <c r="C1269" t="s">
        <v>573</v>
      </c>
      <c r="D1269" t="s">
        <v>656</v>
      </c>
      <c r="E1269" s="1">
        <v>45213</v>
      </c>
      <c r="F1269" s="1">
        <v>45214</v>
      </c>
      <c r="G1269" s="1">
        <v>45241</v>
      </c>
      <c r="H1269" t="s">
        <v>11</v>
      </c>
      <c r="I1269">
        <v>399.91</v>
      </c>
      <c r="J1269" t="s">
        <v>683</v>
      </c>
      <c r="K1269">
        <v>27</v>
      </c>
    </row>
    <row r="1270" spans="1:11" x14ac:dyDescent="0.35">
      <c r="A1270" t="s">
        <v>1942</v>
      </c>
      <c r="B1270" t="s">
        <v>80</v>
      </c>
      <c r="C1270" t="s">
        <v>603</v>
      </c>
      <c r="D1270" t="s">
        <v>671</v>
      </c>
      <c r="E1270" s="1">
        <v>45200</v>
      </c>
      <c r="F1270" s="1">
        <v>45201</v>
      </c>
      <c r="G1270" s="1"/>
      <c r="H1270" t="s">
        <v>8</v>
      </c>
      <c r="I1270">
        <v>399.47</v>
      </c>
      <c r="J1270" t="s">
        <v>689</v>
      </c>
    </row>
    <row r="1271" spans="1:11" x14ac:dyDescent="0.35">
      <c r="A1271" t="s">
        <v>1070</v>
      </c>
      <c r="B1271" t="s">
        <v>280</v>
      </c>
      <c r="C1271" t="s">
        <v>521</v>
      </c>
      <c r="D1271" t="s">
        <v>671</v>
      </c>
      <c r="E1271" s="1">
        <v>45477</v>
      </c>
      <c r="F1271" s="1">
        <v>45478</v>
      </c>
      <c r="G1271" s="1">
        <v>45503</v>
      </c>
      <c r="H1271" t="s">
        <v>8</v>
      </c>
      <c r="I1271">
        <v>399.35</v>
      </c>
      <c r="J1271" t="s">
        <v>683</v>
      </c>
      <c r="K1271">
        <v>25</v>
      </c>
    </row>
    <row r="1272" spans="1:11" x14ac:dyDescent="0.35">
      <c r="A1272" t="s">
        <v>1420</v>
      </c>
      <c r="B1272" t="s">
        <v>423</v>
      </c>
      <c r="C1272" t="s">
        <v>597</v>
      </c>
      <c r="D1272" t="s">
        <v>671</v>
      </c>
      <c r="E1272" s="1">
        <v>45357</v>
      </c>
      <c r="F1272" s="1">
        <v>45359</v>
      </c>
      <c r="G1272" s="1">
        <v>45377</v>
      </c>
      <c r="H1272" t="s">
        <v>13</v>
      </c>
      <c r="I1272">
        <v>399.04</v>
      </c>
      <c r="J1272" t="s">
        <v>683</v>
      </c>
      <c r="K1272">
        <v>18</v>
      </c>
    </row>
    <row r="1273" spans="1:11" x14ac:dyDescent="0.35">
      <c r="A1273" t="s">
        <v>841</v>
      </c>
      <c r="B1273" t="s">
        <v>192</v>
      </c>
      <c r="C1273" t="s">
        <v>543</v>
      </c>
      <c r="D1273" t="s">
        <v>656</v>
      </c>
      <c r="E1273" s="1">
        <v>45581</v>
      </c>
      <c r="F1273" s="1">
        <v>45584</v>
      </c>
      <c r="G1273" s="1">
        <v>45596</v>
      </c>
      <c r="H1273" t="s">
        <v>11</v>
      </c>
      <c r="I1273">
        <v>397.59</v>
      </c>
      <c r="J1273" t="s">
        <v>683</v>
      </c>
      <c r="K1273">
        <v>12</v>
      </c>
    </row>
    <row r="1274" spans="1:11" x14ac:dyDescent="0.35">
      <c r="A1274" t="s">
        <v>2272</v>
      </c>
      <c r="B1274" t="s">
        <v>456</v>
      </c>
      <c r="C1274" t="s">
        <v>593</v>
      </c>
      <c r="D1274" t="s">
        <v>671</v>
      </c>
      <c r="E1274" s="1">
        <v>45620</v>
      </c>
      <c r="F1274" s="1">
        <v>45625</v>
      </c>
      <c r="G1274" s="1"/>
      <c r="H1274" t="s">
        <v>11</v>
      </c>
      <c r="I1274">
        <v>396.16</v>
      </c>
      <c r="J1274" t="s">
        <v>689</v>
      </c>
    </row>
    <row r="1275" spans="1:11" x14ac:dyDescent="0.35">
      <c r="A1275" t="s">
        <v>1855</v>
      </c>
      <c r="B1275" t="s">
        <v>395</v>
      </c>
      <c r="C1275" t="s">
        <v>595</v>
      </c>
      <c r="D1275" t="s">
        <v>671</v>
      </c>
      <c r="E1275" s="1">
        <v>45497</v>
      </c>
      <c r="F1275" s="1">
        <v>45502</v>
      </c>
      <c r="G1275" s="1"/>
      <c r="H1275" t="s">
        <v>11</v>
      </c>
      <c r="I1275">
        <v>396.11</v>
      </c>
      <c r="J1275" t="s">
        <v>689</v>
      </c>
    </row>
    <row r="1276" spans="1:11" x14ac:dyDescent="0.35">
      <c r="A1276" t="s">
        <v>1556</v>
      </c>
      <c r="B1276" t="s">
        <v>174</v>
      </c>
      <c r="C1276" t="s">
        <v>555</v>
      </c>
      <c r="D1276" t="s">
        <v>656</v>
      </c>
      <c r="E1276" s="1">
        <v>45218</v>
      </c>
      <c r="F1276" s="1">
        <v>45220</v>
      </c>
      <c r="G1276" s="1">
        <v>45242</v>
      </c>
      <c r="H1276" t="s">
        <v>8</v>
      </c>
      <c r="I1276">
        <v>395.94</v>
      </c>
      <c r="J1276" t="s">
        <v>683</v>
      </c>
      <c r="K1276">
        <v>22</v>
      </c>
    </row>
    <row r="1277" spans="1:11" x14ac:dyDescent="0.35">
      <c r="A1277" t="s">
        <v>2629</v>
      </c>
      <c r="B1277" t="s">
        <v>219</v>
      </c>
      <c r="C1277" t="s">
        <v>537</v>
      </c>
      <c r="D1277" t="s">
        <v>656</v>
      </c>
      <c r="E1277" s="1">
        <v>45070</v>
      </c>
      <c r="F1277" s="1">
        <v>45075</v>
      </c>
      <c r="G1277" s="1">
        <v>45079</v>
      </c>
      <c r="H1277" t="s">
        <v>11</v>
      </c>
      <c r="I1277">
        <v>395.79</v>
      </c>
      <c r="J1277" t="s">
        <v>683</v>
      </c>
      <c r="K1277">
        <v>4</v>
      </c>
    </row>
    <row r="1278" spans="1:11" x14ac:dyDescent="0.35">
      <c r="A1278" t="s">
        <v>1085</v>
      </c>
      <c r="B1278" t="s">
        <v>314</v>
      </c>
      <c r="C1278" t="s">
        <v>601</v>
      </c>
      <c r="D1278" t="s">
        <v>671</v>
      </c>
      <c r="E1278" s="1">
        <v>45538</v>
      </c>
      <c r="F1278" s="1">
        <v>45542</v>
      </c>
      <c r="G1278" s="1">
        <v>45549</v>
      </c>
      <c r="H1278" t="s">
        <v>8</v>
      </c>
      <c r="I1278">
        <v>394.34</v>
      </c>
      <c r="J1278" t="s">
        <v>687</v>
      </c>
      <c r="K1278">
        <v>7</v>
      </c>
    </row>
    <row r="1279" spans="1:11" x14ac:dyDescent="0.35">
      <c r="A1279" t="s">
        <v>1502</v>
      </c>
      <c r="B1279" t="s">
        <v>416</v>
      </c>
      <c r="C1279" t="s">
        <v>540</v>
      </c>
      <c r="D1279" t="s">
        <v>656</v>
      </c>
      <c r="E1279" s="1">
        <v>45630</v>
      </c>
      <c r="F1279" s="1">
        <v>45631</v>
      </c>
      <c r="G1279" s="1">
        <v>45648</v>
      </c>
      <c r="H1279" t="s">
        <v>13</v>
      </c>
      <c r="I1279">
        <v>393.67</v>
      </c>
      <c r="J1279" t="s">
        <v>687</v>
      </c>
      <c r="K1279">
        <v>17</v>
      </c>
    </row>
    <row r="1280" spans="1:11" x14ac:dyDescent="0.35">
      <c r="A1280" t="s">
        <v>743</v>
      </c>
      <c r="B1280" t="s">
        <v>362</v>
      </c>
      <c r="C1280" t="s">
        <v>527</v>
      </c>
      <c r="D1280" t="s">
        <v>656</v>
      </c>
      <c r="E1280" s="1">
        <v>45276</v>
      </c>
      <c r="F1280" s="1">
        <v>45279</v>
      </c>
      <c r="G1280" s="1"/>
      <c r="H1280" t="s">
        <v>25</v>
      </c>
      <c r="I1280">
        <v>393.59</v>
      </c>
      <c r="J1280" t="s">
        <v>689</v>
      </c>
    </row>
    <row r="1281" spans="1:11" x14ac:dyDescent="0.35">
      <c r="A1281" t="s">
        <v>1412</v>
      </c>
      <c r="B1281" t="s">
        <v>367</v>
      </c>
      <c r="C1281" t="s">
        <v>581</v>
      </c>
      <c r="D1281" t="s">
        <v>656</v>
      </c>
      <c r="E1281" s="1">
        <v>44961</v>
      </c>
      <c r="F1281" s="1">
        <v>44965</v>
      </c>
      <c r="G1281" s="1">
        <v>44981</v>
      </c>
      <c r="H1281" t="s">
        <v>11</v>
      </c>
      <c r="I1281">
        <v>393.52</v>
      </c>
      <c r="J1281" t="s">
        <v>683</v>
      </c>
      <c r="K1281">
        <v>16</v>
      </c>
    </row>
    <row r="1282" spans="1:11" x14ac:dyDescent="0.35">
      <c r="A1282" t="s">
        <v>911</v>
      </c>
      <c r="B1282" t="s">
        <v>12</v>
      </c>
      <c r="C1282" t="s">
        <v>577</v>
      </c>
      <c r="D1282" t="s">
        <v>656</v>
      </c>
      <c r="E1282" s="1">
        <v>45080</v>
      </c>
      <c r="F1282" s="1">
        <v>45081</v>
      </c>
      <c r="G1282" s="1">
        <v>45089</v>
      </c>
      <c r="H1282" t="s">
        <v>13</v>
      </c>
      <c r="I1282">
        <v>393.31</v>
      </c>
      <c r="J1282" t="s">
        <v>683</v>
      </c>
      <c r="K1282">
        <v>8</v>
      </c>
    </row>
    <row r="1283" spans="1:11" x14ac:dyDescent="0.35">
      <c r="A1283" t="s">
        <v>1285</v>
      </c>
      <c r="B1283" t="s">
        <v>303</v>
      </c>
      <c r="C1283" t="s">
        <v>575</v>
      </c>
      <c r="D1283" t="s">
        <v>671</v>
      </c>
      <c r="E1283" s="1">
        <v>45585</v>
      </c>
      <c r="F1283" s="1">
        <v>45589</v>
      </c>
      <c r="G1283" s="1">
        <v>45597</v>
      </c>
      <c r="H1283" t="s">
        <v>8</v>
      </c>
      <c r="I1283">
        <v>392.19</v>
      </c>
      <c r="J1283" t="s">
        <v>687</v>
      </c>
      <c r="K1283">
        <v>8</v>
      </c>
    </row>
    <row r="1284" spans="1:11" x14ac:dyDescent="0.35">
      <c r="A1284" t="s">
        <v>1941</v>
      </c>
      <c r="B1284" t="s">
        <v>398</v>
      </c>
      <c r="C1284" t="s">
        <v>609</v>
      </c>
      <c r="D1284" t="s">
        <v>671</v>
      </c>
      <c r="E1284" s="1">
        <v>45527</v>
      </c>
      <c r="F1284" s="1">
        <v>45528</v>
      </c>
      <c r="G1284" s="1">
        <v>45544</v>
      </c>
      <c r="H1284" t="s">
        <v>25</v>
      </c>
      <c r="I1284">
        <v>390.82</v>
      </c>
      <c r="J1284" t="s">
        <v>683</v>
      </c>
      <c r="K1284">
        <v>16</v>
      </c>
    </row>
    <row r="1285" spans="1:11" x14ac:dyDescent="0.35">
      <c r="A1285" t="s">
        <v>1547</v>
      </c>
      <c r="B1285" t="s">
        <v>148</v>
      </c>
      <c r="C1285" t="s">
        <v>557</v>
      </c>
      <c r="D1285" t="s">
        <v>656</v>
      </c>
      <c r="E1285" s="1">
        <v>45296</v>
      </c>
      <c r="F1285" s="1">
        <v>45300</v>
      </c>
      <c r="G1285" s="1">
        <v>45306</v>
      </c>
      <c r="H1285" t="s">
        <v>8</v>
      </c>
      <c r="I1285">
        <v>389.67</v>
      </c>
      <c r="J1285" t="s">
        <v>683</v>
      </c>
      <c r="K1285">
        <v>6</v>
      </c>
    </row>
    <row r="1286" spans="1:11" x14ac:dyDescent="0.35">
      <c r="A1286" t="s">
        <v>2211</v>
      </c>
      <c r="B1286" t="s">
        <v>176</v>
      </c>
      <c r="C1286" t="s">
        <v>589</v>
      </c>
      <c r="D1286" t="s">
        <v>656</v>
      </c>
      <c r="E1286" s="1">
        <v>45379</v>
      </c>
      <c r="F1286" s="1">
        <v>45383</v>
      </c>
      <c r="G1286" s="1">
        <v>45398</v>
      </c>
      <c r="H1286" t="s">
        <v>20</v>
      </c>
      <c r="I1286">
        <v>388.42</v>
      </c>
      <c r="J1286" t="s">
        <v>683</v>
      </c>
      <c r="K1286">
        <v>15</v>
      </c>
    </row>
    <row r="1287" spans="1:11" x14ac:dyDescent="0.35">
      <c r="A1287" t="s">
        <v>880</v>
      </c>
      <c r="B1287" t="s">
        <v>416</v>
      </c>
      <c r="C1287" t="s">
        <v>605</v>
      </c>
      <c r="D1287" t="s">
        <v>656</v>
      </c>
      <c r="E1287" s="1">
        <v>45455</v>
      </c>
      <c r="F1287" s="1">
        <v>45459</v>
      </c>
      <c r="G1287" s="1">
        <v>45488</v>
      </c>
      <c r="H1287" t="s">
        <v>13</v>
      </c>
      <c r="I1287">
        <v>388.15</v>
      </c>
      <c r="J1287" t="s">
        <v>683</v>
      </c>
      <c r="K1287">
        <v>29</v>
      </c>
    </row>
    <row r="1288" spans="1:11" x14ac:dyDescent="0.35">
      <c r="A1288" t="s">
        <v>1403</v>
      </c>
      <c r="B1288" t="s">
        <v>337</v>
      </c>
      <c r="C1288" t="s">
        <v>557</v>
      </c>
      <c r="D1288" t="s">
        <v>656</v>
      </c>
      <c r="E1288" s="1">
        <v>45051</v>
      </c>
      <c r="F1288" s="1">
        <v>45055</v>
      </c>
      <c r="G1288" s="1">
        <v>45083</v>
      </c>
      <c r="H1288" t="s">
        <v>11</v>
      </c>
      <c r="I1288">
        <v>388.1</v>
      </c>
      <c r="J1288" t="s">
        <v>683</v>
      </c>
      <c r="K1288">
        <v>28</v>
      </c>
    </row>
    <row r="1289" spans="1:11" x14ac:dyDescent="0.35">
      <c r="A1289" t="s">
        <v>1718</v>
      </c>
      <c r="B1289" t="s">
        <v>233</v>
      </c>
      <c r="C1289" t="s">
        <v>557</v>
      </c>
      <c r="D1289" t="s">
        <v>656</v>
      </c>
      <c r="E1289" s="1">
        <v>45466</v>
      </c>
      <c r="F1289" s="1">
        <v>45471</v>
      </c>
      <c r="G1289" s="1"/>
      <c r="H1289" t="s">
        <v>20</v>
      </c>
      <c r="I1289">
        <v>387.38</v>
      </c>
      <c r="J1289" t="s">
        <v>689</v>
      </c>
    </row>
    <row r="1290" spans="1:11" x14ac:dyDescent="0.35">
      <c r="A1290" t="s">
        <v>1692</v>
      </c>
      <c r="B1290" t="s">
        <v>353</v>
      </c>
      <c r="C1290" t="s">
        <v>557</v>
      </c>
      <c r="D1290" t="s">
        <v>671</v>
      </c>
      <c r="E1290" s="1">
        <v>45347</v>
      </c>
      <c r="F1290" s="1">
        <v>45351</v>
      </c>
      <c r="G1290" s="1">
        <v>45367</v>
      </c>
      <c r="H1290" t="s">
        <v>20</v>
      </c>
      <c r="I1290">
        <v>386.96</v>
      </c>
      <c r="J1290" t="s">
        <v>683</v>
      </c>
      <c r="K1290">
        <v>16</v>
      </c>
    </row>
    <row r="1291" spans="1:11" x14ac:dyDescent="0.35">
      <c r="A1291" t="s">
        <v>1548</v>
      </c>
      <c r="B1291" t="s">
        <v>103</v>
      </c>
      <c r="C1291" t="s">
        <v>599</v>
      </c>
      <c r="D1291" t="s">
        <v>656</v>
      </c>
      <c r="E1291" s="1">
        <v>45190</v>
      </c>
      <c r="F1291" s="1">
        <v>45194</v>
      </c>
      <c r="G1291" s="1">
        <v>45224</v>
      </c>
      <c r="H1291" t="s">
        <v>20</v>
      </c>
      <c r="I1291">
        <v>386.69</v>
      </c>
      <c r="J1291" t="s">
        <v>683</v>
      </c>
      <c r="K1291">
        <v>30</v>
      </c>
    </row>
    <row r="1292" spans="1:11" x14ac:dyDescent="0.35">
      <c r="A1292" t="s">
        <v>839</v>
      </c>
      <c r="B1292" t="s">
        <v>318</v>
      </c>
      <c r="C1292" t="s">
        <v>587</v>
      </c>
      <c r="D1292" t="s">
        <v>671</v>
      </c>
      <c r="E1292" s="1">
        <v>45074</v>
      </c>
      <c r="F1292" s="1">
        <v>45077</v>
      </c>
      <c r="G1292" s="1">
        <v>45104</v>
      </c>
      <c r="H1292" t="s">
        <v>13</v>
      </c>
      <c r="I1292">
        <v>386.47</v>
      </c>
      <c r="J1292" t="s">
        <v>687</v>
      </c>
      <c r="K1292">
        <v>27</v>
      </c>
    </row>
    <row r="1293" spans="1:11" x14ac:dyDescent="0.35">
      <c r="A1293" t="s">
        <v>1047</v>
      </c>
      <c r="B1293" t="s">
        <v>19</v>
      </c>
      <c r="C1293" t="s">
        <v>527</v>
      </c>
      <c r="D1293" t="s">
        <v>656</v>
      </c>
      <c r="E1293" s="1">
        <v>45174</v>
      </c>
      <c r="F1293" s="1">
        <v>45178</v>
      </c>
      <c r="G1293" s="1">
        <v>45199</v>
      </c>
      <c r="H1293" t="s">
        <v>20</v>
      </c>
      <c r="I1293">
        <v>386.15</v>
      </c>
      <c r="J1293" t="s">
        <v>683</v>
      </c>
      <c r="K1293">
        <v>21</v>
      </c>
    </row>
    <row r="1294" spans="1:11" x14ac:dyDescent="0.35">
      <c r="A1294" t="s">
        <v>2289</v>
      </c>
      <c r="B1294" t="s">
        <v>468</v>
      </c>
      <c r="C1294" t="s">
        <v>543</v>
      </c>
      <c r="D1294" t="s">
        <v>656</v>
      </c>
      <c r="E1294" s="1">
        <v>45500</v>
      </c>
      <c r="F1294" s="1">
        <v>45505</v>
      </c>
      <c r="G1294" s="1">
        <v>45512</v>
      </c>
      <c r="H1294" t="s">
        <v>20</v>
      </c>
      <c r="I1294">
        <v>385.69</v>
      </c>
      <c r="J1294" t="s">
        <v>683</v>
      </c>
      <c r="K1294">
        <v>7</v>
      </c>
    </row>
    <row r="1295" spans="1:11" x14ac:dyDescent="0.35">
      <c r="A1295" t="s">
        <v>854</v>
      </c>
      <c r="B1295" t="s">
        <v>418</v>
      </c>
      <c r="C1295" t="s">
        <v>591</v>
      </c>
      <c r="D1295" t="s">
        <v>656</v>
      </c>
      <c r="E1295" s="1">
        <v>45525</v>
      </c>
      <c r="F1295" s="1">
        <v>45529</v>
      </c>
      <c r="G1295" s="1">
        <v>45540</v>
      </c>
      <c r="H1295" t="s">
        <v>13</v>
      </c>
      <c r="I1295">
        <v>383.74</v>
      </c>
      <c r="J1295" t="s">
        <v>683</v>
      </c>
      <c r="K1295">
        <v>11</v>
      </c>
    </row>
    <row r="1296" spans="1:11" x14ac:dyDescent="0.35">
      <c r="A1296" t="s">
        <v>1015</v>
      </c>
      <c r="B1296" t="s">
        <v>110</v>
      </c>
      <c r="C1296" t="s">
        <v>540</v>
      </c>
      <c r="D1296" t="s">
        <v>671</v>
      </c>
      <c r="E1296" s="1">
        <v>45290</v>
      </c>
      <c r="F1296" s="1">
        <v>45294</v>
      </c>
      <c r="G1296" s="1">
        <v>45322</v>
      </c>
      <c r="H1296" t="s">
        <v>25</v>
      </c>
      <c r="I1296">
        <v>383.36</v>
      </c>
      <c r="J1296" t="s">
        <v>683</v>
      </c>
      <c r="K1296">
        <v>28</v>
      </c>
    </row>
    <row r="1297" spans="1:11" x14ac:dyDescent="0.35">
      <c r="A1297" t="s">
        <v>2435</v>
      </c>
      <c r="B1297" t="s">
        <v>93</v>
      </c>
      <c r="C1297" t="s">
        <v>609</v>
      </c>
      <c r="D1297" t="s">
        <v>656</v>
      </c>
      <c r="E1297" s="1">
        <v>45529</v>
      </c>
      <c r="F1297" s="1">
        <v>45534</v>
      </c>
      <c r="G1297" s="1">
        <v>45550</v>
      </c>
      <c r="H1297" t="s">
        <v>20</v>
      </c>
      <c r="I1297">
        <v>383.21</v>
      </c>
      <c r="J1297" t="s">
        <v>687</v>
      </c>
      <c r="K1297">
        <v>16</v>
      </c>
    </row>
    <row r="1298" spans="1:11" x14ac:dyDescent="0.35">
      <c r="A1298" t="s">
        <v>833</v>
      </c>
      <c r="B1298" t="s">
        <v>112</v>
      </c>
      <c r="C1298" t="s">
        <v>563</v>
      </c>
      <c r="D1298" t="s">
        <v>656</v>
      </c>
      <c r="E1298" s="1">
        <v>45445</v>
      </c>
      <c r="F1298" s="1">
        <v>45447</v>
      </c>
      <c r="G1298" s="1">
        <v>45473</v>
      </c>
      <c r="H1298" t="s">
        <v>13</v>
      </c>
      <c r="I1298">
        <v>381.22</v>
      </c>
      <c r="J1298" t="s">
        <v>683</v>
      </c>
      <c r="K1298">
        <v>26</v>
      </c>
    </row>
    <row r="1299" spans="1:11" x14ac:dyDescent="0.35">
      <c r="A1299" t="s">
        <v>2366</v>
      </c>
      <c r="B1299" t="s">
        <v>70</v>
      </c>
      <c r="C1299" t="s">
        <v>579</v>
      </c>
      <c r="D1299" t="s">
        <v>671</v>
      </c>
      <c r="E1299" s="1">
        <v>45063</v>
      </c>
      <c r="F1299" s="1">
        <v>45068</v>
      </c>
      <c r="G1299" s="1">
        <v>45078</v>
      </c>
      <c r="H1299" t="s">
        <v>11</v>
      </c>
      <c r="I1299">
        <v>379.61</v>
      </c>
      <c r="J1299" t="s">
        <v>683</v>
      </c>
      <c r="K1299">
        <v>10</v>
      </c>
    </row>
    <row r="1300" spans="1:11" x14ac:dyDescent="0.35">
      <c r="A1300" t="s">
        <v>2142</v>
      </c>
      <c r="B1300" t="s">
        <v>412</v>
      </c>
      <c r="C1300" t="s">
        <v>524</v>
      </c>
      <c r="D1300" t="s">
        <v>671</v>
      </c>
      <c r="E1300" s="1">
        <v>45447</v>
      </c>
      <c r="F1300" s="1">
        <v>45452</v>
      </c>
      <c r="G1300" s="1">
        <v>45481</v>
      </c>
      <c r="H1300" t="s">
        <v>8</v>
      </c>
      <c r="I1300">
        <v>379.03</v>
      </c>
      <c r="J1300" t="s">
        <v>683</v>
      </c>
      <c r="K1300">
        <v>29</v>
      </c>
    </row>
    <row r="1301" spans="1:11" x14ac:dyDescent="0.35">
      <c r="A1301" t="s">
        <v>2432</v>
      </c>
      <c r="B1301" t="s">
        <v>42</v>
      </c>
      <c r="C1301" t="s">
        <v>524</v>
      </c>
      <c r="D1301" t="s">
        <v>656</v>
      </c>
      <c r="E1301" s="1">
        <v>45430</v>
      </c>
      <c r="F1301" s="1">
        <v>45433</v>
      </c>
      <c r="G1301" s="1">
        <v>45439</v>
      </c>
      <c r="H1301" t="s">
        <v>20</v>
      </c>
      <c r="I1301">
        <v>378.64</v>
      </c>
      <c r="J1301" t="s">
        <v>683</v>
      </c>
      <c r="K1301">
        <v>6</v>
      </c>
    </row>
    <row r="1302" spans="1:11" x14ac:dyDescent="0.35">
      <c r="A1302" t="s">
        <v>1117</v>
      </c>
      <c r="B1302" t="s">
        <v>376</v>
      </c>
      <c r="C1302" t="s">
        <v>567</v>
      </c>
      <c r="D1302" t="s">
        <v>656</v>
      </c>
      <c r="E1302" s="1">
        <v>45363</v>
      </c>
      <c r="F1302" s="1">
        <v>45367</v>
      </c>
      <c r="G1302" s="1"/>
      <c r="H1302" t="s">
        <v>8</v>
      </c>
      <c r="I1302">
        <v>378.03</v>
      </c>
      <c r="J1302" t="s">
        <v>689</v>
      </c>
    </row>
    <row r="1303" spans="1:11" x14ac:dyDescent="0.35">
      <c r="A1303" t="s">
        <v>1686</v>
      </c>
      <c r="B1303" t="s">
        <v>289</v>
      </c>
      <c r="C1303" t="s">
        <v>577</v>
      </c>
      <c r="D1303" t="s">
        <v>656</v>
      </c>
      <c r="E1303" s="1">
        <v>45009</v>
      </c>
      <c r="F1303" s="1">
        <v>45011</v>
      </c>
      <c r="G1303" s="1">
        <v>45032</v>
      </c>
      <c r="H1303" t="s">
        <v>13</v>
      </c>
      <c r="I1303">
        <v>377.05</v>
      </c>
      <c r="J1303" t="s">
        <v>687</v>
      </c>
      <c r="K1303">
        <v>21</v>
      </c>
    </row>
    <row r="1304" spans="1:11" x14ac:dyDescent="0.35">
      <c r="A1304" t="s">
        <v>2134</v>
      </c>
      <c r="B1304" t="s">
        <v>411</v>
      </c>
      <c r="C1304" t="s">
        <v>540</v>
      </c>
      <c r="D1304" t="s">
        <v>656</v>
      </c>
      <c r="E1304" s="1">
        <v>45587</v>
      </c>
      <c r="F1304" s="1">
        <v>45589</v>
      </c>
      <c r="G1304" s="1">
        <v>45610</v>
      </c>
      <c r="H1304" t="s">
        <v>8</v>
      </c>
      <c r="I1304">
        <v>376</v>
      </c>
      <c r="J1304" t="s">
        <v>683</v>
      </c>
      <c r="K1304">
        <v>21</v>
      </c>
    </row>
    <row r="1305" spans="1:11" x14ac:dyDescent="0.35">
      <c r="A1305" t="s">
        <v>1967</v>
      </c>
      <c r="B1305" t="s">
        <v>204</v>
      </c>
      <c r="C1305" t="s">
        <v>577</v>
      </c>
      <c r="D1305" t="s">
        <v>673</v>
      </c>
      <c r="E1305" s="1">
        <v>45519</v>
      </c>
      <c r="F1305" s="1">
        <v>45522</v>
      </c>
      <c r="G1305" s="1">
        <v>45540</v>
      </c>
      <c r="H1305" t="s">
        <v>8</v>
      </c>
      <c r="I1305">
        <v>374.4</v>
      </c>
      <c r="J1305" t="s">
        <v>683</v>
      </c>
      <c r="K1305">
        <v>18</v>
      </c>
    </row>
    <row r="1306" spans="1:11" x14ac:dyDescent="0.35">
      <c r="A1306" t="s">
        <v>786</v>
      </c>
      <c r="B1306" t="s">
        <v>400</v>
      </c>
      <c r="C1306" t="s">
        <v>571</v>
      </c>
      <c r="D1306" t="s">
        <v>673</v>
      </c>
      <c r="E1306" s="1">
        <v>45000</v>
      </c>
      <c r="F1306" s="1">
        <v>45002</v>
      </c>
      <c r="G1306" s="1">
        <v>45019</v>
      </c>
      <c r="H1306" t="s">
        <v>25</v>
      </c>
      <c r="I1306">
        <v>373.88</v>
      </c>
      <c r="J1306" t="s">
        <v>683</v>
      </c>
      <c r="K1306">
        <v>17</v>
      </c>
    </row>
    <row r="1307" spans="1:11" x14ac:dyDescent="0.35">
      <c r="A1307" t="s">
        <v>2256</v>
      </c>
      <c r="B1307" t="s">
        <v>414</v>
      </c>
      <c r="C1307" t="s">
        <v>527</v>
      </c>
      <c r="D1307" t="s">
        <v>656</v>
      </c>
      <c r="E1307" s="1">
        <v>45044</v>
      </c>
      <c r="F1307" s="1">
        <v>45046</v>
      </c>
      <c r="G1307" s="1">
        <v>45052</v>
      </c>
      <c r="H1307" t="s">
        <v>8</v>
      </c>
      <c r="I1307">
        <v>372.79</v>
      </c>
      <c r="J1307" t="s">
        <v>683</v>
      </c>
      <c r="K1307">
        <v>6</v>
      </c>
    </row>
    <row r="1308" spans="1:11" x14ac:dyDescent="0.35">
      <c r="A1308" t="s">
        <v>1523</v>
      </c>
      <c r="B1308" t="s">
        <v>227</v>
      </c>
      <c r="C1308" t="s">
        <v>583</v>
      </c>
      <c r="D1308" t="s">
        <v>629</v>
      </c>
      <c r="E1308" s="1">
        <v>45627</v>
      </c>
      <c r="F1308" s="1">
        <v>45630</v>
      </c>
      <c r="G1308" s="1">
        <v>45634</v>
      </c>
      <c r="H1308" t="s">
        <v>8</v>
      </c>
      <c r="I1308">
        <v>370.83</v>
      </c>
      <c r="J1308" t="s">
        <v>687</v>
      </c>
      <c r="K1308">
        <v>4</v>
      </c>
    </row>
    <row r="1309" spans="1:11" x14ac:dyDescent="0.35">
      <c r="A1309" t="s">
        <v>2635</v>
      </c>
      <c r="B1309" t="s">
        <v>34</v>
      </c>
      <c r="C1309" t="s">
        <v>555</v>
      </c>
      <c r="D1309" t="s">
        <v>673</v>
      </c>
      <c r="E1309" s="1">
        <v>45431</v>
      </c>
      <c r="F1309" s="1">
        <v>45433</v>
      </c>
      <c r="G1309" s="1">
        <v>45457</v>
      </c>
      <c r="H1309" t="s">
        <v>11</v>
      </c>
      <c r="I1309">
        <v>370.8</v>
      </c>
      <c r="J1309" t="s">
        <v>683</v>
      </c>
      <c r="K1309">
        <v>24</v>
      </c>
    </row>
    <row r="1310" spans="1:11" x14ac:dyDescent="0.35">
      <c r="A1310" t="s">
        <v>1929</v>
      </c>
      <c r="B1310" t="s">
        <v>242</v>
      </c>
      <c r="C1310" t="s">
        <v>546</v>
      </c>
      <c r="D1310" t="s">
        <v>629</v>
      </c>
      <c r="E1310" s="1">
        <v>45607</v>
      </c>
      <c r="F1310" s="1">
        <v>45609</v>
      </c>
      <c r="G1310" s="1">
        <v>45626</v>
      </c>
      <c r="H1310" t="s">
        <v>11</v>
      </c>
      <c r="I1310">
        <v>370.47</v>
      </c>
      <c r="J1310" t="s">
        <v>683</v>
      </c>
      <c r="K1310">
        <v>17</v>
      </c>
    </row>
    <row r="1311" spans="1:11" x14ac:dyDescent="0.35">
      <c r="A1311" t="s">
        <v>1987</v>
      </c>
      <c r="B1311" t="s">
        <v>27</v>
      </c>
      <c r="C1311" t="s">
        <v>609</v>
      </c>
      <c r="D1311" t="s">
        <v>629</v>
      </c>
      <c r="E1311" s="1">
        <v>45382</v>
      </c>
      <c r="F1311" s="1">
        <v>45383</v>
      </c>
      <c r="G1311" s="1">
        <v>45397</v>
      </c>
      <c r="H1311" t="s">
        <v>20</v>
      </c>
      <c r="I1311">
        <v>370.37</v>
      </c>
      <c r="J1311" t="s">
        <v>683</v>
      </c>
      <c r="K1311">
        <v>14</v>
      </c>
    </row>
    <row r="1312" spans="1:11" x14ac:dyDescent="0.35">
      <c r="A1312" t="s">
        <v>1868</v>
      </c>
      <c r="B1312" t="s">
        <v>483</v>
      </c>
      <c r="C1312" t="s">
        <v>559</v>
      </c>
      <c r="D1312" t="s">
        <v>656</v>
      </c>
      <c r="E1312" s="1">
        <v>45387</v>
      </c>
      <c r="F1312" s="1">
        <v>45391</v>
      </c>
      <c r="G1312" s="1">
        <v>45407</v>
      </c>
      <c r="H1312" t="s">
        <v>11</v>
      </c>
      <c r="I1312">
        <v>370.11</v>
      </c>
      <c r="J1312" t="s">
        <v>683</v>
      </c>
      <c r="K1312">
        <v>16</v>
      </c>
    </row>
    <row r="1313" spans="1:11" x14ac:dyDescent="0.35">
      <c r="A1313" t="s">
        <v>2039</v>
      </c>
      <c r="B1313" t="s">
        <v>342</v>
      </c>
      <c r="C1313" t="s">
        <v>524</v>
      </c>
      <c r="D1313" t="s">
        <v>656</v>
      </c>
      <c r="E1313" s="1">
        <v>45635</v>
      </c>
      <c r="F1313" s="1">
        <v>45640</v>
      </c>
      <c r="G1313" s="1">
        <v>45651</v>
      </c>
      <c r="H1313" t="s">
        <v>25</v>
      </c>
      <c r="I1313">
        <v>369.9</v>
      </c>
      <c r="J1313" t="s">
        <v>687</v>
      </c>
      <c r="K1313">
        <v>11</v>
      </c>
    </row>
    <row r="1314" spans="1:11" x14ac:dyDescent="0.35">
      <c r="A1314" t="s">
        <v>790</v>
      </c>
      <c r="B1314" t="s">
        <v>211</v>
      </c>
      <c r="C1314" t="s">
        <v>599</v>
      </c>
      <c r="D1314" t="s">
        <v>629</v>
      </c>
      <c r="E1314" s="1">
        <v>45508</v>
      </c>
      <c r="F1314" s="1">
        <v>45510</v>
      </c>
      <c r="G1314" s="1">
        <v>45514</v>
      </c>
      <c r="H1314" t="s">
        <v>11</v>
      </c>
      <c r="I1314">
        <v>369.64</v>
      </c>
      <c r="J1314" t="s">
        <v>683</v>
      </c>
      <c r="K1314">
        <v>4</v>
      </c>
    </row>
    <row r="1315" spans="1:11" x14ac:dyDescent="0.35">
      <c r="A1315" t="s">
        <v>2671</v>
      </c>
      <c r="B1315" t="s">
        <v>409</v>
      </c>
      <c r="C1315" t="s">
        <v>587</v>
      </c>
      <c r="D1315" t="s">
        <v>629</v>
      </c>
      <c r="E1315" s="1">
        <v>45261</v>
      </c>
      <c r="F1315" s="1">
        <v>45266</v>
      </c>
      <c r="G1315" s="1">
        <v>45294</v>
      </c>
      <c r="H1315" t="s">
        <v>8</v>
      </c>
      <c r="I1315">
        <v>369.29</v>
      </c>
      <c r="J1315" t="s">
        <v>683</v>
      </c>
      <c r="K1315">
        <v>28</v>
      </c>
    </row>
    <row r="1316" spans="1:11" x14ac:dyDescent="0.35">
      <c r="A1316" t="s">
        <v>1925</v>
      </c>
      <c r="B1316" t="s">
        <v>350</v>
      </c>
      <c r="C1316" t="s">
        <v>569</v>
      </c>
      <c r="D1316" t="s">
        <v>629</v>
      </c>
      <c r="E1316" s="1">
        <v>45449</v>
      </c>
      <c r="F1316" s="1">
        <v>45452</v>
      </c>
      <c r="G1316" s="1"/>
      <c r="H1316" t="s">
        <v>20</v>
      </c>
      <c r="I1316">
        <v>369.22</v>
      </c>
      <c r="J1316" t="s">
        <v>689</v>
      </c>
    </row>
    <row r="1317" spans="1:11" x14ac:dyDescent="0.35">
      <c r="A1317" t="s">
        <v>2370</v>
      </c>
      <c r="B1317" t="s">
        <v>70</v>
      </c>
      <c r="C1317" t="s">
        <v>587</v>
      </c>
      <c r="D1317" t="s">
        <v>629</v>
      </c>
      <c r="E1317" s="1">
        <v>45346</v>
      </c>
      <c r="F1317" s="1">
        <v>45351</v>
      </c>
      <c r="G1317" s="1">
        <v>45354</v>
      </c>
      <c r="H1317" t="s">
        <v>11</v>
      </c>
      <c r="I1317">
        <v>369.05</v>
      </c>
      <c r="J1317" t="s">
        <v>683</v>
      </c>
      <c r="K1317">
        <v>3</v>
      </c>
    </row>
    <row r="1318" spans="1:11" x14ac:dyDescent="0.35">
      <c r="A1318" t="s">
        <v>2131</v>
      </c>
      <c r="B1318" t="s">
        <v>123</v>
      </c>
      <c r="C1318" t="s">
        <v>534</v>
      </c>
      <c r="D1318" t="s">
        <v>656</v>
      </c>
      <c r="E1318" s="1">
        <v>44948</v>
      </c>
      <c r="F1318" s="1">
        <v>44952</v>
      </c>
      <c r="G1318" s="1">
        <v>44966</v>
      </c>
      <c r="H1318" t="s">
        <v>8</v>
      </c>
      <c r="I1318">
        <v>368.13</v>
      </c>
      <c r="J1318" t="s">
        <v>683</v>
      </c>
      <c r="K1318">
        <v>14</v>
      </c>
    </row>
    <row r="1319" spans="1:11" x14ac:dyDescent="0.35">
      <c r="A1319" t="s">
        <v>2213</v>
      </c>
      <c r="B1319" t="s">
        <v>105</v>
      </c>
      <c r="C1319" t="s">
        <v>531</v>
      </c>
      <c r="D1319" t="s">
        <v>656</v>
      </c>
      <c r="E1319" s="1">
        <v>45262</v>
      </c>
      <c r="F1319" s="1">
        <v>45266</v>
      </c>
      <c r="G1319" s="1">
        <v>45295</v>
      </c>
      <c r="H1319" t="s">
        <v>20</v>
      </c>
      <c r="I1319">
        <v>367.9</v>
      </c>
      <c r="J1319" t="s">
        <v>683</v>
      </c>
      <c r="K1319">
        <v>29</v>
      </c>
    </row>
    <row r="1320" spans="1:11" x14ac:dyDescent="0.35">
      <c r="A1320" t="s">
        <v>1192</v>
      </c>
      <c r="B1320" t="s">
        <v>417</v>
      </c>
      <c r="C1320" t="s">
        <v>609</v>
      </c>
      <c r="D1320" t="s">
        <v>629</v>
      </c>
      <c r="E1320" s="1">
        <v>45505</v>
      </c>
      <c r="F1320" s="1">
        <v>45506</v>
      </c>
      <c r="G1320" s="1">
        <v>45511</v>
      </c>
      <c r="H1320" t="s">
        <v>25</v>
      </c>
      <c r="I1320">
        <v>367.74</v>
      </c>
      <c r="J1320" t="s">
        <v>683</v>
      </c>
      <c r="K1320">
        <v>5</v>
      </c>
    </row>
    <row r="1321" spans="1:11" x14ac:dyDescent="0.35">
      <c r="A1321" t="s">
        <v>2171</v>
      </c>
      <c r="B1321" t="s">
        <v>506</v>
      </c>
      <c r="C1321" t="s">
        <v>567</v>
      </c>
      <c r="D1321" t="s">
        <v>629</v>
      </c>
      <c r="E1321" s="1">
        <v>45239</v>
      </c>
      <c r="F1321" s="1">
        <v>45242</v>
      </c>
      <c r="G1321" s="1">
        <v>45255</v>
      </c>
      <c r="H1321" t="s">
        <v>11</v>
      </c>
      <c r="I1321">
        <v>367.43</v>
      </c>
      <c r="J1321" t="s">
        <v>683</v>
      </c>
      <c r="K1321">
        <v>13</v>
      </c>
    </row>
    <row r="1322" spans="1:11" x14ac:dyDescent="0.35">
      <c r="A1322" t="s">
        <v>807</v>
      </c>
      <c r="B1322" t="s">
        <v>294</v>
      </c>
      <c r="C1322" t="s">
        <v>555</v>
      </c>
      <c r="D1322" t="s">
        <v>671</v>
      </c>
      <c r="E1322" s="1">
        <v>45651</v>
      </c>
      <c r="F1322" s="1">
        <v>45653</v>
      </c>
      <c r="G1322" s="1">
        <v>45671</v>
      </c>
      <c r="H1322" t="s">
        <v>11</v>
      </c>
      <c r="I1322">
        <v>366.97</v>
      </c>
      <c r="J1322" t="s">
        <v>683</v>
      </c>
      <c r="K1322">
        <v>18</v>
      </c>
    </row>
    <row r="1323" spans="1:11" x14ac:dyDescent="0.35">
      <c r="A1323" t="s">
        <v>2310</v>
      </c>
      <c r="B1323" t="s">
        <v>417</v>
      </c>
      <c r="C1323" t="s">
        <v>563</v>
      </c>
      <c r="D1323" t="s">
        <v>671</v>
      </c>
      <c r="E1323" s="1">
        <v>45271</v>
      </c>
      <c r="F1323" s="1">
        <v>45273</v>
      </c>
      <c r="G1323" s="1">
        <v>45279</v>
      </c>
      <c r="H1323" t="s">
        <v>25</v>
      </c>
      <c r="I1323">
        <v>366.88</v>
      </c>
      <c r="J1323" t="s">
        <v>683</v>
      </c>
      <c r="K1323">
        <v>6</v>
      </c>
    </row>
    <row r="1324" spans="1:11" x14ac:dyDescent="0.35">
      <c r="A1324" t="s">
        <v>1037</v>
      </c>
      <c r="B1324" t="s">
        <v>430</v>
      </c>
      <c r="C1324" t="s">
        <v>577</v>
      </c>
      <c r="D1324" t="s">
        <v>673</v>
      </c>
      <c r="E1324" s="1">
        <v>45102</v>
      </c>
      <c r="F1324" s="1">
        <v>45107</v>
      </c>
      <c r="G1324" s="1">
        <v>45124</v>
      </c>
      <c r="H1324" t="s">
        <v>20</v>
      </c>
      <c r="I1324">
        <v>366.59</v>
      </c>
      <c r="J1324" t="s">
        <v>683</v>
      </c>
      <c r="K1324">
        <v>17</v>
      </c>
    </row>
    <row r="1325" spans="1:11" x14ac:dyDescent="0.35">
      <c r="A1325" t="s">
        <v>1106</v>
      </c>
      <c r="B1325" t="s">
        <v>501</v>
      </c>
      <c r="C1325" t="s">
        <v>611</v>
      </c>
      <c r="D1325" t="s">
        <v>671</v>
      </c>
      <c r="E1325" s="1">
        <v>45099</v>
      </c>
      <c r="F1325" s="1">
        <v>45100</v>
      </c>
      <c r="G1325" s="1">
        <v>45112</v>
      </c>
      <c r="H1325" t="s">
        <v>8</v>
      </c>
      <c r="I1325">
        <v>366.14</v>
      </c>
      <c r="J1325" t="s">
        <v>683</v>
      </c>
      <c r="K1325">
        <v>12</v>
      </c>
    </row>
    <row r="1326" spans="1:11" x14ac:dyDescent="0.35">
      <c r="A1326" t="s">
        <v>1725</v>
      </c>
      <c r="B1326" t="s">
        <v>406</v>
      </c>
      <c r="C1326" t="s">
        <v>593</v>
      </c>
      <c r="D1326" t="s">
        <v>656</v>
      </c>
      <c r="E1326" s="1">
        <v>45162</v>
      </c>
      <c r="F1326" s="1">
        <v>45166</v>
      </c>
      <c r="G1326" s="1">
        <v>45174</v>
      </c>
      <c r="H1326" t="s">
        <v>11</v>
      </c>
      <c r="I1326">
        <v>365.57</v>
      </c>
      <c r="J1326" t="s">
        <v>687</v>
      </c>
      <c r="K1326">
        <v>8</v>
      </c>
    </row>
    <row r="1327" spans="1:11" x14ac:dyDescent="0.35">
      <c r="A1327" t="s">
        <v>1074</v>
      </c>
      <c r="B1327" t="s">
        <v>238</v>
      </c>
      <c r="C1327" t="s">
        <v>540</v>
      </c>
      <c r="D1327" t="s">
        <v>629</v>
      </c>
      <c r="E1327" s="1">
        <v>45041</v>
      </c>
      <c r="F1327" s="1">
        <v>45042</v>
      </c>
      <c r="G1327" s="1">
        <v>45065</v>
      </c>
      <c r="H1327" t="s">
        <v>20</v>
      </c>
      <c r="I1327">
        <v>364.92</v>
      </c>
      <c r="J1327" t="s">
        <v>683</v>
      </c>
      <c r="K1327">
        <v>23</v>
      </c>
    </row>
    <row r="1328" spans="1:11" x14ac:dyDescent="0.35">
      <c r="A1328" t="s">
        <v>1662</v>
      </c>
      <c r="B1328" t="s">
        <v>401</v>
      </c>
      <c r="C1328" t="s">
        <v>591</v>
      </c>
      <c r="D1328" t="s">
        <v>656</v>
      </c>
      <c r="E1328" s="1">
        <v>45367</v>
      </c>
      <c r="F1328" s="1">
        <v>45372</v>
      </c>
      <c r="G1328" s="1">
        <v>45387</v>
      </c>
      <c r="H1328" t="s">
        <v>8</v>
      </c>
      <c r="I1328">
        <v>363.39</v>
      </c>
      <c r="J1328" t="s">
        <v>683</v>
      </c>
      <c r="K1328">
        <v>15</v>
      </c>
    </row>
    <row r="1329" spans="1:11" x14ac:dyDescent="0.35">
      <c r="A1329" t="s">
        <v>2008</v>
      </c>
      <c r="B1329" t="s">
        <v>117</v>
      </c>
      <c r="C1329" t="s">
        <v>567</v>
      </c>
      <c r="D1329" t="s">
        <v>629</v>
      </c>
      <c r="E1329" s="1">
        <v>45555</v>
      </c>
      <c r="F1329" s="1">
        <v>45559</v>
      </c>
      <c r="G1329" s="1">
        <v>45589</v>
      </c>
      <c r="H1329" t="s">
        <v>8</v>
      </c>
      <c r="I1329">
        <v>363.19</v>
      </c>
      <c r="J1329" t="s">
        <v>683</v>
      </c>
      <c r="K1329">
        <v>30</v>
      </c>
    </row>
    <row r="1330" spans="1:11" x14ac:dyDescent="0.35">
      <c r="A1330" t="s">
        <v>1228</v>
      </c>
      <c r="B1330" t="s">
        <v>361</v>
      </c>
      <c r="C1330" t="s">
        <v>589</v>
      </c>
      <c r="D1330" t="s">
        <v>629</v>
      </c>
      <c r="E1330" s="1">
        <v>45330</v>
      </c>
      <c r="F1330" s="1">
        <v>45334</v>
      </c>
      <c r="G1330" s="1">
        <v>45350</v>
      </c>
      <c r="H1330" t="s">
        <v>20</v>
      </c>
      <c r="I1330">
        <v>362.58</v>
      </c>
      <c r="J1330" t="s">
        <v>687</v>
      </c>
      <c r="K1330">
        <v>16</v>
      </c>
    </row>
    <row r="1331" spans="1:11" x14ac:dyDescent="0.35">
      <c r="A1331" t="s">
        <v>1381</v>
      </c>
      <c r="B1331" t="s">
        <v>153</v>
      </c>
      <c r="C1331" t="s">
        <v>611</v>
      </c>
      <c r="D1331" t="s">
        <v>629</v>
      </c>
      <c r="E1331" s="1">
        <v>45554</v>
      </c>
      <c r="F1331" s="1">
        <v>45557</v>
      </c>
      <c r="G1331" s="1">
        <v>45568</v>
      </c>
      <c r="H1331" t="s">
        <v>13</v>
      </c>
      <c r="I1331">
        <v>362.47</v>
      </c>
      <c r="J1331" t="s">
        <v>683</v>
      </c>
      <c r="K1331">
        <v>11</v>
      </c>
    </row>
    <row r="1332" spans="1:11" x14ac:dyDescent="0.35">
      <c r="A1332" t="s">
        <v>2662</v>
      </c>
      <c r="B1332" t="s">
        <v>442</v>
      </c>
      <c r="C1332" t="s">
        <v>555</v>
      </c>
      <c r="D1332" t="s">
        <v>671</v>
      </c>
      <c r="E1332" s="1">
        <v>45111</v>
      </c>
      <c r="F1332" s="1">
        <v>45116</v>
      </c>
      <c r="G1332" s="1">
        <v>45133</v>
      </c>
      <c r="H1332" t="s">
        <v>11</v>
      </c>
      <c r="I1332">
        <v>362.19</v>
      </c>
      <c r="J1332" t="s">
        <v>683</v>
      </c>
      <c r="K1332">
        <v>17</v>
      </c>
    </row>
    <row r="1333" spans="1:11" x14ac:dyDescent="0.35">
      <c r="A1333" t="s">
        <v>2073</v>
      </c>
      <c r="B1333" t="s">
        <v>255</v>
      </c>
      <c r="C1333" t="s">
        <v>565</v>
      </c>
      <c r="D1333" t="s">
        <v>673</v>
      </c>
      <c r="E1333" s="1">
        <v>45347</v>
      </c>
      <c r="F1333" s="1">
        <v>45350</v>
      </c>
      <c r="G1333" s="1">
        <v>45377</v>
      </c>
      <c r="H1333" t="s">
        <v>20</v>
      </c>
      <c r="I1333">
        <v>360.43</v>
      </c>
      <c r="J1333" t="s">
        <v>683</v>
      </c>
      <c r="K1333">
        <v>27</v>
      </c>
    </row>
    <row r="1334" spans="1:11" x14ac:dyDescent="0.35">
      <c r="A1334" t="s">
        <v>2527</v>
      </c>
      <c r="B1334" t="s">
        <v>369</v>
      </c>
      <c r="C1334" t="s">
        <v>577</v>
      </c>
      <c r="D1334" t="s">
        <v>629</v>
      </c>
      <c r="E1334" s="1">
        <v>45187</v>
      </c>
      <c r="F1334" s="1">
        <v>45190</v>
      </c>
      <c r="G1334" s="1">
        <v>45203</v>
      </c>
      <c r="H1334" t="s">
        <v>11</v>
      </c>
      <c r="I1334">
        <v>360.21</v>
      </c>
      <c r="J1334" t="s">
        <v>683</v>
      </c>
      <c r="K1334">
        <v>13</v>
      </c>
    </row>
    <row r="1335" spans="1:11" x14ac:dyDescent="0.35">
      <c r="A1335" t="s">
        <v>896</v>
      </c>
      <c r="B1335" t="s">
        <v>182</v>
      </c>
      <c r="C1335" t="s">
        <v>597</v>
      </c>
      <c r="D1335" t="s">
        <v>656</v>
      </c>
      <c r="E1335" s="1">
        <v>45605</v>
      </c>
      <c r="F1335" s="1">
        <v>45606</v>
      </c>
      <c r="G1335" s="1">
        <v>45613</v>
      </c>
      <c r="H1335" t="s">
        <v>11</v>
      </c>
      <c r="I1335">
        <v>360.04</v>
      </c>
      <c r="J1335" t="s">
        <v>683</v>
      </c>
      <c r="K1335">
        <v>7</v>
      </c>
    </row>
    <row r="1336" spans="1:11" x14ac:dyDescent="0.35">
      <c r="A1336" t="s">
        <v>2482</v>
      </c>
      <c r="B1336" t="s">
        <v>170</v>
      </c>
      <c r="C1336" t="s">
        <v>589</v>
      </c>
      <c r="D1336" t="s">
        <v>656</v>
      </c>
      <c r="E1336" s="1">
        <v>45540</v>
      </c>
      <c r="F1336" s="1">
        <v>45545</v>
      </c>
      <c r="G1336" s="1">
        <v>45566</v>
      </c>
      <c r="H1336" t="s">
        <v>11</v>
      </c>
      <c r="I1336">
        <v>359.95</v>
      </c>
      <c r="J1336" t="s">
        <v>683</v>
      </c>
      <c r="K1336">
        <v>21</v>
      </c>
    </row>
    <row r="1337" spans="1:11" x14ac:dyDescent="0.35">
      <c r="A1337" t="s">
        <v>834</v>
      </c>
      <c r="B1337" t="s">
        <v>179</v>
      </c>
      <c r="C1337" t="s">
        <v>607</v>
      </c>
      <c r="D1337" t="s">
        <v>629</v>
      </c>
      <c r="E1337" s="1">
        <v>44996</v>
      </c>
      <c r="F1337" s="1">
        <v>44998</v>
      </c>
      <c r="G1337" s="1">
        <v>45009</v>
      </c>
      <c r="H1337" t="s">
        <v>11</v>
      </c>
      <c r="I1337">
        <v>359.21</v>
      </c>
      <c r="J1337" t="s">
        <v>683</v>
      </c>
      <c r="K1337">
        <v>11</v>
      </c>
    </row>
    <row r="1338" spans="1:11" x14ac:dyDescent="0.35">
      <c r="A1338" t="s">
        <v>1366</v>
      </c>
      <c r="B1338" t="s">
        <v>132</v>
      </c>
      <c r="C1338" t="s">
        <v>607</v>
      </c>
      <c r="D1338" t="s">
        <v>629</v>
      </c>
      <c r="E1338" s="1">
        <v>45485</v>
      </c>
      <c r="F1338" s="1">
        <v>45486</v>
      </c>
      <c r="G1338" s="1">
        <v>45514</v>
      </c>
      <c r="H1338" t="s">
        <v>8</v>
      </c>
      <c r="I1338">
        <v>359.12</v>
      </c>
      <c r="J1338" t="s">
        <v>683</v>
      </c>
      <c r="K1338">
        <v>28</v>
      </c>
    </row>
    <row r="1339" spans="1:11" x14ac:dyDescent="0.35">
      <c r="A1339" t="s">
        <v>1756</v>
      </c>
      <c r="B1339" t="s">
        <v>448</v>
      </c>
      <c r="C1339" t="s">
        <v>569</v>
      </c>
      <c r="D1339" t="s">
        <v>673</v>
      </c>
      <c r="E1339" s="1">
        <v>45153</v>
      </c>
      <c r="F1339" s="1">
        <v>45155</v>
      </c>
      <c r="G1339" s="1">
        <v>45163</v>
      </c>
      <c r="H1339" t="s">
        <v>8</v>
      </c>
      <c r="I1339">
        <v>358.97</v>
      </c>
      <c r="J1339" t="s">
        <v>683</v>
      </c>
      <c r="K1339">
        <v>8</v>
      </c>
    </row>
    <row r="1340" spans="1:11" x14ac:dyDescent="0.35">
      <c r="A1340" t="s">
        <v>760</v>
      </c>
      <c r="B1340" t="s">
        <v>75</v>
      </c>
      <c r="C1340" t="s">
        <v>521</v>
      </c>
      <c r="D1340" t="s">
        <v>629</v>
      </c>
      <c r="E1340" s="1">
        <v>45325</v>
      </c>
      <c r="F1340" s="1">
        <v>45328</v>
      </c>
      <c r="G1340" s="1">
        <v>45344</v>
      </c>
      <c r="H1340" t="s">
        <v>8</v>
      </c>
      <c r="I1340">
        <v>358.46</v>
      </c>
      <c r="J1340" t="s">
        <v>683</v>
      </c>
      <c r="K1340">
        <v>16</v>
      </c>
    </row>
    <row r="1341" spans="1:11" x14ac:dyDescent="0.35">
      <c r="A1341" t="s">
        <v>2501</v>
      </c>
      <c r="B1341" t="s">
        <v>132</v>
      </c>
      <c r="C1341" t="s">
        <v>587</v>
      </c>
      <c r="D1341" t="s">
        <v>656</v>
      </c>
      <c r="E1341" s="1">
        <v>45461</v>
      </c>
      <c r="F1341" s="1">
        <v>45464</v>
      </c>
      <c r="G1341" s="1">
        <v>45475</v>
      </c>
      <c r="H1341" t="s">
        <v>8</v>
      </c>
      <c r="I1341">
        <v>357.66</v>
      </c>
      <c r="J1341" t="s">
        <v>683</v>
      </c>
      <c r="K1341">
        <v>11</v>
      </c>
    </row>
    <row r="1342" spans="1:11" x14ac:dyDescent="0.35">
      <c r="A1342" t="s">
        <v>2504</v>
      </c>
      <c r="B1342" t="s">
        <v>91</v>
      </c>
      <c r="C1342" t="s">
        <v>599</v>
      </c>
      <c r="D1342" t="s">
        <v>629</v>
      </c>
      <c r="E1342" s="1">
        <v>44987</v>
      </c>
      <c r="F1342" s="1">
        <v>44991</v>
      </c>
      <c r="G1342" s="1"/>
      <c r="H1342" t="s">
        <v>13</v>
      </c>
      <c r="I1342">
        <v>357.49</v>
      </c>
      <c r="J1342" t="s">
        <v>689</v>
      </c>
    </row>
    <row r="1343" spans="1:11" x14ac:dyDescent="0.35">
      <c r="A1343" t="s">
        <v>2362</v>
      </c>
      <c r="B1343" t="s">
        <v>112</v>
      </c>
      <c r="C1343" t="s">
        <v>575</v>
      </c>
      <c r="D1343" t="s">
        <v>629</v>
      </c>
      <c r="E1343" s="1">
        <v>45375</v>
      </c>
      <c r="F1343" s="1">
        <v>45380</v>
      </c>
      <c r="G1343" s="1">
        <v>45406</v>
      </c>
      <c r="H1343" t="s">
        <v>13</v>
      </c>
      <c r="I1343">
        <v>357.34</v>
      </c>
      <c r="J1343" t="s">
        <v>683</v>
      </c>
      <c r="K1343">
        <v>26</v>
      </c>
    </row>
    <row r="1344" spans="1:11" x14ac:dyDescent="0.35">
      <c r="A1344" t="s">
        <v>1497</v>
      </c>
      <c r="B1344" t="s">
        <v>438</v>
      </c>
      <c r="C1344" t="s">
        <v>575</v>
      </c>
      <c r="D1344" t="s">
        <v>673</v>
      </c>
      <c r="E1344" s="1">
        <v>45343</v>
      </c>
      <c r="F1344" s="1">
        <v>45344</v>
      </c>
      <c r="G1344" s="1">
        <v>45354</v>
      </c>
      <c r="H1344" t="s">
        <v>11</v>
      </c>
      <c r="I1344">
        <v>356.75</v>
      </c>
      <c r="J1344" t="s">
        <v>687</v>
      </c>
      <c r="K1344">
        <v>10</v>
      </c>
    </row>
    <row r="1345" spans="1:11" x14ac:dyDescent="0.35">
      <c r="A1345" t="s">
        <v>2422</v>
      </c>
      <c r="B1345" t="s">
        <v>358</v>
      </c>
      <c r="C1345" t="s">
        <v>579</v>
      </c>
      <c r="D1345" t="s">
        <v>673</v>
      </c>
      <c r="E1345" s="1">
        <v>45429</v>
      </c>
      <c r="F1345" s="1">
        <v>45433</v>
      </c>
      <c r="G1345" s="1">
        <v>45462</v>
      </c>
      <c r="H1345" t="s">
        <v>11</v>
      </c>
      <c r="I1345">
        <v>356.53</v>
      </c>
      <c r="J1345" t="s">
        <v>683</v>
      </c>
      <c r="K1345">
        <v>29</v>
      </c>
    </row>
    <row r="1346" spans="1:11" x14ac:dyDescent="0.35">
      <c r="A1346" t="s">
        <v>2332</v>
      </c>
      <c r="B1346" t="s">
        <v>492</v>
      </c>
      <c r="C1346" t="s">
        <v>524</v>
      </c>
      <c r="D1346" t="s">
        <v>629</v>
      </c>
      <c r="E1346" s="1">
        <v>45340</v>
      </c>
      <c r="F1346" s="1">
        <v>45344</v>
      </c>
      <c r="G1346" s="1">
        <v>45349</v>
      </c>
      <c r="H1346" t="s">
        <v>13</v>
      </c>
      <c r="I1346">
        <v>355.8</v>
      </c>
      <c r="J1346" t="s">
        <v>683</v>
      </c>
      <c r="K1346">
        <v>5</v>
      </c>
    </row>
    <row r="1347" spans="1:11" x14ac:dyDescent="0.35">
      <c r="A1347" t="s">
        <v>2553</v>
      </c>
      <c r="B1347" t="s">
        <v>438</v>
      </c>
      <c r="C1347" t="s">
        <v>609</v>
      </c>
      <c r="D1347" t="s">
        <v>656</v>
      </c>
      <c r="E1347" s="1">
        <v>45572</v>
      </c>
      <c r="F1347" s="1">
        <v>45577</v>
      </c>
      <c r="G1347" s="1">
        <v>45604</v>
      </c>
      <c r="H1347" t="s">
        <v>11</v>
      </c>
      <c r="I1347">
        <v>355.52</v>
      </c>
      <c r="J1347" t="s">
        <v>683</v>
      </c>
      <c r="K1347">
        <v>27</v>
      </c>
    </row>
    <row r="1348" spans="1:11" x14ac:dyDescent="0.35">
      <c r="A1348" t="s">
        <v>1930</v>
      </c>
      <c r="B1348" t="s">
        <v>282</v>
      </c>
      <c r="C1348" t="s">
        <v>565</v>
      </c>
      <c r="D1348" t="s">
        <v>656</v>
      </c>
      <c r="E1348" s="1">
        <v>45198</v>
      </c>
      <c r="F1348" s="1">
        <v>45200</v>
      </c>
      <c r="G1348" s="1">
        <v>45226</v>
      </c>
      <c r="H1348" t="s">
        <v>25</v>
      </c>
      <c r="I1348">
        <v>355.42</v>
      </c>
      <c r="J1348" t="s">
        <v>683</v>
      </c>
      <c r="K1348">
        <v>26</v>
      </c>
    </row>
    <row r="1349" spans="1:11" x14ac:dyDescent="0.35">
      <c r="A1349" t="s">
        <v>2152</v>
      </c>
      <c r="B1349" t="s">
        <v>197</v>
      </c>
      <c r="C1349" t="s">
        <v>565</v>
      </c>
      <c r="D1349" t="s">
        <v>673</v>
      </c>
      <c r="E1349" s="1">
        <v>45561</v>
      </c>
      <c r="F1349" s="1">
        <v>45563</v>
      </c>
      <c r="G1349" s="1">
        <v>45581</v>
      </c>
      <c r="H1349" t="s">
        <v>13</v>
      </c>
      <c r="I1349">
        <v>354.86</v>
      </c>
      <c r="J1349" t="s">
        <v>687</v>
      </c>
      <c r="K1349">
        <v>18</v>
      </c>
    </row>
    <row r="1350" spans="1:11" x14ac:dyDescent="0.35">
      <c r="A1350" t="s">
        <v>725</v>
      </c>
      <c r="B1350" t="s">
        <v>60</v>
      </c>
      <c r="C1350" t="s">
        <v>569</v>
      </c>
      <c r="D1350" t="s">
        <v>656</v>
      </c>
      <c r="E1350" s="1">
        <v>45596</v>
      </c>
      <c r="F1350" s="1">
        <v>45601</v>
      </c>
      <c r="G1350" s="1">
        <v>45618</v>
      </c>
      <c r="H1350" t="s">
        <v>11</v>
      </c>
      <c r="I1350">
        <v>354.28</v>
      </c>
      <c r="J1350" t="s">
        <v>683</v>
      </c>
      <c r="K1350">
        <v>17</v>
      </c>
    </row>
    <row r="1351" spans="1:11" x14ac:dyDescent="0.35">
      <c r="A1351" t="s">
        <v>2679</v>
      </c>
      <c r="B1351" t="s">
        <v>206</v>
      </c>
      <c r="C1351" t="s">
        <v>579</v>
      </c>
      <c r="D1351" t="s">
        <v>673</v>
      </c>
      <c r="E1351" s="1">
        <v>44966</v>
      </c>
      <c r="F1351" s="1">
        <v>44967</v>
      </c>
      <c r="G1351" s="1">
        <v>44976</v>
      </c>
      <c r="H1351" t="s">
        <v>13</v>
      </c>
      <c r="I1351">
        <v>353.15</v>
      </c>
      <c r="J1351" t="s">
        <v>683</v>
      </c>
      <c r="K1351">
        <v>9</v>
      </c>
    </row>
    <row r="1352" spans="1:11" x14ac:dyDescent="0.35">
      <c r="A1352" t="s">
        <v>1896</v>
      </c>
      <c r="B1352" t="s">
        <v>295</v>
      </c>
      <c r="C1352" t="s">
        <v>571</v>
      </c>
      <c r="D1352" t="s">
        <v>656</v>
      </c>
      <c r="E1352" s="1">
        <v>44941</v>
      </c>
      <c r="F1352" s="1">
        <v>44946</v>
      </c>
      <c r="G1352" s="1"/>
      <c r="H1352" t="s">
        <v>8</v>
      </c>
      <c r="I1352">
        <v>352.89</v>
      </c>
      <c r="J1352" t="s">
        <v>689</v>
      </c>
    </row>
    <row r="1353" spans="1:11" x14ac:dyDescent="0.35">
      <c r="A1353" t="s">
        <v>694</v>
      </c>
      <c r="B1353" t="s">
        <v>402</v>
      </c>
      <c r="C1353" t="s">
        <v>531</v>
      </c>
      <c r="D1353" t="s">
        <v>656</v>
      </c>
      <c r="E1353" s="1">
        <v>45027</v>
      </c>
      <c r="F1353" s="1">
        <v>45029</v>
      </c>
      <c r="G1353" s="1">
        <v>45051</v>
      </c>
      <c r="H1353" t="s">
        <v>11</v>
      </c>
      <c r="I1353">
        <v>352.03</v>
      </c>
      <c r="J1353" t="s">
        <v>683</v>
      </c>
      <c r="K1353">
        <v>22</v>
      </c>
    </row>
    <row r="1354" spans="1:11" x14ac:dyDescent="0.35">
      <c r="A1354" t="s">
        <v>1141</v>
      </c>
      <c r="B1354" t="s">
        <v>464</v>
      </c>
      <c r="C1354" t="s">
        <v>524</v>
      </c>
      <c r="D1354" t="s">
        <v>629</v>
      </c>
      <c r="E1354" s="1">
        <v>44942</v>
      </c>
      <c r="F1354" s="1">
        <v>44945</v>
      </c>
      <c r="G1354" s="1">
        <v>44953</v>
      </c>
      <c r="H1354" t="s">
        <v>11</v>
      </c>
      <c r="I1354">
        <v>350.83</v>
      </c>
      <c r="J1354" t="s">
        <v>683</v>
      </c>
      <c r="K1354">
        <v>8</v>
      </c>
    </row>
    <row r="1355" spans="1:11" x14ac:dyDescent="0.35">
      <c r="A1355" t="s">
        <v>2481</v>
      </c>
      <c r="B1355" t="s">
        <v>412</v>
      </c>
      <c r="C1355" t="s">
        <v>537</v>
      </c>
      <c r="D1355" t="s">
        <v>656</v>
      </c>
      <c r="E1355" s="1">
        <v>45311</v>
      </c>
      <c r="F1355" s="1">
        <v>45312</v>
      </c>
      <c r="G1355" s="1">
        <v>45316</v>
      </c>
      <c r="H1355" t="s">
        <v>8</v>
      </c>
      <c r="I1355">
        <v>350.12</v>
      </c>
      <c r="J1355" t="s">
        <v>683</v>
      </c>
      <c r="K1355">
        <v>4</v>
      </c>
    </row>
    <row r="1356" spans="1:11" x14ac:dyDescent="0.35">
      <c r="A1356" t="s">
        <v>749</v>
      </c>
      <c r="B1356" t="s">
        <v>78</v>
      </c>
      <c r="C1356" t="s">
        <v>546</v>
      </c>
      <c r="D1356" t="s">
        <v>629</v>
      </c>
      <c r="E1356" s="1">
        <v>45554</v>
      </c>
      <c r="F1356" s="1">
        <v>45559</v>
      </c>
      <c r="G1356" s="1">
        <v>45585</v>
      </c>
      <c r="H1356" t="s">
        <v>11</v>
      </c>
      <c r="I1356">
        <v>349.63</v>
      </c>
      <c r="J1356" t="s">
        <v>683</v>
      </c>
      <c r="K1356">
        <v>26</v>
      </c>
    </row>
    <row r="1357" spans="1:11" x14ac:dyDescent="0.35">
      <c r="A1357" t="s">
        <v>1733</v>
      </c>
      <c r="B1357" t="s">
        <v>265</v>
      </c>
      <c r="C1357" t="s">
        <v>555</v>
      </c>
      <c r="D1357" t="s">
        <v>673</v>
      </c>
      <c r="E1357" s="1">
        <v>45575</v>
      </c>
      <c r="F1357" s="1">
        <v>45577</v>
      </c>
      <c r="G1357" s="1">
        <v>45605</v>
      </c>
      <c r="H1357" t="s">
        <v>11</v>
      </c>
      <c r="I1357">
        <v>349.63</v>
      </c>
      <c r="J1357" t="s">
        <v>683</v>
      </c>
      <c r="K1357">
        <v>28</v>
      </c>
    </row>
    <row r="1358" spans="1:11" x14ac:dyDescent="0.35">
      <c r="A1358" t="s">
        <v>2374</v>
      </c>
      <c r="B1358" t="s">
        <v>36</v>
      </c>
      <c r="C1358" t="s">
        <v>563</v>
      </c>
      <c r="D1358" t="s">
        <v>629</v>
      </c>
      <c r="E1358" s="1">
        <v>45544</v>
      </c>
      <c r="F1358" s="1">
        <v>45548</v>
      </c>
      <c r="G1358" s="1">
        <v>45565</v>
      </c>
      <c r="H1358" t="s">
        <v>11</v>
      </c>
      <c r="I1358">
        <v>349.32</v>
      </c>
      <c r="J1358" t="s">
        <v>683</v>
      </c>
      <c r="K1358">
        <v>17</v>
      </c>
    </row>
    <row r="1359" spans="1:11" x14ac:dyDescent="0.35">
      <c r="A1359" t="s">
        <v>2554</v>
      </c>
      <c r="B1359" t="s">
        <v>336</v>
      </c>
      <c r="C1359" t="s">
        <v>599</v>
      </c>
      <c r="D1359" t="s">
        <v>673</v>
      </c>
      <c r="E1359" s="1">
        <v>45546</v>
      </c>
      <c r="F1359" s="1">
        <v>45549</v>
      </c>
      <c r="G1359" s="1">
        <v>45556</v>
      </c>
      <c r="H1359" t="s">
        <v>8</v>
      </c>
      <c r="I1359">
        <v>349.27</v>
      </c>
      <c r="J1359" t="s">
        <v>683</v>
      </c>
      <c r="K1359">
        <v>7</v>
      </c>
    </row>
    <row r="1360" spans="1:11" x14ac:dyDescent="0.35">
      <c r="A1360" t="s">
        <v>1172</v>
      </c>
      <c r="B1360" t="s">
        <v>81</v>
      </c>
      <c r="C1360" t="s">
        <v>597</v>
      </c>
      <c r="D1360" t="s">
        <v>673</v>
      </c>
      <c r="E1360" s="1">
        <v>45514</v>
      </c>
      <c r="F1360" s="1">
        <v>45517</v>
      </c>
      <c r="G1360" s="1">
        <v>45535</v>
      </c>
      <c r="H1360" t="s">
        <v>20</v>
      </c>
      <c r="I1360">
        <v>348.83</v>
      </c>
      <c r="J1360" t="s">
        <v>683</v>
      </c>
      <c r="K1360">
        <v>18</v>
      </c>
    </row>
    <row r="1361" spans="1:11" x14ac:dyDescent="0.35">
      <c r="A1361" t="s">
        <v>2361</v>
      </c>
      <c r="B1361" t="s">
        <v>359</v>
      </c>
      <c r="C1361" t="s">
        <v>579</v>
      </c>
      <c r="D1361" t="s">
        <v>656</v>
      </c>
      <c r="E1361" s="1">
        <v>45210</v>
      </c>
      <c r="F1361" s="1">
        <v>45213</v>
      </c>
      <c r="G1361" s="1">
        <v>45241</v>
      </c>
      <c r="H1361" t="s">
        <v>25</v>
      </c>
      <c r="I1361">
        <v>348.38</v>
      </c>
      <c r="J1361" t="s">
        <v>687</v>
      </c>
      <c r="K1361">
        <v>28</v>
      </c>
    </row>
    <row r="1362" spans="1:11" x14ac:dyDescent="0.35">
      <c r="A1362" t="s">
        <v>2641</v>
      </c>
      <c r="B1362" t="s">
        <v>273</v>
      </c>
      <c r="C1362" t="s">
        <v>611</v>
      </c>
      <c r="D1362" t="s">
        <v>656</v>
      </c>
      <c r="E1362" s="1">
        <v>45556</v>
      </c>
      <c r="F1362" s="1">
        <v>45561</v>
      </c>
      <c r="G1362" s="1"/>
      <c r="H1362" t="s">
        <v>8</v>
      </c>
      <c r="I1362">
        <v>348.19</v>
      </c>
      <c r="J1362" t="s">
        <v>689</v>
      </c>
    </row>
    <row r="1363" spans="1:11" x14ac:dyDescent="0.35">
      <c r="A1363" t="s">
        <v>1746</v>
      </c>
      <c r="B1363" t="s">
        <v>508</v>
      </c>
      <c r="C1363" t="s">
        <v>597</v>
      </c>
      <c r="D1363" t="s">
        <v>673</v>
      </c>
      <c r="E1363" s="1">
        <v>45252</v>
      </c>
      <c r="F1363" s="1">
        <v>45257</v>
      </c>
      <c r="G1363" s="1">
        <v>45265</v>
      </c>
      <c r="H1363" t="s">
        <v>25</v>
      </c>
      <c r="I1363">
        <v>347.93</v>
      </c>
      <c r="J1363" t="s">
        <v>683</v>
      </c>
      <c r="K1363">
        <v>8</v>
      </c>
    </row>
    <row r="1364" spans="1:11" x14ac:dyDescent="0.35">
      <c r="A1364" t="s">
        <v>2044</v>
      </c>
      <c r="B1364" t="s">
        <v>240</v>
      </c>
      <c r="C1364" t="s">
        <v>531</v>
      </c>
      <c r="D1364" t="s">
        <v>656</v>
      </c>
      <c r="E1364" s="1">
        <v>45514</v>
      </c>
      <c r="F1364" s="1">
        <v>45517</v>
      </c>
      <c r="G1364" s="1">
        <v>45545</v>
      </c>
      <c r="H1364" t="s">
        <v>11</v>
      </c>
      <c r="I1364">
        <v>347.9</v>
      </c>
      <c r="J1364" t="s">
        <v>683</v>
      </c>
      <c r="K1364">
        <v>28</v>
      </c>
    </row>
    <row r="1365" spans="1:11" x14ac:dyDescent="0.35">
      <c r="A1365" t="s">
        <v>1512</v>
      </c>
      <c r="B1365" t="s">
        <v>83</v>
      </c>
      <c r="C1365" t="s">
        <v>561</v>
      </c>
      <c r="D1365" t="s">
        <v>656</v>
      </c>
      <c r="E1365" s="1">
        <v>44974</v>
      </c>
      <c r="F1365" s="1">
        <v>44977</v>
      </c>
      <c r="G1365" s="1">
        <v>44997</v>
      </c>
      <c r="H1365" t="s">
        <v>20</v>
      </c>
      <c r="I1365">
        <v>347.86</v>
      </c>
      <c r="J1365" t="s">
        <v>683</v>
      </c>
      <c r="K1365">
        <v>20</v>
      </c>
    </row>
    <row r="1366" spans="1:11" x14ac:dyDescent="0.35">
      <c r="A1366" t="s">
        <v>2438</v>
      </c>
      <c r="B1366" t="s">
        <v>36</v>
      </c>
      <c r="C1366" t="s">
        <v>583</v>
      </c>
      <c r="D1366" t="s">
        <v>629</v>
      </c>
      <c r="E1366" s="1">
        <v>45416</v>
      </c>
      <c r="F1366" s="1">
        <v>45419</v>
      </c>
      <c r="G1366" s="1">
        <v>45435</v>
      </c>
      <c r="H1366" t="s">
        <v>11</v>
      </c>
      <c r="I1366">
        <v>347.31</v>
      </c>
      <c r="J1366" t="s">
        <v>683</v>
      </c>
      <c r="K1366">
        <v>16</v>
      </c>
    </row>
    <row r="1367" spans="1:11" x14ac:dyDescent="0.35">
      <c r="A1367" t="s">
        <v>1648</v>
      </c>
      <c r="B1367" t="s">
        <v>110</v>
      </c>
      <c r="C1367" t="s">
        <v>567</v>
      </c>
      <c r="D1367" t="s">
        <v>629</v>
      </c>
      <c r="E1367" s="1">
        <v>45186</v>
      </c>
      <c r="F1367" s="1">
        <v>45191</v>
      </c>
      <c r="G1367" s="1">
        <v>45196</v>
      </c>
      <c r="H1367" t="s">
        <v>25</v>
      </c>
      <c r="I1367">
        <v>346.7</v>
      </c>
      <c r="J1367" t="s">
        <v>683</v>
      </c>
      <c r="K1367">
        <v>5</v>
      </c>
    </row>
    <row r="1368" spans="1:11" x14ac:dyDescent="0.35">
      <c r="A1368" t="s">
        <v>1727</v>
      </c>
      <c r="B1368" t="s">
        <v>75</v>
      </c>
      <c r="C1368" t="s">
        <v>555</v>
      </c>
      <c r="D1368" t="s">
        <v>656</v>
      </c>
      <c r="E1368" s="1">
        <v>44939</v>
      </c>
      <c r="F1368" s="1">
        <v>44943</v>
      </c>
      <c r="G1368" s="1">
        <v>44953</v>
      </c>
      <c r="H1368" t="s">
        <v>8</v>
      </c>
      <c r="I1368">
        <v>345.85</v>
      </c>
      <c r="J1368" t="s">
        <v>683</v>
      </c>
      <c r="K1368">
        <v>10</v>
      </c>
    </row>
    <row r="1369" spans="1:11" x14ac:dyDescent="0.35">
      <c r="A1369" t="s">
        <v>1450</v>
      </c>
      <c r="B1369" t="s">
        <v>200</v>
      </c>
      <c r="C1369" t="s">
        <v>583</v>
      </c>
      <c r="D1369" t="s">
        <v>673</v>
      </c>
      <c r="E1369" s="1">
        <v>45563</v>
      </c>
      <c r="F1369" s="1">
        <v>45568</v>
      </c>
      <c r="G1369" s="1">
        <v>45594</v>
      </c>
      <c r="H1369" t="s">
        <v>20</v>
      </c>
      <c r="I1369">
        <v>344.46</v>
      </c>
      <c r="J1369" t="s">
        <v>683</v>
      </c>
      <c r="K1369">
        <v>26</v>
      </c>
    </row>
    <row r="1370" spans="1:11" x14ac:dyDescent="0.35">
      <c r="A1370" t="s">
        <v>916</v>
      </c>
      <c r="B1370" t="s">
        <v>154</v>
      </c>
      <c r="C1370" t="s">
        <v>521</v>
      </c>
      <c r="D1370" t="s">
        <v>673</v>
      </c>
      <c r="E1370" s="1">
        <v>45302</v>
      </c>
      <c r="F1370" s="1">
        <v>45307</v>
      </c>
      <c r="G1370" s="1">
        <v>45328</v>
      </c>
      <c r="H1370" t="s">
        <v>13</v>
      </c>
      <c r="I1370">
        <v>344.33</v>
      </c>
      <c r="J1370" t="s">
        <v>683</v>
      </c>
      <c r="K1370">
        <v>21</v>
      </c>
    </row>
    <row r="1371" spans="1:11" x14ac:dyDescent="0.35">
      <c r="A1371" t="s">
        <v>2655</v>
      </c>
      <c r="B1371" t="s">
        <v>117</v>
      </c>
      <c r="C1371" t="s">
        <v>527</v>
      </c>
      <c r="D1371" t="s">
        <v>629</v>
      </c>
      <c r="E1371" s="1">
        <v>45310</v>
      </c>
      <c r="F1371" s="1">
        <v>45315</v>
      </c>
      <c r="G1371" s="1">
        <v>45336</v>
      </c>
      <c r="H1371" t="s">
        <v>8</v>
      </c>
      <c r="I1371">
        <v>343.72</v>
      </c>
      <c r="J1371" t="s">
        <v>683</v>
      </c>
      <c r="K1371">
        <v>21</v>
      </c>
    </row>
    <row r="1372" spans="1:11" x14ac:dyDescent="0.35">
      <c r="A1372" t="s">
        <v>1269</v>
      </c>
      <c r="B1372" t="s">
        <v>216</v>
      </c>
      <c r="C1372" t="s">
        <v>540</v>
      </c>
      <c r="D1372" t="s">
        <v>656</v>
      </c>
      <c r="E1372" s="1">
        <v>45446</v>
      </c>
      <c r="F1372" s="1">
        <v>45447</v>
      </c>
      <c r="G1372" s="1">
        <v>45454</v>
      </c>
      <c r="H1372" t="s">
        <v>20</v>
      </c>
      <c r="I1372">
        <v>343.61</v>
      </c>
      <c r="J1372" t="s">
        <v>683</v>
      </c>
      <c r="K1372">
        <v>7</v>
      </c>
    </row>
    <row r="1373" spans="1:11" x14ac:dyDescent="0.35">
      <c r="A1373" t="s">
        <v>1138</v>
      </c>
      <c r="B1373" t="s">
        <v>14</v>
      </c>
      <c r="C1373" t="s">
        <v>563</v>
      </c>
      <c r="D1373" t="s">
        <v>673</v>
      </c>
      <c r="E1373" s="1">
        <v>45053</v>
      </c>
      <c r="F1373" s="1">
        <v>45055</v>
      </c>
      <c r="G1373" s="1">
        <v>45075</v>
      </c>
      <c r="H1373" t="s">
        <v>8</v>
      </c>
      <c r="I1373">
        <v>342.74</v>
      </c>
      <c r="J1373" t="s">
        <v>683</v>
      </c>
      <c r="K1373">
        <v>20</v>
      </c>
    </row>
    <row r="1374" spans="1:11" x14ac:dyDescent="0.35">
      <c r="A1374" t="s">
        <v>1168</v>
      </c>
      <c r="B1374" t="s">
        <v>332</v>
      </c>
      <c r="C1374" t="s">
        <v>597</v>
      </c>
      <c r="D1374" t="s">
        <v>673</v>
      </c>
      <c r="E1374" s="1">
        <v>45357</v>
      </c>
      <c r="F1374" s="1">
        <v>45362</v>
      </c>
      <c r="G1374" s="1"/>
      <c r="H1374" t="s">
        <v>20</v>
      </c>
      <c r="I1374">
        <v>342.4</v>
      </c>
      <c r="J1374" t="s">
        <v>689</v>
      </c>
    </row>
    <row r="1375" spans="1:11" x14ac:dyDescent="0.35">
      <c r="A1375" t="s">
        <v>1605</v>
      </c>
      <c r="B1375" t="s">
        <v>196</v>
      </c>
      <c r="C1375" t="s">
        <v>567</v>
      </c>
      <c r="D1375" t="s">
        <v>629</v>
      </c>
      <c r="E1375" s="1">
        <v>45434</v>
      </c>
      <c r="F1375" s="1">
        <v>45436</v>
      </c>
      <c r="G1375" s="1">
        <v>45442</v>
      </c>
      <c r="H1375" t="s">
        <v>13</v>
      </c>
      <c r="I1375">
        <v>341.55</v>
      </c>
      <c r="J1375" t="s">
        <v>683</v>
      </c>
      <c r="K1375">
        <v>6</v>
      </c>
    </row>
    <row r="1376" spans="1:11" x14ac:dyDescent="0.35">
      <c r="A1376" t="s">
        <v>2198</v>
      </c>
      <c r="B1376" t="s">
        <v>437</v>
      </c>
      <c r="C1376" t="s">
        <v>583</v>
      </c>
      <c r="D1376" t="s">
        <v>656</v>
      </c>
      <c r="E1376" s="1">
        <v>45295</v>
      </c>
      <c r="F1376" s="1">
        <v>45296</v>
      </c>
      <c r="G1376" s="1">
        <v>45317</v>
      </c>
      <c r="H1376" t="s">
        <v>20</v>
      </c>
      <c r="I1376">
        <v>341.31</v>
      </c>
      <c r="J1376" t="s">
        <v>683</v>
      </c>
      <c r="K1376">
        <v>21</v>
      </c>
    </row>
    <row r="1377" spans="1:11" x14ac:dyDescent="0.35">
      <c r="A1377" t="s">
        <v>1712</v>
      </c>
      <c r="B1377" t="s">
        <v>18</v>
      </c>
      <c r="C1377" t="s">
        <v>577</v>
      </c>
      <c r="D1377" t="s">
        <v>673</v>
      </c>
      <c r="E1377" s="1">
        <v>45649</v>
      </c>
      <c r="F1377" s="1">
        <v>45652</v>
      </c>
      <c r="G1377" s="1">
        <v>45681</v>
      </c>
      <c r="H1377" t="s">
        <v>8</v>
      </c>
      <c r="I1377">
        <v>341.12</v>
      </c>
      <c r="J1377" t="s">
        <v>683</v>
      </c>
      <c r="K1377">
        <v>29</v>
      </c>
    </row>
    <row r="1378" spans="1:11" x14ac:dyDescent="0.35">
      <c r="A1378" t="s">
        <v>1921</v>
      </c>
      <c r="B1378" t="s">
        <v>391</v>
      </c>
      <c r="C1378" t="s">
        <v>577</v>
      </c>
      <c r="D1378" t="s">
        <v>629</v>
      </c>
      <c r="E1378" s="1">
        <v>45647</v>
      </c>
      <c r="F1378" s="1">
        <v>45648</v>
      </c>
      <c r="G1378" s="1">
        <v>45653</v>
      </c>
      <c r="H1378" t="s">
        <v>11</v>
      </c>
      <c r="I1378">
        <v>340.72</v>
      </c>
      <c r="J1378" t="s">
        <v>683</v>
      </c>
      <c r="K1378">
        <v>5</v>
      </c>
    </row>
    <row r="1379" spans="1:11" x14ac:dyDescent="0.35">
      <c r="A1379" t="s">
        <v>2060</v>
      </c>
      <c r="B1379" t="s">
        <v>372</v>
      </c>
      <c r="C1379" t="s">
        <v>575</v>
      </c>
      <c r="D1379" t="s">
        <v>629</v>
      </c>
      <c r="E1379" s="1">
        <v>45554</v>
      </c>
      <c r="F1379" s="1">
        <v>45558</v>
      </c>
      <c r="G1379" s="1">
        <v>45567</v>
      </c>
      <c r="H1379" t="s">
        <v>13</v>
      </c>
      <c r="I1379">
        <v>340.43</v>
      </c>
      <c r="J1379" t="s">
        <v>683</v>
      </c>
      <c r="K1379">
        <v>9</v>
      </c>
    </row>
    <row r="1380" spans="1:11" x14ac:dyDescent="0.35">
      <c r="A1380" t="s">
        <v>1032</v>
      </c>
      <c r="B1380" t="s">
        <v>164</v>
      </c>
      <c r="C1380" t="s">
        <v>603</v>
      </c>
      <c r="D1380" t="s">
        <v>629</v>
      </c>
      <c r="E1380" s="1">
        <v>45233</v>
      </c>
      <c r="F1380" s="1">
        <v>45238</v>
      </c>
      <c r="G1380" s="1">
        <v>45265</v>
      </c>
      <c r="H1380" t="s">
        <v>11</v>
      </c>
      <c r="I1380">
        <v>339.7</v>
      </c>
      <c r="J1380" t="s">
        <v>683</v>
      </c>
      <c r="K1380">
        <v>27</v>
      </c>
    </row>
    <row r="1381" spans="1:11" x14ac:dyDescent="0.35">
      <c r="A1381" t="s">
        <v>2436</v>
      </c>
      <c r="B1381" t="s">
        <v>428</v>
      </c>
      <c r="C1381" t="s">
        <v>609</v>
      </c>
      <c r="D1381" t="s">
        <v>673</v>
      </c>
      <c r="E1381" s="1">
        <v>45617</v>
      </c>
      <c r="F1381" s="1">
        <v>45621</v>
      </c>
      <c r="G1381" s="1">
        <v>45628</v>
      </c>
      <c r="H1381" t="s">
        <v>20</v>
      </c>
      <c r="I1381">
        <v>339.46</v>
      </c>
      <c r="J1381" t="s">
        <v>683</v>
      </c>
      <c r="K1381">
        <v>7</v>
      </c>
    </row>
    <row r="1382" spans="1:11" x14ac:dyDescent="0.35">
      <c r="A1382" t="s">
        <v>1461</v>
      </c>
      <c r="B1382" t="s">
        <v>234</v>
      </c>
      <c r="C1382" t="s">
        <v>559</v>
      </c>
      <c r="D1382" t="s">
        <v>673</v>
      </c>
      <c r="E1382" s="1">
        <v>45091</v>
      </c>
      <c r="F1382" s="1">
        <v>45093</v>
      </c>
      <c r="G1382" s="1">
        <v>45097</v>
      </c>
      <c r="H1382" t="s">
        <v>20</v>
      </c>
      <c r="I1382">
        <v>338.75</v>
      </c>
      <c r="J1382" t="s">
        <v>683</v>
      </c>
      <c r="K1382">
        <v>4</v>
      </c>
    </row>
    <row r="1383" spans="1:11" x14ac:dyDescent="0.35">
      <c r="A1383" t="s">
        <v>1264</v>
      </c>
      <c r="B1383" t="s">
        <v>242</v>
      </c>
      <c r="C1383" t="s">
        <v>603</v>
      </c>
      <c r="D1383" t="s">
        <v>629</v>
      </c>
      <c r="E1383" s="1">
        <v>45227</v>
      </c>
      <c r="F1383" s="1">
        <v>45230</v>
      </c>
      <c r="G1383" s="1">
        <v>45253</v>
      </c>
      <c r="H1383" t="s">
        <v>11</v>
      </c>
      <c r="I1383">
        <v>338.49</v>
      </c>
      <c r="J1383" t="s">
        <v>683</v>
      </c>
      <c r="K1383">
        <v>23</v>
      </c>
    </row>
    <row r="1384" spans="1:11" x14ac:dyDescent="0.35">
      <c r="A1384" t="s">
        <v>770</v>
      </c>
      <c r="B1384" t="s">
        <v>316</v>
      </c>
      <c r="C1384" t="s">
        <v>603</v>
      </c>
      <c r="D1384" t="s">
        <v>673</v>
      </c>
      <c r="E1384" s="1">
        <v>45426</v>
      </c>
      <c r="F1384" s="1">
        <v>45431</v>
      </c>
      <c r="G1384" s="1">
        <v>45444</v>
      </c>
      <c r="H1384" t="s">
        <v>13</v>
      </c>
      <c r="I1384">
        <v>337.14</v>
      </c>
      <c r="J1384" t="s">
        <v>683</v>
      </c>
      <c r="K1384">
        <v>13</v>
      </c>
    </row>
    <row r="1385" spans="1:11" x14ac:dyDescent="0.35">
      <c r="A1385" t="s">
        <v>2453</v>
      </c>
      <c r="B1385" t="s">
        <v>26</v>
      </c>
      <c r="C1385" t="s">
        <v>524</v>
      </c>
      <c r="D1385" t="s">
        <v>673</v>
      </c>
      <c r="E1385" s="1">
        <v>45289</v>
      </c>
      <c r="F1385" s="1">
        <v>45294</v>
      </c>
      <c r="G1385" s="1"/>
      <c r="H1385" t="s">
        <v>11</v>
      </c>
      <c r="I1385">
        <v>336.93</v>
      </c>
      <c r="J1385" t="s">
        <v>689</v>
      </c>
    </row>
    <row r="1386" spans="1:11" x14ac:dyDescent="0.35">
      <c r="A1386" t="s">
        <v>1046</v>
      </c>
      <c r="B1386" t="s">
        <v>251</v>
      </c>
      <c r="C1386" t="s">
        <v>587</v>
      </c>
      <c r="D1386" t="s">
        <v>656</v>
      </c>
      <c r="E1386" s="1">
        <v>45409</v>
      </c>
      <c r="F1386" s="1">
        <v>45413</v>
      </c>
      <c r="G1386" s="1">
        <v>45429</v>
      </c>
      <c r="H1386" t="s">
        <v>13</v>
      </c>
      <c r="I1386">
        <v>335.65</v>
      </c>
      <c r="J1386" t="s">
        <v>683</v>
      </c>
      <c r="K1386">
        <v>16</v>
      </c>
    </row>
    <row r="1387" spans="1:11" x14ac:dyDescent="0.35">
      <c r="A1387" t="s">
        <v>2330</v>
      </c>
      <c r="B1387" t="s">
        <v>371</v>
      </c>
      <c r="C1387" t="s">
        <v>603</v>
      </c>
      <c r="D1387" t="s">
        <v>673</v>
      </c>
      <c r="E1387" s="1">
        <v>45409</v>
      </c>
      <c r="F1387" s="1">
        <v>45414</v>
      </c>
      <c r="G1387" s="1">
        <v>45423</v>
      </c>
      <c r="H1387" t="s">
        <v>25</v>
      </c>
      <c r="I1387">
        <v>335.31</v>
      </c>
      <c r="J1387" t="s">
        <v>683</v>
      </c>
      <c r="K1387">
        <v>9</v>
      </c>
    </row>
    <row r="1388" spans="1:11" x14ac:dyDescent="0.35">
      <c r="A1388" t="s">
        <v>2334</v>
      </c>
      <c r="B1388" t="s">
        <v>126</v>
      </c>
      <c r="C1388" t="s">
        <v>546</v>
      </c>
      <c r="D1388" t="s">
        <v>673</v>
      </c>
      <c r="E1388" s="1">
        <v>45060</v>
      </c>
      <c r="F1388" s="1">
        <v>45065</v>
      </c>
      <c r="G1388" s="1">
        <v>45084</v>
      </c>
      <c r="H1388" t="s">
        <v>8</v>
      </c>
      <c r="I1388">
        <v>334.64</v>
      </c>
      <c r="J1388" t="s">
        <v>683</v>
      </c>
      <c r="K1388">
        <v>19</v>
      </c>
    </row>
    <row r="1389" spans="1:11" x14ac:dyDescent="0.35">
      <c r="A1389" t="s">
        <v>1231</v>
      </c>
      <c r="B1389" t="s">
        <v>504</v>
      </c>
      <c r="C1389" t="s">
        <v>571</v>
      </c>
      <c r="D1389" t="s">
        <v>673</v>
      </c>
      <c r="E1389" s="1">
        <v>45630</v>
      </c>
      <c r="F1389" s="1">
        <v>45631</v>
      </c>
      <c r="G1389" s="1">
        <v>45647</v>
      </c>
      <c r="H1389" t="s">
        <v>13</v>
      </c>
      <c r="I1389">
        <v>334.45</v>
      </c>
      <c r="J1389" t="s">
        <v>687</v>
      </c>
      <c r="K1389">
        <v>16</v>
      </c>
    </row>
    <row r="1390" spans="1:11" x14ac:dyDescent="0.35">
      <c r="A1390" t="s">
        <v>1729</v>
      </c>
      <c r="B1390" t="s">
        <v>258</v>
      </c>
      <c r="C1390" t="s">
        <v>605</v>
      </c>
      <c r="D1390" t="s">
        <v>673</v>
      </c>
      <c r="E1390" s="1">
        <v>45323</v>
      </c>
      <c r="F1390" s="1">
        <v>45326</v>
      </c>
      <c r="G1390" s="1"/>
      <c r="H1390" t="s">
        <v>8</v>
      </c>
      <c r="I1390">
        <v>334.44</v>
      </c>
      <c r="J1390" t="s">
        <v>689</v>
      </c>
    </row>
    <row r="1391" spans="1:11" x14ac:dyDescent="0.35">
      <c r="A1391" t="s">
        <v>1305</v>
      </c>
      <c r="B1391" t="s">
        <v>143</v>
      </c>
      <c r="C1391" t="s">
        <v>585</v>
      </c>
      <c r="D1391" t="s">
        <v>656</v>
      </c>
      <c r="E1391" s="1">
        <v>45380</v>
      </c>
      <c r="F1391" s="1">
        <v>45381</v>
      </c>
      <c r="G1391" s="1">
        <v>45400</v>
      </c>
      <c r="H1391" t="s">
        <v>13</v>
      </c>
      <c r="I1391">
        <v>334.39</v>
      </c>
      <c r="J1391" t="s">
        <v>683</v>
      </c>
      <c r="K1391">
        <v>19</v>
      </c>
    </row>
    <row r="1392" spans="1:11" x14ac:dyDescent="0.35">
      <c r="A1392" t="s">
        <v>2429</v>
      </c>
      <c r="B1392" t="s">
        <v>362</v>
      </c>
      <c r="C1392" t="s">
        <v>563</v>
      </c>
      <c r="D1392" t="s">
        <v>673</v>
      </c>
      <c r="E1392" s="1">
        <v>45369</v>
      </c>
      <c r="F1392" s="1">
        <v>45374</v>
      </c>
      <c r="G1392" s="1">
        <v>45389</v>
      </c>
      <c r="H1392" t="s">
        <v>25</v>
      </c>
      <c r="I1392">
        <v>333.97</v>
      </c>
      <c r="J1392" t="s">
        <v>683</v>
      </c>
      <c r="K1392">
        <v>15</v>
      </c>
    </row>
    <row r="1393" spans="1:11" x14ac:dyDescent="0.35">
      <c r="A1393" t="s">
        <v>1656</v>
      </c>
      <c r="B1393" t="s">
        <v>178</v>
      </c>
      <c r="C1393" t="s">
        <v>579</v>
      </c>
      <c r="D1393" t="s">
        <v>656</v>
      </c>
      <c r="E1393" s="1">
        <v>45280</v>
      </c>
      <c r="F1393" s="1">
        <v>45285</v>
      </c>
      <c r="G1393" s="1">
        <v>45306</v>
      </c>
      <c r="H1393" t="s">
        <v>8</v>
      </c>
      <c r="I1393">
        <v>333.29</v>
      </c>
      <c r="J1393" t="s">
        <v>683</v>
      </c>
      <c r="K1393">
        <v>21</v>
      </c>
    </row>
    <row r="1394" spans="1:11" x14ac:dyDescent="0.35">
      <c r="A1394" t="s">
        <v>1416</v>
      </c>
      <c r="B1394" t="s">
        <v>237</v>
      </c>
      <c r="C1394" t="s">
        <v>567</v>
      </c>
      <c r="D1394" t="s">
        <v>656</v>
      </c>
      <c r="E1394" s="1">
        <v>45127</v>
      </c>
      <c r="F1394" s="1">
        <v>45128</v>
      </c>
      <c r="G1394" s="1">
        <v>45157</v>
      </c>
      <c r="H1394" t="s">
        <v>11</v>
      </c>
      <c r="I1394">
        <v>332.26</v>
      </c>
      <c r="J1394" t="s">
        <v>683</v>
      </c>
      <c r="K1394">
        <v>29</v>
      </c>
    </row>
    <row r="1395" spans="1:11" x14ac:dyDescent="0.35">
      <c r="A1395" t="s">
        <v>1867</v>
      </c>
      <c r="B1395" t="s">
        <v>313</v>
      </c>
      <c r="C1395" t="s">
        <v>609</v>
      </c>
      <c r="D1395" t="s">
        <v>629</v>
      </c>
      <c r="E1395" s="1">
        <v>45193</v>
      </c>
      <c r="F1395" s="1">
        <v>45198</v>
      </c>
      <c r="G1395" s="1">
        <v>45222</v>
      </c>
      <c r="H1395" t="s">
        <v>13</v>
      </c>
      <c r="I1395">
        <v>331.92</v>
      </c>
      <c r="J1395" t="s">
        <v>683</v>
      </c>
      <c r="K1395">
        <v>24</v>
      </c>
    </row>
    <row r="1396" spans="1:11" x14ac:dyDescent="0.35">
      <c r="A1396" t="s">
        <v>1563</v>
      </c>
      <c r="B1396" t="s">
        <v>132</v>
      </c>
      <c r="C1396" t="s">
        <v>555</v>
      </c>
      <c r="D1396" t="s">
        <v>673</v>
      </c>
      <c r="E1396" s="1">
        <v>45114</v>
      </c>
      <c r="F1396" s="1">
        <v>45116</v>
      </c>
      <c r="G1396" s="1">
        <v>45134</v>
      </c>
      <c r="H1396" t="s">
        <v>8</v>
      </c>
      <c r="I1396">
        <v>331.52</v>
      </c>
      <c r="J1396" t="s">
        <v>683</v>
      </c>
      <c r="K1396">
        <v>18</v>
      </c>
    </row>
    <row r="1397" spans="1:11" x14ac:dyDescent="0.35">
      <c r="A1397" t="s">
        <v>2420</v>
      </c>
      <c r="B1397" t="s">
        <v>453</v>
      </c>
      <c r="C1397" t="s">
        <v>534</v>
      </c>
      <c r="D1397" t="s">
        <v>629</v>
      </c>
      <c r="E1397" s="1">
        <v>45532</v>
      </c>
      <c r="F1397" s="1">
        <v>45534</v>
      </c>
      <c r="G1397" s="1">
        <v>45556</v>
      </c>
      <c r="H1397" t="s">
        <v>11</v>
      </c>
      <c r="I1397">
        <v>330.58</v>
      </c>
      <c r="J1397" t="s">
        <v>687</v>
      </c>
      <c r="K1397">
        <v>22</v>
      </c>
    </row>
    <row r="1398" spans="1:11" x14ac:dyDescent="0.35">
      <c r="A1398" t="s">
        <v>1632</v>
      </c>
      <c r="B1398" t="s">
        <v>283</v>
      </c>
      <c r="C1398" t="s">
        <v>567</v>
      </c>
      <c r="D1398" t="s">
        <v>656</v>
      </c>
      <c r="E1398" s="1">
        <v>45000</v>
      </c>
      <c r="F1398" s="1">
        <v>45004</v>
      </c>
      <c r="G1398" s="1"/>
      <c r="H1398" t="s">
        <v>25</v>
      </c>
      <c r="I1398">
        <v>330.52</v>
      </c>
      <c r="J1398" t="s">
        <v>689</v>
      </c>
    </row>
    <row r="1399" spans="1:11" x14ac:dyDescent="0.35">
      <c r="A1399" t="s">
        <v>2311</v>
      </c>
      <c r="B1399" t="s">
        <v>185</v>
      </c>
      <c r="C1399" t="s">
        <v>607</v>
      </c>
      <c r="D1399" t="s">
        <v>673</v>
      </c>
      <c r="E1399" s="1">
        <v>45134</v>
      </c>
      <c r="F1399" s="1">
        <v>45137</v>
      </c>
      <c r="G1399" s="1"/>
      <c r="H1399" t="s">
        <v>11</v>
      </c>
      <c r="I1399">
        <v>330.22</v>
      </c>
      <c r="J1399" t="s">
        <v>689</v>
      </c>
    </row>
    <row r="1400" spans="1:11" x14ac:dyDescent="0.35">
      <c r="A1400" t="s">
        <v>2439</v>
      </c>
      <c r="B1400" t="s">
        <v>456</v>
      </c>
      <c r="C1400" t="s">
        <v>573</v>
      </c>
      <c r="D1400" t="s">
        <v>629</v>
      </c>
      <c r="E1400" s="1">
        <v>45647</v>
      </c>
      <c r="F1400" s="1">
        <v>45651</v>
      </c>
      <c r="G1400" s="1">
        <v>45667</v>
      </c>
      <c r="H1400" t="s">
        <v>11</v>
      </c>
      <c r="I1400">
        <v>329.99</v>
      </c>
      <c r="J1400" t="s">
        <v>683</v>
      </c>
      <c r="K1400">
        <v>16</v>
      </c>
    </row>
    <row r="1401" spans="1:11" x14ac:dyDescent="0.35">
      <c r="A1401" t="s">
        <v>1968</v>
      </c>
      <c r="B1401" t="s">
        <v>349</v>
      </c>
      <c r="C1401" t="s">
        <v>565</v>
      </c>
      <c r="D1401" t="s">
        <v>629</v>
      </c>
      <c r="E1401" s="1">
        <v>45113</v>
      </c>
      <c r="F1401" s="1">
        <v>45114</v>
      </c>
      <c r="G1401" s="1">
        <v>45117</v>
      </c>
      <c r="H1401" t="s">
        <v>11</v>
      </c>
      <c r="I1401">
        <v>328.34</v>
      </c>
      <c r="J1401" t="s">
        <v>683</v>
      </c>
      <c r="K1401">
        <v>3</v>
      </c>
    </row>
    <row r="1402" spans="1:11" x14ac:dyDescent="0.35">
      <c r="A1402" t="s">
        <v>1355</v>
      </c>
      <c r="B1402" t="s">
        <v>354</v>
      </c>
      <c r="C1402" t="s">
        <v>557</v>
      </c>
      <c r="D1402" t="s">
        <v>656</v>
      </c>
      <c r="E1402" s="1">
        <v>45538</v>
      </c>
      <c r="F1402" s="1">
        <v>45543</v>
      </c>
      <c r="G1402" s="1">
        <v>45557</v>
      </c>
      <c r="H1402" t="s">
        <v>11</v>
      </c>
      <c r="I1402">
        <v>327.82</v>
      </c>
      <c r="J1402" t="s">
        <v>683</v>
      </c>
      <c r="K1402">
        <v>14</v>
      </c>
    </row>
    <row r="1403" spans="1:11" x14ac:dyDescent="0.35">
      <c r="A1403" t="s">
        <v>1824</v>
      </c>
      <c r="B1403" t="s">
        <v>76</v>
      </c>
      <c r="C1403" t="s">
        <v>555</v>
      </c>
      <c r="D1403" t="s">
        <v>629</v>
      </c>
      <c r="E1403" s="1">
        <v>45382</v>
      </c>
      <c r="F1403" s="1">
        <v>45383</v>
      </c>
      <c r="G1403" s="1"/>
      <c r="H1403" t="s">
        <v>8</v>
      </c>
      <c r="I1403">
        <v>327.58</v>
      </c>
      <c r="J1403" t="s">
        <v>689</v>
      </c>
    </row>
    <row r="1404" spans="1:11" x14ac:dyDescent="0.35">
      <c r="A1404" t="s">
        <v>998</v>
      </c>
      <c r="B1404" t="s">
        <v>450</v>
      </c>
      <c r="C1404" t="s">
        <v>567</v>
      </c>
      <c r="D1404" t="s">
        <v>629</v>
      </c>
      <c r="E1404" s="1">
        <v>45592</v>
      </c>
      <c r="F1404" s="1">
        <v>45594</v>
      </c>
      <c r="G1404" s="1">
        <v>45606</v>
      </c>
      <c r="H1404" t="s">
        <v>20</v>
      </c>
      <c r="I1404">
        <v>327.5</v>
      </c>
      <c r="J1404" t="s">
        <v>683</v>
      </c>
      <c r="K1404">
        <v>12</v>
      </c>
    </row>
    <row r="1405" spans="1:11" x14ac:dyDescent="0.35">
      <c r="A1405" t="s">
        <v>2036</v>
      </c>
      <c r="B1405" t="s">
        <v>301</v>
      </c>
      <c r="C1405" t="s">
        <v>555</v>
      </c>
      <c r="D1405" t="s">
        <v>629</v>
      </c>
      <c r="E1405" s="1">
        <v>45204</v>
      </c>
      <c r="F1405" s="1">
        <v>45205</v>
      </c>
      <c r="G1405" s="1">
        <v>45217</v>
      </c>
      <c r="H1405" t="s">
        <v>8</v>
      </c>
      <c r="I1405">
        <v>326.91000000000003</v>
      </c>
      <c r="J1405" t="s">
        <v>683</v>
      </c>
      <c r="K1405">
        <v>12</v>
      </c>
    </row>
    <row r="1406" spans="1:11" x14ac:dyDescent="0.35">
      <c r="A1406" t="s">
        <v>2115</v>
      </c>
      <c r="B1406" t="s">
        <v>338</v>
      </c>
      <c r="C1406" t="s">
        <v>601</v>
      </c>
      <c r="D1406" t="s">
        <v>673</v>
      </c>
      <c r="E1406" s="1">
        <v>45269</v>
      </c>
      <c r="F1406" s="1">
        <v>45270</v>
      </c>
      <c r="G1406" s="1">
        <v>45293</v>
      </c>
      <c r="H1406" t="s">
        <v>8</v>
      </c>
      <c r="I1406">
        <v>326.3</v>
      </c>
      <c r="J1406" t="s">
        <v>683</v>
      </c>
      <c r="K1406">
        <v>23</v>
      </c>
    </row>
    <row r="1407" spans="1:11" x14ac:dyDescent="0.35">
      <c r="A1407" t="s">
        <v>1621</v>
      </c>
      <c r="B1407" t="s">
        <v>365</v>
      </c>
      <c r="C1407" t="s">
        <v>540</v>
      </c>
      <c r="D1407" t="s">
        <v>673</v>
      </c>
      <c r="E1407" s="1">
        <v>45329</v>
      </c>
      <c r="F1407" s="1">
        <v>45334</v>
      </c>
      <c r="G1407" s="1"/>
      <c r="H1407" t="s">
        <v>11</v>
      </c>
      <c r="I1407">
        <v>326.08999999999997</v>
      </c>
      <c r="J1407" t="s">
        <v>689</v>
      </c>
    </row>
    <row r="1408" spans="1:11" x14ac:dyDescent="0.35">
      <c r="A1408" t="s">
        <v>1862</v>
      </c>
      <c r="B1408" t="s">
        <v>112</v>
      </c>
      <c r="C1408" t="s">
        <v>585</v>
      </c>
      <c r="D1408" t="s">
        <v>656</v>
      </c>
      <c r="E1408" s="1">
        <v>44951</v>
      </c>
      <c r="F1408" s="1">
        <v>44953</v>
      </c>
      <c r="G1408" s="1">
        <v>44968</v>
      </c>
      <c r="H1408" t="s">
        <v>13</v>
      </c>
      <c r="I1408">
        <v>325.98</v>
      </c>
      <c r="J1408" t="s">
        <v>683</v>
      </c>
      <c r="K1408">
        <v>15</v>
      </c>
    </row>
    <row r="1409" spans="1:11" x14ac:dyDescent="0.35">
      <c r="A1409" t="s">
        <v>2291</v>
      </c>
      <c r="B1409" t="s">
        <v>120</v>
      </c>
      <c r="C1409" t="s">
        <v>571</v>
      </c>
      <c r="D1409" t="s">
        <v>656</v>
      </c>
      <c r="E1409" s="1">
        <v>45128</v>
      </c>
      <c r="F1409" s="1">
        <v>45133</v>
      </c>
      <c r="G1409" s="1">
        <v>45152</v>
      </c>
      <c r="H1409" t="s">
        <v>13</v>
      </c>
      <c r="I1409">
        <v>325.27</v>
      </c>
      <c r="J1409" t="s">
        <v>683</v>
      </c>
      <c r="K1409">
        <v>19</v>
      </c>
    </row>
    <row r="1410" spans="1:11" x14ac:dyDescent="0.35">
      <c r="A1410" t="s">
        <v>2535</v>
      </c>
      <c r="B1410" t="s">
        <v>467</v>
      </c>
      <c r="C1410" t="s">
        <v>534</v>
      </c>
      <c r="D1410" t="s">
        <v>629</v>
      </c>
      <c r="E1410" s="1">
        <v>45383</v>
      </c>
      <c r="F1410" s="1">
        <v>45385</v>
      </c>
      <c r="G1410" s="1">
        <v>45406</v>
      </c>
      <c r="H1410" t="s">
        <v>13</v>
      </c>
      <c r="I1410">
        <v>322.95999999999998</v>
      </c>
      <c r="J1410" t="s">
        <v>683</v>
      </c>
      <c r="K1410">
        <v>21</v>
      </c>
    </row>
    <row r="1411" spans="1:11" x14ac:dyDescent="0.35">
      <c r="A1411" t="s">
        <v>1606</v>
      </c>
      <c r="B1411" t="s">
        <v>513</v>
      </c>
      <c r="C1411" t="s">
        <v>587</v>
      </c>
      <c r="D1411" t="s">
        <v>656</v>
      </c>
      <c r="E1411" s="1">
        <v>45216</v>
      </c>
      <c r="F1411" s="1">
        <v>45220</v>
      </c>
      <c r="G1411" s="1">
        <v>45226</v>
      </c>
      <c r="H1411" t="s">
        <v>20</v>
      </c>
      <c r="I1411">
        <v>322.77999999999997</v>
      </c>
      <c r="J1411" t="s">
        <v>683</v>
      </c>
      <c r="K1411">
        <v>6</v>
      </c>
    </row>
    <row r="1412" spans="1:11" x14ac:dyDescent="0.35">
      <c r="A1412" t="s">
        <v>885</v>
      </c>
      <c r="B1412" t="s">
        <v>516</v>
      </c>
      <c r="C1412" t="s">
        <v>581</v>
      </c>
      <c r="D1412" t="s">
        <v>629</v>
      </c>
      <c r="E1412" s="1">
        <v>45503</v>
      </c>
      <c r="F1412" s="1">
        <v>45505</v>
      </c>
      <c r="G1412" s="1">
        <v>45524</v>
      </c>
      <c r="H1412" t="s">
        <v>8</v>
      </c>
      <c r="I1412">
        <v>320.95</v>
      </c>
      <c r="J1412" t="s">
        <v>683</v>
      </c>
      <c r="K1412">
        <v>19</v>
      </c>
    </row>
    <row r="1413" spans="1:11" x14ac:dyDescent="0.35">
      <c r="A1413" t="s">
        <v>1634</v>
      </c>
      <c r="B1413" t="s">
        <v>124</v>
      </c>
      <c r="C1413" t="s">
        <v>543</v>
      </c>
      <c r="D1413" t="s">
        <v>629</v>
      </c>
      <c r="E1413" s="1">
        <v>45410</v>
      </c>
      <c r="F1413" s="1">
        <v>45411</v>
      </c>
      <c r="G1413" s="1">
        <v>45438</v>
      </c>
      <c r="H1413" t="s">
        <v>13</v>
      </c>
      <c r="I1413">
        <v>320.5</v>
      </c>
      <c r="J1413" t="s">
        <v>683</v>
      </c>
      <c r="K1413">
        <v>27</v>
      </c>
    </row>
    <row r="1414" spans="1:11" x14ac:dyDescent="0.35">
      <c r="A1414" t="s">
        <v>1430</v>
      </c>
      <c r="B1414" t="s">
        <v>326</v>
      </c>
      <c r="C1414" t="s">
        <v>540</v>
      </c>
      <c r="D1414" t="s">
        <v>656</v>
      </c>
      <c r="E1414" s="1">
        <v>45600</v>
      </c>
      <c r="F1414" s="1">
        <v>45603</v>
      </c>
      <c r="G1414" s="1">
        <v>45624</v>
      </c>
      <c r="H1414" t="s">
        <v>20</v>
      </c>
      <c r="I1414">
        <v>319.73</v>
      </c>
      <c r="J1414" t="s">
        <v>683</v>
      </c>
      <c r="K1414">
        <v>21</v>
      </c>
    </row>
    <row r="1415" spans="1:11" x14ac:dyDescent="0.35">
      <c r="A1415" t="s">
        <v>942</v>
      </c>
      <c r="B1415" t="s">
        <v>331</v>
      </c>
      <c r="C1415" t="s">
        <v>583</v>
      </c>
      <c r="D1415" t="s">
        <v>656</v>
      </c>
      <c r="E1415" s="1">
        <v>45194</v>
      </c>
      <c r="F1415" s="1">
        <v>45196</v>
      </c>
      <c r="G1415" s="1">
        <v>45218</v>
      </c>
      <c r="H1415" t="s">
        <v>8</v>
      </c>
      <c r="I1415">
        <v>319.7</v>
      </c>
      <c r="J1415" t="s">
        <v>683</v>
      </c>
      <c r="K1415">
        <v>22</v>
      </c>
    </row>
    <row r="1416" spans="1:11" x14ac:dyDescent="0.35">
      <c r="A1416" t="s">
        <v>818</v>
      </c>
      <c r="B1416" t="s">
        <v>488</v>
      </c>
      <c r="C1416" t="s">
        <v>577</v>
      </c>
      <c r="D1416" t="s">
        <v>673</v>
      </c>
      <c r="E1416" s="1">
        <v>45108</v>
      </c>
      <c r="F1416" s="1">
        <v>45111</v>
      </c>
      <c r="G1416" s="1">
        <v>45128</v>
      </c>
      <c r="H1416" t="s">
        <v>25</v>
      </c>
      <c r="I1416">
        <v>319.43</v>
      </c>
      <c r="J1416" t="s">
        <v>687</v>
      </c>
      <c r="K1416">
        <v>17</v>
      </c>
    </row>
    <row r="1417" spans="1:11" x14ac:dyDescent="0.35">
      <c r="A1417" t="s">
        <v>1806</v>
      </c>
      <c r="B1417" t="s">
        <v>87</v>
      </c>
      <c r="C1417" t="s">
        <v>593</v>
      </c>
      <c r="D1417" t="s">
        <v>673</v>
      </c>
      <c r="E1417" s="1">
        <v>45445</v>
      </c>
      <c r="F1417" s="1">
        <v>45447</v>
      </c>
      <c r="G1417" s="1"/>
      <c r="H1417" t="s">
        <v>8</v>
      </c>
      <c r="I1417">
        <v>318.56</v>
      </c>
      <c r="J1417" t="s">
        <v>689</v>
      </c>
    </row>
    <row r="1418" spans="1:11" x14ac:dyDescent="0.35">
      <c r="A1418" t="s">
        <v>862</v>
      </c>
      <c r="B1418" t="s">
        <v>54</v>
      </c>
      <c r="C1418" t="s">
        <v>577</v>
      </c>
      <c r="D1418" t="s">
        <v>656</v>
      </c>
      <c r="E1418" s="1">
        <v>45104</v>
      </c>
      <c r="F1418" s="1">
        <v>45107</v>
      </c>
      <c r="G1418" s="1">
        <v>45115</v>
      </c>
      <c r="H1418" t="s">
        <v>11</v>
      </c>
      <c r="I1418">
        <v>318.02999999999997</v>
      </c>
      <c r="J1418" t="s">
        <v>687</v>
      </c>
      <c r="K1418">
        <v>8</v>
      </c>
    </row>
    <row r="1419" spans="1:11" x14ac:dyDescent="0.35">
      <c r="A1419" t="s">
        <v>1352</v>
      </c>
      <c r="B1419" t="s">
        <v>237</v>
      </c>
      <c r="C1419" t="s">
        <v>524</v>
      </c>
      <c r="D1419" t="s">
        <v>673</v>
      </c>
      <c r="E1419" s="1">
        <v>45486</v>
      </c>
      <c r="F1419" s="1">
        <v>45490</v>
      </c>
      <c r="G1419" s="1">
        <v>45515</v>
      </c>
      <c r="H1419" t="s">
        <v>11</v>
      </c>
      <c r="I1419">
        <v>318.01</v>
      </c>
      <c r="J1419" t="s">
        <v>683</v>
      </c>
      <c r="K1419">
        <v>25</v>
      </c>
    </row>
    <row r="1420" spans="1:11" x14ac:dyDescent="0.35">
      <c r="A1420" t="s">
        <v>1259</v>
      </c>
      <c r="B1420" t="s">
        <v>467</v>
      </c>
      <c r="C1420" t="s">
        <v>611</v>
      </c>
      <c r="D1420" t="s">
        <v>656</v>
      </c>
      <c r="E1420" s="1">
        <v>45382</v>
      </c>
      <c r="F1420" s="1">
        <v>45384</v>
      </c>
      <c r="G1420" s="1">
        <v>45404</v>
      </c>
      <c r="H1420" t="s">
        <v>13</v>
      </c>
      <c r="I1420">
        <v>317.99</v>
      </c>
      <c r="J1420" t="s">
        <v>683</v>
      </c>
      <c r="K1420">
        <v>20</v>
      </c>
    </row>
    <row r="1421" spans="1:11" x14ac:dyDescent="0.35">
      <c r="A1421" t="s">
        <v>1306</v>
      </c>
      <c r="B1421" t="s">
        <v>442</v>
      </c>
      <c r="C1421" t="s">
        <v>534</v>
      </c>
      <c r="D1421" t="s">
        <v>673</v>
      </c>
      <c r="E1421" s="1">
        <v>45593</v>
      </c>
      <c r="F1421" s="1">
        <v>45594</v>
      </c>
      <c r="G1421" s="1">
        <v>45602</v>
      </c>
      <c r="H1421" t="s">
        <v>11</v>
      </c>
      <c r="I1421">
        <v>317.83999999999997</v>
      </c>
      <c r="J1421" t="s">
        <v>683</v>
      </c>
      <c r="K1421">
        <v>8</v>
      </c>
    </row>
    <row r="1422" spans="1:11" x14ac:dyDescent="0.35">
      <c r="A1422" t="s">
        <v>905</v>
      </c>
      <c r="B1422" t="s">
        <v>199</v>
      </c>
      <c r="C1422" t="s">
        <v>599</v>
      </c>
      <c r="D1422" t="s">
        <v>656</v>
      </c>
      <c r="E1422" s="1">
        <v>45169</v>
      </c>
      <c r="F1422" s="1">
        <v>45173</v>
      </c>
      <c r="G1422" s="1">
        <v>45200</v>
      </c>
      <c r="H1422" t="s">
        <v>11</v>
      </c>
      <c r="I1422">
        <v>317.82</v>
      </c>
      <c r="J1422" t="s">
        <v>683</v>
      </c>
      <c r="K1422">
        <v>27</v>
      </c>
    </row>
    <row r="1423" spans="1:11" x14ac:dyDescent="0.35">
      <c r="A1423" t="s">
        <v>950</v>
      </c>
      <c r="B1423" t="s">
        <v>129</v>
      </c>
      <c r="C1423" t="s">
        <v>571</v>
      </c>
      <c r="D1423" t="s">
        <v>673</v>
      </c>
      <c r="E1423" s="1">
        <v>45523</v>
      </c>
      <c r="F1423" s="1">
        <v>45528</v>
      </c>
      <c r="G1423" s="1">
        <v>45546</v>
      </c>
      <c r="H1423" t="s">
        <v>8</v>
      </c>
      <c r="I1423">
        <v>316.91000000000003</v>
      </c>
      <c r="J1423" t="s">
        <v>683</v>
      </c>
      <c r="K1423">
        <v>18</v>
      </c>
    </row>
    <row r="1424" spans="1:11" x14ac:dyDescent="0.35">
      <c r="A1424" t="s">
        <v>2062</v>
      </c>
      <c r="B1424" t="s">
        <v>196</v>
      </c>
      <c r="C1424" t="s">
        <v>527</v>
      </c>
      <c r="D1424" t="s">
        <v>656</v>
      </c>
      <c r="E1424" s="1">
        <v>45147</v>
      </c>
      <c r="F1424" s="1">
        <v>45150</v>
      </c>
      <c r="G1424" s="1">
        <v>45157</v>
      </c>
      <c r="H1424" t="s">
        <v>13</v>
      </c>
      <c r="I1424">
        <v>316.17</v>
      </c>
      <c r="J1424" t="s">
        <v>683</v>
      </c>
      <c r="K1424">
        <v>7</v>
      </c>
    </row>
    <row r="1425" spans="1:11" x14ac:dyDescent="0.35">
      <c r="A1425" t="s">
        <v>2319</v>
      </c>
      <c r="B1425" t="s">
        <v>388</v>
      </c>
      <c r="C1425" t="s">
        <v>579</v>
      </c>
      <c r="D1425" t="s">
        <v>673</v>
      </c>
      <c r="E1425" s="1">
        <v>45221</v>
      </c>
      <c r="F1425" s="1">
        <v>45225</v>
      </c>
      <c r="G1425" s="1">
        <v>45229</v>
      </c>
      <c r="H1425" t="s">
        <v>8</v>
      </c>
      <c r="I1425">
        <v>316.10000000000002</v>
      </c>
      <c r="J1425" t="s">
        <v>687</v>
      </c>
      <c r="K1425">
        <v>4</v>
      </c>
    </row>
    <row r="1426" spans="1:11" x14ac:dyDescent="0.35">
      <c r="A1426" t="s">
        <v>1455</v>
      </c>
      <c r="B1426" t="s">
        <v>135</v>
      </c>
      <c r="C1426" t="s">
        <v>571</v>
      </c>
      <c r="D1426" t="s">
        <v>673</v>
      </c>
      <c r="E1426" s="1">
        <v>45435</v>
      </c>
      <c r="F1426" s="1">
        <v>45437</v>
      </c>
      <c r="G1426" s="1"/>
      <c r="H1426" t="s">
        <v>8</v>
      </c>
      <c r="I1426">
        <v>316.06</v>
      </c>
      <c r="J1426" t="s">
        <v>689</v>
      </c>
    </row>
    <row r="1427" spans="1:11" x14ac:dyDescent="0.35">
      <c r="A1427" t="s">
        <v>1090</v>
      </c>
      <c r="B1427" t="s">
        <v>26</v>
      </c>
      <c r="C1427" t="s">
        <v>579</v>
      </c>
      <c r="D1427" t="s">
        <v>673</v>
      </c>
      <c r="E1427" s="1">
        <v>45468</v>
      </c>
      <c r="F1427" s="1">
        <v>45472</v>
      </c>
      <c r="G1427" s="1">
        <v>45475</v>
      </c>
      <c r="H1427" t="s">
        <v>11</v>
      </c>
      <c r="I1427">
        <v>315.99</v>
      </c>
      <c r="J1427" t="s">
        <v>683</v>
      </c>
      <c r="K1427">
        <v>3</v>
      </c>
    </row>
    <row r="1428" spans="1:11" x14ac:dyDescent="0.35">
      <c r="A1428" t="s">
        <v>772</v>
      </c>
      <c r="B1428" t="s">
        <v>223</v>
      </c>
      <c r="C1428" t="s">
        <v>537</v>
      </c>
      <c r="D1428" t="s">
        <v>673</v>
      </c>
      <c r="E1428" s="1">
        <v>45064</v>
      </c>
      <c r="F1428" s="1">
        <v>45066</v>
      </c>
      <c r="G1428" s="1">
        <v>45069</v>
      </c>
      <c r="H1428" t="s">
        <v>8</v>
      </c>
      <c r="I1428">
        <v>315.18</v>
      </c>
      <c r="J1428" t="s">
        <v>683</v>
      </c>
      <c r="K1428">
        <v>3</v>
      </c>
    </row>
    <row r="1429" spans="1:11" x14ac:dyDescent="0.35">
      <c r="A1429" t="s">
        <v>860</v>
      </c>
      <c r="B1429" t="s">
        <v>397</v>
      </c>
      <c r="C1429" t="s">
        <v>573</v>
      </c>
      <c r="D1429" t="s">
        <v>673</v>
      </c>
      <c r="E1429" s="1">
        <v>45351</v>
      </c>
      <c r="F1429" s="1">
        <v>45355</v>
      </c>
      <c r="G1429" s="1">
        <v>45368</v>
      </c>
      <c r="H1429" t="s">
        <v>11</v>
      </c>
      <c r="I1429">
        <v>314.5</v>
      </c>
      <c r="J1429" t="s">
        <v>683</v>
      </c>
      <c r="K1429">
        <v>13</v>
      </c>
    </row>
    <row r="1430" spans="1:11" x14ac:dyDescent="0.35">
      <c r="A1430" t="s">
        <v>1748</v>
      </c>
      <c r="B1430" t="s">
        <v>353</v>
      </c>
      <c r="C1430" t="s">
        <v>543</v>
      </c>
      <c r="D1430" t="s">
        <v>629</v>
      </c>
      <c r="E1430" s="1">
        <v>45466</v>
      </c>
      <c r="F1430" s="1">
        <v>45469</v>
      </c>
      <c r="G1430" s="1"/>
      <c r="H1430" t="s">
        <v>20</v>
      </c>
      <c r="I1430">
        <v>314.36</v>
      </c>
      <c r="J1430" t="s">
        <v>689</v>
      </c>
    </row>
    <row r="1431" spans="1:11" x14ac:dyDescent="0.35">
      <c r="A1431" t="s">
        <v>1633</v>
      </c>
      <c r="B1431" t="s">
        <v>492</v>
      </c>
      <c r="C1431" t="s">
        <v>579</v>
      </c>
      <c r="D1431" t="s">
        <v>673</v>
      </c>
      <c r="E1431" s="1">
        <v>44936</v>
      </c>
      <c r="F1431" s="1">
        <v>44938</v>
      </c>
      <c r="G1431" s="1">
        <v>44956</v>
      </c>
      <c r="H1431" t="s">
        <v>13</v>
      </c>
      <c r="I1431">
        <v>314.17</v>
      </c>
      <c r="J1431" t="s">
        <v>683</v>
      </c>
      <c r="K1431">
        <v>18</v>
      </c>
    </row>
    <row r="1432" spans="1:11" x14ac:dyDescent="0.35">
      <c r="A1432" t="s">
        <v>977</v>
      </c>
      <c r="B1432" t="s">
        <v>474</v>
      </c>
      <c r="C1432" t="s">
        <v>611</v>
      </c>
      <c r="D1432" t="s">
        <v>629</v>
      </c>
      <c r="E1432" s="1">
        <v>45470</v>
      </c>
      <c r="F1432" s="1">
        <v>45471</v>
      </c>
      <c r="G1432" s="1">
        <v>45476</v>
      </c>
      <c r="H1432" t="s">
        <v>25</v>
      </c>
      <c r="I1432">
        <v>313.57</v>
      </c>
      <c r="J1432" t="s">
        <v>683</v>
      </c>
      <c r="K1432">
        <v>5</v>
      </c>
    </row>
    <row r="1433" spans="1:11" x14ac:dyDescent="0.35">
      <c r="A1433" t="s">
        <v>928</v>
      </c>
      <c r="B1433" t="s">
        <v>443</v>
      </c>
      <c r="C1433" t="s">
        <v>595</v>
      </c>
      <c r="D1433" t="s">
        <v>629</v>
      </c>
      <c r="E1433" s="1">
        <v>45180</v>
      </c>
      <c r="F1433" s="1">
        <v>45185</v>
      </c>
      <c r="G1433" s="1"/>
      <c r="H1433" t="s">
        <v>11</v>
      </c>
      <c r="I1433">
        <v>312.49</v>
      </c>
      <c r="J1433" t="s">
        <v>689</v>
      </c>
    </row>
    <row r="1434" spans="1:11" x14ac:dyDescent="0.35">
      <c r="A1434" t="s">
        <v>955</v>
      </c>
      <c r="B1434" t="s">
        <v>30</v>
      </c>
      <c r="C1434" t="s">
        <v>557</v>
      </c>
      <c r="D1434" t="s">
        <v>629</v>
      </c>
      <c r="E1434" s="1">
        <v>45030</v>
      </c>
      <c r="F1434" s="1">
        <v>45035</v>
      </c>
      <c r="G1434" s="1">
        <v>45039</v>
      </c>
      <c r="H1434" t="s">
        <v>13</v>
      </c>
      <c r="I1434">
        <v>312.38</v>
      </c>
      <c r="J1434" t="s">
        <v>687</v>
      </c>
      <c r="K1434">
        <v>4</v>
      </c>
    </row>
    <row r="1435" spans="1:11" x14ac:dyDescent="0.35">
      <c r="A1435" t="s">
        <v>1614</v>
      </c>
      <c r="B1435" t="s">
        <v>197</v>
      </c>
      <c r="C1435" t="s">
        <v>553</v>
      </c>
      <c r="D1435" t="s">
        <v>629</v>
      </c>
      <c r="E1435" s="1">
        <v>45157</v>
      </c>
      <c r="F1435" s="1">
        <v>45158</v>
      </c>
      <c r="G1435" s="1">
        <v>45181</v>
      </c>
      <c r="H1435" t="s">
        <v>13</v>
      </c>
      <c r="I1435">
        <v>309.26</v>
      </c>
      <c r="J1435" t="s">
        <v>683</v>
      </c>
      <c r="K1435">
        <v>23</v>
      </c>
    </row>
    <row r="1436" spans="1:11" x14ac:dyDescent="0.35">
      <c r="A1436" t="s">
        <v>935</v>
      </c>
      <c r="B1436" t="s">
        <v>155</v>
      </c>
      <c r="C1436" t="s">
        <v>546</v>
      </c>
      <c r="D1436" t="s">
        <v>673</v>
      </c>
      <c r="E1436" s="1">
        <v>45527</v>
      </c>
      <c r="F1436" s="1">
        <v>45532</v>
      </c>
      <c r="G1436" s="1"/>
      <c r="H1436" t="s">
        <v>20</v>
      </c>
      <c r="I1436">
        <v>309.20999999999998</v>
      </c>
      <c r="J1436" t="s">
        <v>689</v>
      </c>
    </row>
    <row r="1437" spans="1:11" x14ac:dyDescent="0.35">
      <c r="A1437" t="s">
        <v>1660</v>
      </c>
      <c r="B1437" t="s">
        <v>361</v>
      </c>
      <c r="C1437" t="s">
        <v>534</v>
      </c>
      <c r="D1437" t="s">
        <v>629</v>
      </c>
      <c r="E1437" s="1">
        <v>45487</v>
      </c>
      <c r="F1437" s="1">
        <v>45491</v>
      </c>
      <c r="G1437" s="1">
        <v>45494</v>
      </c>
      <c r="H1437" t="s">
        <v>20</v>
      </c>
      <c r="I1437">
        <v>308.31</v>
      </c>
      <c r="J1437" t="s">
        <v>683</v>
      </c>
      <c r="K1437">
        <v>3</v>
      </c>
    </row>
    <row r="1438" spans="1:11" x14ac:dyDescent="0.35">
      <c r="A1438" t="s">
        <v>1697</v>
      </c>
      <c r="B1438" t="s">
        <v>179</v>
      </c>
      <c r="C1438" t="s">
        <v>561</v>
      </c>
      <c r="D1438" t="s">
        <v>673</v>
      </c>
      <c r="E1438" s="1">
        <v>45655</v>
      </c>
      <c r="F1438" s="1">
        <v>45656</v>
      </c>
      <c r="G1438" s="1">
        <v>45679</v>
      </c>
      <c r="H1438" t="s">
        <v>11</v>
      </c>
      <c r="I1438">
        <v>307.75</v>
      </c>
      <c r="J1438" t="s">
        <v>683</v>
      </c>
      <c r="K1438">
        <v>23</v>
      </c>
    </row>
    <row r="1439" spans="1:11" x14ac:dyDescent="0.35">
      <c r="A1439" t="s">
        <v>1291</v>
      </c>
      <c r="B1439" t="s">
        <v>361</v>
      </c>
      <c r="C1439" t="s">
        <v>567</v>
      </c>
      <c r="D1439" t="s">
        <v>673</v>
      </c>
      <c r="E1439" s="1">
        <v>45581</v>
      </c>
      <c r="F1439" s="1">
        <v>45585</v>
      </c>
      <c r="G1439" s="1">
        <v>45589</v>
      </c>
      <c r="H1439" t="s">
        <v>20</v>
      </c>
      <c r="I1439">
        <v>307.20999999999998</v>
      </c>
      <c r="J1439" t="s">
        <v>683</v>
      </c>
      <c r="K1439">
        <v>4</v>
      </c>
    </row>
    <row r="1440" spans="1:11" x14ac:dyDescent="0.35">
      <c r="A1440" t="s">
        <v>2068</v>
      </c>
      <c r="B1440" t="s">
        <v>515</v>
      </c>
      <c r="C1440" t="s">
        <v>524</v>
      </c>
      <c r="D1440" t="s">
        <v>629</v>
      </c>
      <c r="E1440" s="1">
        <v>45484</v>
      </c>
      <c r="F1440" s="1">
        <v>45485</v>
      </c>
      <c r="G1440" s="1">
        <v>45508</v>
      </c>
      <c r="H1440" t="s">
        <v>11</v>
      </c>
      <c r="I1440">
        <v>306.52</v>
      </c>
      <c r="J1440" t="s">
        <v>683</v>
      </c>
      <c r="K1440">
        <v>23</v>
      </c>
    </row>
    <row r="1441" spans="1:11" x14ac:dyDescent="0.35">
      <c r="A1441" t="s">
        <v>2425</v>
      </c>
      <c r="B1441" t="s">
        <v>472</v>
      </c>
      <c r="C1441" t="s">
        <v>603</v>
      </c>
      <c r="D1441" t="s">
        <v>673</v>
      </c>
      <c r="E1441" s="1">
        <v>45476</v>
      </c>
      <c r="F1441" s="1">
        <v>45478</v>
      </c>
      <c r="G1441" s="1">
        <v>45497</v>
      </c>
      <c r="H1441" t="s">
        <v>13</v>
      </c>
      <c r="I1441">
        <v>305.62</v>
      </c>
      <c r="J1441" t="s">
        <v>687</v>
      </c>
      <c r="K1441">
        <v>19</v>
      </c>
    </row>
    <row r="1442" spans="1:11" x14ac:dyDescent="0.35">
      <c r="A1442" t="s">
        <v>705</v>
      </c>
      <c r="B1442" t="s">
        <v>64</v>
      </c>
      <c r="C1442" t="s">
        <v>563</v>
      </c>
      <c r="D1442" t="s">
        <v>673</v>
      </c>
      <c r="E1442" s="1">
        <v>45331</v>
      </c>
      <c r="F1442" s="1">
        <v>45332</v>
      </c>
      <c r="G1442" s="1">
        <v>45351</v>
      </c>
      <c r="H1442" t="s">
        <v>8</v>
      </c>
      <c r="I1442">
        <v>305.55</v>
      </c>
      <c r="J1442" t="s">
        <v>683</v>
      </c>
      <c r="K1442">
        <v>19</v>
      </c>
    </row>
    <row r="1443" spans="1:11" x14ac:dyDescent="0.35">
      <c r="A1443" t="s">
        <v>1245</v>
      </c>
      <c r="B1443" t="s">
        <v>148</v>
      </c>
      <c r="C1443" t="s">
        <v>527</v>
      </c>
      <c r="D1443" t="s">
        <v>673</v>
      </c>
      <c r="E1443" s="1">
        <v>45323</v>
      </c>
      <c r="F1443" s="1">
        <v>45326</v>
      </c>
      <c r="G1443" s="1"/>
      <c r="H1443" t="s">
        <v>8</v>
      </c>
      <c r="I1443">
        <v>305.08999999999997</v>
      </c>
      <c r="J1443" t="s">
        <v>689</v>
      </c>
    </row>
    <row r="1444" spans="1:11" x14ac:dyDescent="0.35">
      <c r="A1444" t="s">
        <v>978</v>
      </c>
      <c r="B1444" t="s">
        <v>422</v>
      </c>
      <c r="C1444" t="s">
        <v>609</v>
      </c>
      <c r="D1444" t="s">
        <v>629</v>
      </c>
      <c r="E1444" s="1">
        <v>45575</v>
      </c>
      <c r="F1444" s="1">
        <v>45580</v>
      </c>
      <c r="G1444" s="1">
        <v>45599</v>
      </c>
      <c r="H1444" t="s">
        <v>11</v>
      </c>
      <c r="I1444">
        <v>304.33</v>
      </c>
      <c r="J1444" t="s">
        <v>683</v>
      </c>
      <c r="K1444">
        <v>19</v>
      </c>
    </row>
    <row r="1445" spans="1:11" x14ac:dyDescent="0.35">
      <c r="A1445" t="s">
        <v>856</v>
      </c>
      <c r="B1445" t="s">
        <v>280</v>
      </c>
      <c r="C1445" t="s">
        <v>567</v>
      </c>
      <c r="D1445" t="s">
        <v>673</v>
      </c>
      <c r="E1445" s="1">
        <v>45231</v>
      </c>
      <c r="F1445" s="1">
        <v>45234</v>
      </c>
      <c r="G1445" s="1">
        <v>45239</v>
      </c>
      <c r="H1445" t="s">
        <v>8</v>
      </c>
      <c r="I1445">
        <v>304.17</v>
      </c>
      <c r="J1445" t="s">
        <v>687</v>
      </c>
      <c r="K1445">
        <v>5</v>
      </c>
    </row>
    <row r="1446" spans="1:11" x14ac:dyDescent="0.35">
      <c r="A1446" t="s">
        <v>741</v>
      </c>
      <c r="B1446" t="s">
        <v>293</v>
      </c>
      <c r="C1446" t="s">
        <v>531</v>
      </c>
      <c r="D1446" t="s">
        <v>629</v>
      </c>
      <c r="E1446" s="1">
        <v>45358</v>
      </c>
      <c r="F1446" s="1">
        <v>45361</v>
      </c>
      <c r="G1446" s="1">
        <v>45385</v>
      </c>
      <c r="H1446" t="s">
        <v>20</v>
      </c>
      <c r="I1446">
        <v>303.67</v>
      </c>
      <c r="J1446" t="s">
        <v>683</v>
      </c>
      <c r="K1446">
        <v>24</v>
      </c>
    </row>
    <row r="1447" spans="1:11" x14ac:dyDescent="0.35">
      <c r="A1447" t="s">
        <v>2359</v>
      </c>
      <c r="B1447" t="s">
        <v>228</v>
      </c>
      <c r="C1447" t="s">
        <v>527</v>
      </c>
      <c r="D1447" t="s">
        <v>673</v>
      </c>
      <c r="E1447" s="1">
        <v>45340</v>
      </c>
      <c r="F1447" s="1">
        <v>45343</v>
      </c>
      <c r="G1447" s="1">
        <v>45363</v>
      </c>
      <c r="H1447" t="s">
        <v>25</v>
      </c>
      <c r="I1447">
        <v>302.64999999999998</v>
      </c>
      <c r="J1447" t="s">
        <v>687</v>
      </c>
      <c r="K1447">
        <v>20</v>
      </c>
    </row>
    <row r="1448" spans="1:11" x14ac:dyDescent="0.35">
      <c r="A1448" t="s">
        <v>1582</v>
      </c>
      <c r="B1448" t="s">
        <v>405</v>
      </c>
      <c r="C1448" t="s">
        <v>571</v>
      </c>
      <c r="D1448" t="s">
        <v>629</v>
      </c>
      <c r="E1448" s="1">
        <v>45114</v>
      </c>
      <c r="F1448" s="1">
        <v>45116</v>
      </c>
      <c r="G1448" s="1">
        <v>45135</v>
      </c>
      <c r="H1448" t="s">
        <v>13</v>
      </c>
      <c r="I1448">
        <v>302.05</v>
      </c>
      <c r="J1448" t="s">
        <v>683</v>
      </c>
      <c r="K1448">
        <v>19</v>
      </c>
    </row>
    <row r="1449" spans="1:11" x14ac:dyDescent="0.35">
      <c r="A1449" t="s">
        <v>1214</v>
      </c>
      <c r="B1449" t="s">
        <v>444</v>
      </c>
      <c r="C1449" t="s">
        <v>555</v>
      </c>
      <c r="D1449" t="s">
        <v>629</v>
      </c>
      <c r="E1449" s="1">
        <v>45019</v>
      </c>
      <c r="F1449" s="1">
        <v>45021</v>
      </c>
      <c r="G1449" s="1"/>
      <c r="H1449" t="s">
        <v>25</v>
      </c>
      <c r="I1449">
        <v>301.63</v>
      </c>
      <c r="J1449" t="s">
        <v>689</v>
      </c>
    </row>
    <row r="1450" spans="1:11" x14ac:dyDescent="0.35">
      <c r="A1450" t="s">
        <v>1939</v>
      </c>
      <c r="B1450" t="s">
        <v>225</v>
      </c>
      <c r="C1450" t="s">
        <v>540</v>
      </c>
      <c r="D1450" t="s">
        <v>673</v>
      </c>
      <c r="E1450" s="1">
        <v>45065</v>
      </c>
      <c r="F1450" s="1">
        <v>45069</v>
      </c>
      <c r="G1450" s="1"/>
      <c r="H1450" t="s">
        <v>8</v>
      </c>
      <c r="I1450">
        <v>300.97000000000003</v>
      </c>
      <c r="J1450" t="s">
        <v>689</v>
      </c>
    </row>
    <row r="1451" spans="1:11" x14ac:dyDescent="0.35">
      <c r="A1451" t="s">
        <v>1668</v>
      </c>
      <c r="B1451" t="s">
        <v>401</v>
      </c>
      <c r="C1451" t="s">
        <v>611</v>
      </c>
      <c r="D1451" t="s">
        <v>629</v>
      </c>
      <c r="E1451" s="1">
        <v>45135</v>
      </c>
      <c r="F1451" s="1">
        <v>45137</v>
      </c>
      <c r="G1451" s="1">
        <v>45148</v>
      </c>
      <c r="H1451" t="s">
        <v>8</v>
      </c>
      <c r="I1451">
        <v>300.41000000000003</v>
      </c>
      <c r="J1451" t="s">
        <v>683</v>
      </c>
      <c r="K1451">
        <v>11</v>
      </c>
    </row>
    <row r="1452" spans="1:11" x14ac:dyDescent="0.35">
      <c r="A1452" t="s">
        <v>2567</v>
      </c>
      <c r="B1452" t="s">
        <v>407</v>
      </c>
      <c r="C1452" t="s">
        <v>611</v>
      </c>
      <c r="D1452" t="s">
        <v>673</v>
      </c>
      <c r="E1452" s="1">
        <v>45041</v>
      </c>
      <c r="F1452" s="1">
        <v>45045</v>
      </c>
      <c r="G1452" s="1">
        <v>45070</v>
      </c>
      <c r="H1452" t="s">
        <v>8</v>
      </c>
      <c r="I1452">
        <v>300.33999999999997</v>
      </c>
      <c r="J1452" t="s">
        <v>683</v>
      </c>
      <c r="K1452">
        <v>25</v>
      </c>
    </row>
    <row r="1453" spans="1:11" x14ac:dyDescent="0.35">
      <c r="A1453" t="s">
        <v>2640</v>
      </c>
      <c r="B1453" t="s">
        <v>269</v>
      </c>
      <c r="C1453" t="s">
        <v>540</v>
      </c>
      <c r="D1453" t="s">
        <v>673</v>
      </c>
      <c r="E1453" s="1">
        <v>45290</v>
      </c>
      <c r="F1453" s="1">
        <v>45295</v>
      </c>
      <c r="G1453" s="1">
        <v>45320</v>
      </c>
      <c r="H1453" t="s">
        <v>20</v>
      </c>
      <c r="I1453">
        <v>299.99</v>
      </c>
      <c r="J1453" t="s">
        <v>683</v>
      </c>
      <c r="K1453">
        <v>25</v>
      </c>
    </row>
    <row r="1454" spans="1:11" x14ac:dyDescent="0.35">
      <c r="A1454" t="s">
        <v>1595</v>
      </c>
      <c r="B1454" t="s">
        <v>243</v>
      </c>
      <c r="C1454" t="s">
        <v>607</v>
      </c>
      <c r="D1454" t="s">
        <v>673</v>
      </c>
      <c r="E1454" s="1">
        <v>45306</v>
      </c>
      <c r="F1454" s="1">
        <v>45311</v>
      </c>
      <c r="G1454" s="1">
        <v>45319</v>
      </c>
      <c r="H1454" t="s">
        <v>13</v>
      </c>
      <c r="I1454">
        <v>299.75</v>
      </c>
      <c r="J1454" t="s">
        <v>683</v>
      </c>
      <c r="K1454">
        <v>8</v>
      </c>
    </row>
    <row r="1455" spans="1:11" x14ac:dyDescent="0.35">
      <c r="A1455" t="s">
        <v>1437</v>
      </c>
      <c r="B1455" t="s">
        <v>360</v>
      </c>
      <c r="C1455" t="s">
        <v>563</v>
      </c>
      <c r="D1455" t="s">
        <v>673</v>
      </c>
      <c r="E1455" s="1">
        <v>45035</v>
      </c>
      <c r="F1455" s="1">
        <v>45039</v>
      </c>
      <c r="G1455" s="1">
        <v>45062</v>
      </c>
      <c r="H1455" t="s">
        <v>11</v>
      </c>
      <c r="I1455">
        <v>298.86</v>
      </c>
      <c r="J1455" t="s">
        <v>683</v>
      </c>
      <c r="K1455">
        <v>23</v>
      </c>
    </row>
    <row r="1456" spans="1:11" x14ac:dyDescent="0.35">
      <c r="A1456" t="s">
        <v>2645</v>
      </c>
      <c r="B1456" t="s">
        <v>103</v>
      </c>
      <c r="C1456" t="s">
        <v>549</v>
      </c>
      <c r="D1456" t="s">
        <v>673</v>
      </c>
      <c r="E1456" s="1">
        <v>45265</v>
      </c>
      <c r="F1456" s="1">
        <v>45266</v>
      </c>
      <c r="G1456" s="1">
        <v>45277</v>
      </c>
      <c r="H1456" t="s">
        <v>20</v>
      </c>
      <c r="I1456">
        <v>298.76</v>
      </c>
      <c r="J1456" t="s">
        <v>687</v>
      </c>
      <c r="K1456">
        <v>11</v>
      </c>
    </row>
    <row r="1457" spans="1:11" x14ac:dyDescent="0.35">
      <c r="A1457" t="s">
        <v>1466</v>
      </c>
      <c r="B1457" t="s">
        <v>285</v>
      </c>
      <c r="C1457" t="s">
        <v>557</v>
      </c>
      <c r="D1457" t="s">
        <v>629</v>
      </c>
      <c r="E1457" s="1">
        <v>45539</v>
      </c>
      <c r="F1457" s="1">
        <v>45540</v>
      </c>
      <c r="G1457" s="1">
        <v>45569</v>
      </c>
      <c r="H1457" t="s">
        <v>13</v>
      </c>
      <c r="I1457">
        <v>298.68</v>
      </c>
      <c r="J1457" t="s">
        <v>687</v>
      </c>
      <c r="K1457">
        <v>29</v>
      </c>
    </row>
    <row r="1458" spans="1:11" x14ac:dyDescent="0.35">
      <c r="A1458" t="s">
        <v>2639</v>
      </c>
      <c r="B1458" t="s">
        <v>471</v>
      </c>
      <c r="C1458" t="s">
        <v>577</v>
      </c>
      <c r="D1458" t="s">
        <v>673</v>
      </c>
      <c r="E1458" s="1">
        <v>45425</v>
      </c>
      <c r="F1458" s="1">
        <v>45426</v>
      </c>
      <c r="G1458" s="1">
        <v>45429</v>
      </c>
      <c r="H1458" t="s">
        <v>25</v>
      </c>
      <c r="I1458">
        <v>298.45</v>
      </c>
      <c r="J1458" t="s">
        <v>683</v>
      </c>
      <c r="K1458">
        <v>3</v>
      </c>
    </row>
    <row r="1459" spans="1:11" x14ac:dyDescent="0.35">
      <c r="A1459" t="s">
        <v>1478</v>
      </c>
      <c r="B1459" t="s">
        <v>268</v>
      </c>
      <c r="C1459" t="s">
        <v>561</v>
      </c>
      <c r="D1459" t="s">
        <v>629</v>
      </c>
      <c r="E1459" s="1">
        <v>45321</v>
      </c>
      <c r="F1459" s="1">
        <v>45322</v>
      </c>
      <c r="G1459" s="1">
        <v>45343</v>
      </c>
      <c r="H1459" t="s">
        <v>11</v>
      </c>
      <c r="I1459">
        <v>297.02</v>
      </c>
      <c r="J1459" t="s">
        <v>683</v>
      </c>
      <c r="K1459">
        <v>21</v>
      </c>
    </row>
    <row r="1460" spans="1:11" x14ac:dyDescent="0.35">
      <c r="A1460" t="s">
        <v>1676</v>
      </c>
      <c r="B1460" t="s">
        <v>351</v>
      </c>
      <c r="C1460" t="s">
        <v>575</v>
      </c>
      <c r="D1460" t="s">
        <v>629</v>
      </c>
      <c r="E1460" s="1">
        <v>45559</v>
      </c>
      <c r="F1460" s="1">
        <v>45561</v>
      </c>
      <c r="G1460" s="1">
        <v>45571</v>
      </c>
      <c r="H1460" t="s">
        <v>11</v>
      </c>
      <c r="I1460">
        <v>296.77999999999997</v>
      </c>
      <c r="J1460" t="s">
        <v>683</v>
      </c>
      <c r="K1460">
        <v>10</v>
      </c>
    </row>
    <row r="1461" spans="1:11" x14ac:dyDescent="0.35">
      <c r="A1461" t="s">
        <v>1287</v>
      </c>
      <c r="B1461" t="s">
        <v>271</v>
      </c>
      <c r="C1461" t="s">
        <v>571</v>
      </c>
      <c r="D1461" t="s">
        <v>673</v>
      </c>
      <c r="E1461" s="1">
        <v>45010</v>
      </c>
      <c r="F1461" s="1">
        <v>45011</v>
      </c>
      <c r="G1461" s="1">
        <v>45029</v>
      </c>
      <c r="H1461" t="s">
        <v>8</v>
      </c>
      <c r="I1461">
        <v>296.62</v>
      </c>
      <c r="J1461" t="s">
        <v>683</v>
      </c>
      <c r="K1461">
        <v>18</v>
      </c>
    </row>
    <row r="1462" spans="1:11" x14ac:dyDescent="0.35">
      <c r="A1462" t="s">
        <v>1018</v>
      </c>
      <c r="B1462" t="s">
        <v>338</v>
      </c>
      <c r="C1462" t="s">
        <v>581</v>
      </c>
      <c r="D1462" t="s">
        <v>673</v>
      </c>
      <c r="E1462" s="1">
        <v>45654</v>
      </c>
      <c r="F1462" s="1">
        <v>45658</v>
      </c>
      <c r="G1462" s="1">
        <v>45676</v>
      </c>
      <c r="H1462" t="s">
        <v>8</v>
      </c>
      <c r="I1462">
        <v>296.52</v>
      </c>
      <c r="J1462" t="s">
        <v>683</v>
      </c>
      <c r="K1462">
        <v>18</v>
      </c>
    </row>
    <row r="1463" spans="1:11" x14ac:dyDescent="0.35">
      <c r="A1463" t="s">
        <v>2203</v>
      </c>
      <c r="B1463" t="s">
        <v>201</v>
      </c>
      <c r="C1463" t="s">
        <v>587</v>
      </c>
      <c r="D1463" t="s">
        <v>673</v>
      </c>
      <c r="E1463" s="1">
        <v>45196</v>
      </c>
      <c r="F1463" s="1">
        <v>45198</v>
      </c>
      <c r="G1463" s="1">
        <v>45221</v>
      </c>
      <c r="H1463" t="s">
        <v>8</v>
      </c>
      <c r="I1463">
        <v>296.47000000000003</v>
      </c>
      <c r="J1463" t="s">
        <v>683</v>
      </c>
      <c r="K1463">
        <v>23</v>
      </c>
    </row>
    <row r="1464" spans="1:11" x14ac:dyDescent="0.35">
      <c r="A1464" t="s">
        <v>2601</v>
      </c>
      <c r="B1464" t="s">
        <v>315</v>
      </c>
      <c r="C1464" t="s">
        <v>575</v>
      </c>
      <c r="D1464" t="s">
        <v>629</v>
      </c>
      <c r="E1464" s="1">
        <v>45486</v>
      </c>
      <c r="F1464" s="1">
        <v>45491</v>
      </c>
      <c r="G1464" s="1">
        <v>45496</v>
      </c>
      <c r="H1464" t="s">
        <v>13</v>
      </c>
      <c r="I1464">
        <v>295.68</v>
      </c>
      <c r="J1464" t="s">
        <v>687</v>
      </c>
      <c r="K1464">
        <v>5</v>
      </c>
    </row>
    <row r="1465" spans="1:11" x14ac:dyDescent="0.35">
      <c r="A1465" t="s">
        <v>2579</v>
      </c>
      <c r="B1465" t="s">
        <v>434</v>
      </c>
      <c r="C1465" t="s">
        <v>583</v>
      </c>
      <c r="D1465" t="s">
        <v>673</v>
      </c>
      <c r="E1465" s="1">
        <v>45044</v>
      </c>
      <c r="F1465" s="1">
        <v>45045</v>
      </c>
      <c r="G1465" s="1">
        <v>45065</v>
      </c>
      <c r="H1465" t="s">
        <v>11</v>
      </c>
      <c r="I1465">
        <v>293.38</v>
      </c>
      <c r="J1465" t="s">
        <v>683</v>
      </c>
      <c r="K1465">
        <v>20</v>
      </c>
    </row>
    <row r="1466" spans="1:11" x14ac:dyDescent="0.35">
      <c r="A1466" t="s">
        <v>1372</v>
      </c>
      <c r="B1466" t="s">
        <v>495</v>
      </c>
      <c r="C1466" t="s">
        <v>605</v>
      </c>
      <c r="D1466" t="s">
        <v>673</v>
      </c>
      <c r="E1466" s="1">
        <v>45353</v>
      </c>
      <c r="F1466" s="1">
        <v>45356</v>
      </c>
      <c r="G1466" s="1">
        <v>45375</v>
      </c>
      <c r="H1466" t="s">
        <v>13</v>
      </c>
      <c r="I1466">
        <v>293.22000000000003</v>
      </c>
      <c r="J1466" t="s">
        <v>683</v>
      </c>
      <c r="K1466">
        <v>19</v>
      </c>
    </row>
    <row r="1467" spans="1:11" x14ac:dyDescent="0.35">
      <c r="A1467" t="s">
        <v>801</v>
      </c>
      <c r="B1467" t="s">
        <v>394</v>
      </c>
      <c r="C1467" t="s">
        <v>581</v>
      </c>
      <c r="D1467" t="s">
        <v>629</v>
      </c>
      <c r="E1467" s="1">
        <v>45114</v>
      </c>
      <c r="F1467" s="1">
        <v>45118</v>
      </c>
      <c r="G1467" s="1">
        <v>45137</v>
      </c>
      <c r="H1467" t="s">
        <v>8</v>
      </c>
      <c r="I1467">
        <v>292.60000000000002</v>
      </c>
      <c r="J1467" t="s">
        <v>683</v>
      </c>
      <c r="K1467">
        <v>19</v>
      </c>
    </row>
    <row r="1468" spans="1:11" x14ac:dyDescent="0.35">
      <c r="A1468" t="s">
        <v>2144</v>
      </c>
      <c r="B1468" t="s">
        <v>225</v>
      </c>
      <c r="C1468" t="s">
        <v>595</v>
      </c>
      <c r="D1468" t="s">
        <v>673</v>
      </c>
      <c r="E1468" s="1">
        <v>45406</v>
      </c>
      <c r="F1468" s="1">
        <v>45407</v>
      </c>
      <c r="G1468" s="1">
        <v>45436</v>
      </c>
      <c r="H1468" t="s">
        <v>8</v>
      </c>
      <c r="I1468">
        <v>292.49</v>
      </c>
      <c r="J1468" t="s">
        <v>683</v>
      </c>
      <c r="K1468">
        <v>29</v>
      </c>
    </row>
    <row r="1469" spans="1:11" x14ac:dyDescent="0.35">
      <c r="A1469" t="s">
        <v>1664</v>
      </c>
      <c r="B1469" t="s">
        <v>294</v>
      </c>
      <c r="C1469" t="s">
        <v>569</v>
      </c>
      <c r="D1469" t="s">
        <v>673</v>
      </c>
      <c r="E1469" s="1">
        <v>45080</v>
      </c>
      <c r="F1469" s="1">
        <v>45082</v>
      </c>
      <c r="G1469" s="1"/>
      <c r="H1469" t="s">
        <v>11</v>
      </c>
      <c r="I1469">
        <v>291.76</v>
      </c>
      <c r="J1469" t="s">
        <v>689</v>
      </c>
    </row>
    <row r="1470" spans="1:11" x14ac:dyDescent="0.35">
      <c r="A1470" t="s">
        <v>1303</v>
      </c>
      <c r="B1470" t="s">
        <v>29</v>
      </c>
      <c r="C1470" t="s">
        <v>561</v>
      </c>
      <c r="D1470" t="s">
        <v>673</v>
      </c>
      <c r="E1470" s="1">
        <v>45466</v>
      </c>
      <c r="F1470" s="1">
        <v>45467</v>
      </c>
      <c r="G1470" s="1">
        <v>45481</v>
      </c>
      <c r="H1470" t="s">
        <v>8</v>
      </c>
      <c r="I1470">
        <v>291.64999999999998</v>
      </c>
      <c r="J1470" t="s">
        <v>683</v>
      </c>
      <c r="K1470">
        <v>14</v>
      </c>
    </row>
    <row r="1471" spans="1:11" x14ac:dyDescent="0.35">
      <c r="A1471" t="s">
        <v>1451</v>
      </c>
      <c r="B1471" t="s">
        <v>502</v>
      </c>
      <c r="C1471" t="s">
        <v>559</v>
      </c>
      <c r="D1471" t="s">
        <v>629</v>
      </c>
      <c r="E1471" s="1">
        <v>45409</v>
      </c>
      <c r="F1471" s="1">
        <v>45414</v>
      </c>
      <c r="G1471" s="1">
        <v>45419</v>
      </c>
      <c r="H1471" t="s">
        <v>13</v>
      </c>
      <c r="I1471">
        <v>291.04000000000002</v>
      </c>
      <c r="J1471" t="s">
        <v>683</v>
      </c>
      <c r="K1471">
        <v>5</v>
      </c>
    </row>
    <row r="1472" spans="1:11" x14ac:dyDescent="0.35">
      <c r="A1472" t="s">
        <v>1577</v>
      </c>
      <c r="B1472" t="s">
        <v>41</v>
      </c>
      <c r="C1472" t="s">
        <v>573</v>
      </c>
      <c r="D1472" t="s">
        <v>673</v>
      </c>
      <c r="E1472" s="1">
        <v>45340</v>
      </c>
      <c r="F1472" s="1">
        <v>45345</v>
      </c>
      <c r="G1472" s="1">
        <v>45373</v>
      </c>
      <c r="H1472" t="s">
        <v>11</v>
      </c>
      <c r="I1472">
        <v>290.85000000000002</v>
      </c>
      <c r="J1472" t="s">
        <v>683</v>
      </c>
      <c r="K1472">
        <v>28</v>
      </c>
    </row>
    <row r="1473" spans="1:11" x14ac:dyDescent="0.35">
      <c r="A1473" t="s">
        <v>737</v>
      </c>
      <c r="B1473" t="s">
        <v>416</v>
      </c>
      <c r="C1473" t="s">
        <v>527</v>
      </c>
      <c r="D1473" t="s">
        <v>629</v>
      </c>
      <c r="E1473" s="1">
        <v>45240</v>
      </c>
      <c r="F1473" s="1">
        <v>45241</v>
      </c>
      <c r="G1473" s="1">
        <v>45270</v>
      </c>
      <c r="H1473" t="s">
        <v>13</v>
      </c>
      <c r="I1473">
        <v>290.11</v>
      </c>
      <c r="J1473" t="s">
        <v>683</v>
      </c>
      <c r="K1473">
        <v>29</v>
      </c>
    </row>
    <row r="1474" spans="1:11" x14ac:dyDescent="0.35">
      <c r="A1474" t="s">
        <v>888</v>
      </c>
      <c r="B1474" t="s">
        <v>421</v>
      </c>
      <c r="C1474" t="s">
        <v>607</v>
      </c>
      <c r="D1474" t="s">
        <v>673</v>
      </c>
      <c r="E1474" s="1">
        <v>44948</v>
      </c>
      <c r="F1474" s="1">
        <v>44950</v>
      </c>
      <c r="G1474" s="1">
        <v>44975</v>
      </c>
      <c r="H1474" t="s">
        <v>8</v>
      </c>
      <c r="I1474">
        <v>289.08999999999997</v>
      </c>
      <c r="J1474" t="s">
        <v>683</v>
      </c>
      <c r="K1474">
        <v>25</v>
      </c>
    </row>
    <row r="1475" spans="1:11" x14ac:dyDescent="0.35">
      <c r="A1475" t="s">
        <v>2138</v>
      </c>
      <c r="B1475" t="s">
        <v>343</v>
      </c>
      <c r="C1475" t="s">
        <v>543</v>
      </c>
      <c r="D1475" t="s">
        <v>673</v>
      </c>
      <c r="E1475" s="1">
        <v>44958</v>
      </c>
      <c r="F1475" s="1">
        <v>44959</v>
      </c>
      <c r="G1475" s="1">
        <v>44972</v>
      </c>
      <c r="H1475" t="s">
        <v>8</v>
      </c>
      <c r="I1475">
        <v>288.64</v>
      </c>
      <c r="J1475" t="s">
        <v>683</v>
      </c>
      <c r="K1475">
        <v>13</v>
      </c>
    </row>
    <row r="1476" spans="1:11" x14ac:dyDescent="0.35">
      <c r="A1476" t="s">
        <v>1944</v>
      </c>
      <c r="B1476" t="s">
        <v>348</v>
      </c>
      <c r="C1476" t="s">
        <v>531</v>
      </c>
      <c r="D1476" t="s">
        <v>629</v>
      </c>
      <c r="E1476" s="1">
        <v>45237</v>
      </c>
      <c r="F1476" s="1">
        <v>45241</v>
      </c>
      <c r="G1476" s="1">
        <v>45256</v>
      </c>
      <c r="H1476" t="s">
        <v>8</v>
      </c>
      <c r="I1476">
        <v>287.97000000000003</v>
      </c>
      <c r="J1476" t="s">
        <v>683</v>
      </c>
      <c r="K1476">
        <v>15</v>
      </c>
    </row>
    <row r="1477" spans="1:11" x14ac:dyDescent="0.35">
      <c r="A1477" t="s">
        <v>1847</v>
      </c>
      <c r="B1477" t="s">
        <v>112</v>
      </c>
      <c r="C1477" t="s">
        <v>571</v>
      </c>
      <c r="D1477" t="s">
        <v>629</v>
      </c>
      <c r="E1477" s="1">
        <v>45534</v>
      </c>
      <c r="F1477" s="1">
        <v>45537</v>
      </c>
      <c r="G1477" s="1">
        <v>45549</v>
      </c>
      <c r="H1477" t="s">
        <v>13</v>
      </c>
      <c r="I1477">
        <v>287.93</v>
      </c>
      <c r="J1477" t="s">
        <v>683</v>
      </c>
      <c r="K1477">
        <v>12</v>
      </c>
    </row>
    <row r="1478" spans="1:11" x14ac:dyDescent="0.35">
      <c r="A1478" t="s">
        <v>1115</v>
      </c>
      <c r="B1478" t="s">
        <v>72</v>
      </c>
      <c r="C1478" t="s">
        <v>589</v>
      </c>
      <c r="D1478" t="s">
        <v>629</v>
      </c>
      <c r="E1478" s="1">
        <v>45324</v>
      </c>
      <c r="F1478" s="1">
        <v>45329</v>
      </c>
      <c r="G1478" s="1">
        <v>45357</v>
      </c>
      <c r="H1478" t="s">
        <v>20</v>
      </c>
      <c r="I1478">
        <v>287.3</v>
      </c>
      <c r="J1478" t="s">
        <v>683</v>
      </c>
      <c r="K1478">
        <v>28</v>
      </c>
    </row>
    <row r="1479" spans="1:11" x14ac:dyDescent="0.35">
      <c r="A1479" t="s">
        <v>1710</v>
      </c>
      <c r="B1479" t="s">
        <v>179</v>
      </c>
      <c r="C1479" t="s">
        <v>583</v>
      </c>
      <c r="D1479" t="s">
        <v>629</v>
      </c>
      <c r="E1479" s="1">
        <v>45639</v>
      </c>
      <c r="F1479" s="1">
        <v>45642</v>
      </c>
      <c r="G1479" s="1">
        <v>45655</v>
      </c>
      <c r="H1479" t="s">
        <v>11</v>
      </c>
      <c r="I1479">
        <v>286.02999999999997</v>
      </c>
      <c r="J1479" t="s">
        <v>683</v>
      </c>
      <c r="K1479">
        <v>13</v>
      </c>
    </row>
    <row r="1480" spans="1:11" x14ac:dyDescent="0.35">
      <c r="A1480" t="s">
        <v>1122</v>
      </c>
      <c r="B1480" t="s">
        <v>109</v>
      </c>
      <c r="C1480" t="s">
        <v>607</v>
      </c>
      <c r="D1480" t="s">
        <v>673</v>
      </c>
      <c r="E1480" s="1">
        <v>45246</v>
      </c>
      <c r="F1480" s="1">
        <v>45247</v>
      </c>
      <c r="G1480" s="1">
        <v>45277</v>
      </c>
      <c r="H1480" t="s">
        <v>11</v>
      </c>
      <c r="I1480">
        <v>285.48</v>
      </c>
      <c r="J1480" t="s">
        <v>683</v>
      </c>
      <c r="K1480">
        <v>30</v>
      </c>
    </row>
    <row r="1481" spans="1:11" x14ac:dyDescent="0.35">
      <c r="A1481" t="s">
        <v>753</v>
      </c>
      <c r="B1481" t="s">
        <v>461</v>
      </c>
      <c r="C1481" t="s">
        <v>561</v>
      </c>
      <c r="D1481" t="s">
        <v>673</v>
      </c>
      <c r="E1481" s="1">
        <v>45044</v>
      </c>
      <c r="F1481" s="1">
        <v>45049</v>
      </c>
      <c r="G1481" s="1"/>
      <c r="H1481" t="s">
        <v>13</v>
      </c>
      <c r="I1481">
        <v>284.75</v>
      </c>
      <c r="J1481" t="s">
        <v>689</v>
      </c>
    </row>
    <row r="1482" spans="1:11" x14ac:dyDescent="0.35">
      <c r="A1482" t="s">
        <v>1377</v>
      </c>
      <c r="B1482" t="s">
        <v>430</v>
      </c>
      <c r="C1482" t="s">
        <v>531</v>
      </c>
      <c r="D1482" t="s">
        <v>629</v>
      </c>
      <c r="E1482" s="1">
        <v>45502</v>
      </c>
      <c r="F1482" s="1">
        <v>45505</v>
      </c>
      <c r="G1482" s="1">
        <v>45522</v>
      </c>
      <c r="H1482" t="s">
        <v>20</v>
      </c>
      <c r="I1482">
        <v>283.69</v>
      </c>
      <c r="J1482" t="s">
        <v>687</v>
      </c>
      <c r="K1482">
        <v>17</v>
      </c>
    </row>
    <row r="1483" spans="1:11" x14ac:dyDescent="0.35">
      <c r="A1483" t="s">
        <v>2326</v>
      </c>
      <c r="B1483" t="s">
        <v>59</v>
      </c>
      <c r="C1483" t="s">
        <v>577</v>
      </c>
      <c r="D1483" t="s">
        <v>673</v>
      </c>
      <c r="E1483" s="1">
        <v>45074</v>
      </c>
      <c r="F1483" s="1">
        <v>45079</v>
      </c>
      <c r="G1483" s="1">
        <v>45102</v>
      </c>
      <c r="H1483" t="s">
        <v>25</v>
      </c>
      <c r="I1483">
        <v>283.06</v>
      </c>
      <c r="J1483" t="s">
        <v>683</v>
      </c>
      <c r="K1483">
        <v>23</v>
      </c>
    </row>
    <row r="1484" spans="1:11" x14ac:dyDescent="0.35">
      <c r="A1484" t="s">
        <v>2219</v>
      </c>
      <c r="B1484" t="s">
        <v>362</v>
      </c>
      <c r="C1484" t="s">
        <v>553</v>
      </c>
      <c r="D1484" t="s">
        <v>629</v>
      </c>
      <c r="E1484" s="1">
        <v>45642</v>
      </c>
      <c r="F1484" s="1">
        <v>45646</v>
      </c>
      <c r="G1484" s="1">
        <v>45660</v>
      </c>
      <c r="H1484" t="s">
        <v>25</v>
      </c>
      <c r="I1484">
        <v>282.98</v>
      </c>
      <c r="J1484" t="s">
        <v>683</v>
      </c>
      <c r="K1484">
        <v>14</v>
      </c>
    </row>
    <row r="1485" spans="1:11" x14ac:dyDescent="0.35">
      <c r="A1485" t="s">
        <v>845</v>
      </c>
      <c r="B1485" t="s">
        <v>382</v>
      </c>
      <c r="C1485" t="s">
        <v>611</v>
      </c>
      <c r="D1485" t="s">
        <v>629</v>
      </c>
      <c r="E1485" s="1">
        <v>45418</v>
      </c>
      <c r="F1485" s="1">
        <v>45423</v>
      </c>
      <c r="G1485" s="1">
        <v>45447</v>
      </c>
      <c r="H1485" t="s">
        <v>8</v>
      </c>
      <c r="I1485">
        <v>282.7</v>
      </c>
      <c r="J1485" t="s">
        <v>683</v>
      </c>
      <c r="K1485">
        <v>24</v>
      </c>
    </row>
    <row r="1486" spans="1:11" x14ac:dyDescent="0.35">
      <c r="A1486" t="s">
        <v>1957</v>
      </c>
      <c r="B1486" t="s">
        <v>160</v>
      </c>
      <c r="C1486" t="s">
        <v>534</v>
      </c>
      <c r="D1486" t="s">
        <v>673</v>
      </c>
      <c r="E1486" s="1">
        <v>45446</v>
      </c>
      <c r="F1486" s="1">
        <v>45448</v>
      </c>
      <c r="G1486" s="1">
        <v>45452</v>
      </c>
      <c r="H1486" t="s">
        <v>20</v>
      </c>
      <c r="I1486">
        <v>279.61</v>
      </c>
      <c r="J1486" t="s">
        <v>683</v>
      </c>
      <c r="K1486">
        <v>4</v>
      </c>
    </row>
    <row r="1487" spans="1:11" x14ac:dyDescent="0.35">
      <c r="A1487" t="s">
        <v>1947</v>
      </c>
      <c r="B1487" t="s">
        <v>482</v>
      </c>
      <c r="C1487" t="s">
        <v>534</v>
      </c>
      <c r="D1487" t="s">
        <v>673</v>
      </c>
      <c r="E1487" s="1">
        <v>45186</v>
      </c>
      <c r="F1487" s="1">
        <v>45189</v>
      </c>
      <c r="G1487" s="1">
        <v>45198</v>
      </c>
      <c r="H1487" t="s">
        <v>25</v>
      </c>
      <c r="I1487">
        <v>278.95</v>
      </c>
      <c r="J1487" t="s">
        <v>683</v>
      </c>
      <c r="K1487">
        <v>9</v>
      </c>
    </row>
    <row r="1488" spans="1:11" x14ac:dyDescent="0.35">
      <c r="A1488" t="s">
        <v>1394</v>
      </c>
      <c r="B1488" t="s">
        <v>497</v>
      </c>
      <c r="C1488" t="s">
        <v>565</v>
      </c>
      <c r="D1488" t="s">
        <v>629</v>
      </c>
      <c r="E1488" s="1">
        <v>45483</v>
      </c>
      <c r="F1488" s="1">
        <v>45487</v>
      </c>
      <c r="G1488" s="1">
        <v>45492</v>
      </c>
      <c r="H1488" t="s">
        <v>13</v>
      </c>
      <c r="I1488">
        <v>278.36</v>
      </c>
      <c r="J1488" t="s">
        <v>683</v>
      </c>
      <c r="K1488">
        <v>5</v>
      </c>
    </row>
    <row r="1489" spans="1:11" x14ac:dyDescent="0.35">
      <c r="A1489" t="s">
        <v>762</v>
      </c>
      <c r="B1489" t="s">
        <v>56</v>
      </c>
      <c r="C1489" t="s">
        <v>563</v>
      </c>
      <c r="D1489" t="s">
        <v>629</v>
      </c>
      <c r="E1489" s="1">
        <v>45485</v>
      </c>
      <c r="F1489" s="1">
        <v>45490</v>
      </c>
      <c r="G1489" s="1">
        <v>45501</v>
      </c>
      <c r="H1489" t="s">
        <v>11</v>
      </c>
      <c r="I1489">
        <v>278.19</v>
      </c>
      <c r="J1489" t="s">
        <v>683</v>
      </c>
      <c r="K1489">
        <v>11</v>
      </c>
    </row>
    <row r="1490" spans="1:11" x14ac:dyDescent="0.35">
      <c r="A1490" t="s">
        <v>1123</v>
      </c>
      <c r="B1490" t="s">
        <v>366</v>
      </c>
      <c r="C1490" t="s">
        <v>559</v>
      </c>
      <c r="D1490" t="s">
        <v>629</v>
      </c>
      <c r="E1490" s="1">
        <v>45599</v>
      </c>
      <c r="F1490" s="1">
        <v>45603</v>
      </c>
      <c r="G1490" s="1">
        <v>45612</v>
      </c>
      <c r="H1490" t="s">
        <v>8</v>
      </c>
      <c r="I1490">
        <v>277.69</v>
      </c>
      <c r="J1490" t="s">
        <v>683</v>
      </c>
      <c r="K1490">
        <v>9</v>
      </c>
    </row>
    <row r="1491" spans="1:11" x14ac:dyDescent="0.35">
      <c r="A1491" t="s">
        <v>795</v>
      </c>
      <c r="B1491" t="s">
        <v>145</v>
      </c>
      <c r="C1491" t="s">
        <v>563</v>
      </c>
      <c r="D1491" t="s">
        <v>673</v>
      </c>
      <c r="E1491" s="1">
        <v>45567</v>
      </c>
      <c r="F1491" s="1">
        <v>45569</v>
      </c>
      <c r="G1491" s="1">
        <v>45573</v>
      </c>
      <c r="H1491" t="s">
        <v>8</v>
      </c>
      <c r="I1491">
        <v>277.14</v>
      </c>
      <c r="J1491" t="s">
        <v>683</v>
      </c>
      <c r="K1491">
        <v>4</v>
      </c>
    </row>
    <row r="1492" spans="1:11" x14ac:dyDescent="0.35">
      <c r="A1492" t="s">
        <v>785</v>
      </c>
      <c r="B1492" t="s">
        <v>385</v>
      </c>
      <c r="C1492" t="s">
        <v>595</v>
      </c>
      <c r="D1492" t="s">
        <v>673</v>
      </c>
      <c r="E1492" s="1">
        <v>44975</v>
      </c>
      <c r="F1492" s="1">
        <v>44977</v>
      </c>
      <c r="G1492" s="1">
        <v>45004</v>
      </c>
      <c r="H1492" t="s">
        <v>20</v>
      </c>
      <c r="I1492">
        <v>276.97000000000003</v>
      </c>
      <c r="J1492" t="s">
        <v>683</v>
      </c>
      <c r="K1492">
        <v>27</v>
      </c>
    </row>
    <row r="1493" spans="1:11" x14ac:dyDescent="0.35">
      <c r="A1493" t="s">
        <v>1678</v>
      </c>
      <c r="B1493" t="s">
        <v>38</v>
      </c>
      <c r="C1493" t="s">
        <v>524</v>
      </c>
      <c r="D1493" t="s">
        <v>673</v>
      </c>
      <c r="E1493" s="1">
        <v>45545</v>
      </c>
      <c r="F1493" s="1">
        <v>45546</v>
      </c>
      <c r="G1493" s="1">
        <v>45557</v>
      </c>
      <c r="H1493" t="s">
        <v>8</v>
      </c>
      <c r="I1493">
        <v>276.14999999999998</v>
      </c>
      <c r="J1493" t="s">
        <v>683</v>
      </c>
      <c r="K1493">
        <v>11</v>
      </c>
    </row>
    <row r="1494" spans="1:11" x14ac:dyDescent="0.35">
      <c r="A1494" t="s">
        <v>1282</v>
      </c>
      <c r="B1494" t="s">
        <v>92</v>
      </c>
      <c r="C1494" t="s">
        <v>605</v>
      </c>
      <c r="D1494" t="s">
        <v>629</v>
      </c>
      <c r="E1494" s="1">
        <v>45346</v>
      </c>
      <c r="F1494" s="1">
        <v>45349</v>
      </c>
      <c r="G1494" s="1">
        <v>45364</v>
      </c>
      <c r="H1494" t="s">
        <v>25</v>
      </c>
      <c r="I1494">
        <v>275.93</v>
      </c>
      <c r="J1494" t="s">
        <v>687</v>
      </c>
      <c r="K1494">
        <v>15</v>
      </c>
    </row>
    <row r="1495" spans="1:11" x14ac:dyDescent="0.35">
      <c r="A1495" t="s">
        <v>1637</v>
      </c>
      <c r="B1495" t="s">
        <v>106</v>
      </c>
      <c r="C1495" t="s">
        <v>577</v>
      </c>
      <c r="D1495" t="s">
        <v>673</v>
      </c>
      <c r="E1495" s="1">
        <v>45490</v>
      </c>
      <c r="F1495" s="1">
        <v>45495</v>
      </c>
      <c r="G1495" s="1">
        <v>45508</v>
      </c>
      <c r="H1495" t="s">
        <v>11</v>
      </c>
      <c r="I1495">
        <v>275.49</v>
      </c>
      <c r="J1495" t="s">
        <v>683</v>
      </c>
      <c r="K1495">
        <v>13</v>
      </c>
    </row>
    <row r="1496" spans="1:11" x14ac:dyDescent="0.35">
      <c r="A1496" t="s">
        <v>1559</v>
      </c>
      <c r="B1496" t="s">
        <v>165</v>
      </c>
      <c r="C1496" t="s">
        <v>599</v>
      </c>
      <c r="D1496" t="s">
        <v>629</v>
      </c>
      <c r="E1496" s="1">
        <v>44927</v>
      </c>
      <c r="F1496" s="1">
        <v>44930</v>
      </c>
      <c r="G1496" s="1">
        <v>44946</v>
      </c>
      <c r="H1496" t="s">
        <v>25</v>
      </c>
      <c r="I1496">
        <v>275.45999999999998</v>
      </c>
      <c r="J1496" t="s">
        <v>687</v>
      </c>
      <c r="K1496">
        <v>16</v>
      </c>
    </row>
    <row r="1497" spans="1:11" x14ac:dyDescent="0.35">
      <c r="A1497" t="s">
        <v>1384</v>
      </c>
      <c r="B1497" t="s">
        <v>5</v>
      </c>
      <c r="C1497" t="s">
        <v>573</v>
      </c>
      <c r="D1497" t="s">
        <v>673</v>
      </c>
      <c r="E1497" s="1">
        <v>45412</v>
      </c>
      <c r="F1497" s="1">
        <v>45415</v>
      </c>
      <c r="G1497" s="1">
        <v>45429</v>
      </c>
      <c r="H1497" t="s">
        <v>8</v>
      </c>
      <c r="I1497">
        <v>275.18</v>
      </c>
      <c r="J1497" t="s">
        <v>683</v>
      </c>
      <c r="K1497">
        <v>14</v>
      </c>
    </row>
    <row r="1498" spans="1:11" x14ac:dyDescent="0.35">
      <c r="A1498" t="s">
        <v>716</v>
      </c>
      <c r="B1498" t="s">
        <v>311</v>
      </c>
      <c r="C1498" t="s">
        <v>577</v>
      </c>
      <c r="D1498" t="s">
        <v>673</v>
      </c>
      <c r="E1498" s="1">
        <v>45452</v>
      </c>
      <c r="F1498" s="1">
        <v>45457</v>
      </c>
      <c r="G1498" s="1">
        <v>45480</v>
      </c>
      <c r="H1498" t="s">
        <v>25</v>
      </c>
      <c r="I1498">
        <v>274.94</v>
      </c>
      <c r="J1498" t="s">
        <v>687</v>
      </c>
      <c r="K1498">
        <v>23</v>
      </c>
    </row>
    <row r="1499" spans="1:11" x14ac:dyDescent="0.35">
      <c r="A1499" t="s">
        <v>775</v>
      </c>
      <c r="B1499" t="s">
        <v>234</v>
      </c>
      <c r="C1499" t="s">
        <v>567</v>
      </c>
      <c r="D1499" t="s">
        <v>673</v>
      </c>
      <c r="E1499" s="1">
        <v>45551</v>
      </c>
      <c r="F1499" s="1">
        <v>45553</v>
      </c>
      <c r="G1499" s="1"/>
      <c r="H1499" t="s">
        <v>20</v>
      </c>
      <c r="I1499">
        <v>274.26</v>
      </c>
      <c r="J1499" t="s">
        <v>689</v>
      </c>
    </row>
    <row r="1500" spans="1:11" x14ac:dyDescent="0.35">
      <c r="A1500" t="s">
        <v>1040</v>
      </c>
      <c r="B1500" t="s">
        <v>356</v>
      </c>
      <c r="C1500" t="s">
        <v>581</v>
      </c>
      <c r="D1500" t="s">
        <v>629</v>
      </c>
      <c r="E1500" s="1">
        <v>45546</v>
      </c>
      <c r="F1500" s="1">
        <v>45548</v>
      </c>
      <c r="G1500" s="1">
        <v>45554</v>
      </c>
      <c r="H1500" t="s">
        <v>13</v>
      </c>
      <c r="I1500">
        <v>273.95999999999998</v>
      </c>
      <c r="J1500" t="s">
        <v>687</v>
      </c>
      <c r="K1500">
        <v>6</v>
      </c>
    </row>
    <row r="1501" spans="1:11" x14ac:dyDescent="0.35">
      <c r="A1501" t="s">
        <v>2103</v>
      </c>
      <c r="B1501" t="s">
        <v>494</v>
      </c>
      <c r="C1501" t="s">
        <v>565</v>
      </c>
      <c r="D1501" t="s">
        <v>629</v>
      </c>
      <c r="E1501" s="1">
        <v>45541</v>
      </c>
      <c r="F1501" s="1">
        <v>45542</v>
      </c>
      <c r="G1501" s="1">
        <v>45571</v>
      </c>
      <c r="H1501" t="s">
        <v>11</v>
      </c>
      <c r="I1501">
        <v>273.64999999999998</v>
      </c>
      <c r="J1501" t="s">
        <v>683</v>
      </c>
      <c r="K1501">
        <v>29</v>
      </c>
    </row>
    <row r="1502" spans="1:11" x14ac:dyDescent="0.35">
      <c r="A1502" t="s">
        <v>780</v>
      </c>
      <c r="B1502" t="s">
        <v>362</v>
      </c>
      <c r="C1502" t="s">
        <v>587</v>
      </c>
      <c r="D1502" t="s">
        <v>629</v>
      </c>
      <c r="E1502" s="1">
        <v>45352</v>
      </c>
      <c r="F1502" s="1">
        <v>45353</v>
      </c>
      <c r="G1502" s="1">
        <v>45371</v>
      </c>
      <c r="H1502" t="s">
        <v>25</v>
      </c>
      <c r="I1502">
        <v>273.27999999999997</v>
      </c>
      <c r="J1502" t="s">
        <v>683</v>
      </c>
      <c r="K1502">
        <v>18</v>
      </c>
    </row>
    <row r="1503" spans="1:11" x14ac:dyDescent="0.35">
      <c r="A1503" t="s">
        <v>1734</v>
      </c>
      <c r="B1503" t="s">
        <v>30</v>
      </c>
      <c r="C1503" t="s">
        <v>534</v>
      </c>
      <c r="D1503" t="s">
        <v>673</v>
      </c>
      <c r="E1503" s="1">
        <v>45255</v>
      </c>
      <c r="F1503" s="1">
        <v>45258</v>
      </c>
      <c r="G1503" s="1">
        <v>45264</v>
      </c>
      <c r="H1503" t="s">
        <v>13</v>
      </c>
      <c r="I1503">
        <v>272.31</v>
      </c>
      <c r="J1503" t="s">
        <v>687</v>
      </c>
      <c r="K1503">
        <v>6</v>
      </c>
    </row>
    <row r="1504" spans="1:11" x14ac:dyDescent="0.35">
      <c r="A1504" t="s">
        <v>2315</v>
      </c>
      <c r="B1504" t="s">
        <v>114</v>
      </c>
      <c r="C1504" t="s">
        <v>559</v>
      </c>
      <c r="D1504" t="s">
        <v>673</v>
      </c>
      <c r="E1504" s="1">
        <v>45092</v>
      </c>
      <c r="F1504" s="1">
        <v>45097</v>
      </c>
      <c r="G1504" s="1">
        <v>45109</v>
      </c>
      <c r="H1504" t="s">
        <v>20</v>
      </c>
      <c r="I1504">
        <v>272</v>
      </c>
      <c r="J1504" t="s">
        <v>683</v>
      </c>
      <c r="K1504">
        <v>12</v>
      </c>
    </row>
    <row r="1505" spans="1:11" x14ac:dyDescent="0.35">
      <c r="A1505" t="s">
        <v>2365</v>
      </c>
      <c r="B1505" t="s">
        <v>511</v>
      </c>
      <c r="C1505" t="s">
        <v>521</v>
      </c>
      <c r="D1505" t="s">
        <v>673</v>
      </c>
      <c r="E1505" s="1">
        <v>44933</v>
      </c>
      <c r="F1505" s="1">
        <v>44938</v>
      </c>
      <c r="G1505" s="1">
        <v>44955</v>
      </c>
      <c r="H1505" t="s">
        <v>11</v>
      </c>
      <c r="I1505">
        <v>271.02</v>
      </c>
      <c r="J1505" t="s">
        <v>683</v>
      </c>
      <c r="K1505">
        <v>17</v>
      </c>
    </row>
    <row r="1506" spans="1:11" x14ac:dyDescent="0.35">
      <c r="A1506" t="s">
        <v>1977</v>
      </c>
      <c r="B1506" t="s">
        <v>95</v>
      </c>
      <c r="C1506" t="s">
        <v>575</v>
      </c>
      <c r="D1506" t="s">
        <v>673</v>
      </c>
      <c r="E1506" s="1">
        <v>45474</v>
      </c>
      <c r="F1506" s="1">
        <v>45475</v>
      </c>
      <c r="G1506" s="1">
        <v>45491</v>
      </c>
      <c r="H1506" t="s">
        <v>20</v>
      </c>
      <c r="I1506">
        <v>270.04000000000002</v>
      </c>
      <c r="J1506" t="s">
        <v>683</v>
      </c>
      <c r="K1506">
        <v>16</v>
      </c>
    </row>
    <row r="1507" spans="1:11" x14ac:dyDescent="0.35">
      <c r="A1507" t="s">
        <v>2091</v>
      </c>
      <c r="B1507" t="s">
        <v>493</v>
      </c>
      <c r="C1507" t="s">
        <v>605</v>
      </c>
      <c r="D1507" t="s">
        <v>617</v>
      </c>
      <c r="E1507" s="1">
        <v>45507</v>
      </c>
      <c r="F1507" s="1">
        <v>45510</v>
      </c>
      <c r="G1507" s="1">
        <v>45526</v>
      </c>
      <c r="H1507" t="s">
        <v>20</v>
      </c>
      <c r="I1507">
        <v>249.72</v>
      </c>
      <c r="J1507" t="s">
        <v>683</v>
      </c>
      <c r="K1507">
        <v>16</v>
      </c>
    </row>
    <row r="1508" spans="1:11" x14ac:dyDescent="0.35">
      <c r="A1508" t="s">
        <v>878</v>
      </c>
      <c r="B1508" t="s">
        <v>367</v>
      </c>
      <c r="C1508" t="s">
        <v>577</v>
      </c>
      <c r="D1508" t="s">
        <v>617</v>
      </c>
      <c r="E1508" s="1">
        <v>45524</v>
      </c>
      <c r="F1508" s="1">
        <v>45527</v>
      </c>
      <c r="G1508" s="1">
        <v>45549</v>
      </c>
      <c r="H1508" t="s">
        <v>11</v>
      </c>
      <c r="I1508">
        <v>247.95</v>
      </c>
      <c r="J1508" t="s">
        <v>683</v>
      </c>
      <c r="K1508">
        <v>22</v>
      </c>
    </row>
    <row r="1509" spans="1:11" x14ac:dyDescent="0.35">
      <c r="A1509" t="s">
        <v>1186</v>
      </c>
      <c r="B1509" t="s">
        <v>105</v>
      </c>
      <c r="C1509" t="s">
        <v>577</v>
      </c>
      <c r="D1509" t="s">
        <v>617</v>
      </c>
      <c r="E1509" s="1">
        <v>45058</v>
      </c>
      <c r="F1509" s="1">
        <v>45059</v>
      </c>
      <c r="G1509" s="1">
        <v>45075</v>
      </c>
      <c r="H1509" t="s">
        <v>20</v>
      </c>
      <c r="I1509">
        <v>246.79</v>
      </c>
      <c r="J1509" t="s">
        <v>683</v>
      </c>
      <c r="K1509">
        <v>16</v>
      </c>
    </row>
    <row r="1510" spans="1:11" x14ac:dyDescent="0.35">
      <c r="A1510" t="s">
        <v>2589</v>
      </c>
      <c r="B1510" t="s">
        <v>194</v>
      </c>
      <c r="C1510" t="s">
        <v>563</v>
      </c>
      <c r="D1510" t="s">
        <v>617</v>
      </c>
      <c r="E1510" s="1">
        <v>45407</v>
      </c>
      <c r="F1510" s="1">
        <v>45411</v>
      </c>
      <c r="G1510" s="1">
        <v>45425</v>
      </c>
      <c r="H1510" t="s">
        <v>25</v>
      </c>
      <c r="I1510">
        <v>245.64</v>
      </c>
      <c r="J1510" t="s">
        <v>687</v>
      </c>
      <c r="K1510">
        <v>14</v>
      </c>
    </row>
    <row r="1511" spans="1:11" x14ac:dyDescent="0.35">
      <c r="A1511" t="s">
        <v>1953</v>
      </c>
      <c r="B1511" t="s">
        <v>34</v>
      </c>
      <c r="C1511" t="s">
        <v>546</v>
      </c>
      <c r="D1511" t="s">
        <v>617</v>
      </c>
      <c r="E1511" s="1">
        <v>45545</v>
      </c>
      <c r="F1511" s="1">
        <v>45549</v>
      </c>
      <c r="G1511" s="1">
        <v>45579</v>
      </c>
      <c r="H1511" t="s">
        <v>11</v>
      </c>
      <c r="I1511">
        <v>244.95</v>
      </c>
      <c r="J1511" t="s">
        <v>683</v>
      </c>
      <c r="K1511">
        <v>30</v>
      </c>
    </row>
    <row r="1512" spans="1:11" x14ac:dyDescent="0.35">
      <c r="A1512" t="s">
        <v>1289</v>
      </c>
      <c r="B1512" t="s">
        <v>206</v>
      </c>
      <c r="C1512" t="s">
        <v>537</v>
      </c>
      <c r="D1512" t="s">
        <v>617</v>
      </c>
      <c r="E1512" s="1">
        <v>45258</v>
      </c>
      <c r="F1512" s="1">
        <v>45260</v>
      </c>
      <c r="G1512" s="1">
        <v>45277</v>
      </c>
      <c r="H1512" t="s">
        <v>13</v>
      </c>
      <c r="I1512">
        <v>243.42</v>
      </c>
      <c r="J1512" t="s">
        <v>683</v>
      </c>
      <c r="K1512">
        <v>17</v>
      </c>
    </row>
    <row r="1513" spans="1:11" x14ac:dyDescent="0.35">
      <c r="A1513" t="s">
        <v>746</v>
      </c>
      <c r="B1513" t="s">
        <v>501</v>
      </c>
      <c r="C1513" t="s">
        <v>563</v>
      </c>
      <c r="D1513" t="s">
        <v>617</v>
      </c>
      <c r="E1513" s="1">
        <v>45109</v>
      </c>
      <c r="F1513" s="1">
        <v>45112</v>
      </c>
      <c r="G1513" s="1">
        <v>45133</v>
      </c>
      <c r="H1513" t="s">
        <v>8</v>
      </c>
      <c r="I1513">
        <v>241.25</v>
      </c>
      <c r="J1513" t="s">
        <v>683</v>
      </c>
      <c r="K1513">
        <v>21</v>
      </c>
    </row>
    <row r="1514" spans="1:11" x14ac:dyDescent="0.35">
      <c r="A1514" t="s">
        <v>925</v>
      </c>
      <c r="B1514" t="s">
        <v>466</v>
      </c>
      <c r="C1514" t="s">
        <v>537</v>
      </c>
      <c r="D1514" t="s">
        <v>617</v>
      </c>
      <c r="E1514" s="1">
        <v>44952</v>
      </c>
      <c r="F1514" s="1">
        <v>44953</v>
      </c>
      <c r="G1514" s="1">
        <v>44959</v>
      </c>
      <c r="H1514" t="s">
        <v>20</v>
      </c>
      <c r="I1514">
        <v>240.99</v>
      </c>
      <c r="J1514" t="s">
        <v>687</v>
      </c>
      <c r="K1514">
        <v>6</v>
      </c>
    </row>
    <row r="1515" spans="1:11" x14ac:dyDescent="0.35">
      <c r="A1515" t="s">
        <v>777</v>
      </c>
      <c r="B1515" t="s">
        <v>194</v>
      </c>
      <c r="C1515" t="s">
        <v>559</v>
      </c>
      <c r="D1515" t="s">
        <v>617</v>
      </c>
      <c r="E1515" s="1">
        <v>45556</v>
      </c>
      <c r="F1515" s="1">
        <v>45557</v>
      </c>
      <c r="G1515" s="1">
        <v>45574</v>
      </c>
      <c r="H1515" t="s">
        <v>25</v>
      </c>
      <c r="I1515">
        <v>238.31</v>
      </c>
      <c r="J1515" t="s">
        <v>683</v>
      </c>
      <c r="K1515">
        <v>17</v>
      </c>
    </row>
    <row r="1516" spans="1:11" x14ac:dyDescent="0.35">
      <c r="A1516" t="s">
        <v>1401</v>
      </c>
      <c r="B1516" t="s">
        <v>206</v>
      </c>
      <c r="C1516" t="s">
        <v>571</v>
      </c>
      <c r="D1516" t="s">
        <v>617</v>
      </c>
      <c r="E1516" s="1">
        <v>45489</v>
      </c>
      <c r="F1516" s="1">
        <v>45490</v>
      </c>
      <c r="G1516" s="1">
        <v>45493</v>
      </c>
      <c r="H1516" t="s">
        <v>13</v>
      </c>
      <c r="I1516">
        <v>237.53</v>
      </c>
      <c r="J1516" t="s">
        <v>687</v>
      </c>
      <c r="K1516">
        <v>3</v>
      </c>
    </row>
    <row r="1517" spans="1:11" x14ac:dyDescent="0.35">
      <c r="A1517" t="s">
        <v>2017</v>
      </c>
      <c r="B1517" t="s">
        <v>140</v>
      </c>
      <c r="C1517" t="s">
        <v>587</v>
      </c>
      <c r="D1517" t="s">
        <v>617</v>
      </c>
      <c r="E1517" s="1">
        <v>45200</v>
      </c>
      <c r="F1517" s="1">
        <v>45205</v>
      </c>
      <c r="G1517" s="1">
        <v>45220</v>
      </c>
      <c r="H1517" t="s">
        <v>20</v>
      </c>
      <c r="I1517">
        <v>236.21</v>
      </c>
      <c r="J1517" t="s">
        <v>687</v>
      </c>
      <c r="K1517">
        <v>15</v>
      </c>
    </row>
    <row r="1518" spans="1:11" x14ac:dyDescent="0.35">
      <c r="A1518" t="s">
        <v>2648</v>
      </c>
      <c r="B1518" t="s">
        <v>406</v>
      </c>
      <c r="C1518" t="s">
        <v>524</v>
      </c>
      <c r="D1518" t="s">
        <v>617</v>
      </c>
      <c r="E1518" s="1">
        <v>45065</v>
      </c>
      <c r="F1518" s="1">
        <v>45068</v>
      </c>
      <c r="G1518" s="1">
        <v>45087</v>
      </c>
      <c r="H1518" t="s">
        <v>11</v>
      </c>
      <c r="I1518">
        <v>235.86</v>
      </c>
      <c r="J1518" t="s">
        <v>687</v>
      </c>
      <c r="K1518">
        <v>19</v>
      </c>
    </row>
    <row r="1519" spans="1:11" x14ac:dyDescent="0.35">
      <c r="A1519" t="s">
        <v>1682</v>
      </c>
      <c r="B1519" t="s">
        <v>224</v>
      </c>
      <c r="C1519" t="s">
        <v>583</v>
      </c>
      <c r="D1519" t="s">
        <v>617</v>
      </c>
      <c r="E1519" s="1">
        <v>45354</v>
      </c>
      <c r="F1519" s="1">
        <v>45357</v>
      </c>
      <c r="G1519" s="1">
        <v>45385</v>
      </c>
      <c r="H1519" t="s">
        <v>11</v>
      </c>
      <c r="I1519">
        <v>233.25</v>
      </c>
      <c r="J1519" t="s">
        <v>683</v>
      </c>
      <c r="K1519">
        <v>28</v>
      </c>
    </row>
    <row r="1520" spans="1:11" x14ac:dyDescent="0.35">
      <c r="A1520" t="s">
        <v>1226</v>
      </c>
      <c r="B1520" t="s">
        <v>212</v>
      </c>
      <c r="C1520" t="s">
        <v>601</v>
      </c>
      <c r="D1520" t="s">
        <v>617</v>
      </c>
      <c r="E1520" s="1">
        <v>45062</v>
      </c>
      <c r="F1520" s="1">
        <v>45066</v>
      </c>
      <c r="G1520" s="1">
        <v>45085</v>
      </c>
      <c r="H1520" t="s">
        <v>20</v>
      </c>
      <c r="I1520">
        <v>232.39</v>
      </c>
      <c r="J1520" t="s">
        <v>683</v>
      </c>
      <c r="K1520">
        <v>19</v>
      </c>
    </row>
    <row r="1521" spans="1:11" x14ac:dyDescent="0.35">
      <c r="A1521" t="s">
        <v>2448</v>
      </c>
      <c r="B1521" t="s">
        <v>478</v>
      </c>
      <c r="C1521" t="s">
        <v>559</v>
      </c>
      <c r="D1521" t="s">
        <v>617</v>
      </c>
      <c r="E1521" s="1">
        <v>45575</v>
      </c>
      <c r="F1521" s="1">
        <v>45577</v>
      </c>
      <c r="G1521" s="1"/>
      <c r="H1521" t="s">
        <v>13</v>
      </c>
      <c r="I1521">
        <v>230.43</v>
      </c>
      <c r="J1521" t="s">
        <v>689</v>
      </c>
    </row>
    <row r="1522" spans="1:11" x14ac:dyDescent="0.35">
      <c r="A1522" t="s">
        <v>1277</v>
      </c>
      <c r="B1522" t="s">
        <v>115</v>
      </c>
      <c r="C1522" t="s">
        <v>595</v>
      </c>
      <c r="D1522" t="s">
        <v>617</v>
      </c>
      <c r="E1522" s="1">
        <v>45613</v>
      </c>
      <c r="F1522" s="1">
        <v>45617</v>
      </c>
      <c r="G1522" s="1">
        <v>45638</v>
      </c>
      <c r="H1522" t="s">
        <v>20</v>
      </c>
      <c r="I1522">
        <v>230.36</v>
      </c>
      <c r="J1522" t="s">
        <v>683</v>
      </c>
      <c r="K1522">
        <v>21</v>
      </c>
    </row>
    <row r="1523" spans="1:11" x14ac:dyDescent="0.35">
      <c r="A1523" t="s">
        <v>2358</v>
      </c>
      <c r="B1523" t="s">
        <v>145</v>
      </c>
      <c r="C1523" t="s">
        <v>591</v>
      </c>
      <c r="D1523" t="s">
        <v>617</v>
      </c>
      <c r="E1523" s="1">
        <v>45536</v>
      </c>
      <c r="F1523" s="1">
        <v>45537</v>
      </c>
      <c r="G1523" s="1">
        <v>45544</v>
      </c>
      <c r="H1523" t="s">
        <v>8</v>
      </c>
      <c r="I1523">
        <v>228.87</v>
      </c>
      <c r="J1523" t="s">
        <v>683</v>
      </c>
      <c r="K1523">
        <v>7</v>
      </c>
    </row>
    <row r="1524" spans="1:11" x14ac:dyDescent="0.35">
      <c r="A1524" t="s">
        <v>1923</v>
      </c>
      <c r="B1524" t="s">
        <v>441</v>
      </c>
      <c r="C1524" t="s">
        <v>565</v>
      </c>
      <c r="D1524" t="s">
        <v>617</v>
      </c>
      <c r="E1524" s="1">
        <v>45259</v>
      </c>
      <c r="F1524" s="1">
        <v>45262</v>
      </c>
      <c r="G1524" s="1"/>
      <c r="H1524" t="s">
        <v>11</v>
      </c>
      <c r="I1524">
        <v>228.64</v>
      </c>
      <c r="J1524" t="s">
        <v>689</v>
      </c>
    </row>
    <row r="1525" spans="1:11" x14ac:dyDescent="0.35">
      <c r="A1525" t="s">
        <v>2324</v>
      </c>
      <c r="B1525" t="s">
        <v>222</v>
      </c>
      <c r="C1525" t="s">
        <v>587</v>
      </c>
      <c r="D1525" t="s">
        <v>617</v>
      </c>
      <c r="E1525" s="1">
        <v>44946</v>
      </c>
      <c r="F1525" s="1">
        <v>44948</v>
      </c>
      <c r="G1525" s="1"/>
      <c r="H1525" t="s">
        <v>20</v>
      </c>
      <c r="I1525">
        <v>228.29</v>
      </c>
      <c r="J1525" t="s">
        <v>689</v>
      </c>
    </row>
    <row r="1526" spans="1:11" x14ac:dyDescent="0.35">
      <c r="A1526" t="s">
        <v>1116</v>
      </c>
      <c r="B1526" t="s">
        <v>423</v>
      </c>
      <c r="C1526" t="s">
        <v>599</v>
      </c>
      <c r="D1526" t="s">
        <v>617</v>
      </c>
      <c r="E1526" s="1">
        <v>45046</v>
      </c>
      <c r="F1526" s="1">
        <v>45048</v>
      </c>
      <c r="G1526" s="1"/>
      <c r="H1526" t="s">
        <v>13</v>
      </c>
      <c r="I1526">
        <v>228.24</v>
      </c>
      <c r="J1526" t="s">
        <v>689</v>
      </c>
    </row>
    <row r="1527" spans="1:11" x14ac:dyDescent="0.35">
      <c r="A1527" t="s">
        <v>1984</v>
      </c>
      <c r="B1527" t="s">
        <v>79</v>
      </c>
      <c r="C1527" t="s">
        <v>521</v>
      </c>
      <c r="D1527" t="s">
        <v>617</v>
      </c>
      <c r="E1527" s="1">
        <v>45096</v>
      </c>
      <c r="F1527" s="1">
        <v>45100</v>
      </c>
      <c r="G1527" s="1">
        <v>45106</v>
      </c>
      <c r="H1527" t="s">
        <v>11</v>
      </c>
      <c r="I1527">
        <v>228.16</v>
      </c>
      <c r="J1527" t="s">
        <v>683</v>
      </c>
      <c r="K1527">
        <v>6</v>
      </c>
    </row>
    <row r="1528" spans="1:11" x14ac:dyDescent="0.35">
      <c r="A1528" t="s">
        <v>855</v>
      </c>
      <c r="B1528" t="s">
        <v>274</v>
      </c>
      <c r="C1528" t="s">
        <v>557</v>
      </c>
      <c r="D1528" t="s">
        <v>617</v>
      </c>
      <c r="E1528" s="1">
        <v>45656</v>
      </c>
      <c r="F1528" s="1">
        <v>45660</v>
      </c>
      <c r="G1528" s="1">
        <v>45688</v>
      </c>
      <c r="H1528" t="s">
        <v>13</v>
      </c>
      <c r="I1528">
        <v>228.12</v>
      </c>
      <c r="J1528" t="s">
        <v>683</v>
      </c>
      <c r="K1528">
        <v>28</v>
      </c>
    </row>
    <row r="1529" spans="1:11" x14ac:dyDescent="0.35">
      <c r="A1529" t="s">
        <v>1638</v>
      </c>
      <c r="B1529" t="s">
        <v>221</v>
      </c>
      <c r="C1529" t="s">
        <v>553</v>
      </c>
      <c r="D1529" t="s">
        <v>617</v>
      </c>
      <c r="E1529" s="1">
        <v>45586</v>
      </c>
      <c r="F1529" s="1">
        <v>45591</v>
      </c>
      <c r="G1529" s="1">
        <v>45618</v>
      </c>
      <c r="H1529" t="s">
        <v>20</v>
      </c>
      <c r="I1529">
        <v>227.99</v>
      </c>
      <c r="J1529" t="s">
        <v>683</v>
      </c>
      <c r="K1529">
        <v>27</v>
      </c>
    </row>
    <row r="1530" spans="1:11" x14ac:dyDescent="0.35">
      <c r="A1530" t="s">
        <v>1555</v>
      </c>
      <c r="B1530" t="s">
        <v>82</v>
      </c>
      <c r="C1530" t="s">
        <v>524</v>
      </c>
      <c r="D1530" t="s">
        <v>617</v>
      </c>
      <c r="E1530" s="1">
        <v>44991</v>
      </c>
      <c r="F1530" s="1">
        <v>44996</v>
      </c>
      <c r="G1530" s="1">
        <v>45024</v>
      </c>
      <c r="H1530" t="s">
        <v>11</v>
      </c>
      <c r="I1530">
        <v>227.81</v>
      </c>
      <c r="J1530" t="s">
        <v>683</v>
      </c>
      <c r="K1530">
        <v>28</v>
      </c>
    </row>
    <row r="1531" spans="1:11" x14ac:dyDescent="0.35">
      <c r="A1531" t="s">
        <v>717</v>
      </c>
      <c r="B1531" t="s">
        <v>496</v>
      </c>
      <c r="C1531" t="s">
        <v>534</v>
      </c>
      <c r="D1531" t="s">
        <v>617</v>
      </c>
      <c r="E1531" s="1">
        <v>45441</v>
      </c>
      <c r="F1531" s="1">
        <v>45442</v>
      </c>
      <c r="G1531" s="1">
        <v>45445</v>
      </c>
      <c r="H1531" t="s">
        <v>13</v>
      </c>
      <c r="I1531">
        <v>226.8</v>
      </c>
      <c r="J1531" t="s">
        <v>683</v>
      </c>
      <c r="K1531">
        <v>3</v>
      </c>
    </row>
    <row r="1532" spans="1:11" x14ac:dyDescent="0.35">
      <c r="A1532" t="s">
        <v>2404</v>
      </c>
      <c r="B1532" t="s">
        <v>183</v>
      </c>
      <c r="C1532" t="s">
        <v>540</v>
      </c>
      <c r="D1532" t="s">
        <v>617</v>
      </c>
      <c r="E1532" s="1">
        <v>45037</v>
      </c>
      <c r="F1532" s="1">
        <v>45041</v>
      </c>
      <c r="G1532" s="1"/>
      <c r="H1532" t="s">
        <v>8</v>
      </c>
      <c r="I1532">
        <v>226.73</v>
      </c>
      <c r="J1532" t="s">
        <v>689</v>
      </c>
    </row>
    <row r="1533" spans="1:11" x14ac:dyDescent="0.35">
      <c r="A1533" t="s">
        <v>2014</v>
      </c>
      <c r="B1533" t="s">
        <v>87</v>
      </c>
      <c r="C1533" t="s">
        <v>609</v>
      </c>
      <c r="D1533" t="s">
        <v>617</v>
      </c>
      <c r="E1533" s="1">
        <v>45529</v>
      </c>
      <c r="F1533" s="1">
        <v>45532</v>
      </c>
      <c r="G1533" s="1">
        <v>45538</v>
      </c>
      <c r="H1533" t="s">
        <v>8</v>
      </c>
      <c r="I1533">
        <v>226.14</v>
      </c>
      <c r="J1533" t="s">
        <v>683</v>
      </c>
      <c r="K1533">
        <v>6</v>
      </c>
    </row>
    <row r="1534" spans="1:11" x14ac:dyDescent="0.35">
      <c r="A1534" t="s">
        <v>2033</v>
      </c>
      <c r="B1534" t="s">
        <v>43</v>
      </c>
      <c r="C1534" t="s">
        <v>555</v>
      </c>
      <c r="D1534" t="s">
        <v>617</v>
      </c>
      <c r="E1534" s="1">
        <v>45031</v>
      </c>
      <c r="F1534" s="1">
        <v>45033</v>
      </c>
      <c r="G1534" s="1">
        <v>45045</v>
      </c>
      <c r="H1534" t="s">
        <v>20</v>
      </c>
      <c r="I1534">
        <v>225.93</v>
      </c>
      <c r="J1534" t="s">
        <v>683</v>
      </c>
      <c r="K1534">
        <v>12</v>
      </c>
    </row>
    <row r="1535" spans="1:11" x14ac:dyDescent="0.35">
      <c r="A1535" t="s">
        <v>2452</v>
      </c>
      <c r="B1535" t="s">
        <v>427</v>
      </c>
      <c r="C1535" t="s">
        <v>571</v>
      </c>
      <c r="D1535" t="s">
        <v>617</v>
      </c>
      <c r="E1535" s="1">
        <v>45496</v>
      </c>
      <c r="F1535" s="1">
        <v>45497</v>
      </c>
      <c r="G1535" s="1">
        <v>45521</v>
      </c>
      <c r="H1535" t="s">
        <v>20</v>
      </c>
      <c r="I1535">
        <v>225.41</v>
      </c>
      <c r="J1535" t="s">
        <v>683</v>
      </c>
      <c r="K1535">
        <v>24</v>
      </c>
    </row>
    <row r="1536" spans="1:11" x14ac:dyDescent="0.35">
      <c r="A1536" t="s">
        <v>1645</v>
      </c>
      <c r="B1536" t="s">
        <v>454</v>
      </c>
      <c r="C1536" t="s">
        <v>581</v>
      </c>
      <c r="D1536" t="s">
        <v>617</v>
      </c>
      <c r="E1536" s="1">
        <v>44948</v>
      </c>
      <c r="F1536" s="1">
        <v>44953</v>
      </c>
      <c r="G1536" s="1">
        <v>44958</v>
      </c>
      <c r="H1536" t="s">
        <v>20</v>
      </c>
      <c r="I1536">
        <v>224.67</v>
      </c>
      <c r="J1536" t="s">
        <v>683</v>
      </c>
      <c r="K1536">
        <v>5</v>
      </c>
    </row>
    <row r="1537" spans="1:11" x14ac:dyDescent="0.35">
      <c r="A1537" t="s">
        <v>1709</v>
      </c>
      <c r="B1537" t="s">
        <v>261</v>
      </c>
      <c r="C1537" t="s">
        <v>553</v>
      </c>
      <c r="D1537" t="s">
        <v>617</v>
      </c>
      <c r="E1537" s="1">
        <v>45532</v>
      </c>
      <c r="F1537" s="1">
        <v>45535</v>
      </c>
      <c r="G1537" s="1"/>
      <c r="H1537" t="s">
        <v>20</v>
      </c>
      <c r="I1537">
        <v>224.04</v>
      </c>
      <c r="J1537" t="s">
        <v>689</v>
      </c>
    </row>
    <row r="1538" spans="1:11" x14ac:dyDescent="0.35">
      <c r="A1538" t="s">
        <v>2206</v>
      </c>
      <c r="B1538" t="s">
        <v>379</v>
      </c>
      <c r="C1538" t="s">
        <v>595</v>
      </c>
      <c r="D1538" t="s">
        <v>635</v>
      </c>
      <c r="E1538" s="1">
        <v>45654</v>
      </c>
      <c r="F1538" s="1">
        <v>45658</v>
      </c>
      <c r="G1538" s="1">
        <v>45663</v>
      </c>
      <c r="H1538" t="s">
        <v>13</v>
      </c>
      <c r="I1538">
        <v>223.87</v>
      </c>
      <c r="J1538" t="s">
        <v>683</v>
      </c>
      <c r="K1538">
        <v>5</v>
      </c>
    </row>
    <row r="1539" spans="1:11" x14ac:dyDescent="0.35">
      <c r="A1539" t="s">
        <v>1767</v>
      </c>
      <c r="B1539" t="s">
        <v>371</v>
      </c>
      <c r="C1539" t="s">
        <v>555</v>
      </c>
      <c r="D1539" t="s">
        <v>617</v>
      </c>
      <c r="E1539" s="1">
        <v>45484</v>
      </c>
      <c r="F1539" s="1">
        <v>45489</v>
      </c>
      <c r="G1539" s="1">
        <v>45518</v>
      </c>
      <c r="H1539" t="s">
        <v>25</v>
      </c>
      <c r="I1539">
        <v>223.24</v>
      </c>
      <c r="J1539" t="s">
        <v>687</v>
      </c>
      <c r="K1539">
        <v>29</v>
      </c>
    </row>
    <row r="1540" spans="1:11" x14ac:dyDescent="0.35">
      <c r="A1540" t="s">
        <v>1316</v>
      </c>
      <c r="B1540" t="s">
        <v>401</v>
      </c>
      <c r="C1540" t="s">
        <v>601</v>
      </c>
      <c r="D1540" t="s">
        <v>617</v>
      </c>
      <c r="E1540" s="1">
        <v>45194</v>
      </c>
      <c r="F1540" s="1">
        <v>45199</v>
      </c>
      <c r="G1540" s="1">
        <v>45207</v>
      </c>
      <c r="H1540" t="s">
        <v>8</v>
      </c>
      <c r="I1540">
        <v>223.02</v>
      </c>
      <c r="J1540" t="s">
        <v>683</v>
      </c>
      <c r="K1540">
        <v>8</v>
      </c>
    </row>
    <row r="1541" spans="1:11" x14ac:dyDescent="0.35">
      <c r="A1541" t="s">
        <v>707</v>
      </c>
      <c r="B1541" t="s">
        <v>436</v>
      </c>
      <c r="C1541" t="s">
        <v>559</v>
      </c>
      <c r="D1541" t="s">
        <v>617</v>
      </c>
      <c r="E1541" s="1">
        <v>44964</v>
      </c>
      <c r="F1541" s="1">
        <v>44967</v>
      </c>
      <c r="G1541" s="1">
        <v>44988</v>
      </c>
      <c r="H1541" t="s">
        <v>8</v>
      </c>
      <c r="I1541">
        <v>222.92</v>
      </c>
      <c r="J1541" t="s">
        <v>683</v>
      </c>
      <c r="K1541">
        <v>21</v>
      </c>
    </row>
    <row r="1542" spans="1:11" x14ac:dyDescent="0.35">
      <c r="A1542" t="s">
        <v>958</v>
      </c>
      <c r="B1542" t="s">
        <v>411</v>
      </c>
      <c r="C1542" t="s">
        <v>593</v>
      </c>
      <c r="D1542" t="s">
        <v>635</v>
      </c>
      <c r="E1542" s="1">
        <v>45394</v>
      </c>
      <c r="F1542" s="1">
        <v>45395</v>
      </c>
      <c r="G1542" s="1">
        <v>45400</v>
      </c>
      <c r="H1542" t="s">
        <v>8</v>
      </c>
      <c r="I1542">
        <v>222.57</v>
      </c>
      <c r="J1542" t="s">
        <v>683</v>
      </c>
      <c r="K1542">
        <v>5</v>
      </c>
    </row>
    <row r="1543" spans="1:11" x14ac:dyDescent="0.35">
      <c r="A1543" t="s">
        <v>927</v>
      </c>
      <c r="B1543" t="s">
        <v>77</v>
      </c>
      <c r="C1543" t="s">
        <v>537</v>
      </c>
      <c r="D1543" t="s">
        <v>617</v>
      </c>
      <c r="E1543" s="1">
        <v>44992</v>
      </c>
      <c r="F1543" s="1">
        <v>44993</v>
      </c>
      <c r="G1543" s="1">
        <v>45001</v>
      </c>
      <c r="H1543" t="s">
        <v>20</v>
      </c>
      <c r="I1543">
        <v>222.54</v>
      </c>
      <c r="J1543" t="s">
        <v>683</v>
      </c>
      <c r="K1543">
        <v>8</v>
      </c>
    </row>
    <row r="1544" spans="1:11" x14ac:dyDescent="0.35">
      <c r="A1544" t="s">
        <v>1861</v>
      </c>
      <c r="B1544" t="s">
        <v>417</v>
      </c>
      <c r="C1544" t="s">
        <v>607</v>
      </c>
      <c r="D1544" t="s">
        <v>617</v>
      </c>
      <c r="E1544" s="1">
        <v>44952</v>
      </c>
      <c r="F1544" s="1">
        <v>44954</v>
      </c>
      <c r="G1544" s="1">
        <v>44971</v>
      </c>
      <c r="H1544" t="s">
        <v>25</v>
      </c>
      <c r="I1544">
        <v>222.42</v>
      </c>
      <c r="J1544" t="s">
        <v>687</v>
      </c>
      <c r="K1544">
        <v>17</v>
      </c>
    </row>
    <row r="1545" spans="1:11" x14ac:dyDescent="0.35">
      <c r="A1545" t="s">
        <v>1216</v>
      </c>
      <c r="B1545" t="s">
        <v>227</v>
      </c>
      <c r="C1545" t="s">
        <v>571</v>
      </c>
      <c r="D1545" t="s">
        <v>617</v>
      </c>
      <c r="E1545" s="1">
        <v>45350</v>
      </c>
      <c r="F1545" s="1">
        <v>45354</v>
      </c>
      <c r="G1545" s="1">
        <v>45373</v>
      </c>
      <c r="H1545" t="s">
        <v>8</v>
      </c>
      <c r="I1545">
        <v>221.96</v>
      </c>
      <c r="J1545" t="s">
        <v>683</v>
      </c>
      <c r="K1545">
        <v>19</v>
      </c>
    </row>
    <row r="1546" spans="1:11" x14ac:dyDescent="0.35">
      <c r="A1546" t="s">
        <v>1421</v>
      </c>
      <c r="B1546" t="s">
        <v>72</v>
      </c>
      <c r="C1546" t="s">
        <v>569</v>
      </c>
      <c r="D1546" t="s">
        <v>635</v>
      </c>
      <c r="E1546" s="1">
        <v>45564</v>
      </c>
      <c r="F1546" s="1">
        <v>45566</v>
      </c>
      <c r="G1546" s="1">
        <v>45580</v>
      </c>
      <c r="H1546" t="s">
        <v>20</v>
      </c>
      <c r="I1546">
        <v>221.86</v>
      </c>
      <c r="J1546" t="s">
        <v>683</v>
      </c>
      <c r="K1546">
        <v>14</v>
      </c>
    </row>
    <row r="1547" spans="1:11" x14ac:dyDescent="0.35">
      <c r="A1547" t="s">
        <v>1255</v>
      </c>
      <c r="B1547" t="s">
        <v>136</v>
      </c>
      <c r="C1547" t="s">
        <v>521</v>
      </c>
      <c r="D1547" t="s">
        <v>635</v>
      </c>
      <c r="E1547" s="1">
        <v>45546</v>
      </c>
      <c r="F1547" s="1">
        <v>45547</v>
      </c>
      <c r="G1547" s="1">
        <v>45556</v>
      </c>
      <c r="H1547" t="s">
        <v>11</v>
      </c>
      <c r="I1547">
        <v>221.52</v>
      </c>
      <c r="J1547" t="s">
        <v>683</v>
      </c>
      <c r="K1547">
        <v>9</v>
      </c>
    </row>
    <row r="1548" spans="1:11" x14ac:dyDescent="0.35">
      <c r="A1548" t="s">
        <v>803</v>
      </c>
      <c r="B1548" t="s">
        <v>285</v>
      </c>
      <c r="C1548" t="s">
        <v>567</v>
      </c>
      <c r="D1548" t="s">
        <v>635</v>
      </c>
      <c r="E1548" s="1">
        <v>45469</v>
      </c>
      <c r="F1548" s="1">
        <v>45472</v>
      </c>
      <c r="G1548" s="1">
        <v>45492</v>
      </c>
      <c r="H1548" t="s">
        <v>13</v>
      </c>
      <c r="I1548">
        <v>221.36</v>
      </c>
      <c r="J1548" t="s">
        <v>683</v>
      </c>
      <c r="K1548">
        <v>20</v>
      </c>
    </row>
    <row r="1549" spans="1:11" x14ac:dyDescent="0.35">
      <c r="A1549" t="s">
        <v>1699</v>
      </c>
      <c r="B1549" t="s">
        <v>30</v>
      </c>
      <c r="C1549" t="s">
        <v>611</v>
      </c>
      <c r="D1549" t="s">
        <v>617</v>
      </c>
      <c r="E1549" s="1">
        <v>45101</v>
      </c>
      <c r="F1549" s="1">
        <v>45105</v>
      </c>
      <c r="G1549" s="1">
        <v>45127</v>
      </c>
      <c r="H1549" t="s">
        <v>13</v>
      </c>
      <c r="I1549">
        <v>221.25</v>
      </c>
      <c r="J1549" t="s">
        <v>683</v>
      </c>
      <c r="K1549">
        <v>22</v>
      </c>
    </row>
    <row r="1550" spans="1:11" x14ac:dyDescent="0.35">
      <c r="A1550" t="s">
        <v>1343</v>
      </c>
      <c r="B1550" t="s">
        <v>9</v>
      </c>
      <c r="C1550" t="s">
        <v>597</v>
      </c>
      <c r="D1550" t="s">
        <v>635</v>
      </c>
      <c r="E1550" s="1">
        <v>45377</v>
      </c>
      <c r="F1550" s="1">
        <v>45382</v>
      </c>
      <c r="G1550" s="1">
        <v>45397</v>
      </c>
      <c r="H1550" t="s">
        <v>11</v>
      </c>
      <c r="I1550">
        <v>221.23</v>
      </c>
      <c r="J1550" t="s">
        <v>683</v>
      </c>
      <c r="K1550">
        <v>15</v>
      </c>
    </row>
    <row r="1551" spans="1:11" x14ac:dyDescent="0.35">
      <c r="A1551" t="s">
        <v>2480</v>
      </c>
      <c r="B1551" t="s">
        <v>425</v>
      </c>
      <c r="C1551" t="s">
        <v>561</v>
      </c>
      <c r="D1551" t="s">
        <v>617</v>
      </c>
      <c r="E1551" s="1">
        <v>45047</v>
      </c>
      <c r="F1551" s="1">
        <v>45050</v>
      </c>
      <c r="G1551" s="1">
        <v>45068</v>
      </c>
      <c r="H1551" t="s">
        <v>25</v>
      </c>
      <c r="I1551">
        <v>220.57</v>
      </c>
      <c r="J1551" t="s">
        <v>683</v>
      </c>
      <c r="K1551">
        <v>18</v>
      </c>
    </row>
    <row r="1552" spans="1:11" x14ac:dyDescent="0.35">
      <c r="A1552" t="s">
        <v>2478</v>
      </c>
      <c r="B1552" t="s">
        <v>333</v>
      </c>
      <c r="C1552" t="s">
        <v>559</v>
      </c>
      <c r="D1552" t="s">
        <v>617</v>
      </c>
      <c r="E1552" s="1">
        <v>45055</v>
      </c>
      <c r="F1552" s="1">
        <v>45059</v>
      </c>
      <c r="G1552" s="1">
        <v>45079</v>
      </c>
      <c r="H1552" t="s">
        <v>13</v>
      </c>
      <c r="I1552">
        <v>220.48</v>
      </c>
      <c r="J1552" t="s">
        <v>687</v>
      </c>
      <c r="K1552">
        <v>20</v>
      </c>
    </row>
    <row r="1553" spans="1:11" x14ac:dyDescent="0.35">
      <c r="A1553" t="s">
        <v>873</v>
      </c>
      <c r="B1553" t="s">
        <v>474</v>
      </c>
      <c r="C1553" t="s">
        <v>593</v>
      </c>
      <c r="D1553" t="s">
        <v>617</v>
      </c>
      <c r="E1553" s="1">
        <v>45280</v>
      </c>
      <c r="F1553" s="1">
        <v>45282</v>
      </c>
      <c r="G1553" s="1">
        <v>45296</v>
      </c>
      <c r="H1553" t="s">
        <v>25</v>
      </c>
      <c r="I1553">
        <v>220.07</v>
      </c>
      <c r="J1553" t="s">
        <v>683</v>
      </c>
      <c r="K1553">
        <v>14</v>
      </c>
    </row>
    <row r="1554" spans="1:11" x14ac:dyDescent="0.35">
      <c r="A1554" t="s">
        <v>1932</v>
      </c>
      <c r="B1554" t="s">
        <v>475</v>
      </c>
      <c r="C1554" t="s">
        <v>524</v>
      </c>
      <c r="D1554" t="s">
        <v>635</v>
      </c>
      <c r="E1554" s="1">
        <v>45178</v>
      </c>
      <c r="F1554" s="1">
        <v>45179</v>
      </c>
      <c r="G1554" s="1">
        <v>45199</v>
      </c>
      <c r="H1554" t="s">
        <v>20</v>
      </c>
      <c r="I1554">
        <v>218.79</v>
      </c>
      <c r="J1554" t="s">
        <v>683</v>
      </c>
      <c r="K1554">
        <v>20</v>
      </c>
    </row>
    <row r="1555" spans="1:11" x14ac:dyDescent="0.35">
      <c r="A1555" t="s">
        <v>1694</v>
      </c>
      <c r="B1555" t="s">
        <v>94</v>
      </c>
      <c r="C1555" t="s">
        <v>553</v>
      </c>
      <c r="D1555" t="s">
        <v>635</v>
      </c>
      <c r="E1555" s="1">
        <v>45624</v>
      </c>
      <c r="F1555" s="1">
        <v>45627</v>
      </c>
      <c r="G1555" s="1">
        <v>45642</v>
      </c>
      <c r="H1555" t="s">
        <v>8</v>
      </c>
      <c r="I1555">
        <v>218.56</v>
      </c>
      <c r="J1555" t="s">
        <v>683</v>
      </c>
      <c r="K1555">
        <v>15</v>
      </c>
    </row>
    <row r="1556" spans="1:11" x14ac:dyDescent="0.35">
      <c r="A1556" t="s">
        <v>2391</v>
      </c>
      <c r="B1556" t="s">
        <v>451</v>
      </c>
      <c r="C1556" t="s">
        <v>599</v>
      </c>
      <c r="D1556" t="s">
        <v>617</v>
      </c>
      <c r="E1556" s="1">
        <v>45305</v>
      </c>
      <c r="F1556" s="1">
        <v>45309</v>
      </c>
      <c r="G1556" s="1">
        <v>45312</v>
      </c>
      <c r="H1556" t="s">
        <v>11</v>
      </c>
      <c r="I1556">
        <v>216.89</v>
      </c>
      <c r="J1556" t="s">
        <v>683</v>
      </c>
      <c r="K1556">
        <v>3</v>
      </c>
    </row>
    <row r="1557" spans="1:11" x14ac:dyDescent="0.35">
      <c r="A1557" t="s">
        <v>2069</v>
      </c>
      <c r="B1557" t="s">
        <v>419</v>
      </c>
      <c r="C1557" t="s">
        <v>531</v>
      </c>
      <c r="D1557" t="s">
        <v>617</v>
      </c>
      <c r="E1557" s="1">
        <v>45420</v>
      </c>
      <c r="F1557" s="1">
        <v>45425</v>
      </c>
      <c r="G1557" s="1">
        <v>45449</v>
      </c>
      <c r="H1557" t="s">
        <v>8</v>
      </c>
      <c r="I1557">
        <v>216.44</v>
      </c>
      <c r="J1557" t="s">
        <v>683</v>
      </c>
      <c r="K1557">
        <v>24</v>
      </c>
    </row>
    <row r="1558" spans="1:11" x14ac:dyDescent="0.35">
      <c r="A1558" t="s">
        <v>1398</v>
      </c>
      <c r="B1558" t="s">
        <v>408</v>
      </c>
      <c r="C1558" t="s">
        <v>593</v>
      </c>
      <c r="D1558" t="s">
        <v>635</v>
      </c>
      <c r="E1558" s="1">
        <v>45289</v>
      </c>
      <c r="F1558" s="1">
        <v>45293</v>
      </c>
      <c r="G1558" s="1">
        <v>45312</v>
      </c>
      <c r="H1558" t="s">
        <v>11</v>
      </c>
      <c r="I1558">
        <v>216.4</v>
      </c>
      <c r="J1558" t="s">
        <v>687</v>
      </c>
      <c r="K1558">
        <v>19</v>
      </c>
    </row>
    <row r="1559" spans="1:11" x14ac:dyDescent="0.35">
      <c r="A1559" t="s">
        <v>1726</v>
      </c>
      <c r="B1559" t="s">
        <v>214</v>
      </c>
      <c r="C1559" t="s">
        <v>581</v>
      </c>
      <c r="D1559" t="s">
        <v>635</v>
      </c>
      <c r="E1559" s="1">
        <v>45381</v>
      </c>
      <c r="F1559" s="1">
        <v>45382</v>
      </c>
      <c r="G1559" s="1">
        <v>45410</v>
      </c>
      <c r="H1559" t="s">
        <v>20</v>
      </c>
      <c r="I1559">
        <v>216.17</v>
      </c>
      <c r="J1559" t="s">
        <v>683</v>
      </c>
      <c r="K1559">
        <v>28</v>
      </c>
    </row>
    <row r="1560" spans="1:11" x14ac:dyDescent="0.35">
      <c r="A1560" t="s">
        <v>1362</v>
      </c>
      <c r="B1560" t="s">
        <v>71</v>
      </c>
      <c r="C1560" t="s">
        <v>553</v>
      </c>
      <c r="D1560" t="s">
        <v>617</v>
      </c>
      <c r="E1560" s="1">
        <v>45122</v>
      </c>
      <c r="F1560" s="1">
        <v>45127</v>
      </c>
      <c r="G1560" s="1">
        <v>45138</v>
      </c>
      <c r="H1560" t="s">
        <v>25</v>
      </c>
      <c r="I1560">
        <v>215.25</v>
      </c>
      <c r="J1560" t="s">
        <v>683</v>
      </c>
      <c r="K1560">
        <v>11</v>
      </c>
    </row>
    <row r="1561" spans="1:11" x14ac:dyDescent="0.35">
      <c r="A1561" t="s">
        <v>2035</v>
      </c>
      <c r="B1561" t="s">
        <v>516</v>
      </c>
      <c r="C1561" t="s">
        <v>607</v>
      </c>
      <c r="D1561" t="s">
        <v>617</v>
      </c>
      <c r="E1561" s="1">
        <v>45327</v>
      </c>
      <c r="F1561" s="1">
        <v>45331</v>
      </c>
      <c r="G1561" s="1">
        <v>45349</v>
      </c>
      <c r="H1561" t="s">
        <v>8</v>
      </c>
      <c r="I1561">
        <v>213.97</v>
      </c>
      <c r="J1561" t="s">
        <v>683</v>
      </c>
      <c r="K1561">
        <v>18</v>
      </c>
    </row>
    <row r="1562" spans="1:11" x14ac:dyDescent="0.35">
      <c r="A1562" t="s">
        <v>1315</v>
      </c>
      <c r="B1562" t="s">
        <v>497</v>
      </c>
      <c r="C1562" t="s">
        <v>583</v>
      </c>
      <c r="D1562" t="s">
        <v>635</v>
      </c>
      <c r="E1562" s="1">
        <v>45007</v>
      </c>
      <c r="F1562" s="1">
        <v>45009</v>
      </c>
      <c r="G1562" s="1">
        <v>45035</v>
      </c>
      <c r="H1562" t="s">
        <v>13</v>
      </c>
      <c r="I1562">
        <v>213.71</v>
      </c>
      <c r="J1562" t="s">
        <v>683</v>
      </c>
      <c r="K1562">
        <v>26</v>
      </c>
    </row>
    <row r="1563" spans="1:11" x14ac:dyDescent="0.35">
      <c r="A1563" t="s">
        <v>1781</v>
      </c>
      <c r="B1563" t="s">
        <v>203</v>
      </c>
      <c r="C1563" t="s">
        <v>563</v>
      </c>
      <c r="D1563" t="s">
        <v>617</v>
      </c>
      <c r="E1563" s="1">
        <v>45097</v>
      </c>
      <c r="F1563" s="1">
        <v>45100</v>
      </c>
      <c r="G1563" s="1">
        <v>45111</v>
      </c>
      <c r="H1563" t="s">
        <v>25</v>
      </c>
      <c r="I1563">
        <v>213.37</v>
      </c>
      <c r="J1563" t="s">
        <v>687</v>
      </c>
      <c r="K1563">
        <v>11</v>
      </c>
    </row>
    <row r="1564" spans="1:11" x14ac:dyDescent="0.35">
      <c r="A1564" t="s">
        <v>2270</v>
      </c>
      <c r="B1564" t="s">
        <v>461</v>
      </c>
      <c r="C1564" t="s">
        <v>605</v>
      </c>
      <c r="D1564" t="s">
        <v>617</v>
      </c>
      <c r="E1564" s="1">
        <v>45067</v>
      </c>
      <c r="F1564" s="1">
        <v>45071</v>
      </c>
      <c r="G1564" s="1">
        <v>45089</v>
      </c>
      <c r="H1564" t="s">
        <v>13</v>
      </c>
      <c r="I1564">
        <v>213.36</v>
      </c>
      <c r="J1564" t="s">
        <v>683</v>
      </c>
      <c r="K1564">
        <v>18</v>
      </c>
    </row>
    <row r="1565" spans="1:11" x14ac:dyDescent="0.35">
      <c r="A1565" t="s">
        <v>2586</v>
      </c>
      <c r="B1565" t="s">
        <v>5</v>
      </c>
      <c r="C1565" t="s">
        <v>605</v>
      </c>
      <c r="D1565" t="s">
        <v>617</v>
      </c>
      <c r="E1565" s="1">
        <v>45063</v>
      </c>
      <c r="F1565" s="1">
        <v>45066</v>
      </c>
      <c r="G1565" s="1">
        <v>45084</v>
      </c>
      <c r="H1565" t="s">
        <v>8</v>
      </c>
      <c r="I1565">
        <v>213.3</v>
      </c>
      <c r="J1565" t="s">
        <v>687</v>
      </c>
      <c r="K1565">
        <v>18</v>
      </c>
    </row>
    <row r="1566" spans="1:11" x14ac:dyDescent="0.35">
      <c r="A1566" t="s">
        <v>1817</v>
      </c>
      <c r="B1566" t="s">
        <v>246</v>
      </c>
      <c r="C1566" t="s">
        <v>563</v>
      </c>
      <c r="D1566" t="s">
        <v>635</v>
      </c>
      <c r="E1566" s="1">
        <v>45233</v>
      </c>
      <c r="F1566" s="1">
        <v>45237</v>
      </c>
      <c r="G1566" s="1">
        <v>45244</v>
      </c>
      <c r="H1566" t="s">
        <v>11</v>
      </c>
      <c r="I1566">
        <v>213.1</v>
      </c>
      <c r="J1566" t="s">
        <v>683</v>
      </c>
      <c r="K1566">
        <v>7</v>
      </c>
    </row>
    <row r="1567" spans="1:11" x14ac:dyDescent="0.35">
      <c r="A1567" t="s">
        <v>1525</v>
      </c>
      <c r="B1567" t="s">
        <v>168</v>
      </c>
      <c r="C1567" t="s">
        <v>543</v>
      </c>
      <c r="D1567" t="s">
        <v>635</v>
      </c>
      <c r="E1567" s="1">
        <v>45646</v>
      </c>
      <c r="F1567" s="1">
        <v>45647</v>
      </c>
      <c r="G1567" s="1">
        <v>45653</v>
      </c>
      <c r="H1567" t="s">
        <v>8</v>
      </c>
      <c r="I1567">
        <v>212.49</v>
      </c>
      <c r="J1567" t="s">
        <v>683</v>
      </c>
      <c r="K1567">
        <v>6</v>
      </c>
    </row>
    <row r="1568" spans="1:11" x14ac:dyDescent="0.35">
      <c r="A1568" t="s">
        <v>1086</v>
      </c>
      <c r="B1568" t="s">
        <v>366</v>
      </c>
      <c r="C1568" t="s">
        <v>559</v>
      </c>
      <c r="D1568" t="s">
        <v>617</v>
      </c>
      <c r="E1568" s="1">
        <v>45427</v>
      </c>
      <c r="F1568" s="1">
        <v>45429</v>
      </c>
      <c r="G1568" s="1"/>
      <c r="H1568" t="s">
        <v>8</v>
      </c>
      <c r="I1568">
        <v>211.39</v>
      </c>
      <c r="J1568" t="s">
        <v>689</v>
      </c>
    </row>
    <row r="1569" spans="1:11" x14ac:dyDescent="0.35">
      <c r="A1569" t="s">
        <v>2265</v>
      </c>
      <c r="B1569" t="s">
        <v>436</v>
      </c>
      <c r="C1569" t="s">
        <v>534</v>
      </c>
      <c r="D1569" t="s">
        <v>617</v>
      </c>
      <c r="E1569" s="1">
        <v>45376</v>
      </c>
      <c r="F1569" s="1">
        <v>45378</v>
      </c>
      <c r="G1569" s="1">
        <v>45391</v>
      </c>
      <c r="H1569" t="s">
        <v>8</v>
      </c>
      <c r="I1569">
        <v>210.61</v>
      </c>
      <c r="J1569" t="s">
        <v>683</v>
      </c>
      <c r="K1569">
        <v>13</v>
      </c>
    </row>
    <row r="1570" spans="1:11" x14ac:dyDescent="0.35">
      <c r="A1570" t="s">
        <v>1842</v>
      </c>
      <c r="B1570" t="s">
        <v>122</v>
      </c>
      <c r="C1570" t="s">
        <v>591</v>
      </c>
      <c r="D1570" t="s">
        <v>617</v>
      </c>
      <c r="E1570" s="1">
        <v>45528</v>
      </c>
      <c r="F1570" s="1">
        <v>45530</v>
      </c>
      <c r="G1570" s="1">
        <v>45536</v>
      </c>
      <c r="H1570" t="s">
        <v>13</v>
      </c>
      <c r="I1570">
        <v>210.59</v>
      </c>
      <c r="J1570" t="s">
        <v>687</v>
      </c>
      <c r="K1570">
        <v>6</v>
      </c>
    </row>
    <row r="1571" spans="1:11" x14ac:dyDescent="0.35">
      <c r="A1571" t="s">
        <v>1639</v>
      </c>
      <c r="B1571" t="s">
        <v>395</v>
      </c>
      <c r="C1571" t="s">
        <v>524</v>
      </c>
      <c r="D1571" t="s">
        <v>617</v>
      </c>
      <c r="E1571" s="1">
        <v>45086</v>
      </c>
      <c r="F1571" s="1">
        <v>45087</v>
      </c>
      <c r="G1571" s="1">
        <v>45115</v>
      </c>
      <c r="H1571" t="s">
        <v>11</v>
      </c>
      <c r="I1571">
        <v>210.54</v>
      </c>
      <c r="J1571" t="s">
        <v>683</v>
      </c>
      <c r="K1571">
        <v>28</v>
      </c>
    </row>
    <row r="1572" spans="1:11" x14ac:dyDescent="0.35">
      <c r="A1572" t="s">
        <v>1178</v>
      </c>
      <c r="B1572" t="s">
        <v>455</v>
      </c>
      <c r="C1572" t="s">
        <v>585</v>
      </c>
      <c r="D1572" t="s">
        <v>635</v>
      </c>
      <c r="E1572" s="1">
        <v>45531</v>
      </c>
      <c r="F1572" s="1">
        <v>45533</v>
      </c>
      <c r="G1572" s="1">
        <v>45563</v>
      </c>
      <c r="H1572" t="s">
        <v>13</v>
      </c>
      <c r="I1572">
        <v>210.01</v>
      </c>
      <c r="J1572" t="s">
        <v>683</v>
      </c>
      <c r="K1572">
        <v>30</v>
      </c>
    </row>
    <row r="1573" spans="1:11" x14ac:dyDescent="0.35">
      <c r="A1573" t="s">
        <v>2500</v>
      </c>
      <c r="B1573" t="s">
        <v>457</v>
      </c>
      <c r="C1573" t="s">
        <v>597</v>
      </c>
      <c r="D1573" t="s">
        <v>617</v>
      </c>
      <c r="E1573" s="1">
        <v>45238</v>
      </c>
      <c r="F1573" s="1">
        <v>45242</v>
      </c>
      <c r="G1573" s="1">
        <v>45265</v>
      </c>
      <c r="H1573" t="s">
        <v>11</v>
      </c>
      <c r="I1573">
        <v>209.79</v>
      </c>
      <c r="J1573" t="s">
        <v>683</v>
      </c>
      <c r="K1573">
        <v>23</v>
      </c>
    </row>
    <row r="1574" spans="1:11" x14ac:dyDescent="0.35">
      <c r="A1574" t="s">
        <v>1126</v>
      </c>
      <c r="B1574" t="s">
        <v>154</v>
      </c>
      <c r="C1574" t="s">
        <v>524</v>
      </c>
      <c r="D1574" t="s">
        <v>635</v>
      </c>
      <c r="E1574" s="1">
        <v>45580</v>
      </c>
      <c r="F1574" s="1">
        <v>45581</v>
      </c>
      <c r="G1574" s="1">
        <v>45604</v>
      </c>
      <c r="H1574" t="s">
        <v>13</v>
      </c>
      <c r="I1574">
        <v>209.46</v>
      </c>
      <c r="J1574" t="s">
        <v>683</v>
      </c>
      <c r="K1574">
        <v>23</v>
      </c>
    </row>
    <row r="1575" spans="1:11" x14ac:dyDescent="0.35">
      <c r="A1575" t="s">
        <v>1044</v>
      </c>
      <c r="B1575" t="s">
        <v>446</v>
      </c>
      <c r="C1575" t="s">
        <v>583</v>
      </c>
      <c r="D1575" t="s">
        <v>635</v>
      </c>
      <c r="E1575" s="1">
        <v>45198</v>
      </c>
      <c r="F1575" s="1">
        <v>45201</v>
      </c>
      <c r="G1575" s="1">
        <v>45212</v>
      </c>
      <c r="H1575" t="s">
        <v>8</v>
      </c>
      <c r="I1575">
        <v>209.02</v>
      </c>
      <c r="J1575" t="s">
        <v>683</v>
      </c>
      <c r="K1575">
        <v>11</v>
      </c>
    </row>
    <row r="1576" spans="1:11" x14ac:dyDescent="0.35">
      <c r="A1576" t="s">
        <v>1213</v>
      </c>
      <c r="B1576" t="s">
        <v>348</v>
      </c>
      <c r="C1576" t="s">
        <v>546</v>
      </c>
      <c r="D1576" t="s">
        <v>635</v>
      </c>
      <c r="E1576" s="1">
        <v>45367</v>
      </c>
      <c r="F1576" s="1">
        <v>45372</v>
      </c>
      <c r="G1576" s="1"/>
      <c r="H1576" t="s">
        <v>8</v>
      </c>
      <c r="I1576">
        <v>208.37</v>
      </c>
      <c r="J1576" t="s">
        <v>689</v>
      </c>
    </row>
    <row r="1577" spans="1:11" x14ac:dyDescent="0.35">
      <c r="A1577" t="s">
        <v>1294</v>
      </c>
      <c r="B1577" t="s">
        <v>303</v>
      </c>
      <c r="C1577" t="s">
        <v>577</v>
      </c>
      <c r="D1577" t="s">
        <v>635</v>
      </c>
      <c r="E1577" s="1">
        <v>45128</v>
      </c>
      <c r="F1577" s="1">
        <v>45129</v>
      </c>
      <c r="G1577" s="1">
        <v>45156</v>
      </c>
      <c r="H1577" t="s">
        <v>8</v>
      </c>
      <c r="I1577">
        <v>207.84</v>
      </c>
      <c r="J1577" t="s">
        <v>683</v>
      </c>
      <c r="K1577">
        <v>27</v>
      </c>
    </row>
    <row r="1578" spans="1:11" x14ac:dyDescent="0.35">
      <c r="A1578" t="s">
        <v>1265</v>
      </c>
      <c r="B1578" t="s">
        <v>224</v>
      </c>
      <c r="C1578" t="s">
        <v>549</v>
      </c>
      <c r="D1578" t="s">
        <v>635</v>
      </c>
      <c r="E1578" s="1">
        <v>45528</v>
      </c>
      <c r="F1578" s="1">
        <v>45529</v>
      </c>
      <c r="G1578" s="1">
        <v>45557</v>
      </c>
      <c r="H1578" t="s">
        <v>11</v>
      </c>
      <c r="I1578">
        <v>207.81</v>
      </c>
      <c r="J1578" t="s">
        <v>683</v>
      </c>
      <c r="K1578">
        <v>28</v>
      </c>
    </row>
    <row r="1579" spans="1:11" x14ac:dyDescent="0.35">
      <c r="A1579" t="s">
        <v>1843</v>
      </c>
      <c r="B1579" t="s">
        <v>162</v>
      </c>
      <c r="C1579" t="s">
        <v>567</v>
      </c>
      <c r="D1579" t="s">
        <v>617</v>
      </c>
      <c r="E1579" s="1">
        <v>45030</v>
      </c>
      <c r="F1579" s="1">
        <v>45032</v>
      </c>
      <c r="G1579" s="1">
        <v>45061</v>
      </c>
      <c r="H1579" t="s">
        <v>11</v>
      </c>
      <c r="I1579">
        <v>207.78</v>
      </c>
      <c r="J1579" t="s">
        <v>683</v>
      </c>
      <c r="K1579">
        <v>29</v>
      </c>
    </row>
    <row r="1580" spans="1:11" x14ac:dyDescent="0.35">
      <c r="A1580" t="s">
        <v>1612</v>
      </c>
      <c r="B1580" t="s">
        <v>394</v>
      </c>
      <c r="C1580" t="s">
        <v>583</v>
      </c>
      <c r="D1580" t="s">
        <v>635</v>
      </c>
      <c r="E1580" s="1">
        <v>44953</v>
      </c>
      <c r="F1580" s="1">
        <v>44958</v>
      </c>
      <c r="G1580" s="1">
        <v>44981</v>
      </c>
      <c r="H1580" t="s">
        <v>8</v>
      </c>
      <c r="I1580">
        <v>206.32</v>
      </c>
      <c r="J1580" t="s">
        <v>683</v>
      </c>
      <c r="K1580">
        <v>23</v>
      </c>
    </row>
    <row r="1581" spans="1:11" x14ac:dyDescent="0.35">
      <c r="A1581" t="s">
        <v>2100</v>
      </c>
      <c r="B1581" t="s">
        <v>84</v>
      </c>
      <c r="C1581" t="s">
        <v>557</v>
      </c>
      <c r="D1581" t="s">
        <v>635</v>
      </c>
      <c r="E1581" s="1">
        <v>45576</v>
      </c>
      <c r="F1581" s="1">
        <v>45577</v>
      </c>
      <c r="G1581" s="1">
        <v>45594</v>
      </c>
      <c r="H1581" t="s">
        <v>25</v>
      </c>
      <c r="I1581">
        <v>205.27</v>
      </c>
      <c r="J1581" t="s">
        <v>683</v>
      </c>
      <c r="K1581">
        <v>17</v>
      </c>
    </row>
    <row r="1582" spans="1:11" x14ac:dyDescent="0.35">
      <c r="A1582" t="s">
        <v>805</v>
      </c>
      <c r="B1582" t="s">
        <v>372</v>
      </c>
      <c r="C1582" t="s">
        <v>524</v>
      </c>
      <c r="D1582" t="s">
        <v>617</v>
      </c>
      <c r="E1582" s="1">
        <v>45590</v>
      </c>
      <c r="F1582" s="1">
        <v>45592</v>
      </c>
      <c r="G1582" s="1">
        <v>45622</v>
      </c>
      <c r="H1582" t="s">
        <v>13</v>
      </c>
      <c r="I1582">
        <v>204.66</v>
      </c>
      <c r="J1582" t="s">
        <v>683</v>
      </c>
      <c r="K1582">
        <v>30</v>
      </c>
    </row>
    <row r="1583" spans="1:11" x14ac:dyDescent="0.35">
      <c r="A1583" t="s">
        <v>1883</v>
      </c>
      <c r="B1583" t="s">
        <v>506</v>
      </c>
      <c r="C1583" t="s">
        <v>597</v>
      </c>
      <c r="D1583" t="s">
        <v>617</v>
      </c>
      <c r="E1583" s="1">
        <v>45485</v>
      </c>
      <c r="F1583" s="1">
        <v>45490</v>
      </c>
      <c r="G1583" s="1">
        <v>45517</v>
      </c>
      <c r="H1583" t="s">
        <v>11</v>
      </c>
      <c r="I1583">
        <v>204.52</v>
      </c>
      <c r="J1583" t="s">
        <v>683</v>
      </c>
      <c r="K1583">
        <v>27</v>
      </c>
    </row>
    <row r="1584" spans="1:11" x14ac:dyDescent="0.35">
      <c r="A1584" t="s">
        <v>1220</v>
      </c>
      <c r="B1584" t="s">
        <v>243</v>
      </c>
      <c r="C1584" t="s">
        <v>543</v>
      </c>
      <c r="D1584" t="s">
        <v>635</v>
      </c>
      <c r="E1584" s="1">
        <v>45615</v>
      </c>
      <c r="F1584" s="1">
        <v>45616</v>
      </c>
      <c r="G1584" s="1">
        <v>45621</v>
      </c>
      <c r="H1584" t="s">
        <v>13</v>
      </c>
      <c r="I1584">
        <v>203.73</v>
      </c>
      <c r="J1584" t="s">
        <v>687</v>
      </c>
      <c r="K1584">
        <v>5</v>
      </c>
    </row>
    <row r="1585" spans="1:11" x14ac:dyDescent="0.35">
      <c r="A1585" t="s">
        <v>2173</v>
      </c>
      <c r="B1585" t="s">
        <v>385</v>
      </c>
      <c r="C1585" t="s">
        <v>605</v>
      </c>
      <c r="D1585" t="s">
        <v>617</v>
      </c>
      <c r="E1585" s="1">
        <v>45344</v>
      </c>
      <c r="F1585" s="1">
        <v>45346</v>
      </c>
      <c r="G1585" s="1">
        <v>45371</v>
      </c>
      <c r="H1585" t="s">
        <v>20</v>
      </c>
      <c r="I1585">
        <v>202.61</v>
      </c>
      <c r="J1585" t="s">
        <v>683</v>
      </c>
      <c r="K1585">
        <v>25</v>
      </c>
    </row>
    <row r="1586" spans="1:11" x14ac:dyDescent="0.35">
      <c r="A1586" t="s">
        <v>1826</v>
      </c>
      <c r="B1586" t="s">
        <v>187</v>
      </c>
      <c r="C1586" t="s">
        <v>531</v>
      </c>
      <c r="D1586" t="s">
        <v>617</v>
      </c>
      <c r="E1586" s="1">
        <v>45140</v>
      </c>
      <c r="F1586" s="1">
        <v>45142</v>
      </c>
      <c r="G1586" s="1">
        <v>45165</v>
      </c>
      <c r="H1586" t="s">
        <v>11</v>
      </c>
      <c r="I1586">
        <v>202.21</v>
      </c>
      <c r="J1586" t="s">
        <v>683</v>
      </c>
      <c r="K1586">
        <v>23</v>
      </c>
    </row>
    <row r="1587" spans="1:11" x14ac:dyDescent="0.35">
      <c r="A1587" t="s">
        <v>1335</v>
      </c>
      <c r="B1587" t="s">
        <v>439</v>
      </c>
      <c r="C1587" t="s">
        <v>549</v>
      </c>
      <c r="D1587" t="s">
        <v>617</v>
      </c>
      <c r="E1587" s="1">
        <v>45537</v>
      </c>
      <c r="F1587" s="1">
        <v>45542</v>
      </c>
      <c r="G1587" s="1">
        <v>45570</v>
      </c>
      <c r="H1587" t="s">
        <v>11</v>
      </c>
      <c r="I1587">
        <v>202.15</v>
      </c>
      <c r="J1587" t="s">
        <v>683</v>
      </c>
      <c r="K1587">
        <v>28</v>
      </c>
    </row>
    <row r="1588" spans="1:11" x14ac:dyDescent="0.35">
      <c r="A1588" t="s">
        <v>1483</v>
      </c>
      <c r="B1588" t="s">
        <v>300</v>
      </c>
      <c r="C1588" t="s">
        <v>571</v>
      </c>
      <c r="D1588" t="s">
        <v>635</v>
      </c>
      <c r="E1588" s="1">
        <v>44946</v>
      </c>
      <c r="F1588" s="1">
        <v>44951</v>
      </c>
      <c r="G1588" s="1">
        <v>44955</v>
      </c>
      <c r="H1588" t="s">
        <v>20</v>
      </c>
      <c r="I1588">
        <v>202.11</v>
      </c>
      <c r="J1588" t="s">
        <v>687</v>
      </c>
      <c r="K1588">
        <v>4</v>
      </c>
    </row>
    <row r="1589" spans="1:11" x14ac:dyDescent="0.35">
      <c r="A1589" t="s">
        <v>778</v>
      </c>
      <c r="B1589" t="s">
        <v>412</v>
      </c>
      <c r="C1589" t="s">
        <v>587</v>
      </c>
      <c r="D1589" t="s">
        <v>617</v>
      </c>
      <c r="E1589" s="1">
        <v>45636</v>
      </c>
      <c r="F1589" s="1">
        <v>45637</v>
      </c>
      <c r="G1589" s="1">
        <v>45641</v>
      </c>
      <c r="H1589" t="s">
        <v>8</v>
      </c>
      <c r="I1589">
        <v>200.83</v>
      </c>
      <c r="J1589" t="s">
        <v>683</v>
      </c>
      <c r="K1589">
        <v>4</v>
      </c>
    </row>
    <row r="1590" spans="1:11" x14ac:dyDescent="0.35">
      <c r="A1590" t="s">
        <v>996</v>
      </c>
      <c r="B1590" t="s">
        <v>450</v>
      </c>
      <c r="C1590" t="s">
        <v>527</v>
      </c>
      <c r="D1590" t="s">
        <v>635</v>
      </c>
      <c r="E1590" s="1">
        <v>45279</v>
      </c>
      <c r="F1590" s="1">
        <v>45281</v>
      </c>
      <c r="G1590" s="1">
        <v>45295</v>
      </c>
      <c r="H1590" t="s">
        <v>20</v>
      </c>
      <c r="I1590">
        <v>200.6</v>
      </c>
      <c r="J1590" t="s">
        <v>683</v>
      </c>
      <c r="K1590">
        <v>14</v>
      </c>
    </row>
    <row r="1591" spans="1:11" x14ac:dyDescent="0.35">
      <c r="A1591" t="s">
        <v>2560</v>
      </c>
      <c r="B1591" t="s">
        <v>353</v>
      </c>
      <c r="C1591" t="s">
        <v>575</v>
      </c>
      <c r="D1591" t="s">
        <v>635</v>
      </c>
      <c r="E1591" s="1">
        <v>45647</v>
      </c>
      <c r="F1591" s="1">
        <v>45649</v>
      </c>
      <c r="G1591" s="1">
        <v>45661</v>
      </c>
      <c r="H1591" t="s">
        <v>20</v>
      </c>
      <c r="I1591">
        <v>200.57</v>
      </c>
      <c r="J1591" t="s">
        <v>683</v>
      </c>
      <c r="K1591">
        <v>12</v>
      </c>
    </row>
    <row r="1592" spans="1:11" x14ac:dyDescent="0.35">
      <c r="A1592" t="s">
        <v>1646</v>
      </c>
      <c r="B1592" t="s">
        <v>236</v>
      </c>
      <c r="C1592" t="s">
        <v>531</v>
      </c>
      <c r="D1592" t="s">
        <v>617</v>
      </c>
      <c r="E1592" s="1">
        <v>44956</v>
      </c>
      <c r="F1592" s="1">
        <v>44960</v>
      </c>
      <c r="G1592" s="1">
        <v>44989</v>
      </c>
      <c r="H1592" t="s">
        <v>11</v>
      </c>
      <c r="I1592">
        <v>200.17</v>
      </c>
      <c r="J1592" t="s">
        <v>683</v>
      </c>
      <c r="K1592">
        <v>29</v>
      </c>
    </row>
    <row r="1593" spans="1:11" x14ac:dyDescent="0.35">
      <c r="A1593" t="s">
        <v>1586</v>
      </c>
      <c r="B1593" t="s">
        <v>128</v>
      </c>
      <c r="C1593" t="s">
        <v>546</v>
      </c>
      <c r="D1593" t="s">
        <v>617</v>
      </c>
      <c r="E1593" s="1">
        <v>45499</v>
      </c>
      <c r="F1593" s="1">
        <v>45500</v>
      </c>
      <c r="G1593" s="1">
        <v>45518</v>
      </c>
      <c r="H1593" t="s">
        <v>8</v>
      </c>
      <c r="I1593">
        <v>199.63</v>
      </c>
      <c r="J1593" t="s">
        <v>683</v>
      </c>
      <c r="K1593">
        <v>18</v>
      </c>
    </row>
    <row r="1594" spans="1:11" x14ac:dyDescent="0.35">
      <c r="A1594" t="s">
        <v>2396</v>
      </c>
      <c r="B1594" t="s">
        <v>213</v>
      </c>
      <c r="C1594" t="s">
        <v>527</v>
      </c>
      <c r="D1594" t="s">
        <v>635</v>
      </c>
      <c r="E1594" s="1">
        <v>44967</v>
      </c>
      <c r="F1594" s="1">
        <v>44971</v>
      </c>
      <c r="G1594" s="1">
        <v>44981</v>
      </c>
      <c r="H1594" t="s">
        <v>8</v>
      </c>
      <c r="I1594">
        <v>199.44</v>
      </c>
      <c r="J1594" t="s">
        <v>683</v>
      </c>
      <c r="K1594">
        <v>10</v>
      </c>
    </row>
    <row r="1595" spans="1:11" x14ac:dyDescent="0.35">
      <c r="A1595" t="s">
        <v>2437</v>
      </c>
      <c r="B1595" t="s">
        <v>153</v>
      </c>
      <c r="C1595" t="s">
        <v>589</v>
      </c>
      <c r="D1595" t="s">
        <v>635</v>
      </c>
      <c r="E1595" s="1">
        <v>45420</v>
      </c>
      <c r="F1595" s="1">
        <v>45424</v>
      </c>
      <c r="G1595" s="1">
        <v>45442</v>
      </c>
      <c r="H1595" t="s">
        <v>13</v>
      </c>
      <c r="I1595">
        <v>199.29</v>
      </c>
      <c r="J1595" t="s">
        <v>683</v>
      </c>
      <c r="K1595">
        <v>18</v>
      </c>
    </row>
    <row r="1596" spans="1:11" x14ac:dyDescent="0.35">
      <c r="A1596" t="s">
        <v>1933</v>
      </c>
      <c r="B1596" t="s">
        <v>26</v>
      </c>
      <c r="C1596" t="s">
        <v>603</v>
      </c>
      <c r="D1596" t="s">
        <v>617</v>
      </c>
      <c r="E1596" s="1">
        <v>45486</v>
      </c>
      <c r="F1596" s="1">
        <v>45487</v>
      </c>
      <c r="G1596" s="1">
        <v>45491</v>
      </c>
      <c r="H1596" t="s">
        <v>11</v>
      </c>
      <c r="I1596">
        <v>198.93</v>
      </c>
      <c r="J1596" t="s">
        <v>687</v>
      </c>
      <c r="K1596">
        <v>4</v>
      </c>
    </row>
    <row r="1597" spans="1:11" x14ac:dyDescent="0.35">
      <c r="A1597" t="s">
        <v>1270</v>
      </c>
      <c r="B1597" t="s">
        <v>263</v>
      </c>
      <c r="C1597" t="s">
        <v>561</v>
      </c>
      <c r="D1597" t="s">
        <v>617</v>
      </c>
      <c r="E1597" s="1">
        <v>45079</v>
      </c>
      <c r="F1597" s="1">
        <v>45083</v>
      </c>
      <c r="G1597" s="1">
        <v>45086</v>
      </c>
      <c r="H1597" t="s">
        <v>20</v>
      </c>
      <c r="I1597">
        <v>198.44</v>
      </c>
      <c r="J1597" t="s">
        <v>687</v>
      </c>
      <c r="K1597">
        <v>3</v>
      </c>
    </row>
    <row r="1598" spans="1:11" x14ac:dyDescent="0.35">
      <c r="A1598" t="s">
        <v>2300</v>
      </c>
      <c r="B1598" t="s">
        <v>353</v>
      </c>
      <c r="C1598" t="s">
        <v>589</v>
      </c>
      <c r="D1598" t="s">
        <v>617</v>
      </c>
      <c r="E1598" s="1">
        <v>45008</v>
      </c>
      <c r="F1598" s="1">
        <v>45012</v>
      </c>
      <c r="G1598" s="1">
        <v>45040</v>
      </c>
      <c r="H1598" t="s">
        <v>20</v>
      </c>
      <c r="I1598">
        <v>198.35</v>
      </c>
      <c r="J1598" t="s">
        <v>683</v>
      </c>
      <c r="K1598">
        <v>28</v>
      </c>
    </row>
    <row r="1599" spans="1:11" x14ac:dyDescent="0.35">
      <c r="A1599" t="s">
        <v>2170</v>
      </c>
      <c r="B1599" t="s">
        <v>211</v>
      </c>
      <c r="C1599" t="s">
        <v>609</v>
      </c>
      <c r="D1599" t="s">
        <v>635</v>
      </c>
      <c r="E1599" s="1">
        <v>45564</v>
      </c>
      <c r="F1599" s="1">
        <v>45565</v>
      </c>
      <c r="G1599" s="1">
        <v>45583</v>
      </c>
      <c r="H1599" t="s">
        <v>11</v>
      </c>
      <c r="I1599">
        <v>198.12</v>
      </c>
      <c r="J1599" t="s">
        <v>683</v>
      </c>
      <c r="K1599">
        <v>18</v>
      </c>
    </row>
    <row r="1600" spans="1:11" x14ac:dyDescent="0.35">
      <c r="A1600" t="s">
        <v>1540</v>
      </c>
      <c r="B1600" t="s">
        <v>178</v>
      </c>
      <c r="C1600" t="s">
        <v>565</v>
      </c>
      <c r="D1600" t="s">
        <v>635</v>
      </c>
      <c r="E1600" s="1">
        <v>45473</v>
      </c>
      <c r="F1600" s="1">
        <v>45478</v>
      </c>
      <c r="G1600" s="1">
        <v>45506</v>
      </c>
      <c r="H1600" t="s">
        <v>8</v>
      </c>
      <c r="I1600">
        <v>197.95</v>
      </c>
      <c r="J1600" t="s">
        <v>687</v>
      </c>
      <c r="K1600">
        <v>28</v>
      </c>
    </row>
    <row r="1601" spans="1:11" x14ac:dyDescent="0.35">
      <c r="A1601" t="s">
        <v>1092</v>
      </c>
      <c r="B1601" t="s">
        <v>450</v>
      </c>
      <c r="C1601" t="s">
        <v>567</v>
      </c>
      <c r="D1601" t="s">
        <v>635</v>
      </c>
      <c r="E1601" s="1">
        <v>45522</v>
      </c>
      <c r="F1601" s="1">
        <v>45524</v>
      </c>
      <c r="G1601" s="1">
        <v>45549</v>
      </c>
      <c r="H1601" t="s">
        <v>20</v>
      </c>
      <c r="I1601">
        <v>197.65</v>
      </c>
      <c r="J1601" t="s">
        <v>683</v>
      </c>
      <c r="K1601">
        <v>25</v>
      </c>
    </row>
    <row r="1602" spans="1:11" x14ac:dyDescent="0.35">
      <c r="A1602" t="s">
        <v>726</v>
      </c>
      <c r="B1602" t="s">
        <v>45</v>
      </c>
      <c r="C1602" t="s">
        <v>549</v>
      </c>
      <c r="D1602" t="s">
        <v>635</v>
      </c>
      <c r="E1602" s="1">
        <v>45520</v>
      </c>
      <c r="F1602" s="1">
        <v>45525</v>
      </c>
      <c r="G1602" s="1">
        <v>45534</v>
      </c>
      <c r="H1602" t="s">
        <v>11</v>
      </c>
      <c r="I1602">
        <v>196.8</v>
      </c>
      <c r="J1602" t="s">
        <v>683</v>
      </c>
      <c r="K1602">
        <v>9</v>
      </c>
    </row>
    <row r="1603" spans="1:11" x14ac:dyDescent="0.35">
      <c r="A1603" t="s">
        <v>1530</v>
      </c>
      <c r="B1603" t="s">
        <v>480</v>
      </c>
      <c r="C1603" t="s">
        <v>579</v>
      </c>
      <c r="D1603" t="s">
        <v>635</v>
      </c>
      <c r="E1603" s="1">
        <v>45652</v>
      </c>
      <c r="F1603" s="1">
        <v>45655</v>
      </c>
      <c r="G1603" s="1">
        <v>45668</v>
      </c>
      <c r="H1603" t="s">
        <v>11</v>
      </c>
      <c r="I1603">
        <v>196.77</v>
      </c>
      <c r="J1603" t="s">
        <v>683</v>
      </c>
      <c r="K1603">
        <v>13</v>
      </c>
    </row>
    <row r="1604" spans="1:11" x14ac:dyDescent="0.35">
      <c r="A1604" t="s">
        <v>2005</v>
      </c>
      <c r="B1604" t="s">
        <v>365</v>
      </c>
      <c r="C1604" t="s">
        <v>546</v>
      </c>
      <c r="D1604" t="s">
        <v>635</v>
      </c>
      <c r="E1604" s="1">
        <v>45531</v>
      </c>
      <c r="F1604" s="1">
        <v>45535</v>
      </c>
      <c r="G1604" s="1">
        <v>45539</v>
      </c>
      <c r="H1604" t="s">
        <v>11</v>
      </c>
      <c r="I1604">
        <v>196.1</v>
      </c>
      <c r="J1604" t="s">
        <v>683</v>
      </c>
      <c r="K1604">
        <v>4</v>
      </c>
    </row>
    <row r="1605" spans="1:11" x14ac:dyDescent="0.35">
      <c r="A1605" t="s">
        <v>1995</v>
      </c>
      <c r="B1605" t="s">
        <v>392</v>
      </c>
      <c r="C1605" t="s">
        <v>589</v>
      </c>
      <c r="D1605" t="s">
        <v>635</v>
      </c>
      <c r="E1605" s="1">
        <v>44936</v>
      </c>
      <c r="F1605" s="1">
        <v>44937</v>
      </c>
      <c r="G1605" s="1">
        <v>44941</v>
      </c>
      <c r="H1605" t="s">
        <v>13</v>
      </c>
      <c r="I1605">
        <v>195.86</v>
      </c>
      <c r="J1605" t="s">
        <v>683</v>
      </c>
      <c r="K1605">
        <v>4</v>
      </c>
    </row>
    <row r="1606" spans="1:11" x14ac:dyDescent="0.35">
      <c r="A1606" t="s">
        <v>1484</v>
      </c>
      <c r="B1606" t="s">
        <v>401</v>
      </c>
      <c r="C1606" t="s">
        <v>571</v>
      </c>
      <c r="D1606" t="s">
        <v>617</v>
      </c>
      <c r="E1606" s="1">
        <v>45484</v>
      </c>
      <c r="F1606" s="1">
        <v>45485</v>
      </c>
      <c r="G1606" s="1">
        <v>45495</v>
      </c>
      <c r="H1606" t="s">
        <v>8</v>
      </c>
      <c r="I1606">
        <v>195.49</v>
      </c>
      <c r="J1606" t="s">
        <v>683</v>
      </c>
      <c r="K1606">
        <v>10</v>
      </c>
    </row>
    <row r="1607" spans="1:11" x14ac:dyDescent="0.35">
      <c r="A1607" t="s">
        <v>2472</v>
      </c>
      <c r="B1607" t="s">
        <v>390</v>
      </c>
      <c r="C1607" t="s">
        <v>597</v>
      </c>
      <c r="D1607" t="s">
        <v>635</v>
      </c>
      <c r="E1607" s="1">
        <v>45140</v>
      </c>
      <c r="F1607" s="1">
        <v>45142</v>
      </c>
      <c r="G1607" s="1">
        <v>45164</v>
      </c>
      <c r="H1607" t="s">
        <v>11</v>
      </c>
      <c r="I1607">
        <v>195.1</v>
      </c>
      <c r="J1607" t="s">
        <v>683</v>
      </c>
      <c r="K1607">
        <v>22</v>
      </c>
    </row>
    <row r="1608" spans="1:11" x14ac:dyDescent="0.35">
      <c r="A1608" t="s">
        <v>1208</v>
      </c>
      <c r="B1608" t="s">
        <v>98</v>
      </c>
      <c r="C1608" t="s">
        <v>531</v>
      </c>
      <c r="D1608" t="s">
        <v>617</v>
      </c>
      <c r="E1608" s="1">
        <v>45574</v>
      </c>
      <c r="F1608" s="1">
        <v>45576</v>
      </c>
      <c r="G1608" s="1">
        <v>45596</v>
      </c>
      <c r="H1608" t="s">
        <v>11</v>
      </c>
      <c r="I1608">
        <v>194.61</v>
      </c>
      <c r="J1608" t="s">
        <v>683</v>
      </c>
      <c r="K1608">
        <v>20</v>
      </c>
    </row>
    <row r="1609" spans="1:11" x14ac:dyDescent="0.35">
      <c r="A1609" t="s">
        <v>2550</v>
      </c>
      <c r="B1609" t="s">
        <v>80</v>
      </c>
      <c r="C1609" t="s">
        <v>603</v>
      </c>
      <c r="D1609" t="s">
        <v>617</v>
      </c>
      <c r="E1609" s="1">
        <v>45523</v>
      </c>
      <c r="F1609" s="1">
        <v>45524</v>
      </c>
      <c r="G1609" s="1"/>
      <c r="H1609" t="s">
        <v>8</v>
      </c>
      <c r="I1609">
        <v>194.32</v>
      </c>
      <c r="J1609" t="s">
        <v>689</v>
      </c>
    </row>
    <row r="1610" spans="1:11" x14ac:dyDescent="0.35">
      <c r="A1610" t="s">
        <v>944</v>
      </c>
      <c r="B1610" t="s">
        <v>67</v>
      </c>
      <c r="C1610" t="s">
        <v>565</v>
      </c>
      <c r="D1610" t="s">
        <v>635</v>
      </c>
      <c r="E1610" s="1">
        <v>44934</v>
      </c>
      <c r="F1610" s="1">
        <v>44935</v>
      </c>
      <c r="G1610" s="1">
        <v>44946</v>
      </c>
      <c r="H1610" t="s">
        <v>11</v>
      </c>
      <c r="I1610">
        <v>194.3</v>
      </c>
      <c r="J1610" t="s">
        <v>683</v>
      </c>
      <c r="K1610">
        <v>11</v>
      </c>
    </row>
    <row r="1611" spans="1:11" x14ac:dyDescent="0.35">
      <c r="A1611" t="s">
        <v>2093</v>
      </c>
      <c r="B1611" t="s">
        <v>306</v>
      </c>
      <c r="C1611" t="s">
        <v>601</v>
      </c>
      <c r="D1611" t="s">
        <v>635</v>
      </c>
      <c r="E1611" s="1">
        <v>45107</v>
      </c>
      <c r="F1611" s="1">
        <v>45108</v>
      </c>
      <c r="G1611" s="1">
        <v>45112</v>
      </c>
      <c r="H1611" t="s">
        <v>25</v>
      </c>
      <c r="I1611">
        <v>193.66</v>
      </c>
      <c r="J1611" t="s">
        <v>683</v>
      </c>
      <c r="K1611">
        <v>4</v>
      </c>
    </row>
    <row r="1612" spans="1:11" x14ac:dyDescent="0.35">
      <c r="A1612" t="s">
        <v>1035</v>
      </c>
      <c r="B1612" t="s">
        <v>312</v>
      </c>
      <c r="C1612" t="s">
        <v>579</v>
      </c>
      <c r="D1612" t="s">
        <v>635</v>
      </c>
      <c r="E1612" s="1">
        <v>45001</v>
      </c>
      <c r="F1612" s="1">
        <v>45002</v>
      </c>
      <c r="G1612" s="1">
        <v>45012</v>
      </c>
      <c r="H1612" t="s">
        <v>11</v>
      </c>
      <c r="I1612">
        <v>193.52</v>
      </c>
      <c r="J1612" t="s">
        <v>683</v>
      </c>
      <c r="K1612">
        <v>10</v>
      </c>
    </row>
    <row r="1613" spans="1:11" x14ac:dyDescent="0.35">
      <c r="A1613" t="s">
        <v>1568</v>
      </c>
      <c r="B1613" t="s">
        <v>388</v>
      </c>
      <c r="C1613" t="s">
        <v>603</v>
      </c>
      <c r="D1613" t="s">
        <v>617</v>
      </c>
      <c r="E1613" s="1">
        <v>45602</v>
      </c>
      <c r="F1613" s="1">
        <v>45607</v>
      </c>
      <c r="G1613" s="1">
        <v>45628</v>
      </c>
      <c r="H1613" t="s">
        <v>8</v>
      </c>
      <c r="I1613">
        <v>193.37</v>
      </c>
      <c r="J1613" t="s">
        <v>683</v>
      </c>
      <c r="K1613">
        <v>21</v>
      </c>
    </row>
    <row r="1614" spans="1:11" x14ac:dyDescent="0.35">
      <c r="A1614" t="s">
        <v>1960</v>
      </c>
      <c r="B1614" t="s">
        <v>380</v>
      </c>
      <c r="C1614" t="s">
        <v>555</v>
      </c>
      <c r="D1614" t="s">
        <v>617</v>
      </c>
      <c r="E1614" s="1">
        <v>44934</v>
      </c>
      <c r="F1614" s="1">
        <v>44938</v>
      </c>
      <c r="G1614" s="1">
        <v>44948</v>
      </c>
      <c r="H1614" t="s">
        <v>8</v>
      </c>
      <c r="I1614">
        <v>192.69</v>
      </c>
      <c r="J1614" t="s">
        <v>683</v>
      </c>
      <c r="K1614">
        <v>10</v>
      </c>
    </row>
    <row r="1615" spans="1:11" x14ac:dyDescent="0.35">
      <c r="A1615" t="s">
        <v>2325</v>
      </c>
      <c r="B1615" t="s">
        <v>351</v>
      </c>
      <c r="C1615" t="s">
        <v>543</v>
      </c>
      <c r="D1615" t="s">
        <v>635</v>
      </c>
      <c r="E1615" s="1">
        <v>45479</v>
      </c>
      <c r="F1615" s="1">
        <v>45484</v>
      </c>
      <c r="G1615" s="1">
        <v>45494</v>
      </c>
      <c r="H1615" t="s">
        <v>11</v>
      </c>
      <c r="I1615">
        <v>192.36</v>
      </c>
      <c r="J1615" t="s">
        <v>683</v>
      </c>
      <c r="K1615">
        <v>10</v>
      </c>
    </row>
    <row r="1616" spans="1:11" x14ac:dyDescent="0.35">
      <c r="A1616" t="s">
        <v>2056</v>
      </c>
      <c r="B1616" t="s">
        <v>443</v>
      </c>
      <c r="C1616" t="s">
        <v>595</v>
      </c>
      <c r="D1616" t="s">
        <v>635</v>
      </c>
      <c r="E1616" s="1">
        <v>45388</v>
      </c>
      <c r="F1616" s="1">
        <v>45393</v>
      </c>
      <c r="G1616" s="1">
        <v>45405</v>
      </c>
      <c r="H1616" t="s">
        <v>11</v>
      </c>
      <c r="I1616">
        <v>191.63</v>
      </c>
      <c r="J1616" t="s">
        <v>683</v>
      </c>
      <c r="K1616">
        <v>12</v>
      </c>
    </row>
    <row r="1617" spans="1:11" x14ac:dyDescent="0.35">
      <c r="A1617" t="s">
        <v>902</v>
      </c>
      <c r="B1617" t="s">
        <v>496</v>
      </c>
      <c r="C1617" t="s">
        <v>521</v>
      </c>
      <c r="D1617" t="s">
        <v>635</v>
      </c>
      <c r="E1617" s="1">
        <v>45576</v>
      </c>
      <c r="F1617" s="1">
        <v>45578</v>
      </c>
      <c r="G1617" s="1">
        <v>45586</v>
      </c>
      <c r="H1617" t="s">
        <v>13</v>
      </c>
      <c r="I1617">
        <v>190.99</v>
      </c>
      <c r="J1617" t="s">
        <v>683</v>
      </c>
      <c r="K1617">
        <v>8</v>
      </c>
    </row>
    <row r="1618" spans="1:11" x14ac:dyDescent="0.35">
      <c r="A1618" t="s">
        <v>1043</v>
      </c>
      <c r="B1618" t="s">
        <v>160</v>
      </c>
      <c r="C1618" t="s">
        <v>553</v>
      </c>
      <c r="D1618" t="s">
        <v>617</v>
      </c>
      <c r="E1618" s="1">
        <v>45650</v>
      </c>
      <c r="F1618" s="1">
        <v>45651</v>
      </c>
      <c r="G1618" s="1">
        <v>45674</v>
      </c>
      <c r="H1618" t="s">
        <v>20</v>
      </c>
      <c r="I1618">
        <v>190.37</v>
      </c>
      <c r="J1618" t="s">
        <v>683</v>
      </c>
      <c r="K1618">
        <v>23</v>
      </c>
    </row>
    <row r="1619" spans="1:11" x14ac:dyDescent="0.35">
      <c r="A1619" t="s">
        <v>702</v>
      </c>
      <c r="B1619" t="s">
        <v>498</v>
      </c>
      <c r="C1619" t="s">
        <v>537</v>
      </c>
      <c r="D1619" t="s">
        <v>635</v>
      </c>
      <c r="E1619" s="1">
        <v>45153</v>
      </c>
      <c r="F1619" s="1">
        <v>45155</v>
      </c>
      <c r="G1619" s="1">
        <v>45176</v>
      </c>
      <c r="H1619" t="s">
        <v>25</v>
      </c>
      <c r="I1619">
        <v>189.87</v>
      </c>
      <c r="J1619" t="s">
        <v>683</v>
      </c>
      <c r="K1619">
        <v>21</v>
      </c>
    </row>
    <row r="1620" spans="1:11" x14ac:dyDescent="0.35">
      <c r="A1620" t="s">
        <v>2575</v>
      </c>
      <c r="B1620" t="s">
        <v>5</v>
      </c>
      <c r="C1620" t="s">
        <v>577</v>
      </c>
      <c r="D1620" t="s">
        <v>617</v>
      </c>
      <c r="E1620" s="1">
        <v>45173</v>
      </c>
      <c r="F1620" s="1">
        <v>45178</v>
      </c>
      <c r="G1620" s="1">
        <v>45208</v>
      </c>
      <c r="H1620" t="s">
        <v>8</v>
      </c>
      <c r="I1620">
        <v>189.48</v>
      </c>
      <c r="J1620" t="s">
        <v>683</v>
      </c>
      <c r="K1620">
        <v>30</v>
      </c>
    </row>
    <row r="1621" spans="1:11" x14ac:dyDescent="0.35">
      <c r="A1621" t="s">
        <v>2342</v>
      </c>
      <c r="B1621" t="s">
        <v>228</v>
      </c>
      <c r="C1621" t="s">
        <v>537</v>
      </c>
      <c r="D1621" t="s">
        <v>617</v>
      </c>
      <c r="E1621" s="1">
        <v>45369</v>
      </c>
      <c r="F1621" s="1">
        <v>45370</v>
      </c>
      <c r="G1621" s="1"/>
      <c r="H1621" t="s">
        <v>25</v>
      </c>
      <c r="I1621">
        <v>189.38</v>
      </c>
      <c r="J1621" t="s">
        <v>689</v>
      </c>
    </row>
    <row r="1622" spans="1:11" x14ac:dyDescent="0.35">
      <c r="A1622" t="s">
        <v>1223</v>
      </c>
      <c r="B1622" t="s">
        <v>416</v>
      </c>
      <c r="C1622" t="s">
        <v>540</v>
      </c>
      <c r="D1622" t="s">
        <v>617</v>
      </c>
      <c r="E1622" s="1">
        <v>44975</v>
      </c>
      <c r="F1622" s="1">
        <v>44980</v>
      </c>
      <c r="G1622" s="1">
        <v>44995</v>
      </c>
      <c r="H1622" t="s">
        <v>13</v>
      </c>
      <c r="I1622">
        <v>188.97</v>
      </c>
      <c r="J1622" t="s">
        <v>683</v>
      </c>
      <c r="K1622">
        <v>15</v>
      </c>
    </row>
    <row r="1623" spans="1:11" x14ac:dyDescent="0.35">
      <c r="A1623" t="s">
        <v>1897</v>
      </c>
      <c r="B1623" t="s">
        <v>218</v>
      </c>
      <c r="C1623" t="s">
        <v>607</v>
      </c>
      <c r="D1623" t="s">
        <v>617</v>
      </c>
      <c r="E1623" s="1">
        <v>45499</v>
      </c>
      <c r="F1623" s="1">
        <v>45500</v>
      </c>
      <c r="G1623" s="1">
        <v>45528</v>
      </c>
      <c r="H1623" t="s">
        <v>11</v>
      </c>
      <c r="I1623">
        <v>188.18</v>
      </c>
      <c r="J1623" t="s">
        <v>683</v>
      </c>
      <c r="K1623">
        <v>28</v>
      </c>
    </row>
    <row r="1624" spans="1:11" x14ac:dyDescent="0.35">
      <c r="A1624" t="s">
        <v>1654</v>
      </c>
      <c r="B1624" t="s">
        <v>200</v>
      </c>
      <c r="C1624" t="s">
        <v>521</v>
      </c>
      <c r="D1624" t="s">
        <v>638</v>
      </c>
      <c r="E1624" s="1">
        <v>45557</v>
      </c>
      <c r="F1624" s="1">
        <v>45562</v>
      </c>
      <c r="G1624" s="1">
        <v>45577</v>
      </c>
      <c r="H1624" t="s">
        <v>20</v>
      </c>
      <c r="I1624">
        <v>187.28</v>
      </c>
      <c r="J1624" t="s">
        <v>683</v>
      </c>
      <c r="K1624">
        <v>15</v>
      </c>
    </row>
    <row r="1625" spans="1:11" x14ac:dyDescent="0.35">
      <c r="A1625" t="s">
        <v>1360</v>
      </c>
      <c r="B1625" t="s">
        <v>165</v>
      </c>
      <c r="C1625" t="s">
        <v>583</v>
      </c>
      <c r="D1625" t="s">
        <v>635</v>
      </c>
      <c r="E1625" s="1">
        <v>45594</v>
      </c>
      <c r="F1625" s="1">
        <v>45599</v>
      </c>
      <c r="G1625" s="1">
        <v>45607</v>
      </c>
      <c r="H1625" t="s">
        <v>25</v>
      </c>
      <c r="I1625">
        <v>187.21</v>
      </c>
      <c r="J1625" t="s">
        <v>683</v>
      </c>
      <c r="K1625">
        <v>8</v>
      </c>
    </row>
    <row r="1626" spans="1:11" x14ac:dyDescent="0.35">
      <c r="A1626" t="s">
        <v>1526</v>
      </c>
      <c r="B1626" t="s">
        <v>16</v>
      </c>
      <c r="C1626" t="s">
        <v>573</v>
      </c>
      <c r="D1626" t="s">
        <v>635</v>
      </c>
      <c r="E1626" s="1">
        <v>45040</v>
      </c>
      <c r="F1626" s="1">
        <v>45041</v>
      </c>
      <c r="G1626" s="1">
        <v>45049</v>
      </c>
      <c r="H1626" t="s">
        <v>8</v>
      </c>
      <c r="I1626">
        <v>187.05</v>
      </c>
      <c r="J1626" t="s">
        <v>683</v>
      </c>
      <c r="K1626">
        <v>8</v>
      </c>
    </row>
    <row r="1627" spans="1:11" x14ac:dyDescent="0.35">
      <c r="A1627" t="s">
        <v>1572</v>
      </c>
      <c r="B1627" t="s">
        <v>266</v>
      </c>
      <c r="C1627" t="s">
        <v>543</v>
      </c>
      <c r="D1627" t="s">
        <v>638</v>
      </c>
      <c r="E1627" s="1">
        <v>45030</v>
      </c>
      <c r="F1627" s="1">
        <v>45033</v>
      </c>
      <c r="G1627" s="1">
        <v>45053</v>
      </c>
      <c r="H1627" t="s">
        <v>20</v>
      </c>
      <c r="I1627">
        <v>186.88</v>
      </c>
      <c r="J1627" t="s">
        <v>683</v>
      </c>
      <c r="K1627">
        <v>20</v>
      </c>
    </row>
    <row r="1628" spans="1:11" x14ac:dyDescent="0.35">
      <c r="A1628" t="s">
        <v>1898</v>
      </c>
      <c r="B1628" t="s">
        <v>99</v>
      </c>
      <c r="C1628" t="s">
        <v>581</v>
      </c>
      <c r="D1628" t="s">
        <v>638</v>
      </c>
      <c r="E1628" s="1">
        <v>45048</v>
      </c>
      <c r="F1628" s="1">
        <v>45050</v>
      </c>
      <c r="G1628" s="1">
        <v>45073</v>
      </c>
      <c r="H1628" t="s">
        <v>25</v>
      </c>
      <c r="I1628">
        <v>186.76</v>
      </c>
      <c r="J1628" t="s">
        <v>687</v>
      </c>
      <c r="K1628">
        <v>23</v>
      </c>
    </row>
    <row r="1629" spans="1:11" x14ac:dyDescent="0.35">
      <c r="A1629" t="s">
        <v>1650</v>
      </c>
      <c r="B1629" t="s">
        <v>119</v>
      </c>
      <c r="C1629" t="s">
        <v>591</v>
      </c>
      <c r="D1629" t="s">
        <v>617</v>
      </c>
      <c r="E1629" s="1">
        <v>44985</v>
      </c>
      <c r="F1629" s="1">
        <v>44989</v>
      </c>
      <c r="G1629" s="1">
        <v>44999</v>
      </c>
      <c r="H1629" t="s">
        <v>20</v>
      </c>
      <c r="I1629">
        <v>186.63</v>
      </c>
      <c r="J1629" t="s">
        <v>683</v>
      </c>
      <c r="K1629">
        <v>10</v>
      </c>
    </row>
    <row r="1630" spans="1:11" x14ac:dyDescent="0.35">
      <c r="A1630" t="s">
        <v>2205</v>
      </c>
      <c r="B1630" t="s">
        <v>258</v>
      </c>
      <c r="C1630" t="s">
        <v>561</v>
      </c>
      <c r="D1630" t="s">
        <v>635</v>
      </c>
      <c r="E1630" s="1">
        <v>45627</v>
      </c>
      <c r="F1630" s="1">
        <v>45629</v>
      </c>
      <c r="G1630" s="1">
        <v>45633</v>
      </c>
      <c r="H1630" t="s">
        <v>8</v>
      </c>
      <c r="I1630">
        <v>186.31</v>
      </c>
      <c r="J1630" t="s">
        <v>683</v>
      </c>
      <c r="K1630">
        <v>4</v>
      </c>
    </row>
    <row r="1631" spans="1:11" x14ac:dyDescent="0.35">
      <c r="A1631" t="s">
        <v>2545</v>
      </c>
      <c r="B1631" t="s">
        <v>451</v>
      </c>
      <c r="C1631" t="s">
        <v>527</v>
      </c>
      <c r="D1631" t="s">
        <v>635</v>
      </c>
      <c r="E1631" s="1">
        <v>45550</v>
      </c>
      <c r="F1631" s="1">
        <v>45555</v>
      </c>
      <c r="G1631" s="1">
        <v>45575</v>
      </c>
      <c r="H1631" t="s">
        <v>11</v>
      </c>
      <c r="I1631">
        <v>185.31</v>
      </c>
      <c r="J1631" t="s">
        <v>683</v>
      </c>
      <c r="K1631">
        <v>20</v>
      </c>
    </row>
    <row r="1632" spans="1:11" x14ac:dyDescent="0.35">
      <c r="A1632" t="s">
        <v>2294</v>
      </c>
      <c r="B1632" t="s">
        <v>247</v>
      </c>
      <c r="C1632" t="s">
        <v>589</v>
      </c>
      <c r="D1632" t="s">
        <v>617</v>
      </c>
      <c r="E1632" s="1">
        <v>45444</v>
      </c>
      <c r="F1632" s="1">
        <v>45448</v>
      </c>
      <c r="G1632" s="1">
        <v>45459</v>
      </c>
      <c r="H1632" t="s">
        <v>8</v>
      </c>
      <c r="I1632">
        <v>185.06</v>
      </c>
      <c r="J1632" t="s">
        <v>683</v>
      </c>
      <c r="K1632">
        <v>11</v>
      </c>
    </row>
    <row r="1633" spans="1:11" x14ac:dyDescent="0.35">
      <c r="A1633" t="s">
        <v>875</v>
      </c>
      <c r="B1633" t="s">
        <v>381</v>
      </c>
      <c r="C1633" t="s">
        <v>583</v>
      </c>
      <c r="D1633" t="s">
        <v>635</v>
      </c>
      <c r="E1633" s="1">
        <v>44969</v>
      </c>
      <c r="F1633" s="1">
        <v>44973</v>
      </c>
      <c r="G1633" s="1">
        <v>44989</v>
      </c>
      <c r="H1633" t="s">
        <v>11</v>
      </c>
      <c r="I1633">
        <v>184.91</v>
      </c>
      <c r="J1633" t="s">
        <v>683</v>
      </c>
      <c r="K1633">
        <v>16</v>
      </c>
    </row>
    <row r="1634" spans="1:11" x14ac:dyDescent="0.35">
      <c r="A1634" t="s">
        <v>2600</v>
      </c>
      <c r="B1634" t="s">
        <v>139</v>
      </c>
      <c r="C1634" t="s">
        <v>534</v>
      </c>
      <c r="D1634" t="s">
        <v>638</v>
      </c>
      <c r="E1634" s="1">
        <v>45131</v>
      </c>
      <c r="F1634" s="1">
        <v>45136</v>
      </c>
      <c r="G1634" s="1">
        <v>45154</v>
      </c>
      <c r="H1634" t="s">
        <v>20</v>
      </c>
      <c r="I1634">
        <v>184.91</v>
      </c>
      <c r="J1634" t="s">
        <v>687</v>
      </c>
      <c r="K1634">
        <v>18</v>
      </c>
    </row>
    <row r="1635" spans="1:11" x14ac:dyDescent="0.35">
      <c r="A1635" t="s">
        <v>2027</v>
      </c>
      <c r="B1635" t="s">
        <v>291</v>
      </c>
      <c r="C1635" t="s">
        <v>561</v>
      </c>
      <c r="D1635" t="s">
        <v>617</v>
      </c>
      <c r="E1635" s="1">
        <v>45330</v>
      </c>
      <c r="F1635" s="1">
        <v>45333</v>
      </c>
      <c r="G1635" s="1">
        <v>45344</v>
      </c>
      <c r="H1635" t="s">
        <v>13</v>
      </c>
      <c r="I1635">
        <v>184.7</v>
      </c>
      <c r="J1635" t="s">
        <v>683</v>
      </c>
      <c r="K1635">
        <v>11</v>
      </c>
    </row>
    <row r="1636" spans="1:11" x14ac:dyDescent="0.35">
      <c r="A1636" t="s">
        <v>1409</v>
      </c>
      <c r="B1636" t="s">
        <v>155</v>
      </c>
      <c r="C1636" t="s">
        <v>569</v>
      </c>
      <c r="D1636" t="s">
        <v>635</v>
      </c>
      <c r="E1636" s="1">
        <v>45475</v>
      </c>
      <c r="F1636" s="1">
        <v>45480</v>
      </c>
      <c r="G1636" s="1">
        <v>45493</v>
      </c>
      <c r="H1636" t="s">
        <v>20</v>
      </c>
      <c r="I1636">
        <v>184.64</v>
      </c>
      <c r="J1636" t="s">
        <v>687</v>
      </c>
      <c r="K1636">
        <v>13</v>
      </c>
    </row>
    <row r="1637" spans="1:11" x14ac:dyDescent="0.35">
      <c r="A1637" t="s">
        <v>2569</v>
      </c>
      <c r="B1637" t="s">
        <v>397</v>
      </c>
      <c r="C1637" t="s">
        <v>569</v>
      </c>
      <c r="D1637" t="s">
        <v>638</v>
      </c>
      <c r="E1637" s="1">
        <v>45639</v>
      </c>
      <c r="F1637" s="1">
        <v>45641</v>
      </c>
      <c r="G1637" s="1">
        <v>45659</v>
      </c>
      <c r="H1637" t="s">
        <v>11</v>
      </c>
      <c r="I1637">
        <v>184.17</v>
      </c>
      <c r="J1637" t="s">
        <v>683</v>
      </c>
      <c r="K1637">
        <v>18</v>
      </c>
    </row>
    <row r="1638" spans="1:11" x14ac:dyDescent="0.35">
      <c r="A1638" t="s">
        <v>1829</v>
      </c>
      <c r="B1638" t="s">
        <v>167</v>
      </c>
      <c r="C1638" t="s">
        <v>577</v>
      </c>
      <c r="D1638" t="s">
        <v>617</v>
      </c>
      <c r="E1638" s="1">
        <v>45542</v>
      </c>
      <c r="F1638" s="1">
        <v>45545</v>
      </c>
      <c r="G1638" s="1">
        <v>45552</v>
      </c>
      <c r="H1638" t="s">
        <v>11</v>
      </c>
      <c r="I1638">
        <v>183.62</v>
      </c>
      <c r="J1638" t="s">
        <v>683</v>
      </c>
      <c r="K1638">
        <v>7</v>
      </c>
    </row>
    <row r="1639" spans="1:11" x14ac:dyDescent="0.35">
      <c r="A1639" t="s">
        <v>1079</v>
      </c>
      <c r="B1639" t="s">
        <v>325</v>
      </c>
      <c r="C1639" t="s">
        <v>605</v>
      </c>
      <c r="D1639" t="s">
        <v>635</v>
      </c>
      <c r="E1639" s="1">
        <v>45369</v>
      </c>
      <c r="F1639" s="1">
        <v>45374</v>
      </c>
      <c r="G1639" s="1">
        <v>45393</v>
      </c>
      <c r="H1639" t="s">
        <v>25</v>
      </c>
      <c r="I1639">
        <v>183.2</v>
      </c>
      <c r="J1639" t="s">
        <v>683</v>
      </c>
      <c r="K1639">
        <v>19</v>
      </c>
    </row>
    <row r="1640" spans="1:11" x14ac:dyDescent="0.35">
      <c r="A1640" t="s">
        <v>1112</v>
      </c>
      <c r="B1640" t="s">
        <v>88</v>
      </c>
      <c r="C1640" t="s">
        <v>599</v>
      </c>
      <c r="D1640" t="s">
        <v>635</v>
      </c>
      <c r="E1640" s="1">
        <v>45301</v>
      </c>
      <c r="F1640" s="1">
        <v>45302</v>
      </c>
      <c r="G1640" s="1">
        <v>45307</v>
      </c>
      <c r="H1640" t="s">
        <v>13</v>
      </c>
      <c r="I1640">
        <v>182.96</v>
      </c>
      <c r="J1640" t="s">
        <v>683</v>
      </c>
      <c r="K1640">
        <v>5</v>
      </c>
    </row>
    <row r="1641" spans="1:11" x14ac:dyDescent="0.35">
      <c r="A1641" t="s">
        <v>690</v>
      </c>
      <c r="B1641" t="s">
        <v>112</v>
      </c>
      <c r="C1641" t="s">
        <v>605</v>
      </c>
      <c r="D1641" t="s">
        <v>638</v>
      </c>
      <c r="E1641" s="1">
        <v>44946</v>
      </c>
      <c r="F1641" s="1">
        <v>44948</v>
      </c>
      <c r="G1641" s="1">
        <v>44969</v>
      </c>
      <c r="H1641" t="s">
        <v>13</v>
      </c>
      <c r="I1641">
        <v>182.89</v>
      </c>
      <c r="J1641" t="s">
        <v>683</v>
      </c>
      <c r="K1641">
        <v>21</v>
      </c>
    </row>
    <row r="1642" spans="1:11" x14ac:dyDescent="0.35">
      <c r="A1642" t="s">
        <v>2228</v>
      </c>
      <c r="B1642" t="s">
        <v>82</v>
      </c>
      <c r="C1642" t="s">
        <v>603</v>
      </c>
      <c r="D1642" t="s">
        <v>635</v>
      </c>
      <c r="E1642" s="1">
        <v>45077</v>
      </c>
      <c r="F1642" s="1">
        <v>45082</v>
      </c>
      <c r="G1642" s="1">
        <v>45091</v>
      </c>
      <c r="H1642" t="s">
        <v>11</v>
      </c>
      <c r="I1642">
        <v>182.64</v>
      </c>
      <c r="J1642" t="s">
        <v>683</v>
      </c>
      <c r="K1642">
        <v>9</v>
      </c>
    </row>
    <row r="1643" spans="1:11" x14ac:dyDescent="0.35">
      <c r="A1643" t="s">
        <v>1107</v>
      </c>
      <c r="B1643" t="s">
        <v>100</v>
      </c>
      <c r="C1643" t="s">
        <v>595</v>
      </c>
      <c r="D1643" t="s">
        <v>635</v>
      </c>
      <c r="E1643" s="1">
        <v>45253</v>
      </c>
      <c r="F1643" s="1">
        <v>45258</v>
      </c>
      <c r="G1643" s="1">
        <v>45274</v>
      </c>
      <c r="H1643" t="s">
        <v>20</v>
      </c>
      <c r="I1643">
        <v>182.58</v>
      </c>
      <c r="J1643" t="s">
        <v>687</v>
      </c>
      <c r="K1643">
        <v>16</v>
      </c>
    </row>
    <row r="1644" spans="1:11" x14ac:dyDescent="0.35">
      <c r="A1644" t="s">
        <v>712</v>
      </c>
      <c r="B1644" t="s">
        <v>373</v>
      </c>
      <c r="C1644" t="s">
        <v>546</v>
      </c>
      <c r="D1644" t="s">
        <v>638</v>
      </c>
      <c r="E1644" s="1">
        <v>45045</v>
      </c>
      <c r="F1644" s="1">
        <v>45048</v>
      </c>
      <c r="G1644" s="1">
        <v>45066</v>
      </c>
      <c r="H1644" t="s">
        <v>20</v>
      </c>
      <c r="I1644">
        <v>182.54</v>
      </c>
      <c r="J1644" t="s">
        <v>683</v>
      </c>
      <c r="K1644">
        <v>18</v>
      </c>
    </row>
    <row r="1645" spans="1:11" x14ac:dyDescent="0.35">
      <c r="A1645" t="s">
        <v>1119</v>
      </c>
      <c r="B1645" t="s">
        <v>126</v>
      </c>
      <c r="C1645" t="s">
        <v>589</v>
      </c>
      <c r="D1645" t="s">
        <v>635</v>
      </c>
      <c r="E1645" s="1">
        <v>45391</v>
      </c>
      <c r="F1645" s="1">
        <v>45396</v>
      </c>
      <c r="G1645" s="1">
        <v>45410</v>
      </c>
      <c r="H1645" t="s">
        <v>8</v>
      </c>
      <c r="I1645">
        <v>182.13</v>
      </c>
      <c r="J1645" t="s">
        <v>683</v>
      </c>
      <c r="K1645">
        <v>14</v>
      </c>
    </row>
    <row r="1646" spans="1:11" x14ac:dyDescent="0.35">
      <c r="A1646" t="s">
        <v>1036</v>
      </c>
      <c r="B1646" t="s">
        <v>490</v>
      </c>
      <c r="C1646" t="s">
        <v>567</v>
      </c>
      <c r="D1646" t="s">
        <v>638</v>
      </c>
      <c r="E1646" s="1">
        <v>45205</v>
      </c>
      <c r="F1646" s="1">
        <v>45209</v>
      </c>
      <c r="G1646" s="1">
        <v>45220</v>
      </c>
      <c r="H1646" t="s">
        <v>11</v>
      </c>
      <c r="I1646">
        <v>181.94</v>
      </c>
      <c r="J1646" t="s">
        <v>683</v>
      </c>
      <c r="K1646">
        <v>11</v>
      </c>
    </row>
    <row r="1647" spans="1:11" x14ac:dyDescent="0.35">
      <c r="A1647" t="s">
        <v>1425</v>
      </c>
      <c r="B1647" t="s">
        <v>118</v>
      </c>
      <c r="C1647" t="s">
        <v>527</v>
      </c>
      <c r="D1647" t="s">
        <v>638</v>
      </c>
      <c r="E1647" s="1">
        <v>44994</v>
      </c>
      <c r="F1647" s="1">
        <v>44995</v>
      </c>
      <c r="G1647" s="1">
        <v>44999</v>
      </c>
      <c r="H1647" t="s">
        <v>8</v>
      </c>
      <c r="I1647">
        <v>181.92</v>
      </c>
      <c r="J1647" t="s">
        <v>683</v>
      </c>
      <c r="K1647">
        <v>4</v>
      </c>
    </row>
    <row r="1648" spans="1:11" x14ac:dyDescent="0.35">
      <c r="A1648" t="s">
        <v>2408</v>
      </c>
      <c r="B1648" t="s">
        <v>118</v>
      </c>
      <c r="C1648" t="s">
        <v>603</v>
      </c>
      <c r="D1648" t="s">
        <v>638</v>
      </c>
      <c r="E1648" s="1">
        <v>45501</v>
      </c>
      <c r="F1648" s="1">
        <v>45504</v>
      </c>
      <c r="G1648" s="1">
        <v>45533</v>
      </c>
      <c r="H1648" t="s">
        <v>8</v>
      </c>
      <c r="I1648">
        <v>181.91</v>
      </c>
      <c r="J1648" t="s">
        <v>683</v>
      </c>
      <c r="K1648">
        <v>29</v>
      </c>
    </row>
    <row r="1649" spans="1:11" x14ac:dyDescent="0.35">
      <c r="A1649" t="s">
        <v>1750</v>
      </c>
      <c r="B1649" t="s">
        <v>419</v>
      </c>
      <c r="C1649" t="s">
        <v>549</v>
      </c>
      <c r="D1649" t="s">
        <v>617</v>
      </c>
      <c r="E1649" s="1">
        <v>45364</v>
      </c>
      <c r="F1649" s="1">
        <v>45367</v>
      </c>
      <c r="G1649" s="1">
        <v>45386</v>
      </c>
      <c r="H1649" t="s">
        <v>8</v>
      </c>
      <c r="I1649">
        <v>181.85</v>
      </c>
      <c r="J1649" t="s">
        <v>683</v>
      </c>
      <c r="K1649">
        <v>19</v>
      </c>
    </row>
    <row r="1650" spans="1:11" x14ac:dyDescent="0.35">
      <c r="A1650" t="s">
        <v>1344</v>
      </c>
      <c r="B1650" t="s">
        <v>262</v>
      </c>
      <c r="C1650" t="s">
        <v>549</v>
      </c>
      <c r="D1650" t="s">
        <v>638</v>
      </c>
      <c r="E1650" s="1">
        <v>45121</v>
      </c>
      <c r="F1650" s="1">
        <v>45122</v>
      </c>
      <c r="G1650" s="1">
        <v>45143</v>
      </c>
      <c r="H1650" t="s">
        <v>20</v>
      </c>
      <c r="I1650">
        <v>181.83</v>
      </c>
      <c r="J1650" t="s">
        <v>683</v>
      </c>
      <c r="K1650">
        <v>21</v>
      </c>
    </row>
    <row r="1651" spans="1:11" x14ac:dyDescent="0.35">
      <c r="A1651" t="s">
        <v>774</v>
      </c>
      <c r="B1651" t="s">
        <v>97</v>
      </c>
      <c r="C1651" t="s">
        <v>581</v>
      </c>
      <c r="D1651" t="s">
        <v>638</v>
      </c>
      <c r="E1651" s="1">
        <v>45545</v>
      </c>
      <c r="F1651" s="1">
        <v>45548</v>
      </c>
      <c r="G1651" s="1">
        <v>45562</v>
      </c>
      <c r="H1651" t="s">
        <v>20</v>
      </c>
      <c r="I1651">
        <v>181.61</v>
      </c>
      <c r="J1651" t="s">
        <v>683</v>
      </c>
      <c r="K1651">
        <v>14</v>
      </c>
    </row>
    <row r="1652" spans="1:11" x14ac:dyDescent="0.35">
      <c r="A1652" t="s">
        <v>2434</v>
      </c>
      <c r="B1652" t="s">
        <v>315</v>
      </c>
      <c r="C1652" t="s">
        <v>603</v>
      </c>
      <c r="D1652" t="s">
        <v>617</v>
      </c>
      <c r="E1652" s="1">
        <v>45313</v>
      </c>
      <c r="F1652" s="1">
        <v>45316</v>
      </c>
      <c r="G1652" s="1">
        <v>45339</v>
      </c>
      <c r="H1652" t="s">
        <v>13</v>
      </c>
      <c r="I1652">
        <v>180.82</v>
      </c>
      <c r="J1652" t="s">
        <v>683</v>
      </c>
      <c r="K1652">
        <v>23</v>
      </c>
    </row>
    <row r="1653" spans="1:11" x14ac:dyDescent="0.35">
      <c r="A1653" t="s">
        <v>1519</v>
      </c>
      <c r="B1653" t="s">
        <v>420</v>
      </c>
      <c r="C1653" t="s">
        <v>527</v>
      </c>
      <c r="D1653" t="s">
        <v>638</v>
      </c>
      <c r="E1653" s="1">
        <v>45249</v>
      </c>
      <c r="F1653" s="1">
        <v>45251</v>
      </c>
      <c r="G1653" s="1"/>
      <c r="H1653" t="s">
        <v>20</v>
      </c>
      <c r="I1653">
        <v>180.69</v>
      </c>
      <c r="J1653" t="s">
        <v>689</v>
      </c>
    </row>
    <row r="1654" spans="1:11" x14ac:dyDescent="0.35">
      <c r="A1654" t="s">
        <v>2465</v>
      </c>
      <c r="B1654" t="s">
        <v>236</v>
      </c>
      <c r="C1654" t="s">
        <v>534</v>
      </c>
      <c r="D1654" t="s">
        <v>635</v>
      </c>
      <c r="E1654" s="1">
        <v>44989</v>
      </c>
      <c r="F1654" s="1">
        <v>44992</v>
      </c>
      <c r="G1654" s="1"/>
      <c r="H1654" t="s">
        <v>11</v>
      </c>
      <c r="I1654">
        <v>180.65</v>
      </c>
      <c r="J1654" t="s">
        <v>689</v>
      </c>
    </row>
    <row r="1655" spans="1:11" x14ac:dyDescent="0.35">
      <c r="A1655" t="s">
        <v>1787</v>
      </c>
      <c r="B1655" t="s">
        <v>445</v>
      </c>
      <c r="C1655" t="s">
        <v>595</v>
      </c>
      <c r="D1655" t="s">
        <v>638</v>
      </c>
      <c r="E1655" s="1">
        <v>45082</v>
      </c>
      <c r="F1655" s="1">
        <v>45084</v>
      </c>
      <c r="G1655" s="1">
        <v>45093</v>
      </c>
      <c r="H1655" t="s">
        <v>20</v>
      </c>
      <c r="I1655">
        <v>180.51</v>
      </c>
      <c r="J1655" t="s">
        <v>683</v>
      </c>
      <c r="K1655">
        <v>9</v>
      </c>
    </row>
    <row r="1656" spans="1:11" x14ac:dyDescent="0.35">
      <c r="A1656" t="s">
        <v>1789</v>
      </c>
      <c r="B1656" t="s">
        <v>300</v>
      </c>
      <c r="C1656" t="s">
        <v>565</v>
      </c>
      <c r="D1656" t="s">
        <v>638</v>
      </c>
      <c r="E1656" s="1">
        <v>45391</v>
      </c>
      <c r="F1656" s="1">
        <v>45393</v>
      </c>
      <c r="G1656" s="1">
        <v>45405</v>
      </c>
      <c r="H1656" t="s">
        <v>20</v>
      </c>
      <c r="I1656">
        <v>180.03</v>
      </c>
      <c r="J1656" t="s">
        <v>683</v>
      </c>
      <c r="K1656">
        <v>12</v>
      </c>
    </row>
    <row r="1657" spans="1:11" x14ac:dyDescent="0.35">
      <c r="A1657" t="s">
        <v>1296</v>
      </c>
      <c r="B1657" t="s">
        <v>229</v>
      </c>
      <c r="C1657" t="s">
        <v>583</v>
      </c>
      <c r="D1657" t="s">
        <v>638</v>
      </c>
      <c r="E1657" s="1">
        <v>45192</v>
      </c>
      <c r="F1657" s="1">
        <v>45194</v>
      </c>
      <c r="G1657" s="1">
        <v>45212</v>
      </c>
      <c r="H1657" t="s">
        <v>11</v>
      </c>
      <c r="I1657">
        <v>179.98</v>
      </c>
      <c r="J1657" t="s">
        <v>683</v>
      </c>
      <c r="K1657">
        <v>18</v>
      </c>
    </row>
    <row r="1658" spans="1:11" x14ac:dyDescent="0.35">
      <c r="A1658" t="s">
        <v>2200</v>
      </c>
      <c r="B1658" t="s">
        <v>224</v>
      </c>
      <c r="C1658" t="s">
        <v>607</v>
      </c>
      <c r="D1658" t="s">
        <v>635</v>
      </c>
      <c r="E1658" s="1">
        <v>45345</v>
      </c>
      <c r="F1658" s="1">
        <v>45349</v>
      </c>
      <c r="G1658" s="1">
        <v>45366</v>
      </c>
      <c r="H1658" t="s">
        <v>11</v>
      </c>
      <c r="I1658">
        <v>179.9</v>
      </c>
      <c r="J1658" t="s">
        <v>683</v>
      </c>
      <c r="K1658">
        <v>17</v>
      </c>
    </row>
    <row r="1659" spans="1:11" x14ac:dyDescent="0.35">
      <c r="A1659" t="s">
        <v>1160</v>
      </c>
      <c r="B1659" t="s">
        <v>282</v>
      </c>
      <c r="C1659" t="s">
        <v>546</v>
      </c>
      <c r="D1659" t="s">
        <v>638</v>
      </c>
      <c r="E1659" s="1">
        <v>44961</v>
      </c>
      <c r="F1659" s="1">
        <v>44964</v>
      </c>
      <c r="G1659" s="1">
        <v>44974</v>
      </c>
      <c r="H1659" t="s">
        <v>25</v>
      </c>
      <c r="I1659">
        <v>178.99</v>
      </c>
      <c r="J1659" t="s">
        <v>687</v>
      </c>
      <c r="K1659">
        <v>10</v>
      </c>
    </row>
    <row r="1660" spans="1:11" x14ac:dyDescent="0.35">
      <c r="A1660" t="s">
        <v>1227</v>
      </c>
      <c r="B1660" t="s">
        <v>203</v>
      </c>
      <c r="C1660" t="s">
        <v>591</v>
      </c>
      <c r="D1660" t="s">
        <v>635</v>
      </c>
      <c r="E1660" s="1">
        <v>45481</v>
      </c>
      <c r="F1660" s="1">
        <v>45486</v>
      </c>
      <c r="G1660" s="1">
        <v>45489</v>
      </c>
      <c r="H1660" t="s">
        <v>25</v>
      </c>
      <c r="I1660">
        <v>178.51</v>
      </c>
      <c r="J1660" t="s">
        <v>683</v>
      </c>
      <c r="K1660">
        <v>3</v>
      </c>
    </row>
    <row r="1661" spans="1:11" x14ac:dyDescent="0.35">
      <c r="A1661" t="s">
        <v>2172</v>
      </c>
      <c r="B1661" t="s">
        <v>299</v>
      </c>
      <c r="C1661" t="s">
        <v>607</v>
      </c>
      <c r="D1661" t="s">
        <v>638</v>
      </c>
      <c r="E1661" s="1">
        <v>45519</v>
      </c>
      <c r="F1661" s="1">
        <v>45522</v>
      </c>
      <c r="G1661" s="1">
        <v>45551</v>
      </c>
      <c r="H1661" t="s">
        <v>25</v>
      </c>
      <c r="I1661">
        <v>178.49</v>
      </c>
      <c r="J1661" t="s">
        <v>683</v>
      </c>
      <c r="K1661">
        <v>29</v>
      </c>
    </row>
    <row r="1662" spans="1:11" x14ac:dyDescent="0.35">
      <c r="A1662" t="s">
        <v>2394</v>
      </c>
      <c r="B1662" t="s">
        <v>204</v>
      </c>
      <c r="C1662" t="s">
        <v>540</v>
      </c>
      <c r="D1662" t="s">
        <v>638</v>
      </c>
      <c r="E1662" s="1">
        <v>44969</v>
      </c>
      <c r="F1662" s="1">
        <v>44972</v>
      </c>
      <c r="G1662" s="1">
        <v>44980</v>
      </c>
      <c r="H1662" t="s">
        <v>8</v>
      </c>
      <c r="I1662">
        <v>178.47</v>
      </c>
      <c r="J1662" t="s">
        <v>683</v>
      </c>
      <c r="K1662">
        <v>8</v>
      </c>
    </row>
    <row r="1663" spans="1:11" x14ac:dyDescent="0.35">
      <c r="A1663" t="s">
        <v>1369</v>
      </c>
      <c r="B1663" t="s">
        <v>196</v>
      </c>
      <c r="C1663" t="s">
        <v>597</v>
      </c>
      <c r="D1663" t="s">
        <v>635</v>
      </c>
      <c r="E1663" s="1">
        <v>45128</v>
      </c>
      <c r="F1663" s="1">
        <v>45129</v>
      </c>
      <c r="G1663" s="1">
        <v>45136</v>
      </c>
      <c r="H1663" t="s">
        <v>13</v>
      </c>
      <c r="I1663">
        <v>178.23</v>
      </c>
      <c r="J1663" t="s">
        <v>687</v>
      </c>
      <c r="K1663">
        <v>7</v>
      </c>
    </row>
    <row r="1664" spans="1:11" x14ac:dyDescent="0.35">
      <c r="A1664" t="s">
        <v>2139</v>
      </c>
      <c r="B1664" t="s">
        <v>426</v>
      </c>
      <c r="C1664" t="s">
        <v>593</v>
      </c>
      <c r="D1664" t="s">
        <v>635</v>
      </c>
      <c r="E1664" s="1">
        <v>45369</v>
      </c>
      <c r="F1664" s="1">
        <v>45371</v>
      </c>
      <c r="G1664" s="1">
        <v>45389</v>
      </c>
      <c r="H1664" t="s">
        <v>8</v>
      </c>
      <c r="I1664">
        <v>177.89</v>
      </c>
      <c r="J1664" t="s">
        <v>683</v>
      </c>
      <c r="K1664">
        <v>18</v>
      </c>
    </row>
    <row r="1665" spans="1:11" x14ac:dyDescent="0.35">
      <c r="A1665" t="s">
        <v>806</v>
      </c>
      <c r="B1665" t="s">
        <v>407</v>
      </c>
      <c r="C1665" t="s">
        <v>549</v>
      </c>
      <c r="D1665" t="s">
        <v>635</v>
      </c>
      <c r="E1665" s="1">
        <v>45474</v>
      </c>
      <c r="F1665" s="1">
        <v>45475</v>
      </c>
      <c r="G1665" s="1">
        <v>45483</v>
      </c>
      <c r="H1665" t="s">
        <v>8</v>
      </c>
      <c r="I1665">
        <v>176.75</v>
      </c>
      <c r="J1665" t="s">
        <v>683</v>
      </c>
      <c r="K1665">
        <v>8</v>
      </c>
    </row>
    <row r="1666" spans="1:11" x14ac:dyDescent="0.35">
      <c r="A1666" t="s">
        <v>1454</v>
      </c>
      <c r="B1666" t="s">
        <v>54</v>
      </c>
      <c r="C1666" t="s">
        <v>583</v>
      </c>
      <c r="D1666" t="s">
        <v>635</v>
      </c>
      <c r="E1666" s="1">
        <v>45361</v>
      </c>
      <c r="F1666" s="1">
        <v>45363</v>
      </c>
      <c r="G1666" s="1">
        <v>45383</v>
      </c>
      <c r="H1666" t="s">
        <v>11</v>
      </c>
      <c r="I1666">
        <v>175.84</v>
      </c>
      <c r="J1666" t="s">
        <v>687</v>
      </c>
      <c r="K1666">
        <v>20</v>
      </c>
    </row>
    <row r="1667" spans="1:11" x14ac:dyDescent="0.35">
      <c r="A1667" t="s">
        <v>1262</v>
      </c>
      <c r="B1667" t="s">
        <v>253</v>
      </c>
      <c r="C1667" t="s">
        <v>587</v>
      </c>
      <c r="D1667" t="s">
        <v>635</v>
      </c>
      <c r="E1667" s="1">
        <v>45371</v>
      </c>
      <c r="F1667" s="1">
        <v>45376</v>
      </c>
      <c r="G1667" s="1">
        <v>45390</v>
      </c>
      <c r="H1667" t="s">
        <v>8</v>
      </c>
      <c r="I1667">
        <v>175.82</v>
      </c>
      <c r="J1667" t="s">
        <v>683</v>
      </c>
      <c r="K1667">
        <v>14</v>
      </c>
    </row>
    <row r="1668" spans="1:11" x14ac:dyDescent="0.35">
      <c r="A1668" t="s">
        <v>755</v>
      </c>
      <c r="B1668" t="s">
        <v>283</v>
      </c>
      <c r="C1668" t="s">
        <v>607</v>
      </c>
      <c r="D1668" t="s">
        <v>635</v>
      </c>
      <c r="E1668" s="1">
        <v>45327</v>
      </c>
      <c r="F1668" s="1">
        <v>45330</v>
      </c>
      <c r="G1668" s="1">
        <v>45353</v>
      </c>
      <c r="H1668" t="s">
        <v>25</v>
      </c>
      <c r="I1668">
        <v>175.09</v>
      </c>
      <c r="J1668" t="s">
        <v>687</v>
      </c>
      <c r="K1668">
        <v>23</v>
      </c>
    </row>
    <row r="1669" spans="1:11" x14ac:dyDescent="0.35">
      <c r="A1669" t="s">
        <v>1230</v>
      </c>
      <c r="B1669" t="s">
        <v>334</v>
      </c>
      <c r="C1669" t="s">
        <v>553</v>
      </c>
      <c r="D1669" t="s">
        <v>635</v>
      </c>
      <c r="E1669" s="1">
        <v>45267</v>
      </c>
      <c r="F1669" s="1">
        <v>45269</v>
      </c>
      <c r="G1669" s="1">
        <v>45274</v>
      </c>
      <c r="H1669" t="s">
        <v>11</v>
      </c>
      <c r="I1669">
        <v>174.38</v>
      </c>
      <c r="J1669" t="s">
        <v>683</v>
      </c>
      <c r="K1669">
        <v>5</v>
      </c>
    </row>
    <row r="1670" spans="1:11" x14ac:dyDescent="0.35">
      <c r="A1670" t="s">
        <v>1955</v>
      </c>
      <c r="B1670" t="s">
        <v>203</v>
      </c>
      <c r="C1670" t="s">
        <v>579</v>
      </c>
      <c r="D1670" t="s">
        <v>638</v>
      </c>
      <c r="E1670" s="1">
        <v>45376</v>
      </c>
      <c r="F1670" s="1">
        <v>45381</v>
      </c>
      <c r="G1670" s="1">
        <v>45401</v>
      </c>
      <c r="H1670" t="s">
        <v>25</v>
      </c>
      <c r="I1670">
        <v>172.83</v>
      </c>
      <c r="J1670" t="s">
        <v>683</v>
      </c>
      <c r="K1670">
        <v>20</v>
      </c>
    </row>
    <row r="1671" spans="1:11" x14ac:dyDescent="0.35">
      <c r="A1671" t="s">
        <v>2119</v>
      </c>
      <c r="B1671" t="s">
        <v>146</v>
      </c>
      <c r="C1671" t="s">
        <v>571</v>
      </c>
      <c r="D1671" t="s">
        <v>638</v>
      </c>
      <c r="E1671" s="1">
        <v>45463</v>
      </c>
      <c r="F1671" s="1">
        <v>45464</v>
      </c>
      <c r="G1671" s="1">
        <v>45492</v>
      </c>
      <c r="H1671" t="s">
        <v>11</v>
      </c>
      <c r="I1671">
        <v>172.73</v>
      </c>
      <c r="J1671" t="s">
        <v>687</v>
      </c>
      <c r="K1671">
        <v>28</v>
      </c>
    </row>
    <row r="1672" spans="1:11" x14ac:dyDescent="0.35">
      <c r="A1672" t="s">
        <v>2264</v>
      </c>
      <c r="B1672" t="s">
        <v>189</v>
      </c>
      <c r="C1672" t="s">
        <v>543</v>
      </c>
      <c r="D1672" t="s">
        <v>638</v>
      </c>
      <c r="E1672" s="1">
        <v>45123</v>
      </c>
      <c r="F1672" s="1">
        <v>45127</v>
      </c>
      <c r="G1672" s="1">
        <v>45134</v>
      </c>
      <c r="H1672" t="s">
        <v>8</v>
      </c>
      <c r="I1672">
        <v>172.62</v>
      </c>
      <c r="J1672" t="s">
        <v>683</v>
      </c>
      <c r="K1672">
        <v>7</v>
      </c>
    </row>
    <row r="1673" spans="1:11" x14ac:dyDescent="0.35">
      <c r="A1673" t="s">
        <v>825</v>
      </c>
      <c r="B1673" t="s">
        <v>408</v>
      </c>
      <c r="C1673" t="s">
        <v>569</v>
      </c>
      <c r="D1673" t="s">
        <v>635</v>
      </c>
      <c r="E1673" s="1">
        <v>45622</v>
      </c>
      <c r="F1673" s="1">
        <v>45626</v>
      </c>
      <c r="G1673" s="1">
        <v>45651</v>
      </c>
      <c r="H1673" t="s">
        <v>11</v>
      </c>
      <c r="I1673">
        <v>172.61</v>
      </c>
      <c r="J1673" t="s">
        <v>683</v>
      </c>
      <c r="K1673">
        <v>25</v>
      </c>
    </row>
    <row r="1674" spans="1:11" x14ac:dyDescent="0.35">
      <c r="A1674" t="s">
        <v>1234</v>
      </c>
      <c r="B1674" t="s">
        <v>353</v>
      </c>
      <c r="C1674" t="s">
        <v>521</v>
      </c>
      <c r="D1674" t="s">
        <v>638</v>
      </c>
      <c r="E1674" s="1">
        <v>45289</v>
      </c>
      <c r="F1674" s="1">
        <v>45291</v>
      </c>
      <c r="G1674" s="1">
        <v>45309</v>
      </c>
      <c r="H1674" t="s">
        <v>20</v>
      </c>
      <c r="I1674">
        <v>172.45</v>
      </c>
      <c r="J1674" t="s">
        <v>687</v>
      </c>
      <c r="K1674">
        <v>18</v>
      </c>
    </row>
    <row r="1675" spans="1:11" x14ac:dyDescent="0.35">
      <c r="A1675" t="s">
        <v>1367</v>
      </c>
      <c r="B1675" t="s">
        <v>159</v>
      </c>
      <c r="C1675" t="s">
        <v>579</v>
      </c>
      <c r="D1675" t="s">
        <v>638</v>
      </c>
      <c r="E1675" s="1">
        <v>45074</v>
      </c>
      <c r="F1675" s="1">
        <v>45076</v>
      </c>
      <c r="G1675" s="1">
        <v>45091</v>
      </c>
      <c r="H1675" t="s">
        <v>11</v>
      </c>
      <c r="I1675">
        <v>172.07</v>
      </c>
      <c r="J1675" t="s">
        <v>683</v>
      </c>
      <c r="K1675">
        <v>15</v>
      </c>
    </row>
    <row r="1676" spans="1:11" x14ac:dyDescent="0.35">
      <c r="A1676" t="s">
        <v>1006</v>
      </c>
      <c r="B1676" t="s">
        <v>312</v>
      </c>
      <c r="C1676" t="s">
        <v>579</v>
      </c>
      <c r="D1676" t="s">
        <v>638</v>
      </c>
      <c r="E1676" s="1">
        <v>45298</v>
      </c>
      <c r="F1676" s="1">
        <v>45300</v>
      </c>
      <c r="G1676" s="1">
        <v>45322</v>
      </c>
      <c r="H1676" t="s">
        <v>11</v>
      </c>
      <c r="I1676">
        <v>171.82</v>
      </c>
      <c r="J1676" t="s">
        <v>683</v>
      </c>
      <c r="K1676">
        <v>22</v>
      </c>
    </row>
    <row r="1677" spans="1:11" x14ac:dyDescent="0.35">
      <c r="A1677" t="s">
        <v>2511</v>
      </c>
      <c r="B1677" t="s">
        <v>364</v>
      </c>
      <c r="C1677" t="s">
        <v>527</v>
      </c>
      <c r="D1677" t="s">
        <v>635</v>
      </c>
      <c r="E1677" s="1">
        <v>45315</v>
      </c>
      <c r="F1677" s="1">
        <v>45317</v>
      </c>
      <c r="G1677" s="1">
        <v>45327</v>
      </c>
      <c r="H1677" t="s">
        <v>11</v>
      </c>
      <c r="I1677">
        <v>171.15</v>
      </c>
      <c r="J1677" t="s">
        <v>683</v>
      </c>
      <c r="K1677">
        <v>10</v>
      </c>
    </row>
    <row r="1678" spans="1:11" x14ac:dyDescent="0.35">
      <c r="A1678" t="s">
        <v>1202</v>
      </c>
      <c r="B1678" t="s">
        <v>409</v>
      </c>
      <c r="C1678" t="s">
        <v>567</v>
      </c>
      <c r="D1678" t="s">
        <v>635</v>
      </c>
      <c r="E1678" s="1">
        <v>45591</v>
      </c>
      <c r="F1678" s="1">
        <v>45594</v>
      </c>
      <c r="G1678" s="1">
        <v>45612</v>
      </c>
      <c r="H1678" t="s">
        <v>8</v>
      </c>
      <c r="I1678">
        <v>170.89</v>
      </c>
      <c r="J1678" t="s">
        <v>683</v>
      </c>
      <c r="K1678">
        <v>18</v>
      </c>
    </row>
    <row r="1679" spans="1:11" x14ac:dyDescent="0.35">
      <c r="A1679" t="s">
        <v>956</v>
      </c>
      <c r="B1679" t="s">
        <v>219</v>
      </c>
      <c r="C1679" t="s">
        <v>531</v>
      </c>
      <c r="D1679" t="s">
        <v>638</v>
      </c>
      <c r="E1679" s="1">
        <v>45136</v>
      </c>
      <c r="F1679" s="1">
        <v>45138</v>
      </c>
      <c r="G1679" s="1">
        <v>45163</v>
      </c>
      <c r="H1679" t="s">
        <v>11</v>
      </c>
      <c r="I1679">
        <v>170.63</v>
      </c>
      <c r="J1679" t="s">
        <v>683</v>
      </c>
      <c r="K1679">
        <v>25</v>
      </c>
    </row>
    <row r="1680" spans="1:11" x14ac:dyDescent="0.35">
      <c r="A1680" t="s">
        <v>2669</v>
      </c>
      <c r="B1680" t="s">
        <v>171</v>
      </c>
      <c r="C1680" t="s">
        <v>521</v>
      </c>
      <c r="D1680" t="s">
        <v>638</v>
      </c>
      <c r="E1680" s="1">
        <v>45259</v>
      </c>
      <c r="F1680" s="1">
        <v>45262</v>
      </c>
      <c r="G1680" s="1">
        <v>45271</v>
      </c>
      <c r="H1680" t="s">
        <v>8</v>
      </c>
      <c r="I1680">
        <v>170.62</v>
      </c>
      <c r="J1680" t="s">
        <v>683</v>
      </c>
      <c r="K1680">
        <v>9</v>
      </c>
    </row>
    <row r="1681" spans="1:11" x14ac:dyDescent="0.35">
      <c r="A1681" t="s">
        <v>2654</v>
      </c>
      <c r="B1681" t="s">
        <v>35</v>
      </c>
      <c r="C1681" t="s">
        <v>607</v>
      </c>
      <c r="D1681" t="s">
        <v>638</v>
      </c>
      <c r="E1681" s="1">
        <v>45361</v>
      </c>
      <c r="F1681" s="1">
        <v>45362</v>
      </c>
      <c r="G1681" s="1">
        <v>45389</v>
      </c>
      <c r="H1681" t="s">
        <v>11</v>
      </c>
      <c r="I1681">
        <v>170.5</v>
      </c>
      <c r="J1681" t="s">
        <v>683</v>
      </c>
      <c r="K1681">
        <v>27</v>
      </c>
    </row>
    <row r="1682" spans="1:11" x14ac:dyDescent="0.35">
      <c r="A1682" t="s">
        <v>877</v>
      </c>
      <c r="B1682" t="s">
        <v>179</v>
      </c>
      <c r="C1682" t="s">
        <v>557</v>
      </c>
      <c r="D1682" t="s">
        <v>638</v>
      </c>
      <c r="E1682" s="1">
        <v>45349</v>
      </c>
      <c r="F1682" s="1">
        <v>45350</v>
      </c>
      <c r="G1682" s="1">
        <v>45376</v>
      </c>
      <c r="H1682" t="s">
        <v>11</v>
      </c>
      <c r="I1682">
        <v>170.15</v>
      </c>
      <c r="J1682" t="s">
        <v>683</v>
      </c>
      <c r="K1682">
        <v>26</v>
      </c>
    </row>
    <row r="1683" spans="1:11" x14ac:dyDescent="0.35">
      <c r="A1683" t="s">
        <v>2280</v>
      </c>
      <c r="B1683" t="s">
        <v>310</v>
      </c>
      <c r="C1683" t="s">
        <v>607</v>
      </c>
      <c r="D1683" t="s">
        <v>635</v>
      </c>
      <c r="E1683" s="1">
        <v>45403</v>
      </c>
      <c r="F1683" s="1">
        <v>45406</v>
      </c>
      <c r="G1683" s="1">
        <v>45424</v>
      </c>
      <c r="H1683" t="s">
        <v>11</v>
      </c>
      <c r="I1683">
        <v>169.74</v>
      </c>
      <c r="J1683" t="s">
        <v>683</v>
      </c>
      <c r="K1683">
        <v>18</v>
      </c>
    </row>
    <row r="1684" spans="1:11" x14ac:dyDescent="0.35">
      <c r="A1684" t="s">
        <v>1982</v>
      </c>
      <c r="B1684" t="s">
        <v>391</v>
      </c>
      <c r="C1684" t="s">
        <v>521</v>
      </c>
      <c r="D1684" t="s">
        <v>638</v>
      </c>
      <c r="E1684" s="1">
        <v>45097</v>
      </c>
      <c r="F1684" s="1">
        <v>45100</v>
      </c>
      <c r="G1684" s="1">
        <v>45109</v>
      </c>
      <c r="H1684" t="s">
        <v>11</v>
      </c>
      <c r="I1684">
        <v>169.21</v>
      </c>
      <c r="J1684" t="s">
        <v>683</v>
      </c>
      <c r="K1684">
        <v>9</v>
      </c>
    </row>
    <row r="1685" spans="1:11" x14ac:dyDescent="0.35">
      <c r="A1685" t="s">
        <v>2023</v>
      </c>
      <c r="B1685" t="s">
        <v>244</v>
      </c>
      <c r="C1685" t="s">
        <v>577</v>
      </c>
      <c r="D1685" t="s">
        <v>638</v>
      </c>
      <c r="E1685" s="1">
        <v>45250</v>
      </c>
      <c r="F1685" s="1">
        <v>45251</v>
      </c>
      <c r="G1685" s="1">
        <v>45280</v>
      </c>
      <c r="H1685" t="s">
        <v>11</v>
      </c>
      <c r="I1685">
        <v>169.03</v>
      </c>
      <c r="J1685" t="s">
        <v>683</v>
      </c>
      <c r="K1685">
        <v>29</v>
      </c>
    </row>
    <row r="1686" spans="1:11" x14ac:dyDescent="0.35">
      <c r="A1686" t="s">
        <v>2427</v>
      </c>
      <c r="B1686" t="s">
        <v>216</v>
      </c>
      <c r="C1686" t="s">
        <v>603</v>
      </c>
      <c r="D1686" t="s">
        <v>638</v>
      </c>
      <c r="E1686" s="1">
        <v>45201</v>
      </c>
      <c r="F1686" s="1">
        <v>45202</v>
      </c>
      <c r="G1686" s="1">
        <v>45225</v>
      </c>
      <c r="H1686" t="s">
        <v>20</v>
      </c>
      <c r="I1686">
        <v>168.86</v>
      </c>
      <c r="J1686" t="s">
        <v>683</v>
      </c>
      <c r="K1686">
        <v>23</v>
      </c>
    </row>
    <row r="1687" spans="1:11" x14ac:dyDescent="0.35">
      <c r="A1687" t="s">
        <v>2377</v>
      </c>
      <c r="B1687" t="s">
        <v>209</v>
      </c>
      <c r="C1687" t="s">
        <v>563</v>
      </c>
      <c r="D1687" t="s">
        <v>638</v>
      </c>
      <c r="E1687" s="1">
        <v>45092</v>
      </c>
      <c r="F1687" s="1">
        <v>45095</v>
      </c>
      <c r="G1687" s="1">
        <v>45107</v>
      </c>
      <c r="H1687" t="s">
        <v>8</v>
      </c>
      <c r="I1687">
        <v>168.5</v>
      </c>
      <c r="J1687" t="s">
        <v>683</v>
      </c>
      <c r="K1687">
        <v>12</v>
      </c>
    </row>
    <row r="1688" spans="1:11" x14ac:dyDescent="0.35">
      <c r="A1688" t="s">
        <v>1473</v>
      </c>
      <c r="B1688" t="s">
        <v>263</v>
      </c>
      <c r="C1688" t="s">
        <v>603</v>
      </c>
      <c r="D1688" t="s">
        <v>635</v>
      </c>
      <c r="E1688" s="1">
        <v>45611</v>
      </c>
      <c r="F1688" s="1">
        <v>45615</v>
      </c>
      <c r="G1688" s="1">
        <v>45621</v>
      </c>
      <c r="H1688" t="s">
        <v>20</v>
      </c>
      <c r="I1688">
        <v>168.03</v>
      </c>
      <c r="J1688" t="s">
        <v>683</v>
      </c>
      <c r="K1688">
        <v>6</v>
      </c>
    </row>
    <row r="1689" spans="1:11" x14ac:dyDescent="0.35">
      <c r="A1689" t="s">
        <v>2376</v>
      </c>
      <c r="B1689" t="s">
        <v>467</v>
      </c>
      <c r="C1689" t="s">
        <v>561</v>
      </c>
      <c r="D1689" t="s">
        <v>638</v>
      </c>
      <c r="E1689" s="1">
        <v>45102</v>
      </c>
      <c r="F1689" s="1">
        <v>45105</v>
      </c>
      <c r="G1689" s="1">
        <v>45121</v>
      </c>
      <c r="H1689" t="s">
        <v>13</v>
      </c>
      <c r="I1689">
        <v>167.91</v>
      </c>
      <c r="J1689" t="s">
        <v>683</v>
      </c>
      <c r="K1689">
        <v>16</v>
      </c>
    </row>
    <row r="1690" spans="1:11" x14ac:dyDescent="0.35">
      <c r="A1690" t="s">
        <v>1784</v>
      </c>
      <c r="B1690" t="s">
        <v>416</v>
      </c>
      <c r="C1690" t="s">
        <v>599</v>
      </c>
      <c r="D1690" t="s">
        <v>638</v>
      </c>
      <c r="E1690" s="1">
        <v>45114</v>
      </c>
      <c r="F1690" s="1">
        <v>45118</v>
      </c>
      <c r="G1690" s="1">
        <v>45138</v>
      </c>
      <c r="H1690" t="s">
        <v>13</v>
      </c>
      <c r="I1690">
        <v>166.77</v>
      </c>
      <c r="J1690" t="s">
        <v>683</v>
      </c>
      <c r="K1690">
        <v>20</v>
      </c>
    </row>
    <row r="1691" spans="1:11" x14ac:dyDescent="0.35">
      <c r="A1691" t="s">
        <v>1978</v>
      </c>
      <c r="B1691" t="s">
        <v>88</v>
      </c>
      <c r="C1691" t="s">
        <v>585</v>
      </c>
      <c r="D1691" t="s">
        <v>638</v>
      </c>
      <c r="E1691" s="1">
        <v>45539</v>
      </c>
      <c r="F1691" s="1">
        <v>45543</v>
      </c>
      <c r="G1691" s="1">
        <v>45550</v>
      </c>
      <c r="H1691" t="s">
        <v>13</v>
      </c>
      <c r="I1691">
        <v>166.3</v>
      </c>
      <c r="J1691" t="s">
        <v>683</v>
      </c>
      <c r="K1691">
        <v>7</v>
      </c>
    </row>
    <row r="1692" spans="1:11" x14ac:dyDescent="0.35">
      <c r="A1692" t="s">
        <v>1164</v>
      </c>
      <c r="B1692" t="s">
        <v>424</v>
      </c>
      <c r="C1692" t="s">
        <v>575</v>
      </c>
      <c r="D1692" t="s">
        <v>638</v>
      </c>
      <c r="E1692" s="1">
        <v>44991</v>
      </c>
      <c r="F1692" s="1">
        <v>44996</v>
      </c>
      <c r="G1692" s="1"/>
      <c r="H1692" t="s">
        <v>11</v>
      </c>
      <c r="I1692">
        <v>166.13</v>
      </c>
      <c r="J1692" t="s">
        <v>689</v>
      </c>
    </row>
    <row r="1693" spans="1:11" x14ac:dyDescent="0.35">
      <c r="A1693" t="s">
        <v>2683</v>
      </c>
      <c r="B1693" t="s">
        <v>196</v>
      </c>
      <c r="C1693" t="s">
        <v>553</v>
      </c>
      <c r="D1693" t="s">
        <v>635</v>
      </c>
      <c r="E1693" s="1">
        <v>45433</v>
      </c>
      <c r="F1693" s="1">
        <v>45437</v>
      </c>
      <c r="G1693" s="1">
        <v>45450</v>
      </c>
      <c r="H1693" t="s">
        <v>13</v>
      </c>
      <c r="I1693">
        <v>166.05</v>
      </c>
      <c r="J1693" t="s">
        <v>683</v>
      </c>
      <c r="K1693">
        <v>13</v>
      </c>
    </row>
    <row r="1694" spans="1:11" x14ac:dyDescent="0.35">
      <c r="A1694" t="s">
        <v>1903</v>
      </c>
      <c r="B1694" t="s">
        <v>388</v>
      </c>
      <c r="C1694" t="s">
        <v>537</v>
      </c>
      <c r="D1694" t="s">
        <v>635</v>
      </c>
      <c r="E1694" s="1">
        <v>45220</v>
      </c>
      <c r="F1694" s="1">
        <v>45224</v>
      </c>
      <c r="G1694" s="1">
        <v>45254</v>
      </c>
      <c r="H1694" t="s">
        <v>8</v>
      </c>
      <c r="I1694">
        <v>166.03</v>
      </c>
      <c r="J1694" t="s">
        <v>683</v>
      </c>
      <c r="K1694">
        <v>30</v>
      </c>
    </row>
    <row r="1695" spans="1:11" x14ac:dyDescent="0.35">
      <c r="A1695" t="s">
        <v>2156</v>
      </c>
      <c r="B1695" t="s">
        <v>122</v>
      </c>
      <c r="C1695" t="s">
        <v>585</v>
      </c>
      <c r="D1695" t="s">
        <v>638</v>
      </c>
      <c r="E1695" s="1">
        <v>45489</v>
      </c>
      <c r="F1695" s="1">
        <v>45492</v>
      </c>
      <c r="G1695" s="1">
        <v>45508</v>
      </c>
      <c r="H1695" t="s">
        <v>13</v>
      </c>
      <c r="I1695">
        <v>165.74</v>
      </c>
      <c r="J1695" t="s">
        <v>683</v>
      </c>
      <c r="K1695">
        <v>16</v>
      </c>
    </row>
    <row r="1696" spans="1:11" x14ac:dyDescent="0.35">
      <c r="A1696" t="s">
        <v>2351</v>
      </c>
      <c r="B1696" t="s">
        <v>466</v>
      </c>
      <c r="C1696" t="s">
        <v>609</v>
      </c>
      <c r="D1696" t="s">
        <v>638</v>
      </c>
      <c r="E1696" s="1">
        <v>45080</v>
      </c>
      <c r="F1696" s="1">
        <v>45083</v>
      </c>
      <c r="G1696" s="1">
        <v>45102</v>
      </c>
      <c r="H1696" t="s">
        <v>20</v>
      </c>
      <c r="I1696">
        <v>165.72</v>
      </c>
      <c r="J1696" t="s">
        <v>683</v>
      </c>
      <c r="K1696">
        <v>19</v>
      </c>
    </row>
    <row r="1697" spans="1:11" x14ac:dyDescent="0.35">
      <c r="A1697" t="s">
        <v>1150</v>
      </c>
      <c r="B1697" t="s">
        <v>47</v>
      </c>
      <c r="C1697" t="s">
        <v>581</v>
      </c>
      <c r="D1697" t="s">
        <v>635</v>
      </c>
      <c r="E1697" s="1">
        <v>45488</v>
      </c>
      <c r="F1697" s="1">
        <v>45489</v>
      </c>
      <c r="G1697" s="1">
        <v>45515</v>
      </c>
      <c r="H1697" t="s">
        <v>20</v>
      </c>
      <c r="I1697">
        <v>165.37</v>
      </c>
      <c r="J1697" t="s">
        <v>683</v>
      </c>
      <c r="K1697">
        <v>26</v>
      </c>
    </row>
    <row r="1698" spans="1:11" x14ac:dyDescent="0.35">
      <c r="A1698" t="s">
        <v>2571</v>
      </c>
      <c r="B1698" t="s">
        <v>246</v>
      </c>
      <c r="C1698" t="s">
        <v>553</v>
      </c>
      <c r="D1698" t="s">
        <v>638</v>
      </c>
      <c r="E1698" s="1">
        <v>45466</v>
      </c>
      <c r="F1698" s="1">
        <v>45469</v>
      </c>
      <c r="G1698" s="1">
        <v>45499</v>
      </c>
      <c r="H1698" t="s">
        <v>11</v>
      </c>
      <c r="I1698">
        <v>165.26</v>
      </c>
      <c r="J1698" t="s">
        <v>683</v>
      </c>
      <c r="K1698">
        <v>30</v>
      </c>
    </row>
    <row r="1699" spans="1:11" x14ac:dyDescent="0.35">
      <c r="A1699" t="s">
        <v>2497</v>
      </c>
      <c r="B1699" t="s">
        <v>397</v>
      </c>
      <c r="C1699" t="s">
        <v>557</v>
      </c>
      <c r="D1699" t="s">
        <v>638</v>
      </c>
      <c r="E1699" s="1">
        <v>45066</v>
      </c>
      <c r="F1699" s="1">
        <v>45069</v>
      </c>
      <c r="G1699" s="1">
        <v>45072</v>
      </c>
      <c r="H1699" t="s">
        <v>11</v>
      </c>
      <c r="I1699">
        <v>164.63</v>
      </c>
      <c r="J1699" t="s">
        <v>683</v>
      </c>
      <c r="K1699">
        <v>3</v>
      </c>
    </row>
    <row r="1700" spans="1:11" x14ac:dyDescent="0.35">
      <c r="A1700" t="s">
        <v>2243</v>
      </c>
      <c r="B1700" t="s">
        <v>117</v>
      </c>
      <c r="C1700" t="s">
        <v>567</v>
      </c>
      <c r="D1700" t="s">
        <v>638</v>
      </c>
      <c r="E1700" s="1">
        <v>45050</v>
      </c>
      <c r="F1700" s="1">
        <v>45052</v>
      </c>
      <c r="G1700" s="1">
        <v>45070</v>
      </c>
      <c r="H1700" t="s">
        <v>8</v>
      </c>
      <c r="I1700">
        <v>164.2</v>
      </c>
      <c r="J1700" t="s">
        <v>683</v>
      </c>
      <c r="K1700">
        <v>18</v>
      </c>
    </row>
    <row r="1701" spans="1:11" x14ac:dyDescent="0.35">
      <c r="A1701" t="s">
        <v>2643</v>
      </c>
      <c r="B1701" t="s">
        <v>458</v>
      </c>
      <c r="C1701" t="s">
        <v>557</v>
      </c>
      <c r="D1701" t="s">
        <v>635</v>
      </c>
      <c r="E1701" s="1">
        <v>45644</v>
      </c>
      <c r="F1701" s="1">
        <v>45649</v>
      </c>
      <c r="G1701" s="1">
        <v>45679</v>
      </c>
      <c r="H1701" t="s">
        <v>11</v>
      </c>
      <c r="I1701">
        <v>164.01</v>
      </c>
      <c r="J1701" t="s">
        <v>687</v>
      </c>
      <c r="K1701">
        <v>30</v>
      </c>
    </row>
    <row r="1702" spans="1:11" x14ac:dyDescent="0.35">
      <c r="A1702" t="s">
        <v>2522</v>
      </c>
      <c r="B1702" t="s">
        <v>42</v>
      </c>
      <c r="C1702" t="s">
        <v>531</v>
      </c>
      <c r="D1702" t="s">
        <v>638</v>
      </c>
      <c r="E1702" s="1">
        <v>45473</v>
      </c>
      <c r="F1702" s="1">
        <v>45475</v>
      </c>
      <c r="G1702" s="1">
        <v>45489</v>
      </c>
      <c r="H1702" t="s">
        <v>20</v>
      </c>
      <c r="I1702">
        <v>163.72</v>
      </c>
      <c r="J1702" t="s">
        <v>683</v>
      </c>
      <c r="K1702">
        <v>14</v>
      </c>
    </row>
    <row r="1703" spans="1:11" x14ac:dyDescent="0.35">
      <c r="A1703" t="s">
        <v>824</v>
      </c>
      <c r="B1703" t="s">
        <v>44</v>
      </c>
      <c r="C1703" t="s">
        <v>597</v>
      </c>
      <c r="D1703" t="s">
        <v>638</v>
      </c>
      <c r="E1703" s="1">
        <v>45154</v>
      </c>
      <c r="F1703" s="1">
        <v>45155</v>
      </c>
      <c r="G1703" s="1">
        <v>45172</v>
      </c>
      <c r="H1703" t="s">
        <v>11</v>
      </c>
      <c r="I1703">
        <v>163.58000000000001</v>
      </c>
      <c r="J1703" t="s">
        <v>683</v>
      </c>
      <c r="K1703">
        <v>17</v>
      </c>
    </row>
    <row r="1704" spans="1:11" x14ac:dyDescent="0.35">
      <c r="A1704" t="s">
        <v>2066</v>
      </c>
      <c r="B1704" t="s">
        <v>345</v>
      </c>
      <c r="C1704" t="s">
        <v>540</v>
      </c>
      <c r="D1704" t="s">
        <v>638</v>
      </c>
      <c r="E1704" s="1">
        <v>45038</v>
      </c>
      <c r="F1704" s="1">
        <v>45041</v>
      </c>
      <c r="G1704" s="1">
        <v>45054</v>
      </c>
      <c r="H1704" t="s">
        <v>8</v>
      </c>
      <c r="I1704">
        <v>163.5</v>
      </c>
      <c r="J1704" t="s">
        <v>683</v>
      </c>
      <c r="K1704">
        <v>13</v>
      </c>
    </row>
    <row r="1705" spans="1:11" x14ac:dyDescent="0.35">
      <c r="A1705" t="s">
        <v>2231</v>
      </c>
      <c r="B1705" t="s">
        <v>140</v>
      </c>
      <c r="C1705" t="s">
        <v>521</v>
      </c>
      <c r="D1705" t="s">
        <v>635</v>
      </c>
      <c r="E1705" s="1">
        <v>44948</v>
      </c>
      <c r="F1705" s="1">
        <v>44951</v>
      </c>
      <c r="G1705" s="1">
        <v>44980</v>
      </c>
      <c r="H1705" t="s">
        <v>20</v>
      </c>
      <c r="I1705">
        <v>163.24</v>
      </c>
      <c r="J1705" t="s">
        <v>683</v>
      </c>
      <c r="K1705">
        <v>29</v>
      </c>
    </row>
    <row r="1706" spans="1:11" x14ac:dyDescent="0.35">
      <c r="A1706" t="s">
        <v>1758</v>
      </c>
      <c r="B1706" t="s">
        <v>376</v>
      </c>
      <c r="C1706" t="s">
        <v>555</v>
      </c>
      <c r="D1706" t="s">
        <v>635</v>
      </c>
      <c r="E1706" s="1">
        <v>45239</v>
      </c>
      <c r="F1706" s="1">
        <v>45240</v>
      </c>
      <c r="G1706" s="1">
        <v>45254</v>
      </c>
      <c r="H1706" t="s">
        <v>8</v>
      </c>
      <c r="I1706">
        <v>163.13</v>
      </c>
      <c r="J1706" t="s">
        <v>683</v>
      </c>
      <c r="K1706">
        <v>14</v>
      </c>
    </row>
    <row r="1707" spans="1:11" x14ac:dyDescent="0.35">
      <c r="A1707" t="s">
        <v>1345</v>
      </c>
      <c r="B1707" t="s">
        <v>226</v>
      </c>
      <c r="C1707" t="s">
        <v>555</v>
      </c>
      <c r="D1707" t="s">
        <v>638</v>
      </c>
      <c r="E1707" s="1">
        <v>45082</v>
      </c>
      <c r="F1707" s="1">
        <v>45087</v>
      </c>
      <c r="G1707" s="1">
        <v>45113</v>
      </c>
      <c r="H1707" t="s">
        <v>20</v>
      </c>
      <c r="I1707">
        <v>163.11000000000001</v>
      </c>
      <c r="J1707" t="s">
        <v>683</v>
      </c>
      <c r="K1707">
        <v>26</v>
      </c>
    </row>
    <row r="1708" spans="1:11" x14ac:dyDescent="0.35">
      <c r="A1708" t="s">
        <v>2335</v>
      </c>
      <c r="B1708" t="s">
        <v>454</v>
      </c>
      <c r="C1708" t="s">
        <v>585</v>
      </c>
      <c r="D1708" t="s">
        <v>635</v>
      </c>
      <c r="E1708" s="1">
        <v>45645</v>
      </c>
      <c r="F1708" s="1">
        <v>45648</v>
      </c>
      <c r="G1708" s="1">
        <v>45668</v>
      </c>
      <c r="H1708" t="s">
        <v>20</v>
      </c>
      <c r="I1708">
        <v>162.80000000000001</v>
      </c>
      <c r="J1708" t="s">
        <v>683</v>
      </c>
      <c r="K1708">
        <v>20</v>
      </c>
    </row>
    <row r="1709" spans="1:11" x14ac:dyDescent="0.35">
      <c r="A1709" t="s">
        <v>2164</v>
      </c>
      <c r="B1709" t="s">
        <v>322</v>
      </c>
      <c r="C1709" t="s">
        <v>589</v>
      </c>
      <c r="D1709" t="s">
        <v>635</v>
      </c>
      <c r="E1709" s="1">
        <v>45124</v>
      </c>
      <c r="F1709" s="1">
        <v>45128</v>
      </c>
      <c r="G1709" s="1">
        <v>45150</v>
      </c>
      <c r="H1709" t="s">
        <v>11</v>
      </c>
      <c r="I1709">
        <v>162.76</v>
      </c>
      <c r="J1709" t="s">
        <v>683</v>
      </c>
      <c r="K1709">
        <v>22</v>
      </c>
    </row>
    <row r="1710" spans="1:11" x14ac:dyDescent="0.35">
      <c r="A1710" t="s">
        <v>2165</v>
      </c>
      <c r="B1710" t="s">
        <v>187</v>
      </c>
      <c r="C1710" t="s">
        <v>543</v>
      </c>
      <c r="D1710" t="s">
        <v>638</v>
      </c>
      <c r="E1710" s="1">
        <v>44927</v>
      </c>
      <c r="F1710" s="1">
        <v>44930</v>
      </c>
      <c r="G1710" s="1"/>
      <c r="H1710" t="s">
        <v>11</v>
      </c>
      <c r="I1710">
        <v>162.24</v>
      </c>
      <c r="J1710" t="s">
        <v>689</v>
      </c>
    </row>
    <row r="1711" spans="1:11" x14ac:dyDescent="0.35">
      <c r="A1711" t="s">
        <v>2658</v>
      </c>
      <c r="B1711" t="s">
        <v>270</v>
      </c>
      <c r="C1711" t="s">
        <v>527</v>
      </c>
      <c r="D1711" t="s">
        <v>635</v>
      </c>
      <c r="E1711" s="1">
        <v>45574</v>
      </c>
      <c r="F1711" s="1">
        <v>45577</v>
      </c>
      <c r="G1711" s="1">
        <v>45582</v>
      </c>
      <c r="H1711" t="s">
        <v>11</v>
      </c>
      <c r="I1711">
        <v>162</v>
      </c>
      <c r="J1711" t="s">
        <v>683</v>
      </c>
      <c r="K1711">
        <v>5</v>
      </c>
    </row>
    <row r="1712" spans="1:11" x14ac:dyDescent="0.35">
      <c r="A1712" t="s">
        <v>2216</v>
      </c>
      <c r="B1712" t="s">
        <v>440</v>
      </c>
      <c r="C1712" t="s">
        <v>553</v>
      </c>
      <c r="D1712" t="s">
        <v>638</v>
      </c>
      <c r="E1712" s="1">
        <v>45166</v>
      </c>
      <c r="F1712" s="1">
        <v>45170</v>
      </c>
      <c r="G1712" s="1">
        <v>45184</v>
      </c>
      <c r="H1712" t="s">
        <v>20</v>
      </c>
      <c r="I1712">
        <v>161.5</v>
      </c>
      <c r="J1712" t="s">
        <v>683</v>
      </c>
      <c r="K1712">
        <v>14</v>
      </c>
    </row>
    <row r="1713" spans="1:11" x14ac:dyDescent="0.35">
      <c r="A1713" t="s">
        <v>756</v>
      </c>
      <c r="B1713" t="s">
        <v>70</v>
      </c>
      <c r="C1713" t="s">
        <v>599</v>
      </c>
      <c r="D1713" t="s">
        <v>638</v>
      </c>
      <c r="E1713" s="1">
        <v>45124</v>
      </c>
      <c r="F1713" s="1">
        <v>45128</v>
      </c>
      <c r="G1713" s="1">
        <v>45133</v>
      </c>
      <c r="H1713" t="s">
        <v>11</v>
      </c>
      <c r="I1713">
        <v>161.46</v>
      </c>
      <c r="J1713" t="s">
        <v>683</v>
      </c>
      <c r="K1713">
        <v>5</v>
      </c>
    </row>
    <row r="1714" spans="1:11" x14ac:dyDescent="0.35">
      <c r="A1714" t="s">
        <v>837</v>
      </c>
      <c r="B1714" t="s">
        <v>332</v>
      </c>
      <c r="C1714" t="s">
        <v>575</v>
      </c>
      <c r="D1714" t="s">
        <v>638</v>
      </c>
      <c r="E1714" s="1">
        <v>45598</v>
      </c>
      <c r="F1714" s="1">
        <v>45601</v>
      </c>
      <c r="G1714" s="1">
        <v>45608</v>
      </c>
      <c r="H1714" t="s">
        <v>20</v>
      </c>
      <c r="I1714">
        <v>160.9</v>
      </c>
      <c r="J1714" t="s">
        <v>683</v>
      </c>
      <c r="K1714">
        <v>7</v>
      </c>
    </row>
    <row r="1715" spans="1:11" x14ac:dyDescent="0.35">
      <c r="A1715" t="s">
        <v>1963</v>
      </c>
      <c r="B1715" t="s">
        <v>255</v>
      </c>
      <c r="C1715" t="s">
        <v>591</v>
      </c>
      <c r="D1715" t="s">
        <v>638</v>
      </c>
      <c r="E1715" s="1">
        <v>45421</v>
      </c>
      <c r="F1715" s="1">
        <v>45425</v>
      </c>
      <c r="G1715" s="1">
        <v>45445</v>
      </c>
      <c r="H1715" t="s">
        <v>20</v>
      </c>
      <c r="I1715">
        <v>159.6</v>
      </c>
      <c r="J1715" t="s">
        <v>683</v>
      </c>
      <c r="K1715">
        <v>20</v>
      </c>
    </row>
    <row r="1716" spans="1:11" x14ac:dyDescent="0.35">
      <c r="A1716" t="s">
        <v>1814</v>
      </c>
      <c r="B1716" t="s">
        <v>499</v>
      </c>
      <c r="C1716" t="s">
        <v>561</v>
      </c>
      <c r="D1716" t="s">
        <v>638</v>
      </c>
      <c r="E1716" s="1">
        <v>45573</v>
      </c>
      <c r="F1716" s="1">
        <v>45576</v>
      </c>
      <c r="G1716" s="1">
        <v>45604</v>
      </c>
      <c r="H1716" t="s">
        <v>11</v>
      </c>
      <c r="I1716">
        <v>159.56</v>
      </c>
      <c r="J1716" t="s">
        <v>683</v>
      </c>
      <c r="K1716">
        <v>28</v>
      </c>
    </row>
    <row r="1717" spans="1:11" x14ac:dyDescent="0.35">
      <c r="A1717" t="s">
        <v>1989</v>
      </c>
      <c r="B1717" t="s">
        <v>270</v>
      </c>
      <c r="C1717" t="s">
        <v>567</v>
      </c>
      <c r="D1717" t="s">
        <v>638</v>
      </c>
      <c r="E1717" s="1">
        <v>45539</v>
      </c>
      <c r="F1717" s="1">
        <v>45541</v>
      </c>
      <c r="G1717" s="1">
        <v>45561</v>
      </c>
      <c r="H1717" t="s">
        <v>11</v>
      </c>
      <c r="I1717">
        <v>159.01</v>
      </c>
      <c r="J1717" t="s">
        <v>683</v>
      </c>
      <c r="K1717">
        <v>20</v>
      </c>
    </row>
    <row r="1718" spans="1:11" x14ac:dyDescent="0.35">
      <c r="A1718" t="s">
        <v>1468</v>
      </c>
      <c r="B1718" t="s">
        <v>74</v>
      </c>
      <c r="C1718" t="s">
        <v>579</v>
      </c>
      <c r="D1718" t="s">
        <v>638</v>
      </c>
      <c r="E1718" s="1">
        <v>45585</v>
      </c>
      <c r="F1718" s="1">
        <v>45589</v>
      </c>
      <c r="G1718" s="1">
        <v>45593</v>
      </c>
      <c r="H1718" t="s">
        <v>8</v>
      </c>
      <c r="I1718">
        <v>158.9</v>
      </c>
      <c r="J1718" t="s">
        <v>687</v>
      </c>
      <c r="K1718">
        <v>4</v>
      </c>
    </row>
    <row r="1719" spans="1:11" x14ac:dyDescent="0.35">
      <c r="A1719" t="s">
        <v>2075</v>
      </c>
      <c r="B1719" t="s">
        <v>457</v>
      </c>
      <c r="C1719" t="s">
        <v>569</v>
      </c>
      <c r="D1719" t="s">
        <v>638</v>
      </c>
      <c r="E1719" s="1">
        <v>45293</v>
      </c>
      <c r="F1719" s="1">
        <v>45294</v>
      </c>
      <c r="G1719" s="1">
        <v>45314</v>
      </c>
      <c r="H1719" t="s">
        <v>11</v>
      </c>
      <c r="I1719">
        <v>158.71</v>
      </c>
      <c r="J1719" t="s">
        <v>683</v>
      </c>
      <c r="K1719">
        <v>20</v>
      </c>
    </row>
    <row r="1720" spans="1:11" x14ac:dyDescent="0.35">
      <c r="A1720" t="s">
        <v>1907</v>
      </c>
      <c r="B1720" t="s">
        <v>297</v>
      </c>
      <c r="C1720" t="s">
        <v>521</v>
      </c>
      <c r="D1720" t="s">
        <v>638</v>
      </c>
      <c r="E1720" s="1">
        <v>45136</v>
      </c>
      <c r="F1720" s="1">
        <v>45138</v>
      </c>
      <c r="G1720" s="1">
        <v>45155</v>
      </c>
      <c r="H1720" t="s">
        <v>8</v>
      </c>
      <c r="I1720">
        <v>158.63</v>
      </c>
      <c r="J1720" t="s">
        <v>683</v>
      </c>
      <c r="K1720">
        <v>17</v>
      </c>
    </row>
    <row r="1721" spans="1:11" x14ac:dyDescent="0.35">
      <c r="A1721" t="s">
        <v>1971</v>
      </c>
      <c r="B1721" t="s">
        <v>262</v>
      </c>
      <c r="C1721" t="s">
        <v>595</v>
      </c>
      <c r="D1721" t="s">
        <v>638</v>
      </c>
      <c r="E1721" s="1">
        <v>45019</v>
      </c>
      <c r="F1721" s="1">
        <v>45020</v>
      </c>
      <c r="G1721" s="1">
        <v>45041</v>
      </c>
      <c r="H1721" t="s">
        <v>20</v>
      </c>
      <c r="I1721">
        <v>157.29</v>
      </c>
      <c r="J1721" t="s">
        <v>683</v>
      </c>
      <c r="K1721">
        <v>21</v>
      </c>
    </row>
    <row r="1722" spans="1:11" x14ac:dyDescent="0.35">
      <c r="A1722" t="s">
        <v>1914</v>
      </c>
      <c r="B1722" t="s">
        <v>41</v>
      </c>
      <c r="C1722" t="s">
        <v>607</v>
      </c>
      <c r="D1722" t="s">
        <v>638</v>
      </c>
      <c r="E1722" s="1">
        <v>45019</v>
      </c>
      <c r="F1722" s="1">
        <v>45024</v>
      </c>
      <c r="G1722" s="1">
        <v>45037</v>
      </c>
      <c r="H1722" t="s">
        <v>11</v>
      </c>
      <c r="I1722">
        <v>156.85</v>
      </c>
      <c r="J1722" t="s">
        <v>687</v>
      </c>
      <c r="K1722">
        <v>13</v>
      </c>
    </row>
    <row r="1723" spans="1:11" x14ac:dyDescent="0.35">
      <c r="A1723" t="s">
        <v>2412</v>
      </c>
      <c r="B1723" t="s">
        <v>157</v>
      </c>
      <c r="C1723" t="s">
        <v>521</v>
      </c>
      <c r="D1723" t="s">
        <v>638</v>
      </c>
      <c r="E1723" s="1">
        <v>45222</v>
      </c>
      <c r="F1723" s="1">
        <v>45223</v>
      </c>
      <c r="G1723" s="1">
        <v>45238</v>
      </c>
      <c r="H1723" t="s">
        <v>11</v>
      </c>
      <c r="I1723">
        <v>155.47999999999999</v>
      </c>
      <c r="J1723" t="s">
        <v>683</v>
      </c>
      <c r="K1723">
        <v>15</v>
      </c>
    </row>
    <row r="1724" spans="1:11" x14ac:dyDescent="0.35">
      <c r="A1724" t="s">
        <v>738</v>
      </c>
      <c r="B1724" t="s">
        <v>231</v>
      </c>
      <c r="C1724" t="s">
        <v>543</v>
      </c>
      <c r="D1724" t="s">
        <v>638</v>
      </c>
      <c r="E1724" s="1">
        <v>45043</v>
      </c>
      <c r="F1724" s="1">
        <v>45048</v>
      </c>
      <c r="G1724" s="1">
        <v>45067</v>
      </c>
      <c r="H1724" t="s">
        <v>8</v>
      </c>
      <c r="I1724">
        <v>155.28</v>
      </c>
      <c r="J1724" t="s">
        <v>683</v>
      </c>
      <c r="K1724">
        <v>19</v>
      </c>
    </row>
    <row r="1725" spans="1:11" x14ac:dyDescent="0.35">
      <c r="A1725" t="s">
        <v>1636</v>
      </c>
      <c r="B1725" t="s">
        <v>439</v>
      </c>
      <c r="C1725" t="s">
        <v>549</v>
      </c>
      <c r="D1725" t="s">
        <v>638</v>
      </c>
      <c r="E1725" s="1">
        <v>45492</v>
      </c>
      <c r="F1725" s="1">
        <v>45496</v>
      </c>
      <c r="G1725" s="1">
        <v>45507</v>
      </c>
      <c r="H1725" t="s">
        <v>11</v>
      </c>
      <c r="I1725">
        <v>154.07</v>
      </c>
      <c r="J1725" t="s">
        <v>683</v>
      </c>
      <c r="K1725">
        <v>11</v>
      </c>
    </row>
    <row r="1726" spans="1:11" x14ac:dyDescent="0.35">
      <c r="A1726" t="s">
        <v>1298</v>
      </c>
      <c r="B1726" t="s">
        <v>100</v>
      </c>
      <c r="C1726" t="s">
        <v>540</v>
      </c>
      <c r="D1726" t="s">
        <v>638</v>
      </c>
      <c r="E1726" s="1">
        <v>45489</v>
      </c>
      <c r="F1726" s="1">
        <v>45492</v>
      </c>
      <c r="G1726" s="1">
        <v>45518</v>
      </c>
      <c r="H1726" t="s">
        <v>20</v>
      </c>
      <c r="I1726">
        <v>152.63999999999999</v>
      </c>
      <c r="J1726" t="s">
        <v>683</v>
      </c>
      <c r="K1726">
        <v>26</v>
      </c>
    </row>
    <row r="1727" spans="1:11" x14ac:dyDescent="0.35">
      <c r="A1727" t="s">
        <v>1754</v>
      </c>
      <c r="B1727" t="s">
        <v>432</v>
      </c>
      <c r="C1727" t="s">
        <v>534</v>
      </c>
      <c r="D1727" t="s">
        <v>638</v>
      </c>
      <c r="E1727" s="1">
        <v>45178</v>
      </c>
      <c r="F1727" s="1">
        <v>45179</v>
      </c>
      <c r="G1727" s="1"/>
      <c r="H1727" t="s">
        <v>11</v>
      </c>
      <c r="I1727">
        <v>152.29</v>
      </c>
      <c r="J1727" t="s">
        <v>689</v>
      </c>
    </row>
    <row r="1728" spans="1:11" x14ac:dyDescent="0.35">
      <c r="A1728" t="s">
        <v>2608</v>
      </c>
      <c r="B1728" t="s">
        <v>429</v>
      </c>
      <c r="C1728" t="s">
        <v>567</v>
      </c>
      <c r="D1728" t="s">
        <v>638</v>
      </c>
      <c r="E1728" s="1">
        <v>44943</v>
      </c>
      <c r="F1728" s="1">
        <v>44947</v>
      </c>
      <c r="G1728" s="1">
        <v>44975</v>
      </c>
      <c r="H1728" t="s">
        <v>13</v>
      </c>
      <c r="I1728">
        <v>151.94999999999999</v>
      </c>
      <c r="J1728" t="s">
        <v>687</v>
      </c>
      <c r="K1728">
        <v>28</v>
      </c>
    </row>
    <row r="1729" spans="1:11" x14ac:dyDescent="0.35">
      <c r="A1729" t="s">
        <v>1432</v>
      </c>
      <c r="B1729" t="s">
        <v>249</v>
      </c>
      <c r="C1729" t="s">
        <v>563</v>
      </c>
      <c r="D1729" t="s">
        <v>638</v>
      </c>
      <c r="E1729" s="1">
        <v>45305</v>
      </c>
      <c r="F1729" s="1">
        <v>45310</v>
      </c>
      <c r="G1729" s="1">
        <v>45314</v>
      </c>
      <c r="H1729" t="s">
        <v>8</v>
      </c>
      <c r="I1729">
        <v>151.53</v>
      </c>
      <c r="J1729" t="s">
        <v>683</v>
      </c>
      <c r="K1729">
        <v>4</v>
      </c>
    </row>
    <row r="1730" spans="1:11" x14ac:dyDescent="0.35">
      <c r="A1730" t="s">
        <v>2191</v>
      </c>
      <c r="B1730" t="s">
        <v>312</v>
      </c>
      <c r="C1730" t="s">
        <v>587</v>
      </c>
      <c r="D1730" t="s">
        <v>638</v>
      </c>
      <c r="E1730" s="1">
        <v>45118</v>
      </c>
      <c r="F1730" s="1">
        <v>45120</v>
      </c>
      <c r="G1730" s="1">
        <v>45128</v>
      </c>
      <c r="H1730" t="s">
        <v>11</v>
      </c>
      <c r="I1730">
        <v>151.44999999999999</v>
      </c>
      <c r="J1730" t="s">
        <v>683</v>
      </c>
      <c r="K1730">
        <v>8</v>
      </c>
    </row>
    <row r="1731" spans="1:11" x14ac:dyDescent="0.35">
      <c r="A1731" t="s">
        <v>1935</v>
      </c>
      <c r="B1731" t="s">
        <v>421</v>
      </c>
      <c r="C1731" t="s">
        <v>565</v>
      </c>
      <c r="D1731" t="s">
        <v>651</v>
      </c>
      <c r="E1731" s="1">
        <v>45625</v>
      </c>
      <c r="F1731" s="1">
        <v>45627</v>
      </c>
      <c r="G1731" s="1">
        <v>45645</v>
      </c>
      <c r="H1731" t="s">
        <v>8</v>
      </c>
      <c r="I1731">
        <v>149.82</v>
      </c>
      <c r="J1731" t="s">
        <v>683</v>
      </c>
      <c r="K1731">
        <v>18</v>
      </c>
    </row>
    <row r="1732" spans="1:11" x14ac:dyDescent="0.35">
      <c r="A1732" t="s">
        <v>2274</v>
      </c>
      <c r="B1732" t="s">
        <v>112</v>
      </c>
      <c r="C1732" t="s">
        <v>563</v>
      </c>
      <c r="D1732" t="s">
        <v>651</v>
      </c>
      <c r="E1732" s="1">
        <v>45517</v>
      </c>
      <c r="F1732" s="1">
        <v>45521</v>
      </c>
      <c r="G1732" s="1">
        <v>45543</v>
      </c>
      <c r="H1732" t="s">
        <v>13</v>
      </c>
      <c r="I1732">
        <v>149.66</v>
      </c>
      <c r="J1732" t="s">
        <v>687</v>
      </c>
      <c r="K1732">
        <v>22</v>
      </c>
    </row>
    <row r="1733" spans="1:11" x14ac:dyDescent="0.35">
      <c r="A1733" t="s">
        <v>853</v>
      </c>
      <c r="B1733" t="s">
        <v>246</v>
      </c>
      <c r="C1733" t="s">
        <v>595</v>
      </c>
      <c r="D1733" t="s">
        <v>651</v>
      </c>
      <c r="E1733" s="1">
        <v>45057</v>
      </c>
      <c r="F1733" s="1">
        <v>45060</v>
      </c>
      <c r="G1733" s="1">
        <v>45072</v>
      </c>
      <c r="H1733" t="s">
        <v>11</v>
      </c>
      <c r="I1733">
        <v>149.46</v>
      </c>
      <c r="J1733" t="s">
        <v>683</v>
      </c>
      <c r="K1733">
        <v>12</v>
      </c>
    </row>
    <row r="1734" spans="1:11" x14ac:dyDescent="0.35">
      <c r="A1734" t="s">
        <v>918</v>
      </c>
      <c r="B1734" t="s">
        <v>41</v>
      </c>
      <c r="C1734" t="s">
        <v>597</v>
      </c>
      <c r="D1734" t="s">
        <v>638</v>
      </c>
      <c r="E1734" s="1">
        <v>45005</v>
      </c>
      <c r="F1734" s="1">
        <v>45010</v>
      </c>
      <c r="G1734" s="1">
        <v>45014</v>
      </c>
      <c r="H1734" t="s">
        <v>11</v>
      </c>
      <c r="I1734">
        <v>148.44</v>
      </c>
      <c r="J1734" t="s">
        <v>683</v>
      </c>
      <c r="K1734">
        <v>4</v>
      </c>
    </row>
    <row r="1735" spans="1:11" x14ac:dyDescent="0.35">
      <c r="A1735" t="s">
        <v>1892</v>
      </c>
      <c r="B1735" t="s">
        <v>129</v>
      </c>
      <c r="C1735" t="s">
        <v>573</v>
      </c>
      <c r="D1735" t="s">
        <v>638</v>
      </c>
      <c r="E1735" s="1">
        <v>45174</v>
      </c>
      <c r="F1735" s="1">
        <v>45179</v>
      </c>
      <c r="G1735" s="1">
        <v>45195</v>
      </c>
      <c r="H1735" t="s">
        <v>8</v>
      </c>
      <c r="I1735">
        <v>148.32</v>
      </c>
      <c r="J1735" t="s">
        <v>683</v>
      </c>
      <c r="K1735">
        <v>16</v>
      </c>
    </row>
    <row r="1736" spans="1:11" x14ac:dyDescent="0.35">
      <c r="A1736" t="s">
        <v>1906</v>
      </c>
      <c r="B1736" t="s">
        <v>46</v>
      </c>
      <c r="C1736" t="s">
        <v>597</v>
      </c>
      <c r="D1736" t="s">
        <v>638</v>
      </c>
      <c r="E1736" s="1">
        <v>45372</v>
      </c>
      <c r="F1736" s="1">
        <v>45377</v>
      </c>
      <c r="G1736" s="1">
        <v>45392</v>
      </c>
      <c r="H1736" t="s">
        <v>11</v>
      </c>
      <c r="I1736">
        <v>147.94999999999999</v>
      </c>
      <c r="J1736" t="s">
        <v>683</v>
      </c>
      <c r="K1736">
        <v>15</v>
      </c>
    </row>
    <row r="1737" spans="1:11" x14ac:dyDescent="0.35">
      <c r="A1737" t="s">
        <v>2581</v>
      </c>
      <c r="B1737" t="s">
        <v>417</v>
      </c>
      <c r="C1737" t="s">
        <v>569</v>
      </c>
      <c r="D1737" t="s">
        <v>651</v>
      </c>
      <c r="E1737" s="1">
        <v>45338</v>
      </c>
      <c r="F1737" s="1">
        <v>45342</v>
      </c>
      <c r="G1737" s="1"/>
      <c r="H1737" t="s">
        <v>25</v>
      </c>
      <c r="I1737">
        <v>147.62</v>
      </c>
      <c r="J1737" t="s">
        <v>689</v>
      </c>
    </row>
    <row r="1738" spans="1:11" x14ac:dyDescent="0.35">
      <c r="A1738" t="s">
        <v>2174</v>
      </c>
      <c r="B1738" t="s">
        <v>198</v>
      </c>
      <c r="C1738" t="s">
        <v>591</v>
      </c>
      <c r="D1738" t="s">
        <v>638</v>
      </c>
      <c r="E1738" s="1">
        <v>45607</v>
      </c>
      <c r="F1738" s="1">
        <v>45608</v>
      </c>
      <c r="G1738" s="1">
        <v>45616</v>
      </c>
      <c r="H1738" t="s">
        <v>11</v>
      </c>
      <c r="I1738">
        <v>147.46</v>
      </c>
      <c r="J1738" t="s">
        <v>687</v>
      </c>
      <c r="K1738">
        <v>8</v>
      </c>
    </row>
    <row r="1739" spans="1:11" x14ac:dyDescent="0.35">
      <c r="A1739" t="s">
        <v>1964</v>
      </c>
      <c r="B1739" t="s">
        <v>320</v>
      </c>
      <c r="C1739" t="s">
        <v>579</v>
      </c>
      <c r="D1739" t="s">
        <v>651</v>
      </c>
      <c r="E1739" s="1">
        <v>45532</v>
      </c>
      <c r="F1739" s="1">
        <v>45537</v>
      </c>
      <c r="G1739" s="1">
        <v>45545</v>
      </c>
      <c r="H1739" t="s">
        <v>11</v>
      </c>
      <c r="I1739">
        <v>147.41999999999999</v>
      </c>
      <c r="J1739" t="s">
        <v>683</v>
      </c>
      <c r="K1739">
        <v>8</v>
      </c>
    </row>
    <row r="1740" spans="1:11" x14ac:dyDescent="0.35">
      <c r="A1740" t="s">
        <v>1267</v>
      </c>
      <c r="B1740" t="s">
        <v>112</v>
      </c>
      <c r="C1740" t="s">
        <v>577</v>
      </c>
      <c r="D1740" t="s">
        <v>651</v>
      </c>
      <c r="E1740" s="1">
        <v>45176</v>
      </c>
      <c r="F1740" s="1">
        <v>45180</v>
      </c>
      <c r="G1740" s="1">
        <v>45184</v>
      </c>
      <c r="H1740" t="s">
        <v>13</v>
      </c>
      <c r="I1740">
        <v>147.35</v>
      </c>
      <c r="J1740" t="s">
        <v>687</v>
      </c>
      <c r="K1740">
        <v>4</v>
      </c>
    </row>
    <row r="1741" spans="1:11" x14ac:dyDescent="0.35">
      <c r="A1741" t="s">
        <v>2663</v>
      </c>
      <c r="B1741" t="s">
        <v>49</v>
      </c>
      <c r="C1741" t="s">
        <v>534</v>
      </c>
      <c r="D1741" t="s">
        <v>651</v>
      </c>
      <c r="E1741" s="1">
        <v>45218</v>
      </c>
      <c r="F1741" s="1">
        <v>45223</v>
      </c>
      <c r="G1741" s="1">
        <v>45242</v>
      </c>
      <c r="H1741" t="s">
        <v>8</v>
      </c>
      <c r="I1741">
        <v>147.22</v>
      </c>
      <c r="J1741" t="s">
        <v>683</v>
      </c>
      <c r="K1741">
        <v>19</v>
      </c>
    </row>
    <row r="1742" spans="1:11" x14ac:dyDescent="0.35">
      <c r="A1742" t="s">
        <v>2159</v>
      </c>
      <c r="B1742" t="s">
        <v>124</v>
      </c>
      <c r="C1742" t="s">
        <v>524</v>
      </c>
      <c r="D1742" t="s">
        <v>638</v>
      </c>
      <c r="E1742" s="1">
        <v>45014</v>
      </c>
      <c r="F1742" s="1">
        <v>45019</v>
      </c>
      <c r="G1742" s="1">
        <v>45039</v>
      </c>
      <c r="H1742" t="s">
        <v>13</v>
      </c>
      <c r="I1742">
        <v>146.69999999999999</v>
      </c>
      <c r="J1742" t="s">
        <v>687</v>
      </c>
      <c r="K1742">
        <v>20</v>
      </c>
    </row>
    <row r="1743" spans="1:11" x14ac:dyDescent="0.35">
      <c r="A1743" t="s">
        <v>2054</v>
      </c>
      <c r="B1743" t="s">
        <v>50</v>
      </c>
      <c r="C1743" t="s">
        <v>537</v>
      </c>
      <c r="D1743" t="s">
        <v>638</v>
      </c>
      <c r="E1743" s="1">
        <v>45571</v>
      </c>
      <c r="F1743" s="1">
        <v>45573</v>
      </c>
      <c r="G1743" s="1">
        <v>45600</v>
      </c>
      <c r="H1743" t="s">
        <v>13</v>
      </c>
      <c r="I1743">
        <v>146.63</v>
      </c>
      <c r="J1743" t="s">
        <v>683</v>
      </c>
      <c r="K1743">
        <v>27</v>
      </c>
    </row>
    <row r="1744" spans="1:11" x14ac:dyDescent="0.35">
      <c r="A1744" t="s">
        <v>2341</v>
      </c>
      <c r="B1744" t="s">
        <v>267</v>
      </c>
      <c r="C1744" t="s">
        <v>537</v>
      </c>
      <c r="D1744" t="s">
        <v>651</v>
      </c>
      <c r="E1744" s="1">
        <v>45252</v>
      </c>
      <c r="F1744" s="1">
        <v>45257</v>
      </c>
      <c r="G1744" s="1">
        <v>45285</v>
      </c>
      <c r="H1744" t="s">
        <v>25</v>
      </c>
      <c r="I1744">
        <v>146.52000000000001</v>
      </c>
      <c r="J1744" t="s">
        <v>683</v>
      </c>
      <c r="K1744">
        <v>28</v>
      </c>
    </row>
    <row r="1745" spans="1:11" x14ac:dyDescent="0.35">
      <c r="A1745" t="s">
        <v>933</v>
      </c>
      <c r="B1745" t="s">
        <v>359</v>
      </c>
      <c r="C1745" t="s">
        <v>567</v>
      </c>
      <c r="D1745" t="s">
        <v>651</v>
      </c>
      <c r="E1745" s="1">
        <v>45605</v>
      </c>
      <c r="F1745" s="1">
        <v>45607</v>
      </c>
      <c r="G1745" s="1">
        <v>45636</v>
      </c>
      <c r="H1745" t="s">
        <v>25</v>
      </c>
      <c r="I1745">
        <v>146.38</v>
      </c>
      <c r="J1745" t="s">
        <v>687</v>
      </c>
      <c r="K1745">
        <v>29</v>
      </c>
    </row>
    <row r="1746" spans="1:11" x14ac:dyDescent="0.35">
      <c r="A1746" t="s">
        <v>2384</v>
      </c>
      <c r="B1746" t="s">
        <v>210</v>
      </c>
      <c r="C1746" t="s">
        <v>531</v>
      </c>
      <c r="D1746" t="s">
        <v>638</v>
      </c>
      <c r="E1746" s="1">
        <v>45267</v>
      </c>
      <c r="F1746" s="1">
        <v>45269</v>
      </c>
      <c r="G1746" s="1">
        <v>45276</v>
      </c>
      <c r="H1746" t="s">
        <v>20</v>
      </c>
      <c r="I1746">
        <v>146.32</v>
      </c>
      <c r="J1746" t="s">
        <v>687</v>
      </c>
      <c r="K1746">
        <v>7</v>
      </c>
    </row>
    <row r="1747" spans="1:11" x14ac:dyDescent="0.35">
      <c r="A1747" t="s">
        <v>2038</v>
      </c>
      <c r="B1747" t="s">
        <v>297</v>
      </c>
      <c r="C1747" t="s">
        <v>567</v>
      </c>
      <c r="D1747" t="s">
        <v>651</v>
      </c>
      <c r="E1747" s="1">
        <v>45506</v>
      </c>
      <c r="F1747" s="1">
        <v>45511</v>
      </c>
      <c r="G1747" s="1">
        <v>45526</v>
      </c>
      <c r="H1747" t="s">
        <v>8</v>
      </c>
      <c r="I1747">
        <v>145.80000000000001</v>
      </c>
      <c r="J1747" t="s">
        <v>683</v>
      </c>
      <c r="K1747">
        <v>15</v>
      </c>
    </row>
    <row r="1748" spans="1:11" x14ac:dyDescent="0.35">
      <c r="A1748" t="s">
        <v>1440</v>
      </c>
      <c r="B1748" t="s">
        <v>131</v>
      </c>
      <c r="C1748" t="s">
        <v>589</v>
      </c>
      <c r="D1748" t="s">
        <v>651</v>
      </c>
      <c r="E1748" s="1">
        <v>45267</v>
      </c>
      <c r="F1748" s="1">
        <v>45272</v>
      </c>
      <c r="G1748" s="1">
        <v>45284</v>
      </c>
      <c r="H1748" t="s">
        <v>20</v>
      </c>
      <c r="I1748">
        <v>145.59</v>
      </c>
      <c r="J1748" t="s">
        <v>683</v>
      </c>
      <c r="K1748">
        <v>12</v>
      </c>
    </row>
    <row r="1749" spans="1:11" x14ac:dyDescent="0.35">
      <c r="A1749" t="s">
        <v>2053</v>
      </c>
      <c r="B1749" t="s">
        <v>487</v>
      </c>
      <c r="C1749" t="s">
        <v>559</v>
      </c>
      <c r="D1749" t="s">
        <v>651</v>
      </c>
      <c r="E1749" s="1">
        <v>45478</v>
      </c>
      <c r="F1749" s="1">
        <v>45481</v>
      </c>
      <c r="G1749" s="1">
        <v>45487</v>
      </c>
      <c r="H1749" t="s">
        <v>20</v>
      </c>
      <c r="I1749">
        <v>145.16999999999999</v>
      </c>
      <c r="J1749" t="s">
        <v>683</v>
      </c>
      <c r="K1749">
        <v>6</v>
      </c>
    </row>
    <row r="1750" spans="1:11" x14ac:dyDescent="0.35">
      <c r="A1750" t="s">
        <v>1431</v>
      </c>
      <c r="B1750" t="s">
        <v>216</v>
      </c>
      <c r="C1750" t="s">
        <v>603</v>
      </c>
      <c r="D1750" t="s">
        <v>651</v>
      </c>
      <c r="E1750" s="1">
        <v>45291</v>
      </c>
      <c r="F1750" s="1">
        <v>45294</v>
      </c>
      <c r="G1750" s="1">
        <v>45302</v>
      </c>
      <c r="H1750" t="s">
        <v>20</v>
      </c>
      <c r="I1750">
        <v>144.91</v>
      </c>
      <c r="J1750" t="s">
        <v>683</v>
      </c>
      <c r="K1750">
        <v>8</v>
      </c>
    </row>
    <row r="1751" spans="1:11" x14ac:dyDescent="0.35">
      <c r="A1751" t="s">
        <v>2195</v>
      </c>
      <c r="B1751" t="s">
        <v>390</v>
      </c>
      <c r="C1751" t="s">
        <v>585</v>
      </c>
      <c r="D1751" t="s">
        <v>651</v>
      </c>
      <c r="E1751" s="1">
        <v>45470</v>
      </c>
      <c r="F1751" s="1">
        <v>45474</v>
      </c>
      <c r="G1751" s="1">
        <v>45501</v>
      </c>
      <c r="H1751" t="s">
        <v>11</v>
      </c>
      <c r="I1751">
        <v>144.36000000000001</v>
      </c>
      <c r="J1751" t="s">
        <v>683</v>
      </c>
      <c r="K1751">
        <v>27</v>
      </c>
    </row>
    <row r="1752" spans="1:11" x14ac:dyDescent="0.35">
      <c r="A1752" t="s">
        <v>1918</v>
      </c>
      <c r="B1752" t="s">
        <v>510</v>
      </c>
      <c r="C1752" t="s">
        <v>577</v>
      </c>
      <c r="D1752" t="s">
        <v>651</v>
      </c>
      <c r="E1752" s="1">
        <v>45161</v>
      </c>
      <c r="F1752" s="1">
        <v>45163</v>
      </c>
      <c r="G1752" s="1">
        <v>45173</v>
      </c>
      <c r="H1752" t="s">
        <v>11</v>
      </c>
      <c r="I1752">
        <v>144.06</v>
      </c>
      <c r="J1752" t="s">
        <v>683</v>
      </c>
      <c r="K1752">
        <v>10</v>
      </c>
    </row>
    <row r="1753" spans="1:11" x14ac:dyDescent="0.35">
      <c r="A1753" t="s">
        <v>1969</v>
      </c>
      <c r="B1753" t="s">
        <v>404</v>
      </c>
      <c r="C1753" t="s">
        <v>521</v>
      </c>
      <c r="D1753" t="s">
        <v>638</v>
      </c>
      <c r="E1753" s="1">
        <v>45522</v>
      </c>
      <c r="F1753" s="1">
        <v>45525</v>
      </c>
      <c r="G1753" s="1">
        <v>45539</v>
      </c>
      <c r="H1753" t="s">
        <v>8</v>
      </c>
      <c r="I1753">
        <v>143.93</v>
      </c>
      <c r="J1753" t="s">
        <v>683</v>
      </c>
      <c r="K1753">
        <v>14</v>
      </c>
    </row>
    <row r="1754" spans="1:11" x14ac:dyDescent="0.35">
      <c r="A1754" t="s">
        <v>2637</v>
      </c>
      <c r="B1754" t="s">
        <v>197</v>
      </c>
      <c r="C1754" t="s">
        <v>559</v>
      </c>
      <c r="D1754" t="s">
        <v>651</v>
      </c>
      <c r="E1754" s="1">
        <v>45262</v>
      </c>
      <c r="F1754" s="1">
        <v>45264</v>
      </c>
      <c r="G1754" s="1">
        <v>45289</v>
      </c>
      <c r="H1754" t="s">
        <v>13</v>
      </c>
      <c r="I1754">
        <v>143.87</v>
      </c>
      <c r="J1754" t="s">
        <v>683</v>
      </c>
      <c r="K1754">
        <v>25</v>
      </c>
    </row>
    <row r="1755" spans="1:11" x14ac:dyDescent="0.35">
      <c r="A1755" t="s">
        <v>2532</v>
      </c>
      <c r="B1755" t="s">
        <v>302</v>
      </c>
      <c r="C1755" t="s">
        <v>595</v>
      </c>
      <c r="D1755" t="s">
        <v>651</v>
      </c>
      <c r="E1755" s="1">
        <v>45397</v>
      </c>
      <c r="F1755" s="1">
        <v>45401</v>
      </c>
      <c r="G1755" s="1">
        <v>45411</v>
      </c>
      <c r="H1755" t="s">
        <v>8</v>
      </c>
      <c r="I1755">
        <v>143.81</v>
      </c>
      <c r="J1755" t="s">
        <v>683</v>
      </c>
      <c r="K1755">
        <v>10</v>
      </c>
    </row>
    <row r="1756" spans="1:11" x14ac:dyDescent="0.35">
      <c r="A1756" t="s">
        <v>2147</v>
      </c>
      <c r="B1756" t="s">
        <v>364</v>
      </c>
      <c r="C1756" t="s">
        <v>563</v>
      </c>
      <c r="D1756" t="s">
        <v>638</v>
      </c>
      <c r="E1756" s="1">
        <v>45431</v>
      </c>
      <c r="F1756" s="1">
        <v>45436</v>
      </c>
      <c r="G1756" s="1"/>
      <c r="H1756" t="s">
        <v>11</v>
      </c>
      <c r="I1756">
        <v>142.54</v>
      </c>
      <c r="J1756" t="s">
        <v>689</v>
      </c>
    </row>
    <row r="1757" spans="1:11" x14ac:dyDescent="0.35">
      <c r="A1757" t="s">
        <v>2106</v>
      </c>
      <c r="B1757" t="s">
        <v>179</v>
      </c>
      <c r="C1757" t="s">
        <v>601</v>
      </c>
      <c r="D1757" t="s">
        <v>651</v>
      </c>
      <c r="E1757" s="1">
        <v>45138</v>
      </c>
      <c r="F1757" s="1">
        <v>45143</v>
      </c>
      <c r="G1757" s="1">
        <v>45173</v>
      </c>
      <c r="H1757" t="s">
        <v>11</v>
      </c>
      <c r="I1757">
        <v>141.97999999999999</v>
      </c>
      <c r="J1757" t="s">
        <v>687</v>
      </c>
      <c r="K1757">
        <v>30</v>
      </c>
    </row>
    <row r="1758" spans="1:11" x14ac:dyDescent="0.35">
      <c r="A1758" t="s">
        <v>2540</v>
      </c>
      <c r="B1758" t="s">
        <v>109</v>
      </c>
      <c r="C1758" t="s">
        <v>591</v>
      </c>
      <c r="D1758" t="s">
        <v>638</v>
      </c>
      <c r="E1758" s="1">
        <v>45579</v>
      </c>
      <c r="F1758" s="1">
        <v>45580</v>
      </c>
      <c r="G1758" s="1">
        <v>45588</v>
      </c>
      <c r="H1758" t="s">
        <v>11</v>
      </c>
      <c r="I1758">
        <v>141.91999999999999</v>
      </c>
      <c r="J1758" t="s">
        <v>683</v>
      </c>
      <c r="K1758">
        <v>8</v>
      </c>
    </row>
    <row r="1759" spans="1:11" x14ac:dyDescent="0.35">
      <c r="A1759" t="s">
        <v>2246</v>
      </c>
      <c r="B1759" t="s">
        <v>141</v>
      </c>
      <c r="C1759" t="s">
        <v>546</v>
      </c>
      <c r="D1759" t="s">
        <v>638</v>
      </c>
      <c r="E1759" s="1">
        <v>45052</v>
      </c>
      <c r="F1759" s="1">
        <v>45056</v>
      </c>
      <c r="G1759" s="1">
        <v>45066</v>
      </c>
      <c r="H1759" t="s">
        <v>8</v>
      </c>
      <c r="I1759">
        <v>141.63</v>
      </c>
      <c r="J1759" t="s">
        <v>683</v>
      </c>
      <c r="K1759">
        <v>10</v>
      </c>
    </row>
    <row r="1760" spans="1:11" x14ac:dyDescent="0.35">
      <c r="A1760" t="s">
        <v>2498</v>
      </c>
      <c r="B1760" t="s">
        <v>134</v>
      </c>
      <c r="C1760" t="s">
        <v>531</v>
      </c>
      <c r="D1760" t="s">
        <v>638</v>
      </c>
      <c r="E1760" s="1">
        <v>45370</v>
      </c>
      <c r="F1760" s="1">
        <v>45375</v>
      </c>
      <c r="G1760" s="1">
        <v>45400</v>
      </c>
      <c r="H1760" t="s">
        <v>11</v>
      </c>
      <c r="I1760">
        <v>141.01</v>
      </c>
      <c r="J1760" t="s">
        <v>683</v>
      </c>
      <c r="K1760">
        <v>25</v>
      </c>
    </row>
    <row r="1761" spans="1:11" x14ac:dyDescent="0.35">
      <c r="A1761" t="s">
        <v>1805</v>
      </c>
      <c r="B1761" t="s">
        <v>280</v>
      </c>
      <c r="C1761" t="s">
        <v>611</v>
      </c>
      <c r="D1761" t="s">
        <v>651</v>
      </c>
      <c r="E1761" s="1">
        <v>44981</v>
      </c>
      <c r="F1761" s="1">
        <v>44986</v>
      </c>
      <c r="G1761" s="1">
        <v>44995</v>
      </c>
      <c r="H1761" t="s">
        <v>8</v>
      </c>
      <c r="I1761">
        <v>141</v>
      </c>
      <c r="J1761" t="s">
        <v>683</v>
      </c>
      <c r="K1761">
        <v>9</v>
      </c>
    </row>
    <row r="1762" spans="1:11" x14ac:dyDescent="0.35">
      <c r="A1762" t="s">
        <v>1810</v>
      </c>
      <c r="B1762" t="s">
        <v>506</v>
      </c>
      <c r="C1762" t="s">
        <v>579</v>
      </c>
      <c r="D1762" t="s">
        <v>651</v>
      </c>
      <c r="E1762" s="1">
        <v>45646</v>
      </c>
      <c r="F1762" s="1">
        <v>45650</v>
      </c>
      <c r="G1762" s="1"/>
      <c r="H1762" t="s">
        <v>11</v>
      </c>
      <c r="I1762">
        <v>140.97</v>
      </c>
      <c r="J1762" t="s">
        <v>689</v>
      </c>
    </row>
    <row r="1763" spans="1:11" x14ac:dyDescent="0.35">
      <c r="A1763" t="s">
        <v>1276</v>
      </c>
      <c r="B1763" t="s">
        <v>48</v>
      </c>
      <c r="C1763" t="s">
        <v>540</v>
      </c>
      <c r="D1763" t="s">
        <v>638</v>
      </c>
      <c r="E1763" s="1">
        <v>45615</v>
      </c>
      <c r="F1763" s="1">
        <v>45617</v>
      </c>
      <c r="G1763" s="1"/>
      <c r="H1763" t="s">
        <v>20</v>
      </c>
      <c r="I1763">
        <v>140.62</v>
      </c>
      <c r="J1763" t="s">
        <v>689</v>
      </c>
    </row>
    <row r="1764" spans="1:11" x14ac:dyDescent="0.35">
      <c r="A1764" t="s">
        <v>1205</v>
      </c>
      <c r="B1764" t="s">
        <v>234</v>
      </c>
      <c r="C1764" t="s">
        <v>537</v>
      </c>
      <c r="D1764" t="s">
        <v>638</v>
      </c>
      <c r="E1764" s="1">
        <v>45188</v>
      </c>
      <c r="F1764" s="1">
        <v>45192</v>
      </c>
      <c r="G1764" s="1"/>
      <c r="H1764" t="s">
        <v>20</v>
      </c>
      <c r="I1764">
        <v>139.6</v>
      </c>
      <c r="J1764" t="s">
        <v>689</v>
      </c>
    </row>
    <row r="1765" spans="1:11" x14ac:dyDescent="0.35">
      <c r="A1765" t="s">
        <v>2444</v>
      </c>
      <c r="B1765" t="s">
        <v>284</v>
      </c>
      <c r="C1765" t="s">
        <v>593</v>
      </c>
      <c r="D1765" t="s">
        <v>638</v>
      </c>
      <c r="E1765" s="1">
        <v>45221</v>
      </c>
      <c r="F1765" s="1">
        <v>45226</v>
      </c>
      <c r="G1765" s="1">
        <v>45242</v>
      </c>
      <c r="H1765" t="s">
        <v>8</v>
      </c>
      <c r="I1765">
        <v>139.18</v>
      </c>
      <c r="J1765" t="s">
        <v>683</v>
      </c>
      <c r="K1765">
        <v>16</v>
      </c>
    </row>
    <row r="1766" spans="1:11" x14ac:dyDescent="0.35">
      <c r="A1766" t="s">
        <v>912</v>
      </c>
      <c r="B1766" t="s">
        <v>224</v>
      </c>
      <c r="C1766" t="s">
        <v>569</v>
      </c>
      <c r="D1766" t="s">
        <v>638</v>
      </c>
      <c r="E1766" s="1">
        <v>45309</v>
      </c>
      <c r="F1766" s="1">
        <v>45311</v>
      </c>
      <c r="G1766" s="1">
        <v>45325</v>
      </c>
      <c r="H1766" t="s">
        <v>11</v>
      </c>
      <c r="I1766">
        <v>138.94999999999999</v>
      </c>
      <c r="J1766" t="s">
        <v>683</v>
      </c>
      <c r="K1766">
        <v>14</v>
      </c>
    </row>
    <row r="1767" spans="1:11" x14ac:dyDescent="0.35">
      <c r="A1767" t="s">
        <v>2657</v>
      </c>
      <c r="B1767" t="s">
        <v>111</v>
      </c>
      <c r="C1767" t="s">
        <v>569</v>
      </c>
      <c r="D1767" t="s">
        <v>651</v>
      </c>
      <c r="E1767" s="1">
        <v>45120</v>
      </c>
      <c r="F1767" s="1">
        <v>45122</v>
      </c>
      <c r="G1767" s="1">
        <v>45149</v>
      </c>
      <c r="H1767" t="s">
        <v>8</v>
      </c>
      <c r="I1767">
        <v>138.6</v>
      </c>
      <c r="J1767" t="s">
        <v>683</v>
      </c>
      <c r="K1767">
        <v>27</v>
      </c>
    </row>
    <row r="1768" spans="1:11" x14ac:dyDescent="0.35">
      <c r="A1768" t="s">
        <v>2440</v>
      </c>
      <c r="B1768" t="s">
        <v>227</v>
      </c>
      <c r="C1768" t="s">
        <v>565</v>
      </c>
      <c r="D1768" t="s">
        <v>638</v>
      </c>
      <c r="E1768" s="1">
        <v>44999</v>
      </c>
      <c r="F1768" s="1">
        <v>45004</v>
      </c>
      <c r="G1768" s="1">
        <v>45020</v>
      </c>
      <c r="H1768" t="s">
        <v>8</v>
      </c>
      <c r="I1768">
        <v>138.5</v>
      </c>
      <c r="J1768" t="s">
        <v>683</v>
      </c>
      <c r="K1768">
        <v>16</v>
      </c>
    </row>
    <row r="1769" spans="1:11" x14ac:dyDescent="0.35">
      <c r="A1769" t="s">
        <v>2357</v>
      </c>
      <c r="B1769" t="s">
        <v>263</v>
      </c>
      <c r="C1769" t="s">
        <v>521</v>
      </c>
      <c r="D1769" t="s">
        <v>651</v>
      </c>
      <c r="E1769" s="1">
        <v>45174</v>
      </c>
      <c r="F1769" s="1">
        <v>45175</v>
      </c>
      <c r="G1769" s="1">
        <v>45190</v>
      </c>
      <c r="H1769" t="s">
        <v>20</v>
      </c>
      <c r="I1769">
        <v>138.44</v>
      </c>
      <c r="J1769" t="s">
        <v>683</v>
      </c>
      <c r="K1769">
        <v>15</v>
      </c>
    </row>
    <row r="1770" spans="1:11" x14ac:dyDescent="0.35">
      <c r="A1770" t="s">
        <v>2180</v>
      </c>
      <c r="B1770" t="s">
        <v>198</v>
      </c>
      <c r="C1770" t="s">
        <v>597</v>
      </c>
      <c r="D1770" t="s">
        <v>651</v>
      </c>
      <c r="E1770" s="1">
        <v>45266</v>
      </c>
      <c r="F1770" s="1">
        <v>45271</v>
      </c>
      <c r="G1770" s="1">
        <v>45282</v>
      </c>
      <c r="H1770" t="s">
        <v>11</v>
      </c>
      <c r="I1770">
        <v>138.38999999999999</v>
      </c>
      <c r="J1770" t="s">
        <v>683</v>
      </c>
      <c r="K1770">
        <v>11</v>
      </c>
    </row>
    <row r="1771" spans="1:11" x14ac:dyDescent="0.35">
      <c r="A1771" t="s">
        <v>2328</v>
      </c>
      <c r="B1771" t="s">
        <v>261</v>
      </c>
      <c r="C1771" t="s">
        <v>534</v>
      </c>
      <c r="D1771" t="s">
        <v>638</v>
      </c>
      <c r="E1771" s="1">
        <v>45329</v>
      </c>
      <c r="F1771" s="1">
        <v>45334</v>
      </c>
      <c r="G1771" s="1">
        <v>45343</v>
      </c>
      <c r="H1771" t="s">
        <v>20</v>
      </c>
      <c r="I1771">
        <v>138.38999999999999</v>
      </c>
      <c r="J1771" t="s">
        <v>683</v>
      </c>
      <c r="K1771">
        <v>9</v>
      </c>
    </row>
    <row r="1772" spans="1:11" x14ac:dyDescent="0.35">
      <c r="A1772" t="s">
        <v>2506</v>
      </c>
      <c r="B1772" t="s">
        <v>321</v>
      </c>
      <c r="C1772" t="s">
        <v>534</v>
      </c>
      <c r="D1772" t="s">
        <v>651</v>
      </c>
      <c r="E1772" s="1">
        <v>44978</v>
      </c>
      <c r="F1772" s="1">
        <v>44982</v>
      </c>
      <c r="G1772" s="1">
        <v>45008</v>
      </c>
      <c r="H1772" t="s">
        <v>8</v>
      </c>
      <c r="I1772">
        <v>138.22</v>
      </c>
      <c r="J1772" t="s">
        <v>687</v>
      </c>
      <c r="K1772">
        <v>26</v>
      </c>
    </row>
    <row r="1773" spans="1:11" x14ac:dyDescent="0.35">
      <c r="A1773" t="s">
        <v>1240</v>
      </c>
      <c r="B1773" t="s">
        <v>204</v>
      </c>
      <c r="C1773" t="s">
        <v>559</v>
      </c>
      <c r="D1773" t="s">
        <v>651</v>
      </c>
      <c r="E1773" s="1">
        <v>45455</v>
      </c>
      <c r="F1773" s="1">
        <v>45458</v>
      </c>
      <c r="G1773" s="1">
        <v>45464</v>
      </c>
      <c r="H1773" t="s">
        <v>8</v>
      </c>
      <c r="I1773">
        <v>138.19999999999999</v>
      </c>
      <c r="J1773" t="s">
        <v>683</v>
      </c>
      <c r="K1773">
        <v>6</v>
      </c>
    </row>
    <row r="1774" spans="1:11" x14ac:dyDescent="0.35">
      <c r="A1774" t="s">
        <v>686</v>
      </c>
      <c r="B1774" t="s">
        <v>495</v>
      </c>
      <c r="C1774" t="s">
        <v>567</v>
      </c>
      <c r="D1774" t="s">
        <v>651</v>
      </c>
      <c r="E1774" s="1">
        <v>45363</v>
      </c>
      <c r="F1774" s="1">
        <v>45364</v>
      </c>
      <c r="G1774" s="1">
        <v>45379</v>
      </c>
      <c r="H1774" t="s">
        <v>13</v>
      </c>
      <c r="I1774">
        <v>138.02000000000001</v>
      </c>
      <c r="J1774" t="s">
        <v>687</v>
      </c>
      <c r="K1774">
        <v>15</v>
      </c>
    </row>
    <row r="1775" spans="1:11" x14ac:dyDescent="0.35">
      <c r="A1775" t="s">
        <v>831</v>
      </c>
      <c r="B1775" t="s">
        <v>397</v>
      </c>
      <c r="C1775" t="s">
        <v>601</v>
      </c>
      <c r="D1775" t="s">
        <v>651</v>
      </c>
      <c r="E1775" s="1">
        <v>45122</v>
      </c>
      <c r="F1775" s="1">
        <v>45125</v>
      </c>
      <c r="G1775" s="1">
        <v>45137</v>
      </c>
      <c r="H1775" t="s">
        <v>11</v>
      </c>
      <c r="I1775">
        <v>137.59</v>
      </c>
      <c r="J1775" t="s">
        <v>683</v>
      </c>
      <c r="K1775">
        <v>12</v>
      </c>
    </row>
    <row r="1776" spans="1:11" x14ac:dyDescent="0.35">
      <c r="A1776" t="s">
        <v>2456</v>
      </c>
      <c r="B1776" t="s">
        <v>443</v>
      </c>
      <c r="C1776" t="s">
        <v>567</v>
      </c>
      <c r="D1776" t="s">
        <v>651</v>
      </c>
      <c r="E1776" s="1">
        <v>45606</v>
      </c>
      <c r="F1776" s="1">
        <v>45608</v>
      </c>
      <c r="G1776" s="1">
        <v>45625</v>
      </c>
      <c r="H1776" t="s">
        <v>11</v>
      </c>
      <c r="I1776">
        <v>137.25</v>
      </c>
      <c r="J1776" t="s">
        <v>683</v>
      </c>
      <c r="K1776">
        <v>17</v>
      </c>
    </row>
    <row r="1777" spans="1:11" x14ac:dyDescent="0.35">
      <c r="A1777" t="s">
        <v>1387</v>
      </c>
      <c r="B1777" t="s">
        <v>347</v>
      </c>
      <c r="C1777" t="s">
        <v>579</v>
      </c>
      <c r="D1777" t="s">
        <v>651</v>
      </c>
      <c r="E1777" s="1">
        <v>45551</v>
      </c>
      <c r="F1777" s="1">
        <v>45553</v>
      </c>
      <c r="G1777" s="1">
        <v>45580</v>
      </c>
      <c r="H1777" t="s">
        <v>8</v>
      </c>
      <c r="I1777">
        <v>136.58000000000001</v>
      </c>
      <c r="J1777" t="s">
        <v>683</v>
      </c>
      <c r="K1777">
        <v>27</v>
      </c>
    </row>
    <row r="1778" spans="1:11" x14ac:dyDescent="0.35">
      <c r="A1778" t="s">
        <v>1616</v>
      </c>
      <c r="B1778" t="s">
        <v>53</v>
      </c>
      <c r="C1778" t="s">
        <v>599</v>
      </c>
      <c r="D1778" t="s">
        <v>638</v>
      </c>
      <c r="E1778" s="1">
        <v>45247</v>
      </c>
      <c r="F1778" s="1">
        <v>45250</v>
      </c>
      <c r="G1778" s="1">
        <v>45253</v>
      </c>
      <c r="H1778" t="s">
        <v>13</v>
      </c>
      <c r="I1778">
        <v>136.16999999999999</v>
      </c>
      <c r="J1778" t="s">
        <v>687</v>
      </c>
      <c r="K1778">
        <v>3</v>
      </c>
    </row>
    <row r="1779" spans="1:11" x14ac:dyDescent="0.35">
      <c r="A1779" t="s">
        <v>1716</v>
      </c>
      <c r="B1779" t="s">
        <v>321</v>
      </c>
      <c r="C1779" t="s">
        <v>609</v>
      </c>
      <c r="D1779" t="s">
        <v>651</v>
      </c>
      <c r="E1779" s="1">
        <v>45428</v>
      </c>
      <c r="F1779" s="1">
        <v>45429</v>
      </c>
      <c r="G1779" s="1">
        <v>45459</v>
      </c>
      <c r="H1779" t="s">
        <v>8</v>
      </c>
      <c r="I1779">
        <v>136.12</v>
      </c>
      <c r="J1779" t="s">
        <v>687</v>
      </c>
      <c r="K1779">
        <v>30</v>
      </c>
    </row>
    <row r="1780" spans="1:11" x14ac:dyDescent="0.35">
      <c r="A1780" t="s">
        <v>2593</v>
      </c>
      <c r="B1780" t="s">
        <v>21</v>
      </c>
      <c r="C1780" t="s">
        <v>595</v>
      </c>
      <c r="D1780" t="s">
        <v>651</v>
      </c>
      <c r="E1780" s="1">
        <v>45101</v>
      </c>
      <c r="F1780" s="1">
        <v>45103</v>
      </c>
      <c r="G1780" s="1">
        <v>45126</v>
      </c>
      <c r="H1780" t="s">
        <v>11</v>
      </c>
      <c r="I1780">
        <v>135.61000000000001</v>
      </c>
      <c r="J1780" t="s">
        <v>683</v>
      </c>
      <c r="K1780">
        <v>23</v>
      </c>
    </row>
    <row r="1781" spans="1:11" x14ac:dyDescent="0.35">
      <c r="A1781" t="s">
        <v>1594</v>
      </c>
      <c r="B1781" t="s">
        <v>492</v>
      </c>
      <c r="C1781" t="s">
        <v>565</v>
      </c>
      <c r="D1781" t="s">
        <v>651</v>
      </c>
      <c r="E1781" s="1">
        <v>45088</v>
      </c>
      <c r="F1781" s="1">
        <v>45092</v>
      </c>
      <c r="G1781" s="1"/>
      <c r="H1781" t="s">
        <v>13</v>
      </c>
      <c r="I1781">
        <v>135.51</v>
      </c>
      <c r="J1781" t="s">
        <v>689</v>
      </c>
    </row>
    <row r="1782" spans="1:11" x14ac:dyDescent="0.35">
      <c r="A1782" t="s">
        <v>1193</v>
      </c>
      <c r="B1782" t="s">
        <v>415</v>
      </c>
      <c r="C1782" t="s">
        <v>565</v>
      </c>
      <c r="D1782" t="s">
        <v>638</v>
      </c>
      <c r="E1782" s="1">
        <v>45418</v>
      </c>
      <c r="F1782" s="1">
        <v>45423</v>
      </c>
      <c r="G1782" s="1"/>
      <c r="H1782" t="s">
        <v>13</v>
      </c>
      <c r="I1782">
        <v>135.28</v>
      </c>
      <c r="J1782" t="s">
        <v>689</v>
      </c>
    </row>
    <row r="1783" spans="1:11" x14ac:dyDescent="0.35">
      <c r="A1783" t="s">
        <v>1206</v>
      </c>
      <c r="B1783" t="s">
        <v>235</v>
      </c>
      <c r="C1783" t="s">
        <v>575</v>
      </c>
      <c r="D1783" t="s">
        <v>651</v>
      </c>
      <c r="E1783" s="1">
        <v>45656</v>
      </c>
      <c r="F1783" s="1">
        <v>45657</v>
      </c>
      <c r="G1783" s="1">
        <v>45672</v>
      </c>
      <c r="H1783" t="s">
        <v>25</v>
      </c>
      <c r="I1783">
        <v>134.62</v>
      </c>
      <c r="J1783" t="s">
        <v>683</v>
      </c>
      <c r="K1783">
        <v>15</v>
      </c>
    </row>
    <row r="1784" spans="1:11" x14ac:dyDescent="0.35">
      <c r="A1784" t="s">
        <v>985</v>
      </c>
      <c r="B1784" t="s">
        <v>159</v>
      </c>
      <c r="C1784" t="s">
        <v>593</v>
      </c>
      <c r="D1784" t="s">
        <v>651</v>
      </c>
      <c r="E1784" s="1">
        <v>45596</v>
      </c>
      <c r="F1784" s="1">
        <v>45601</v>
      </c>
      <c r="G1784" s="1">
        <v>45611</v>
      </c>
      <c r="H1784" t="s">
        <v>11</v>
      </c>
      <c r="I1784">
        <v>133.6</v>
      </c>
      <c r="J1784" t="s">
        <v>683</v>
      </c>
      <c r="K1784">
        <v>10</v>
      </c>
    </row>
    <row r="1785" spans="1:11" x14ac:dyDescent="0.35">
      <c r="A1785" t="s">
        <v>979</v>
      </c>
      <c r="B1785" t="s">
        <v>355</v>
      </c>
      <c r="C1785" t="s">
        <v>573</v>
      </c>
      <c r="D1785" t="s">
        <v>651</v>
      </c>
      <c r="E1785" s="1">
        <v>45450</v>
      </c>
      <c r="F1785" s="1">
        <v>45454</v>
      </c>
      <c r="G1785" s="1">
        <v>45458</v>
      </c>
      <c r="H1785" t="s">
        <v>11</v>
      </c>
      <c r="I1785">
        <v>133.47999999999999</v>
      </c>
      <c r="J1785" t="s">
        <v>683</v>
      </c>
      <c r="K1785">
        <v>4</v>
      </c>
    </row>
    <row r="1786" spans="1:11" x14ac:dyDescent="0.35">
      <c r="A1786" t="s">
        <v>975</v>
      </c>
      <c r="B1786" t="s">
        <v>505</v>
      </c>
      <c r="C1786" t="s">
        <v>577</v>
      </c>
      <c r="D1786" t="s">
        <v>651</v>
      </c>
      <c r="E1786" s="1">
        <v>45186</v>
      </c>
      <c r="F1786" s="1">
        <v>45191</v>
      </c>
      <c r="G1786" s="1">
        <v>45218</v>
      </c>
      <c r="H1786" t="s">
        <v>20</v>
      </c>
      <c r="I1786">
        <v>131.38999999999999</v>
      </c>
      <c r="J1786" t="s">
        <v>683</v>
      </c>
      <c r="K1786">
        <v>27</v>
      </c>
    </row>
    <row r="1787" spans="1:11" x14ac:dyDescent="0.35">
      <c r="A1787" t="s">
        <v>1144</v>
      </c>
      <c r="B1787" t="s">
        <v>360</v>
      </c>
      <c r="C1787" t="s">
        <v>609</v>
      </c>
      <c r="D1787" t="s">
        <v>651</v>
      </c>
      <c r="E1787" s="1">
        <v>45358</v>
      </c>
      <c r="F1787" s="1">
        <v>45363</v>
      </c>
      <c r="G1787" s="1">
        <v>45373</v>
      </c>
      <c r="H1787" t="s">
        <v>11</v>
      </c>
      <c r="I1787">
        <v>130.16999999999999</v>
      </c>
      <c r="J1787" t="s">
        <v>683</v>
      </c>
      <c r="K1787">
        <v>10</v>
      </c>
    </row>
    <row r="1788" spans="1:11" x14ac:dyDescent="0.35">
      <c r="A1788" t="s">
        <v>2233</v>
      </c>
      <c r="B1788" t="s">
        <v>424</v>
      </c>
      <c r="C1788" t="s">
        <v>601</v>
      </c>
      <c r="D1788" t="s">
        <v>651</v>
      </c>
      <c r="E1788" s="1">
        <v>45445</v>
      </c>
      <c r="F1788" s="1">
        <v>45447</v>
      </c>
      <c r="G1788" s="1">
        <v>45453</v>
      </c>
      <c r="H1788" t="s">
        <v>11</v>
      </c>
      <c r="I1788">
        <v>129.97</v>
      </c>
      <c r="J1788" t="s">
        <v>683</v>
      </c>
      <c r="K1788">
        <v>6</v>
      </c>
    </row>
    <row r="1789" spans="1:11" x14ac:dyDescent="0.35">
      <c r="A1789" t="s">
        <v>2495</v>
      </c>
      <c r="B1789" t="s">
        <v>285</v>
      </c>
      <c r="C1789" t="s">
        <v>581</v>
      </c>
      <c r="D1789" t="s">
        <v>651</v>
      </c>
      <c r="E1789" s="1">
        <v>45055</v>
      </c>
      <c r="F1789" s="1">
        <v>45057</v>
      </c>
      <c r="G1789" s="1">
        <v>45066</v>
      </c>
      <c r="H1789" t="s">
        <v>13</v>
      </c>
      <c r="I1789">
        <v>129.74</v>
      </c>
      <c r="J1789" t="s">
        <v>683</v>
      </c>
      <c r="K1789">
        <v>9</v>
      </c>
    </row>
    <row r="1790" spans="1:11" x14ac:dyDescent="0.35">
      <c r="A1790" t="s">
        <v>2520</v>
      </c>
      <c r="B1790" t="s">
        <v>383</v>
      </c>
      <c r="C1790" t="s">
        <v>524</v>
      </c>
      <c r="D1790" t="s">
        <v>651</v>
      </c>
      <c r="E1790" s="1">
        <v>44932</v>
      </c>
      <c r="F1790" s="1">
        <v>44933</v>
      </c>
      <c r="G1790" s="1">
        <v>44945</v>
      </c>
      <c r="H1790" t="s">
        <v>8</v>
      </c>
      <c r="I1790">
        <v>129.69999999999999</v>
      </c>
      <c r="J1790" t="s">
        <v>683</v>
      </c>
      <c r="K1790">
        <v>12</v>
      </c>
    </row>
    <row r="1791" spans="1:11" x14ac:dyDescent="0.35">
      <c r="A1791" t="s">
        <v>2304</v>
      </c>
      <c r="B1791" t="s">
        <v>333</v>
      </c>
      <c r="C1791" t="s">
        <v>605</v>
      </c>
      <c r="D1791" t="s">
        <v>651</v>
      </c>
      <c r="E1791" s="1">
        <v>45657</v>
      </c>
      <c r="F1791" s="1">
        <v>45662</v>
      </c>
      <c r="G1791" s="1">
        <v>45675</v>
      </c>
      <c r="H1791" t="s">
        <v>13</v>
      </c>
      <c r="I1791">
        <v>129.47999999999999</v>
      </c>
      <c r="J1791" t="s">
        <v>683</v>
      </c>
      <c r="K1791">
        <v>13</v>
      </c>
    </row>
    <row r="1792" spans="1:11" x14ac:dyDescent="0.35">
      <c r="A1792" t="s">
        <v>1879</v>
      </c>
      <c r="B1792" t="s">
        <v>263</v>
      </c>
      <c r="C1792" t="s">
        <v>603</v>
      </c>
      <c r="D1792" t="s">
        <v>651</v>
      </c>
      <c r="E1792" s="1">
        <v>45142</v>
      </c>
      <c r="F1792" s="1">
        <v>45145</v>
      </c>
      <c r="G1792" s="1">
        <v>45157</v>
      </c>
      <c r="H1792" t="s">
        <v>20</v>
      </c>
      <c r="I1792">
        <v>129.41</v>
      </c>
      <c r="J1792" t="s">
        <v>683</v>
      </c>
      <c r="K1792">
        <v>12</v>
      </c>
    </row>
    <row r="1793" spans="1:11" x14ac:dyDescent="0.35">
      <c r="A1793" t="s">
        <v>1537</v>
      </c>
      <c r="B1793" t="s">
        <v>60</v>
      </c>
      <c r="C1793" t="s">
        <v>599</v>
      </c>
      <c r="D1793" t="s">
        <v>651</v>
      </c>
      <c r="E1793" s="1">
        <v>45120</v>
      </c>
      <c r="F1793" s="1">
        <v>45123</v>
      </c>
      <c r="G1793" s="1">
        <v>45134</v>
      </c>
      <c r="H1793" t="s">
        <v>11</v>
      </c>
      <c r="I1793">
        <v>128.21</v>
      </c>
      <c r="J1793" t="s">
        <v>683</v>
      </c>
      <c r="K1793">
        <v>11</v>
      </c>
    </row>
    <row r="1794" spans="1:11" x14ac:dyDescent="0.35">
      <c r="A1794" t="s">
        <v>1800</v>
      </c>
      <c r="B1794" t="s">
        <v>175</v>
      </c>
      <c r="C1794" t="s">
        <v>531</v>
      </c>
      <c r="D1794" t="s">
        <v>651</v>
      </c>
      <c r="E1794" s="1">
        <v>45060</v>
      </c>
      <c r="F1794" s="1">
        <v>45061</v>
      </c>
      <c r="G1794" s="1">
        <v>45088</v>
      </c>
      <c r="H1794" t="s">
        <v>20</v>
      </c>
      <c r="I1794">
        <v>127.51</v>
      </c>
      <c r="J1794" t="s">
        <v>687</v>
      </c>
      <c r="K1794">
        <v>27</v>
      </c>
    </row>
    <row r="1795" spans="1:11" x14ac:dyDescent="0.35">
      <c r="A1795" t="s">
        <v>1184</v>
      </c>
      <c r="B1795" t="s">
        <v>294</v>
      </c>
      <c r="C1795" t="s">
        <v>563</v>
      </c>
      <c r="D1795" t="s">
        <v>651</v>
      </c>
      <c r="E1795" s="1">
        <v>45595</v>
      </c>
      <c r="F1795" s="1">
        <v>45597</v>
      </c>
      <c r="G1795" s="1">
        <v>45627</v>
      </c>
      <c r="H1795" t="s">
        <v>11</v>
      </c>
      <c r="I1795">
        <v>126.79</v>
      </c>
      <c r="J1795" t="s">
        <v>683</v>
      </c>
      <c r="K1795">
        <v>30</v>
      </c>
    </row>
    <row r="1796" spans="1:11" x14ac:dyDescent="0.35">
      <c r="A1796" t="s">
        <v>1757</v>
      </c>
      <c r="B1796" t="s">
        <v>60</v>
      </c>
      <c r="C1796" t="s">
        <v>549</v>
      </c>
      <c r="D1796" t="s">
        <v>651</v>
      </c>
      <c r="E1796" s="1">
        <v>45451</v>
      </c>
      <c r="F1796" s="1">
        <v>45452</v>
      </c>
      <c r="G1796" s="1">
        <v>45481</v>
      </c>
      <c r="H1796" t="s">
        <v>11</v>
      </c>
      <c r="I1796">
        <v>126.53</v>
      </c>
      <c r="J1796" t="s">
        <v>683</v>
      </c>
      <c r="K1796">
        <v>29</v>
      </c>
    </row>
    <row r="1797" spans="1:11" x14ac:dyDescent="0.35">
      <c r="A1797" t="s">
        <v>1994</v>
      </c>
      <c r="B1797" t="s">
        <v>481</v>
      </c>
      <c r="C1797" t="s">
        <v>609</v>
      </c>
      <c r="D1797" t="s">
        <v>651</v>
      </c>
      <c r="E1797" s="1">
        <v>45099</v>
      </c>
      <c r="F1797" s="1">
        <v>45101</v>
      </c>
      <c r="G1797" s="1">
        <v>45106</v>
      </c>
      <c r="H1797" t="s">
        <v>8</v>
      </c>
      <c r="I1797">
        <v>125.91</v>
      </c>
      <c r="J1797" t="s">
        <v>683</v>
      </c>
      <c r="K1797">
        <v>5</v>
      </c>
    </row>
    <row r="1798" spans="1:11" x14ac:dyDescent="0.35">
      <c r="A1798" t="s">
        <v>2597</v>
      </c>
      <c r="B1798" t="s">
        <v>308</v>
      </c>
      <c r="C1798" t="s">
        <v>587</v>
      </c>
      <c r="D1798" t="s">
        <v>651</v>
      </c>
      <c r="E1798" s="1">
        <v>45067</v>
      </c>
      <c r="F1798" s="1">
        <v>45072</v>
      </c>
      <c r="G1798" s="1">
        <v>45084</v>
      </c>
      <c r="H1798" t="s">
        <v>25</v>
      </c>
      <c r="I1798">
        <v>125.46</v>
      </c>
      <c r="J1798" t="s">
        <v>687</v>
      </c>
      <c r="K1798">
        <v>12</v>
      </c>
    </row>
    <row r="1799" spans="1:11" x14ac:dyDescent="0.35">
      <c r="A1799" t="s">
        <v>2302</v>
      </c>
      <c r="B1799" t="s">
        <v>103</v>
      </c>
      <c r="C1799" t="s">
        <v>603</v>
      </c>
      <c r="D1799" t="s">
        <v>651</v>
      </c>
      <c r="E1799" s="1">
        <v>45394</v>
      </c>
      <c r="F1799" s="1">
        <v>45396</v>
      </c>
      <c r="G1799" s="1">
        <v>45421</v>
      </c>
      <c r="H1799" t="s">
        <v>20</v>
      </c>
      <c r="I1799">
        <v>125.25</v>
      </c>
      <c r="J1799" t="s">
        <v>683</v>
      </c>
      <c r="K1799">
        <v>25</v>
      </c>
    </row>
    <row r="1800" spans="1:11" x14ac:dyDescent="0.35">
      <c r="A1800" t="s">
        <v>1022</v>
      </c>
      <c r="B1800" t="s">
        <v>338</v>
      </c>
      <c r="C1800" t="s">
        <v>567</v>
      </c>
      <c r="D1800" t="s">
        <v>651</v>
      </c>
      <c r="E1800" s="1">
        <v>45402</v>
      </c>
      <c r="F1800" s="1">
        <v>45405</v>
      </c>
      <c r="G1800" s="1">
        <v>45427</v>
      </c>
      <c r="H1800" t="s">
        <v>8</v>
      </c>
      <c r="I1800">
        <v>125.17</v>
      </c>
      <c r="J1800" t="s">
        <v>687</v>
      </c>
      <c r="K1800">
        <v>22</v>
      </c>
    </row>
    <row r="1801" spans="1:11" x14ac:dyDescent="0.35">
      <c r="A1801" t="s">
        <v>1292</v>
      </c>
      <c r="B1801" t="s">
        <v>143</v>
      </c>
      <c r="C1801" t="s">
        <v>537</v>
      </c>
      <c r="D1801" t="s">
        <v>651</v>
      </c>
      <c r="E1801" s="1">
        <v>44967</v>
      </c>
      <c r="F1801" s="1">
        <v>44971</v>
      </c>
      <c r="G1801" s="1"/>
      <c r="H1801" t="s">
        <v>13</v>
      </c>
      <c r="I1801">
        <v>124.01</v>
      </c>
      <c r="J1801" t="s">
        <v>689</v>
      </c>
    </row>
    <row r="1802" spans="1:11" x14ac:dyDescent="0.35">
      <c r="A1802" t="s">
        <v>1761</v>
      </c>
      <c r="B1802" t="s">
        <v>397</v>
      </c>
      <c r="C1802" t="s">
        <v>567</v>
      </c>
      <c r="D1802" t="s">
        <v>654</v>
      </c>
      <c r="E1802" s="1">
        <v>44980</v>
      </c>
      <c r="F1802" s="1">
        <v>44983</v>
      </c>
      <c r="G1802" s="1">
        <v>44998</v>
      </c>
      <c r="H1802" t="s">
        <v>11</v>
      </c>
      <c r="I1802">
        <v>123.93</v>
      </c>
      <c r="J1802" t="s">
        <v>683</v>
      </c>
      <c r="K1802">
        <v>15</v>
      </c>
    </row>
    <row r="1803" spans="1:11" x14ac:dyDescent="0.35">
      <c r="A1803" t="s">
        <v>1148</v>
      </c>
      <c r="B1803" t="s">
        <v>294</v>
      </c>
      <c r="C1803" t="s">
        <v>565</v>
      </c>
      <c r="D1803" t="s">
        <v>654</v>
      </c>
      <c r="E1803" s="1">
        <v>45502</v>
      </c>
      <c r="F1803" s="1">
        <v>45507</v>
      </c>
      <c r="G1803" s="1">
        <v>45534</v>
      </c>
      <c r="H1803" t="s">
        <v>11</v>
      </c>
      <c r="I1803">
        <v>123.76</v>
      </c>
      <c r="J1803" t="s">
        <v>683</v>
      </c>
      <c r="K1803">
        <v>27</v>
      </c>
    </row>
    <row r="1804" spans="1:11" x14ac:dyDescent="0.35">
      <c r="A1804" t="s">
        <v>2018</v>
      </c>
      <c r="B1804" t="s">
        <v>397</v>
      </c>
      <c r="C1804" t="s">
        <v>555</v>
      </c>
      <c r="D1804" t="s">
        <v>651</v>
      </c>
      <c r="E1804" s="1">
        <v>45611</v>
      </c>
      <c r="F1804" s="1">
        <v>45616</v>
      </c>
      <c r="G1804" s="1"/>
      <c r="H1804" t="s">
        <v>11</v>
      </c>
      <c r="I1804">
        <v>123.69</v>
      </c>
      <c r="J1804" t="s">
        <v>689</v>
      </c>
    </row>
    <row r="1805" spans="1:11" x14ac:dyDescent="0.35">
      <c r="A1805" t="s">
        <v>932</v>
      </c>
      <c r="B1805" t="s">
        <v>227</v>
      </c>
      <c r="C1805" t="s">
        <v>591</v>
      </c>
      <c r="D1805" t="s">
        <v>651</v>
      </c>
      <c r="E1805" s="1">
        <v>45153</v>
      </c>
      <c r="F1805" s="1">
        <v>45156</v>
      </c>
      <c r="G1805" s="1">
        <v>45175</v>
      </c>
      <c r="H1805" t="s">
        <v>8</v>
      </c>
      <c r="I1805">
        <v>123.43</v>
      </c>
      <c r="J1805" t="s">
        <v>683</v>
      </c>
      <c r="K1805">
        <v>19</v>
      </c>
    </row>
    <row r="1806" spans="1:11" x14ac:dyDescent="0.35">
      <c r="A1806" t="s">
        <v>2458</v>
      </c>
      <c r="B1806" t="s">
        <v>464</v>
      </c>
      <c r="C1806" t="s">
        <v>531</v>
      </c>
      <c r="D1806" t="s">
        <v>654</v>
      </c>
      <c r="E1806" s="1">
        <v>45552</v>
      </c>
      <c r="F1806" s="1">
        <v>45554</v>
      </c>
      <c r="G1806" s="1">
        <v>45580</v>
      </c>
      <c r="H1806" t="s">
        <v>11</v>
      </c>
      <c r="I1806">
        <v>122.99</v>
      </c>
      <c r="J1806" t="s">
        <v>683</v>
      </c>
      <c r="K1806">
        <v>26</v>
      </c>
    </row>
    <row r="1807" spans="1:11" x14ac:dyDescent="0.35">
      <c r="A1807" t="s">
        <v>1165</v>
      </c>
      <c r="B1807" t="s">
        <v>371</v>
      </c>
      <c r="C1807" t="s">
        <v>599</v>
      </c>
      <c r="D1807" t="s">
        <v>654</v>
      </c>
      <c r="E1807" s="1">
        <v>44934</v>
      </c>
      <c r="F1807" s="1">
        <v>44938</v>
      </c>
      <c r="G1807" s="1">
        <v>44966</v>
      </c>
      <c r="H1807" t="s">
        <v>25</v>
      </c>
      <c r="I1807">
        <v>122.76</v>
      </c>
      <c r="J1807" t="s">
        <v>683</v>
      </c>
      <c r="K1807">
        <v>28</v>
      </c>
    </row>
    <row r="1808" spans="1:11" x14ac:dyDescent="0.35">
      <c r="A1808" t="s">
        <v>2463</v>
      </c>
      <c r="B1808" t="s">
        <v>385</v>
      </c>
      <c r="C1808" t="s">
        <v>555</v>
      </c>
      <c r="D1808" t="s">
        <v>651</v>
      </c>
      <c r="E1808" s="1">
        <v>45018</v>
      </c>
      <c r="F1808" s="1">
        <v>45022</v>
      </c>
      <c r="G1808" s="1">
        <v>45047</v>
      </c>
      <c r="H1808" t="s">
        <v>20</v>
      </c>
      <c r="I1808">
        <v>122.3</v>
      </c>
      <c r="J1808" t="s">
        <v>687</v>
      </c>
      <c r="K1808">
        <v>25</v>
      </c>
    </row>
    <row r="1809" spans="1:11" x14ac:dyDescent="0.35">
      <c r="A1809" t="s">
        <v>2037</v>
      </c>
      <c r="B1809" t="s">
        <v>164</v>
      </c>
      <c r="C1809" t="s">
        <v>609</v>
      </c>
      <c r="D1809" t="s">
        <v>654</v>
      </c>
      <c r="E1809" s="1">
        <v>45280</v>
      </c>
      <c r="F1809" s="1">
        <v>45284</v>
      </c>
      <c r="G1809" s="1"/>
      <c r="H1809" t="s">
        <v>11</v>
      </c>
      <c r="I1809">
        <v>122.17</v>
      </c>
      <c r="J1809" t="s">
        <v>689</v>
      </c>
    </row>
    <row r="1810" spans="1:11" x14ac:dyDescent="0.35">
      <c r="A1810" t="s">
        <v>2681</v>
      </c>
      <c r="B1810" t="s">
        <v>287</v>
      </c>
      <c r="C1810" t="s">
        <v>575</v>
      </c>
      <c r="D1810" t="s">
        <v>654</v>
      </c>
      <c r="E1810" s="1">
        <v>45500</v>
      </c>
      <c r="F1810" s="1">
        <v>45502</v>
      </c>
      <c r="G1810" s="1">
        <v>45527</v>
      </c>
      <c r="H1810" t="s">
        <v>20</v>
      </c>
      <c r="I1810">
        <v>121.81</v>
      </c>
      <c r="J1810" t="s">
        <v>683</v>
      </c>
      <c r="K1810">
        <v>25</v>
      </c>
    </row>
    <row r="1811" spans="1:11" x14ac:dyDescent="0.35">
      <c r="A1811" t="s">
        <v>1469</v>
      </c>
      <c r="B1811" t="s">
        <v>304</v>
      </c>
      <c r="C1811" t="s">
        <v>599</v>
      </c>
      <c r="D1811" t="s">
        <v>654</v>
      </c>
      <c r="E1811" s="1">
        <v>44990</v>
      </c>
      <c r="F1811" s="1">
        <v>44993</v>
      </c>
      <c r="G1811" s="1">
        <v>45003</v>
      </c>
      <c r="H1811" t="s">
        <v>20</v>
      </c>
      <c r="I1811">
        <v>121.8</v>
      </c>
      <c r="J1811" t="s">
        <v>683</v>
      </c>
      <c r="K1811">
        <v>10</v>
      </c>
    </row>
    <row r="1812" spans="1:11" x14ac:dyDescent="0.35">
      <c r="A1812" t="s">
        <v>2367</v>
      </c>
      <c r="B1812" t="s">
        <v>360</v>
      </c>
      <c r="C1812" t="s">
        <v>549</v>
      </c>
      <c r="D1812" t="s">
        <v>651</v>
      </c>
      <c r="E1812" s="1">
        <v>45090</v>
      </c>
      <c r="F1812" s="1">
        <v>45093</v>
      </c>
      <c r="G1812" s="1">
        <v>45121</v>
      </c>
      <c r="H1812" t="s">
        <v>11</v>
      </c>
      <c r="I1812">
        <v>121.53</v>
      </c>
      <c r="J1812" t="s">
        <v>683</v>
      </c>
      <c r="K1812">
        <v>28</v>
      </c>
    </row>
    <row r="1813" spans="1:11" x14ac:dyDescent="0.35">
      <c r="A1813" t="s">
        <v>1359</v>
      </c>
      <c r="B1813" t="s">
        <v>110</v>
      </c>
      <c r="C1813" t="s">
        <v>575</v>
      </c>
      <c r="D1813" t="s">
        <v>651</v>
      </c>
      <c r="E1813" s="1">
        <v>45366</v>
      </c>
      <c r="F1813" s="1">
        <v>45370</v>
      </c>
      <c r="G1813" s="1">
        <v>45386</v>
      </c>
      <c r="H1813" t="s">
        <v>25</v>
      </c>
      <c r="I1813">
        <v>121.3</v>
      </c>
      <c r="J1813" t="s">
        <v>683</v>
      </c>
      <c r="K1813">
        <v>16</v>
      </c>
    </row>
    <row r="1814" spans="1:11" x14ac:dyDescent="0.35">
      <c r="A1814" t="s">
        <v>1081</v>
      </c>
      <c r="B1814" t="s">
        <v>284</v>
      </c>
      <c r="C1814" t="s">
        <v>601</v>
      </c>
      <c r="D1814" t="s">
        <v>651</v>
      </c>
      <c r="E1814" s="1">
        <v>45280</v>
      </c>
      <c r="F1814" s="1">
        <v>45285</v>
      </c>
      <c r="G1814" s="1">
        <v>45294</v>
      </c>
      <c r="H1814" t="s">
        <v>8</v>
      </c>
      <c r="I1814">
        <v>121.15</v>
      </c>
      <c r="J1814" t="s">
        <v>683</v>
      </c>
      <c r="K1814">
        <v>9</v>
      </c>
    </row>
    <row r="1815" spans="1:11" x14ac:dyDescent="0.35">
      <c r="A1815" t="s">
        <v>1370</v>
      </c>
      <c r="B1815" t="s">
        <v>218</v>
      </c>
      <c r="C1815" t="s">
        <v>565</v>
      </c>
      <c r="D1815" t="s">
        <v>654</v>
      </c>
      <c r="E1815" s="1">
        <v>45370</v>
      </c>
      <c r="F1815" s="1">
        <v>45374</v>
      </c>
      <c r="G1815" s="1">
        <v>45398</v>
      </c>
      <c r="H1815" t="s">
        <v>11</v>
      </c>
      <c r="I1815">
        <v>120.97</v>
      </c>
      <c r="J1815" t="s">
        <v>683</v>
      </c>
      <c r="K1815">
        <v>24</v>
      </c>
    </row>
    <row r="1816" spans="1:11" x14ac:dyDescent="0.35">
      <c r="A1816" t="s">
        <v>2296</v>
      </c>
      <c r="B1816" t="s">
        <v>222</v>
      </c>
      <c r="C1816" t="s">
        <v>561</v>
      </c>
      <c r="D1816" t="s">
        <v>651</v>
      </c>
      <c r="E1816" s="1">
        <v>45251</v>
      </c>
      <c r="F1816" s="1">
        <v>45256</v>
      </c>
      <c r="G1816" s="1">
        <v>45282</v>
      </c>
      <c r="H1816" t="s">
        <v>20</v>
      </c>
      <c r="I1816">
        <v>120.68</v>
      </c>
      <c r="J1816" t="s">
        <v>683</v>
      </c>
      <c r="K1816">
        <v>26</v>
      </c>
    </row>
    <row r="1817" spans="1:11" x14ac:dyDescent="0.35">
      <c r="A1817" t="s">
        <v>2383</v>
      </c>
      <c r="B1817" t="s">
        <v>353</v>
      </c>
      <c r="C1817" t="s">
        <v>583</v>
      </c>
      <c r="D1817" t="s">
        <v>654</v>
      </c>
      <c r="E1817" s="1">
        <v>45433</v>
      </c>
      <c r="F1817" s="1">
        <v>45436</v>
      </c>
      <c r="G1817" s="1">
        <v>45443</v>
      </c>
      <c r="H1817" t="s">
        <v>20</v>
      </c>
      <c r="I1817">
        <v>120.54</v>
      </c>
      <c r="J1817" t="s">
        <v>683</v>
      </c>
      <c r="K1817">
        <v>7</v>
      </c>
    </row>
    <row r="1818" spans="1:11" x14ac:dyDescent="0.35">
      <c r="A1818" t="s">
        <v>1691</v>
      </c>
      <c r="B1818" t="s">
        <v>182</v>
      </c>
      <c r="C1818" t="s">
        <v>605</v>
      </c>
      <c r="D1818" t="s">
        <v>654</v>
      </c>
      <c r="E1818" s="1">
        <v>45617</v>
      </c>
      <c r="F1818" s="1">
        <v>45620</v>
      </c>
      <c r="G1818" s="1">
        <v>45640</v>
      </c>
      <c r="H1818" t="s">
        <v>11</v>
      </c>
      <c r="I1818">
        <v>120.49</v>
      </c>
      <c r="J1818" t="s">
        <v>683</v>
      </c>
      <c r="K1818">
        <v>20</v>
      </c>
    </row>
    <row r="1819" spans="1:11" x14ac:dyDescent="0.35">
      <c r="A1819" t="s">
        <v>2094</v>
      </c>
      <c r="B1819" t="s">
        <v>93</v>
      </c>
      <c r="C1819" t="s">
        <v>593</v>
      </c>
      <c r="D1819" t="s">
        <v>654</v>
      </c>
      <c r="E1819" s="1">
        <v>45607</v>
      </c>
      <c r="F1819" s="1">
        <v>45609</v>
      </c>
      <c r="G1819" s="1">
        <v>45635</v>
      </c>
      <c r="H1819" t="s">
        <v>20</v>
      </c>
      <c r="I1819">
        <v>119.69</v>
      </c>
      <c r="J1819" t="s">
        <v>687</v>
      </c>
      <c r="K1819">
        <v>26</v>
      </c>
    </row>
    <row r="1820" spans="1:11" x14ac:dyDescent="0.35">
      <c r="A1820" t="s">
        <v>2097</v>
      </c>
      <c r="B1820" t="s">
        <v>122</v>
      </c>
      <c r="C1820" t="s">
        <v>557</v>
      </c>
      <c r="D1820" t="s">
        <v>651</v>
      </c>
      <c r="E1820" s="1">
        <v>45492</v>
      </c>
      <c r="F1820" s="1">
        <v>45496</v>
      </c>
      <c r="G1820" s="1">
        <v>45526</v>
      </c>
      <c r="H1820" t="s">
        <v>13</v>
      </c>
      <c r="I1820">
        <v>119.64</v>
      </c>
      <c r="J1820" t="s">
        <v>687</v>
      </c>
      <c r="K1820">
        <v>30</v>
      </c>
    </row>
    <row r="1821" spans="1:11" x14ac:dyDescent="0.35">
      <c r="A1821" t="s">
        <v>2276</v>
      </c>
      <c r="B1821" t="s">
        <v>445</v>
      </c>
      <c r="C1821" t="s">
        <v>524</v>
      </c>
      <c r="D1821" t="s">
        <v>654</v>
      </c>
      <c r="E1821" s="1">
        <v>45452</v>
      </c>
      <c r="F1821" s="1">
        <v>45455</v>
      </c>
      <c r="G1821" s="1">
        <v>45485</v>
      </c>
      <c r="H1821" t="s">
        <v>20</v>
      </c>
      <c r="I1821">
        <v>119.45</v>
      </c>
      <c r="J1821" t="s">
        <v>683</v>
      </c>
      <c r="K1821">
        <v>30</v>
      </c>
    </row>
    <row r="1822" spans="1:11" x14ac:dyDescent="0.35">
      <c r="A1822" t="s">
        <v>2461</v>
      </c>
      <c r="B1822" t="s">
        <v>388</v>
      </c>
      <c r="C1822" t="s">
        <v>540</v>
      </c>
      <c r="D1822" t="s">
        <v>651</v>
      </c>
      <c r="E1822" s="1">
        <v>45475</v>
      </c>
      <c r="F1822" s="1">
        <v>45480</v>
      </c>
      <c r="G1822" s="1">
        <v>45493</v>
      </c>
      <c r="H1822" t="s">
        <v>8</v>
      </c>
      <c r="I1822">
        <v>118.59</v>
      </c>
      <c r="J1822" t="s">
        <v>683</v>
      </c>
      <c r="K1822">
        <v>13</v>
      </c>
    </row>
    <row r="1823" spans="1:11" x14ac:dyDescent="0.35">
      <c r="A1823" t="s">
        <v>2236</v>
      </c>
      <c r="B1823" t="s">
        <v>175</v>
      </c>
      <c r="C1823" t="s">
        <v>609</v>
      </c>
      <c r="D1823" t="s">
        <v>654</v>
      </c>
      <c r="E1823" s="1">
        <v>45377</v>
      </c>
      <c r="F1823" s="1">
        <v>45381</v>
      </c>
      <c r="G1823" s="1">
        <v>45390</v>
      </c>
      <c r="H1823" t="s">
        <v>20</v>
      </c>
      <c r="I1823">
        <v>118.14</v>
      </c>
      <c r="J1823" t="s">
        <v>683</v>
      </c>
      <c r="K1823">
        <v>9</v>
      </c>
    </row>
    <row r="1824" spans="1:11" x14ac:dyDescent="0.35">
      <c r="A1824" t="s">
        <v>1720</v>
      </c>
      <c r="B1824" t="s">
        <v>42</v>
      </c>
      <c r="C1824" t="s">
        <v>563</v>
      </c>
      <c r="D1824" t="s">
        <v>654</v>
      </c>
      <c r="E1824" s="1">
        <v>45281</v>
      </c>
      <c r="F1824" s="1">
        <v>45284</v>
      </c>
      <c r="G1824" s="1">
        <v>45306</v>
      </c>
      <c r="H1824" t="s">
        <v>20</v>
      </c>
      <c r="I1824">
        <v>117.92</v>
      </c>
      <c r="J1824" t="s">
        <v>683</v>
      </c>
      <c r="K1824">
        <v>22</v>
      </c>
    </row>
    <row r="1825" spans="1:11" x14ac:dyDescent="0.35">
      <c r="A1825" t="s">
        <v>1378</v>
      </c>
      <c r="B1825" t="s">
        <v>433</v>
      </c>
      <c r="C1825" t="s">
        <v>565</v>
      </c>
      <c r="D1825" t="s">
        <v>654</v>
      </c>
      <c r="E1825" s="1">
        <v>45251</v>
      </c>
      <c r="F1825" s="1">
        <v>45252</v>
      </c>
      <c r="G1825" s="1">
        <v>45268</v>
      </c>
      <c r="H1825" t="s">
        <v>8</v>
      </c>
      <c r="I1825">
        <v>117.86</v>
      </c>
      <c r="J1825" t="s">
        <v>683</v>
      </c>
      <c r="K1825">
        <v>16</v>
      </c>
    </row>
    <row r="1826" spans="1:11" x14ac:dyDescent="0.35">
      <c r="A1826" t="s">
        <v>1920</v>
      </c>
      <c r="B1826" t="s">
        <v>110</v>
      </c>
      <c r="C1826" t="s">
        <v>557</v>
      </c>
      <c r="D1826" t="s">
        <v>654</v>
      </c>
      <c r="E1826" s="1">
        <v>45087</v>
      </c>
      <c r="F1826" s="1">
        <v>45091</v>
      </c>
      <c r="G1826" s="1">
        <v>45112</v>
      </c>
      <c r="H1826" t="s">
        <v>25</v>
      </c>
      <c r="I1826">
        <v>117.5</v>
      </c>
      <c r="J1826" t="s">
        <v>687</v>
      </c>
      <c r="K1826">
        <v>21</v>
      </c>
    </row>
    <row r="1827" spans="1:11" x14ac:dyDescent="0.35">
      <c r="A1827" t="s">
        <v>2350</v>
      </c>
      <c r="B1827" t="s">
        <v>294</v>
      </c>
      <c r="C1827" t="s">
        <v>571</v>
      </c>
      <c r="D1827" t="s">
        <v>651</v>
      </c>
      <c r="E1827" s="1">
        <v>45521</v>
      </c>
      <c r="F1827" s="1">
        <v>45522</v>
      </c>
      <c r="G1827" s="1">
        <v>45535</v>
      </c>
      <c r="H1827" t="s">
        <v>11</v>
      </c>
      <c r="I1827">
        <v>117</v>
      </c>
      <c r="J1827" t="s">
        <v>687</v>
      </c>
      <c r="K1827">
        <v>13</v>
      </c>
    </row>
    <row r="1828" spans="1:11" x14ac:dyDescent="0.35">
      <c r="A1828" t="s">
        <v>1080</v>
      </c>
      <c r="B1828" t="s">
        <v>135</v>
      </c>
      <c r="C1828" t="s">
        <v>565</v>
      </c>
      <c r="D1828" t="s">
        <v>651</v>
      </c>
      <c r="E1828" s="1">
        <v>45529</v>
      </c>
      <c r="F1828" s="1">
        <v>45531</v>
      </c>
      <c r="G1828" s="1">
        <v>45542</v>
      </c>
      <c r="H1828" t="s">
        <v>8</v>
      </c>
      <c r="I1828">
        <v>116.87</v>
      </c>
      <c r="J1828" t="s">
        <v>683</v>
      </c>
      <c r="K1828">
        <v>11</v>
      </c>
    </row>
    <row r="1829" spans="1:11" x14ac:dyDescent="0.35">
      <c r="A1829" t="s">
        <v>1793</v>
      </c>
      <c r="B1829" t="s">
        <v>303</v>
      </c>
      <c r="C1829" t="s">
        <v>609</v>
      </c>
      <c r="D1829" t="s">
        <v>651</v>
      </c>
      <c r="E1829" s="1">
        <v>45428</v>
      </c>
      <c r="F1829" s="1">
        <v>45432</v>
      </c>
      <c r="G1829" s="1">
        <v>45462</v>
      </c>
      <c r="H1829" t="s">
        <v>8</v>
      </c>
      <c r="I1829">
        <v>116.66</v>
      </c>
      <c r="J1829" t="s">
        <v>687</v>
      </c>
      <c r="K1829">
        <v>30</v>
      </c>
    </row>
    <row r="1830" spans="1:11" x14ac:dyDescent="0.35">
      <c r="A1830" t="s">
        <v>2128</v>
      </c>
      <c r="B1830" t="s">
        <v>439</v>
      </c>
      <c r="C1830" t="s">
        <v>563</v>
      </c>
      <c r="D1830" t="s">
        <v>651</v>
      </c>
      <c r="E1830" s="1">
        <v>45477</v>
      </c>
      <c r="F1830" s="1">
        <v>45478</v>
      </c>
      <c r="G1830" s="1">
        <v>45500</v>
      </c>
      <c r="H1830" t="s">
        <v>11</v>
      </c>
      <c r="I1830">
        <v>116.55</v>
      </c>
      <c r="J1830" t="s">
        <v>683</v>
      </c>
      <c r="K1830">
        <v>22</v>
      </c>
    </row>
    <row r="1831" spans="1:11" x14ac:dyDescent="0.35">
      <c r="A1831" t="s">
        <v>1701</v>
      </c>
      <c r="B1831" t="s">
        <v>88</v>
      </c>
      <c r="C1831" t="s">
        <v>595</v>
      </c>
      <c r="D1831" t="s">
        <v>651</v>
      </c>
      <c r="E1831" s="1">
        <v>45651</v>
      </c>
      <c r="F1831" s="1">
        <v>45654</v>
      </c>
      <c r="G1831" s="1">
        <v>45671</v>
      </c>
      <c r="H1831" t="s">
        <v>13</v>
      </c>
      <c r="I1831">
        <v>116.53</v>
      </c>
      <c r="J1831" t="s">
        <v>683</v>
      </c>
      <c r="K1831">
        <v>17</v>
      </c>
    </row>
    <row r="1832" spans="1:11" x14ac:dyDescent="0.35">
      <c r="A1832" t="s">
        <v>796</v>
      </c>
      <c r="B1832" t="s">
        <v>494</v>
      </c>
      <c r="C1832" t="s">
        <v>579</v>
      </c>
      <c r="D1832" t="s">
        <v>651</v>
      </c>
      <c r="E1832" s="1">
        <v>45239</v>
      </c>
      <c r="F1832" s="1">
        <v>45242</v>
      </c>
      <c r="G1832" s="1">
        <v>45268</v>
      </c>
      <c r="H1832" t="s">
        <v>11</v>
      </c>
      <c r="I1832">
        <v>116.14</v>
      </c>
      <c r="J1832" t="s">
        <v>687</v>
      </c>
      <c r="K1832">
        <v>26</v>
      </c>
    </row>
    <row r="1833" spans="1:11" x14ac:dyDescent="0.35">
      <c r="A1833" t="s">
        <v>2065</v>
      </c>
      <c r="B1833" t="s">
        <v>436</v>
      </c>
      <c r="C1833" t="s">
        <v>565</v>
      </c>
      <c r="D1833" t="s">
        <v>654</v>
      </c>
      <c r="E1833" s="1">
        <v>45073</v>
      </c>
      <c r="F1833" s="1">
        <v>45075</v>
      </c>
      <c r="G1833" s="1"/>
      <c r="H1833" t="s">
        <v>8</v>
      </c>
      <c r="I1833">
        <v>115.91</v>
      </c>
      <c r="J1833" t="s">
        <v>689</v>
      </c>
    </row>
    <row r="1834" spans="1:11" x14ac:dyDescent="0.35">
      <c r="A1834" t="s">
        <v>1965</v>
      </c>
      <c r="B1834" t="s">
        <v>314</v>
      </c>
      <c r="C1834" t="s">
        <v>553</v>
      </c>
      <c r="D1834" t="s">
        <v>651</v>
      </c>
      <c r="E1834" s="1">
        <v>45353</v>
      </c>
      <c r="F1834" s="1">
        <v>45354</v>
      </c>
      <c r="G1834" s="1">
        <v>45370</v>
      </c>
      <c r="H1834" t="s">
        <v>8</v>
      </c>
      <c r="I1834">
        <v>115.8</v>
      </c>
      <c r="J1834" t="s">
        <v>683</v>
      </c>
      <c r="K1834">
        <v>16</v>
      </c>
    </row>
    <row r="1835" spans="1:11" x14ac:dyDescent="0.35">
      <c r="A1835" t="s">
        <v>2224</v>
      </c>
      <c r="B1835" t="s">
        <v>192</v>
      </c>
      <c r="C1835" t="s">
        <v>593</v>
      </c>
      <c r="D1835" t="s">
        <v>651</v>
      </c>
      <c r="E1835" s="1">
        <v>45586</v>
      </c>
      <c r="F1835" s="1">
        <v>45590</v>
      </c>
      <c r="G1835" s="1">
        <v>45613</v>
      </c>
      <c r="H1835" t="s">
        <v>11</v>
      </c>
      <c r="I1835">
        <v>115.29</v>
      </c>
      <c r="J1835" t="s">
        <v>683</v>
      </c>
      <c r="K1835">
        <v>23</v>
      </c>
    </row>
    <row r="1836" spans="1:11" x14ac:dyDescent="0.35">
      <c r="A1836" t="s">
        <v>1217</v>
      </c>
      <c r="B1836" t="s">
        <v>460</v>
      </c>
      <c r="C1836" t="s">
        <v>579</v>
      </c>
      <c r="D1836" t="s">
        <v>651</v>
      </c>
      <c r="E1836" s="1">
        <v>45068</v>
      </c>
      <c r="F1836" s="1">
        <v>45073</v>
      </c>
      <c r="G1836" s="1">
        <v>45085</v>
      </c>
      <c r="H1836" t="s">
        <v>11</v>
      </c>
      <c r="I1836">
        <v>115.19</v>
      </c>
      <c r="J1836" t="s">
        <v>683</v>
      </c>
      <c r="K1836">
        <v>12</v>
      </c>
    </row>
    <row r="1837" spans="1:11" x14ac:dyDescent="0.35">
      <c r="A1837" t="s">
        <v>2137</v>
      </c>
      <c r="B1837" t="s">
        <v>14</v>
      </c>
      <c r="C1837" t="s">
        <v>527</v>
      </c>
      <c r="D1837" t="s">
        <v>654</v>
      </c>
      <c r="E1837" s="1">
        <v>45128</v>
      </c>
      <c r="F1837" s="1">
        <v>45129</v>
      </c>
      <c r="G1837" s="1">
        <v>45150</v>
      </c>
      <c r="H1837" t="s">
        <v>8</v>
      </c>
      <c r="I1837">
        <v>114.75</v>
      </c>
      <c r="J1837" t="s">
        <v>683</v>
      </c>
      <c r="K1837">
        <v>21</v>
      </c>
    </row>
    <row r="1838" spans="1:11" x14ac:dyDescent="0.35">
      <c r="A1838" t="s">
        <v>2336</v>
      </c>
      <c r="B1838" t="s">
        <v>206</v>
      </c>
      <c r="C1838" t="s">
        <v>521</v>
      </c>
      <c r="D1838" t="s">
        <v>654</v>
      </c>
      <c r="E1838" s="1">
        <v>45209</v>
      </c>
      <c r="F1838" s="1">
        <v>45214</v>
      </c>
      <c r="G1838" s="1">
        <v>45228</v>
      </c>
      <c r="H1838" t="s">
        <v>13</v>
      </c>
      <c r="I1838">
        <v>114.33</v>
      </c>
      <c r="J1838" t="s">
        <v>687</v>
      </c>
      <c r="K1838">
        <v>14</v>
      </c>
    </row>
    <row r="1839" spans="1:11" x14ac:dyDescent="0.35">
      <c r="A1839" t="s">
        <v>1361</v>
      </c>
      <c r="B1839" t="s">
        <v>128</v>
      </c>
      <c r="C1839" t="s">
        <v>597</v>
      </c>
      <c r="D1839" t="s">
        <v>651</v>
      </c>
      <c r="E1839" s="1">
        <v>44933</v>
      </c>
      <c r="F1839" s="1">
        <v>44937</v>
      </c>
      <c r="G1839" s="1">
        <v>44961</v>
      </c>
      <c r="H1839" t="s">
        <v>8</v>
      </c>
      <c r="I1839">
        <v>114.32</v>
      </c>
      <c r="J1839" t="s">
        <v>683</v>
      </c>
      <c r="K1839">
        <v>24</v>
      </c>
    </row>
    <row r="1840" spans="1:11" x14ac:dyDescent="0.35">
      <c r="A1840" t="s">
        <v>1453</v>
      </c>
      <c r="B1840" t="s">
        <v>466</v>
      </c>
      <c r="C1840" t="s">
        <v>597</v>
      </c>
      <c r="D1840" t="s">
        <v>654</v>
      </c>
      <c r="E1840" s="1">
        <v>45065</v>
      </c>
      <c r="F1840" s="1">
        <v>45067</v>
      </c>
      <c r="G1840" s="1">
        <v>45081</v>
      </c>
      <c r="H1840" t="s">
        <v>20</v>
      </c>
      <c r="I1840">
        <v>114.09</v>
      </c>
      <c r="J1840" t="s">
        <v>683</v>
      </c>
      <c r="K1840">
        <v>14</v>
      </c>
    </row>
    <row r="1841" spans="1:11" x14ac:dyDescent="0.35">
      <c r="A1841" t="s">
        <v>2150</v>
      </c>
      <c r="B1841" t="s">
        <v>63</v>
      </c>
      <c r="C1841" t="s">
        <v>540</v>
      </c>
      <c r="D1841" t="s">
        <v>651</v>
      </c>
      <c r="E1841" s="1">
        <v>45037</v>
      </c>
      <c r="F1841" s="1">
        <v>45038</v>
      </c>
      <c r="G1841" s="1">
        <v>45068</v>
      </c>
      <c r="H1841" t="s">
        <v>25</v>
      </c>
      <c r="I1841">
        <v>114.04</v>
      </c>
      <c r="J1841" t="s">
        <v>683</v>
      </c>
      <c r="K1841">
        <v>30</v>
      </c>
    </row>
    <row r="1842" spans="1:11" x14ac:dyDescent="0.35">
      <c r="A1842" t="s">
        <v>2275</v>
      </c>
      <c r="B1842" t="s">
        <v>433</v>
      </c>
      <c r="C1842" t="s">
        <v>573</v>
      </c>
      <c r="D1842" t="s">
        <v>654</v>
      </c>
      <c r="E1842" s="1">
        <v>45141</v>
      </c>
      <c r="F1842" s="1">
        <v>45144</v>
      </c>
      <c r="G1842" s="1">
        <v>45148</v>
      </c>
      <c r="H1842" t="s">
        <v>8</v>
      </c>
      <c r="I1842">
        <v>114.03</v>
      </c>
      <c r="J1842" t="s">
        <v>687</v>
      </c>
      <c r="K1842">
        <v>4</v>
      </c>
    </row>
    <row r="1843" spans="1:11" x14ac:dyDescent="0.35">
      <c r="A1843" t="s">
        <v>1544</v>
      </c>
      <c r="B1843" t="s">
        <v>356</v>
      </c>
      <c r="C1843" t="s">
        <v>555</v>
      </c>
      <c r="D1843" t="s">
        <v>654</v>
      </c>
      <c r="E1843" s="1">
        <v>45229</v>
      </c>
      <c r="F1843" s="1">
        <v>45232</v>
      </c>
      <c r="G1843" s="1">
        <v>45245</v>
      </c>
      <c r="H1843" t="s">
        <v>13</v>
      </c>
      <c r="I1843">
        <v>114.01</v>
      </c>
      <c r="J1843" t="s">
        <v>683</v>
      </c>
      <c r="K1843">
        <v>13</v>
      </c>
    </row>
    <row r="1844" spans="1:11" x14ac:dyDescent="0.35">
      <c r="A1844" t="s">
        <v>1520</v>
      </c>
      <c r="B1844" t="s">
        <v>464</v>
      </c>
      <c r="C1844" t="s">
        <v>589</v>
      </c>
      <c r="D1844" t="s">
        <v>651</v>
      </c>
      <c r="E1844" s="1">
        <v>45369</v>
      </c>
      <c r="F1844" s="1">
        <v>45371</v>
      </c>
      <c r="G1844" s="1">
        <v>45392</v>
      </c>
      <c r="H1844" t="s">
        <v>11</v>
      </c>
      <c r="I1844">
        <v>113.82</v>
      </c>
      <c r="J1844" t="s">
        <v>687</v>
      </c>
      <c r="K1844">
        <v>21</v>
      </c>
    </row>
    <row r="1845" spans="1:11" x14ac:dyDescent="0.35">
      <c r="A1845" t="s">
        <v>2026</v>
      </c>
      <c r="B1845" t="s">
        <v>452</v>
      </c>
      <c r="C1845" t="s">
        <v>531</v>
      </c>
      <c r="D1845" t="s">
        <v>654</v>
      </c>
      <c r="E1845" s="1">
        <v>45080</v>
      </c>
      <c r="F1845" s="1">
        <v>45083</v>
      </c>
      <c r="G1845" s="1">
        <v>45104</v>
      </c>
      <c r="H1845" t="s">
        <v>11</v>
      </c>
      <c r="I1845">
        <v>113.78</v>
      </c>
      <c r="J1845" t="s">
        <v>683</v>
      </c>
      <c r="K1845">
        <v>21</v>
      </c>
    </row>
    <row r="1846" spans="1:11" x14ac:dyDescent="0.35">
      <c r="A1846" t="s">
        <v>2269</v>
      </c>
      <c r="B1846" t="s">
        <v>352</v>
      </c>
      <c r="C1846" t="s">
        <v>563</v>
      </c>
      <c r="D1846" t="s">
        <v>651</v>
      </c>
      <c r="E1846" s="1">
        <v>45215</v>
      </c>
      <c r="F1846" s="1">
        <v>45216</v>
      </c>
      <c r="G1846" s="1"/>
      <c r="H1846" t="s">
        <v>20</v>
      </c>
      <c r="I1846">
        <v>113.31</v>
      </c>
      <c r="J1846" t="s">
        <v>689</v>
      </c>
    </row>
    <row r="1847" spans="1:11" x14ac:dyDescent="0.35">
      <c r="A1847" t="s">
        <v>899</v>
      </c>
      <c r="B1847" t="s">
        <v>424</v>
      </c>
      <c r="C1847" t="s">
        <v>567</v>
      </c>
      <c r="D1847" t="s">
        <v>654</v>
      </c>
      <c r="E1847" s="1">
        <v>45270</v>
      </c>
      <c r="F1847" s="1">
        <v>45273</v>
      </c>
      <c r="G1847" s="1">
        <v>45285</v>
      </c>
      <c r="H1847" t="s">
        <v>11</v>
      </c>
      <c r="I1847">
        <v>113.23</v>
      </c>
      <c r="J1847" t="s">
        <v>683</v>
      </c>
      <c r="K1847">
        <v>12</v>
      </c>
    </row>
    <row r="1848" spans="1:11" x14ac:dyDescent="0.35">
      <c r="A1848" t="s">
        <v>2399</v>
      </c>
      <c r="B1848" t="s">
        <v>220</v>
      </c>
      <c r="C1848" t="s">
        <v>583</v>
      </c>
      <c r="D1848" t="s">
        <v>651</v>
      </c>
      <c r="E1848" s="1">
        <v>45419</v>
      </c>
      <c r="F1848" s="1">
        <v>45420</v>
      </c>
      <c r="G1848" s="1">
        <v>45437</v>
      </c>
      <c r="H1848" t="s">
        <v>11</v>
      </c>
      <c r="I1848">
        <v>113.19</v>
      </c>
      <c r="J1848" t="s">
        <v>683</v>
      </c>
      <c r="K1848">
        <v>17</v>
      </c>
    </row>
    <row r="1849" spans="1:11" x14ac:dyDescent="0.35">
      <c r="A1849" t="s">
        <v>2285</v>
      </c>
      <c r="B1849" t="s">
        <v>139</v>
      </c>
      <c r="C1849" t="s">
        <v>597</v>
      </c>
      <c r="D1849" t="s">
        <v>654</v>
      </c>
      <c r="E1849" s="1">
        <v>45287</v>
      </c>
      <c r="F1849" s="1">
        <v>45290</v>
      </c>
      <c r="G1849" s="1">
        <v>45306</v>
      </c>
      <c r="H1849" t="s">
        <v>20</v>
      </c>
      <c r="I1849">
        <v>112.91</v>
      </c>
      <c r="J1849" t="s">
        <v>683</v>
      </c>
      <c r="K1849">
        <v>16</v>
      </c>
    </row>
    <row r="1850" spans="1:11" x14ac:dyDescent="0.35">
      <c r="A1850" t="s">
        <v>1137</v>
      </c>
      <c r="B1850" t="s">
        <v>102</v>
      </c>
      <c r="C1850" t="s">
        <v>605</v>
      </c>
      <c r="D1850" t="s">
        <v>654</v>
      </c>
      <c r="E1850" s="1">
        <v>45558</v>
      </c>
      <c r="F1850" s="1">
        <v>45562</v>
      </c>
      <c r="G1850" s="1">
        <v>45585</v>
      </c>
      <c r="H1850" t="s">
        <v>11</v>
      </c>
      <c r="I1850">
        <v>112.5</v>
      </c>
      <c r="J1850" t="s">
        <v>683</v>
      </c>
      <c r="K1850">
        <v>23</v>
      </c>
    </row>
    <row r="1851" spans="1:11" x14ac:dyDescent="0.35">
      <c r="A1851" t="s">
        <v>2000</v>
      </c>
      <c r="B1851" t="s">
        <v>106</v>
      </c>
      <c r="C1851" t="s">
        <v>540</v>
      </c>
      <c r="D1851" t="s">
        <v>654</v>
      </c>
      <c r="E1851" s="1">
        <v>45472</v>
      </c>
      <c r="F1851" s="1">
        <v>45473</v>
      </c>
      <c r="G1851" s="1">
        <v>45483</v>
      </c>
      <c r="H1851" t="s">
        <v>11</v>
      </c>
      <c r="I1851">
        <v>112.23</v>
      </c>
      <c r="J1851" t="s">
        <v>683</v>
      </c>
      <c r="K1851">
        <v>10</v>
      </c>
    </row>
    <row r="1852" spans="1:11" x14ac:dyDescent="0.35">
      <c r="A1852" t="s">
        <v>1417</v>
      </c>
      <c r="B1852" t="s">
        <v>229</v>
      </c>
      <c r="C1852" t="s">
        <v>595</v>
      </c>
      <c r="D1852" t="s">
        <v>654</v>
      </c>
      <c r="E1852" s="1">
        <v>45295</v>
      </c>
      <c r="F1852" s="1">
        <v>45299</v>
      </c>
      <c r="G1852" s="1">
        <v>45326</v>
      </c>
      <c r="H1852" t="s">
        <v>11</v>
      </c>
      <c r="I1852">
        <v>111.87</v>
      </c>
      <c r="J1852" t="s">
        <v>683</v>
      </c>
      <c r="K1852">
        <v>27</v>
      </c>
    </row>
    <row r="1853" spans="1:11" x14ac:dyDescent="0.35">
      <c r="A1853" t="s">
        <v>684</v>
      </c>
      <c r="B1853" t="s">
        <v>347</v>
      </c>
      <c r="C1853" t="s">
        <v>527</v>
      </c>
      <c r="D1853" t="s">
        <v>654</v>
      </c>
      <c r="E1853" s="1">
        <v>45559</v>
      </c>
      <c r="F1853" s="1">
        <v>45562</v>
      </c>
      <c r="G1853" s="1">
        <v>45587</v>
      </c>
      <c r="H1853" t="s">
        <v>8</v>
      </c>
      <c r="I1853">
        <v>111.41</v>
      </c>
      <c r="J1853" t="s">
        <v>683</v>
      </c>
      <c r="K1853">
        <v>25</v>
      </c>
    </row>
    <row r="1854" spans="1:11" x14ac:dyDescent="0.35">
      <c r="A1854" t="s">
        <v>1602</v>
      </c>
      <c r="B1854" t="s">
        <v>258</v>
      </c>
      <c r="C1854" t="s">
        <v>609</v>
      </c>
      <c r="D1854" t="s">
        <v>654</v>
      </c>
      <c r="E1854" s="1">
        <v>44939</v>
      </c>
      <c r="F1854" s="1">
        <v>44942</v>
      </c>
      <c r="G1854" s="1">
        <v>44959</v>
      </c>
      <c r="H1854" t="s">
        <v>8</v>
      </c>
      <c r="I1854">
        <v>111.3</v>
      </c>
      <c r="J1854" t="s">
        <v>683</v>
      </c>
      <c r="K1854">
        <v>17</v>
      </c>
    </row>
    <row r="1855" spans="1:11" x14ac:dyDescent="0.35">
      <c r="A1855" t="s">
        <v>2166</v>
      </c>
      <c r="B1855" t="s">
        <v>347</v>
      </c>
      <c r="C1855" t="s">
        <v>605</v>
      </c>
      <c r="D1855" t="s">
        <v>654</v>
      </c>
      <c r="E1855" s="1">
        <v>45333</v>
      </c>
      <c r="F1855" s="1">
        <v>45337</v>
      </c>
      <c r="G1855" s="1"/>
      <c r="H1855" t="s">
        <v>8</v>
      </c>
      <c r="I1855">
        <v>111.2</v>
      </c>
      <c r="J1855" t="s">
        <v>689</v>
      </c>
    </row>
    <row r="1856" spans="1:11" x14ac:dyDescent="0.35">
      <c r="A1856" t="s">
        <v>2369</v>
      </c>
      <c r="B1856" t="s">
        <v>429</v>
      </c>
      <c r="C1856" t="s">
        <v>579</v>
      </c>
      <c r="D1856" t="s">
        <v>651</v>
      </c>
      <c r="E1856" s="1">
        <v>45576</v>
      </c>
      <c r="F1856" s="1">
        <v>45578</v>
      </c>
      <c r="G1856" s="1">
        <v>45605</v>
      </c>
      <c r="H1856" t="s">
        <v>13</v>
      </c>
      <c r="I1856">
        <v>111.15</v>
      </c>
      <c r="J1856" t="s">
        <v>683</v>
      </c>
      <c r="K1856">
        <v>27</v>
      </c>
    </row>
    <row r="1857" spans="1:11" x14ac:dyDescent="0.35">
      <c r="A1857" t="s">
        <v>1060</v>
      </c>
      <c r="B1857" t="s">
        <v>435</v>
      </c>
      <c r="C1857" t="s">
        <v>546</v>
      </c>
      <c r="D1857" t="s">
        <v>651</v>
      </c>
      <c r="E1857" s="1">
        <v>45069</v>
      </c>
      <c r="F1857" s="1">
        <v>45072</v>
      </c>
      <c r="G1857" s="1"/>
      <c r="H1857" t="s">
        <v>20</v>
      </c>
      <c r="I1857">
        <v>111.12</v>
      </c>
      <c r="J1857" t="s">
        <v>689</v>
      </c>
    </row>
    <row r="1858" spans="1:11" x14ac:dyDescent="0.35">
      <c r="A1858" t="s">
        <v>2486</v>
      </c>
      <c r="B1858" t="s">
        <v>443</v>
      </c>
      <c r="C1858" t="s">
        <v>567</v>
      </c>
      <c r="D1858" t="s">
        <v>651</v>
      </c>
      <c r="E1858" s="1">
        <v>45640</v>
      </c>
      <c r="F1858" s="1">
        <v>45642</v>
      </c>
      <c r="G1858" s="1">
        <v>45662</v>
      </c>
      <c r="H1858" t="s">
        <v>11</v>
      </c>
      <c r="I1858">
        <v>111.12</v>
      </c>
      <c r="J1858" t="s">
        <v>687</v>
      </c>
      <c r="K1858">
        <v>20</v>
      </c>
    </row>
    <row r="1859" spans="1:11" x14ac:dyDescent="0.35">
      <c r="A1859" t="s">
        <v>1121</v>
      </c>
      <c r="B1859" t="s">
        <v>408</v>
      </c>
      <c r="C1859" t="s">
        <v>581</v>
      </c>
      <c r="D1859" t="s">
        <v>651</v>
      </c>
      <c r="E1859" s="1">
        <v>45191</v>
      </c>
      <c r="F1859" s="1">
        <v>45194</v>
      </c>
      <c r="G1859" s="1">
        <v>45211</v>
      </c>
      <c r="H1859" t="s">
        <v>11</v>
      </c>
      <c r="I1859">
        <v>111.03</v>
      </c>
      <c r="J1859" t="s">
        <v>683</v>
      </c>
      <c r="K1859">
        <v>17</v>
      </c>
    </row>
    <row r="1860" spans="1:11" x14ac:dyDescent="0.35">
      <c r="A1860" t="s">
        <v>1435</v>
      </c>
      <c r="B1860" t="s">
        <v>387</v>
      </c>
      <c r="C1860" t="s">
        <v>581</v>
      </c>
      <c r="D1860" t="s">
        <v>654</v>
      </c>
      <c r="E1860" s="1">
        <v>45280</v>
      </c>
      <c r="F1860" s="1">
        <v>45284</v>
      </c>
      <c r="G1860" s="1">
        <v>45302</v>
      </c>
      <c r="H1860" t="s">
        <v>11</v>
      </c>
      <c r="I1860">
        <v>110.94</v>
      </c>
      <c r="J1860" t="s">
        <v>683</v>
      </c>
      <c r="K1860">
        <v>18</v>
      </c>
    </row>
    <row r="1861" spans="1:11" x14ac:dyDescent="0.35">
      <c r="A1861" t="s">
        <v>2287</v>
      </c>
      <c r="B1861" t="s">
        <v>203</v>
      </c>
      <c r="C1861" t="s">
        <v>607</v>
      </c>
      <c r="D1861" t="s">
        <v>654</v>
      </c>
      <c r="E1861" s="1">
        <v>45318</v>
      </c>
      <c r="F1861" s="1">
        <v>45319</v>
      </c>
      <c r="G1861" s="1">
        <v>45349</v>
      </c>
      <c r="H1861" t="s">
        <v>25</v>
      </c>
      <c r="I1861">
        <v>110.52</v>
      </c>
      <c r="J1861" t="s">
        <v>687</v>
      </c>
      <c r="K1861">
        <v>30</v>
      </c>
    </row>
    <row r="1862" spans="1:11" x14ac:dyDescent="0.35">
      <c r="A1862" t="s">
        <v>1408</v>
      </c>
      <c r="B1862" t="s">
        <v>387</v>
      </c>
      <c r="C1862" t="s">
        <v>605</v>
      </c>
      <c r="D1862" t="s">
        <v>654</v>
      </c>
      <c r="E1862" s="1">
        <v>45051</v>
      </c>
      <c r="F1862" s="1">
        <v>45052</v>
      </c>
      <c r="G1862" s="1">
        <v>45076</v>
      </c>
      <c r="H1862" t="s">
        <v>11</v>
      </c>
      <c r="I1862">
        <v>110.48</v>
      </c>
      <c r="J1862" t="s">
        <v>683</v>
      </c>
      <c r="K1862">
        <v>24</v>
      </c>
    </row>
    <row r="1863" spans="1:11" x14ac:dyDescent="0.35">
      <c r="A1863" t="s">
        <v>2525</v>
      </c>
      <c r="B1863" t="s">
        <v>45</v>
      </c>
      <c r="C1863" t="s">
        <v>609</v>
      </c>
      <c r="D1863" t="s">
        <v>654</v>
      </c>
      <c r="E1863" s="1">
        <v>45351</v>
      </c>
      <c r="F1863" s="1">
        <v>45353</v>
      </c>
      <c r="G1863" s="1">
        <v>45356</v>
      </c>
      <c r="H1863" t="s">
        <v>11</v>
      </c>
      <c r="I1863">
        <v>110.14</v>
      </c>
      <c r="J1863" t="s">
        <v>687</v>
      </c>
      <c r="K1863">
        <v>3</v>
      </c>
    </row>
    <row r="1864" spans="1:11" x14ac:dyDescent="0.35">
      <c r="A1864" t="s">
        <v>2338</v>
      </c>
      <c r="B1864" t="s">
        <v>304</v>
      </c>
      <c r="C1864" t="s">
        <v>549</v>
      </c>
      <c r="D1864" t="s">
        <v>654</v>
      </c>
      <c r="E1864" s="1">
        <v>45407</v>
      </c>
      <c r="F1864" s="1">
        <v>45409</v>
      </c>
      <c r="G1864" s="1"/>
      <c r="H1864" t="s">
        <v>20</v>
      </c>
      <c r="I1864">
        <v>109.79</v>
      </c>
      <c r="J1864" t="s">
        <v>689</v>
      </c>
    </row>
    <row r="1865" spans="1:11" x14ac:dyDescent="0.35">
      <c r="A1865" t="s">
        <v>1917</v>
      </c>
      <c r="B1865" t="s">
        <v>506</v>
      </c>
      <c r="C1865" t="s">
        <v>573</v>
      </c>
      <c r="D1865" t="s">
        <v>654</v>
      </c>
      <c r="E1865" s="1">
        <v>45419</v>
      </c>
      <c r="F1865" s="1">
        <v>45420</v>
      </c>
      <c r="G1865" s="1">
        <v>45423</v>
      </c>
      <c r="H1865" t="s">
        <v>11</v>
      </c>
      <c r="I1865">
        <v>109.78</v>
      </c>
      <c r="J1865" t="s">
        <v>683</v>
      </c>
      <c r="K1865">
        <v>3</v>
      </c>
    </row>
    <row r="1866" spans="1:11" x14ac:dyDescent="0.35">
      <c r="A1866" t="s">
        <v>822</v>
      </c>
      <c r="B1866" t="s">
        <v>220</v>
      </c>
      <c r="C1866" t="s">
        <v>587</v>
      </c>
      <c r="D1866" t="s">
        <v>651</v>
      </c>
      <c r="E1866" s="1">
        <v>45508</v>
      </c>
      <c r="F1866" s="1">
        <v>45513</v>
      </c>
      <c r="G1866" s="1">
        <v>45520</v>
      </c>
      <c r="H1866" t="s">
        <v>11</v>
      </c>
      <c r="I1866">
        <v>109.77</v>
      </c>
      <c r="J1866" t="s">
        <v>683</v>
      </c>
      <c r="K1866">
        <v>7</v>
      </c>
    </row>
    <row r="1867" spans="1:11" x14ac:dyDescent="0.35">
      <c r="A1867" t="s">
        <v>2649</v>
      </c>
      <c r="B1867" t="s">
        <v>86</v>
      </c>
      <c r="C1867" t="s">
        <v>581</v>
      </c>
      <c r="D1867" t="s">
        <v>654</v>
      </c>
      <c r="E1867" s="1">
        <v>45619</v>
      </c>
      <c r="F1867" s="1">
        <v>45623</v>
      </c>
      <c r="G1867" s="1">
        <v>45626</v>
      </c>
      <c r="H1867" t="s">
        <v>20</v>
      </c>
      <c r="I1867">
        <v>109.71</v>
      </c>
      <c r="J1867" t="s">
        <v>683</v>
      </c>
      <c r="K1867">
        <v>3</v>
      </c>
    </row>
    <row r="1868" spans="1:11" x14ac:dyDescent="0.35">
      <c r="A1868" t="s">
        <v>1271</v>
      </c>
      <c r="B1868" t="s">
        <v>88</v>
      </c>
      <c r="C1868" t="s">
        <v>599</v>
      </c>
      <c r="D1868" t="s">
        <v>651</v>
      </c>
      <c r="E1868" s="1">
        <v>45100</v>
      </c>
      <c r="F1868" s="1">
        <v>45102</v>
      </c>
      <c r="G1868" s="1">
        <v>45126</v>
      </c>
      <c r="H1868" t="s">
        <v>13</v>
      </c>
      <c r="I1868">
        <v>109.59</v>
      </c>
      <c r="J1868" t="s">
        <v>687</v>
      </c>
      <c r="K1868">
        <v>24</v>
      </c>
    </row>
    <row r="1869" spans="1:11" x14ac:dyDescent="0.35">
      <c r="A1869" t="s">
        <v>2003</v>
      </c>
      <c r="B1869" t="s">
        <v>300</v>
      </c>
      <c r="C1869" t="s">
        <v>607</v>
      </c>
      <c r="D1869" t="s">
        <v>654</v>
      </c>
      <c r="E1869" s="1">
        <v>45598</v>
      </c>
      <c r="F1869" s="1">
        <v>45600</v>
      </c>
      <c r="G1869" s="1">
        <v>45604</v>
      </c>
      <c r="H1869" t="s">
        <v>20</v>
      </c>
      <c r="I1869">
        <v>109.5</v>
      </c>
      <c r="J1869" t="s">
        <v>687</v>
      </c>
      <c r="K1869">
        <v>4</v>
      </c>
    </row>
    <row r="1870" spans="1:11" x14ac:dyDescent="0.35">
      <c r="A1870" t="s">
        <v>1177</v>
      </c>
      <c r="B1870" t="s">
        <v>329</v>
      </c>
      <c r="C1870" t="s">
        <v>567</v>
      </c>
      <c r="D1870" t="s">
        <v>654</v>
      </c>
      <c r="E1870" s="1">
        <v>44952</v>
      </c>
      <c r="F1870" s="1">
        <v>44955</v>
      </c>
      <c r="G1870" s="1">
        <v>44975</v>
      </c>
      <c r="H1870" t="s">
        <v>13</v>
      </c>
      <c r="I1870">
        <v>109.4</v>
      </c>
      <c r="J1870" t="s">
        <v>683</v>
      </c>
      <c r="K1870">
        <v>20</v>
      </c>
    </row>
    <row r="1871" spans="1:11" x14ac:dyDescent="0.35">
      <c r="A1871" t="s">
        <v>2454</v>
      </c>
      <c r="B1871" t="s">
        <v>310</v>
      </c>
      <c r="C1871" t="s">
        <v>569</v>
      </c>
      <c r="D1871" t="s">
        <v>654</v>
      </c>
      <c r="E1871" s="1">
        <v>45049</v>
      </c>
      <c r="F1871" s="1">
        <v>45054</v>
      </c>
      <c r="G1871" s="1">
        <v>45060</v>
      </c>
      <c r="H1871" t="s">
        <v>11</v>
      </c>
      <c r="I1871">
        <v>109.37</v>
      </c>
      <c r="J1871" t="s">
        <v>683</v>
      </c>
      <c r="K1871">
        <v>6</v>
      </c>
    </row>
    <row r="1872" spans="1:11" x14ac:dyDescent="0.35">
      <c r="A1872" t="s">
        <v>1176</v>
      </c>
      <c r="B1872" t="s">
        <v>506</v>
      </c>
      <c r="C1872" t="s">
        <v>531</v>
      </c>
      <c r="D1872" t="s">
        <v>651</v>
      </c>
      <c r="E1872" s="1">
        <v>45585</v>
      </c>
      <c r="F1872" s="1">
        <v>45586</v>
      </c>
      <c r="G1872" s="1">
        <v>45591</v>
      </c>
      <c r="H1872" t="s">
        <v>11</v>
      </c>
      <c r="I1872">
        <v>109.3</v>
      </c>
      <c r="J1872" t="s">
        <v>683</v>
      </c>
      <c r="K1872">
        <v>5</v>
      </c>
    </row>
    <row r="1873" spans="1:11" x14ac:dyDescent="0.35">
      <c r="A1873" t="s">
        <v>2539</v>
      </c>
      <c r="B1873" t="s">
        <v>516</v>
      </c>
      <c r="C1873" t="s">
        <v>605</v>
      </c>
      <c r="D1873" t="s">
        <v>651</v>
      </c>
      <c r="E1873" s="1">
        <v>45525</v>
      </c>
      <c r="F1873" s="1">
        <v>45530</v>
      </c>
      <c r="G1873" s="1">
        <v>45535</v>
      </c>
      <c r="H1873" t="s">
        <v>8</v>
      </c>
      <c r="I1873">
        <v>109.28</v>
      </c>
      <c r="J1873" t="s">
        <v>683</v>
      </c>
      <c r="K1873">
        <v>5</v>
      </c>
    </row>
    <row r="1874" spans="1:11" x14ac:dyDescent="0.35">
      <c r="A1874" t="s">
        <v>810</v>
      </c>
      <c r="B1874" t="s">
        <v>453</v>
      </c>
      <c r="C1874" t="s">
        <v>569</v>
      </c>
      <c r="D1874" t="s">
        <v>654</v>
      </c>
      <c r="E1874" s="1">
        <v>45340</v>
      </c>
      <c r="F1874" s="1">
        <v>45341</v>
      </c>
      <c r="G1874" s="1">
        <v>45361</v>
      </c>
      <c r="H1874" t="s">
        <v>11</v>
      </c>
      <c r="I1874">
        <v>108.68</v>
      </c>
      <c r="J1874" t="s">
        <v>683</v>
      </c>
      <c r="K1874">
        <v>20</v>
      </c>
    </row>
    <row r="1875" spans="1:11" x14ac:dyDescent="0.35">
      <c r="A1875" t="s">
        <v>2455</v>
      </c>
      <c r="B1875" t="s">
        <v>114</v>
      </c>
      <c r="C1875" t="s">
        <v>605</v>
      </c>
      <c r="D1875" t="s">
        <v>651</v>
      </c>
      <c r="E1875" s="1">
        <v>45114</v>
      </c>
      <c r="F1875" s="1">
        <v>45116</v>
      </c>
      <c r="G1875" s="1">
        <v>45129</v>
      </c>
      <c r="H1875" t="s">
        <v>20</v>
      </c>
      <c r="I1875">
        <v>108.48</v>
      </c>
      <c r="J1875" t="s">
        <v>683</v>
      </c>
      <c r="K1875">
        <v>13</v>
      </c>
    </row>
    <row r="1876" spans="1:11" x14ac:dyDescent="0.35">
      <c r="A1876" t="s">
        <v>847</v>
      </c>
      <c r="B1876" t="s">
        <v>248</v>
      </c>
      <c r="C1876" t="s">
        <v>581</v>
      </c>
      <c r="D1876" t="s">
        <v>654</v>
      </c>
      <c r="E1876" s="1">
        <v>45239</v>
      </c>
      <c r="F1876" s="1">
        <v>45244</v>
      </c>
      <c r="G1876" s="1">
        <v>45271</v>
      </c>
      <c r="H1876" t="s">
        <v>11</v>
      </c>
      <c r="I1876">
        <v>108.46</v>
      </c>
      <c r="J1876" t="s">
        <v>683</v>
      </c>
      <c r="K1876">
        <v>27</v>
      </c>
    </row>
    <row r="1877" spans="1:11" x14ac:dyDescent="0.35">
      <c r="A1877" t="s">
        <v>2187</v>
      </c>
      <c r="B1877" t="s">
        <v>397</v>
      </c>
      <c r="C1877" t="s">
        <v>591</v>
      </c>
      <c r="D1877" t="s">
        <v>654</v>
      </c>
      <c r="E1877" s="1">
        <v>45002</v>
      </c>
      <c r="F1877" s="1">
        <v>45004</v>
      </c>
      <c r="G1877" s="1">
        <v>45010</v>
      </c>
      <c r="H1877" t="s">
        <v>11</v>
      </c>
      <c r="I1877">
        <v>108.39</v>
      </c>
      <c r="J1877" t="s">
        <v>683</v>
      </c>
      <c r="K1877">
        <v>6</v>
      </c>
    </row>
    <row r="1878" spans="1:11" x14ac:dyDescent="0.35">
      <c r="A1878" t="s">
        <v>946</v>
      </c>
      <c r="B1878" t="s">
        <v>284</v>
      </c>
      <c r="C1878" t="s">
        <v>561</v>
      </c>
      <c r="D1878" t="s">
        <v>654</v>
      </c>
      <c r="E1878" s="1">
        <v>45402</v>
      </c>
      <c r="F1878" s="1">
        <v>45406</v>
      </c>
      <c r="G1878" s="1"/>
      <c r="H1878" t="s">
        <v>8</v>
      </c>
      <c r="I1878">
        <v>107.4</v>
      </c>
      <c r="J1878" t="s">
        <v>689</v>
      </c>
    </row>
    <row r="1879" spans="1:11" x14ac:dyDescent="0.35">
      <c r="A1879" t="s">
        <v>706</v>
      </c>
      <c r="B1879" t="s">
        <v>425</v>
      </c>
      <c r="C1879" t="s">
        <v>593</v>
      </c>
      <c r="D1879" t="s">
        <v>654</v>
      </c>
      <c r="E1879" s="1">
        <v>45128</v>
      </c>
      <c r="F1879" s="1">
        <v>45133</v>
      </c>
      <c r="G1879" s="1">
        <v>45150</v>
      </c>
      <c r="H1879" t="s">
        <v>25</v>
      </c>
      <c r="I1879">
        <v>106.57</v>
      </c>
      <c r="J1879" t="s">
        <v>683</v>
      </c>
      <c r="K1879">
        <v>17</v>
      </c>
    </row>
    <row r="1880" spans="1:11" x14ac:dyDescent="0.35">
      <c r="A1880" t="s">
        <v>895</v>
      </c>
      <c r="B1880" t="s">
        <v>102</v>
      </c>
      <c r="C1880" t="s">
        <v>601</v>
      </c>
      <c r="D1880" t="s">
        <v>654</v>
      </c>
      <c r="E1880" s="1">
        <v>45563</v>
      </c>
      <c r="F1880" s="1">
        <v>45567</v>
      </c>
      <c r="G1880" s="1">
        <v>45596</v>
      </c>
      <c r="H1880" t="s">
        <v>11</v>
      </c>
      <c r="I1880">
        <v>106.42</v>
      </c>
      <c r="J1880" t="s">
        <v>687</v>
      </c>
      <c r="K1880">
        <v>29</v>
      </c>
    </row>
    <row r="1881" spans="1:11" x14ac:dyDescent="0.35">
      <c r="A1881" t="s">
        <v>1024</v>
      </c>
      <c r="B1881" t="s">
        <v>454</v>
      </c>
      <c r="C1881" t="s">
        <v>563</v>
      </c>
      <c r="D1881" t="s">
        <v>654</v>
      </c>
      <c r="E1881" s="1">
        <v>45082</v>
      </c>
      <c r="F1881" s="1">
        <v>45087</v>
      </c>
      <c r="G1881" s="1">
        <v>45113</v>
      </c>
      <c r="H1881" t="s">
        <v>20</v>
      </c>
      <c r="I1881">
        <v>106.27</v>
      </c>
      <c r="J1881" t="s">
        <v>683</v>
      </c>
      <c r="K1881">
        <v>26</v>
      </c>
    </row>
    <row r="1882" spans="1:11" x14ac:dyDescent="0.35">
      <c r="A1882" t="s">
        <v>1539</v>
      </c>
      <c r="B1882" t="s">
        <v>191</v>
      </c>
      <c r="C1882" t="s">
        <v>565</v>
      </c>
      <c r="D1882" t="s">
        <v>654</v>
      </c>
      <c r="E1882" s="1">
        <v>45590</v>
      </c>
      <c r="F1882" s="1">
        <v>45595</v>
      </c>
      <c r="G1882" s="1">
        <v>45621</v>
      </c>
      <c r="H1882" t="s">
        <v>20</v>
      </c>
      <c r="I1882">
        <v>105.72</v>
      </c>
      <c r="J1882" t="s">
        <v>683</v>
      </c>
      <c r="K1882">
        <v>26</v>
      </c>
    </row>
    <row r="1883" spans="1:11" x14ac:dyDescent="0.35">
      <c r="A1883" t="s">
        <v>1997</v>
      </c>
      <c r="B1883" t="s">
        <v>485</v>
      </c>
      <c r="C1883" t="s">
        <v>543</v>
      </c>
      <c r="D1883" t="s">
        <v>654</v>
      </c>
      <c r="E1883" s="1">
        <v>45364</v>
      </c>
      <c r="F1883" s="1">
        <v>45368</v>
      </c>
      <c r="G1883" s="1">
        <v>45393</v>
      </c>
      <c r="H1883" t="s">
        <v>8</v>
      </c>
      <c r="I1883">
        <v>105.54</v>
      </c>
      <c r="J1883" t="s">
        <v>683</v>
      </c>
      <c r="K1883">
        <v>25</v>
      </c>
    </row>
    <row r="1884" spans="1:11" x14ac:dyDescent="0.35">
      <c r="A1884" t="s">
        <v>1541</v>
      </c>
      <c r="B1884" t="s">
        <v>487</v>
      </c>
      <c r="C1884" t="s">
        <v>527</v>
      </c>
      <c r="D1884" t="s">
        <v>654</v>
      </c>
      <c r="E1884" s="1">
        <v>45622</v>
      </c>
      <c r="F1884" s="1">
        <v>45627</v>
      </c>
      <c r="G1884" s="1">
        <v>45632</v>
      </c>
      <c r="H1884" t="s">
        <v>20</v>
      </c>
      <c r="I1884">
        <v>105.25</v>
      </c>
      <c r="J1884" t="s">
        <v>687</v>
      </c>
      <c r="K1884">
        <v>5</v>
      </c>
    </row>
    <row r="1885" spans="1:11" x14ac:dyDescent="0.35">
      <c r="A1885" t="s">
        <v>1585</v>
      </c>
      <c r="B1885" t="s">
        <v>379</v>
      </c>
      <c r="C1885" t="s">
        <v>540</v>
      </c>
      <c r="D1885" t="s">
        <v>654</v>
      </c>
      <c r="E1885" s="1">
        <v>44971</v>
      </c>
      <c r="F1885" s="1">
        <v>44974</v>
      </c>
      <c r="G1885" s="1">
        <v>45000</v>
      </c>
      <c r="H1885" t="s">
        <v>13</v>
      </c>
      <c r="I1885">
        <v>104.29</v>
      </c>
      <c r="J1885" t="s">
        <v>683</v>
      </c>
      <c r="K1885">
        <v>26</v>
      </c>
    </row>
    <row r="1886" spans="1:11" x14ac:dyDescent="0.35">
      <c r="A1886" t="s">
        <v>2041</v>
      </c>
      <c r="B1886" t="s">
        <v>180</v>
      </c>
      <c r="C1886" t="s">
        <v>561</v>
      </c>
      <c r="D1886" t="s">
        <v>654</v>
      </c>
      <c r="E1886" s="1">
        <v>45577</v>
      </c>
      <c r="F1886" s="1">
        <v>45579</v>
      </c>
      <c r="G1886" s="1">
        <v>45585</v>
      </c>
      <c r="H1886" t="s">
        <v>11</v>
      </c>
      <c r="I1886">
        <v>103.76</v>
      </c>
      <c r="J1886" t="s">
        <v>683</v>
      </c>
      <c r="K1886">
        <v>6</v>
      </c>
    </row>
    <row r="1887" spans="1:11" x14ac:dyDescent="0.35">
      <c r="A1887" t="s">
        <v>1415</v>
      </c>
      <c r="B1887" t="s">
        <v>432</v>
      </c>
      <c r="C1887" t="s">
        <v>587</v>
      </c>
      <c r="D1887" t="s">
        <v>654</v>
      </c>
      <c r="E1887" s="1">
        <v>45634</v>
      </c>
      <c r="F1887" s="1">
        <v>45637</v>
      </c>
      <c r="G1887" s="1">
        <v>45665</v>
      </c>
      <c r="H1887" t="s">
        <v>11</v>
      </c>
      <c r="I1887">
        <v>103.35</v>
      </c>
      <c r="J1887" t="s">
        <v>683</v>
      </c>
      <c r="K1887">
        <v>28</v>
      </c>
    </row>
    <row r="1888" spans="1:11" x14ac:dyDescent="0.35">
      <c r="A1888" t="s">
        <v>836</v>
      </c>
      <c r="B1888" t="s">
        <v>16</v>
      </c>
      <c r="C1888" t="s">
        <v>577</v>
      </c>
      <c r="D1888" t="s">
        <v>654</v>
      </c>
      <c r="E1888" s="1">
        <v>45325</v>
      </c>
      <c r="F1888" s="1">
        <v>45329</v>
      </c>
      <c r="G1888" s="1">
        <v>45338</v>
      </c>
      <c r="H1888" t="s">
        <v>8</v>
      </c>
      <c r="I1888">
        <v>103.06</v>
      </c>
      <c r="J1888" t="s">
        <v>683</v>
      </c>
      <c r="K1888">
        <v>9</v>
      </c>
    </row>
    <row r="1889" spans="1:11" x14ac:dyDescent="0.35">
      <c r="A1889" t="s">
        <v>784</v>
      </c>
      <c r="B1889" t="s">
        <v>240</v>
      </c>
      <c r="C1889" t="s">
        <v>611</v>
      </c>
      <c r="D1889" t="s">
        <v>654</v>
      </c>
      <c r="E1889" s="1">
        <v>45275</v>
      </c>
      <c r="F1889" s="1">
        <v>45279</v>
      </c>
      <c r="G1889" s="1">
        <v>45295</v>
      </c>
      <c r="H1889" t="s">
        <v>11</v>
      </c>
      <c r="I1889">
        <v>102.69</v>
      </c>
      <c r="J1889" t="s">
        <v>683</v>
      </c>
      <c r="K1889">
        <v>16</v>
      </c>
    </row>
    <row r="1890" spans="1:11" x14ac:dyDescent="0.35">
      <c r="A1890" t="s">
        <v>2551</v>
      </c>
      <c r="B1890" t="s">
        <v>262</v>
      </c>
      <c r="C1890" t="s">
        <v>524</v>
      </c>
      <c r="D1890" t="s">
        <v>654</v>
      </c>
      <c r="E1890" s="1">
        <v>45376</v>
      </c>
      <c r="F1890" s="1">
        <v>45377</v>
      </c>
      <c r="G1890" s="1">
        <v>45396</v>
      </c>
      <c r="H1890" t="s">
        <v>20</v>
      </c>
      <c r="I1890">
        <v>101.83</v>
      </c>
      <c r="J1890" t="s">
        <v>687</v>
      </c>
      <c r="K1890">
        <v>19</v>
      </c>
    </row>
    <row r="1891" spans="1:11" x14ac:dyDescent="0.35">
      <c r="A1891" t="s">
        <v>2155</v>
      </c>
      <c r="B1891" t="s">
        <v>402</v>
      </c>
      <c r="C1891" t="s">
        <v>577</v>
      </c>
      <c r="D1891" t="s">
        <v>654</v>
      </c>
      <c r="E1891" s="1">
        <v>45655</v>
      </c>
      <c r="F1891" s="1">
        <v>45659</v>
      </c>
      <c r="G1891" s="1">
        <v>45676</v>
      </c>
      <c r="H1891" t="s">
        <v>11</v>
      </c>
      <c r="I1891">
        <v>101.79</v>
      </c>
      <c r="J1891" t="s">
        <v>683</v>
      </c>
      <c r="K1891">
        <v>17</v>
      </c>
    </row>
    <row r="1892" spans="1:11" x14ac:dyDescent="0.35">
      <c r="A1892" t="s">
        <v>1858</v>
      </c>
      <c r="B1892" t="s">
        <v>122</v>
      </c>
      <c r="C1892" t="s">
        <v>534</v>
      </c>
      <c r="D1892" t="s">
        <v>654</v>
      </c>
      <c r="E1892" s="1">
        <v>45125</v>
      </c>
      <c r="F1892" s="1">
        <v>45129</v>
      </c>
      <c r="G1892" s="1">
        <v>45153</v>
      </c>
      <c r="H1892" t="s">
        <v>13</v>
      </c>
      <c r="I1892">
        <v>101.66</v>
      </c>
      <c r="J1892" t="s">
        <v>687</v>
      </c>
      <c r="K1892">
        <v>24</v>
      </c>
    </row>
    <row r="1893" spans="1:11" x14ac:dyDescent="0.35">
      <c r="A1893" t="s">
        <v>821</v>
      </c>
      <c r="B1893" t="s">
        <v>356</v>
      </c>
      <c r="C1893" t="s">
        <v>555</v>
      </c>
      <c r="D1893" t="s">
        <v>654</v>
      </c>
      <c r="E1893" s="1">
        <v>45131</v>
      </c>
      <c r="F1893" s="1">
        <v>45135</v>
      </c>
      <c r="G1893" s="1">
        <v>45158</v>
      </c>
      <c r="H1893" t="s">
        <v>13</v>
      </c>
      <c r="I1893">
        <v>101.53</v>
      </c>
      <c r="J1893" t="s">
        <v>683</v>
      </c>
      <c r="K1893">
        <v>23</v>
      </c>
    </row>
    <row r="1894" spans="1:11" x14ac:dyDescent="0.35">
      <c r="A1894" t="s">
        <v>2447</v>
      </c>
      <c r="B1894" t="s">
        <v>455</v>
      </c>
      <c r="C1894" t="s">
        <v>524</v>
      </c>
      <c r="D1894" t="s">
        <v>654</v>
      </c>
      <c r="E1894" s="1">
        <v>45475</v>
      </c>
      <c r="F1894" s="1">
        <v>45477</v>
      </c>
      <c r="G1894" s="1">
        <v>45496</v>
      </c>
      <c r="H1894" t="s">
        <v>13</v>
      </c>
      <c r="I1894">
        <v>101.51</v>
      </c>
      <c r="J1894" t="s">
        <v>687</v>
      </c>
      <c r="K1894">
        <v>19</v>
      </c>
    </row>
    <row r="1895" spans="1:11" x14ac:dyDescent="0.35">
      <c r="A1895" t="s">
        <v>1689</v>
      </c>
      <c r="B1895" t="s">
        <v>157</v>
      </c>
      <c r="C1895" t="s">
        <v>595</v>
      </c>
      <c r="D1895" t="s">
        <v>654</v>
      </c>
      <c r="E1895" s="1">
        <v>45550</v>
      </c>
      <c r="F1895" s="1">
        <v>45554</v>
      </c>
      <c r="G1895" s="1">
        <v>45572</v>
      </c>
      <c r="H1895" t="s">
        <v>11</v>
      </c>
      <c r="I1895">
        <v>100.33</v>
      </c>
      <c r="J1895" t="s">
        <v>683</v>
      </c>
      <c r="K1895">
        <v>18</v>
      </c>
    </row>
    <row r="1896" spans="1:11" x14ac:dyDescent="0.35">
      <c r="A1896" t="s">
        <v>901</v>
      </c>
      <c r="B1896" t="s">
        <v>449</v>
      </c>
      <c r="C1896" t="s">
        <v>601</v>
      </c>
      <c r="D1896" t="s">
        <v>654</v>
      </c>
      <c r="E1896" s="1">
        <v>45497</v>
      </c>
      <c r="F1896" s="1">
        <v>45501</v>
      </c>
      <c r="G1896" s="1">
        <v>45511</v>
      </c>
      <c r="H1896" t="s">
        <v>13</v>
      </c>
      <c r="I1896">
        <v>100.02</v>
      </c>
      <c r="J1896" t="s">
        <v>687</v>
      </c>
      <c r="K1896">
        <v>10</v>
      </c>
    </row>
    <row r="1897" spans="1:11" x14ac:dyDescent="0.35">
      <c r="A1897" t="s">
        <v>1952</v>
      </c>
      <c r="B1897" t="s">
        <v>259</v>
      </c>
      <c r="C1897" t="s">
        <v>589</v>
      </c>
      <c r="D1897" t="s">
        <v>654</v>
      </c>
      <c r="E1897" s="1">
        <v>45199</v>
      </c>
      <c r="F1897" s="1">
        <v>45202</v>
      </c>
      <c r="G1897" s="1">
        <v>45229</v>
      </c>
      <c r="H1897" t="s">
        <v>20</v>
      </c>
      <c r="I1897">
        <v>98.68</v>
      </c>
      <c r="J1897" t="s">
        <v>683</v>
      </c>
      <c r="K1897">
        <v>27</v>
      </c>
    </row>
    <row r="1898" spans="1:11" x14ac:dyDescent="0.35">
      <c r="A1898" t="s">
        <v>2419</v>
      </c>
      <c r="B1898" t="s">
        <v>127</v>
      </c>
      <c r="C1898" t="s">
        <v>521</v>
      </c>
      <c r="D1898" t="s">
        <v>654</v>
      </c>
      <c r="E1898" s="1">
        <v>45264</v>
      </c>
      <c r="F1898" s="1">
        <v>45268</v>
      </c>
      <c r="G1898" s="1">
        <v>45297</v>
      </c>
      <c r="H1898" t="s">
        <v>11</v>
      </c>
      <c r="I1898">
        <v>98.6</v>
      </c>
      <c r="J1898" t="s">
        <v>683</v>
      </c>
      <c r="K1898">
        <v>29</v>
      </c>
    </row>
    <row r="1899" spans="1:11" x14ac:dyDescent="0.35">
      <c r="A1899" t="s">
        <v>692</v>
      </c>
      <c r="B1899" t="s">
        <v>430</v>
      </c>
      <c r="C1899" t="s">
        <v>593</v>
      </c>
      <c r="D1899" t="s">
        <v>654</v>
      </c>
      <c r="E1899" s="1">
        <v>44996</v>
      </c>
      <c r="F1899" s="1">
        <v>44997</v>
      </c>
      <c r="G1899" s="1">
        <v>45012</v>
      </c>
      <c r="H1899" t="s">
        <v>20</v>
      </c>
      <c r="I1899">
        <v>98.57</v>
      </c>
      <c r="J1899" t="s">
        <v>683</v>
      </c>
      <c r="K1899">
        <v>15</v>
      </c>
    </row>
    <row r="1900" spans="1:11" x14ac:dyDescent="0.35">
      <c r="A1900" t="s">
        <v>2248</v>
      </c>
      <c r="B1900" t="s">
        <v>296</v>
      </c>
      <c r="C1900" t="s">
        <v>599</v>
      </c>
      <c r="D1900" t="s">
        <v>654</v>
      </c>
      <c r="E1900" s="1">
        <v>45257</v>
      </c>
      <c r="F1900" s="1">
        <v>45258</v>
      </c>
      <c r="G1900" s="1">
        <v>45269</v>
      </c>
      <c r="H1900" t="s">
        <v>11</v>
      </c>
      <c r="I1900">
        <v>98.07</v>
      </c>
      <c r="J1900" t="s">
        <v>683</v>
      </c>
      <c r="K1900">
        <v>11</v>
      </c>
    </row>
    <row r="1901" spans="1:11" x14ac:dyDescent="0.35">
      <c r="A1901" t="s">
        <v>1187</v>
      </c>
      <c r="B1901" t="s">
        <v>192</v>
      </c>
      <c r="C1901" t="s">
        <v>579</v>
      </c>
      <c r="D1901" t="s">
        <v>654</v>
      </c>
      <c r="E1901" s="1">
        <v>45381</v>
      </c>
      <c r="F1901" s="1">
        <v>45385</v>
      </c>
      <c r="G1901" s="1">
        <v>45407</v>
      </c>
      <c r="H1901" t="s">
        <v>11</v>
      </c>
      <c r="I1901">
        <v>97.81</v>
      </c>
      <c r="J1901" t="s">
        <v>683</v>
      </c>
      <c r="K1901">
        <v>22</v>
      </c>
    </row>
    <row r="1902" spans="1:11" x14ac:dyDescent="0.35">
      <c r="A1902" t="s">
        <v>969</v>
      </c>
      <c r="B1902" t="s">
        <v>444</v>
      </c>
      <c r="C1902" t="s">
        <v>555</v>
      </c>
      <c r="D1902" t="s">
        <v>654</v>
      </c>
      <c r="E1902" s="1">
        <v>45055</v>
      </c>
      <c r="F1902" s="1">
        <v>45058</v>
      </c>
      <c r="G1902" s="1">
        <v>45081</v>
      </c>
      <c r="H1902" t="s">
        <v>25</v>
      </c>
      <c r="I1902">
        <v>97.45</v>
      </c>
      <c r="J1902" t="s">
        <v>687</v>
      </c>
      <c r="K1902">
        <v>23</v>
      </c>
    </row>
    <row r="1903" spans="1:11" x14ac:dyDescent="0.35">
      <c r="A1903" t="s">
        <v>1330</v>
      </c>
      <c r="B1903" t="s">
        <v>331</v>
      </c>
      <c r="C1903" t="s">
        <v>521</v>
      </c>
      <c r="D1903" t="s">
        <v>654</v>
      </c>
      <c r="E1903" s="1">
        <v>45203</v>
      </c>
      <c r="F1903" s="1">
        <v>45206</v>
      </c>
      <c r="G1903" s="1">
        <v>45229</v>
      </c>
      <c r="H1903" t="s">
        <v>8</v>
      </c>
      <c r="I1903">
        <v>96.88</v>
      </c>
      <c r="J1903" t="s">
        <v>683</v>
      </c>
      <c r="K1903">
        <v>23</v>
      </c>
    </row>
    <row r="1904" spans="1:11" x14ac:dyDescent="0.35">
      <c r="A1904" t="s">
        <v>1852</v>
      </c>
      <c r="B1904" t="s">
        <v>18</v>
      </c>
      <c r="C1904" t="s">
        <v>524</v>
      </c>
      <c r="D1904" t="s">
        <v>654</v>
      </c>
      <c r="E1904" s="1">
        <v>45204</v>
      </c>
      <c r="F1904" s="1">
        <v>45205</v>
      </c>
      <c r="G1904" s="1">
        <v>45233</v>
      </c>
      <c r="H1904" t="s">
        <v>8</v>
      </c>
      <c r="I1904">
        <v>95.97</v>
      </c>
      <c r="J1904" t="s">
        <v>683</v>
      </c>
      <c r="K1904">
        <v>28</v>
      </c>
    </row>
    <row r="1905" spans="1:11" x14ac:dyDescent="0.35">
      <c r="A1905" t="s">
        <v>2235</v>
      </c>
      <c r="B1905" t="s">
        <v>402</v>
      </c>
      <c r="C1905" t="s">
        <v>587</v>
      </c>
      <c r="D1905" t="s">
        <v>654</v>
      </c>
      <c r="E1905" s="1">
        <v>45301</v>
      </c>
      <c r="F1905" s="1">
        <v>45304</v>
      </c>
      <c r="G1905" s="1">
        <v>45332</v>
      </c>
      <c r="H1905" t="s">
        <v>11</v>
      </c>
      <c r="I1905">
        <v>95.75</v>
      </c>
      <c r="J1905" t="s">
        <v>683</v>
      </c>
      <c r="K1905">
        <v>28</v>
      </c>
    </row>
    <row r="1906" spans="1:11" x14ac:dyDescent="0.35">
      <c r="A1906" t="s">
        <v>2129</v>
      </c>
      <c r="B1906" t="s">
        <v>261</v>
      </c>
      <c r="C1906" t="s">
        <v>601</v>
      </c>
      <c r="D1906" t="s">
        <v>654</v>
      </c>
      <c r="E1906" s="1">
        <v>45454</v>
      </c>
      <c r="F1906" s="1">
        <v>45455</v>
      </c>
      <c r="G1906" s="1">
        <v>45463</v>
      </c>
      <c r="H1906" t="s">
        <v>20</v>
      </c>
      <c r="I1906">
        <v>95.45</v>
      </c>
      <c r="J1906" t="s">
        <v>683</v>
      </c>
      <c r="K1906">
        <v>8</v>
      </c>
    </row>
    <row r="1907" spans="1:11" x14ac:dyDescent="0.35">
      <c r="A1907" t="s">
        <v>1196</v>
      </c>
      <c r="B1907" t="s">
        <v>479</v>
      </c>
      <c r="C1907" t="s">
        <v>577</v>
      </c>
      <c r="D1907" t="s">
        <v>654</v>
      </c>
      <c r="E1907" s="1">
        <v>45273</v>
      </c>
      <c r="F1907" s="1">
        <v>45274</v>
      </c>
      <c r="G1907" s="1">
        <v>45300</v>
      </c>
      <c r="H1907" t="s">
        <v>20</v>
      </c>
      <c r="I1907">
        <v>94.89</v>
      </c>
      <c r="J1907" t="s">
        <v>687</v>
      </c>
      <c r="K1907">
        <v>26</v>
      </c>
    </row>
    <row r="1908" spans="1:11" x14ac:dyDescent="0.35">
      <c r="A1908" t="s">
        <v>2267</v>
      </c>
      <c r="B1908" t="s">
        <v>222</v>
      </c>
      <c r="C1908" t="s">
        <v>563</v>
      </c>
      <c r="D1908" t="s">
        <v>654</v>
      </c>
      <c r="E1908" s="1">
        <v>45605</v>
      </c>
      <c r="F1908" s="1">
        <v>45609</v>
      </c>
      <c r="G1908" s="1">
        <v>45626</v>
      </c>
      <c r="H1908" t="s">
        <v>20</v>
      </c>
      <c r="I1908">
        <v>94.79</v>
      </c>
      <c r="J1908" t="s">
        <v>683</v>
      </c>
      <c r="K1908">
        <v>17</v>
      </c>
    </row>
    <row r="1909" spans="1:11" x14ac:dyDescent="0.35">
      <c r="A1909" t="s">
        <v>910</v>
      </c>
      <c r="B1909" t="s">
        <v>371</v>
      </c>
      <c r="C1909" t="s">
        <v>569</v>
      </c>
      <c r="D1909" t="s">
        <v>654</v>
      </c>
      <c r="E1909" s="1">
        <v>45458</v>
      </c>
      <c r="F1909" s="1">
        <v>45463</v>
      </c>
      <c r="G1909" s="1"/>
      <c r="H1909" t="s">
        <v>25</v>
      </c>
      <c r="I1909">
        <v>94.46</v>
      </c>
      <c r="J1909" t="s">
        <v>689</v>
      </c>
    </row>
    <row r="1910" spans="1:11" x14ac:dyDescent="0.35">
      <c r="A1910" t="s">
        <v>1406</v>
      </c>
      <c r="B1910" t="s">
        <v>58</v>
      </c>
      <c r="C1910" t="s">
        <v>561</v>
      </c>
      <c r="D1910" t="s">
        <v>654</v>
      </c>
      <c r="E1910" s="1">
        <v>45411</v>
      </c>
      <c r="F1910" s="1">
        <v>45415</v>
      </c>
      <c r="G1910" s="1">
        <v>45436</v>
      </c>
      <c r="H1910" t="s">
        <v>8</v>
      </c>
      <c r="I1910">
        <v>94.27</v>
      </c>
      <c r="J1910" t="s">
        <v>683</v>
      </c>
      <c r="K1910">
        <v>21</v>
      </c>
    </row>
    <row r="1911" spans="1:11" x14ac:dyDescent="0.35">
      <c r="A1911" t="s">
        <v>1275</v>
      </c>
      <c r="B1911" t="s">
        <v>222</v>
      </c>
      <c r="C1911" t="s">
        <v>563</v>
      </c>
      <c r="D1911" t="s">
        <v>654</v>
      </c>
      <c r="E1911" s="1">
        <v>45653</v>
      </c>
      <c r="F1911" s="1">
        <v>45657</v>
      </c>
      <c r="G1911" s="1">
        <v>45672</v>
      </c>
      <c r="H1911" t="s">
        <v>20</v>
      </c>
      <c r="I1911">
        <v>94.04</v>
      </c>
      <c r="J1911" t="s">
        <v>683</v>
      </c>
      <c r="K1911">
        <v>15</v>
      </c>
    </row>
    <row r="1912" spans="1:11" x14ac:dyDescent="0.35">
      <c r="A1912" t="s">
        <v>1922</v>
      </c>
      <c r="B1912" t="s">
        <v>143</v>
      </c>
      <c r="C1912" t="s">
        <v>546</v>
      </c>
      <c r="D1912" t="s">
        <v>654</v>
      </c>
      <c r="E1912" s="1">
        <v>45257</v>
      </c>
      <c r="F1912" s="1">
        <v>45259</v>
      </c>
      <c r="G1912" s="1">
        <v>45266</v>
      </c>
      <c r="H1912" t="s">
        <v>13</v>
      </c>
      <c r="I1912">
        <v>94.03</v>
      </c>
      <c r="J1912" t="s">
        <v>687</v>
      </c>
      <c r="K1912">
        <v>7</v>
      </c>
    </row>
    <row r="1913" spans="1:11" x14ac:dyDescent="0.35">
      <c r="A1913" t="s">
        <v>897</v>
      </c>
      <c r="B1913" t="s">
        <v>431</v>
      </c>
      <c r="C1913" t="s">
        <v>579</v>
      </c>
      <c r="D1913" t="s">
        <v>654</v>
      </c>
      <c r="E1913" s="1">
        <v>45012</v>
      </c>
      <c r="F1913" s="1">
        <v>45016</v>
      </c>
      <c r="G1913" s="1">
        <v>45040</v>
      </c>
      <c r="H1913" t="s">
        <v>20</v>
      </c>
      <c r="I1913">
        <v>93.52</v>
      </c>
      <c r="J1913" t="s">
        <v>683</v>
      </c>
      <c r="K1913">
        <v>24</v>
      </c>
    </row>
    <row r="1914" spans="1:11" x14ac:dyDescent="0.35">
      <c r="A1914" t="s">
        <v>1161</v>
      </c>
      <c r="B1914" t="s">
        <v>440</v>
      </c>
      <c r="C1914" t="s">
        <v>603</v>
      </c>
      <c r="D1914" t="s">
        <v>654</v>
      </c>
      <c r="E1914" s="1">
        <v>45408</v>
      </c>
      <c r="F1914" s="1">
        <v>45411</v>
      </c>
      <c r="G1914" s="1">
        <v>45433</v>
      </c>
      <c r="H1914" t="s">
        <v>20</v>
      </c>
      <c r="I1914">
        <v>92.53</v>
      </c>
      <c r="J1914" t="s">
        <v>687</v>
      </c>
      <c r="K1914">
        <v>22</v>
      </c>
    </row>
    <row r="1915" spans="1:11" x14ac:dyDescent="0.35">
      <c r="A1915" t="s">
        <v>1342</v>
      </c>
      <c r="B1915" t="s">
        <v>391</v>
      </c>
      <c r="C1915" t="s">
        <v>565</v>
      </c>
      <c r="D1915" t="s">
        <v>654</v>
      </c>
      <c r="E1915" s="1">
        <v>45290</v>
      </c>
      <c r="F1915" s="1">
        <v>45294</v>
      </c>
      <c r="G1915" s="1">
        <v>45307</v>
      </c>
      <c r="H1915" t="s">
        <v>11</v>
      </c>
      <c r="I1915">
        <v>91.12</v>
      </c>
      <c r="J1915" t="s">
        <v>683</v>
      </c>
      <c r="K1915">
        <v>13</v>
      </c>
    </row>
    <row r="1916" spans="1:11" x14ac:dyDescent="0.35">
      <c r="A1916" t="s">
        <v>2089</v>
      </c>
      <c r="B1916" t="s">
        <v>458</v>
      </c>
      <c r="C1916" t="s">
        <v>527</v>
      </c>
      <c r="D1916" t="s">
        <v>654</v>
      </c>
      <c r="E1916" s="1">
        <v>45554</v>
      </c>
      <c r="F1916" s="1">
        <v>45558</v>
      </c>
      <c r="G1916" s="1">
        <v>45561</v>
      </c>
      <c r="H1916" t="s">
        <v>11</v>
      </c>
      <c r="I1916">
        <v>90.52</v>
      </c>
      <c r="J1916" t="s">
        <v>683</v>
      </c>
      <c r="K1916">
        <v>3</v>
      </c>
    </row>
    <row r="1917" spans="1:11" x14ac:dyDescent="0.35">
      <c r="A1917" t="s">
        <v>1254</v>
      </c>
      <c r="B1917" t="s">
        <v>438</v>
      </c>
      <c r="C1917" t="s">
        <v>521</v>
      </c>
      <c r="D1917" t="s">
        <v>654</v>
      </c>
      <c r="E1917" s="1">
        <v>45094</v>
      </c>
      <c r="F1917" s="1">
        <v>45096</v>
      </c>
      <c r="G1917" s="1">
        <v>45115</v>
      </c>
      <c r="H1917" t="s">
        <v>11</v>
      </c>
      <c r="I1917">
        <v>90.46</v>
      </c>
      <c r="J1917" t="s">
        <v>687</v>
      </c>
      <c r="K1917">
        <v>19</v>
      </c>
    </row>
    <row r="1918" spans="1:11" x14ac:dyDescent="0.35">
      <c r="A1918" t="s">
        <v>1857</v>
      </c>
      <c r="B1918" t="s">
        <v>339</v>
      </c>
      <c r="C1918" t="s">
        <v>609</v>
      </c>
      <c r="D1918" t="s">
        <v>620</v>
      </c>
      <c r="E1918" s="1">
        <v>45418</v>
      </c>
      <c r="F1918" s="1">
        <v>45419</v>
      </c>
      <c r="G1918" s="1">
        <v>45431</v>
      </c>
      <c r="H1918" t="s">
        <v>11</v>
      </c>
      <c r="I1918">
        <v>62.07</v>
      </c>
      <c r="J1918" t="s">
        <v>683</v>
      </c>
      <c r="K1918">
        <v>12</v>
      </c>
    </row>
    <row r="1919" spans="1:11" x14ac:dyDescent="0.35">
      <c r="A1919" t="s">
        <v>696</v>
      </c>
      <c r="B1919" t="s">
        <v>272</v>
      </c>
      <c r="C1919" t="s">
        <v>531</v>
      </c>
      <c r="D1919" t="s">
        <v>620</v>
      </c>
      <c r="E1919" s="1">
        <v>45058</v>
      </c>
      <c r="F1919" s="1">
        <v>45060</v>
      </c>
      <c r="G1919" s="1">
        <v>45065</v>
      </c>
      <c r="H1919" t="s">
        <v>11</v>
      </c>
      <c r="I1919">
        <v>62.01</v>
      </c>
      <c r="J1919" t="s">
        <v>687</v>
      </c>
      <c r="K1919">
        <v>5</v>
      </c>
    </row>
    <row r="1920" spans="1:11" x14ac:dyDescent="0.35">
      <c r="A1920" t="s">
        <v>2167</v>
      </c>
      <c r="B1920" t="s">
        <v>509</v>
      </c>
      <c r="C1920" t="s">
        <v>597</v>
      </c>
      <c r="D1920" t="s">
        <v>620</v>
      </c>
      <c r="E1920" s="1">
        <v>45304</v>
      </c>
      <c r="F1920" s="1">
        <v>45308</v>
      </c>
      <c r="G1920" s="1">
        <v>45312</v>
      </c>
      <c r="H1920" t="s">
        <v>25</v>
      </c>
      <c r="I1920">
        <v>61.85</v>
      </c>
      <c r="J1920" t="s">
        <v>687</v>
      </c>
      <c r="K1920">
        <v>4</v>
      </c>
    </row>
    <row r="1921" spans="1:11" x14ac:dyDescent="0.35">
      <c r="A1921" t="s">
        <v>2087</v>
      </c>
      <c r="B1921" t="s">
        <v>181</v>
      </c>
      <c r="C1921" t="s">
        <v>579</v>
      </c>
      <c r="D1921" t="s">
        <v>620</v>
      </c>
      <c r="E1921" s="1">
        <v>45107</v>
      </c>
      <c r="F1921" s="1">
        <v>45109</v>
      </c>
      <c r="G1921" s="1">
        <v>45134</v>
      </c>
      <c r="H1921" t="s">
        <v>20</v>
      </c>
      <c r="I1921">
        <v>61.77</v>
      </c>
      <c r="J1921" t="s">
        <v>687</v>
      </c>
      <c r="K1921">
        <v>25</v>
      </c>
    </row>
    <row r="1922" spans="1:11" x14ac:dyDescent="0.35">
      <c r="A1922" t="s">
        <v>1615</v>
      </c>
      <c r="B1922" t="s">
        <v>327</v>
      </c>
      <c r="C1922" t="s">
        <v>577</v>
      </c>
      <c r="D1922" t="s">
        <v>620</v>
      </c>
      <c r="E1922" s="1">
        <v>45491</v>
      </c>
      <c r="F1922" s="1">
        <v>45495</v>
      </c>
      <c r="G1922" s="1">
        <v>45501</v>
      </c>
      <c r="H1922" t="s">
        <v>13</v>
      </c>
      <c r="I1922">
        <v>61.64</v>
      </c>
      <c r="J1922" t="s">
        <v>683</v>
      </c>
      <c r="K1922">
        <v>6</v>
      </c>
    </row>
    <row r="1923" spans="1:11" x14ac:dyDescent="0.35">
      <c r="A1923" t="s">
        <v>2086</v>
      </c>
      <c r="B1923" t="s">
        <v>91</v>
      </c>
      <c r="C1923" t="s">
        <v>531</v>
      </c>
      <c r="D1923" t="s">
        <v>620</v>
      </c>
      <c r="E1923" s="1">
        <v>45397</v>
      </c>
      <c r="F1923" s="1">
        <v>45398</v>
      </c>
      <c r="G1923" s="1">
        <v>45416</v>
      </c>
      <c r="H1923" t="s">
        <v>13</v>
      </c>
      <c r="I1923">
        <v>61.63</v>
      </c>
      <c r="J1923" t="s">
        <v>683</v>
      </c>
      <c r="K1923">
        <v>18</v>
      </c>
    </row>
    <row r="1924" spans="1:11" x14ac:dyDescent="0.35">
      <c r="A1924" t="s">
        <v>699</v>
      </c>
      <c r="B1924" t="s">
        <v>364</v>
      </c>
      <c r="C1924" t="s">
        <v>579</v>
      </c>
      <c r="D1924" t="s">
        <v>620</v>
      </c>
      <c r="E1924" s="1">
        <v>45058</v>
      </c>
      <c r="F1924" s="1">
        <v>45063</v>
      </c>
      <c r="G1924" s="1">
        <v>45079</v>
      </c>
      <c r="H1924" t="s">
        <v>11</v>
      </c>
      <c r="I1924">
        <v>61.58</v>
      </c>
      <c r="J1924" t="s">
        <v>683</v>
      </c>
      <c r="K1924">
        <v>16</v>
      </c>
    </row>
    <row r="1925" spans="1:11" x14ac:dyDescent="0.35">
      <c r="A1925" t="s">
        <v>1988</v>
      </c>
      <c r="B1925" t="s">
        <v>157</v>
      </c>
      <c r="C1925" t="s">
        <v>575</v>
      </c>
      <c r="D1925" t="s">
        <v>620</v>
      </c>
      <c r="E1925" s="1">
        <v>45529</v>
      </c>
      <c r="F1925" s="1">
        <v>45530</v>
      </c>
      <c r="G1925" s="1">
        <v>45538</v>
      </c>
      <c r="H1925" t="s">
        <v>11</v>
      </c>
      <c r="I1925">
        <v>61.16</v>
      </c>
      <c r="J1925" t="s">
        <v>683</v>
      </c>
      <c r="K1925">
        <v>8</v>
      </c>
    </row>
    <row r="1926" spans="1:11" x14ac:dyDescent="0.35">
      <c r="A1926" t="s">
        <v>2321</v>
      </c>
      <c r="B1926" t="s">
        <v>120</v>
      </c>
      <c r="C1926" t="s">
        <v>583</v>
      </c>
      <c r="D1926" t="s">
        <v>620</v>
      </c>
      <c r="E1926" s="1">
        <v>45595</v>
      </c>
      <c r="F1926" s="1">
        <v>45598</v>
      </c>
      <c r="G1926" s="1">
        <v>45623</v>
      </c>
      <c r="H1926" t="s">
        <v>13</v>
      </c>
      <c r="I1926">
        <v>61.1</v>
      </c>
      <c r="J1926" t="s">
        <v>683</v>
      </c>
      <c r="K1926">
        <v>25</v>
      </c>
    </row>
    <row r="1927" spans="1:11" x14ac:dyDescent="0.35">
      <c r="A1927" t="s">
        <v>1049</v>
      </c>
      <c r="B1927" t="s">
        <v>61</v>
      </c>
      <c r="C1927" t="s">
        <v>607</v>
      </c>
      <c r="D1927" t="s">
        <v>620</v>
      </c>
      <c r="E1927" s="1">
        <v>44973</v>
      </c>
      <c r="F1927" s="1">
        <v>44974</v>
      </c>
      <c r="G1927" s="1">
        <v>44992</v>
      </c>
      <c r="H1927" t="s">
        <v>11</v>
      </c>
      <c r="I1927">
        <v>61.04</v>
      </c>
      <c r="J1927" t="s">
        <v>683</v>
      </c>
      <c r="K1927">
        <v>18</v>
      </c>
    </row>
    <row r="1928" spans="1:11" x14ac:dyDescent="0.35">
      <c r="A1928" t="s">
        <v>1207</v>
      </c>
      <c r="B1928" t="s">
        <v>485</v>
      </c>
      <c r="C1928" t="s">
        <v>521</v>
      </c>
      <c r="D1928" t="s">
        <v>620</v>
      </c>
      <c r="E1928" s="1">
        <v>45209</v>
      </c>
      <c r="F1928" s="1">
        <v>45213</v>
      </c>
      <c r="G1928" s="1">
        <v>45219</v>
      </c>
      <c r="H1928" t="s">
        <v>8</v>
      </c>
      <c r="I1928">
        <v>61.01</v>
      </c>
      <c r="J1928" t="s">
        <v>683</v>
      </c>
      <c r="K1928">
        <v>6</v>
      </c>
    </row>
    <row r="1929" spans="1:11" x14ac:dyDescent="0.35">
      <c r="A1929" t="s">
        <v>2189</v>
      </c>
      <c r="B1929" t="s">
        <v>460</v>
      </c>
      <c r="C1929" t="s">
        <v>563</v>
      </c>
      <c r="D1929" t="s">
        <v>620</v>
      </c>
      <c r="E1929" s="1">
        <v>45035</v>
      </c>
      <c r="F1929" s="1">
        <v>45039</v>
      </c>
      <c r="G1929" s="1">
        <v>45051</v>
      </c>
      <c r="H1929" t="s">
        <v>11</v>
      </c>
      <c r="I1929">
        <v>60.46</v>
      </c>
      <c r="J1929" t="s">
        <v>683</v>
      </c>
      <c r="K1929">
        <v>12</v>
      </c>
    </row>
    <row r="1930" spans="1:11" x14ac:dyDescent="0.35">
      <c r="A1930" t="s">
        <v>2080</v>
      </c>
      <c r="B1930" t="s">
        <v>66</v>
      </c>
      <c r="C1930" t="s">
        <v>585</v>
      </c>
      <c r="D1930" t="s">
        <v>620</v>
      </c>
      <c r="E1930" s="1">
        <v>45090</v>
      </c>
      <c r="F1930" s="1">
        <v>45094</v>
      </c>
      <c r="G1930" s="1"/>
      <c r="H1930" t="s">
        <v>11</v>
      </c>
      <c r="I1930">
        <v>60.36</v>
      </c>
      <c r="J1930" t="s">
        <v>689</v>
      </c>
    </row>
    <row r="1931" spans="1:11" x14ac:dyDescent="0.35">
      <c r="A1931" t="s">
        <v>1356</v>
      </c>
      <c r="B1931" t="s">
        <v>285</v>
      </c>
      <c r="C1931" t="s">
        <v>561</v>
      </c>
      <c r="D1931" t="s">
        <v>620</v>
      </c>
      <c r="E1931" s="1">
        <v>45306</v>
      </c>
      <c r="F1931" s="1">
        <v>45308</v>
      </c>
      <c r="G1931" s="1"/>
      <c r="H1931" t="s">
        <v>13</v>
      </c>
      <c r="I1931">
        <v>59.4</v>
      </c>
      <c r="J1931" t="s">
        <v>689</v>
      </c>
    </row>
    <row r="1932" spans="1:11" x14ac:dyDescent="0.35">
      <c r="A1932" t="s">
        <v>1735</v>
      </c>
      <c r="B1932" t="s">
        <v>478</v>
      </c>
      <c r="C1932" t="s">
        <v>587</v>
      </c>
      <c r="D1932" t="s">
        <v>620</v>
      </c>
      <c r="E1932" s="1">
        <v>45092</v>
      </c>
      <c r="F1932" s="1">
        <v>45093</v>
      </c>
      <c r="G1932" s="1">
        <v>45097</v>
      </c>
      <c r="H1932" t="s">
        <v>13</v>
      </c>
      <c r="I1932">
        <v>59.3</v>
      </c>
      <c r="J1932" t="s">
        <v>687</v>
      </c>
      <c r="K1932">
        <v>4</v>
      </c>
    </row>
    <row r="1933" spans="1:11" x14ac:dyDescent="0.35">
      <c r="A1933" t="s">
        <v>2488</v>
      </c>
      <c r="B1933" t="s">
        <v>133</v>
      </c>
      <c r="C1933" t="s">
        <v>563</v>
      </c>
      <c r="D1933" t="s">
        <v>620</v>
      </c>
      <c r="E1933" s="1">
        <v>45168</v>
      </c>
      <c r="F1933" s="1">
        <v>45173</v>
      </c>
      <c r="G1933" s="1">
        <v>45193</v>
      </c>
      <c r="H1933" t="s">
        <v>8</v>
      </c>
      <c r="I1933">
        <v>59.23</v>
      </c>
      <c r="J1933" t="s">
        <v>687</v>
      </c>
      <c r="K1933">
        <v>20</v>
      </c>
    </row>
    <row r="1934" spans="1:11" x14ac:dyDescent="0.35">
      <c r="A1934" t="s">
        <v>1124</v>
      </c>
      <c r="B1934" t="s">
        <v>72</v>
      </c>
      <c r="C1934" t="s">
        <v>543</v>
      </c>
      <c r="D1934" t="s">
        <v>620</v>
      </c>
      <c r="E1934" s="1">
        <v>45302</v>
      </c>
      <c r="F1934" s="1">
        <v>45307</v>
      </c>
      <c r="G1934" s="1">
        <v>45336</v>
      </c>
      <c r="H1934" t="s">
        <v>20</v>
      </c>
      <c r="I1934">
        <v>59.22</v>
      </c>
      <c r="J1934" t="s">
        <v>683</v>
      </c>
      <c r="K1934">
        <v>29</v>
      </c>
    </row>
    <row r="1935" spans="1:11" x14ac:dyDescent="0.35">
      <c r="A1935" t="s">
        <v>1831</v>
      </c>
      <c r="B1935" t="s">
        <v>366</v>
      </c>
      <c r="C1935" t="s">
        <v>561</v>
      </c>
      <c r="D1935" t="s">
        <v>620</v>
      </c>
      <c r="E1935" s="1">
        <v>45415</v>
      </c>
      <c r="F1935" s="1">
        <v>45419</v>
      </c>
      <c r="G1935" s="1">
        <v>45430</v>
      </c>
      <c r="H1935" t="s">
        <v>8</v>
      </c>
      <c r="I1935">
        <v>59.22</v>
      </c>
      <c r="J1935" t="s">
        <v>687</v>
      </c>
      <c r="K1935">
        <v>11</v>
      </c>
    </row>
    <row r="1936" spans="1:11" x14ac:dyDescent="0.35">
      <c r="A1936" t="s">
        <v>2578</v>
      </c>
      <c r="B1936" t="s">
        <v>204</v>
      </c>
      <c r="C1936" t="s">
        <v>595</v>
      </c>
      <c r="D1936" t="s">
        <v>620</v>
      </c>
      <c r="E1936" s="1">
        <v>45073</v>
      </c>
      <c r="F1936" s="1">
        <v>45074</v>
      </c>
      <c r="G1936" s="1">
        <v>45090</v>
      </c>
      <c r="H1936" t="s">
        <v>8</v>
      </c>
      <c r="I1936">
        <v>59.2</v>
      </c>
      <c r="J1936" t="s">
        <v>683</v>
      </c>
      <c r="K1936">
        <v>16</v>
      </c>
    </row>
    <row r="1937" spans="1:11" x14ac:dyDescent="0.35">
      <c r="A1937" t="s">
        <v>1204</v>
      </c>
      <c r="B1937" t="s">
        <v>164</v>
      </c>
      <c r="C1937" t="s">
        <v>611</v>
      </c>
      <c r="D1937" t="s">
        <v>620</v>
      </c>
      <c r="E1937" s="1">
        <v>45499</v>
      </c>
      <c r="F1937" s="1">
        <v>45501</v>
      </c>
      <c r="G1937" s="1">
        <v>45506</v>
      </c>
      <c r="H1937" t="s">
        <v>11</v>
      </c>
      <c r="I1937">
        <v>59.18</v>
      </c>
      <c r="J1937" t="s">
        <v>683</v>
      </c>
      <c r="K1937">
        <v>5</v>
      </c>
    </row>
    <row r="1938" spans="1:11" x14ac:dyDescent="0.35">
      <c r="A1938" t="s">
        <v>1934</v>
      </c>
      <c r="B1938" t="s">
        <v>101</v>
      </c>
      <c r="C1938" t="s">
        <v>569</v>
      </c>
      <c r="D1938" t="s">
        <v>620</v>
      </c>
      <c r="E1938" s="1">
        <v>45622</v>
      </c>
      <c r="F1938" s="1">
        <v>45623</v>
      </c>
      <c r="G1938" s="1">
        <v>45637</v>
      </c>
      <c r="H1938" t="s">
        <v>20</v>
      </c>
      <c r="I1938">
        <v>59.06</v>
      </c>
      <c r="J1938" t="s">
        <v>687</v>
      </c>
      <c r="K1938">
        <v>14</v>
      </c>
    </row>
    <row r="1939" spans="1:11" x14ac:dyDescent="0.35">
      <c r="A1939" t="s">
        <v>1601</v>
      </c>
      <c r="B1939" t="s">
        <v>56</v>
      </c>
      <c r="C1939" t="s">
        <v>573</v>
      </c>
      <c r="D1939" t="s">
        <v>620</v>
      </c>
      <c r="E1939" s="1">
        <v>45400</v>
      </c>
      <c r="F1939" s="1">
        <v>45402</v>
      </c>
      <c r="G1939" s="1">
        <v>45420</v>
      </c>
      <c r="H1939" t="s">
        <v>11</v>
      </c>
      <c r="I1939">
        <v>58.62</v>
      </c>
      <c r="J1939" t="s">
        <v>687</v>
      </c>
      <c r="K1939">
        <v>18</v>
      </c>
    </row>
    <row r="1940" spans="1:11" x14ac:dyDescent="0.35">
      <c r="A1940" t="s">
        <v>1816</v>
      </c>
      <c r="B1940" t="s">
        <v>474</v>
      </c>
      <c r="C1940" t="s">
        <v>531</v>
      </c>
      <c r="D1940" t="s">
        <v>620</v>
      </c>
      <c r="E1940" s="1">
        <v>45549</v>
      </c>
      <c r="F1940" s="1">
        <v>45552</v>
      </c>
      <c r="G1940" s="1">
        <v>45558</v>
      </c>
      <c r="H1940" t="s">
        <v>25</v>
      </c>
      <c r="I1940">
        <v>58.18</v>
      </c>
      <c r="J1940" t="s">
        <v>683</v>
      </c>
      <c r="K1940">
        <v>6</v>
      </c>
    </row>
    <row r="1941" spans="1:11" x14ac:dyDescent="0.35">
      <c r="A1941" t="s">
        <v>1157</v>
      </c>
      <c r="B1941" t="s">
        <v>469</v>
      </c>
      <c r="C1941" t="s">
        <v>546</v>
      </c>
      <c r="D1941" t="s">
        <v>620</v>
      </c>
      <c r="E1941" s="1">
        <v>45127</v>
      </c>
      <c r="F1941" s="1">
        <v>45128</v>
      </c>
      <c r="G1941" s="1">
        <v>45132</v>
      </c>
      <c r="H1941" t="s">
        <v>8</v>
      </c>
      <c r="I1941">
        <v>58.08</v>
      </c>
      <c r="J1941" t="s">
        <v>683</v>
      </c>
      <c r="K1941">
        <v>4</v>
      </c>
    </row>
    <row r="1942" spans="1:11" x14ac:dyDescent="0.35">
      <c r="A1942" t="s">
        <v>1058</v>
      </c>
      <c r="B1942" t="s">
        <v>272</v>
      </c>
      <c r="C1942" t="s">
        <v>575</v>
      </c>
      <c r="D1942" t="s">
        <v>620</v>
      </c>
      <c r="E1942" s="1">
        <v>45442</v>
      </c>
      <c r="F1942" s="1">
        <v>45446</v>
      </c>
      <c r="G1942" s="1">
        <v>45462</v>
      </c>
      <c r="H1942" t="s">
        <v>11</v>
      </c>
      <c r="I1942">
        <v>57.79</v>
      </c>
      <c r="J1942" t="s">
        <v>683</v>
      </c>
      <c r="K1942">
        <v>16</v>
      </c>
    </row>
    <row r="1943" spans="1:11" x14ac:dyDescent="0.35">
      <c r="A1943" t="s">
        <v>2678</v>
      </c>
      <c r="B1943" t="s">
        <v>251</v>
      </c>
      <c r="C1943" t="s">
        <v>563</v>
      </c>
      <c r="D1943" t="s">
        <v>620</v>
      </c>
      <c r="E1943" s="1">
        <v>45132</v>
      </c>
      <c r="F1943" s="1">
        <v>45136</v>
      </c>
      <c r="G1943" s="1">
        <v>45153</v>
      </c>
      <c r="H1943" t="s">
        <v>13</v>
      </c>
      <c r="I1943">
        <v>57.02</v>
      </c>
      <c r="J1943" t="s">
        <v>683</v>
      </c>
      <c r="K1943">
        <v>17</v>
      </c>
    </row>
    <row r="1944" spans="1:11" x14ac:dyDescent="0.35">
      <c r="A1944" t="s">
        <v>2260</v>
      </c>
      <c r="B1944" t="s">
        <v>348</v>
      </c>
      <c r="C1944" t="s">
        <v>573</v>
      </c>
      <c r="D1944" t="s">
        <v>620</v>
      </c>
      <c r="E1944" s="1">
        <v>44976</v>
      </c>
      <c r="F1944" s="1">
        <v>44981</v>
      </c>
      <c r="G1944" s="1">
        <v>44994</v>
      </c>
      <c r="H1944" t="s">
        <v>8</v>
      </c>
      <c r="I1944">
        <v>56.69</v>
      </c>
      <c r="J1944" t="s">
        <v>683</v>
      </c>
      <c r="K1944">
        <v>13</v>
      </c>
    </row>
    <row r="1945" spans="1:11" x14ac:dyDescent="0.35">
      <c r="A1945" t="s">
        <v>1096</v>
      </c>
      <c r="B1945" t="s">
        <v>306</v>
      </c>
      <c r="C1945" t="s">
        <v>537</v>
      </c>
      <c r="D1945" t="s">
        <v>620</v>
      </c>
      <c r="E1945" s="1">
        <v>45080</v>
      </c>
      <c r="F1945" s="1">
        <v>45082</v>
      </c>
      <c r="G1945" s="1">
        <v>45092</v>
      </c>
      <c r="H1945" t="s">
        <v>25</v>
      </c>
      <c r="I1945">
        <v>56.39</v>
      </c>
      <c r="J1945" t="s">
        <v>683</v>
      </c>
      <c r="K1945">
        <v>10</v>
      </c>
    </row>
    <row r="1946" spans="1:11" x14ac:dyDescent="0.35">
      <c r="A1946" t="s">
        <v>2449</v>
      </c>
      <c r="B1946" t="s">
        <v>283</v>
      </c>
      <c r="C1946" t="s">
        <v>597</v>
      </c>
      <c r="D1946" t="s">
        <v>620</v>
      </c>
      <c r="E1946" s="1">
        <v>45494</v>
      </c>
      <c r="F1946" s="1">
        <v>45496</v>
      </c>
      <c r="G1946" s="1">
        <v>45512</v>
      </c>
      <c r="H1946" t="s">
        <v>25</v>
      </c>
      <c r="I1946">
        <v>56.27</v>
      </c>
      <c r="J1946" t="s">
        <v>683</v>
      </c>
      <c r="K1946">
        <v>16</v>
      </c>
    </row>
    <row r="1947" spans="1:11" x14ac:dyDescent="0.35">
      <c r="A1947" t="s">
        <v>1592</v>
      </c>
      <c r="B1947" t="s">
        <v>34</v>
      </c>
      <c r="C1947" t="s">
        <v>549</v>
      </c>
      <c r="D1947" t="s">
        <v>620</v>
      </c>
      <c r="E1947" s="1">
        <v>45583</v>
      </c>
      <c r="F1947" s="1">
        <v>45586</v>
      </c>
      <c r="G1947" s="1">
        <v>45613</v>
      </c>
      <c r="H1947" t="s">
        <v>11</v>
      </c>
      <c r="I1947">
        <v>56.01</v>
      </c>
      <c r="J1947" t="s">
        <v>683</v>
      </c>
      <c r="K1947">
        <v>27</v>
      </c>
    </row>
    <row r="1948" spans="1:11" x14ac:dyDescent="0.35">
      <c r="A1948" t="s">
        <v>1078</v>
      </c>
      <c r="B1948" t="s">
        <v>247</v>
      </c>
      <c r="C1948" t="s">
        <v>603</v>
      </c>
      <c r="D1948" t="s">
        <v>620</v>
      </c>
      <c r="E1948" s="1">
        <v>45333</v>
      </c>
      <c r="F1948" s="1">
        <v>45337</v>
      </c>
      <c r="G1948" s="1">
        <v>45346</v>
      </c>
      <c r="H1948" t="s">
        <v>8</v>
      </c>
      <c r="I1948">
        <v>55.93</v>
      </c>
      <c r="J1948" t="s">
        <v>683</v>
      </c>
      <c r="K1948">
        <v>9</v>
      </c>
    </row>
    <row r="1949" spans="1:11" x14ac:dyDescent="0.35">
      <c r="A1949" t="s">
        <v>754</v>
      </c>
      <c r="B1949" t="s">
        <v>285</v>
      </c>
      <c r="C1949" t="s">
        <v>540</v>
      </c>
      <c r="D1949" t="s">
        <v>620</v>
      </c>
      <c r="E1949" s="1">
        <v>45087</v>
      </c>
      <c r="F1949" s="1">
        <v>45092</v>
      </c>
      <c r="G1949" s="1">
        <v>45105</v>
      </c>
      <c r="H1949" t="s">
        <v>13</v>
      </c>
      <c r="I1949">
        <v>55.89</v>
      </c>
      <c r="J1949" t="s">
        <v>683</v>
      </c>
      <c r="K1949">
        <v>13</v>
      </c>
    </row>
    <row r="1950" spans="1:11" x14ac:dyDescent="0.35">
      <c r="A1950" t="s">
        <v>2154</v>
      </c>
      <c r="B1950" t="s">
        <v>215</v>
      </c>
      <c r="C1950" t="s">
        <v>537</v>
      </c>
      <c r="D1950" t="s">
        <v>620</v>
      </c>
      <c r="E1950" s="1">
        <v>45117</v>
      </c>
      <c r="F1950" s="1">
        <v>45121</v>
      </c>
      <c r="G1950" s="1">
        <v>45147</v>
      </c>
      <c r="H1950" t="s">
        <v>11</v>
      </c>
      <c r="I1950">
        <v>55.61</v>
      </c>
      <c r="J1950" t="s">
        <v>683</v>
      </c>
      <c r="K1950">
        <v>26</v>
      </c>
    </row>
    <row r="1951" spans="1:11" x14ac:dyDescent="0.35">
      <c r="A1951" t="s">
        <v>2028</v>
      </c>
      <c r="B1951" t="s">
        <v>477</v>
      </c>
      <c r="C1951" t="s">
        <v>579</v>
      </c>
      <c r="D1951" t="s">
        <v>620</v>
      </c>
      <c r="E1951" s="1">
        <v>45554</v>
      </c>
      <c r="F1951" s="1">
        <v>45558</v>
      </c>
      <c r="G1951" s="1">
        <v>45586</v>
      </c>
      <c r="H1951" t="s">
        <v>20</v>
      </c>
      <c r="I1951">
        <v>55.39</v>
      </c>
      <c r="J1951" t="s">
        <v>687</v>
      </c>
      <c r="K1951">
        <v>28</v>
      </c>
    </row>
    <row r="1952" spans="1:11" x14ac:dyDescent="0.35">
      <c r="A1952" t="s">
        <v>2329</v>
      </c>
      <c r="B1952" t="s">
        <v>303</v>
      </c>
      <c r="C1952" t="s">
        <v>540</v>
      </c>
      <c r="D1952" t="s">
        <v>620</v>
      </c>
      <c r="E1952" s="1">
        <v>45522</v>
      </c>
      <c r="F1952" s="1">
        <v>45523</v>
      </c>
      <c r="G1952" s="1"/>
      <c r="H1952" t="s">
        <v>8</v>
      </c>
      <c r="I1952">
        <v>55.05</v>
      </c>
      <c r="J1952" t="s">
        <v>689</v>
      </c>
    </row>
    <row r="1953" spans="1:11" x14ac:dyDescent="0.35">
      <c r="A1953" t="s">
        <v>917</v>
      </c>
      <c r="B1953" t="s">
        <v>355</v>
      </c>
      <c r="C1953" t="s">
        <v>569</v>
      </c>
      <c r="D1953" t="s">
        <v>620</v>
      </c>
      <c r="E1953" s="1">
        <v>45139</v>
      </c>
      <c r="F1953" s="1">
        <v>45141</v>
      </c>
      <c r="G1953" s="1">
        <v>45164</v>
      </c>
      <c r="H1953" t="s">
        <v>11</v>
      </c>
      <c r="I1953">
        <v>54.75</v>
      </c>
      <c r="J1953" t="s">
        <v>687</v>
      </c>
      <c r="K1953">
        <v>23</v>
      </c>
    </row>
    <row r="1954" spans="1:11" x14ac:dyDescent="0.35">
      <c r="A1954" t="s">
        <v>2379</v>
      </c>
      <c r="B1954" t="s">
        <v>74</v>
      </c>
      <c r="C1954" t="s">
        <v>599</v>
      </c>
      <c r="D1954" t="s">
        <v>620</v>
      </c>
      <c r="E1954" s="1">
        <v>45296</v>
      </c>
      <c r="F1954" s="1">
        <v>45299</v>
      </c>
      <c r="G1954" s="1"/>
      <c r="H1954" t="s">
        <v>8</v>
      </c>
      <c r="I1954">
        <v>54.69</v>
      </c>
      <c r="J1954" t="s">
        <v>689</v>
      </c>
    </row>
    <row r="1955" spans="1:11" x14ac:dyDescent="0.35">
      <c r="A1955" t="s">
        <v>886</v>
      </c>
      <c r="B1955" t="s">
        <v>475</v>
      </c>
      <c r="C1955" t="s">
        <v>537</v>
      </c>
      <c r="D1955" t="s">
        <v>620</v>
      </c>
      <c r="E1955" s="1">
        <v>45443</v>
      </c>
      <c r="F1955" s="1">
        <v>45446</v>
      </c>
      <c r="G1955" s="1">
        <v>45473</v>
      </c>
      <c r="H1955" t="s">
        <v>20</v>
      </c>
      <c r="I1955">
        <v>54.51</v>
      </c>
      <c r="J1955" t="s">
        <v>683</v>
      </c>
      <c r="K1955">
        <v>27</v>
      </c>
    </row>
    <row r="1956" spans="1:11" x14ac:dyDescent="0.35">
      <c r="A1956" t="s">
        <v>1346</v>
      </c>
      <c r="B1956" t="s">
        <v>417</v>
      </c>
      <c r="C1956" t="s">
        <v>563</v>
      </c>
      <c r="D1956" t="s">
        <v>620</v>
      </c>
      <c r="E1956" s="1">
        <v>45098</v>
      </c>
      <c r="F1956" s="1">
        <v>45101</v>
      </c>
      <c r="G1956" s="1">
        <v>45128</v>
      </c>
      <c r="H1956" t="s">
        <v>25</v>
      </c>
      <c r="I1956">
        <v>54.51</v>
      </c>
      <c r="J1956" t="s">
        <v>683</v>
      </c>
      <c r="K1956">
        <v>27</v>
      </c>
    </row>
    <row r="1957" spans="1:11" x14ac:dyDescent="0.35">
      <c r="A1957" t="s">
        <v>2067</v>
      </c>
      <c r="B1957" t="s">
        <v>247</v>
      </c>
      <c r="C1957" t="s">
        <v>557</v>
      </c>
      <c r="D1957" t="s">
        <v>620</v>
      </c>
      <c r="E1957" s="1">
        <v>45541</v>
      </c>
      <c r="F1957" s="1">
        <v>45546</v>
      </c>
      <c r="G1957" s="1">
        <v>45563</v>
      </c>
      <c r="H1957" t="s">
        <v>8</v>
      </c>
      <c r="I1957">
        <v>54.27</v>
      </c>
      <c r="J1957" t="s">
        <v>683</v>
      </c>
      <c r="K1957">
        <v>17</v>
      </c>
    </row>
    <row r="1958" spans="1:11" x14ac:dyDescent="0.35">
      <c r="A1958" t="s">
        <v>1700</v>
      </c>
      <c r="B1958" t="s">
        <v>255</v>
      </c>
      <c r="C1958" t="s">
        <v>587</v>
      </c>
      <c r="D1958" t="s">
        <v>620</v>
      </c>
      <c r="E1958" s="1">
        <v>44949</v>
      </c>
      <c r="F1958" s="1">
        <v>44954</v>
      </c>
      <c r="G1958" s="1">
        <v>44973</v>
      </c>
      <c r="H1958" t="s">
        <v>20</v>
      </c>
      <c r="I1958">
        <v>54.19</v>
      </c>
      <c r="J1958" t="s">
        <v>683</v>
      </c>
      <c r="K1958">
        <v>19</v>
      </c>
    </row>
    <row r="1959" spans="1:11" x14ac:dyDescent="0.35">
      <c r="A1959" t="s">
        <v>1059</v>
      </c>
      <c r="B1959" t="s">
        <v>89</v>
      </c>
      <c r="C1959" t="s">
        <v>540</v>
      </c>
      <c r="D1959" t="s">
        <v>620</v>
      </c>
      <c r="E1959" s="1">
        <v>45368</v>
      </c>
      <c r="F1959" s="1">
        <v>45372</v>
      </c>
      <c r="G1959" s="1">
        <v>45394</v>
      </c>
      <c r="H1959" t="s">
        <v>11</v>
      </c>
      <c r="I1959">
        <v>54.13</v>
      </c>
      <c r="J1959" t="s">
        <v>683</v>
      </c>
      <c r="K1959">
        <v>22</v>
      </c>
    </row>
    <row r="1960" spans="1:11" x14ac:dyDescent="0.35">
      <c r="A1960" t="s">
        <v>2603</v>
      </c>
      <c r="B1960" t="s">
        <v>48</v>
      </c>
      <c r="C1960" t="s">
        <v>557</v>
      </c>
      <c r="D1960" t="s">
        <v>620</v>
      </c>
      <c r="E1960" s="1">
        <v>45171</v>
      </c>
      <c r="F1960" s="1">
        <v>45176</v>
      </c>
      <c r="G1960" s="1">
        <v>45194</v>
      </c>
      <c r="H1960" t="s">
        <v>20</v>
      </c>
      <c r="I1960">
        <v>54.11</v>
      </c>
      <c r="J1960" t="s">
        <v>683</v>
      </c>
      <c r="K1960">
        <v>18</v>
      </c>
    </row>
    <row r="1961" spans="1:11" x14ac:dyDescent="0.35">
      <c r="A1961" t="s">
        <v>1250</v>
      </c>
      <c r="B1961" t="s">
        <v>176</v>
      </c>
      <c r="C1961" t="s">
        <v>573</v>
      </c>
      <c r="D1961" t="s">
        <v>620</v>
      </c>
      <c r="E1961" s="1">
        <v>45053</v>
      </c>
      <c r="F1961" s="1">
        <v>45055</v>
      </c>
      <c r="G1961" s="1">
        <v>45059</v>
      </c>
      <c r="H1961" t="s">
        <v>20</v>
      </c>
      <c r="I1961">
        <v>54.07</v>
      </c>
      <c r="J1961" t="s">
        <v>683</v>
      </c>
      <c r="K1961">
        <v>4</v>
      </c>
    </row>
    <row r="1962" spans="1:11" x14ac:dyDescent="0.35">
      <c r="A1962" t="s">
        <v>2466</v>
      </c>
      <c r="B1962" t="s">
        <v>81</v>
      </c>
      <c r="C1962" t="s">
        <v>565</v>
      </c>
      <c r="D1962" t="s">
        <v>620</v>
      </c>
      <c r="E1962" s="1">
        <v>45588</v>
      </c>
      <c r="F1962" s="1">
        <v>45592</v>
      </c>
      <c r="G1962" s="1">
        <v>45607</v>
      </c>
      <c r="H1962" t="s">
        <v>20</v>
      </c>
      <c r="I1962">
        <v>54.01</v>
      </c>
      <c r="J1962" t="s">
        <v>683</v>
      </c>
      <c r="K1962">
        <v>15</v>
      </c>
    </row>
    <row r="1963" spans="1:11" x14ac:dyDescent="0.35">
      <c r="A1963" t="s">
        <v>931</v>
      </c>
      <c r="B1963" t="s">
        <v>64</v>
      </c>
      <c r="C1963" t="s">
        <v>549</v>
      </c>
      <c r="D1963" t="s">
        <v>620</v>
      </c>
      <c r="E1963" s="1">
        <v>45480</v>
      </c>
      <c r="F1963" s="1">
        <v>45483</v>
      </c>
      <c r="G1963" s="1">
        <v>45497</v>
      </c>
      <c r="H1963" t="s">
        <v>8</v>
      </c>
      <c r="I1963">
        <v>53.39</v>
      </c>
      <c r="J1963" t="s">
        <v>683</v>
      </c>
      <c r="K1963">
        <v>14</v>
      </c>
    </row>
    <row r="1964" spans="1:11" x14ac:dyDescent="0.35">
      <c r="A1964" t="s">
        <v>1487</v>
      </c>
      <c r="B1964" t="s">
        <v>320</v>
      </c>
      <c r="C1964" t="s">
        <v>611</v>
      </c>
      <c r="D1964" t="s">
        <v>620</v>
      </c>
      <c r="E1964" s="1">
        <v>45455</v>
      </c>
      <c r="F1964" s="1">
        <v>45460</v>
      </c>
      <c r="G1964" s="1">
        <v>45469</v>
      </c>
      <c r="H1964" t="s">
        <v>11</v>
      </c>
      <c r="I1964">
        <v>53.28</v>
      </c>
      <c r="J1964" t="s">
        <v>683</v>
      </c>
      <c r="K1964">
        <v>9</v>
      </c>
    </row>
    <row r="1965" spans="1:11" x14ac:dyDescent="0.35">
      <c r="A1965" t="s">
        <v>1819</v>
      </c>
      <c r="B1965" t="s">
        <v>386</v>
      </c>
      <c r="C1965" t="s">
        <v>591</v>
      </c>
      <c r="D1965" t="s">
        <v>620</v>
      </c>
      <c r="E1965" s="1">
        <v>45086</v>
      </c>
      <c r="F1965" s="1">
        <v>45091</v>
      </c>
      <c r="G1965" s="1">
        <v>45094</v>
      </c>
      <c r="H1965" t="s">
        <v>13</v>
      </c>
      <c r="I1965">
        <v>53.19</v>
      </c>
      <c r="J1965" t="s">
        <v>683</v>
      </c>
      <c r="K1965">
        <v>3</v>
      </c>
    </row>
    <row r="1966" spans="1:11" x14ac:dyDescent="0.35">
      <c r="A1966" t="s">
        <v>2592</v>
      </c>
      <c r="B1966" t="s">
        <v>307</v>
      </c>
      <c r="C1966" t="s">
        <v>583</v>
      </c>
      <c r="D1966" t="s">
        <v>620</v>
      </c>
      <c r="E1966" s="1">
        <v>45256</v>
      </c>
      <c r="F1966" s="1">
        <v>45260</v>
      </c>
      <c r="G1966" s="1">
        <v>45276</v>
      </c>
      <c r="H1966" t="s">
        <v>8</v>
      </c>
      <c r="I1966">
        <v>53.19</v>
      </c>
      <c r="J1966" t="s">
        <v>683</v>
      </c>
      <c r="K1966">
        <v>16</v>
      </c>
    </row>
    <row r="1967" spans="1:11" x14ac:dyDescent="0.35">
      <c r="A1967" t="s">
        <v>2277</v>
      </c>
      <c r="B1967" t="s">
        <v>180</v>
      </c>
      <c r="C1967" t="s">
        <v>585</v>
      </c>
      <c r="D1967" t="s">
        <v>620</v>
      </c>
      <c r="E1967" s="1">
        <v>45141</v>
      </c>
      <c r="F1967" s="1">
        <v>45145</v>
      </c>
      <c r="G1967" s="1">
        <v>45175</v>
      </c>
      <c r="H1967" t="s">
        <v>11</v>
      </c>
      <c r="I1967">
        <v>52.26</v>
      </c>
      <c r="J1967" t="s">
        <v>683</v>
      </c>
      <c r="K1967">
        <v>30</v>
      </c>
    </row>
    <row r="1968" spans="1:11" x14ac:dyDescent="0.35">
      <c r="A1968" t="s">
        <v>2024</v>
      </c>
      <c r="B1968" t="s">
        <v>447</v>
      </c>
      <c r="C1968" t="s">
        <v>571</v>
      </c>
      <c r="D1968" t="s">
        <v>620</v>
      </c>
      <c r="E1968" s="1">
        <v>45040</v>
      </c>
      <c r="F1968" s="1">
        <v>45043</v>
      </c>
      <c r="G1968" s="1">
        <v>45047</v>
      </c>
      <c r="H1968" t="s">
        <v>11</v>
      </c>
      <c r="I1968">
        <v>52.23</v>
      </c>
      <c r="J1968" t="s">
        <v>683</v>
      </c>
      <c r="K1968">
        <v>4</v>
      </c>
    </row>
    <row r="1969" spans="1:11" x14ac:dyDescent="0.35">
      <c r="A1969" t="s">
        <v>2197</v>
      </c>
      <c r="B1969" t="s">
        <v>319</v>
      </c>
      <c r="C1969" t="s">
        <v>585</v>
      </c>
      <c r="D1969" t="s">
        <v>620</v>
      </c>
      <c r="E1969" s="1">
        <v>45378</v>
      </c>
      <c r="F1969" s="1">
        <v>45380</v>
      </c>
      <c r="G1969" s="1">
        <v>45399</v>
      </c>
      <c r="H1969" t="s">
        <v>8</v>
      </c>
      <c r="I1969">
        <v>52.07</v>
      </c>
      <c r="J1969" t="s">
        <v>683</v>
      </c>
      <c r="K1969">
        <v>19</v>
      </c>
    </row>
    <row r="1970" spans="1:11" x14ac:dyDescent="0.35">
      <c r="A1970" t="s">
        <v>1233</v>
      </c>
      <c r="B1970" t="s">
        <v>381</v>
      </c>
      <c r="C1970" t="s">
        <v>599</v>
      </c>
      <c r="D1970" t="s">
        <v>620</v>
      </c>
      <c r="E1970" s="1">
        <v>45544</v>
      </c>
      <c r="F1970" s="1">
        <v>45548</v>
      </c>
      <c r="G1970" s="1">
        <v>45551</v>
      </c>
      <c r="H1970" t="s">
        <v>11</v>
      </c>
      <c r="I1970">
        <v>51.85</v>
      </c>
      <c r="J1970" t="s">
        <v>687</v>
      </c>
      <c r="K1970">
        <v>3</v>
      </c>
    </row>
    <row r="1971" spans="1:11" x14ac:dyDescent="0.35">
      <c r="A1971" t="s">
        <v>1628</v>
      </c>
      <c r="B1971" t="s">
        <v>376</v>
      </c>
      <c r="C1971" t="s">
        <v>605</v>
      </c>
      <c r="D1971" t="s">
        <v>620</v>
      </c>
      <c r="E1971" s="1">
        <v>45109</v>
      </c>
      <c r="F1971" s="1">
        <v>45113</v>
      </c>
      <c r="G1971" s="1">
        <v>45128</v>
      </c>
      <c r="H1971" t="s">
        <v>8</v>
      </c>
      <c r="I1971">
        <v>51.74</v>
      </c>
      <c r="J1971" t="s">
        <v>683</v>
      </c>
      <c r="K1971">
        <v>15</v>
      </c>
    </row>
    <row r="1972" spans="1:11" x14ac:dyDescent="0.35">
      <c r="A1972" t="s">
        <v>1665</v>
      </c>
      <c r="B1972" t="s">
        <v>56</v>
      </c>
      <c r="C1972" t="s">
        <v>589</v>
      </c>
      <c r="D1972" t="s">
        <v>620</v>
      </c>
      <c r="E1972" s="1">
        <v>45022</v>
      </c>
      <c r="F1972" s="1">
        <v>45025</v>
      </c>
      <c r="G1972" s="1">
        <v>45040</v>
      </c>
      <c r="H1972" t="s">
        <v>11</v>
      </c>
      <c r="I1972">
        <v>51.61</v>
      </c>
      <c r="J1972" t="s">
        <v>683</v>
      </c>
      <c r="K1972">
        <v>15</v>
      </c>
    </row>
    <row r="1973" spans="1:11" x14ac:dyDescent="0.35">
      <c r="A1973" t="s">
        <v>995</v>
      </c>
      <c r="B1973" t="s">
        <v>158</v>
      </c>
      <c r="C1973" t="s">
        <v>537</v>
      </c>
      <c r="D1973" t="s">
        <v>620</v>
      </c>
      <c r="E1973" s="1">
        <v>45057</v>
      </c>
      <c r="F1973" s="1">
        <v>45062</v>
      </c>
      <c r="G1973" s="1">
        <v>45084</v>
      </c>
      <c r="H1973" t="s">
        <v>11</v>
      </c>
      <c r="I1973">
        <v>51.21</v>
      </c>
      <c r="J1973" t="s">
        <v>683</v>
      </c>
      <c r="K1973">
        <v>22</v>
      </c>
    </row>
    <row r="1974" spans="1:11" x14ac:dyDescent="0.35">
      <c r="A1974" t="s">
        <v>1501</v>
      </c>
      <c r="B1974" t="s">
        <v>383</v>
      </c>
      <c r="C1974" t="s">
        <v>611</v>
      </c>
      <c r="D1974" t="s">
        <v>620</v>
      </c>
      <c r="E1974" s="1">
        <v>45641</v>
      </c>
      <c r="F1974" s="1">
        <v>45642</v>
      </c>
      <c r="G1974" s="1">
        <v>45655</v>
      </c>
      <c r="H1974" t="s">
        <v>8</v>
      </c>
      <c r="I1974">
        <v>51.19</v>
      </c>
      <c r="J1974" t="s">
        <v>683</v>
      </c>
      <c r="K1974">
        <v>13</v>
      </c>
    </row>
    <row r="1975" spans="1:11" x14ac:dyDescent="0.35">
      <c r="A1975" t="s">
        <v>758</v>
      </c>
      <c r="B1975" t="s">
        <v>21</v>
      </c>
      <c r="C1975" t="s">
        <v>579</v>
      </c>
      <c r="D1975" t="s">
        <v>620</v>
      </c>
      <c r="E1975" s="1">
        <v>45586</v>
      </c>
      <c r="F1975" s="1">
        <v>45588</v>
      </c>
      <c r="G1975" s="1"/>
      <c r="H1975" t="s">
        <v>11</v>
      </c>
      <c r="I1975">
        <v>49.96</v>
      </c>
      <c r="J1975" t="s">
        <v>689</v>
      </c>
    </row>
    <row r="1976" spans="1:11" x14ac:dyDescent="0.35">
      <c r="A1976" t="s">
        <v>1827</v>
      </c>
      <c r="B1976" t="s">
        <v>398</v>
      </c>
      <c r="C1976" t="s">
        <v>593</v>
      </c>
      <c r="D1976" t="s">
        <v>620</v>
      </c>
      <c r="E1976" s="1">
        <v>44985</v>
      </c>
      <c r="F1976" s="1">
        <v>44986</v>
      </c>
      <c r="G1976" s="1">
        <v>45015</v>
      </c>
      <c r="H1976" t="s">
        <v>25</v>
      </c>
      <c r="I1976">
        <v>49.93</v>
      </c>
      <c r="J1976" t="s">
        <v>687</v>
      </c>
      <c r="K1976">
        <v>29</v>
      </c>
    </row>
    <row r="1977" spans="1:11" x14ac:dyDescent="0.35">
      <c r="A1977" t="s">
        <v>2163</v>
      </c>
      <c r="B1977" t="s">
        <v>312</v>
      </c>
      <c r="C1977" t="s">
        <v>561</v>
      </c>
      <c r="D1977" t="s">
        <v>620</v>
      </c>
      <c r="E1977" s="1">
        <v>45349</v>
      </c>
      <c r="F1977" s="1">
        <v>45353</v>
      </c>
      <c r="G1977" s="1">
        <v>45356</v>
      </c>
      <c r="H1977" t="s">
        <v>11</v>
      </c>
      <c r="I1977">
        <v>49.62</v>
      </c>
      <c r="J1977" t="s">
        <v>687</v>
      </c>
      <c r="K1977">
        <v>3</v>
      </c>
    </row>
    <row r="1978" spans="1:11" x14ac:dyDescent="0.35">
      <c r="A1978" t="s">
        <v>791</v>
      </c>
      <c r="B1978" t="s">
        <v>182</v>
      </c>
      <c r="C1978" t="s">
        <v>527</v>
      </c>
      <c r="D1978" t="s">
        <v>620</v>
      </c>
      <c r="E1978" s="1">
        <v>45528</v>
      </c>
      <c r="F1978" s="1">
        <v>45529</v>
      </c>
      <c r="G1978" s="1">
        <v>45548</v>
      </c>
      <c r="H1978" t="s">
        <v>11</v>
      </c>
      <c r="I1978">
        <v>49.3</v>
      </c>
      <c r="J1978" t="s">
        <v>683</v>
      </c>
      <c r="K1978">
        <v>19</v>
      </c>
    </row>
    <row r="1979" spans="1:11" x14ac:dyDescent="0.35">
      <c r="A1979" t="s">
        <v>1588</v>
      </c>
      <c r="B1979" t="s">
        <v>319</v>
      </c>
      <c r="C1979" t="s">
        <v>583</v>
      </c>
      <c r="D1979" t="s">
        <v>620</v>
      </c>
      <c r="E1979" s="1">
        <v>45049</v>
      </c>
      <c r="F1979" s="1">
        <v>45054</v>
      </c>
      <c r="G1979" s="1">
        <v>45077</v>
      </c>
      <c r="H1979" t="s">
        <v>8</v>
      </c>
      <c r="I1979">
        <v>49.24</v>
      </c>
      <c r="J1979" t="s">
        <v>683</v>
      </c>
      <c r="K1979">
        <v>23</v>
      </c>
    </row>
    <row r="1980" spans="1:11" x14ac:dyDescent="0.35">
      <c r="A1980" t="s">
        <v>1118</v>
      </c>
      <c r="B1980" t="s">
        <v>411</v>
      </c>
      <c r="C1980" t="s">
        <v>540</v>
      </c>
      <c r="D1980" t="s">
        <v>620</v>
      </c>
      <c r="E1980" s="1">
        <v>45602</v>
      </c>
      <c r="F1980" s="1">
        <v>45605</v>
      </c>
      <c r="G1980" s="1">
        <v>45626</v>
      </c>
      <c r="H1980" t="s">
        <v>8</v>
      </c>
      <c r="I1980">
        <v>48.5</v>
      </c>
      <c r="J1980" t="s">
        <v>683</v>
      </c>
      <c r="K1980">
        <v>21</v>
      </c>
    </row>
    <row r="1981" spans="1:11" x14ac:dyDescent="0.35">
      <c r="A1981" t="s">
        <v>732</v>
      </c>
      <c r="B1981" t="s">
        <v>236</v>
      </c>
      <c r="C1981" t="s">
        <v>555</v>
      </c>
      <c r="D1981" t="s">
        <v>620</v>
      </c>
      <c r="E1981" s="1">
        <v>45332</v>
      </c>
      <c r="F1981" s="1">
        <v>45333</v>
      </c>
      <c r="G1981" s="1">
        <v>45341</v>
      </c>
      <c r="H1981" t="s">
        <v>11</v>
      </c>
      <c r="I1981">
        <v>48.33</v>
      </c>
      <c r="J1981" t="s">
        <v>683</v>
      </c>
      <c r="K1981">
        <v>8</v>
      </c>
    </row>
    <row r="1982" spans="1:11" x14ac:dyDescent="0.35">
      <c r="A1982" t="s">
        <v>1981</v>
      </c>
      <c r="B1982" t="s">
        <v>383</v>
      </c>
      <c r="C1982" t="s">
        <v>571</v>
      </c>
      <c r="D1982" t="s">
        <v>620</v>
      </c>
      <c r="E1982" s="1">
        <v>45181</v>
      </c>
      <c r="F1982" s="1">
        <v>45183</v>
      </c>
      <c r="G1982" s="1">
        <v>45206</v>
      </c>
      <c r="H1982" t="s">
        <v>8</v>
      </c>
      <c r="I1982">
        <v>48.25</v>
      </c>
      <c r="J1982" t="s">
        <v>683</v>
      </c>
      <c r="K1982">
        <v>23</v>
      </c>
    </row>
    <row r="1983" spans="1:11" x14ac:dyDescent="0.35">
      <c r="A1983" t="s">
        <v>2153</v>
      </c>
      <c r="B1983" t="s">
        <v>122</v>
      </c>
      <c r="C1983" t="s">
        <v>553</v>
      </c>
      <c r="D1983" t="s">
        <v>620</v>
      </c>
      <c r="E1983" s="1">
        <v>45028</v>
      </c>
      <c r="F1983" s="1">
        <v>45030</v>
      </c>
      <c r="G1983" s="1">
        <v>45052</v>
      </c>
      <c r="H1983" t="s">
        <v>13</v>
      </c>
      <c r="I1983">
        <v>48.08</v>
      </c>
      <c r="J1983" t="s">
        <v>683</v>
      </c>
      <c r="K1983">
        <v>22</v>
      </c>
    </row>
    <row r="1984" spans="1:11" x14ac:dyDescent="0.35">
      <c r="A1984" t="s">
        <v>2638</v>
      </c>
      <c r="B1984" t="s">
        <v>271</v>
      </c>
      <c r="C1984" t="s">
        <v>575</v>
      </c>
      <c r="D1984" t="s">
        <v>620</v>
      </c>
      <c r="E1984" s="1">
        <v>45351</v>
      </c>
      <c r="F1984" s="1">
        <v>45356</v>
      </c>
      <c r="G1984" s="1">
        <v>45362</v>
      </c>
      <c r="H1984" t="s">
        <v>8</v>
      </c>
      <c r="I1984">
        <v>48.01</v>
      </c>
      <c r="J1984" t="s">
        <v>683</v>
      </c>
      <c r="K1984">
        <v>6</v>
      </c>
    </row>
    <row r="1985" spans="1:11" x14ac:dyDescent="0.35">
      <c r="A1985" t="s">
        <v>2467</v>
      </c>
      <c r="B1985" t="s">
        <v>371</v>
      </c>
      <c r="C1985" t="s">
        <v>595</v>
      </c>
      <c r="D1985" t="s">
        <v>620</v>
      </c>
      <c r="E1985" s="1">
        <v>45438</v>
      </c>
      <c r="F1985" s="1">
        <v>45441</v>
      </c>
      <c r="G1985" s="1">
        <v>45444</v>
      </c>
      <c r="H1985" t="s">
        <v>25</v>
      </c>
      <c r="I1985">
        <v>47.89</v>
      </c>
      <c r="J1985" t="s">
        <v>687</v>
      </c>
      <c r="K1985">
        <v>3</v>
      </c>
    </row>
    <row r="1986" spans="1:11" x14ac:dyDescent="0.35">
      <c r="A1986" t="s">
        <v>1446</v>
      </c>
      <c r="B1986" t="s">
        <v>172</v>
      </c>
      <c r="C1986" t="s">
        <v>563</v>
      </c>
      <c r="D1986" t="s">
        <v>620</v>
      </c>
      <c r="E1986" s="1">
        <v>45425</v>
      </c>
      <c r="F1986" s="1">
        <v>45429</v>
      </c>
      <c r="G1986" s="1">
        <v>45450</v>
      </c>
      <c r="H1986" t="s">
        <v>13</v>
      </c>
      <c r="I1986">
        <v>47.69</v>
      </c>
      <c r="J1986" t="s">
        <v>683</v>
      </c>
      <c r="K1986">
        <v>21</v>
      </c>
    </row>
    <row r="1987" spans="1:11" x14ac:dyDescent="0.35">
      <c r="A1987" t="s">
        <v>1791</v>
      </c>
      <c r="B1987" t="s">
        <v>253</v>
      </c>
      <c r="C1987" t="s">
        <v>579</v>
      </c>
      <c r="D1987" t="s">
        <v>620</v>
      </c>
      <c r="E1987" s="1">
        <v>45530</v>
      </c>
      <c r="F1987" s="1">
        <v>45532</v>
      </c>
      <c r="G1987" s="1">
        <v>45549</v>
      </c>
      <c r="H1987" t="s">
        <v>8</v>
      </c>
      <c r="I1987">
        <v>47.29</v>
      </c>
      <c r="J1987" t="s">
        <v>683</v>
      </c>
      <c r="K1987">
        <v>17</v>
      </c>
    </row>
    <row r="1988" spans="1:11" x14ac:dyDescent="0.35">
      <c r="A1988" t="s">
        <v>771</v>
      </c>
      <c r="B1988" t="s">
        <v>411</v>
      </c>
      <c r="C1988" t="s">
        <v>577</v>
      </c>
      <c r="D1988" t="s">
        <v>620</v>
      </c>
      <c r="E1988" s="1">
        <v>45499</v>
      </c>
      <c r="F1988" s="1">
        <v>45504</v>
      </c>
      <c r="G1988" s="1">
        <v>45527</v>
      </c>
      <c r="H1988" t="s">
        <v>8</v>
      </c>
      <c r="I1988">
        <v>47.26</v>
      </c>
      <c r="J1988" t="s">
        <v>683</v>
      </c>
      <c r="K1988">
        <v>23</v>
      </c>
    </row>
    <row r="1989" spans="1:11" x14ac:dyDescent="0.35">
      <c r="A1989" t="s">
        <v>1521</v>
      </c>
      <c r="B1989" t="s">
        <v>376</v>
      </c>
      <c r="C1989" t="s">
        <v>537</v>
      </c>
      <c r="D1989" t="s">
        <v>620</v>
      </c>
      <c r="E1989" s="1">
        <v>44939</v>
      </c>
      <c r="F1989" s="1">
        <v>44942</v>
      </c>
      <c r="G1989" s="1"/>
      <c r="H1989" t="s">
        <v>8</v>
      </c>
      <c r="I1989">
        <v>47.23</v>
      </c>
      <c r="J1989" t="s">
        <v>689</v>
      </c>
    </row>
    <row r="1990" spans="1:11" x14ac:dyDescent="0.35">
      <c r="A1990" t="s">
        <v>1597</v>
      </c>
      <c r="B1990" t="s">
        <v>376</v>
      </c>
      <c r="C1990" t="s">
        <v>549</v>
      </c>
      <c r="D1990" t="s">
        <v>620</v>
      </c>
      <c r="E1990" s="1">
        <v>45284</v>
      </c>
      <c r="F1990" s="1">
        <v>45289</v>
      </c>
      <c r="G1990" s="1">
        <v>45313</v>
      </c>
      <c r="H1990" t="s">
        <v>8</v>
      </c>
      <c r="I1990">
        <v>47.22</v>
      </c>
      <c r="J1990" t="s">
        <v>683</v>
      </c>
      <c r="K1990">
        <v>24</v>
      </c>
    </row>
    <row r="1991" spans="1:11" x14ac:dyDescent="0.35">
      <c r="A1991" t="s">
        <v>1197</v>
      </c>
      <c r="B1991" t="s">
        <v>335</v>
      </c>
      <c r="C1991" t="s">
        <v>591</v>
      </c>
      <c r="D1991" t="s">
        <v>620</v>
      </c>
      <c r="E1991" s="1">
        <v>45287</v>
      </c>
      <c r="F1991" s="1">
        <v>45291</v>
      </c>
      <c r="G1991" s="1"/>
      <c r="H1991" t="s">
        <v>8</v>
      </c>
      <c r="I1991">
        <v>46.68</v>
      </c>
      <c r="J1991" t="s">
        <v>689</v>
      </c>
    </row>
    <row r="1992" spans="1:11" x14ac:dyDescent="0.35">
      <c r="A1992" t="s">
        <v>2118</v>
      </c>
      <c r="B1992" t="s">
        <v>154</v>
      </c>
      <c r="C1992" t="s">
        <v>534</v>
      </c>
      <c r="D1992" t="s">
        <v>620</v>
      </c>
      <c r="E1992" s="1">
        <v>45628</v>
      </c>
      <c r="F1992" s="1">
        <v>45631</v>
      </c>
      <c r="G1992" s="1">
        <v>45654</v>
      </c>
      <c r="H1992" t="s">
        <v>13</v>
      </c>
      <c r="I1992">
        <v>46.59</v>
      </c>
      <c r="J1992" t="s">
        <v>687</v>
      </c>
      <c r="K1992">
        <v>23</v>
      </c>
    </row>
    <row r="1993" spans="1:11" x14ac:dyDescent="0.35">
      <c r="A1993" t="s">
        <v>1210</v>
      </c>
      <c r="B1993" t="s">
        <v>224</v>
      </c>
      <c r="C1993" t="s">
        <v>573</v>
      </c>
      <c r="D1993" t="s">
        <v>620</v>
      </c>
      <c r="E1993" s="1">
        <v>45306</v>
      </c>
      <c r="F1993" s="1">
        <v>45307</v>
      </c>
      <c r="G1993" s="1">
        <v>45329</v>
      </c>
      <c r="H1993" t="s">
        <v>11</v>
      </c>
      <c r="I1993">
        <v>46.38</v>
      </c>
      <c r="J1993" t="s">
        <v>683</v>
      </c>
      <c r="K1993">
        <v>22</v>
      </c>
    </row>
    <row r="1994" spans="1:11" x14ac:dyDescent="0.35">
      <c r="A1994" t="s">
        <v>2046</v>
      </c>
      <c r="B1994" t="s">
        <v>162</v>
      </c>
      <c r="C1994" t="s">
        <v>593</v>
      </c>
      <c r="D1994" t="s">
        <v>620</v>
      </c>
      <c r="E1994" s="1">
        <v>45329</v>
      </c>
      <c r="F1994" s="1">
        <v>45331</v>
      </c>
      <c r="G1994" s="1">
        <v>45352</v>
      </c>
      <c r="H1994" t="s">
        <v>11</v>
      </c>
      <c r="I1994">
        <v>46.22</v>
      </c>
      <c r="J1994" t="s">
        <v>687</v>
      </c>
      <c r="K1994">
        <v>21</v>
      </c>
    </row>
    <row r="1995" spans="1:11" x14ac:dyDescent="0.35">
      <c r="A1995" t="s">
        <v>1886</v>
      </c>
      <c r="B1995" t="s">
        <v>332</v>
      </c>
      <c r="C1995" t="s">
        <v>549</v>
      </c>
      <c r="D1995" t="s">
        <v>620</v>
      </c>
      <c r="E1995" s="1">
        <v>45612</v>
      </c>
      <c r="F1995" s="1">
        <v>45614</v>
      </c>
      <c r="G1995" s="1"/>
      <c r="H1995" t="s">
        <v>20</v>
      </c>
      <c r="I1995">
        <v>45.84</v>
      </c>
      <c r="J1995" t="s">
        <v>689</v>
      </c>
    </row>
    <row r="1996" spans="1:11" x14ac:dyDescent="0.35">
      <c r="A1996" t="s">
        <v>1480</v>
      </c>
      <c r="B1996" t="s">
        <v>254</v>
      </c>
      <c r="C1996" t="s">
        <v>577</v>
      </c>
      <c r="D1996" t="s">
        <v>620</v>
      </c>
      <c r="E1996" s="1">
        <v>45402</v>
      </c>
      <c r="F1996" s="1">
        <v>45403</v>
      </c>
      <c r="G1996" s="1"/>
      <c r="H1996" t="s">
        <v>13</v>
      </c>
      <c r="I1996">
        <v>45.69</v>
      </c>
      <c r="J1996" t="s">
        <v>689</v>
      </c>
    </row>
    <row r="1997" spans="1:11" x14ac:dyDescent="0.35">
      <c r="A1997" t="s">
        <v>744</v>
      </c>
      <c r="B1997" t="s">
        <v>308</v>
      </c>
      <c r="C1997" t="s">
        <v>543</v>
      </c>
      <c r="D1997" t="s">
        <v>620</v>
      </c>
      <c r="E1997" s="1">
        <v>45109</v>
      </c>
      <c r="F1997" s="1">
        <v>45113</v>
      </c>
      <c r="G1997" s="1">
        <v>45136</v>
      </c>
      <c r="H1997" t="s">
        <v>25</v>
      </c>
      <c r="I1997">
        <v>45.41</v>
      </c>
      <c r="J1997" t="s">
        <v>683</v>
      </c>
      <c r="K1997">
        <v>23</v>
      </c>
    </row>
    <row r="1998" spans="1:11" x14ac:dyDescent="0.35">
      <c r="A1998" t="s">
        <v>983</v>
      </c>
      <c r="B1998" t="s">
        <v>276</v>
      </c>
      <c r="C1998" t="s">
        <v>583</v>
      </c>
      <c r="D1998" t="s">
        <v>620</v>
      </c>
      <c r="E1998" s="1">
        <v>45035</v>
      </c>
      <c r="F1998" s="1">
        <v>45039</v>
      </c>
      <c r="G1998" s="1">
        <v>45063</v>
      </c>
      <c r="H1998" t="s">
        <v>20</v>
      </c>
      <c r="I1998">
        <v>45.39</v>
      </c>
      <c r="J1998" t="s">
        <v>683</v>
      </c>
      <c r="K1998">
        <v>24</v>
      </c>
    </row>
    <row r="1999" spans="1:11" x14ac:dyDescent="0.35">
      <c r="A1999" t="s">
        <v>1894</v>
      </c>
      <c r="B1999" t="s">
        <v>249</v>
      </c>
      <c r="C1999" t="s">
        <v>563</v>
      </c>
      <c r="D1999" t="s">
        <v>620</v>
      </c>
      <c r="E1999" s="1">
        <v>45599</v>
      </c>
      <c r="F1999" s="1">
        <v>45603</v>
      </c>
      <c r="G1999" s="1">
        <v>45615</v>
      </c>
      <c r="H1999" t="s">
        <v>8</v>
      </c>
      <c r="I1999">
        <v>45.2</v>
      </c>
      <c r="J1999" t="s">
        <v>683</v>
      </c>
      <c r="K1999">
        <v>12</v>
      </c>
    </row>
    <row r="2000" spans="1:11" x14ac:dyDescent="0.35">
      <c r="A2000" t="s">
        <v>1951</v>
      </c>
      <c r="B2000" t="s">
        <v>257</v>
      </c>
      <c r="C2000" t="s">
        <v>579</v>
      </c>
      <c r="D2000" t="s">
        <v>620</v>
      </c>
      <c r="E2000" s="1">
        <v>45280</v>
      </c>
      <c r="F2000" s="1">
        <v>45285</v>
      </c>
      <c r="G2000" s="1">
        <v>45308</v>
      </c>
      <c r="H2000" t="s">
        <v>8</v>
      </c>
      <c r="I2000">
        <v>45.05</v>
      </c>
      <c r="J2000" t="s">
        <v>683</v>
      </c>
      <c r="K2000">
        <v>23</v>
      </c>
    </row>
    <row r="2001" spans="1:11" x14ac:dyDescent="0.35">
      <c r="A2001" t="s">
        <v>1266</v>
      </c>
      <c r="B2001" t="s">
        <v>422</v>
      </c>
      <c r="C2001" t="s">
        <v>565</v>
      </c>
      <c r="D2001" t="s">
        <v>620</v>
      </c>
      <c r="E2001" s="1">
        <v>45029</v>
      </c>
      <c r="F2001" s="1">
        <v>45031</v>
      </c>
      <c r="G2001" s="1">
        <v>45041</v>
      </c>
      <c r="H2001" t="s">
        <v>11</v>
      </c>
      <c r="I2001">
        <v>45.01</v>
      </c>
      <c r="J2001" t="s">
        <v>683</v>
      </c>
      <c r="K2001">
        <v>10</v>
      </c>
    </row>
  </sheetData>
  <conditionalFormatting sqref="A1:A1048576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BD13-9439-4BCA-9707-77DC44A34C8A}">
  <dimension ref="A1:E2001"/>
  <sheetViews>
    <sheetView topLeftCell="A13" workbookViewId="0">
      <selection activeCell="B12" sqref="B12"/>
    </sheetView>
  </sheetViews>
  <sheetFormatPr defaultRowHeight="14.5" x14ac:dyDescent="0.35"/>
  <cols>
    <col min="1" max="1" width="14.26953125" bestFit="1" customWidth="1"/>
    <col min="2" max="2" width="10.26953125" bestFit="1" customWidth="1"/>
    <col min="3" max="3" width="11.54296875" bestFit="1" customWidth="1"/>
    <col min="4" max="4" width="7.36328125" style="3" bestFit="1" customWidth="1"/>
    <col min="5" max="5" width="12.7265625" style="2" bestFit="1" customWidth="1"/>
  </cols>
  <sheetData>
    <row r="1" spans="1:5" x14ac:dyDescent="0.35">
      <c r="A1" t="s">
        <v>2685</v>
      </c>
      <c r="B1" t="s">
        <v>675</v>
      </c>
      <c r="C1" t="s">
        <v>613</v>
      </c>
      <c r="D1" s="3" t="s">
        <v>2686</v>
      </c>
      <c r="E1" s="2" t="s">
        <v>2687</v>
      </c>
    </row>
    <row r="2" spans="1:5" x14ac:dyDescent="0.35">
      <c r="A2" t="s">
        <v>2688</v>
      </c>
      <c r="B2" t="s">
        <v>682</v>
      </c>
      <c r="C2" t="s">
        <v>623</v>
      </c>
      <c r="D2" s="3">
        <v>1</v>
      </c>
      <c r="E2" s="2">
        <v>1200</v>
      </c>
    </row>
    <row r="3" spans="1:5" x14ac:dyDescent="0.35">
      <c r="A3" t="s">
        <v>2689</v>
      </c>
      <c r="B3" t="s">
        <v>684</v>
      </c>
      <c r="C3" t="s">
        <v>654</v>
      </c>
      <c r="D3" s="3">
        <v>1</v>
      </c>
      <c r="E3" s="2">
        <v>100</v>
      </c>
    </row>
    <row r="4" spans="1:5" x14ac:dyDescent="0.35">
      <c r="A4" t="s">
        <v>2690</v>
      </c>
      <c r="B4" t="s">
        <v>685</v>
      </c>
      <c r="C4" t="s">
        <v>667</v>
      </c>
      <c r="D4" s="3">
        <v>1</v>
      </c>
      <c r="E4" s="2">
        <v>550</v>
      </c>
    </row>
    <row r="5" spans="1:5" x14ac:dyDescent="0.35">
      <c r="A5" t="s">
        <v>2691</v>
      </c>
      <c r="B5" t="s">
        <v>686</v>
      </c>
      <c r="C5" t="s">
        <v>651</v>
      </c>
      <c r="D5" s="3">
        <v>1</v>
      </c>
      <c r="E5" s="2">
        <v>120</v>
      </c>
    </row>
    <row r="6" spans="1:5" x14ac:dyDescent="0.35">
      <c r="A6" t="s">
        <v>2692</v>
      </c>
      <c r="B6" t="s">
        <v>688</v>
      </c>
      <c r="C6" t="s">
        <v>641</v>
      </c>
      <c r="D6" s="3">
        <v>1</v>
      </c>
      <c r="E6" s="2">
        <v>1800</v>
      </c>
    </row>
    <row r="7" spans="1:5" x14ac:dyDescent="0.35">
      <c r="A7" t="s">
        <v>2693</v>
      </c>
      <c r="B7" t="s">
        <v>690</v>
      </c>
      <c r="C7" t="s">
        <v>638</v>
      </c>
      <c r="D7" s="3">
        <v>1</v>
      </c>
      <c r="E7" s="2">
        <v>150</v>
      </c>
    </row>
    <row r="8" spans="1:5" x14ac:dyDescent="0.35">
      <c r="A8" t="s">
        <v>2694</v>
      </c>
      <c r="B8" t="s">
        <v>691</v>
      </c>
      <c r="C8" t="s">
        <v>643</v>
      </c>
      <c r="D8" s="3">
        <v>1</v>
      </c>
      <c r="E8" s="2">
        <v>2200</v>
      </c>
    </row>
    <row r="9" spans="1:5" x14ac:dyDescent="0.35">
      <c r="A9" t="s">
        <v>2695</v>
      </c>
      <c r="B9" t="s">
        <v>692</v>
      </c>
      <c r="C9" t="s">
        <v>654</v>
      </c>
      <c r="D9" s="3">
        <v>1</v>
      </c>
      <c r="E9" s="2">
        <v>100</v>
      </c>
    </row>
    <row r="10" spans="1:5" x14ac:dyDescent="0.35">
      <c r="A10" t="s">
        <v>2696</v>
      </c>
      <c r="B10" t="s">
        <v>693</v>
      </c>
      <c r="C10" t="s">
        <v>641</v>
      </c>
      <c r="D10" s="3">
        <v>1</v>
      </c>
      <c r="E10" s="2">
        <v>1800</v>
      </c>
    </row>
    <row r="11" spans="1:5" x14ac:dyDescent="0.35">
      <c r="A11" t="s">
        <v>2697</v>
      </c>
      <c r="B11" t="s">
        <v>694</v>
      </c>
      <c r="C11" t="s">
        <v>656</v>
      </c>
      <c r="D11" s="3">
        <v>2</v>
      </c>
      <c r="E11" s="2">
        <v>700</v>
      </c>
    </row>
    <row r="12" spans="1:5" x14ac:dyDescent="0.35">
      <c r="A12" t="s">
        <v>2698</v>
      </c>
      <c r="B12" t="s">
        <v>695</v>
      </c>
      <c r="C12" t="s">
        <v>660</v>
      </c>
      <c r="D12" s="3">
        <v>1</v>
      </c>
      <c r="E12" s="2">
        <v>6500</v>
      </c>
    </row>
    <row r="13" spans="1:5" x14ac:dyDescent="0.35">
      <c r="A13" t="s">
        <v>2699</v>
      </c>
      <c r="B13" t="s">
        <v>696</v>
      </c>
      <c r="C13" t="s">
        <v>620</v>
      </c>
      <c r="D13" s="3">
        <v>1</v>
      </c>
      <c r="E13" s="2">
        <v>50</v>
      </c>
    </row>
    <row r="14" spans="1:5" x14ac:dyDescent="0.35">
      <c r="A14" t="s">
        <v>2700</v>
      </c>
      <c r="B14" t="s">
        <v>697</v>
      </c>
      <c r="C14" t="s">
        <v>671</v>
      </c>
      <c r="D14" s="3">
        <v>1</v>
      </c>
      <c r="E14" s="2">
        <v>400</v>
      </c>
    </row>
    <row r="15" spans="1:5" x14ac:dyDescent="0.35">
      <c r="A15" t="s">
        <v>2701</v>
      </c>
      <c r="B15" t="s">
        <v>698</v>
      </c>
      <c r="C15" t="s">
        <v>669</v>
      </c>
      <c r="D15" s="3">
        <v>1</v>
      </c>
      <c r="E15" s="2">
        <v>600</v>
      </c>
    </row>
    <row r="16" spans="1:5" x14ac:dyDescent="0.35">
      <c r="A16" t="s">
        <v>2702</v>
      </c>
      <c r="B16" t="s">
        <v>699</v>
      </c>
      <c r="C16" t="s">
        <v>620</v>
      </c>
      <c r="D16" s="3">
        <v>1</v>
      </c>
      <c r="E16" s="2">
        <v>50</v>
      </c>
    </row>
    <row r="17" spans="1:5" x14ac:dyDescent="0.35">
      <c r="A17" t="s">
        <v>2703</v>
      </c>
      <c r="B17" t="s">
        <v>700</v>
      </c>
      <c r="C17" t="s">
        <v>631</v>
      </c>
      <c r="D17" s="3">
        <v>2</v>
      </c>
      <c r="E17" s="2">
        <v>1800</v>
      </c>
    </row>
    <row r="18" spans="1:5" x14ac:dyDescent="0.35">
      <c r="A18" t="s">
        <v>2704</v>
      </c>
      <c r="B18" t="s">
        <v>701</v>
      </c>
      <c r="C18" t="s">
        <v>660</v>
      </c>
      <c r="D18" s="3">
        <v>1</v>
      </c>
      <c r="E18" s="2">
        <v>6500</v>
      </c>
    </row>
    <row r="19" spans="1:5" x14ac:dyDescent="0.35">
      <c r="A19" t="s">
        <v>2705</v>
      </c>
      <c r="B19" t="s">
        <v>702</v>
      </c>
      <c r="C19" t="s">
        <v>635</v>
      </c>
      <c r="D19" s="3">
        <v>1</v>
      </c>
      <c r="E19" s="2">
        <v>180</v>
      </c>
    </row>
    <row r="20" spans="1:5" x14ac:dyDescent="0.35">
      <c r="A20" t="s">
        <v>2706</v>
      </c>
      <c r="B20" t="s">
        <v>703</v>
      </c>
      <c r="C20" t="s">
        <v>623</v>
      </c>
      <c r="D20" s="3">
        <v>1</v>
      </c>
      <c r="E20" s="2">
        <v>1200</v>
      </c>
    </row>
    <row r="21" spans="1:5" x14ac:dyDescent="0.35">
      <c r="A21" t="s">
        <v>2707</v>
      </c>
      <c r="B21" t="s">
        <v>704</v>
      </c>
      <c r="C21" t="s">
        <v>649</v>
      </c>
      <c r="D21" s="3">
        <v>1</v>
      </c>
      <c r="E21" s="2">
        <v>800</v>
      </c>
    </row>
    <row r="22" spans="1:5" x14ac:dyDescent="0.35">
      <c r="A22" t="s">
        <v>2708</v>
      </c>
      <c r="B22" t="s">
        <v>705</v>
      </c>
      <c r="C22" t="s">
        <v>673</v>
      </c>
      <c r="D22" s="3">
        <v>1</v>
      </c>
      <c r="E22" s="2">
        <v>300</v>
      </c>
    </row>
    <row r="23" spans="1:5" x14ac:dyDescent="0.35">
      <c r="A23" t="s">
        <v>2709</v>
      </c>
      <c r="B23" t="s">
        <v>706</v>
      </c>
      <c r="C23" t="s">
        <v>654</v>
      </c>
      <c r="D23" s="3">
        <v>1</v>
      </c>
      <c r="E23" s="2">
        <v>100</v>
      </c>
    </row>
    <row r="24" spans="1:5" x14ac:dyDescent="0.35">
      <c r="A24" t="s">
        <v>2710</v>
      </c>
      <c r="B24" t="s">
        <v>707</v>
      </c>
      <c r="C24" t="s">
        <v>617</v>
      </c>
      <c r="D24" s="3">
        <v>1</v>
      </c>
      <c r="E24" s="2">
        <v>200</v>
      </c>
    </row>
    <row r="25" spans="1:5" x14ac:dyDescent="0.35">
      <c r="A25" t="s">
        <v>2711</v>
      </c>
      <c r="B25" t="s">
        <v>708</v>
      </c>
      <c r="C25" t="s">
        <v>665</v>
      </c>
      <c r="D25" s="3">
        <v>1</v>
      </c>
      <c r="E25" s="2">
        <v>700</v>
      </c>
    </row>
    <row r="26" spans="1:5" x14ac:dyDescent="0.35">
      <c r="A26" t="s">
        <v>2712</v>
      </c>
      <c r="B26" t="s">
        <v>709</v>
      </c>
      <c r="C26" t="s">
        <v>623</v>
      </c>
      <c r="D26" s="3">
        <v>2</v>
      </c>
      <c r="E26" s="2">
        <v>2400</v>
      </c>
    </row>
    <row r="27" spans="1:5" x14ac:dyDescent="0.35">
      <c r="A27" t="s">
        <v>2713</v>
      </c>
      <c r="B27" t="s">
        <v>710</v>
      </c>
      <c r="C27" t="s">
        <v>667</v>
      </c>
      <c r="D27" s="3">
        <v>1</v>
      </c>
      <c r="E27" s="2">
        <v>550</v>
      </c>
    </row>
    <row r="28" spans="1:5" x14ac:dyDescent="0.35">
      <c r="A28" t="s">
        <v>2714</v>
      </c>
      <c r="B28" t="s">
        <v>711</v>
      </c>
      <c r="C28" t="s">
        <v>658</v>
      </c>
      <c r="D28" s="3">
        <v>1</v>
      </c>
      <c r="E28" s="2">
        <v>750</v>
      </c>
    </row>
    <row r="29" spans="1:5" x14ac:dyDescent="0.35">
      <c r="A29" t="s">
        <v>2715</v>
      </c>
      <c r="B29" t="s">
        <v>712</v>
      </c>
      <c r="C29" t="s">
        <v>638</v>
      </c>
      <c r="D29" s="3">
        <v>1</v>
      </c>
      <c r="E29" s="2">
        <v>150</v>
      </c>
    </row>
    <row r="30" spans="1:5" x14ac:dyDescent="0.35">
      <c r="A30" t="s">
        <v>2716</v>
      </c>
      <c r="B30" t="s">
        <v>713</v>
      </c>
      <c r="C30" t="s">
        <v>631</v>
      </c>
      <c r="D30" s="3">
        <v>1</v>
      </c>
      <c r="E30" s="2">
        <v>900</v>
      </c>
    </row>
    <row r="31" spans="1:5" x14ac:dyDescent="0.35">
      <c r="A31" t="s">
        <v>2717</v>
      </c>
      <c r="B31" t="s">
        <v>714</v>
      </c>
      <c r="C31" t="s">
        <v>669</v>
      </c>
      <c r="D31" s="3">
        <v>1</v>
      </c>
      <c r="E31" s="2">
        <v>600</v>
      </c>
    </row>
    <row r="32" spans="1:5" x14ac:dyDescent="0.35">
      <c r="A32" t="s">
        <v>2718</v>
      </c>
      <c r="B32" t="s">
        <v>715</v>
      </c>
      <c r="C32" t="s">
        <v>665</v>
      </c>
      <c r="D32" s="3">
        <v>1</v>
      </c>
      <c r="E32" s="2">
        <v>700</v>
      </c>
    </row>
    <row r="33" spans="1:5" x14ac:dyDescent="0.35">
      <c r="A33" t="s">
        <v>2719</v>
      </c>
      <c r="B33" t="s">
        <v>716</v>
      </c>
      <c r="C33" t="s">
        <v>673</v>
      </c>
      <c r="D33" s="3">
        <v>1</v>
      </c>
      <c r="E33" s="2">
        <v>300</v>
      </c>
    </row>
    <row r="34" spans="1:5" x14ac:dyDescent="0.35">
      <c r="A34" t="s">
        <v>2720</v>
      </c>
      <c r="B34" t="s">
        <v>717</v>
      </c>
      <c r="C34" t="s">
        <v>617</v>
      </c>
      <c r="D34" s="3">
        <v>1</v>
      </c>
      <c r="E34" s="2">
        <v>200</v>
      </c>
    </row>
    <row r="35" spans="1:5" x14ac:dyDescent="0.35">
      <c r="A35" t="s">
        <v>2721</v>
      </c>
      <c r="B35" t="s">
        <v>718</v>
      </c>
      <c r="C35" t="s">
        <v>665</v>
      </c>
      <c r="D35" s="3">
        <v>1</v>
      </c>
      <c r="E35" s="2">
        <v>700</v>
      </c>
    </row>
    <row r="36" spans="1:5" x14ac:dyDescent="0.35">
      <c r="A36" t="s">
        <v>2722</v>
      </c>
      <c r="B36" t="s">
        <v>719</v>
      </c>
      <c r="C36" t="s">
        <v>641</v>
      </c>
      <c r="D36" s="3">
        <v>1</v>
      </c>
      <c r="E36" s="2">
        <v>1800</v>
      </c>
    </row>
    <row r="37" spans="1:5" x14ac:dyDescent="0.35">
      <c r="A37" t="s">
        <v>2723</v>
      </c>
      <c r="B37" t="s">
        <v>720</v>
      </c>
      <c r="C37" t="s">
        <v>631</v>
      </c>
      <c r="D37" s="3">
        <v>1</v>
      </c>
      <c r="E37" s="2">
        <v>900</v>
      </c>
    </row>
    <row r="38" spans="1:5" x14ac:dyDescent="0.35">
      <c r="A38" t="s">
        <v>2724</v>
      </c>
      <c r="B38" t="s">
        <v>721</v>
      </c>
      <c r="C38" t="s">
        <v>669</v>
      </c>
      <c r="D38" s="3">
        <v>1</v>
      </c>
      <c r="E38" s="2">
        <v>600</v>
      </c>
    </row>
    <row r="39" spans="1:5" x14ac:dyDescent="0.35">
      <c r="A39" t="s">
        <v>2725</v>
      </c>
      <c r="B39" t="s">
        <v>722</v>
      </c>
      <c r="C39" t="s">
        <v>645</v>
      </c>
      <c r="D39" s="3">
        <v>1</v>
      </c>
      <c r="E39" s="2">
        <v>3500</v>
      </c>
    </row>
    <row r="40" spans="1:5" x14ac:dyDescent="0.35">
      <c r="A40" t="s">
        <v>2726</v>
      </c>
      <c r="B40" t="s">
        <v>723</v>
      </c>
      <c r="C40" t="s">
        <v>626</v>
      </c>
      <c r="D40" s="3">
        <v>1</v>
      </c>
      <c r="E40" s="2">
        <v>5000</v>
      </c>
    </row>
    <row r="41" spans="1:5" x14ac:dyDescent="0.35">
      <c r="A41" t="s">
        <v>2727</v>
      </c>
      <c r="B41" t="s">
        <v>724</v>
      </c>
      <c r="C41" t="s">
        <v>647</v>
      </c>
      <c r="D41" s="3">
        <v>1</v>
      </c>
      <c r="E41" s="2">
        <v>4200</v>
      </c>
    </row>
    <row r="42" spans="1:5" x14ac:dyDescent="0.35">
      <c r="A42" t="s">
        <v>2728</v>
      </c>
      <c r="B42" t="s">
        <v>725</v>
      </c>
      <c r="C42" t="s">
        <v>656</v>
      </c>
      <c r="D42" s="3">
        <v>1</v>
      </c>
      <c r="E42" s="2">
        <v>350</v>
      </c>
    </row>
    <row r="43" spans="1:5" x14ac:dyDescent="0.35">
      <c r="A43" t="s">
        <v>2729</v>
      </c>
      <c r="B43" t="s">
        <v>726</v>
      </c>
      <c r="C43" t="s">
        <v>635</v>
      </c>
      <c r="D43" s="3">
        <v>2</v>
      </c>
      <c r="E43" s="2">
        <v>360</v>
      </c>
    </row>
    <row r="44" spans="1:5" x14ac:dyDescent="0.35">
      <c r="A44" t="s">
        <v>2730</v>
      </c>
      <c r="B44" t="s">
        <v>727</v>
      </c>
      <c r="C44" t="s">
        <v>663</v>
      </c>
      <c r="D44" s="3">
        <v>1</v>
      </c>
      <c r="E44" s="2">
        <v>1400</v>
      </c>
    </row>
    <row r="45" spans="1:5" x14ac:dyDescent="0.35">
      <c r="A45" t="s">
        <v>2731</v>
      </c>
      <c r="B45" t="s">
        <v>728</v>
      </c>
      <c r="C45" t="s">
        <v>623</v>
      </c>
      <c r="D45" s="3">
        <v>1</v>
      </c>
      <c r="E45" s="2">
        <v>1200</v>
      </c>
    </row>
    <row r="46" spans="1:5" x14ac:dyDescent="0.35">
      <c r="A46" t="s">
        <v>2732</v>
      </c>
      <c r="B46" t="s">
        <v>729</v>
      </c>
      <c r="C46" t="s">
        <v>645</v>
      </c>
      <c r="D46" s="3">
        <v>1</v>
      </c>
      <c r="E46" s="2">
        <v>3500</v>
      </c>
    </row>
    <row r="47" spans="1:5" x14ac:dyDescent="0.35">
      <c r="A47" t="s">
        <v>2733</v>
      </c>
      <c r="B47" t="s">
        <v>730</v>
      </c>
      <c r="C47" t="s">
        <v>633</v>
      </c>
      <c r="D47" s="3">
        <v>1</v>
      </c>
      <c r="E47" s="2">
        <v>450</v>
      </c>
    </row>
    <row r="48" spans="1:5" x14ac:dyDescent="0.35">
      <c r="A48" t="s">
        <v>2734</v>
      </c>
      <c r="B48" t="s">
        <v>731</v>
      </c>
      <c r="C48" t="s">
        <v>645</v>
      </c>
      <c r="D48" s="3">
        <v>1</v>
      </c>
      <c r="E48" s="2">
        <v>3500</v>
      </c>
    </row>
    <row r="49" spans="1:5" x14ac:dyDescent="0.35">
      <c r="A49" t="s">
        <v>2735</v>
      </c>
      <c r="B49" t="s">
        <v>732</v>
      </c>
      <c r="C49" t="s">
        <v>620</v>
      </c>
      <c r="D49" s="3">
        <v>1</v>
      </c>
      <c r="E49" s="2">
        <v>50</v>
      </c>
    </row>
    <row r="50" spans="1:5" x14ac:dyDescent="0.35">
      <c r="A50" t="s">
        <v>2736</v>
      </c>
      <c r="B50" t="s">
        <v>733</v>
      </c>
      <c r="C50" t="s">
        <v>671</v>
      </c>
      <c r="D50" s="3">
        <v>1</v>
      </c>
      <c r="E50" s="2">
        <v>400</v>
      </c>
    </row>
    <row r="51" spans="1:5" x14ac:dyDescent="0.35">
      <c r="A51" t="s">
        <v>2737</v>
      </c>
      <c r="B51" t="s">
        <v>734</v>
      </c>
      <c r="C51" t="s">
        <v>649</v>
      </c>
      <c r="D51" s="3">
        <v>1</v>
      </c>
      <c r="E51" s="2">
        <v>800</v>
      </c>
    </row>
    <row r="52" spans="1:5" x14ac:dyDescent="0.35">
      <c r="A52" t="s">
        <v>2738</v>
      </c>
      <c r="B52" t="s">
        <v>735</v>
      </c>
      <c r="C52" t="s">
        <v>667</v>
      </c>
      <c r="D52" s="3">
        <v>1</v>
      </c>
      <c r="E52" s="2">
        <v>550</v>
      </c>
    </row>
    <row r="53" spans="1:5" x14ac:dyDescent="0.35">
      <c r="A53" t="s">
        <v>2739</v>
      </c>
      <c r="B53" t="s">
        <v>736</v>
      </c>
      <c r="C53" t="s">
        <v>669</v>
      </c>
      <c r="D53" s="3">
        <v>1</v>
      </c>
      <c r="E53" s="2">
        <v>600</v>
      </c>
    </row>
    <row r="54" spans="1:5" x14ac:dyDescent="0.35">
      <c r="A54" t="s">
        <v>2740</v>
      </c>
      <c r="B54" t="s">
        <v>737</v>
      </c>
      <c r="C54" t="s">
        <v>629</v>
      </c>
      <c r="D54" s="3">
        <v>1</v>
      </c>
      <c r="E54" s="2">
        <v>300</v>
      </c>
    </row>
    <row r="55" spans="1:5" x14ac:dyDescent="0.35">
      <c r="A55" t="s">
        <v>2741</v>
      </c>
      <c r="B55" t="s">
        <v>738</v>
      </c>
      <c r="C55" t="s">
        <v>638</v>
      </c>
      <c r="D55" s="3">
        <v>1</v>
      </c>
      <c r="E55" s="2">
        <v>150</v>
      </c>
    </row>
    <row r="56" spans="1:5" x14ac:dyDescent="0.35">
      <c r="A56" t="s">
        <v>2742</v>
      </c>
      <c r="B56" t="s">
        <v>739</v>
      </c>
      <c r="C56" t="s">
        <v>665</v>
      </c>
      <c r="D56" s="3">
        <v>1</v>
      </c>
      <c r="E56" s="2">
        <v>700</v>
      </c>
    </row>
    <row r="57" spans="1:5" x14ac:dyDescent="0.35">
      <c r="A57" t="s">
        <v>2743</v>
      </c>
      <c r="B57" t="s">
        <v>740</v>
      </c>
      <c r="C57" t="s">
        <v>643</v>
      </c>
      <c r="D57" s="3">
        <v>1</v>
      </c>
      <c r="E57" s="2">
        <v>2200</v>
      </c>
    </row>
    <row r="58" spans="1:5" x14ac:dyDescent="0.35">
      <c r="A58" t="s">
        <v>2744</v>
      </c>
      <c r="B58" t="s">
        <v>741</v>
      </c>
      <c r="C58" t="s">
        <v>629</v>
      </c>
      <c r="D58" s="3">
        <v>1</v>
      </c>
      <c r="E58" s="2">
        <v>300</v>
      </c>
    </row>
    <row r="59" spans="1:5" x14ac:dyDescent="0.35">
      <c r="A59" t="s">
        <v>2745</v>
      </c>
      <c r="B59" t="s">
        <v>742</v>
      </c>
      <c r="C59" t="s">
        <v>623</v>
      </c>
      <c r="D59" s="3">
        <v>1</v>
      </c>
      <c r="E59" s="2">
        <v>1200</v>
      </c>
    </row>
    <row r="60" spans="1:5" x14ac:dyDescent="0.35">
      <c r="A60" t="s">
        <v>2746</v>
      </c>
      <c r="B60" t="s">
        <v>743</v>
      </c>
      <c r="C60" t="s">
        <v>656</v>
      </c>
      <c r="D60" s="3">
        <v>1</v>
      </c>
      <c r="E60" s="2">
        <v>350</v>
      </c>
    </row>
    <row r="61" spans="1:5" x14ac:dyDescent="0.35">
      <c r="A61" t="s">
        <v>2747</v>
      </c>
      <c r="B61" t="s">
        <v>744</v>
      </c>
      <c r="C61" t="s">
        <v>620</v>
      </c>
      <c r="D61" s="3">
        <v>1</v>
      </c>
      <c r="E61" s="2">
        <v>50</v>
      </c>
    </row>
    <row r="62" spans="1:5" x14ac:dyDescent="0.35">
      <c r="A62" t="s">
        <v>2748</v>
      </c>
      <c r="B62" t="s">
        <v>745</v>
      </c>
      <c r="C62" t="s">
        <v>671</v>
      </c>
      <c r="D62" s="3">
        <v>1</v>
      </c>
      <c r="E62" s="2">
        <v>400</v>
      </c>
    </row>
    <row r="63" spans="1:5" x14ac:dyDescent="0.35">
      <c r="A63" t="s">
        <v>2749</v>
      </c>
      <c r="B63" t="s">
        <v>746</v>
      </c>
      <c r="C63" t="s">
        <v>617</v>
      </c>
      <c r="D63" s="3">
        <v>1</v>
      </c>
      <c r="E63" s="2">
        <v>200</v>
      </c>
    </row>
    <row r="64" spans="1:5" x14ac:dyDescent="0.35">
      <c r="A64" t="s">
        <v>2750</v>
      </c>
      <c r="B64" t="s">
        <v>747</v>
      </c>
      <c r="C64" t="s">
        <v>633</v>
      </c>
      <c r="D64" s="3">
        <v>1</v>
      </c>
      <c r="E64" s="2">
        <v>450</v>
      </c>
    </row>
    <row r="65" spans="1:5" x14ac:dyDescent="0.35">
      <c r="A65" t="s">
        <v>2751</v>
      </c>
      <c r="B65" t="s">
        <v>748</v>
      </c>
      <c r="C65" t="s">
        <v>649</v>
      </c>
      <c r="D65" s="3">
        <v>1</v>
      </c>
      <c r="E65" s="2">
        <v>800</v>
      </c>
    </row>
    <row r="66" spans="1:5" x14ac:dyDescent="0.35">
      <c r="A66" t="s">
        <v>2752</v>
      </c>
      <c r="B66" t="s">
        <v>749</v>
      </c>
      <c r="C66" t="s">
        <v>629</v>
      </c>
      <c r="D66" s="3">
        <v>1</v>
      </c>
      <c r="E66" s="2">
        <v>300</v>
      </c>
    </row>
    <row r="67" spans="1:5" x14ac:dyDescent="0.35">
      <c r="A67" t="s">
        <v>2753</v>
      </c>
      <c r="B67" t="s">
        <v>750</v>
      </c>
      <c r="C67" t="s">
        <v>660</v>
      </c>
      <c r="D67" s="3">
        <v>1</v>
      </c>
      <c r="E67" s="2">
        <v>6500</v>
      </c>
    </row>
    <row r="68" spans="1:5" x14ac:dyDescent="0.35">
      <c r="A68" t="s">
        <v>2754</v>
      </c>
      <c r="B68" t="s">
        <v>751</v>
      </c>
      <c r="C68" t="s">
        <v>643</v>
      </c>
      <c r="D68" s="3">
        <v>2</v>
      </c>
      <c r="E68" s="2">
        <v>4400</v>
      </c>
    </row>
    <row r="69" spans="1:5" x14ac:dyDescent="0.35">
      <c r="A69" t="s">
        <v>2755</v>
      </c>
      <c r="B69" t="s">
        <v>752</v>
      </c>
      <c r="C69" t="s">
        <v>669</v>
      </c>
      <c r="D69" s="3">
        <v>1</v>
      </c>
      <c r="E69" s="2">
        <v>600</v>
      </c>
    </row>
    <row r="70" spans="1:5" x14ac:dyDescent="0.35">
      <c r="A70" t="s">
        <v>2756</v>
      </c>
      <c r="B70" t="s">
        <v>753</v>
      </c>
      <c r="C70" t="s">
        <v>673</v>
      </c>
      <c r="D70" s="3">
        <v>1</v>
      </c>
      <c r="E70" s="2">
        <v>300</v>
      </c>
    </row>
    <row r="71" spans="1:5" x14ac:dyDescent="0.35">
      <c r="A71" t="s">
        <v>2757</v>
      </c>
      <c r="B71" t="s">
        <v>754</v>
      </c>
      <c r="C71" t="s">
        <v>620</v>
      </c>
      <c r="D71" s="3">
        <v>1</v>
      </c>
      <c r="E71" s="2">
        <v>50</v>
      </c>
    </row>
    <row r="72" spans="1:5" x14ac:dyDescent="0.35">
      <c r="A72" t="s">
        <v>2758</v>
      </c>
      <c r="B72" t="s">
        <v>755</v>
      </c>
      <c r="C72" t="s">
        <v>635</v>
      </c>
      <c r="D72" s="3">
        <v>1</v>
      </c>
      <c r="E72" s="2">
        <v>180</v>
      </c>
    </row>
    <row r="73" spans="1:5" x14ac:dyDescent="0.35">
      <c r="A73" t="s">
        <v>2759</v>
      </c>
      <c r="B73" t="s">
        <v>756</v>
      </c>
      <c r="C73" t="s">
        <v>638</v>
      </c>
      <c r="D73" s="3">
        <v>1</v>
      </c>
      <c r="E73" s="2">
        <v>150</v>
      </c>
    </row>
    <row r="74" spans="1:5" x14ac:dyDescent="0.35">
      <c r="A74" t="s">
        <v>2760</v>
      </c>
      <c r="B74" t="s">
        <v>757</v>
      </c>
      <c r="C74" t="s">
        <v>623</v>
      </c>
      <c r="D74" s="3">
        <v>1</v>
      </c>
      <c r="E74" s="2">
        <v>1200</v>
      </c>
    </row>
    <row r="75" spans="1:5" x14ac:dyDescent="0.35">
      <c r="A75" t="s">
        <v>2761</v>
      </c>
      <c r="B75" t="s">
        <v>758</v>
      </c>
      <c r="C75" t="s">
        <v>620</v>
      </c>
      <c r="D75" s="3">
        <v>3</v>
      </c>
      <c r="E75" s="2">
        <v>150</v>
      </c>
    </row>
    <row r="76" spans="1:5" x14ac:dyDescent="0.35">
      <c r="A76" t="s">
        <v>2762</v>
      </c>
      <c r="B76" t="s">
        <v>759</v>
      </c>
      <c r="C76" t="s">
        <v>633</v>
      </c>
      <c r="D76" s="3">
        <v>1</v>
      </c>
      <c r="E76" s="2">
        <v>450</v>
      </c>
    </row>
    <row r="77" spans="1:5" x14ac:dyDescent="0.35">
      <c r="A77" t="s">
        <v>2763</v>
      </c>
      <c r="B77" t="s">
        <v>760</v>
      </c>
      <c r="C77" t="s">
        <v>629</v>
      </c>
      <c r="D77" s="3">
        <v>1</v>
      </c>
      <c r="E77" s="2">
        <v>300</v>
      </c>
    </row>
    <row r="78" spans="1:5" x14ac:dyDescent="0.35">
      <c r="A78" t="s">
        <v>2764</v>
      </c>
      <c r="B78" t="s">
        <v>761</v>
      </c>
      <c r="C78" t="s">
        <v>665</v>
      </c>
      <c r="D78" s="3">
        <v>1</v>
      </c>
      <c r="E78" s="2">
        <v>700</v>
      </c>
    </row>
    <row r="79" spans="1:5" x14ac:dyDescent="0.35">
      <c r="A79" t="s">
        <v>2765</v>
      </c>
      <c r="B79" t="s">
        <v>762</v>
      </c>
      <c r="C79" t="s">
        <v>629</v>
      </c>
      <c r="D79" s="3">
        <v>1</v>
      </c>
      <c r="E79" s="2">
        <v>300</v>
      </c>
    </row>
    <row r="80" spans="1:5" x14ac:dyDescent="0.35">
      <c r="A80" t="s">
        <v>2766</v>
      </c>
      <c r="B80" t="s">
        <v>763</v>
      </c>
      <c r="C80" t="s">
        <v>663</v>
      </c>
      <c r="D80" s="3">
        <v>1</v>
      </c>
      <c r="E80" s="2">
        <v>1400</v>
      </c>
    </row>
    <row r="81" spans="1:5" x14ac:dyDescent="0.35">
      <c r="A81" t="s">
        <v>2767</v>
      </c>
      <c r="B81" t="s">
        <v>764</v>
      </c>
      <c r="C81" t="s">
        <v>647</v>
      </c>
      <c r="D81" s="3">
        <v>1</v>
      </c>
      <c r="E81" s="2">
        <v>4200</v>
      </c>
    </row>
    <row r="82" spans="1:5" x14ac:dyDescent="0.35">
      <c r="A82" t="s">
        <v>2768</v>
      </c>
      <c r="B82" t="s">
        <v>765</v>
      </c>
      <c r="C82" t="s">
        <v>665</v>
      </c>
      <c r="D82" s="3">
        <v>1</v>
      </c>
      <c r="E82" s="2">
        <v>700</v>
      </c>
    </row>
    <row r="83" spans="1:5" x14ac:dyDescent="0.35">
      <c r="A83" t="s">
        <v>2769</v>
      </c>
      <c r="B83" t="s">
        <v>766</v>
      </c>
      <c r="C83" t="s">
        <v>663</v>
      </c>
      <c r="D83" s="3">
        <v>1</v>
      </c>
      <c r="E83" s="2">
        <v>1400</v>
      </c>
    </row>
    <row r="84" spans="1:5" x14ac:dyDescent="0.35">
      <c r="A84" t="s">
        <v>2770</v>
      </c>
      <c r="B84" t="s">
        <v>767</v>
      </c>
      <c r="C84" t="s">
        <v>631</v>
      </c>
      <c r="D84" s="3">
        <v>2</v>
      </c>
      <c r="E84" s="2">
        <v>1800</v>
      </c>
    </row>
    <row r="85" spans="1:5" x14ac:dyDescent="0.35">
      <c r="A85" t="s">
        <v>2771</v>
      </c>
      <c r="B85" t="s">
        <v>768</v>
      </c>
      <c r="C85" t="s">
        <v>663</v>
      </c>
      <c r="D85" s="3">
        <v>1</v>
      </c>
      <c r="E85" s="2">
        <v>1400</v>
      </c>
    </row>
    <row r="86" spans="1:5" x14ac:dyDescent="0.35">
      <c r="A86" t="s">
        <v>2772</v>
      </c>
      <c r="B86" t="s">
        <v>769</v>
      </c>
      <c r="C86" t="s">
        <v>658</v>
      </c>
      <c r="D86" s="3">
        <v>1</v>
      </c>
      <c r="E86" s="2">
        <v>750</v>
      </c>
    </row>
    <row r="87" spans="1:5" x14ac:dyDescent="0.35">
      <c r="A87" t="s">
        <v>2773</v>
      </c>
      <c r="B87" t="s">
        <v>770</v>
      </c>
      <c r="C87" t="s">
        <v>673</v>
      </c>
      <c r="D87" s="3">
        <v>1</v>
      </c>
      <c r="E87" s="2">
        <v>300</v>
      </c>
    </row>
    <row r="88" spans="1:5" x14ac:dyDescent="0.35">
      <c r="A88" t="s">
        <v>2774</v>
      </c>
      <c r="B88" t="s">
        <v>771</v>
      </c>
      <c r="C88" t="s">
        <v>620</v>
      </c>
      <c r="D88" s="3">
        <v>2</v>
      </c>
      <c r="E88" s="2">
        <v>100</v>
      </c>
    </row>
    <row r="89" spans="1:5" x14ac:dyDescent="0.35">
      <c r="A89" t="s">
        <v>2775</v>
      </c>
      <c r="B89" t="s">
        <v>772</v>
      </c>
      <c r="C89" t="s">
        <v>673</v>
      </c>
      <c r="D89" s="3">
        <v>1</v>
      </c>
      <c r="E89" s="2">
        <v>300</v>
      </c>
    </row>
    <row r="90" spans="1:5" x14ac:dyDescent="0.35">
      <c r="A90" t="s">
        <v>2776</v>
      </c>
      <c r="B90" t="s">
        <v>773</v>
      </c>
      <c r="C90" t="s">
        <v>631</v>
      </c>
      <c r="D90" s="3">
        <v>1</v>
      </c>
      <c r="E90" s="2">
        <v>900</v>
      </c>
    </row>
    <row r="91" spans="1:5" x14ac:dyDescent="0.35">
      <c r="A91" t="s">
        <v>2777</v>
      </c>
      <c r="B91" t="s">
        <v>774</v>
      </c>
      <c r="C91" t="s">
        <v>638</v>
      </c>
      <c r="D91" s="3">
        <v>2</v>
      </c>
      <c r="E91" s="2">
        <v>300</v>
      </c>
    </row>
    <row r="92" spans="1:5" x14ac:dyDescent="0.35">
      <c r="A92" t="s">
        <v>2778</v>
      </c>
      <c r="B92" t="s">
        <v>775</v>
      </c>
      <c r="C92" t="s">
        <v>673</v>
      </c>
      <c r="D92" s="3">
        <v>1</v>
      </c>
      <c r="E92" s="2">
        <v>300</v>
      </c>
    </row>
    <row r="93" spans="1:5" x14ac:dyDescent="0.35">
      <c r="A93" t="s">
        <v>2779</v>
      </c>
      <c r="B93" t="s">
        <v>776</v>
      </c>
      <c r="C93" t="s">
        <v>623</v>
      </c>
      <c r="D93" s="3">
        <v>1</v>
      </c>
      <c r="E93" s="2">
        <v>1200</v>
      </c>
    </row>
    <row r="94" spans="1:5" x14ac:dyDescent="0.35">
      <c r="A94" t="s">
        <v>2780</v>
      </c>
      <c r="B94" t="s">
        <v>777</v>
      </c>
      <c r="C94" t="s">
        <v>617</v>
      </c>
      <c r="D94" s="3">
        <v>1</v>
      </c>
      <c r="E94" s="2">
        <v>200</v>
      </c>
    </row>
    <row r="95" spans="1:5" x14ac:dyDescent="0.35">
      <c r="A95" t="s">
        <v>2781</v>
      </c>
      <c r="B95" t="s">
        <v>778</v>
      </c>
      <c r="C95" t="s">
        <v>617</v>
      </c>
      <c r="D95" s="3">
        <v>1</v>
      </c>
      <c r="E95" s="2">
        <v>200</v>
      </c>
    </row>
    <row r="96" spans="1:5" x14ac:dyDescent="0.35">
      <c r="A96" t="s">
        <v>2782</v>
      </c>
      <c r="B96" t="s">
        <v>779</v>
      </c>
      <c r="C96" t="s">
        <v>660</v>
      </c>
      <c r="D96" s="3">
        <v>3</v>
      </c>
      <c r="E96" s="2">
        <v>19500</v>
      </c>
    </row>
    <row r="97" spans="1:5" x14ac:dyDescent="0.35">
      <c r="A97" t="s">
        <v>2783</v>
      </c>
      <c r="B97" t="s">
        <v>780</v>
      </c>
      <c r="C97" t="s">
        <v>629</v>
      </c>
      <c r="D97" s="3">
        <v>1</v>
      </c>
      <c r="E97" s="2">
        <v>300</v>
      </c>
    </row>
    <row r="98" spans="1:5" x14ac:dyDescent="0.35">
      <c r="A98" t="s">
        <v>2784</v>
      </c>
      <c r="B98" t="s">
        <v>781</v>
      </c>
      <c r="C98" t="s">
        <v>647</v>
      </c>
      <c r="D98" s="3">
        <v>1</v>
      </c>
      <c r="E98" s="2">
        <v>4200</v>
      </c>
    </row>
    <row r="99" spans="1:5" x14ac:dyDescent="0.35">
      <c r="A99" t="s">
        <v>2785</v>
      </c>
      <c r="B99" t="s">
        <v>782</v>
      </c>
      <c r="C99" t="s">
        <v>660</v>
      </c>
      <c r="D99" s="3">
        <v>2</v>
      </c>
      <c r="E99" s="2">
        <v>13000</v>
      </c>
    </row>
    <row r="100" spans="1:5" x14ac:dyDescent="0.35">
      <c r="A100" t="s">
        <v>2786</v>
      </c>
      <c r="B100" t="s">
        <v>783</v>
      </c>
      <c r="C100" t="s">
        <v>645</v>
      </c>
      <c r="D100" s="3">
        <v>1</v>
      </c>
      <c r="E100" s="2">
        <v>3500</v>
      </c>
    </row>
    <row r="101" spans="1:5" x14ac:dyDescent="0.35">
      <c r="A101" t="s">
        <v>2787</v>
      </c>
      <c r="B101" t="s">
        <v>784</v>
      </c>
      <c r="C101" t="s">
        <v>654</v>
      </c>
      <c r="D101" s="3">
        <v>1</v>
      </c>
      <c r="E101" s="2">
        <v>100</v>
      </c>
    </row>
    <row r="102" spans="1:5" x14ac:dyDescent="0.35">
      <c r="A102" t="s">
        <v>2788</v>
      </c>
      <c r="B102" t="s">
        <v>785</v>
      </c>
      <c r="C102" t="s">
        <v>673</v>
      </c>
      <c r="D102" s="3">
        <v>1</v>
      </c>
      <c r="E102" s="2">
        <v>300</v>
      </c>
    </row>
    <row r="103" spans="1:5" x14ac:dyDescent="0.35">
      <c r="A103" t="s">
        <v>2789</v>
      </c>
      <c r="B103" t="s">
        <v>786</v>
      </c>
      <c r="C103" t="s">
        <v>673</v>
      </c>
      <c r="D103" s="3">
        <v>1</v>
      </c>
      <c r="E103" s="2">
        <v>300</v>
      </c>
    </row>
    <row r="104" spans="1:5" x14ac:dyDescent="0.35">
      <c r="A104" t="s">
        <v>2790</v>
      </c>
      <c r="B104" t="s">
        <v>787</v>
      </c>
      <c r="C104" t="s">
        <v>660</v>
      </c>
      <c r="D104" s="3">
        <v>1</v>
      </c>
      <c r="E104" s="2">
        <v>6500</v>
      </c>
    </row>
    <row r="105" spans="1:5" x14ac:dyDescent="0.35">
      <c r="A105" t="s">
        <v>2791</v>
      </c>
      <c r="B105" t="s">
        <v>788</v>
      </c>
      <c r="C105" t="s">
        <v>623</v>
      </c>
      <c r="D105" s="3">
        <v>2</v>
      </c>
      <c r="E105" s="2">
        <v>2400</v>
      </c>
    </row>
    <row r="106" spans="1:5" x14ac:dyDescent="0.35">
      <c r="A106" t="s">
        <v>2792</v>
      </c>
      <c r="B106" t="s">
        <v>789</v>
      </c>
      <c r="C106" t="s">
        <v>645</v>
      </c>
      <c r="D106" s="3">
        <v>1</v>
      </c>
      <c r="E106" s="2">
        <v>3500</v>
      </c>
    </row>
    <row r="107" spans="1:5" x14ac:dyDescent="0.35">
      <c r="A107" t="s">
        <v>2793</v>
      </c>
      <c r="B107" t="s">
        <v>790</v>
      </c>
      <c r="C107" t="s">
        <v>629</v>
      </c>
      <c r="D107" s="3">
        <v>1</v>
      </c>
      <c r="E107" s="2">
        <v>300</v>
      </c>
    </row>
    <row r="108" spans="1:5" x14ac:dyDescent="0.35">
      <c r="A108" t="s">
        <v>2794</v>
      </c>
      <c r="B108" t="s">
        <v>791</v>
      </c>
      <c r="C108" t="s">
        <v>620</v>
      </c>
      <c r="D108" s="3">
        <v>1</v>
      </c>
      <c r="E108" s="2">
        <v>50</v>
      </c>
    </row>
    <row r="109" spans="1:5" x14ac:dyDescent="0.35">
      <c r="A109" t="s">
        <v>2795</v>
      </c>
      <c r="B109" t="s">
        <v>792</v>
      </c>
      <c r="C109" t="s">
        <v>667</v>
      </c>
      <c r="D109" s="3">
        <v>1</v>
      </c>
      <c r="E109" s="2">
        <v>550</v>
      </c>
    </row>
    <row r="110" spans="1:5" x14ac:dyDescent="0.35">
      <c r="A110" t="s">
        <v>2796</v>
      </c>
      <c r="B110" t="s">
        <v>793</v>
      </c>
      <c r="C110" t="s">
        <v>633</v>
      </c>
      <c r="D110" s="3">
        <v>1</v>
      </c>
      <c r="E110" s="2">
        <v>450</v>
      </c>
    </row>
    <row r="111" spans="1:5" x14ac:dyDescent="0.35">
      <c r="A111" t="s">
        <v>2797</v>
      </c>
      <c r="B111" t="s">
        <v>794</v>
      </c>
      <c r="C111" t="s">
        <v>647</v>
      </c>
      <c r="D111" s="3">
        <v>1</v>
      </c>
      <c r="E111" s="2">
        <v>4200</v>
      </c>
    </row>
    <row r="112" spans="1:5" x14ac:dyDescent="0.35">
      <c r="A112" t="s">
        <v>2798</v>
      </c>
      <c r="B112" t="s">
        <v>795</v>
      </c>
      <c r="C112" t="s">
        <v>673</v>
      </c>
      <c r="D112" s="3">
        <v>3</v>
      </c>
      <c r="E112" s="2">
        <v>900</v>
      </c>
    </row>
    <row r="113" spans="1:5" x14ac:dyDescent="0.35">
      <c r="A113" t="s">
        <v>2799</v>
      </c>
      <c r="B113" t="s">
        <v>796</v>
      </c>
      <c r="C113" t="s">
        <v>651</v>
      </c>
      <c r="D113" s="3">
        <v>1</v>
      </c>
      <c r="E113" s="2">
        <v>120</v>
      </c>
    </row>
    <row r="114" spans="1:5" x14ac:dyDescent="0.35">
      <c r="A114" t="s">
        <v>2800</v>
      </c>
      <c r="B114" t="s">
        <v>797</v>
      </c>
      <c r="C114" t="s">
        <v>667</v>
      </c>
      <c r="D114" s="3">
        <v>1</v>
      </c>
      <c r="E114" s="2">
        <v>550</v>
      </c>
    </row>
    <row r="115" spans="1:5" x14ac:dyDescent="0.35">
      <c r="A115" t="s">
        <v>2801</v>
      </c>
      <c r="B115" t="s">
        <v>798</v>
      </c>
      <c r="C115" t="s">
        <v>623</v>
      </c>
      <c r="D115" s="3">
        <v>1</v>
      </c>
      <c r="E115" s="2">
        <v>1200</v>
      </c>
    </row>
    <row r="116" spans="1:5" x14ac:dyDescent="0.35">
      <c r="A116" t="s">
        <v>2802</v>
      </c>
      <c r="B116" t="s">
        <v>799</v>
      </c>
      <c r="C116" t="s">
        <v>665</v>
      </c>
      <c r="D116" s="3">
        <v>1</v>
      </c>
      <c r="E116" s="2">
        <v>700</v>
      </c>
    </row>
    <row r="117" spans="1:5" x14ac:dyDescent="0.35">
      <c r="A117" t="s">
        <v>2803</v>
      </c>
      <c r="B117" t="s">
        <v>800</v>
      </c>
      <c r="C117" t="s">
        <v>663</v>
      </c>
      <c r="D117" s="3">
        <v>1</v>
      </c>
      <c r="E117" s="2">
        <v>1400</v>
      </c>
    </row>
    <row r="118" spans="1:5" x14ac:dyDescent="0.35">
      <c r="A118" t="s">
        <v>2804</v>
      </c>
      <c r="B118" t="s">
        <v>801</v>
      </c>
      <c r="C118" t="s">
        <v>629</v>
      </c>
      <c r="D118" s="3">
        <v>1</v>
      </c>
      <c r="E118" s="2">
        <v>300</v>
      </c>
    </row>
    <row r="119" spans="1:5" x14ac:dyDescent="0.35">
      <c r="A119" t="s">
        <v>2805</v>
      </c>
      <c r="B119" t="s">
        <v>802</v>
      </c>
      <c r="C119" t="s">
        <v>671</v>
      </c>
      <c r="D119" s="3">
        <v>1</v>
      </c>
      <c r="E119" s="2">
        <v>400</v>
      </c>
    </row>
    <row r="120" spans="1:5" x14ac:dyDescent="0.35">
      <c r="A120" t="s">
        <v>2806</v>
      </c>
      <c r="B120" t="s">
        <v>803</v>
      </c>
      <c r="C120" t="s">
        <v>635</v>
      </c>
      <c r="D120" s="3">
        <v>2</v>
      </c>
      <c r="E120" s="2">
        <v>360</v>
      </c>
    </row>
    <row r="121" spans="1:5" x14ac:dyDescent="0.35">
      <c r="A121" t="s">
        <v>2807</v>
      </c>
      <c r="B121" t="s">
        <v>804</v>
      </c>
      <c r="C121" t="s">
        <v>667</v>
      </c>
      <c r="D121" s="3">
        <v>1</v>
      </c>
      <c r="E121" s="2">
        <v>550</v>
      </c>
    </row>
    <row r="122" spans="1:5" x14ac:dyDescent="0.35">
      <c r="A122" t="s">
        <v>2808</v>
      </c>
      <c r="B122" t="s">
        <v>805</v>
      </c>
      <c r="C122" t="s">
        <v>617</v>
      </c>
      <c r="D122" s="3">
        <v>1</v>
      </c>
      <c r="E122" s="2">
        <v>200</v>
      </c>
    </row>
    <row r="123" spans="1:5" x14ac:dyDescent="0.35">
      <c r="A123" t="s">
        <v>2809</v>
      </c>
      <c r="B123" t="s">
        <v>806</v>
      </c>
      <c r="C123" t="s">
        <v>635</v>
      </c>
      <c r="D123" s="3">
        <v>1</v>
      </c>
      <c r="E123" s="2">
        <v>180</v>
      </c>
    </row>
    <row r="124" spans="1:5" x14ac:dyDescent="0.35">
      <c r="A124" t="s">
        <v>2810</v>
      </c>
      <c r="B124" t="s">
        <v>807</v>
      </c>
      <c r="C124" t="s">
        <v>671</v>
      </c>
      <c r="D124" s="3">
        <v>1</v>
      </c>
      <c r="E124" s="2">
        <v>400</v>
      </c>
    </row>
    <row r="125" spans="1:5" x14ac:dyDescent="0.35">
      <c r="A125" t="s">
        <v>2811</v>
      </c>
      <c r="B125" t="s">
        <v>808</v>
      </c>
      <c r="C125" t="s">
        <v>658</v>
      </c>
      <c r="D125" s="3">
        <v>1</v>
      </c>
      <c r="E125" s="2">
        <v>750</v>
      </c>
    </row>
    <row r="126" spans="1:5" x14ac:dyDescent="0.35">
      <c r="A126" t="s">
        <v>2812</v>
      </c>
      <c r="B126" t="s">
        <v>809</v>
      </c>
      <c r="C126" t="s">
        <v>663</v>
      </c>
      <c r="D126" s="3">
        <v>1</v>
      </c>
      <c r="E126" s="2">
        <v>1400</v>
      </c>
    </row>
    <row r="127" spans="1:5" x14ac:dyDescent="0.35">
      <c r="A127" t="s">
        <v>2813</v>
      </c>
      <c r="B127" t="s">
        <v>810</v>
      </c>
      <c r="C127" t="s">
        <v>654</v>
      </c>
      <c r="D127" s="3">
        <v>1</v>
      </c>
      <c r="E127" s="2">
        <v>100</v>
      </c>
    </row>
    <row r="128" spans="1:5" x14ac:dyDescent="0.35">
      <c r="A128" t="s">
        <v>2814</v>
      </c>
      <c r="B128" t="s">
        <v>811</v>
      </c>
      <c r="C128" t="s">
        <v>658</v>
      </c>
      <c r="D128" s="3">
        <v>1</v>
      </c>
      <c r="E128" s="2">
        <v>750</v>
      </c>
    </row>
    <row r="129" spans="1:5" x14ac:dyDescent="0.35">
      <c r="A129" t="s">
        <v>2815</v>
      </c>
      <c r="B129" t="s">
        <v>812</v>
      </c>
      <c r="C129" t="s">
        <v>663</v>
      </c>
      <c r="D129" s="3">
        <v>1</v>
      </c>
      <c r="E129" s="2">
        <v>1400</v>
      </c>
    </row>
    <row r="130" spans="1:5" x14ac:dyDescent="0.35">
      <c r="A130" t="s">
        <v>2816</v>
      </c>
      <c r="B130" t="s">
        <v>813</v>
      </c>
      <c r="C130" t="s">
        <v>645</v>
      </c>
      <c r="D130" s="3">
        <v>1</v>
      </c>
      <c r="E130" s="2">
        <v>3500</v>
      </c>
    </row>
    <row r="131" spans="1:5" x14ac:dyDescent="0.35">
      <c r="A131" t="s">
        <v>2817</v>
      </c>
      <c r="B131" t="s">
        <v>814</v>
      </c>
      <c r="C131" t="s">
        <v>647</v>
      </c>
      <c r="D131" s="3">
        <v>1</v>
      </c>
      <c r="E131" s="2">
        <v>4200</v>
      </c>
    </row>
    <row r="132" spans="1:5" x14ac:dyDescent="0.35">
      <c r="A132" t="s">
        <v>2818</v>
      </c>
      <c r="B132" t="s">
        <v>815</v>
      </c>
      <c r="C132" t="s">
        <v>647</v>
      </c>
      <c r="D132" s="3">
        <v>1</v>
      </c>
      <c r="E132" s="2">
        <v>4200</v>
      </c>
    </row>
    <row r="133" spans="1:5" x14ac:dyDescent="0.35">
      <c r="A133" t="s">
        <v>2819</v>
      </c>
      <c r="B133" t="s">
        <v>816</v>
      </c>
      <c r="C133" t="s">
        <v>641</v>
      </c>
      <c r="D133" s="3">
        <v>1</v>
      </c>
      <c r="E133" s="2">
        <v>1800</v>
      </c>
    </row>
    <row r="134" spans="1:5" x14ac:dyDescent="0.35">
      <c r="A134" t="s">
        <v>2820</v>
      </c>
      <c r="B134" t="s">
        <v>817</v>
      </c>
      <c r="C134" t="s">
        <v>633</v>
      </c>
      <c r="D134" s="3">
        <v>1</v>
      </c>
      <c r="E134" s="2">
        <v>450</v>
      </c>
    </row>
    <row r="135" spans="1:5" x14ac:dyDescent="0.35">
      <c r="A135" t="s">
        <v>2821</v>
      </c>
      <c r="B135" t="s">
        <v>818</v>
      </c>
      <c r="C135" t="s">
        <v>673</v>
      </c>
      <c r="D135" s="3">
        <v>1</v>
      </c>
      <c r="E135" s="2">
        <v>300</v>
      </c>
    </row>
    <row r="136" spans="1:5" x14ac:dyDescent="0.35">
      <c r="A136" t="s">
        <v>2822</v>
      </c>
      <c r="B136" t="s">
        <v>819</v>
      </c>
      <c r="C136" t="s">
        <v>649</v>
      </c>
      <c r="D136" s="3">
        <v>1</v>
      </c>
      <c r="E136" s="2">
        <v>800</v>
      </c>
    </row>
    <row r="137" spans="1:5" x14ac:dyDescent="0.35">
      <c r="A137" t="s">
        <v>2823</v>
      </c>
      <c r="B137" t="s">
        <v>820</v>
      </c>
      <c r="C137" t="s">
        <v>671</v>
      </c>
      <c r="D137" s="3">
        <v>1</v>
      </c>
      <c r="E137" s="2">
        <v>400</v>
      </c>
    </row>
    <row r="138" spans="1:5" x14ac:dyDescent="0.35">
      <c r="A138" t="s">
        <v>2824</v>
      </c>
      <c r="B138" t="s">
        <v>821</v>
      </c>
      <c r="C138" t="s">
        <v>654</v>
      </c>
      <c r="D138" s="3">
        <v>1</v>
      </c>
      <c r="E138" s="2">
        <v>100</v>
      </c>
    </row>
    <row r="139" spans="1:5" x14ac:dyDescent="0.35">
      <c r="A139" t="s">
        <v>2825</v>
      </c>
      <c r="B139" t="s">
        <v>822</v>
      </c>
      <c r="C139" t="s">
        <v>651</v>
      </c>
      <c r="D139" s="3">
        <v>1</v>
      </c>
      <c r="E139" s="2">
        <v>120</v>
      </c>
    </row>
    <row r="140" spans="1:5" x14ac:dyDescent="0.35">
      <c r="A140" t="s">
        <v>2826</v>
      </c>
      <c r="B140" t="s">
        <v>823</v>
      </c>
      <c r="C140" t="s">
        <v>645</v>
      </c>
      <c r="D140" s="3">
        <v>1</v>
      </c>
      <c r="E140" s="2">
        <v>3500</v>
      </c>
    </row>
    <row r="141" spans="1:5" x14ac:dyDescent="0.35">
      <c r="A141" t="s">
        <v>2827</v>
      </c>
      <c r="B141" t="s">
        <v>824</v>
      </c>
      <c r="C141" t="s">
        <v>638</v>
      </c>
      <c r="D141" s="3">
        <v>1</v>
      </c>
      <c r="E141" s="2">
        <v>150</v>
      </c>
    </row>
    <row r="142" spans="1:5" x14ac:dyDescent="0.35">
      <c r="A142" t="s">
        <v>2828</v>
      </c>
      <c r="B142" t="s">
        <v>825</v>
      </c>
      <c r="C142" t="s">
        <v>635</v>
      </c>
      <c r="D142" s="3">
        <v>1</v>
      </c>
      <c r="E142" s="2">
        <v>180</v>
      </c>
    </row>
    <row r="143" spans="1:5" x14ac:dyDescent="0.35">
      <c r="A143" t="s">
        <v>2829</v>
      </c>
      <c r="B143" t="s">
        <v>826</v>
      </c>
      <c r="C143" t="s">
        <v>658</v>
      </c>
      <c r="D143" s="3">
        <v>1</v>
      </c>
      <c r="E143" s="2">
        <v>750</v>
      </c>
    </row>
    <row r="144" spans="1:5" x14ac:dyDescent="0.35">
      <c r="A144" t="s">
        <v>2830</v>
      </c>
      <c r="B144" t="s">
        <v>827</v>
      </c>
      <c r="C144" t="s">
        <v>669</v>
      </c>
      <c r="D144" s="3">
        <v>1</v>
      </c>
      <c r="E144" s="2">
        <v>600</v>
      </c>
    </row>
    <row r="145" spans="1:5" x14ac:dyDescent="0.35">
      <c r="A145" t="s">
        <v>2831</v>
      </c>
      <c r="B145" t="s">
        <v>828</v>
      </c>
      <c r="C145" t="s">
        <v>658</v>
      </c>
      <c r="D145" s="3">
        <v>1</v>
      </c>
      <c r="E145" s="2">
        <v>750</v>
      </c>
    </row>
    <row r="146" spans="1:5" x14ac:dyDescent="0.35">
      <c r="A146" t="s">
        <v>2832</v>
      </c>
      <c r="B146" t="s">
        <v>829</v>
      </c>
      <c r="C146" t="s">
        <v>647</v>
      </c>
      <c r="D146" s="3">
        <v>1</v>
      </c>
      <c r="E146" s="2">
        <v>4200</v>
      </c>
    </row>
    <row r="147" spans="1:5" x14ac:dyDescent="0.35">
      <c r="A147" t="s">
        <v>2833</v>
      </c>
      <c r="B147" t="s">
        <v>830</v>
      </c>
      <c r="C147" t="s">
        <v>658</v>
      </c>
      <c r="D147" s="3">
        <v>1</v>
      </c>
      <c r="E147" s="2">
        <v>750</v>
      </c>
    </row>
    <row r="148" spans="1:5" x14ac:dyDescent="0.35">
      <c r="A148" t="s">
        <v>2834</v>
      </c>
      <c r="B148" t="s">
        <v>831</v>
      </c>
      <c r="C148" t="s">
        <v>651</v>
      </c>
      <c r="D148" s="3">
        <v>1</v>
      </c>
      <c r="E148" s="2">
        <v>120</v>
      </c>
    </row>
    <row r="149" spans="1:5" x14ac:dyDescent="0.35">
      <c r="A149" t="s">
        <v>2835</v>
      </c>
      <c r="B149" t="s">
        <v>832</v>
      </c>
      <c r="C149" t="s">
        <v>626</v>
      </c>
      <c r="D149" s="3">
        <v>2</v>
      </c>
      <c r="E149" s="2">
        <v>10000</v>
      </c>
    </row>
    <row r="150" spans="1:5" x14ac:dyDescent="0.35">
      <c r="A150" t="s">
        <v>2836</v>
      </c>
      <c r="B150" t="s">
        <v>833</v>
      </c>
      <c r="C150" t="s">
        <v>656</v>
      </c>
      <c r="D150" s="3">
        <v>1</v>
      </c>
      <c r="E150" s="2">
        <v>350</v>
      </c>
    </row>
    <row r="151" spans="1:5" x14ac:dyDescent="0.35">
      <c r="A151" t="s">
        <v>2837</v>
      </c>
      <c r="B151" t="s">
        <v>834</v>
      </c>
      <c r="C151" t="s">
        <v>629</v>
      </c>
      <c r="D151" s="3">
        <v>1</v>
      </c>
      <c r="E151" s="2">
        <v>300</v>
      </c>
    </row>
    <row r="152" spans="1:5" x14ac:dyDescent="0.35">
      <c r="A152" t="s">
        <v>2838</v>
      </c>
      <c r="B152" t="s">
        <v>835</v>
      </c>
      <c r="C152" t="s">
        <v>667</v>
      </c>
      <c r="D152" s="3">
        <v>1</v>
      </c>
      <c r="E152" s="2">
        <v>550</v>
      </c>
    </row>
    <row r="153" spans="1:5" x14ac:dyDescent="0.35">
      <c r="A153" t="s">
        <v>2839</v>
      </c>
      <c r="B153" t="s">
        <v>836</v>
      </c>
      <c r="C153" t="s">
        <v>654</v>
      </c>
      <c r="D153" s="3">
        <v>1</v>
      </c>
      <c r="E153" s="2">
        <v>100</v>
      </c>
    </row>
    <row r="154" spans="1:5" x14ac:dyDescent="0.35">
      <c r="A154" t="s">
        <v>2840</v>
      </c>
      <c r="B154" t="s">
        <v>837</v>
      </c>
      <c r="C154" t="s">
        <v>638</v>
      </c>
      <c r="D154" s="3">
        <v>1</v>
      </c>
      <c r="E154" s="2">
        <v>150</v>
      </c>
    </row>
    <row r="155" spans="1:5" x14ac:dyDescent="0.35">
      <c r="A155" t="s">
        <v>2841</v>
      </c>
      <c r="B155" t="s">
        <v>838</v>
      </c>
      <c r="C155" t="s">
        <v>641</v>
      </c>
      <c r="D155" s="3">
        <v>1</v>
      </c>
      <c r="E155" s="2">
        <v>1800</v>
      </c>
    </row>
    <row r="156" spans="1:5" x14ac:dyDescent="0.35">
      <c r="A156" t="s">
        <v>2842</v>
      </c>
      <c r="B156" t="s">
        <v>839</v>
      </c>
      <c r="C156" t="s">
        <v>671</v>
      </c>
      <c r="D156" s="3">
        <v>3</v>
      </c>
      <c r="E156" s="2">
        <v>1200</v>
      </c>
    </row>
    <row r="157" spans="1:5" x14ac:dyDescent="0.35">
      <c r="A157" t="s">
        <v>2843</v>
      </c>
      <c r="B157" t="s">
        <v>840</v>
      </c>
      <c r="C157" t="s">
        <v>658</v>
      </c>
      <c r="D157" s="3">
        <v>1</v>
      </c>
      <c r="E157" s="2">
        <v>750</v>
      </c>
    </row>
    <row r="158" spans="1:5" x14ac:dyDescent="0.35">
      <c r="A158" t="s">
        <v>2844</v>
      </c>
      <c r="B158" t="s">
        <v>841</v>
      </c>
      <c r="C158" t="s">
        <v>656</v>
      </c>
      <c r="D158" s="3">
        <v>1</v>
      </c>
      <c r="E158" s="2">
        <v>350</v>
      </c>
    </row>
    <row r="159" spans="1:5" x14ac:dyDescent="0.35">
      <c r="A159" t="s">
        <v>2845</v>
      </c>
      <c r="B159" t="s">
        <v>842</v>
      </c>
      <c r="C159" t="s">
        <v>658</v>
      </c>
      <c r="D159" s="3">
        <v>3</v>
      </c>
      <c r="E159" s="2">
        <v>2250</v>
      </c>
    </row>
    <row r="160" spans="1:5" x14ac:dyDescent="0.35">
      <c r="A160" t="s">
        <v>2846</v>
      </c>
      <c r="B160" t="s">
        <v>843</v>
      </c>
      <c r="C160" t="s">
        <v>633</v>
      </c>
      <c r="D160" s="3">
        <v>2</v>
      </c>
      <c r="E160" s="2">
        <v>900</v>
      </c>
    </row>
    <row r="161" spans="1:5" x14ac:dyDescent="0.35">
      <c r="A161" t="s">
        <v>2847</v>
      </c>
      <c r="B161" t="s">
        <v>844</v>
      </c>
      <c r="C161" t="s">
        <v>626</v>
      </c>
      <c r="D161" s="3">
        <v>1</v>
      </c>
      <c r="E161" s="2">
        <v>5000</v>
      </c>
    </row>
    <row r="162" spans="1:5" x14ac:dyDescent="0.35">
      <c r="A162" t="s">
        <v>2848</v>
      </c>
      <c r="B162" t="s">
        <v>845</v>
      </c>
      <c r="C162" t="s">
        <v>629</v>
      </c>
      <c r="D162" s="3">
        <v>1</v>
      </c>
      <c r="E162" s="2">
        <v>300</v>
      </c>
    </row>
    <row r="163" spans="1:5" x14ac:dyDescent="0.35">
      <c r="A163" t="s">
        <v>2849</v>
      </c>
      <c r="B163" t="s">
        <v>846</v>
      </c>
      <c r="C163" t="s">
        <v>669</v>
      </c>
      <c r="D163" s="3">
        <v>1</v>
      </c>
      <c r="E163" s="2">
        <v>600</v>
      </c>
    </row>
    <row r="164" spans="1:5" x14ac:dyDescent="0.35">
      <c r="A164" t="s">
        <v>2850</v>
      </c>
      <c r="B164" t="s">
        <v>847</v>
      </c>
      <c r="C164" t="s">
        <v>654</v>
      </c>
      <c r="D164" s="3">
        <v>1</v>
      </c>
      <c r="E164" s="2">
        <v>100</v>
      </c>
    </row>
    <row r="165" spans="1:5" x14ac:dyDescent="0.35">
      <c r="A165" t="s">
        <v>2851</v>
      </c>
      <c r="B165" t="s">
        <v>848</v>
      </c>
      <c r="C165" t="s">
        <v>623</v>
      </c>
      <c r="D165" s="3">
        <v>1</v>
      </c>
      <c r="E165" s="2">
        <v>1200</v>
      </c>
    </row>
    <row r="166" spans="1:5" x14ac:dyDescent="0.35">
      <c r="A166" t="s">
        <v>2852</v>
      </c>
      <c r="B166" t="s">
        <v>849</v>
      </c>
      <c r="C166" t="s">
        <v>658</v>
      </c>
      <c r="D166" s="3">
        <v>1</v>
      </c>
      <c r="E166" s="2">
        <v>750</v>
      </c>
    </row>
    <row r="167" spans="1:5" x14ac:dyDescent="0.35">
      <c r="A167" t="s">
        <v>2853</v>
      </c>
      <c r="B167" t="s">
        <v>850</v>
      </c>
      <c r="C167" t="s">
        <v>669</v>
      </c>
      <c r="D167" s="3">
        <v>3</v>
      </c>
      <c r="E167" s="2">
        <v>1800</v>
      </c>
    </row>
    <row r="168" spans="1:5" x14ac:dyDescent="0.35">
      <c r="A168" t="s">
        <v>2854</v>
      </c>
      <c r="B168" t="s">
        <v>851</v>
      </c>
      <c r="C168" t="s">
        <v>665</v>
      </c>
      <c r="D168" s="3">
        <v>1</v>
      </c>
      <c r="E168" s="2">
        <v>700</v>
      </c>
    </row>
    <row r="169" spans="1:5" x14ac:dyDescent="0.35">
      <c r="A169" t="s">
        <v>2855</v>
      </c>
      <c r="B169" t="s">
        <v>852</v>
      </c>
      <c r="C169" t="s">
        <v>649</v>
      </c>
      <c r="D169" s="3">
        <v>1</v>
      </c>
      <c r="E169" s="2">
        <v>800</v>
      </c>
    </row>
    <row r="170" spans="1:5" x14ac:dyDescent="0.35">
      <c r="A170" t="s">
        <v>2856</v>
      </c>
      <c r="B170" t="s">
        <v>853</v>
      </c>
      <c r="C170" t="s">
        <v>651</v>
      </c>
      <c r="D170" s="3">
        <v>1</v>
      </c>
      <c r="E170" s="2">
        <v>120</v>
      </c>
    </row>
    <row r="171" spans="1:5" x14ac:dyDescent="0.35">
      <c r="A171" t="s">
        <v>2857</v>
      </c>
      <c r="B171" t="s">
        <v>854</v>
      </c>
      <c r="C171" t="s">
        <v>656</v>
      </c>
      <c r="D171" s="3">
        <v>1</v>
      </c>
      <c r="E171" s="2">
        <v>350</v>
      </c>
    </row>
    <row r="172" spans="1:5" x14ac:dyDescent="0.35">
      <c r="A172" t="s">
        <v>2858</v>
      </c>
      <c r="B172" t="s">
        <v>855</v>
      </c>
      <c r="C172" t="s">
        <v>617</v>
      </c>
      <c r="D172" s="3">
        <v>1</v>
      </c>
      <c r="E172" s="2">
        <v>200</v>
      </c>
    </row>
    <row r="173" spans="1:5" x14ac:dyDescent="0.35">
      <c r="A173" t="s">
        <v>2859</v>
      </c>
      <c r="B173" t="s">
        <v>856</v>
      </c>
      <c r="C173" t="s">
        <v>673</v>
      </c>
      <c r="D173" s="3">
        <v>1</v>
      </c>
      <c r="E173" s="2">
        <v>300</v>
      </c>
    </row>
    <row r="174" spans="1:5" x14ac:dyDescent="0.35">
      <c r="A174" t="s">
        <v>2860</v>
      </c>
      <c r="B174" t="s">
        <v>857</v>
      </c>
      <c r="C174" t="s">
        <v>665</v>
      </c>
      <c r="D174" s="3">
        <v>1</v>
      </c>
      <c r="E174" s="2">
        <v>700</v>
      </c>
    </row>
    <row r="175" spans="1:5" x14ac:dyDescent="0.35">
      <c r="A175" t="s">
        <v>2861</v>
      </c>
      <c r="B175" t="s">
        <v>858</v>
      </c>
      <c r="C175" t="s">
        <v>656</v>
      </c>
      <c r="D175" s="3">
        <v>1</v>
      </c>
      <c r="E175" s="2">
        <v>350</v>
      </c>
    </row>
    <row r="176" spans="1:5" x14ac:dyDescent="0.35">
      <c r="A176" t="s">
        <v>2862</v>
      </c>
      <c r="B176" t="s">
        <v>859</v>
      </c>
      <c r="C176" t="s">
        <v>669</v>
      </c>
      <c r="D176" s="3">
        <v>1</v>
      </c>
      <c r="E176" s="2">
        <v>600</v>
      </c>
    </row>
    <row r="177" spans="1:5" x14ac:dyDescent="0.35">
      <c r="A177" t="s">
        <v>2863</v>
      </c>
      <c r="B177" t="s">
        <v>860</v>
      </c>
      <c r="C177" t="s">
        <v>673</v>
      </c>
      <c r="D177" s="3">
        <v>1</v>
      </c>
      <c r="E177" s="2">
        <v>300</v>
      </c>
    </row>
    <row r="178" spans="1:5" x14ac:dyDescent="0.35">
      <c r="A178" t="s">
        <v>2864</v>
      </c>
      <c r="B178" t="s">
        <v>861</v>
      </c>
      <c r="C178" t="s">
        <v>643</v>
      </c>
      <c r="D178" s="3">
        <v>1</v>
      </c>
      <c r="E178" s="2">
        <v>2200</v>
      </c>
    </row>
    <row r="179" spans="1:5" x14ac:dyDescent="0.35">
      <c r="A179" t="s">
        <v>2865</v>
      </c>
      <c r="B179" t="s">
        <v>862</v>
      </c>
      <c r="C179" t="s">
        <v>656</v>
      </c>
      <c r="D179" s="3">
        <v>1</v>
      </c>
      <c r="E179" s="2">
        <v>350</v>
      </c>
    </row>
    <row r="180" spans="1:5" x14ac:dyDescent="0.35">
      <c r="A180" t="s">
        <v>2866</v>
      </c>
      <c r="B180" t="s">
        <v>863</v>
      </c>
      <c r="C180" t="s">
        <v>649</v>
      </c>
      <c r="D180" s="3">
        <v>1</v>
      </c>
      <c r="E180" s="2">
        <v>800</v>
      </c>
    </row>
    <row r="181" spans="1:5" x14ac:dyDescent="0.35">
      <c r="A181" t="s">
        <v>2867</v>
      </c>
      <c r="B181" t="s">
        <v>864</v>
      </c>
      <c r="C181" t="s">
        <v>663</v>
      </c>
      <c r="D181" s="3">
        <v>1</v>
      </c>
      <c r="E181" s="2">
        <v>1400</v>
      </c>
    </row>
    <row r="182" spans="1:5" x14ac:dyDescent="0.35">
      <c r="A182" t="s">
        <v>2868</v>
      </c>
      <c r="B182" t="s">
        <v>865</v>
      </c>
      <c r="C182" t="s">
        <v>660</v>
      </c>
      <c r="D182" s="3">
        <v>1</v>
      </c>
      <c r="E182" s="2">
        <v>6500</v>
      </c>
    </row>
    <row r="183" spans="1:5" x14ac:dyDescent="0.35">
      <c r="A183" t="s">
        <v>2869</v>
      </c>
      <c r="B183" t="s">
        <v>866</v>
      </c>
      <c r="C183" t="s">
        <v>665</v>
      </c>
      <c r="D183" s="3">
        <v>1</v>
      </c>
      <c r="E183" s="2">
        <v>700</v>
      </c>
    </row>
    <row r="184" spans="1:5" x14ac:dyDescent="0.35">
      <c r="A184" t="s">
        <v>2870</v>
      </c>
      <c r="B184" t="s">
        <v>867</v>
      </c>
      <c r="C184" t="s">
        <v>633</v>
      </c>
      <c r="D184" s="3">
        <v>1</v>
      </c>
      <c r="E184" s="2">
        <v>450</v>
      </c>
    </row>
    <row r="185" spans="1:5" x14ac:dyDescent="0.35">
      <c r="A185" t="s">
        <v>2871</v>
      </c>
      <c r="B185" t="s">
        <v>868</v>
      </c>
      <c r="C185" t="s">
        <v>671</v>
      </c>
      <c r="D185" s="3">
        <v>1</v>
      </c>
      <c r="E185" s="2">
        <v>400</v>
      </c>
    </row>
    <row r="186" spans="1:5" x14ac:dyDescent="0.35">
      <c r="A186" t="s">
        <v>2872</v>
      </c>
      <c r="B186" t="s">
        <v>869</v>
      </c>
      <c r="C186" t="s">
        <v>647</v>
      </c>
      <c r="D186" s="3">
        <v>2</v>
      </c>
      <c r="E186" s="2">
        <v>8400</v>
      </c>
    </row>
    <row r="187" spans="1:5" x14ac:dyDescent="0.35">
      <c r="A187" t="s">
        <v>2873</v>
      </c>
      <c r="B187" t="s">
        <v>870</v>
      </c>
      <c r="C187" t="s">
        <v>658</v>
      </c>
      <c r="D187" s="3">
        <v>1</v>
      </c>
      <c r="E187" s="2">
        <v>750</v>
      </c>
    </row>
    <row r="188" spans="1:5" x14ac:dyDescent="0.35">
      <c r="A188" t="s">
        <v>2874</v>
      </c>
      <c r="B188" t="s">
        <v>871</v>
      </c>
      <c r="C188" t="s">
        <v>669</v>
      </c>
      <c r="D188" s="3">
        <v>1</v>
      </c>
      <c r="E188" s="2">
        <v>600</v>
      </c>
    </row>
    <row r="189" spans="1:5" x14ac:dyDescent="0.35">
      <c r="A189" t="s">
        <v>2875</v>
      </c>
      <c r="B189" t="s">
        <v>872</v>
      </c>
      <c r="C189" t="s">
        <v>649</v>
      </c>
      <c r="D189" s="3">
        <v>1</v>
      </c>
      <c r="E189" s="2">
        <v>800</v>
      </c>
    </row>
    <row r="190" spans="1:5" x14ac:dyDescent="0.35">
      <c r="A190" t="s">
        <v>2876</v>
      </c>
      <c r="B190" t="s">
        <v>873</v>
      </c>
      <c r="C190" t="s">
        <v>617</v>
      </c>
      <c r="D190" s="3">
        <v>1</v>
      </c>
      <c r="E190" s="2">
        <v>200</v>
      </c>
    </row>
    <row r="191" spans="1:5" x14ac:dyDescent="0.35">
      <c r="A191" t="s">
        <v>2877</v>
      </c>
      <c r="B191" t="s">
        <v>874</v>
      </c>
      <c r="C191" t="s">
        <v>633</v>
      </c>
      <c r="D191" s="3">
        <v>1</v>
      </c>
      <c r="E191" s="2">
        <v>450</v>
      </c>
    </row>
    <row r="192" spans="1:5" x14ac:dyDescent="0.35">
      <c r="A192" t="s">
        <v>2878</v>
      </c>
      <c r="B192" t="s">
        <v>875</v>
      </c>
      <c r="C192" t="s">
        <v>635</v>
      </c>
      <c r="D192" s="3">
        <v>1</v>
      </c>
      <c r="E192" s="2">
        <v>180</v>
      </c>
    </row>
    <row r="193" spans="1:5" x14ac:dyDescent="0.35">
      <c r="A193" t="s">
        <v>2879</v>
      </c>
      <c r="B193" t="s">
        <v>876</v>
      </c>
      <c r="C193" t="s">
        <v>658</v>
      </c>
      <c r="D193" s="3">
        <v>1</v>
      </c>
      <c r="E193" s="2">
        <v>750</v>
      </c>
    </row>
    <row r="194" spans="1:5" x14ac:dyDescent="0.35">
      <c r="A194" t="s">
        <v>2880</v>
      </c>
      <c r="B194" t="s">
        <v>877</v>
      </c>
      <c r="C194" t="s">
        <v>638</v>
      </c>
      <c r="D194" s="3">
        <v>1</v>
      </c>
      <c r="E194" s="2">
        <v>150</v>
      </c>
    </row>
    <row r="195" spans="1:5" x14ac:dyDescent="0.35">
      <c r="A195" t="s">
        <v>2881</v>
      </c>
      <c r="B195" t="s">
        <v>878</v>
      </c>
      <c r="C195" t="s">
        <v>617</v>
      </c>
      <c r="D195" s="3">
        <v>2</v>
      </c>
      <c r="E195" s="2">
        <v>400</v>
      </c>
    </row>
    <row r="196" spans="1:5" x14ac:dyDescent="0.35">
      <c r="A196" t="s">
        <v>2882</v>
      </c>
      <c r="B196" t="s">
        <v>879</v>
      </c>
      <c r="C196" t="s">
        <v>667</v>
      </c>
      <c r="D196" s="3">
        <v>1</v>
      </c>
      <c r="E196" s="2">
        <v>550</v>
      </c>
    </row>
    <row r="197" spans="1:5" x14ac:dyDescent="0.35">
      <c r="A197" t="s">
        <v>2883</v>
      </c>
      <c r="B197" t="s">
        <v>880</v>
      </c>
      <c r="C197" t="s">
        <v>656</v>
      </c>
      <c r="D197" s="3">
        <v>1</v>
      </c>
      <c r="E197" s="2">
        <v>350</v>
      </c>
    </row>
    <row r="198" spans="1:5" x14ac:dyDescent="0.35">
      <c r="A198" t="s">
        <v>2884</v>
      </c>
      <c r="B198" t="s">
        <v>881</v>
      </c>
      <c r="C198" t="s">
        <v>660</v>
      </c>
      <c r="D198" s="3">
        <v>1</v>
      </c>
      <c r="E198" s="2">
        <v>6500</v>
      </c>
    </row>
    <row r="199" spans="1:5" x14ac:dyDescent="0.35">
      <c r="A199" t="s">
        <v>2885</v>
      </c>
      <c r="B199" t="s">
        <v>882</v>
      </c>
      <c r="C199" t="s">
        <v>631</v>
      </c>
      <c r="D199" s="3">
        <v>1</v>
      </c>
      <c r="E199" s="2">
        <v>900</v>
      </c>
    </row>
    <row r="200" spans="1:5" x14ac:dyDescent="0.35">
      <c r="A200" t="s">
        <v>2886</v>
      </c>
      <c r="B200" t="s">
        <v>883</v>
      </c>
      <c r="C200" t="s">
        <v>623</v>
      </c>
      <c r="D200" s="3">
        <v>1</v>
      </c>
      <c r="E200" s="2">
        <v>1200</v>
      </c>
    </row>
    <row r="201" spans="1:5" x14ac:dyDescent="0.35">
      <c r="A201" t="s">
        <v>2887</v>
      </c>
      <c r="B201" t="s">
        <v>884</v>
      </c>
      <c r="C201" t="s">
        <v>671</v>
      </c>
      <c r="D201" s="3">
        <v>1</v>
      </c>
      <c r="E201" s="2">
        <v>400</v>
      </c>
    </row>
    <row r="202" spans="1:5" x14ac:dyDescent="0.35">
      <c r="A202" t="s">
        <v>2888</v>
      </c>
      <c r="B202" t="s">
        <v>885</v>
      </c>
      <c r="C202" t="s">
        <v>629</v>
      </c>
      <c r="D202" s="3">
        <v>1</v>
      </c>
      <c r="E202" s="2">
        <v>300</v>
      </c>
    </row>
    <row r="203" spans="1:5" x14ac:dyDescent="0.35">
      <c r="A203" t="s">
        <v>2889</v>
      </c>
      <c r="B203" t="s">
        <v>886</v>
      </c>
      <c r="C203" t="s">
        <v>620</v>
      </c>
      <c r="D203" s="3">
        <v>1</v>
      </c>
      <c r="E203" s="2">
        <v>50</v>
      </c>
    </row>
    <row r="204" spans="1:5" x14ac:dyDescent="0.35">
      <c r="A204" t="s">
        <v>2890</v>
      </c>
      <c r="B204" t="s">
        <v>887</v>
      </c>
      <c r="C204" t="s">
        <v>663</v>
      </c>
      <c r="D204" s="3">
        <v>1</v>
      </c>
      <c r="E204" s="2">
        <v>1400</v>
      </c>
    </row>
    <row r="205" spans="1:5" x14ac:dyDescent="0.35">
      <c r="A205" t="s">
        <v>2891</v>
      </c>
      <c r="B205" t="s">
        <v>888</v>
      </c>
      <c r="C205" t="s">
        <v>673</v>
      </c>
      <c r="D205" s="3">
        <v>1</v>
      </c>
      <c r="E205" s="2">
        <v>300</v>
      </c>
    </row>
    <row r="206" spans="1:5" x14ac:dyDescent="0.35">
      <c r="A206" t="s">
        <v>2892</v>
      </c>
      <c r="B206" t="s">
        <v>889</v>
      </c>
      <c r="C206" t="s">
        <v>626</v>
      </c>
      <c r="D206" s="3">
        <v>1</v>
      </c>
      <c r="E206" s="2">
        <v>5000</v>
      </c>
    </row>
    <row r="207" spans="1:5" x14ac:dyDescent="0.35">
      <c r="A207" t="s">
        <v>2893</v>
      </c>
      <c r="B207" t="s">
        <v>890</v>
      </c>
      <c r="C207" t="s">
        <v>641</v>
      </c>
      <c r="D207" s="3">
        <v>1</v>
      </c>
      <c r="E207" s="2">
        <v>1800</v>
      </c>
    </row>
    <row r="208" spans="1:5" x14ac:dyDescent="0.35">
      <c r="A208" t="s">
        <v>2894</v>
      </c>
      <c r="B208" t="s">
        <v>891</v>
      </c>
      <c r="C208" t="s">
        <v>641</v>
      </c>
      <c r="D208" s="3">
        <v>1</v>
      </c>
      <c r="E208" s="2">
        <v>1800</v>
      </c>
    </row>
    <row r="209" spans="1:5" x14ac:dyDescent="0.35">
      <c r="A209" t="s">
        <v>2895</v>
      </c>
      <c r="B209" t="s">
        <v>892</v>
      </c>
      <c r="C209" t="s">
        <v>671</v>
      </c>
      <c r="D209" s="3">
        <v>1</v>
      </c>
      <c r="E209" s="2">
        <v>400</v>
      </c>
    </row>
    <row r="210" spans="1:5" x14ac:dyDescent="0.35">
      <c r="A210" t="s">
        <v>2896</v>
      </c>
      <c r="B210" t="s">
        <v>893</v>
      </c>
      <c r="C210" t="s">
        <v>665</v>
      </c>
      <c r="D210" s="3">
        <v>1</v>
      </c>
      <c r="E210" s="2">
        <v>700</v>
      </c>
    </row>
    <row r="211" spans="1:5" x14ac:dyDescent="0.35">
      <c r="A211" t="s">
        <v>2897</v>
      </c>
      <c r="B211" t="s">
        <v>894</v>
      </c>
      <c r="C211" t="s">
        <v>643</v>
      </c>
      <c r="D211" s="3">
        <v>2</v>
      </c>
      <c r="E211" s="2">
        <v>4400</v>
      </c>
    </row>
    <row r="212" spans="1:5" x14ac:dyDescent="0.35">
      <c r="A212" t="s">
        <v>2898</v>
      </c>
      <c r="B212" t="s">
        <v>895</v>
      </c>
      <c r="C212" t="s">
        <v>654</v>
      </c>
      <c r="D212" s="3">
        <v>1</v>
      </c>
      <c r="E212" s="2">
        <v>100</v>
      </c>
    </row>
    <row r="213" spans="1:5" x14ac:dyDescent="0.35">
      <c r="A213" t="s">
        <v>2899</v>
      </c>
      <c r="B213" t="s">
        <v>896</v>
      </c>
      <c r="C213" t="s">
        <v>656</v>
      </c>
      <c r="D213" s="3">
        <v>1</v>
      </c>
      <c r="E213" s="2">
        <v>350</v>
      </c>
    </row>
    <row r="214" spans="1:5" x14ac:dyDescent="0.35">
      <c r="A214" t="s">
        <v>2900</v>
      </c>
      <c r="B214" t="s">
        <v>897</v>
      </c>
      <c r="C214" t="s">
        <v>654</v>
      </c>
      <c r="D214" s="3">
        <v>2</v>
      </c>
      <c r="E214" s="2">
        <v>200</v>
      </c>
    </row>
    <row r="215" spans="1:5" x14ac:dyDescent="0.35">
      <c r="A215" t="s">
        <v>2901</v>
      </c>
      <c r="B215" t="s">
        <v>898</v>
      </c>
      <c r="C215" t="s">
        <v>633</v>
      </c>
      <c r="D215" s="3">
        <v>1</v>
      </c>
      <c r="E215" s="2">
        <v>450</v>
      </c>
    </row>
    <row r="216" spans="1:5" x14ac:dyDescent="0.35">
      <c r="A216" t="s">
        <v>2902</v>
      </c>
      <c r="B216" t="s">
        <v>899</v>
      </c>
      <c r="C216" t="s">
        <v>654</v>
      </c>
      <c r="D216" s="3">
        <v>1</v>
      </c>
      <c r="E216" s="2">
        <v>100</v>
      </c>
    </row>
    <row r="217" spans="1:5" x14ac:dyDescent="0.35">
      <c r="A217" t="s">
        <v>2903</v>
      </c>
      <c r="B217" t="s">
        <v>900</v>
      </c>
      <c r="C217" t="s">
        <v>623</v>
      </c>
      <c r="D217" s="3">
        <v>1</v>
      </c>
      <c r="E217" s="2">
        <v>1200</v>
      </c>
    </row>
    <row r="218" spans="1:5" x14ac:dyDescent="0.35">
      <c r="A218" t="s">
        <v>2904</v>
      </c>
      <c r="B218" t="s">
        <v>901</v>
      </c>
      <c r="C218" t="s">
        <v>654</v>
      </c>
      <c r="D218" s="3">
        <v>1</v>
      </c>
      <c r="E218" s="2">
        <v>100</v>
      </c>
    </row>
    <row r="219" spans="1:5" x14ac:dyDescent="0.35">
      <c r="A219" t="s">
        <v>2905</v>
      </c>
      <c r="B219" t="s">
        <v>902</v>
      </c>
      <c r="C219" t="s">
        <v>635</v>
      </c>
      <c r="D219" s="3">
        <v>1</v>
      </c>
      <c r="E219" s="2">
        <v>180</v>
      </c>
    </row>
    <row r="220" spans="1:5" x14ac:dyDescent="0.35">
      <c r="A220" t="s">
        <v>2906</v>
      </c>
      <c r="B220" t="s">
        <v>903</v>
      </c>
      <c r="C220" t="s">
        <v>645</v>
      </c>
      <c r="D220" s="3">
        <v>1</v>
      </c>
      <c r="E220" s="2">
        <v>3500</v>
      </c>
    </row>
    <row r="221" spans="1:5" x14ac:dyDescent="0.35">
      <c r="A221" t="s">
        <v>2907</v>
      </c>
      <c r="B221" t="s">
        <v>904</v>
      </c>
      <c r="C221" t="s">
        <v>623</v>
      </c>
      <c r="D221" s="3">
        <v>2</v>
      </c>
      <c r="E221" s="2">
        <v>2400</v>
      </c>
    </row>
    <row r="222" spans="1:5" x14ac:dyDescent="0.35">
      <c r="A222" t="s">
        <v>2908</v>
      </c>
      <c r="B222" t="s">
        <v>905</v>
      </c>
      <c r="C222" t="s">
        <v>656</v>
      </c>
      <c r="D222" s="3">
        <v>1</v>
      </c>
      <c r="E222" s="2">
        <v>350</v>
      </c>
    </row>
    <row r="223" spans="1:5" x14ac:dyDescent="0.35">
      <c r="A223" t="s">
        <v>2909</v>
      </c>
      <c r="B223" t="s">
        <v>906</v>
      </c>
      <c r="C223" t="s">
        <v>665</v>
      </c>
      <c r="D223" s="3">
        <v>1</v>
      </c>
      <c r="E223" s="2">
        <v>700</v>
      </c>
    </row>
    <row r="224" spans="1:5" x14ac:dyDescent="0.35">
      <c r="A224" t="s">
        <v>2910</v>
      </c>
      <c r="B224" t="s">
        <v>907</v>
      </c>
      <c r="C224" t="s">
        <v>658</v>
      </c>
      <c r="D224" s="3">
        <v>1</v>
      </c>
      <c r="E224" s="2">
        <v>750</v>
      </c>
    </row>
    <row r="225" spans="1:5" x14ac:dyDescent="0.35">
      <c r="A225" t="s">
        <v>2911</v>
      </c>
      <c r="B225" t="s">
        <v>908</v>
      </c>
      <c r="C225" t="s">
        <v>643</v>
      </c>
      <c r="D225" s="3">
        <v>1</v>
      </c>
      <c r="E225" s="2">
        <v>2200</v>
      </c>
    </row>
    <row r="226" spans="1:5" x14ac:dyDescent="0.35">
      <c r="A226" t="s">
        <v>2912</v>
      </c>
      <c r="B226" t="s">
        <v>909</v>
      </c>
      <c r="C226" t="s">
        <v>626</v>
      </c>
      <c r="D226" s="3">
        <v>1</v>
      </c>
      <c r="E226" s="2">
        <v>5000</v>
      </c>
    </row>
    <row r="227" spans="1:5" x14ac:dyDescent="0.35">
      <c r="A227" t="s">
        <v>2913</v>
      </c>
      <c r="B227" t="s">
        <v>910</v>
      </c>
      <c r="C227" t="s">
        <v>654</v>
      </c>
      <c r="D227" s="3">
        <v>1</v>
      </c>
      <c r="E227" s="2">
        <v>100</v>
      </c>
    </row>
    <row r="228" spans="1:5" x14ac:dyDescent="0.35">
      <c r="A228" t="s">
        <v>2914</v>
      </c>
      <c r="B228" t="s">
        <v>911</v>
      </c>
      <c r="C228" t="s">
        <v>656</v>
      </c>
      <c r="D228" s="3">
        <v>1</v>
      </c>
      <c r="E228" s="2">
        <v>350</v>
      </c>
    </row>
    <row r="229" spans="1:5" x14ac:dyDescent="0.35">
      <c r="A229" t="s">
        <v>2915</v>
      </c>
      <c r="B229" t="s">
        <v>912</v>
      </c>
      <c r="C229" t="s">
        <v>638</v>
      </c>
      <c r="D229" s="3">
        <v>1</v>
      </c>
      <c r="E229" s="2">
        <v>150</v>
      </c>
    </row>
    <row r="230" spans="1:5" x14ac:dyDescent="0.35">
      <c r="A230" t="s">
        <v>2916</v>
      </c>
      <c r="B230" t="s">
        <v>913</v>
      </c>
      <c r="C230" t="s">
        <v>631</v>
      </c>
      <c r="D230" s="3">
        <v>1</v>
      </c>
      <c r="E230" s="2">
        <v>900</v>
      </c>
    </row>
    <row r="231" spans="1:5" x14ac:dyDescent="0.35">
      <c r="A231" t="s">
        <v>2917</v>
      </c>
      <c r="B231" t="s">
        <v>914</v>
      </c>
      <c r="C231" t="s">
        <v>671</v>
      </c>
      <c r="D231" s="3">
        <v>1</v>
      </c>
      <c r="E231" s="2">
        <v>400</v>
      </c>
    </row>
    <row r="232" spans="1:5" x14ac:dyDescent="0.35">
      <c r="A232" t="s">
        <v>2918</v>
      </c>
      <c r="B232" t="s">
        <v>915</v>
      </c>
      <c r="C232" t="s">
        <v>663</v>
      </c>
      <c r="D232" s="3">
        <v>3</v>
      </c>
      <c r="E232" s="2">
        <v>4200</v>
      </c>
    </row>
    <row r="233" spans="1:5" x14ac:dyDescent="0.35">
      <c r="A233" t="s">
        <v>2919</v>
      </c>
      <c r="B233" t="s">
        <v>916</v>
      </c>
      <c r="C233" t="s">
        <v>673</v>
      </c>
      <c r="D233" s="3">
        <v>1</v>
      </c>
      <c r="E233" s="2">
        <v>300</v>
      </c>
    </row>
    <row r="234" spans="1:5" x14ac:dyDescent="0.35">
      <c r="A234" t="s">
        <v>2920</v>
      </c>
      <c r="B234" t="s">
        <v>917</v>
      </c>
      <c r="C234" t="s">
        <v>620</v>
      </c>
      <c r="D234" s="3">
        <v>1</v>
      </c>
      <c r="E234" s="2">
        <v>50</v>
      </c>
    </row>
    <row r="235" spans="1:5" x14ac:dyDescent="0.35">
      <c r="A235" t="s">
        <v>2921</v>
      </c>
      <c r="B235" t="s">
        <v>918</v>
      </c>
      <c r="C235" t="s">
        <v>638</v>
      </c>
      <c r="D235" s="3">
        <v>1</v>
      </c>
      <c r="E235" s="2">
        <v>150</v>
      </c>
    </row>
    <row r="236" spans="1:5" x14ac:dyDescent="0.35">
      <c r="A236" t="s">
        <v>2922</v>
      </c>
      <c r="B236" t="s">
        <v>919</v>
      </c>
      <c r="C236" t="s">
        <v>665</v>
      </c>
      <c r="D236" s="3">
        <v>1</v>
      </c>
      <c r="E236" s="2">
        <v>700</v>
      </c>
    </row>
    <row r="237" spans="1:5" x14ac:dyDescent="0.35">
      <c r="A237" t="s">
        <v>2923</v>
      </c>
      <c r="B237" t="s">
        <v>920</v>
      </c>
      <c r="C237" t="s">
        <v>631</v>
      </c>
      <c r="D237" s="3">
        <v>1</v>
      </c>
      <c r="E237" s="2">
        <v>900</v>
      </c>
    </row>
    <row r="238" spans="1:5" x14ac:dyDescent="0.35">
      <c r="A238" t="s">
        <v>2924</v>
      </c>
      <c r="B238" t="s">
        <v>921</v>
      </c>
      <c r="C238" t="s">
        <v>623</v>
      </c>
      <c r="D238" s="3">
        <v>1</v>
      </c>
      <c r="E238" s="2">
        <v>1200</v>
      </c>
    </row>
    <row r="239" spans="1:5" x14ac:dyDescent="0.35">
      <c r="A239" t="s">
        <v>2925</v>
      </c>
      <c r="B239" t="s">
        <v>922</v>
      </c>
      <c r="C239" t="s">
        <v>663</v>
      </c>
      <c r="D239" s="3">
        <v>1</v>
      </c>
      <c r="E239" s="2">
        <v>1400</v>
      </c>
    </row>
    <row r="240" spans="1:5" x14ac:dyDescent="0.35">
      <c r="A240" t="s">
        <v>2926</v>
      </c>
      <c r="B240" t="s">
        <v>923</v>
      </c>
      <c r="C240" t="s">
        <v>631</v>
      </c>
      <c r="D240" s="3">
        <v>1</v>
      </c>
      <c r="E240" s="2">
        <v>900</v>
      </c>
    </row>
    <row r="241" spans="1:5" x14ac:dyDescent="0.35">
      <c r="A241" t="s">
        <v>2927</v>
      </c>
      <c r="B241" t="s">
        <v>924</v>
      </c>
      <c r="C241" t="s">
        <v>633</v>
      </c>
      <c r="D241" s="3">
        <v>1</v>
      </c>
      <c r="E241" s="2">
        <v>450</v>
      </c>
    </row>
    <row r="242" spans="1:5" x14ac:dyDescent="0.35">
      <c r="A242" t="s">
        <v>2928</v>
      </c>
      <c r="B242" t="s">
        <v>925</v>
      </c>
      <c r="C242" t="s">
        <v>617</v>
      </c>
      <c r="D242" s="3">
        <v>1</v>
      </c>
      <c r="E242" s="2">
        <v>200</v>
      </c>
    </row>
    <row r="243" spans="1:5" x14ac:dyDescent="0.35">
      <c r="A243" t="s">
        <v>2929</v>
      </c>
      <c r="B243" t="s">
        <v>926</v>
      </c>
      <c r="C243" t="s">
        <v>669</v>
      </c>
      <c r="D243" s="3">
        <v>1</v>
      </c>
      <c r="E243" s="2">
        <v>600</v>
      </c>
    </row>
    <row r="244" spans="1:5" x14ac:dyDescent="0.35">
      <c r="A244" t="s">
        <v>2930</v>
      </c>
      <c r="B244" t="s">
        <v>927</v>
      </c>
      <c r="C244" t="s">
        <v>617</v>
      </c>
      <c r="D244" s="3">
        <v>1</v>
      </c>
      <c r="E244" s="2">
        <v>200</v>
      </c>
    </row>
    <row r="245" spans="1:5" x14ac:dyDescent="0.35">
      <c r="A245" t="s">
        <v>2931</v>
      </c>
      <c r="B245" t="s">
        <v>928</v>
      </c>
      <c r="C245" t="s">
        <v>629</v>
      </c>
      <c r="D245" s="3">
        <v>1</v>
      </c>
      <c r="E245" s="2">
        <v>300</v>
      </c>
    </row>
    <row r="246" spans="1:5" x14ac:dyDescent="0.35">
      <c r="A246" t="s">
        <v>2932</v>
      </c>
      <c r="B246" t="s">
        <v>929</v>
      </c>
      <c r="C246" t="s">
        <v>631</v>
      </c>
      <c r="D246" s="3">
        <v>1</v>
      </c>
      <c r="E246" s="2">
        <v>900</v>
      </c>
    </row>
    <row r="247" spans="1:5" x14ac:dyDescent="0.35">
      <c r="A247" t="s">
        <v>2933</v>
      </c>
      <c r="B247" t="s">
        <v>930</v>
      </c>
      <c r="C247" t="s">
        <v>647</v>
      </c>
      <c r="D247" s="3">
        <v>3</v>
      </c>
      <c r="E247" s="2">
        <v>12600</v>
      </c>
    </row>
    <row r="248" spans="1:5" x14ac:dyDescent="0.35">
      <c r="A248" t="s">
        <v>2934</v>
      </c>
      <c r="B248" t="s">
        <v>931</v>
      </c>
      <c r="C248" t="s">
        <v>620</v>
      </c>
      <c r="D248" s="3">
        <v>1</v>
      </c>
      <c r="E248" s="2">
        <v>50</v>
      </c>
    </row>
    <row r="249" spans="1:5" x14ac:dyDescent="0.35">
      <c r="A249" t="s">
        <v>2935</v>
      </c>
      <c r="B249" t="s">
        <v>932</v>
      </c>
      <c r="C249" t="s">
        <v>651</v>
      </c>
      <c r="D249" s="3">
        <v>1</v>
      </c>
      <c r="E249" s="2">
        <v>120</v>
      </c>
    </row>
    <row r="250" spans="1:5" x14ac:dyDescent="0.35">
      <c r="A250" t="s">
        <v>2936</v>
      </c>
      <c r="B250" t="s">
        <v>933</v>
      </c>
      <c r="C250" t="s">
        <v>651</v>
      </c>
      <c r="D250" s="3">
        <v>1</v>
      </c>
      <c r="E250" s="2">
        <v>120</v>
      </c>
    </row>
    <row r="251" spans="1:5" x14ac:dyDescent="0.35">
      <c r="A251" t="s">
        <v>2937</v>
      </c>
      <c r="B251" t="s">
        <v>934</v>
      </c>
      <c r="C251" t="s">
        <v>647</v>
      </c>
      <c r="D251" s="3">
        <v>1</v>
      </c>
      <c r="E251" s="2">
        <v>4200</v>
      </c>
    </row>
    <row r="252" spans="1:5" x14ac:dyDescent="0.35">
      <c r="A252" t="s">
        <v>2938</v>
      </c>
      <c r="B252" t="s">
        <v>935</v>
      </c>
      <c r="C252" t="s">
        <v>673</v>
      </c>
      <c r="D252" s="3">
        <v>1</v>
      </c>
      <c r="E252" s="2">
        <v>300</v>
      </c>
    </row>
    <row r="253" spans="1:5" x14ac:dyDescent="0.35">
      <c r="A253" t="s">
        <v>2939</v>
      </c>
      <c r="B253" t="s">
        <v>936</v>
      </c>
      <c r="C253" t="s">
        <v>649</v>
      </c>
      <c r="D253" s="3">
        <v>1</v>
      </c>
      <c r="E253" s="2">
        <v>800</v>
      </c>
    </row>
    <row r="254" spans="1:5" x14ac:dyDescent="0.35">
      <c r="A254" t="s">
        <v>2940</v>
      </c>
      <c r="B254" t="s">
        <v>937</v>
      </c>
      <c r="C254" t="s">
        <v>667</v>
      </c>
      <c r="D254" s="3">
        <v>1</v>
      </c>
      <c r="E254" s="2">
        <v>550</v>
      </c>
    </row>
    <row r="255" spans="1:5" x14ac:dyDescent="0.35">
      <c r="A255" t="s">
        <v>2941</v>
      </c>
      <c r="B255" t="s">
        <v>938</v>
      </c>
      <c r="C255" t="s">
        <v>633</v>
      </c>
      <c r="D255" s="3">
        <v>1</v>
      </c>
      <c r="E255" s="2">
        <v>450</v>
      </c>
    </row>
    <row r="256" spans="1:5" x14ac:dyDescent="0.35">
      <c r="A256" t="s">
        <v>2942</v>
      </c>
      <c r="B256" t="s">
        <v>939</v>
      </c>
      <c r="C256" t="s">
        <v>649</v>
      </c>
      <c r="D256" s="3">
        <v>1</v>
      </c>
      <c r="E256" s="2">
        <v>800</v>
      </c>
    </row>
    <row r="257" spans="1:5" x14ac:dyDescent="0.35">
      <c r="A257" t="s">
        <v>2943</v>
      </c>
      <c r="B257" t="s">
        <v>940</v>
      </c>
      <c r="C257" t="s">
        <v>671</v>
      </c>
      <c r="D257" s="3">
        <v>1</v>
      </c>
      <c r="E257" s="2">
        <v>400</v>
      </c>
    </row>
    <row r="258" spans="1:5" x14ac:dyDescent="0.35">
      <c r="A258" t="s">
        <v>2944</v>
      </c>
      <c r="B258" t="s">
        <v>941</v>
      </c>
      <c r="C258" t="s">
        <v>641</v>
      </c>
      <c r="D258" s="3">
        <v>1</v>
      </c>
      <c r="E258" s="2">
        <v>1800</v>
      </c>
    </row>
    <row r="259" spans="1:5" x14ac:dyDescent="0.35">
      <c r="A259" t="s">
        <v>2945</v>
      </c>
      <c r="B259" t="s">
        <v>942</v>
      </c>
      <c r="C259" t="s">
        <v>656</v>
      </c>
      <c r="D259" s="3">
        <v>1</v>
      </c>
      <c r="E259" s="2">
        <v>350</v>
      </c>
    </row>
    <row r="260" spans="1:5" x14ac:dyDescent="0.35">
      <c r="A260" t="s">
        <v>2946</v>
      </c>
      <c r="B260" t="s">
        <v>943</v>
      </c>
      <c r="C260" t="s">
        <v>649</v>
      </c>
      <c r="D260" s="3">
        <v>1</v>
      </c>
      <c r="E260" s="2">
        <v>800</v>
      </c>
    </row>
    <row r="261" spans="1:5" x14ac:dyDescent="0.35">
      <c r="A261" t="s">
        <v>2947</v>
      </c>
      <c r="B261" t="s">
        <v>944</v>
      </c>
      <c r="C261" t="s">
        <v>635</v>
      </c>
      <c r="D261" s="3">
        <v>1</v>
      </c>
      <c r="E261" s="2">
        <v>180</v>
      </c>
    </row>
    <row r="262" spans="1:5" x14ac:dyDescent="0.35">
      <c r="A262" t="s">
        <v>2948</v>
      </c>
      <c r="B262" t="s">
        <v>945</v>
      </c>
      <c r="C262" t="s">
        <v>626</v>
      </c>
      <c r="D262" s="3">
        <v>1</v>
      </c>
      <c r="E262" s="2">
        <v>5000</v>
      </c>
    </row>
    <row r="263" spans="1:5" x14ac:dyDescent="0.35">
      <c r="A263" t="s">
        <v>2949</v>
      </c>
      <c r="B263" t="s">
        <v>946</v>
      </c>
      <c r="C263" t="s">
        <v>654</v>
      </c>
      <c r="D263" s="3">
        <v>2</v>
      </c>
      <c r="E263" s="2">
        <v>200</v>
      </c>
    </row>
    <row r="264" spans="1:5" x14ac:dyDescent="0.35">
      <c r="A264" t="s">
        <v>2950</v>
      </c>
      <c r="B264" t="s">
        <v>947</v>
      </c>
      <c r="C264" t="s">
        <v>671</v>
      </c>
      <c r="D264" s="3">
        <v>1</v>
      </c>
      <c r="E264" s="2">
        <v>400</v>
      </c>
    </row>
    <row r="265" spans="1:5" x14ac:dyDescent="0.35">
      <c r="A265" t="s">
        <v>2951</v>
      </c>
      <c r="B265" t="s">
        <v>948</v>
      </c>
      <c r="C265" t="s">
        <v>647</v>
      </c>
      <c r="D265" s="3">
        <v>1</v>
      </c>
      <c r="E265" s="2">
        <v>4200</v>
      </c>
    </row>
    <row r="266" spans="1:5" x14ac:dyDescent="0.35">
      <c r="A266" t="s">
        <v>2952</v>
      </c>
      <c r="B266" t="s">
        <v>949</v>
      </c>
      <c r="C266" t="s">
        <v>667</v>
      </c>
      <c r="D266" s="3">
        <v>1</v>
      </c>
      <c r="E266" s="2">
        <v>550</v>
      </c>
    </row>
    <row r="267" spans="1:5" x14ac:dyDescent="0.35">
      <c r="A267" t="s">
        <v>2953</v>
      </c>
      <c r="B267" t="s">
        <v>950</v>
      </c>
      <c r="C267" t="s">
        <v>673</v>
      </c>
      <c r="D267" s="3">
        <v>1</v>
      </c>
      <c r="E267" s="2">
        <v>300</v>
      </c>
    </row>
    <row r="268" spans="1:5" x14ac:dyDescent="0.35">
      <c r="A268" t="s">
        <v>2954</v>
      </c>
      <c r="B268" t="s">
        <v>951</v>
      </c>
      <c r="C268" t="s">
        <v>663</v>
      </c>
      <c r="D268" s="3">
        <v>1</v>
      </c>
      <c r="E268" s="2">
        <v>1400</v>
      </c>
    </row>
    <row r="269" spans="1:5" x14ac:dyDescent="0.35">
      <c r="A269" t="s">
        <v>2955</v>
      </c>
      <c r="B269" t="s">
        <v>952</v>
      </c>
      <c r="C269" t="s">
        <v>658</v>
      </c>
      <c r="D269" s="3">
        <v>1</v>
      </c>
      <c r="E269" s="2">
        <v>750</v>
      </c>
    </row>
    <row r="270" spans="1:5" x14ac:dyDescent="0.35">
      <c r="A270" t="s">
        <v>2956</v>
      </c>
      <c r="B270" t="s">
        <v>953</v>
      </c>
      <c r="C270" t="s">
        <v>649</v>
      </c>
      <c r="D270" s="3">
        <v>1</v>
      </c>
      <c r="E270" s="2">
        <v>800</v>
      </c>
    </row>
    <row r="271" spans="1:5" x14ac:dyDescent="0.35">
      <c r="A271" t="s">
        <v>2957</v>
      </c>
      <c r="B271" t="s">
        <v>954</v>
      </c>
      <c r="C271" t="s">
        <v>658</v>
      </c>
      <c r="D271" s="3">
        <v>1</v>
      </c>
      <c r="E271" s="2">
        <v>750</v>
      </c>
    </row>
    <row r="272" spans="1:5" x14ac:dyDescent="0.35">
      <c r="A272" t="s">
        <v>2958</v>
      </c>
      <c r="B272" t="s">
        <v>955</v>
      </c>
      <c r="C272" t="s">
        <v>629</v>
      </c>
      <c r="D272" s="3">
        <v>1</v>
      </c>
      <c r="E272" s="2">
        <v>300</v>
      </c>
    </row>
    <row r="273" spans="1:5" x14ac:dyDescent="0.35">
      <c r="A273" t="s">
        <v>2959</v>
      </c>
      <c r="B273" t="s">
        <v>956</v>
      </c>
      <c r="C273" t="s">
        <v>638</v>
      </c>
      <c r="D273" s="3">
        <v>1</v>
      </c>
      <c r="E273" s="2">
        <v>150</v>
      </c>
    </row>
    <row r="274" spans="1:5" x14ac:dyDescent="0.35">
      <c r="A274" t="s">
        <v>2960</v>
      </c>
      <c r="B274" t="s">
        <v>957</v>
      </c>
      <c r="C274" t="s">
        <v>623</v>
      </c>
      <c r="D274" s="3">
        <v>3</v>
      </c>
      <c r="E274" s="2">
        <v>3600</v>
      </c>
    </row>
    <row r="275" spans="1:5" x14ac:dyDescent="0.35">
      <c r="A275" t="s">
        <v>2961</v>
      </c>
      <c r="B275" t="s">
        <v>958</v>
      </c>
      <c r="C275" t="s">
        <v>635</v>
      </c>
      <c r="D275" s="3">
        <v>1</v>
      </c>
      <c r="E275" s="2">
        <v>180</v>
      </c>
    </row>
    <row r="276" spans="1:5" x14ac:dyDescent="0.35">
      <c r="A276" t="s">
        <v>2962</v>
      </c>
      <c r="B276" t="s">
        <v>959</v>
      </c>
      <c r="C276" t="s">
        <v>663</v>
      </c>
      <c r="D276" s="3">
        <v>1</v>
      </c>
      <c r="E276" s="2">
        <v>1400</v>
      </c>
    </row>
    <row r="277" spans="1:5" x14ac:dyDescent="0.35">
      <c r="A277" t="s">
        <v>2963</v>
      </c>
      <c r="B277" t="s">
        <v>960</v>
      </c>
      <c r="C277" t="s">
        <v>667</v>
      </c>
      <c r="D277" s="3">
        <v>1</v>
      </c>
      <c r="E277" s="2">
        <v>550</v>
      </c>
    </row>
    <row r="278" spans="1:5" x14ac:dyDescent="0.35">
      <c r="A278" t="s">
        <v>2964</v>
      </c>
      <c r="B278" t="s">
        <v>961</v>
      </c>
      <c r="C278" t="s">
        <v>641</v>
      </c>
      <c r="D278" s="3">
        <v>1</v>
      </c>
      <c r="E278" s="2">
        <v>1800</v>
      </c>
    </row>
    <row r="279" spans="1:5" x14ac:dyDescent="0.35">
      <c r="A279" t="s">
        <v>2965</v>
      </c>
      <c r="B279" t="s">
        <v>962</v>
      </c>
      <c r="C279" t="s">
        <v>667</v>
      </c>
      <c r="D279" s="3">
        <v>1</v>
      </c>
      <c r="E279" s="2">
        <v>550</v>
      </c>
    </row>
    <row r="280" spans="1:5" x14ac:dyDescent="0.35">
      <c r="A280" t="s">
        <v>2966</v>
      </c>
      <c r="B280" t="s">
        <v>963</v>
      </c>
      <c r="C280" t="s">
        <v>660</v>
      </c>
      <c r="D280" s="3">
        <v>1</v>
      </c>
      <c r="E280" s="2">
        <v>6500</v>
      </c>
    </row>
    <row r="281" spans="1:5" x14ac:dyDescent="0.35">
      <c r="A281" t="s">
        <v>2967</v>
      </c>
      <c r="B281" t="s">
        <v>964</v>
      </c>
      <c r="C281" t="s">
        <v>665</v>
      </c>
      <c r="D281" s="3">
        <v>1</v>
      </c>
      <c r="E281" s="2">
        <v>700</v>
      </c>
    </row>
    <row r="282" spans="1:5" x14ac:dyDescent="0.35">
      <c r="A282" t="s">
        <v>2968</v>
      </c>
      <c r="B282" t="s">
        <v>965</v>
      </c>
      <c r="C282" t="s">
        <v>623</v>
      </c>
      <c r="D282" s="3">
        <v>1</v>
      </c>
      <c r="E282" s="2">
        <v>1200</v>
      </c>
    </row>
    <row r="283" spans="1:5" x14ac:dyDescent="0.35">
      <c r="A283" t="s">
        <v>2969</v>
      </c>
      <c r="B283" t="s">
        <v>966</v>
      </c>
      <c r="C283" t="s">
        <v>643</v>
      </c>
      <c r="D283" s="3">
        <v>1</v>
      </c>
      <c r="E283" s="2">
        <v>2200</v>
      </c>
    </row>
    <row r="284" spans="1:5" x14ac:dyDescent="0.35">
      <c r="A284" t="s">
        <v>2970</v>
      </c>
      <c r="B284" t="s">
        <v>967</v>
      </c>
      <c r="C284" t="s">
        <v>643</v>
      </c>
      <c r="D284" s="3">
        <v>1</v>
      </c>
      <c r="E284" s="2">
        <v>2200</v>
      </c>
    </row>
    <row r="285" spans="1:5" x14ac:dyDescent="0.35">
      <c r="A285" t="s">
        <v>2971</v>
      </c>
      <c r="B285" t="s">
        <v>968</v>
      </c>
      <c r="C285" t="s">
        <v>656</v>
      </c>
      <c r="D285" s="3">
        <v>1</v>
      </c>
      <c r="E285" s="2">
        <v>350</v>
      </c>
    </row>
    <row r="286" spans="1:5" x14ac:dyDescent="0.35">
      <c r="A286" t="s">
        <v>2972</v>
      </c>
      <c r="B286" t="s">
        <v>969</v>
      </c>
      <c r="C286" t="s">
        <v>654</v>
      </c>
      <c r="D286" s="3">
        <v>1</v>
      </c>
      <c r="E286" s="2">
        <v>100</v>
      </c>
    </row>
    <row r="287" spans="1:5" x14ac:dyDescent="0.35">
      <c r="A287" t="s">
        <v>2973</v>
      </c>
      <c r="B287" t="s">
        <v>970</v>
      </c>
      <c r="C287" t="s">
        <v>633</v>
      </c>
      <c r="D287" s="3">
        <v>1</v>
      </c>
      <c r="E287" s="2">
        <v>450</v>
      </c>
    </row>
    <row r="288" spans="1:5" x14ac:dyDescent="0.35">
      <c r="A288" t="s">
        <v>2974</v>
      </c>
      <c r="B288" t="s">
        <v>971</v>
      </c>
      <c r="C288" t="s">
        <v>626</v>
      </c>
      <c r="D288" s="3">
        <v>1</v>
      </c>
      <c r="E288" s="2">
        <v>5000</v>
      </c>
    </row>
    <row r="289" spans="1:5" x14ac:dyDescent="0.35">
      <c r="A289" t="s">
        <v>2975</v>
      </c>
      <c r="B289" t="s">
        <v>972</v>
      </c>
      <c r="C289" t="s">
        <v>669</v>
      </c>
      <c r="D289" s="3">
        <v>2</v>
      </c>
      <c r="E289" s="2">
        <v>1200</v>
      </c>
    </row>
    <row r="290" spans="1:5" x14ac:dyDescent="0.35">
      <c r="A290" t="s">
        <v>2976</v>
      </c>
      <c r="B290" t="s">
        <v>973</v>
      </c>
      <c r="C290" t="s">
        <v>660</v>
      </c>
      <c r="D290" s="3">
        <v>1</v>
      </c>
      <c r="E290" s="2">
        <v>6500</v>
      </c>
    </row>
    <row r="291" spans="1:5" x14ac:dyDescent="0.35">
      <c r="A291" t="s">
        <v>2977</v>
      </c>
      <c r="B291" t="s">
        <v>974</v>
      </c>
      <c r="C291" t="s">
        <v>645</v>
      </c>
      <c r="D291" s="3">
        <v>1</v>
      </c>
      <c r="E291" s="2">
        <v>3500</v>
      </c>
    </row>
    <row r="292" spans="1:5" x14ac:dyDescent="0.35">
      <c r="A292" t="s">
        <v>2978</v>
      </c>
      <c r="B292" t="s">
        <v>975</v>
      </c>
      <c r="C292" t="s">
        <v>651</v>
      </c>
      <c r="D292" s="3">
        <v>1</v>
      </c>
      <c r="E292" s="2">
        <v>120</v>
      </c>
    </row>
    <row r="293" spans="1:5" x14ac:dyDescent="0.35">
      <c r="A293" t="s">
        <v>2979</v>
      </c>
      <c r="B293" t="s">
        <v>976</v>
      </c>
      <c r="C293" t="s">
        <v>643</v>
      </c>
      <c r="D293" s="3">
        <v>1</v>
      </c>
      <c r="E293" s="2">
        <v>2200</v>
      </c>
    </row>
    <row r="294" spans="1:5" x14ac:dyDescent="0.35">
      <c r="A294" t="s">
        <v>2980</v>
      </c>
      <c r="B294" t="s">
        <v>977</v>
      </c>
      <c r="C294" t="s">
        <v>629</v>
      </c>
      <c r="D294" s="3">
        <v>1</v>
      </c>
      <c r="E294" s="2">
        <v>300</v>
      </c>
    </row>
    <row r="295" spans="1:5" x14ac:dyDescent="0.35">
      <c r="A295" t="s">
        <v>2981</v>
      </c>
      <c r="B295" t="s">
        <v>978</v>
      </c>
      <c r="C295" t="s">
        <v>629</v>
      </c>
      <c r="D295" s="3">
        <v>1</v>
      </c>
      <c r="E295" s="2">
        <v>300</v>
      </c>
    </row>
    <row r="296" spans="1:5" x14ac:dyDescent="0.35">
      <c r="A296" t="s">
        <v>2982</v>
      </c>
      <c r="B296" t="s">
        <v>979</v>
      </c>
      <c r="C296" t="s">
        <v>651</v>
      </c>
      <c r="D296" s="3">
        <v>1</v>
      </c>
      <c r="E296" s="2">
        <v>120</v>
      </c>
    </row>
    <row r="297" spans="1:5" x14ac:dyDescent="0.35">
      <c r="A297" t="s">
        <v>2983</v>
      </c>
      <c r="B297" t="s">
        <v>980</v>
      </c>
      <c r="C297" t="s">
        <v>658</v>
      </c>
      <c r="D297" s="3">
        <v>3</v>
      </c>
      <c r="E297" s="2">
        <v>2250</v>
      </c>
    </row>
    <row r="298" spans="1:5" x14ac:dyDescent="0.35">
      <c r="A298" t="s">
        <v>2984</v>
      </c>
      <c r="B298" t="s">
        <v>981</v>
      </c>
      <c r="C298" t="s">
        <v>643</v>
      </c>
      <c r="D298" s="3">
        <v>1</v>
      </c>
      <c r="E298" s="2">
        <v>2200</v>
      </c>
    </row>
    <row r="299" spans="1:5" x14ac:dyDescent="0.35">
      <c r="A299" t="s">
        <v>2985</v>
      </c>
      <c r="B299" t="s">
        <v>982</v>
      </c>
      <c r="C299" t="s">
        <v>645</v>
      </c>
      <c r="D299" s="3">
        <v>2</v>
      </c>
      <c r="E299" s="2">
        <v>7000</v>
      </c>
    </row>
    <row r="300" spans="1:5" x14ac:dyDescent="0.35">
      <c r="A300" t="s">
        <v>2986</v>
      </c>
      <c r="B300" t="s">
        <v>983</v>
      </c>
      <c r="C300" t="s">
        <v>620</v>
      </c>
      <c r="D300" s="3">
        <v>1</v>
      </c>
      <c r="E300" s="2">
        <v>50</v>
      </c>
    </row>
    <row r="301" spans="1:5" x14ac:dyDescent="0.35">
      <c r="A301" t="s">
        <v>2987</v>
      </c>
      <c r="B301" t="s">
        <v>984</v>
      </c>
      <c r="C301" t="s">
        <v>663</v>
      </c>
      <c r="D301" s="3">
        <v>1</v>
      </c>
      <c r="E301" s="2">
        <v>1400</v>
      </c>
    </row>
    <row r="302" spans="1:5" x14ac:dyDescent="0.35">
      <c r="A302" t="s">
        <v>2988</v>
      </c>
      <c r="B302" t="s">
        <v>985</v>
      </c>
      <c r="C302" t="s">
        <v>651</v>
      </c>
      <c r="D302" s="3">
        <v>1</v>
      </c>
      <c r="E302" s="2">
        <v>120</v>
      </c>
    </row>
    <row r="303" spans="1:5" x14ac:dyDescent="0.35">
      <c r="A303" t="s">
        <v>2989</v>
      </c>
      <c r="B303" t="s">
        <v>986</v>
      </c>
      <c r="C303" t="s">
        <v>663</v>
      </c>
      <c r="D303" s="3">
        <v>1</v>
      </c>
      <c r="E303" s="2">
        <v>1400</v>
      </c>
    </row>
    <row r="304" spans="1:5" x14ac:dyDescent="0.35">
      <c r="A304" t="s">
        <v>2990</v>
      </c>
      <c r="B304" t="s">
        <v>987</v>
      </c>
      <c r="C304" t="s">
        <v>626</v>
      </c>
      <c r="D304" s="3">
        <v>1</v>
      </c>
      <c r="E304" s="2">
        <v>5000</v>
      </c>
    </row>
    <row r="305" spans="1:5" x14ac:dyDescent="0.35">
      <c r="A305" t="s">
        <v>2991</v>
      </c>
      <c r="B305" t="s">
        <v>988</v>
      </c>
      <c r="C305" t="s">
        <v>667</v>
      </c>
      <c r="D305" s="3">
        <v>1</v>
      </c>
      <c r="E305" s="2">
        <v>550</v>
      </c>
    </row>
    <row r="306" spans="1:5" x14ac:dyDescent="0.35">
      <c r="A306" t="s">
        <v>2992</v>
      </c>
      <c r="B306" t="s">
        <v>989</v>
      </c>
      <c r="C306" t="s">
        <v>658</v>
      </c>
      <c r="D306" s="3">
        <v>1</v>
      </c>
      <c r="E306" s="2">
        <v>750</v>
      </c>
    </row>
    <row r="307" spans="1:5" x14ac:dyDescent="0.35">
      <c r="A307" t="s">
        <v>2993</v>
      </c>
      <c r="B307" t="s">
        <v>990</v>
      </c>
      <c r="C307" t="s">
        <v>631</v>
      </c>
      <c r="D307" s="3">
        <v>1</v>
      </c>
      <c r="E307" s="2">
        <v>900</v>
      </c>
    </row>
    <row r="308" spans="1:5" x14ac:dyDescent="0.35">
      <c r="A308" t="s">
        <v>2994</v>
      </c>
      <c r="B308" t="s">
        <v>991</v>
      </c>
      <c r="C308" t="s">
        <v>669</v>
      </c>
      <c r="D308" s="3">
        <v>1</v>
      </c>
      <c r="E308" s="2">
        <v>600</v>
      </c>
    </row>
    <row r="309" spans="1:5" x14ac:dyDescent="0.35">
      <c r="A309" t="s">
        <v>2995</v>
      </c>
      <c r="B309" t="s">
        <v>992</v>
      </c>
      <c r="C309" t="s">
        <v>660</v>
      </c>
      <c r="D309" s="3">
        <v>1</v>
      </c>
      <c r="E309" s="2">
        <v>6500</v>
      </c>
    </row>
    <row r="310" spans="1:5" x14ac:dyDescent="0.35">
      <c r="A310" t="s">
        <v>2996</v>
      </c>
      <c r="B310" t="s">
        <v>993</v>
      </c>
      <c r="C310" t="s">
        <v>643</v>
      </c>
      <c r="D310" s="3">
        <v>1</v>
      </c>
      <c r="E310" s="2">
        <v>2200</v>
      </c>
    </row>
    <row r="311" spans="1:5" x14ac:dyDescent="0.35">
      <c r="A311" t="s">
        <v>2997</v>
      </c>
      <c r="B311" t="s">
        <v>994</v>
      </c>
      <c r="C311" t="s">
        <v>671</v>
      </c>
      <c r="D311" s="3">
        <v>1</v>
      </c>
      <c r="E311" s="2">
        <v>400</v>
      </c>
    </row>
    <row r="312" spans="1:5" x14ac:dyDescent="0.35">
      <c r="A312" t="s">
        <v>2998</v>
      </c>
      <c r="B312" t="s">
        <v>995</v>
      </c>
      <c r="C312" t="s">
        <v>620</v>
      </c>
      <c r="D312" s="3">
        <v>1</v>
      </c>
      <c r="E312" s="2">
        <v>50</v>
      </c>
    </row>
    <row r="313" spans="1:5" x14ac:dyDescent="0.35">
      <c r="A313" t="s">
        <v>2999</v>
      </c>
      <c r="B313" t="s">
        <v>996</v>
      </c>
      <c r="C313" t="s">
        <v>635</v>
      </c>
      <c r="D313" s="3">
        <v>2</v>
      </c>
      <c r="E313" s="2">
        <v>360</v>
      </c>
    </row>
    <row r="314" spans="1:5" x14ac:dyDescent="0.35">
      <c r="A314" t="s">
        <v>3000</v>
      </c>
      <c r="B314" t="s">
        <v>997</v>
      </c>
      <c r="C314" t="s">
        <v>643</v>
      </c>
      <c r="D314" s="3">
        <v>1</v>
      </c>
      <c r="E314" s="2">
        <v>2200</v>
      </c>
    </row>
    <row r="315" spans="1:5" x14ac:dyDescent="0.35">
      <c r="A315" t="s">
        <v>3001</v>
      </c>
      <c r="B315" t="s">
        <v>998</v>
      </c>
      <c r="C315" t="s">
        <v>629</v>
      </c>
      <c r="D315" s="3">
        <v>2</v>
      </c>
      <c r="E315" s="2">
        <v>600</v>
      </c>
    </row>
    <row r="316" spans="1:5" x14ac:dyDescent="0.35">
      <c r="A316" t="s">
        <v>3002</v>
      </c>
      <c r="B316" t="s">
        <v>999</v>
      </c>
      <c r="C316" t="s">
        <v>658</v>
      </c>
      <c r="D316" s="3">
        <v>1</v>
      </c>
      <c r="E316" s="2">
        <v>750</v>
      </c>
    </row>
    <row r="317" spans="1:5" x14ac:dyDescent="0.35">
      <c r="A317" t="s">
        <v>3003</v>
      </c>
      <c r="B317" t="s">
        <v>1000</v>
      </c>
      <c r="C317" t="s">
        <v>669</v>
      </c>
      <c r="D317" s="3">
        <v>1</v>
      </c>
      <c r="E317" s="2">
        <v>600</v>
      </c>
    </row>
    <row r="318" spans="1:5" x14ac:dyDescent="0.35">
      <c r="A318" t="s">
        <v>3004</v>
      </c>
      <c r="B318" t="s">
        <v>1001</v>
      </c>
      <c r="C318" t="s">
        <v>658</v>
      </c>
      <c r="D318" s="3">
        <v>1</v>
      </c>
      <c r="E318" s="2">
        <v>750</v>
      </c>
    </row>
    <row r="319" spans="1:5" x14ac:dyDescent="0.35">
      <c r="A319" t="s">
        <v>3005</v>
      </c>
      <c r="B319" t="s">
        <v>1002</v>
      </c>
      <c r="C319" t="s">
        <v>649</v>
      </c>
      <c r="D319" s="3">
        <v>1</v>
      </c>
      <c r="E319" s="2">
        <v>800</v>
      </c>
    </row>
    <row r="320" spans="1:5" x14ac:dyDescent="0.35">
      <c r="A320" t="s">
        <v>3006</v>
      </c>
      <c r="B320" t="s">
        <v>1003</v>
      </c>
      <c r="C320" t="s">
        <v>667</v>
      </c>
      <c r="D320" s="3">
        <v>1</v>
      </c>
      <c r="E320" s="2">
        <v>550</v>
      </c>
    </row>
    <row r="321" spans="1:5" x14ac:dyDescent="0.35">
      <c r="A321" t="s">
        <v>3007</v>
      </c>
      <c r="B321" t="s">
        <v>1004</v>
      </c>
      <c r="C321" t="s">
        <v>641</v>
      </c>
      <c r="D321" s="3">
        <v>2</v>
      </c>
      <c r="E321" s="2">
        <v>3600</v>
      </c>
    </row>
    <row r="322" spans="1:5" x14ac:dyDescent="0.35">
      <c r="A322" t="s">
        <v>3008</v>
      </c>
      <c r="B322" t="s">
        <v>1005</v>
      </c>
      <c r="C322" t="s">
        <v>623</v>
      </c>
      <c r="D322" s="3">
        <v>1</v>
      </c>
      <c r="E322" s="2">
        <v>1200</v>
      </c>
    </row>
    <row r="323" spans="1:5" x14ac:dyDescent="0.35">
      <c r="A323" t="s">
        <v>3009</v>
      </c>
      <c r="B323" t="s">
        <v>1006</v>
      </c>
      <c r="C323" t="s">
        <v>638</v>
      </c>
      <c r="D323" s="3">
        <v>3</v>
      </c>
      <c r="E323" s="2">
        <v>450</v>
      </c>
    </row>
    <row r="324" spans="1:5" x14ac:dyDescent="0.35">
      <c r="A324" t="s">
        <v>3010</v>
      </c>
      <c r="B324" t="s">
        <v>1007</v>
      </c>
      <c r="C324" t="s">
        <v>623</v>
      </c>
      <c r="D324" s="3">
        <v>1</v>
      </c>
      <c r="E324" s="2">
        <v>1200</v>
      </c>
    </row>
    <row r="325" spans="1:5" x14ac:dyDescent="0.35">
      <c r="A325" t="s">
        <v>3011</v>
      </c>
      <c r="B325" t="s">
        <v>1008</v>
      </c>
      <c r="C325" t="s">
        <v>643</v>
      </c>
      <c r="D325" s="3">
        <v>1</v>
      </c>
      <c r="E325" s="2">
        <v>2200</v>
      </c>
    </row>
    <row r="326" spans="1:5" x14ac:dyDescent="0.35">
      <c r="A326" t="s">
        <v>3012</v>
      </c>
      <c r="B326" t="s">
        <v>1009</v>
      </c>
      <c r="C326" t="s">
        <v>645</v>
      </c>
      <c r="D326" s="3">
        <v>1</v>
      </c>
      <c r="E326" s="2">
        <v>3500</v>
      </c>
    </row>
    <row r="327" spans="1:5" x14ac:dyDescent="0.35">
      <c r="A327" t="s">
        <v>3013</v>
      </c>
      <c r="B327" t="s">
        <v>1010</v>
      </c>
      <c r="C327" t="s">
        <v>645</v>
      </c>
      <c r="D327" s="3">
        <v>1</v>
      </c>
      <c r="E327" s="2">
        <v>3500</v>
      </c>
    </row>
    <row r="328" spans="1:5" x14ac:dyDescent="0.35">
      <c r="A328" t="s">
        <v>3014</v>
      </c>
      <c r="B328" t="s">
        <v>1011</v>
      </c>
      <c r="C328" t="s">
        <v>623</v>
      </c>
      <c r="D328" s="3">
        <v>1</v>
      </c>
      <c r="E328" s="2">
        <v>1200</v>
      </c>
    </row>
    <row r="329" spans="1:5" x14ac:dyDescent="0.35">
      <c r="A329" t="s">
        <v>3015</v>
      </c>
      <c r="B329" t="s">
        <v>1012</v>
      </c>
      <c r="C329" t="s">
        <v>665</v>
      </c>
      <c r="D329" s="3">
        <v>3</v>
      </c>
      <c r="E329" s="2">
        <v>2100</v>
      </c>
    </row>
    <row r="330" spans="1:5" x14ac:dyDescent="0.35">
      <c r="A330" t="s">
        <v>3016</v>
      </c>
      <c r="B330" t="s">
        <v>1013</v>
      </c>
      <c r="C330" t="s">
        <v>633</v>
      </c>
      <c r="D330" s="3">
        <v>1</v>
      </c>
      <c r="E330" s="2">
        <v>450</v>
      </c>
    </row>
    <row r="331" spans="1:5" x14ac:dyDescent="0.35">
      <c r="A331" t="s">
        <v>3017</v>
      </c>
      <c r="B331" t="s">
        <v>1014</v>
      </c>
      <c r="C331" t="s">
        <v>649</v>
      </c>
      <c r="D331" s="3">
        <v>3</v>
      </c>
      <c r="E331" s="2">
        <v>2400</v>
      </c>
    </row>
    <row r="332" spans="1:5" x14ac:dyDescent="0.35">
      <c r="A332" t="s">
        <v>3018</v>
      </c>
      <c r="B332" t="s">
        <v>1015</v>
      </c>
      <c r="C332" t="s">
        <v>671</v>
      </c>
      <c r="D332" s="3">
        <v>1</v>
      </c>
      <c r="E332" s="2">
        <v>400</v>
      </c>
    </row>
    <row r="333" spans="1:5" x14ac:dyDescent="0.35">
      <c r="A333" t="s">
        <v>3019</v>
      </c>
      <c r="B333" t="s">
        <v>1016</v>
      </c>
      <c r="C333" t="s">
        <v>643</v>
      </c>
      <c r="D333" s="3">
        <v>1</v>
      </c>
      <c r="E333" s="2">
        <v>2200</v>
      </c>
    </row>
    <row r="334" spans="1:5" x14ac:dyDescent="0.35">
      <c r="A334" t="s">
        <v>3020</v>
      </c>
      <c r="B334" t="s">
        <v>1017</v>
      </c>
      <c r="C334" t="s">
        <v>633</v>
      </c>
      <c r="D334" s="3">
        <v>1</v>
      </c>
      <c r="E334" s="2">
        <v>450</v>
      </c>
    </row>
    <row r="335" spans="1:5" x14ac:dyDescent="0.35">
      <c r="A335" t="s">
        <v>3021</v>
      </c>
      <c r="B335" t="s">
        <v>1018</v>
      </c>
      <c r="C335" t="s">
        <v>673</v>
      </c>
      <c r="D335" s="3">
        <v>1</v>
      </c>
      <c r="E335" s="2">
        <v>300</v>
      </c>
    </row>
    <row r="336" spans="1:5" x14ac:dyDescent="0.35">
      <c r="A336" t="s">
        <v>3022</v>
      </c>
      <c r="B336" t="s">
        <v>1019</v>
      </c>
      <c r="C336" t="s">
        <v>665</v>
      </c>
      <c r="D336" s="3">
        <v>1</v>
      </c>
      <c r="E336" s="2">
        <v>700</v>
      </c>
    </row>
    <row r="337" spans="1:5" x14ac:dyDescent="0.35">
      <c r="A337" t="s">
        <v>3023</v>
      </c>
      <c r="B337" t="s">
        <v>1020</v>
      </c>
      <c r="C337" t="s">
        <v>641</v>
      </c>
      <c r="D337" s="3">
        <v>2</v>
      </c>
      <c r="E337" s="2">
        <v>3600</v>
      </c>
    </row>
    <row r="338" spans="1:5" x14ac:dyDescent="0.35">
      <c r="A338" t="s">
        <v>3024</v>
      </c>
      <c r="B338" t="s">
        <v>1021</v>
      </c>
      <c r="C338" t="s">
        <v>643</v>
      </c>
      <c r="D338" s="3">
        <v>2</v>
      </c>
      <c r="E338" s="2">
        <v>4400</v>
      </c>
    </row>
    <row r="339" spans="1:5" x14ac:dyDescent="0.35">
      <c r="A339" t="s">
        <v>3025</v>
      </c>
      <c r="B339" t="s">
        <v>1022</v>
      </c>
      <c r="C339" t="s">
        <v>651</v>
      </c>
      <c r="D339" s="3">
        <v>1</v>
      </c>
      <c r="E339" s="2">
        <v>120</v>
      </c>
    </row>
    <row r="340" spans="1:5" x14ac:dyDescent="0.35">
      <c r="A340" t="s">
        <v>3026</v>
      </c>
      <c r="B340" t="s">
        <v>1023</v>
      </c>
      <c r="C340" t="s">
        <v>660</v>
      </c>
      <c r="D340" s="3">
        <v>1</v>
      </c>
      <c r="E340" s="2">
        <v>6500</v>
      </c>
    </row>
    <row r="341" spans="1:5" x14ac:dyDescent="0.35">
      <c r="A341" t="s">
        <v>3027</v>
      </c>
      <c r="B341" t="s">
        <v>1024</v>
      </c>
      <c r="C341" t="s">
        <v>654</v>
      </c>
      <c r="D341" s="3">
        <v>1</v>
      </c>
      <c r="E341" s="2">
        <v>100</v>
      </c>
    </row>
    <row r="342" spans="1:5" x14ac:dyDescent="0.35">
      <c r="A342" t="s">
        <v>3028</v>
      </c>
      <c r="B342" t="s">
        <v>1025</v>
      </c>
      <c r="C342" t="s">
        <v>667</v>
      </c>
      <c r="D342" s="3">
        <v>1</v>
      </c>
      <c r="E342" s="2">
        <v>550</v>
      </c>
    </row>
    <row r="343" spans="1:5" x14ac:dyDescent="0.35">
      <c r="A343" t="s">
        <v>3029</v>
      </c>
      <c r="B343" t="s">
        <v>1026</v>
      </c>
      <c r="C343" t="s">
        <v>665</v>
      </c>
      <c r="D343" s="3">
        <v>1</v>
      </c>
      <c r="E343" s="2">
        <v>700</v>
      </c>
    </row>
    <row r="344" spans="1:5" x14ac:dyDescent="0.35">
      <c r="A344" t="s">
        <v>3030</v>
      </c>
      <c r="B344" t="s">
        <v>1027</v>
      </c>
      <c r="C344" t="s">
        <v>663</v>
      </c>
      <c r="D344" s="3">
        <v>1</v>
      </c>
      <c r="E344" s="2">
        <v>1400</v>
      </c>
    </row>
    <row r="345" spans="1:5" x14ac:dyDescent="0.35">
      <c r="A345" t="s">
        <v>3031</v>
      </c>
      <c r="B345" t="s">
        <v>1028</v>
      </c>
      <c r="C345" t="s">
        <v>645</v>
      </c>
      <c r="D345" s="3">
        <v>1</v>
      </c>
      <c r="E345" s="2">
        <v>3500</v>
      </c>
    </row>
    <row r="346" spans="1:5" x14ac:dyDescent="0.35">
      <c r="A346" t="s">
        <v>3032</v>
      </c>
      <c r="B346" t="s">
        <v>1029</v>
      </c>
      <c r="C346" t="s">
        <v>658</v>
      </c>
      <c r="D346" s="3">
        <v>1</v>
      </c>
      <c r="E346" s="2">
        <v>750</v>
      </c>
    </row>
    <row r="347" spans="1:5" x14ac:dyDescent="0.35">
      <c r="A347" t="s">
        <v>3033</v>
      </c>
      <c r="B347" t="s">
        <v>1030</v>
      </c>
      <c r="C347" t="s">
        <v>669</v>
      </c>
      <c r="D347" s="3">
        <v>1</v>
      </c>
      <c r="E347" s="2">
        <v>600</v>
      </c>
    </row>
    <row r="348" spans="1:5" x14ac:dyDescent="0.35">
      <c r="A348" t="s">
        <v>3034</v>
      </c>
      <c r="B348" t="s">
        <v>1031</v>
      </c>
      <c r="C348" t="s">
        <v>647</v>
      </c>
      <c r="D348" s="3">
        <v>1</v>
      </c>
      <c r="E348" s="2">
        <v>4200</v>
      </c>
    </row>
    <row r="349" spans="1:5" x14ac:dyDescent="0.35">
      <c r="A349" t="s">
        <v>3035</v>
      </c>
      <c r="B349" t="s">
        <v>1032</v>
      </c>
      <c r="C349" t="s">
        <v>629</v>
      </c>
      <c r="D349" s="3">
        <v>1</v>
      </c>
      <c r="E349" s="2">
        <v>300</v>
      </c>
    </row>
    <row r="350" spans="1:5" x14ac:dyDescent="0.35">
      <c r="A350" t="s">
        <v>3036</v>
      </c>
      <c r="B350" t="s">
        <v>1033</v>
      </c>
      <c r="C350" t="s">
        <v>626</v>
      </c>
      <c r="D350" s="3">
        <v>1</v>
      </c>
      <c r="E350" s="2">
        <v>5000</v>
      </c>
    </row>
    <row r="351" spans="1:5" x14ac:dyDescent="0.35">
      <c r="A351" t="s">
        <v>3037</v>
      </c>
      <c r="B351" t="s">
        <v>1034</v>
      </c>
      <c r="C351" t="s">
        <v>649</v>
      </c>
      <c r="D351" s="3">
        <v>1</v>
      </c>
      <c r="E351" s="2">
        <v>800</v>
      </c>
    </row>
    <row r="352" spans="1:5" x14ac:dyDescent="0.35">
      <c r="A352" t="s">
        <v>3038</v>
      </c>
      <c r="B352" t="s">
        <v>1035</v>
      </c>
      <c r="C352" t="s">
        <v>635</v>
      </c>
      <c r="D352" s="3">
        <v>3</v>
      </c>
      <c r="E352" s="2">
        <v>540</v>
      </c>
    </row>
    <row r="353" spans="1:5" x14ac:dyDescent="0.35">
      <c r="A353" t="s">
        <v>3039</v>
      </c>
      <c r="B353" t="s">
        <v>1036</v>
      </c>
      <c r="C353" t="s">
        <v>638</v>
      </c>
      <c r="D353" s="3">
        <v>1</v>
      </c>
      <c r="E353" s="2">
        <v>150</v>
      </c>
    </row>
    <row r="354" spans="1:5" x14ac:dyDescent="0.35">
      <c r="A354" t="s">
        <v>3040</v>
      </c>
      <c r="B354" t="s">
        <v>1037</v>
      </c>
      <c r="C354" t="s">
        <v>673</v>
      </c>
      <c r="D354" s="3">
        <v>1</v>
      </c>
      <c r="E354" s="2">
        <v>300</v>
      </c>
    </row>
    <row r="355" spans="1:5" x14ac:dyDescent="0.35">
      <c r="A355" t="s">
        <v>3041</v>
      </c>
      <c r="B355" t="s">
        <v>1038</v>
      </c>
      <c r="C355" t="s">
        <v>660</v>
      </c>
      <c r="D355" s="3">
        <v>1</v>
      </c>
      <c r="E355" s="2">
        <v>6500</v>
      </c>
    </row>
    <row r="356" spans="1:5" x14ac:dyDescent="0.35">
      <c r="A356" t="s">
        <v>3042</v>
      </c>
      <c r="B356" t="s">
        <v>1039</v>
      </c>
      <c r="C356" t="s">
        <v>623</v>
      </c>
      <c r="D356" s="3">
        <v>1</v>
      </c>
      <c r="E356" s="2">
        <v>1200</v>
      </c>
    </row>
    <row r="357" spans="1:5" x14ac:dyDescent="0.35">
      <c r="A357" t="s">
        <v>3043</v>
      </c>
      <c r="B357" t="s">
        <v>1040</v>
      </c>
      <c r="C357" t="s">
        <v>629</v>
      </c>
      <c r="D357" s="3">
        <v>1</v>
      </c>
      <c r="E357" s="2">
        <v>300</v>
      </c>
    </row>
    <row r="358" spans="1:5" x14ac:dyDescent="0.35">
      <c r="A358" t="s">
        <v>3044</v>
      </c>
      <c r="B358" t="s">
        <v>1041</v>
      </c>
      <c r="C358" t="s">
        <v>665</v>
      </c>
      <c r="D358" s="3">
        <v>1</v>
      </c>
      <c r="E358" s="2">
        <v>700</v>
      </c>
    </row>
    <row r="359" spans="1:5" x14ac:dyDescent="0.35">
      <c r="A359" t="s">
        <v>3045</v>
      </c>
      <c r="B359" t="s">
        <v>1042</v>
      </c>
      <c r="C359" t="s">
        <v>658</v>
      </c>
      <c r="D359" s="3">
        <v>1</v>
      </c>
      <c r="E359" s="2">
        <v>750</v>
      </c>
    </row>
    <row r="360" spans="1:5" x14ac:dyDescent="0.35">
      <c r="A360" t="s">
        <v>3046</v>
      </c>
      <c r="B360" t="s">
        <v>1043</v>
      </c>
      <c r="C360" t="s">
        <v>617</v>
      </c>
      <c r="D360" s="3">
        <v>3</v>
      </c>
      <c r="E360" s="2">
        <v>600</v>
      </c>
    </row>
    <row r="361" spans="1:5" x14ac:dyDescent="0.35">
      <c r="A361" t="s">
        <v>3047</v>
      </c>
      <c r="B361" t="s">
        <v>1044</v>
      </c>
      <c r="C361" t="s">
        <v>635</v>
      </c>
      <c r="D361" s="3">
        <v>1</v>
      </c>
      <c r="E361" s="2">
        <v>180</v>
      </c>
    </row>
    <row r="362" spans="1:5" x14ac:dyDescent="0.35">
      <c r="A362" t="s">
        <v>3048</v>
      </c>
      <c r="B362" t="s">
        <v>1045</v>
      </c>
      <c r="C362" t="s">
        <v>660</v>
      </c>
      <c r="D362" s="3">
        <v>2</v>
      </c>
      <c r="E362" s="2">
        <v>13000</v>
      </c>
    </row>
    <row r="363" spans="1:5" x14ac:dyDescent="0.35">
      <c r="A363" t="s">
        <v>3049</v>
      </c>
      <c r="B363" t="s">
        <v>1046</v>
      </c>
      <c r="C363" t="s">
        <v>656</v>
      </c>
      <c r="D363" s="3">
        <v>2</v>
      </c>
      <c r="E363" s="2">
        <v>700</v>
      </c>
    </row>
    <row r="364" spans="1:5" x14ac:dyDescent="0.35">
      <c r="A364" t="s">
        <v>3050</v>
      </c>
      <c r="B364" t="s">
        <v>1047</v>
      </c>
      <c r="C364" t="s">
        <v>656</v>
      </c>
      <c r="D364" s="3">
        <v>1</v>
      </c>
      <c r="E364" s="2">
        <v>350</v>
      </c>
    </row>
    <row r="365" spans="1:5" x14ac:dyDescent="0.35">
      <c r="A365" t="s">
        <v>3051</v>
      </c>
      <c r="B365" t="s">
        <v>1048</v>
      </c>
      <c r="C365" t="s">
        <v>643</v>
      </c>
      <c r="D365" s="3">
        <v>1</v>
      </c>
      <c r="E365" s="2">
        <v>2200</v>
      </c>
    </row>
    <row r="366" spans="1:5" x14ac:dyDescent="0.35">
      <c r="A366" t="s">
        <v>3052</v>
      </c>
      <c r="B366" t="s">
        <v>1049</v>
      </c>
      <c r="C366" t="s">
        <v>620</v>
      </c>
      <c r="D366" s="3">
        <v>1</v>
      </c>
      <c r="E366" s="2">
        <v>50</v>
      </c>
    </row>
    <row r="367" spans="1:5" x14ac:dyDescent="0.35">
      <c r="A367" t="s">
        <v>3053</v>
      </c>
      <c r="B367" t="s">
        <v>1050</v>
      </c>
      <c r="C367" t="s">
        <v>631</v>
      </c>
      <c r="D367" s="3">
        <v>1</v>
      </c>
      <c r="E367" s="2">
        <v>900</v>
      </c>
    </row>
    <row r="368" spans="1:5" x14ac:dyDescent="0.35">
      <c r="A368" t="s">
        <v>3054</v>
      </c>
      <c r="B368" t="s">
        <v>1051</v>
      </c>
      <c r="C368" t="s">
        <v>667</v>
      </c>
      <c r="D368" s="3">
        <v>2</v>
      </c>
      <c r="E368" s="2">
        <v>1100</v>
      </c>
    </row>
    <row r="369" spans="1:5" x14ac:dyDescent="0.35">
      <c r="A369" t="s">
        <v>3055</v>
      </c>
      <c r="B369" t="s">
        <v>1052</v>
      </c>
      <c r="C369" t="s">
        <v>649</v>
      </c>
      <c r="D369" s="3">
        <v>1</v>
      </c>
      <c r="E369" s="2">
        <v>800</v>
      </c>
    </row>
    <row r="370" spans="1:5" x14ac:dyDescent="0.35">
      <c r="A370" t="s">
        <v>3056</v>
      </c>
      <c r="B370" t="s">
        <v>1053</v>
      </c>
      <c r="C370" t="s">
        <v>623</v>
      </c>
      <c r="D370" s="3">
        <v>1</v>
      </c>
      <c r="E370" s="2">
        <v>1200</v>
      </c>
    </row>
    <row r="371" spans="1:5" x14ac:dyDescent="0.35">
      <c r="A371" t="s">
        <v>3057</v>
      </c>
      <c r="B371" t="s">
        <v>1054</v>
      </c>
      <c r="C371" t="s">
        <v>645</v>
      </c>
      <c r="D371" s="3">
        <v>1</v>
      </c>
      <c r="E371" s="2">
        <v>3500</v>
      </c>
    </row>
    <row r="372" spans="1:5" x14ac:dyDescent="0.35">
      <c r="A372" t="s">
        <v>3058</v>
      </c>
      <c r="B372" t="s">
        <v>1055</v>
      </c>
      <c r="C372" t="s">
        <v>626</v>
      </c>
      <c r="D372" s="3">
        <v>3</v>
      </c>
      <c r="E372" s="2">
        <v>15000</v>
      </c>
    </row>
    <row r="373" spans="1:5" x14ac:dyDescent="0.35">
      <c r="A373" t="s">
        <v>3059</v>
      </c>
      <c r="B373" t="s">
        <v>1056</v>
      </c>
      <c r="C373" t="s">
        <v>645</v>
      </c>
      <c r="D373" s="3">
        <v>1</v>
      </c>
      <c r="E373" s="2">
        <v>3500</v>
      </c>
    </row>
    <row r="374" spans="1:5" x14ac:dyDescent="0.35">
      <c r="A374" t="s">
        <v>3060</v>
      </c>
      <c r="B374" t="s">
        <v>1057</v>
      </c>
      <c r="C374" t="s">
        <v>647</v>
      </c>
      <c r="D374" s="3">
        <v>2</v>
      </c>
      <c r="E374" s="2">
        <v>8400</v>
      </c>
    </row>
    <row r="375" spans="1:5" x14ac:dyDescent="0.35">
      <c r="A375" t="s">
        <v>3061</v>
      </c>
      <c r="B375" t="s">
        <v>1058</v>
      </c>
      <c r="C375" t="s">
        <v>620</v>
      </c>
      <c r="D375" s="3">
        <v>1</v>
      </c>
      <c r="E375" s="2">
        <v>50</v>
      </c>
    </row>
    <row r="376" spans="1:5" x14ac:dyDescent="0.35">
      <c r="A376" t="s">
        <v>3062</v>
      </c>
      <c r="B376" t="s">
        <v>1059</v>
      </c>
      <c r="C376" t="s">
        <v>620</v>
      </c>
      <c r="D376" s="3">
        <v>1</v>
      </c>
      <c r="E376" s="2">
        <v>50</v>
      </c>
    </row>
    <row r="377" spans="1:5" x14ac:dyDescent="0.35">
      <c r="A377" t="s">
        <v>3063</v>
      </c>
      <c r="B377" t="s">
        <v>1060</v>
      </c>
      <c r="C377" t="s">
        <v>651</v>
      </c>
      <c r="D377" s="3">
        <v>1</v>
      </c>
      <c r="E377" s="2">
        <v>120</v>
      </c>
    </row>
    <row r="378" spans="1:5" x14ac:dyDescent="0.35">
      <c r="A378" t="s">
        <v>3064</v>
      </c>
      <c r="B378" t="s">
        <v>1061</v>
      </c>
      <c r="C378" t="s">
        <v>669</v>
      </c>
      <c r="D378" s="3">
        <v>1</v>
      </c>
      <c r="E378" s="2">
        <v>600</v>
      </c>
    </row>
    <row r="379" spans="1:5" x14ac:dyDescent="0.35">
      <c r="A379" t="s">
        <v>3065</v>
      </c>
      <c r="B379" t="s">
        <v>1062</v>
      </c>
      <c r="C379" t="s">
        <v>656</v>
      </c>
      <c r="D379" s="3">
        <v>1</v>
      </c>
      <c r="E379" s="2">
        <v>350</v>
      </c>
    </row>
    <row r="380" spans="1:5" x14ac:dyDescent="0.35">
      <c r="A380" t="s">
        <v>3066</v>
      </c>
      <c r="B380" t="s">
        <v>1063</v>
      </c>
      <c r="C380" t="s">
        <v>633</v>
      </c>
      <c r="D380" s="3">
        <v>1</v>
      </c>
      <c r="E380" s="2">
        <v>450</v>
      </c>
    </row>
    <row r="381" spans="1:5" x14ac:dyDescent="0.35">
      <c r="A381" t="s">
        <v>3067</v>
      </c>
      <c r="B381" t="s">
        <v>1064</v>
      </c>
      <c r="C381" t="s">
        <v>649</v>
      </c>
      <c r="D381" s="3">
        <v>1</v>
      </c>
      <c r="E381" s="2">
        <v>800</v>
      </c>
    </row>
    <row r="382" spans="1:5" x14ac:dyDescent="0.35">
      <c r="A382" t="s">
        <v>3068</v>
      </c>
      <c r="B382" t="s">
        <v>1065</v>
      </c>
      <c r="C382" t="s">
        <v>645</v>
      </c>
      <c r="D382" s="3">
        <v>1</v>
      </c>
      <c r="E382" s="2">
        <v>3500</v>
      </c>
    </row>
    <row r="383" spans="1:5" x14ac:dyDescent="0.35">
      <c r="A383" t="s">
        <v>3069</v>
      </c>
      <c r="B383" t="s">
        <v>1066</v>
      </c>
      <c r="C383" t="s">
        <v>656</v>
      </c>
      <c r="D383" s="3">
        <v>1</v>
      </c>
      <c r="E383" s="2">
        <v>350</v>
      </c>
    </row>
    <row r="384" spans="1:5" x14ac:dyDescent="0.35">
      <c r="A384" t="s">
        <v>3070</v>
      </c>
      <c r="B384" t="s">
        <v>1067</v>
      </c>
      <c r="C384" t="s">
        <v>649</v>
      </c>
      <c r="D384" s="3">
        <v>1</v>
      </c>
      <c r="E384" s="2">
        <v>800</v>
      </c>
    </row>
    <row r="385" spans="1:5" x14ac:dyDescent="0.35">
      <c r="A385" t="s">
        <v>3071</v>
      </c>
      <c r="B385" t="s">
        <v>1068</v>
      </c>
      <c r="C385" t="s">
        <v>631</v>
      </c>
      <c r="D385" s="3">
        <v>1</v>
      </c>
      <c r="E385" s="2">
        <v>900</v>
      </c>
    </row>
    <row r="386" spans="1:5" x14ac:dyDescent="0.35">
      <c r="A386" t="s">
        <v>3072</v>
      </c>
      <c r="B386" t="s">
        <v>1069</v>
      </c>
      <c r="C386" t="s">
        <v>660</v>
      </c>
      <c r="D386" s="3">
        <v>1</v>
      </c>
      <c r="E386" s="2">
        <v>6500</v>
      </c>
    </row>
    <row r="387" spans="1:5" x14ac:dyDescent="0.35">
      <c r="A387" t="s">
        <v>3073</v>
      </c>
      <c r="B387" t="s">
        <v>1070</v>
      </c>
      <c r="C387" t="s">
        <v>671</v>
      </c>
      <c r="D387" s="3">
        <v>1</v>
      </c>
      <c r="E387" s="2">
        <v>400</v>
      </c>
    </row>
    <row r="388" spans="1:5" x14ac:dyDescent="0.35">
      <c r="A388" t="s">
        <v>3074</v>
      </c>
      <c r="B388" t="s">
        <v>1071</v>
      </c>
      <c r="C388" t="s">
        <v>631</v>
      </c>
      <c r="D388" s="3">
        <v>2</v>
      </c>
      <c r="E388" s="2">
        <v>1800</v>
      </c>
    </row>
    <row r="389" spans="1:5" x14ac:dyDescent="0.35">
      <c r="A389" t="s">
        <v>3075</v>
      </c>
      <c r="B389" t="s">
        <v>1072</v>
      </c>
      <c r="C389" t="s">
        <v>658</v>
      </c>
      <c r="D389" s="3">
        <v>1</v>
      </c>
      <c r="E389" s="2">
        <v>750</v>
      </c>
    </row>
    <row r="390" spans="1:5" x14ac:dyDescent="0.35">
      <c r="A390" t="s">
        <v>3076</v>
      </c>
      <c r="B390" t="s">
        <v>1073</v>
      </c>
      <c r="C390" t="s">
        <v>671</v>
      </c>
      <c r="D390" s="3">
        <v>1</v>
      </c>
      <c r="E390" s="2">
        <v>400</v>
      </c>
    </row>
    <row r="391" spans="1:5" x14ac:dyDescent="0.35">
      <c r="A391" t="s">
        <v>3077</v>
      </c>
      <c r="B391" t="s">
        <v>1074</v>
      </c>
      <c r="C391" t="s">
        <v>629</v>
      </c>
      <c r="D391" s="3">
        <v>2</v>
      </c>
      <c r="E391" s="2">
        <v>600</v>
      </c>
    </row>
    <row r="392" spans="1:5" x14ac:dyDescent="0.35">
      <c r="A392" t="s">
        <v>3078</v>
      </c>
      <c r="B392" t="s">
        <v>1075</v>
      </c>
      <c r="C392" t="s">
        <v>671</v>
      </c>
      <c r="D392" s="3">
        <v>2</v>
      </c>
      <c r="E392" s="2">
        <v>800</v>
      </c>
    </row>
    <row r="393" spans="1:5" x14ac:dyDescent="0.35">
      <c r="A393" t="s">
        <v>3079</v>
      </c>
      <c r="B393" t="s">
        <v>1076</v>
      </c>
      <c r="C393" t="s">
        <v>671</v>
      </c>
      <c r="D393" s="3">
        <v>1</v>
      </c>
      <c r="E393" s="2">
        <v>400</v>
      </c>
    </row>
    <row r="394" spans="1:5" x14ac:dyDescent="0.35">
      <c r="A394" t="s">
        <v>3080</v>
      </c>
      <c r="B394" t="s">
        <v>1077</v>
      </c>
      <c r="C394" t="s">
        <v>631</v>
      </c>
      <c r="D394" s="3">
        <v>1</v>
      </c>
      <c r="E394" s="2">
        <v>900</v>
      </c>
    </row>
    <row r="395" spans="1:5" x14ac:dyDescent="0.35">
      <c r="A395" t="s">
        <v>3081</v>
      </c>
      <c r="B395" t="s">
        <v>1078</v>
      </c>
      <c r="C395" t="s">
        <v>620</v>
      </c>
      <c r="D395" s="3">
        <v>1</v>
      </c>
      <c r="E395" s="2">
        <v>50</v>
      </c>
    </row>
    <row r="396" spans="1:5" x14ac:dyDescent="0.35">
      <c r="A396" t="s">
        <v>3082</v>
      </c>
      <c r="B396" t="s">
        <v>1079</v>
      </c>
      <c r="C396" t="s">
        <v>635</v>
      </c>
      <c r="D396" s="3">
        <v>1</v>
      </c>
      <c r="E396" s="2">
        <v>180</v>
      </c>
    </row>
    <row r="397" spans="1:5" x14ac:dyDescent="0.35">
      <c r="A397" t="s">
        <v>3083</v>
      </c>
      <c r="B397" t="s">
        <v>1080</v>
      </c>
      <c r="C397" t="s">
        <v>651</v>
      </c>
      <c r="D397" s="3">
        <v>1</v>
      </c>
      <c r="E397" s="2">
        <v>120</v>
      </c>
    </row>
    <row r="398" spans="1:5" x14ac:dyDescent="0.35">
      <c r="A398" t="s">
        <v>3084</v>
      </c>
      <c r="B398" t="s">
        <v>1081</v>
      </c>
      <c r="C398" t="s">
        <v>651</v>
      </c>
      <c r="D398" s="3">
        <v>1</v>
      </c>
      <c r="E398" s="2">
        <v>120</v>
      </c>
    </row>
    <row r="399" spans="1:5" x14ac:dyDescent="0.35">
      <c r="A399" t="s">
        <v>3085</v>
      </c>
      <c r="B399" t="s">
        <v>1082</v>
      </c>
      <c r="C399" t="s">
        <v>643</v>
      </c>
      <c r="D399" s="3">
        <v>1</v>
      </c>
      <c r="E399" s="2">
        <v>2200</v>
      </c>
    </row>
    <row r="400" spans="1:5" x14ac:dyDescent="0.35">
      <c r="A400" t="s">
        <v>3086</v>
      </c>
      <c r="B400" t="s">
        <v>1083</v>
      </c>
      <c r="C400" t="s">
        <v>667</v>
      </c>
      <c r="D400" s="3">
        <v>2</v>
      </c>
      <c r="E400" s="2">
        <v>1100</v>
      </c>
    </row>
    <row r="401" spans="1:5" x14ac:dyDescent="0.35">
      <c r="A401" t="s">
        <v>3087</v>
      </c>
      <c r="B401" t="s">
        <v>1084</v>
      </c>
      <c r="C401" t="s">
        <v>667</v>
      </c>
      <c r="D401" s="3">
        <v>1</v>
      </c>
      <c r="E401" s="2">
        <v>550</v>
      </c>
    </row>
    <row r="402" spans="1:5" x14ac:dyDescent="0.35">
      <c r="A402" t="s">
        <v>3088</v>
      </c>
      <c r="B402" t="s">
        <v>1085</v>
      </c>
      <c r="C402" t="s">
        <v>671</v>
      </c>
      <c r="D402" s="3">
        <v>1</v>
      </c>
      <c r="E402" s="2">
        <v>400</v>
      </c>
    </row>
    <row r="403" spans="1:5" x14ac:dyDescent="0.35">
      <c r="A403" t="s">
        <v>3089</v>
      </c>
      <c r="B403" t="s">
        <v>1086</v>
      </c>
      <c r="C403" t="s">
        <v>617</v>
      </c>
      <c r="D403" s="3">
        <v>3</v>
      </c>
      <c r="E403" s="2">
        <v>600</v>
      </c>
    </row>
    <row r="404" spans="1:5" x14ac:dyDescent="0.35">
      <c r="A404" t="s">
        <v>3090</v>
      </c>
      <c r="B404" t="s">
        <v>1087</v>
      </c>
      <c r="C404" t="s">
        <v>658</v>
      </c>
      <c r="D404" s="3">
        <v>1</v>
      </c>
      <c r="E404" s="2">
        <v>750</v>
      </c>
    </row>
    <row r="405" spans="1:5" x14ac:dyDescent="0.35">
      <c r="A405" t="s">
        <v>3091</v>
      </c>
      <c r="B405" t="s">
        <v>1088</v>
      </c>
      <c r="C405" t="s">
        <v>645</v>
      </c>
      <c r="D405" s="3">
        <v>1</v>
      </c>
      <c r="E405" s="2">
        <v>3500</v>
      </c>
    </row>
    <row r="406" spans="1:5" x14ac:dyDescent="0.35">
      <c r="A406" t="s">
        <v>3092</v>
      </c>
      <c r="B406" t="s">
        <v>1089</v>
      </c>
      <c r="C406" t="s">
        <v>645</v>
      </c>
      <c r="D406" s="3">
        <v>1</v>
      </c>
      <c r="E406" s="2">
        <v>3500</v>
      </c>
    </row>
    <row r="407" spans="1:5" x14ac:dyDescent="0.35">
      <c r="A407" t="s">
        <v>3093</v>
      </c>
      <c r="B407" t="s">
        <v>1090</v>
      </c>
      <c r="C407" t="s">
        <v>673</v>
      </c>
      <c r="D407" s="3">
        <v>1</v>
      </c>
      <c r="E407" s="2">
        <v>300</v>
      </c>
    </row>
    <row r="408" spans="1:5" x14ac:dyDescent="0.35">
      <c r="A408" t="s">
        <v>3094</v>
      </c>
      <c r="B408" t="s">
        <v>1091</v>
      </c>
      <c r="C408" t="s">
        <v>643</v>
      </c>
      <c r="D408" s="3">
        <v>1</v>
      </c>
      <c r="E408" s="2">
        <v>2200</v>
      </c>
    </row>
    <row r="409" spans="1:5" x14ac:dyDescent="0.35">
      <c r="A409" t="s">
        <v>3095</v>
      </c>
      <c r="B409" t="s">
        <v>1092</v>
      </c>
      <c r="C409" t="s">
        <v>635</v>
      </c>
      <c r="D409" s="3">
        <v>1</v>
      </c>
      <c r="E409" s="2">
        <v>180</v>
      </c>
    </row>
    <row r="410" spans="1:5" x14ac:dyDescent="0.35">
      <c r="A410" t="s">
        <v>3096</v>
      </c>
      <c r="B410" t="s">
        <v>1093</v>
      </c>
      <c r="C410" t="s">
        <v>633</v>
      </c>
      <c r="D410" s="3">
        <v>1</v>
      </c>
      <c r="E410" s="2">
        <v>450</v>
      </c>
    </row>
    <row r="411" spans="1:5" x14ac:dyDescent="0.35">
      <c r="A411" t="s">
        <v>3097</v>
      </c>
      <c r="B411" t="s">
        <v>1094</v>
      </c>
      <c r="C411" t="s">
        <v>669</v>
      </c>
      <c r="D411" s="3">
        <v>2</v>
      </c>
      <c r="E411" s="2">
        <v>1200</v>
      </c>
    </row>
    <row r="412" spans="1:5" x14ac:dyDescent="0.35">
      <c r="A412" t="s">
        <v>3098</v>
      </c>
      <c r="B412" t="s">
        <v>1095</v>
      </c>
      <c r="C412" t="s">
        <v>665</v>
      </c>
      <c r="D412" s="3">
        <v>1</v>
      </c>
      <c r="E412" s="2">
        <v>700</v>
      </c>
    </row>
    <row r="413" spans="1:5" x14ac:dyDescent="0.35">
      <c r="A413" t="s">
        <v>3099</v>
      </c>
      <c r="B413" t="s">
        <v>1096</v>
      </c>
      <c r="C413" t="s">
        <v>620</v>
      </c>
      <c r="D413" s="3">
        <v>1</v>
      </c>
      <c r="E413" s="2">
        <v>50</v>
      </c>
    </row>
    <row r="414" spans="1:5" x14ac:dyDescent="0.35">
      <c r="A414" t="s">
        <v>3100</v>
      </c>
      <c r="B414" t="s">
        <v>1097</v>
      </c>
      <c r="C414" t="s">
        <v>643</v>
      </c>
      <c r="D414" s="3">
        <v>1</v>
      </c>
      <c r="E414" s="2">
        <v>2200</v>
      </c>
    </row>
    <row r="415" spans="1:5" x14ac:dyDescent="0.35">
      <c r="A415" t="s">
        <v>3101</v>
      </c>
      <c r="B415" t="s">
        <v>1098</v>
      </c>
      <c r="C415" t="s">
        <v>667</v>
      </c>
      <c r="D415" s="3">
        <v>1</v>
      </c>
      <c r="E415" s="2">
        <v>550</v>
      </c>
    </row>
    <row r="416" spans="1:5" x14ac:dyDescent="0.35">
      <c r="A416" t="s">
        <v>3102</v>
      </c>
      <c r="B416" t="s">
        <v>1099</v>
      </c>
      <c r="C416" t="s">
        <v>641</v>
      </c>
      <c r="D416" s="3">
        <v>1</v>
      </c>
      <c r="E416" s="2">
        <v>1800</v>
      </c>
    </row>
    <row r="417" spans="1:5" x14ac:dyDescent="0.35">
      <c r="A417" t="s">
        <v>3103</v>
      </c>
      <c r="B417" t="s">
        <v>1100</v>
      </c>
      <c r="C417" t="s">
        <v>623</v>
      </c>
      <c r="D417" s="3">
        <v>1</v>
      </c>
      <c r="E417" s="2">
        <v>1200</v>
      </c>
    </row>
    <row r="418" spans="1:5" x14ac:dyDescent="0.35">
      <c r="A418" t="s">
        <v>3104</v>
      </c>
      <c r="B418" t="s">
        <v>1101</v>
      </c>
      <c r="C418" t="s">
        <v>663</v>
      </c>
      <c r="D418" s="3">
        <v>1</v>
      </c>
      <c r="E418" s="2">
        <v>1400</v>
      </c>
    </row>
    <row r="419" spans="1:5" x14ac:dyDescent="0.35">
      <c r="A419" t="s">
        <v>3105</v>
      </c>
      <c r="B419" t="s">
        <v>1102</v>
      </c>
      <c r="C419" t="s">
        <v>641</v>
      </c>
      <c r="D419" s="3">
        <v>1</v>
      </c>
      <c r="E419" s="2">
        <v>1800</v>
      </c>
    </row>
    <row r="420" spans="1:5" x14ac:dyDescent="0.35">
      <c r="A420" t="s">
        <v>3106</v>
      </c>
      <c r="B420" t="s">
        <v>1103</v>
      </c>
      <c r="C420" t="s">
        <v>658</v>
      </c>
      <c r="D420" s="3">
        <v>1</v>
      </c>
      <c r="E420" s="2">
        <v>750</v>
      </c>
    </row>
    <row r="421" spans="1:5" x14ac:dyDescent="0.35">
      <c r="A421" t="s">
        <v>3107</v>
      </c>
      <c r="B421" t="s">
        <v>1104</v>
      </c>
      <c r="C421" t="s">
        <v>649</v>
      </c>
      <c r="D421" s="3">
        <v>1</v>
      </c>
      <c r="E421" s="2">
        <v>800</v>
      </c>
    </row>
    <row r="422" spans="1:5" x14ac:dyDescent="0.35">
      <c r="A422" t="s">
        <v>3108</v>
      </c>
      <c r="B422" t="s">
        <v>1105</v>
      </c>
      <c r="C422" t="s">
        <v>658</v>
      </c>
      <c r="D422" s="3">
        <v>1</v>
      </c>
      <c r="E422" s="2">
        <v>750</v>
      </c>
    </row>
    <row r="423" spans="1:5" x14ac:dyDescent="0.35">
      <c r="A423" t="s">
        <v>3109</v>
      </c>
      <c r="B423" t="s">
        <v>1106</v>
      </c>
      <c r="C423" t="s">
        <v>671</v>
      </c>
      <c r="D423" s="3">
        <v>1</v>
      </c>
      <c r="E423" s="2">
        <v>400</v>
      </c>
    </row>
    <row r="424" spans="1:5" x14ac:dyDescent="0.35">
      <c r="A424" t="s">
        <v>3110</v>
      </c>
      <c r="B424" t="s">
        <v>1107</v>
      </c>
      <c r="C424" t="s">
        <v>635</v>
      </c>
      <c r="D424" s="3">
        <v>1</v>
      </c>
      <c r="E424" s="2">
        <v>180</v>
      </c>
    </row>
    <row r="425" spans="1:5" x14ac:dyDescent="0.35">
      <c r="A425" t="s">
        <v>3111</v>
      </c>
      <c r="B425" t="s">
        <v>1108</v>
      </c>
      <c r="C425" t="s">
        <v>641</v>
      </c>
      <c r="D425" s="3">
        <v>1</v>
      </c>
      <c r="E425" s="2">
        <v>1800</v>
      </c>
    </row>
    <row r="426" spans="1:5" x14ac:dyDescent="0.35">
      <c r="A426" t="s">
        <v>3112</v>
      </c>
      <c r="B426" t="s">
        <v>1109</v>
      </c>
      <c r="C426" t="s">
        <v>667</v>
      </c>
      <c r="D426" s="3">
        <v>1</v>
      </c>
      <c r="E426" s="2">
        <v>550</v>
      </c>
    </row>
    <row r="427" spans="1:5" x14ac:dyDescent="0.35">
      <c r="A427" t="s">
        <v>3113</v>
      </c>
      <c r="B427" t="s">
        <v>1110</v>
      </c>
      <c r="C427" t="s">
        <v>647</v>
      </c>
      <c r="D427" s="3">
        <v>1</v>
      </c>
      <c r="E427" s="2">
        <v>4200</v>
      </c>
    </row>
    <row r="428" spans="1:5" x14ac:dyDescent="0.35">
      <c r="A428" t="s">
        <v>3114</v>
      </c>
      <c r="B428" t="s">
        <v>1111</v>
      </c>
      <c r="C428" t="s">
        <v>665</v>
      </c>
      <c r="D428" s="3">
        <v>1</v>
      </c>
      <c r="E428" s="2">
        <v>700</v>
      </c>
    </row>
    <row r="429" spans="1:5" x14ac:dyDescent="0.35">
      <c r="A429" t="s">
        <v>3115</v>
      </c>
      <c r="B429" t="s">
        <v>1112</v>
      </c>
      <c r="C429" t="s">
        <v>635</v>
      </c>
      <c r="D429" s="3">
        <v>1</v>
      </c>
      <c r="E429" s="2">
        <v>180</v>
      </c>
    </row>
    <row r="430" spans="1:5" x14ac:dyDescent="0.35">
      <c r="A430" t="s">
        <v>3116</v>
      </c>
      <c r="B430" t="s">
        <v>1113</v>
      </c>
      <c r="C430" t="s">
        <v>626</v>
      </c>
      <c r="D430" s="3">
        <v>2</v>
      </c>
      <c r="E430" s="2">
        <v>10000</v>
      </c>
    </row>
    <row r="431" spans="1:5" x14ac:dyDescent="0.35">
      <c r="A431" t="s">
        <v>3117</v>
      </c>
      <c r="B431" t="s">
        <v>1114</v>
      </c>
      <c r="C431" t="s">
        <v>626</v>
      </c>
      <c r="D431" s="3">
        <v>1</v>
      </c>
      <c r="E431" s="2">
        <v>5000</v>
      </c>
    </row>
    <row r="432" spans="1:5" x14ac:dyDescent="0.35">
      <c r="A432" t="s">
        <v>3118</v>
      </c>
      <c r="B432" t="s">
        <v>1115</v>
      </c>
      <c r="C432" t="s">
        <v>629</v>
      </c>
      <c r="D432" s="3">
        <v>1</v>
      </c>
      <c r="E432" s="2">
        <v>300</v>
      </c>
    </row>
    <row r="433" spans="1:5" x14ac:dyDescent="0.35">
      <c r="A433" t="s">
        <v>3119</v>
      </c>
      <c r="B433" t="s">
        <v>1116</v>
      </c>
      <c r="C433" t="s">
        <v>617</v>
      </c>
      <c r="D433" s="3">
        <v>1</v>
      </c>
      <c r="E433" s="2">
        <v>200</v>
      </c>
    </row>
    <row r="434" spans="1:5" x14ac:dyDescent="0.35">
      <c r="A434" t="s">
        <v>3120</v>
      </c>
      <c r="B434" t="s">
        <v>1117</v>
      </c>
      <c r="C434" t="s">
        <v>656</v>
      </c>
      <c r="D434" s="3">
        <v>1</v>
      </c>
      <c r="E434" s="2">
        <v>350</v>
      </c>
    </row>
    <row r="435" spans="1:5" x14ac:dyDescent="0.35">
      <c r="A435" t="s">
        <v>3121</v>
      </c>
      <c r="B435" t="s">
        <v>1118</v>
      </c>
      <c r="C435" t="s">
        <v>620</v>
      </c>
      <c r="D435" s="3">
        <v>1</v>
      </c>
      <c r="E435" s="2">
        <v>50</v>
      </c>
    </row>
    <row r="436" spans="1:5" x14ac:dyDescent="0.35">
      <c r="A436" t="s">
        <v>3122</v>
      </c>
      <c r="B436" t="s">
        <v>1119</v>
      </c>
      <c r="C436" t="s">
        <v>635</v>
      </c>
      <c r="D436" s="3">
        <v>1</v>
      </c>
      <c r="E436" s="2">
        <v>180</v>
      </c>
    </row>
    <row r="437" spans="1:5" x14ac:dyDescent="0.35">
      <c r="A437" t="s">
        <v>3123</v>
      </c>
      <c r="B437" t="s">
        <v>1120</v>
      </c>
      <c r="C437" t="s">
        <v>633</v>
      </c>
      <c r="D437" s="3">
        <v>3</v>
      </c>
      <c r="E437" s="2">
        <v>1350</v>
      </c>
    </row>
    <row r="438" spans="1:5" x14ac:dyDescent="0.35">
      <c r="A438" t="s">
        <v>3124</v>
      </c>
      <c r="B438" t="s">
        <v>1121</v>
      </c>
      <c r="C438" t="s">
        <v>651</v>
      </c>
      <c r="D438" s="3">
        <v>1</v>
      </c>
      <c r="E438" s="2">
        <v>120</v>
      </c>
    </row>
    <row r="439" spans="1:5" x14ac:dyDescent="0.35">
      <c r="A439" t="s">
        <v>3125</v>
      </c>
      <c r="B439" t="s">
        <v>1122</v>
      </c>
      <c r="C439" t="s">
        <v>673</v>
      </c>
      <c r="D439" s="3">
        <v>1</v>
      </c>
      <c r="E439" s="2">
        <v>300</v>
      </c>
    </row>
    <row r="440" spans="1:5" x14ac:dyDescent="0.35">
      <c r="A440" t="s">
        <v>3126</v>
      </c>
      <c r="B440" t="s">
        <v>1123</v>
      </c>
      <c r="C440" t="s">
        <v>629</v>
      </c>
      <c r="D440" s="3">
        <v>1</v>
      </c>
      <c r="E440" s="2">
        <v>300</v>
      </c>
    </row>
    <row r="441" spans="1:5" x14ac:dyDescent="0.35">
      <c r="A441" t="s">
        <v>3127</v>
      </c>
      <c r="B441" t="s">
        <v>1124</v>
      </c>
      <c r="C441" t="s">
        <v>620</v>
      </c>
      <c r="D441" s="3">
        <v>1</v>
      </c>
      <c r="E441" s="2">
        <v>50</v>
      </c>
    </row>
    <row r="442" spans="1:5" x14ac:dyDescent="0.35">
      <c r="A442" t="s">
        <v>3128</v>
      </c>
      <c r="B442" t="s">
        <v>1125</v>
      </c>
      <c r="C442" t="s">
        <v>633</v>
      </c>
      <c r="D442" s="3">
        <v>1</v>
      </c>
      <c r="E442" s="2">
        <v>450</v>
      </c>
    </row>
    <row r="443" spans="1:5" x14ac:dyDescent="0.35">
      <c r="A443" t="s">
        <v>3129</v>
      </c>
      <c r="B443" t="s">
        <v>1126</v>
      </c>
      <c r="C443" t="s">
        <v>635</v>
      </c>
      <c r="D443" s="3">
        <v>1</v>
      </c>
      <c r="E443" s="2">
        <v>180</v>
      </c>
    </row>
    <row r="444" spans="1:5" x14ac:dyDescent="0.35">
      <c r="A444" t="s">
        <v>3130</v>
      </c>
      <c r="B444" t="s">
        <v>1127</v>
      </c>
      <c r="C444" t="s">
        <v>633</v>
      </c>
      <c r="D444" s="3">
        <v>1</v>
      </c>
      <c r="E444" s="2">
        <v>450</v>
      </c>
    </row>
    <row r="445" spans="1:5" x14ac:dyDescent="0.35">
      <c r="A445" t="s">
        <v>3131</v>
      </c>
      <c r="B445" t="s">
        <v>1128</v>
      </c>
      <c r="C445" t="s">
        <v>633</v>
      </c>
      <c r="D445" s="3">
        <v>1</v>
      </c>
      <c r="E445" s="2">
        <v>450</v>
      </c>
    </row>
    <row r="446" spans="1:5" x14ac:dyDescent="0.35">
      <c r="A446" t="s">
        <v>3132</v>
      </c>
      <c r="B446" t="s">
        <v>1129</v>
      </c>
      <c r="C446" t="s">
        <v>649</v>
      </c>
      <c r="D446" s="3">
        <v>1</v>
      </c>
      <c r="E446" s="2">
        <v>800</v>
      </c>
    </row>
    <row r="447" spans="1:5" x14ac:dyDescent="0.35">
      <c r="A447" t="s">
        <v>3133</v>
      </c>
      <c r="B447" t="s">
        <v>1130</v>
      </c>
      <c r="C447" t="s">
        <v>665</v>
      </c>
      <c r="D447" s="3">
        <v>1</v>
      </c>
      <c r="E447" s="2">
        <v>700</v>
      </c>
    </row>
    <row r="448" spans="1:5" x14ac:dyDescent="0.35">
      <c r="A448" t="s">
        <v>3134</v>
      </c>
      <c r="B448" t="s">
        <v>1131</v>
      </c>
      <c r="C448" t="s">
        <v>658</v>
      </c>
      <c r="D448" s="3">
        <v>1</v>
      </c>
      <c r="E448" s="2">
        <v>750</v>
      </c>
    </row>
    <row r="449" spans="1:5" x14ac:dyDescent="0.35">
      <c r="A449" t="s">
        <v>3135</v>
      </c>
      <c r="B449" t="s">
        <v>1132</v>
      </c>
      <c r="C449" t="s">
        <v>631</v>
      </c>
      <c r="D449" s="3">
        <v>1</v>
      </c>
      <c r="E449" s="2">
        <v>900</v>
      </c>
    </row>
    <row r="450" spans="1:5" x14ac:dyDescent="0.35">
      <c r="A450" t="s">
        <v>3136</v>
      </c>
      <c r="B450" t="s">
        <v>1133</v>
      </c>
      <c r="C450" t="s">
        <v>626</v>
      </c>
      <c r="D450" s="3">
        <v>1</v>
      </c>
      <c r="E450" s="2">
        <v>5000</v>
      </c>
    </row>
    <row r="451" spans="1:5" x14ac:dyDescent="0.35">
      <c r="A451" t="s">
        <v>3137</v>
      </c>
      <c r="B451" t="s">
        <v>1134</v>
      </c>
      <c r="C451" t="s">
        <v>641</v>
      </c>
      <c r="D451" s="3">
        <v>1</v>
      </c>
      <c r="E451" s="2">
        <v>1800</v>
      </c>
    </row>
    <row r="452" spans="1:5" x14ac:dyDescent="0.35">
      <c r="A452" t="s">
        <v>3138</v>
      </c>
      <c r="B452" t="s">
        <v>1135</v>
      </c>
      <c r="C452" t="s">
        <v>658</v>
      </c>
      <c r="D452" s="3">
        <v>1</v>
      </c>
      <c r="E452" s="2">
        <v>750</v>
      </c>
    </row>
    <row r="453" spans="1:5" x14ac:dyDescent="0.35">
      <c r="A453" t="s">
        <v>3139</v>
      </c>
      <c r="B453" t="s">
        <v>1136</v>
      </c>
      <c r="C453" t="s">
        <v>645</v>
      </c>
      <c r="D453" s="3">
        <v>1</v>
      </c>
      <c r="E453" s="2">
        <v>3500</v>
      </c>
    </row>
    <row r="454" spans="1:5" x14ac:dyDescent="0.35">
      <c r="A454" t="s">
        <v>3140</v>
      </c>
      <c r="B454" t="s">
        <v>1137</v>
      </c>
      <c r="C454" t="s">
        <v>654</v>
      </c>
      <c r="D454" s="3">
        <v>1</v>
      </c>
      <c r="E454" s="2">
        <v>100</v>
      </c>
    </row>
    <row r="455" spans="1:5" x14ac:dyDescent="0.35">
      <c r="A455" t="s">
        <v>3141</v>
      </c>
      <c r="B455" t="s">
        <v>1138</v>
      </c>
      <c r="C455" t="s">
        <v>673</v>
      </c>
      <c r="D455" s="3">
        <v>2</v>
      </c>
      <c r="E455" s="2">
        <v>600</v>
      </c>
    </row>
    <row r="456" spans="1:5" x14ac:dyDescent="0.35">
      <c r="A456" t="s">
        <v>3142</v>
      </c>
      <c r="B456" t="s">
        <v>1139</v>
      </c>
      <c r="C456" t="s">
        <v>633</v>
      </c>
      <c r="D456" s="3">
        <v>1</v>
      </c>
      <c r="E456" s="2">
        <v>450</v>
      </c>
    </row>
    <row r="457" spans="1:5" x14ac:dyDescent="0.35">
      <c r="A457" t="s">
        <v>3143</v>
      </c>
      <c r="B457" t="s">
        <v>1140</v>
      </c>
      <c r="C457" t="s">
        <v>631</v>
      </c>
      <c r="D457" s="3">
        <v>1</v>
      </c>
      <c r="E457" s="2">
        <v>900</v>
      </c>
    </row>
    <row r="458" spans="1:5" x14ac:dyDescent="0.35">
      <c r="A458" t="s">
        <v>3144</v>
      </c>
      <c r="B458" t="s">
        <v>1141</v>
      </c>
      <c r="C458" t="s">
        <v>629</v>
      </c>
      <c r="D458" s="3">
        <v>2</v>
      </c>
      <c r="E458" s="2">
        <v>600</v>
      </c>
    </row>
    <row r="459" spans="1:5" x14ac:dyDescent="0.35">
      <c r="A459" t="s">
        <v>3145</v>
      </c>
      <c r="B459" t="s">
        <v>1142</v>
      </c>
      <c r="C459" t="s">
        <v>623</v>
      </c>
      <c r="D459" s="3">
        <v>1</v>
      </c>
      <c r="E459" s="2">
        <v>1200</v>
      </c>
    </row>
    <row r="460" spans="1:5" x14ac:dyDescent="0.35">
      <c r="A460" t="s">
        <v>3146</v>
      </c>
      <c r="B460" t="s">
        <v>1143</v>
      </c>
      <c r="C460" t="s">
        <v>645</v>
      </c>
      <c r="D460" s="3">
        <v>1</v>
      </c>
      <c r="E460" s="2">
        <v>3500</v>
      </c>
    </row>
    <row r="461" spans="1:5" x14ac:dyDescent="0.35">
      <c r="A461" t="s">
        <v>3147</v>
      </c>
      <c r="B461" t="s">
        <v>1144</v>
      </c>
      <c r="C461" t="s">
        <v>651</v>
      </c>
      <c r="D461" s="3">
        <v>1</v>
      </c>
      <c r="E461" s="2">
        <v>120</v>
      </c>
    </row>
    <row r="462" spans="1:5" x14ac:dyDescent="0.35">
      <c r="A462" t="s">
        <v>3148</v>
      </c>
      <c r="B462" t="s">
        <v>1145</v>
      </c>
      <c r="C462" t="s">
        <v>641</v>
      </c>
      <c r="D462" s="3">
        <v>1</v>
      </c>
      <c r="E462" s="2">
        <v>1800</v>
      </c>
    </row>
    <row r="463" spans="1:5" x14ac:dyDescent="0.35">
      <c r="A463" t="s">
        <v>3149</v>
      </c>
      <c r="B463" t="s">
        <v>1146</v>
      </c>
      <c r="C463" t="s">
        <v>663</v>
      </c>
      <c r="D463" s="3">
        <v>1</v>
      </c>
      <c r="E463" s="2">
        <v>1400</v>
      </c>
    </row>
    <row r="464" spans="1:5" x14ac:dyDescent="0.35">
      <c r="A464" t="s">
        <v>3150</v>
      </c>
      <c r="B464" t="s">
        <v>1147</v>
      </c>
      <c r="C464" t="s">
        <v>660</v>
      </c>
      <c r="D464" s="3">
        <v>1</v>
      </c>
      <c r="E464" s="2">
        <v>6500</v>
      </c>
    </row>
    <row r="465" spans="1:5" x14ac:dyDescent="0.35">
      <c r="A465" t="s">
        <v>3151</v>
      </c>
      <c r="B465" t="s">
        <v>1148</v>
      </c>
      <c r="C465" t="s">
        <v>654</v>
      </c>
      <c r="D465" s="3">
        <v>1</v>
      </c>
      <c r="E465" s="2">
        <v>100</v>
      </c>
    </row>
    <row r="466" spans="1:5" x14ac:dyDescent="0.35">
      <c r="A466" t="s">
        <v>3152</v>
      </c>
      <c r="B466" t="s">
        <v>1149</v>
      </c>
      <c r="C466" t="s">
        <v>643</v>
      </c>
      <c r="D466" s="3">
        <v>2</v>
      </c>
      <c r="E466" s="2">
        <v>4400</v>
      </c>
    </row>
    <row r="467" spans="1:5" x14ac:dyDescent="0.35">
      <c r="A467" t="s">
        <v>3153</v>
      </c>
      <c r="B467" t="s">
        <v>1150</v>
      </c>
      <c r="C467" t="s">
        <v>635</v>
      </c>
      <c r="D467" s="3">
        <v>1</v>
      </c>
      <c r="E467" s="2">
        <v>180</v>
      </c>
    </row>
    <row r="468" spans="1:5" x14ac:dyDescent="0.35">
      <c r="A468" t="s">
        <v>3154</v>
      </c>
      <c r="B468" t="s">
        <v>1151</v>
      </c>
      <c r="C468" t="s">
        <v>623</v>
      </c>
      <c r="D468" s="3">
        <v>1</v>
      </c>
      <c r="E468" s="2">
        <v>1200</v>
      </c>
    </row>
    <row r="469" spans="1:5" x14ac:dyDescent="0.35">
      <c r="A469" t="s">
        <v>3155</v>
      </c>
      <c r="B469" t="s">
        <v>1152</v>
      </c>
      <c r="C469" t="s">
        <v>669</v>
      </c>
      <c r="D469" s="3">
        <v>1</v>
      </c>
      <c r="E469" s="2">
        <v>600</v>
      </c>
    </row>
    <row r="470" spans="1:5" x14ac:dyDescent="0.35">
      <c r="A470" t="s">
        <v>3156</v>
      </c>
      <c r="B470" t="s">
        <v>1153</v>
      </c>
      <c r="C470" t="s">
        <v>633</v>
      </c>
      <c r="D470" s="3">
        <v>1</v>
      </c>
      <c r="E470" s="2">
        <v>450</v>
      </c>
    </row>
    <row r="471" spans="1:5" x14ac:dyDescent="0.35">
      <c r="A471" t="s">
        <v>3157</v>
      </c>
      <c r="B471" t="s">
        <v>1154</v>
      </c>
      <c r="C471" t="s">
        <v>669</v>
      </c>
      <c r="D471" s="3">
        <v>3</v>
      </c>
      <c r="E471" s="2">
        <v>1800</v>
      </c>
    </row>
    <row r="472" spans="1:5" x14ac:dyDescent="0.35">
      <c r="A472" t="s">
        <v>3158</v>
      </c>
      <c r="B472" t="s">
        <v>1155</v>
      </c>
      <c r="C472" t="s">
        <v>633</v>
      </c>
      <c r="D472" s="3">
        <v>1</v>
      </c>
      <c r="E472" s="2">
        <v>450</v>
      </c>
    </row>
    <row r="473" spans="1:5" x14ac:dyDescent="0.35">
      <c r="A473" t="s">
        <v>3159</v>
      </c>
      <c r="B473" t="s">
        <v>1156</v>
      </c>
      <c r="C473" t="s">
        <v>649</v>
      </c>
      <c r="D473" s="3">
        <v>1</v>
      </c>
      <c r="E473" s="2">
        <v>800</v>
      </c>
    </row>
    <row r="474" spans="1:5" x14ac:dyDescent="0.35">
      <c r="A474" t="s">
        <v>3160</v>
      </c>
      <c r="B474" t="s">
        <v>1157</v>
      </c>
      <c r="C474" t="s">
        <v>620</v>
      </c>
      <c r="D474" s="3">
        <v>2</v>
      </c>
      <c r="E474" s="2">
        <v>100</v>
      </c>
    </row>
    <row r="475" spans="1:5" x14ac:dyDescent="0.35">
      <c r="A475" t="s">
        <v>3161</v>
      </c>
      <c r="B475" t="s">
        <v>1158</v>
      </c>
      <c r="C475" t="s">
        <v>641</v>
      </c>
      <c r="D475" s="3">
        <v>1</v>
      </c>
      <c r="E475" s="2">
        <v>1800</v>
      </c>
    </row>
    <row r="476" spans="1:5" x14ac:dyDescent="0.35">
      <c r="A476" t="s">
        <v>3162</v>
      </c>
      <c r="B476" t="s">
        <v>1159</v>
      </c>
      <c r="C476" t="s">
        <v>660</v>
      </c>
      <c r="D476" s="3">
        <v>1</v>
      </c>
      <c r="E476" s="2">
        <v>6500</v>
      </c>
    </row>
    <row r="477" spans="1:5" x14ac:dyDescent="0.35">
      <c r="A477" t="s">
        <v>3163</v>
      </c>
      <c r="B477" t="s">
        <v>1160</v>
      </c>
      <c r="C477" t="s">
        <v>638</v>
      </c>
      <c r="D477" s="3">
        <v>1</v>
      </c>
      <c r="E477" s="2">
        <v>150</v>
      </c>
    </row>
    <row r="478" spans="1:5" x14ac:dyDescent="0.35">
      <c r="A478" t="s">
        <v>3164</v>
      </c>
      <c r="B478" t="s">
        <v>1161</v>
      </c>
      <c r="C478" t="s">
        <v>654</v>
      </c>
      <c r="D478" s="3">
        <v>1</v>
      </c>
      <c r="E478" s="2">
        <v>100</v>
      </c>
    </row>
    <row r="479" spans="1:5" x14ac:dyDescent="0.35">
      <c r="A479" t="s">
        <v>3165</v>
      </c>
      <c r="B479" t="s">
        <v>1162</v>
      </c>
      <c r="C479" t="s">
        <v>660</v>
      </c>
      <c r="D479" s="3">
        <v>1</v>
      </c>
      <c r="E479" s="2">
        <v>6500</v>
      </c>
    </row>
    <row r="480" spans="1:5" x14ac:dyDescent="0.35">
      <c r="A480" t="s">
        <v>3166</v>
      </c>
      <c r="B480" t="s">
        <v>1163</v>
      </c>
      <c r="C480" t="s">
        <v>658</v>
      </c>
      <c r="D480" s="3">
        <v>1</v>
      </c>
      <c r="E480" s="2">
        <v>750</v>
      </c>
    </row>
    <row r="481" spans="1:5" x14ac:dyDescent="0.35">
      <c r="A481" t="s">
        <v>3167</v>
      </c>
      <c r="B481" t="s">
        <v>1164</v>
      </c>
      <c r="C481" t="s">
        <v>638</v>
      </c>
      <c r="D481" s="3">
        <v>1</v>
      </c>
      <c r="E481" s="2">
        <v>150</v>
      </c>
    </row>
    <row r="482" spans="1:5" x14ac:dyDescent="0.35">
      <c r="A482" t="s">
        <v>3168</v>
      </c>
      <c r="B482" t="s">
        <v>1165</v>
      </c>
      <c r="C482" t="s">
        <v>654</v>
      </c>
      <c r="D482" s="3">
        <v>1</v>
      </c>
      <c r="E482" s="2">
        <v>100</v>
      </c>
    </row>
    <row r="483" spans="1:5" x14ac:dyDescent="0.35">
      <c r="A483" t="s">
        <v>3169</v>
      </c>
      <c r="B483" t="s">
        <v>1166</v>
      </c>
      <c r="C483" t="s">
        <v>647</v>
      </c>
      <c r="D483" s="3">
        <v>2</v>
      </c>
      <c r="E483" s="2">
        <v>8400</v>
      </c>
    </row>
    <row r="484" spans="1:5" x14ac:dyDescent="0.35">
      <c r="A484" t="s">
        <v>3170</v>
      </c>
      <c r="B484" t="s">
        <v>1167</v>
      </c>
      <c r="C484" t="s">
        <v>641</v>
      </c>
      <c r="D484" s="3">
        <v>1</v>
      </c>
      <c r="E484" s="2">
        <v>1800</v>
      </c>
    </row>
    <row r="485" spans="1:5" x14ac:dyDescent="0.35">
      <c r="A485" t="s">
        <v>3171</v>
      </c>
      <c r="B485" t="s">
        <v>1168</v>
      </c>
      <c r="C485" t="s">
        <v>673</v>
      </c>
      <c r="D485" s="3">
        <v>1</v>
      </c>
      <c r="E485" s="2">
        <v>300</v>
      </c>
    </row>
    <row r="486" spans="1:5" x14ac:dyDescent="0.35">
      <c r="A486" t="s">
        <v>3172</v>
      </c>
      <c r="B486" t="s">
        <v>1169</v>
      </c>
      <c r="C486" t="s">
        <v>663</v>
      </c>
      <c r="D486" s="3">
        <v>1</v>
      </c>
      <c r="E486" s="2">
        <v>1400</v>
      </c>
    </row>
    <row r="487" spans="1:5" x14ac:dyDescent="0.35">
      <c r="A487" t="s">
        <v>3173</v>
      </c>
      <c r="B487" t="s">
        <v>1170</v>
      </c>
      <c r="C487" t="s">
        <v>649</v>
      </c>
      <c r="D487" s="3">
        <v>1</v>
      </c>
      <c r="E487" s="2">
        <v>800</v>
      </c>
    </row>
    <row r="488" spans="1:5" x14ac:dyDescent="0.35">
      <c r="A488" t="s">
        <v>3174</v>
      </c>
      <c r="B488" t="s">
        <v>1171</v>
      </c>
      <c r="C488" t="s">
        <v>645</v>
      </c>
      <c r="D488" s="3">
        <v>1</v>
      </c>
      <c r="E488" s="2">
        <v>3500</v>
      </c>
    </row>
    <row r="489" spans="1:5" x14ac:dyDescent="0.35">
      <c r="A489" t="s">
        <v>3175</v>
      </c>
      <c r="B489" t="s">
        <v>1172</v>
      </c>
      <c r="C489" t="s">
        <v>673</v>
      </c>
      <c r="D489" s="3">
        <v>2</v>
      </c>
      <c r="E489" s="2">
        <v>600</v>
      </c>
    </row>
    <row r="490" spans="1:5" x14ac:dyDescent="0.35">
      <c r="A490" t="s">
        <v>3176</v>
      </c>
      <c r="B490" t="s">
        <v>1173</v>
      </c>
      <c r="C490" t="s">
        <v>660</v>
      </c>
      <c r="D490" s="3">
        <v>1</v>
      </c>
      <c r="E490" s="2">
        <v>6500</v>
      </c>
    </row>
    <row r="491" spans="1:5" x14ac:dyDescent="0.35">
      <c r="A491" t="s">
        <v>3177</v>
      </c>
      <c r="B491" t="s">
        <v>1174</v>
      </c>
      <c r="C491" t="s">
        <v>633</v>
      </c>
      <c r="D491" s="3">
        <v>3</v>
      </c>
      <c r="E491" s="2">
        <v>1350</v>
      </c>
    </row>
    <row r="492" spans="1:5" x14ac:dyDescent="0.35">
      <c r="A492" t="s">
        <v>3178</v>
      </c>
      <c r="B492" t="s">
        <v>1175</v>
      </c>
      <c r="C492" t="s">
        <v>669</v>
      </c>
      <c r="D492" s="3">
        <v>1</v>
      </c>
      <c r="E492" s="2">
        <v>600</v>
      </c>
    </row>
    <row r="493" spans="1:5" x14ac:dyDescent="0.35">
      <c r="A493" t="s">
        <v>3179</v>
      </c>
      <c r="B493" t="s">
        <v>1176</v>
      </c>
      <c r="C493" t="s">
        <v>651</v>
      </c>
      <c r="D493" s="3">
        <v>1</v>
      </c>
      <c r="E493" s="2">
        <v>120</v>
      </c>
    </row>
    <row r="494" spans="1:5" x14ac:dyDescent="0.35">
      <c r="A494" t="s">
        <v>3180</v>
      </c>
      <c r="B494" t="s">
        <v>1177</v>
      </c>
      <c r="C494" t="s">
        <v>654</v>
      </c>
      <c r="D494" s="3">
        <v>1</v>
      </c>
      <c r="E494" s="2">
        <v>100</v>
      </c>
    </row>
    <row r="495" spans="1:5" x14ac:dyDescent="0.35">
      <c r="A495" t="s">
        <v>3181</v>
      </c>
      <c r="B495" t="s">
        <v>1178</v>
      </c>
      <c r="C495" t="s">
        <v>635</v>
      </c>
      <c r="D495" s="3">
        <v>1</v>
      </c>
      <c r="E495" s="2">
        <v>180</v>
      </c>
    </row>
    <row r="496" spans="1:5" x14ac:dyDescent="0.35">
      <c r="A496" t="s">
        <v>3182</v>
      </c>
      <c r="B496" t="s">
        <v>1179</v>
      </c>
      <c r="C496" t="s">
        <v>641</v>
      </c>
      <c r="D496" s="3">
        <v>1</v>
      </c>
      <c r="E496" s="2">
        <v>1800</v>
      </c>
    </row>
    <row r="497" spans="1:5" x14ac:dyDescent="0.35">
      <c r="A497" t="s">
        <v>3183</v>
      </c>
      <c r="B497" t="s">
        <v>1180</v>
      </c>
      <c r="C497" t="s">
        <v>626</v>
      </c>
      <c r="D497" s="3">
        <v>1</v>
      </c>
      <c r="E497" s="2">
        <v>5000</v>
      </c>
    </row>
    <row r="498" spans="1:5" x14ac:dyDescent="0.35">
      <c r="A498" t="s">
        <v>3184</v>
      </c>
      <c r="B498" t="s">
        <v>1181</v>
      </c>
      <c r="C498" t="s">
        <v>660</v>
      </c>
      <c r="D498" s="3">
        <v>1</v>
      </c>
      <c r="E498" s="2">
        <v>6500</v>
      </c>
    </row>
    <row r="499" spans="1:5" x14ac:dyDescent="0.35">
      <c r="A499" t="s">
        <v>3185</v>
      </c>
      <c r="B499" t="s">
        <v>1182</v>
      </c>
      <c r="C499" t="s">
        <v>660</v>
      </c>
      <c r="D499" s="3">
        <v>1</v>
      </c>
      <c r="E499" s="2">
        <v>6500</v>
      </c>
    </row>
    <row r="500" spans="1:5" x14ac:dyDescent="0.35">
      <c r="A500" t="s">
        <v>3186</v>
      </c>
      <c r="B500" t="s">
        <v>1183</v>
      </c>
      <c r="C500" t="s">
        <v>665</v>
      </c>
      <c r="D500" s="3">
        <v>1</v>
      </c>
      <c r="E500" s="2">
        <v>700</v>
      </c>
    </row>
    <row r="501" spans="1:5" x14ac:dyDescent="0.35">
      <c r="A501" t="s">
        <v>3187</v>
      </c>
      <c r="B501" t="s">
        <v>1184</v>
      </c>
      <c r="C501" t="s">
        <v>651</v>
      </c>
      <c r="D501" s="3">
        <v>1</v>
      </c>
      <c r="E501" s="2">
        <v>120</v>
      </c>
    </row>
    <row r="502" spans="1:5" x14ac:dyDescent="0.35">
      <c r="A502" t="s">
        <v>3188</v>
      </c>
      <c r="B502" t="s">
        <v>1185</v>
      </c>
      <c r="C502" t="s">
        <v>649</v>
      </c>
      <c r="D502" s="3">
        <v>1</v>
      </c>
      <c r="E502" s="2">
        <v>800</v>
      </c>
    </row>
    <row r="503" spans="1:5" x14ac:dyDescent="0.35">
      <c r="A503" t="s">
        <v>3189</v>
      </c>
      <c r="B503" t="s">
        <v>1186</v>
      </c>
      <c r="C503" t="s">
        <v>617</v>
      </c>
      <c r="D503" s="3">
        <v>1</v>
      </c>
      <c r="E503" s="2">
        <v>200</v>
      </c>
    </row>
    <row r="504" spans="1:5" x14ac:dyDescent="0.35">
      <c r="A504" t="s">
        <v>3190</v>
      </c>
      <c r="B504" t="s">
        <v>1187</v>
      </c>
      <c r="C504" t="s">
        <v>654</v>
      </c>
      <c r="D504" s="3">
        <v>1</v>
      </c>
      <c r="E504" s="2">
        <v>100</v>
      </c>
    </row>
    <row r="505" spans="1:5" x14ac:dyDescent="0.35">
      <c r="A505" t="s">
        <v>3191</v>
      </c>
      <c r="B505" t="s">
        <v>1188</v>
      </c>
      <c r="C505" t="s">
        <v>641</v>
      </c>
      <c r="D505" s="3">
        <v>1</v>
      </c>
      <c r="E505" s="2">
        <v>1800</v>
      </c>
    </row>
    <row r="506" spans="1:5" x14ac:dyDescent="0.35">
      <c r="A506" t="s">
        <v>3192</v>
      </c>
      <c r="B506" t="s">
        <v>1189</v>
      </c>
      <c r="C506" t="s">
        <v>660</v>
      </c>
      <c r="D506" s="3">
        <v>1</v>
      </c>
      <c r="E506" s="2">
        <v>6500</v>
      </c>
    </row>
    <row r="507" spans="1:5" x14ac:dyDescent="0.35">
      <c r="A507" t="s">
        <v>3193</v>
      </c>
      <c r="B507" t="s">
        <v>1190</v>
      </c>
      <c r="C507" t="s">
        <v>667</v>
      </c>
      <c r="D507" s="3">
        <v>1</v>
      </c>
      <c r="E507" s="2">
        <v>550</v>
      </c>
    </row>
    <row r="508" spans="1:5" x14ac:dyDescent="0.35">
      <c r="A508" t="s">
        <v>3194</v>
      </c>
      <c r="B508" t="s">
        <v>1191</v>
      </c>
      <c r="C508" t="s">
        <v>623</v>
      </c>
      <c r="D508" s="3">
        <v>1</v>
      </c>
      <c r="E508" s="2">
        <v>1200</v>
      </c>
    </row>
    <row r="509" spans="1:5" x14ac:dyDescent="0.35">
      <c r="A509" t="s">
        <v>3195</v>
      </c>
      <c r="B509" t="s">
        <v>1192</v>
      </c>
      <c r="C509" t="s">
        <v>629</v>
      </c>
      <c r="D509" s="3">
        <v>1</v>
      </c>
      <c r="E509" s="2">
        <v>300</v>
      </c>
    </row>
    <row r="510" spans="1:5" x14ac:dyDescent="0.35">
      <c r="A510" t="s">
        <v>3196</v>
      </c>
      <c r="B510" t="s">
        <v>1193</v>
      </c>
      <c r="C510" t="s">
        <v>638</v>
      </c>
      <c r="D510" s="3">
        <v>1</v>
      </c>
      <c r="E510" s="2">
        <v>150</v>
      </c>
    </row>
    <row r="511" spans="1:5" x14ac:dyDescent="0.35">
      <c r="A511" t="s">
        <v>3197</v>
      </c>
      <c r="B511" t="s">
        <v>1194</v>
      </c>
      <c r="C511" t="s">
        <v>658</v>
      </c>
      <c r="D511" s="3">
        <v>1</v>
      </c>
      <c r="E511" s="2">
        <v>750</v>
      </c>
    </row>
    <row r="512" spans="1:5" x14ac:dyDescent="0.35">
      <c r="A512" t="s">
        <v>3198</v>
      </c>
      <c r="B512" t="s">
        <v>1195</v>
      </c>
      <c r="C512" t="s">
        <v>643</v>
      </c>
      <c r="D512" s="3">
        <v>1</v>
      </c>
      <c r="E512" s="2">
        <v>2200</v>
      </c>
    </row>
    <row r="513" spans="1:5" x14ac:dyDescent="0.35">
      <c r="A513" t="s">
        <v>3199</v>
      </c>
      <c r="B513" t="s">
        <v>1196</v>
      </c>
      <c r="C513" t="s">
        <v>654</v>
      </c>
      <c r="D513" s="3">
        <v>2</v>
      </c>
      <c r="E513" s="2">
        <v>200</v>
      </c>
    </row>
    <row r="514" spans="1:5" x14ac:dyDescent="0.35">
      <c r="A514" t="s">
        <v>3200</v>
      </c>
      <c r="B514" t="s">
        <v>1197</v>
      </c>
      <c r="C514" t="s">
        <v>620</v>
      </c>
      <c r="D514" s="3">
        <v>1</v>
      </c>
      <c r="E514" s="2">
        <v>50</v>
      </c>
    </row>
    <row r="515" spans="1:5" x14ac:dyDescent="0.35">
      <c r="A515" t="s">
        <v>3201</v>
      </c>
      <c r="B515" t="s">
        <v>1198</v>
      </c>
      <c r="C515" t="s">
        <v>645</v>
      </c>
      <c r="D515" s="3">
        <v>1</v>
      </c>
      <c r="E515" s="2">
        <v>3500</v>
      </c>
    </row>
    <row r="516" spans="1:5" x14ac:dyDescent="0.35">
      <c r="A516" t="s">
        <v>3202</v>
      </c>
      <c r="B516" t="s">
        <v>1199</v>
      </c>
      <c r="C516" t="s">
        <v>667</v>
      </c>
      <c r="D516" s="3">
        <v>1</v>
      </c>
      <c r="E516" s="2">
        <v>550</v>
      </c>
    </row>
    <row r="517" spans="1:5" x14ac:dyDescent="0.35">
      <c r="A517" t="s">
        <v>3203</v>
      </c>
      <c r="B517" t="s">
        <v>1200</v>
      </c>
      <c r="C517" t="s">
        <v>631</v>
      </c>
      <c r="D517" s="3">
        <v>1</v>
      </c>
      <c r="E517" s="2">
        <v>900</v>
      </c>
    </row>
    <row r="518" spans="1:5" x14ac:dyDescent="0.35">
      <c r="A518" t="s">
        <v>3204</v>
      </c>
      <c r="B518" t="s">
        <v>1201</v>
      </c>
      <c r="C518" t="s">
        <v>643</v>
      </c>
      <c r="D518" s="3">
        <v>1</v>
      </c>
      <c r="E518" s="2">
        <v>2200</v>
      </c>
    </row>
    <row r="519" spans="1:5" x14ac:dyDescent="0.35">
      <c r="A519" t="s">
        <v>3205</v>
      </c>
      <c r="B519" t="s">
        <v>1202</v>
      </c>
      <c r="C519" t="s">
        <v>635</v>
      </c>
      <c r="D519" s="3">
        <v>3</v>
      </c>
      <c r="E519" s="2">
        <v>540</v>
      </c>
    </row>
    <row r="520" spans="1:5" x14ac:dyDescent="0.35">
      <c r="A520" t="s">
        <v>3206</v>
      </c>
      <c r="B520" t="s">
        <v>1203</v>
      </c>
      <c r="C520" t="s">
        <v>645</v>
      </c>
      <c r="D520" s="3">
        <v>2</v>
      </c>
      <c r="E520" s="2">
        <v>7000</v>
      </c>
    </row>
    <row r="521" spans="1:5" x14ac:dyDescent="0.35">
      <c r="A521" t="s">
        <v>3207</v>
      </c>
      <c r="B521" t="s">
        <v>1204</v>
      </c>
      <c r="C521" t="s">
        <v>620</v>
      </c>
      <c r="D521" s="3">
        <v>1</v>
      </c>
      <c r="E521" s="2">
        <v>50</v>
      </c>
    </row>
    <row r="522" spans="1:5" x14ac:dyDescent="0.35">
      <c r="A522" t="s">
        <v>3208</v>
      </c>
      <c r="B522" t="s">
        <v>1205</v>
      </c>
      <c r="C522" t="s">
        <v>638</v>
      </c>
      <c r="D522" s="3">
        <v>1</v>
      </c>
      <c r="E522" s="2">
        <v>150</v>
      </c>
    </row>
    <row r="523" spans="1:5" x14ac:dyDescent="0.35">
      <c r="A523" t="s">
        <v>3209</v>
      </c>
      <c r="B523" t="s">
        <v>1206</v>
      </c>
      <c r="C523" t="s">
        <v>651</v>
      </c>
      <c r="D523" s="3">
        <v>1</v>
      </c>
      <c r="E523" s="2">
        <v>120</v>
      </c>
    </row>
    <row r="524" spans="1:5" x14ac:dyDescent="0.35">
      <c r="A524" t="s">
        <v>3210</v>
      </c>
      <c r="B524" t="s">
        <v>1207</v>
      </c>
      <c r="C524" t="s">
        <v>620</v>
      </c>
      <c r="D524" s="3">
        <v>1</v>
      </c>
      <c r="E524" s="2">
        <v>50</v>
      </c>
    </row>
    <row r="525" spans="1:5" x14ac:dyDescent="0.35">
      <c r="A525" t="s">
        <v>3211</v>
      </c>
      <c r="B525" t="s">
        <v>1208</v>
      </c>
      <c r="C525" t="s">
        <v>617</v>
      </c>
      <c r="D525" s="3">
        <v>1</v>
      </c>
      <c r="E525" s="2">
        <v>200</v>
      </c>
    </row>
    <row r="526" spans="1:5" x14ac:dyDescent="0.35">
      <c r="A526" t="s">
        <v>3212</v>
      </c>
      <c r="B526" t="s">
        <v>1209</v>
      </c>
      <c r="C526" t="s">
        <v>641</v>
      </c>
      <c r="D526" s="3">
        <v>1</v>
      </c>
      <c r="E526" s="2">
        <v>1800</v>
      </c>
    </row>
    <row r="527" spans="1:5" x14ac:dyDescent="0.35">
      <c r="A527" t="s">
        <v>3213</v>
      </c>
      <c r="B527" t="s">
        <v>1210</v>
      </c>
      <c r="C527" t="s">
        <v>620</v>
      </c>
      <c r="D527" s="3">
        <v>1</v>
      </c>
      <c r="E527" s="2">
        <v>50</v>
      </c>
    </row>
    <row r="528" spans="1:5" x14ac:dyDescent="0.35">
      <c r="A528" t="s">
        <v>3214</v>
      </c>
      <c r="B528" t="s">
        <v>1211</v>
      </c>
      <c r="C528" t="s">
        <v>645</v>
      </c>
      <c r="D528" s="3">
        <v>1</v>
      </c>
      <c r="E528" s="2">
        <v>3500</v>
      </c>
    </row>
    <row r="529" spans="1:5" x14ac:dyDescent="0.35">
      <c r="A529" t="s">
        <v>3215</v>
      </c>
      <c r="B529" t="s">
        <v>1212</v>
      </c>
      <c r="C529" t="s">
        <v>669</v>
      </c>
      <c r="D529" s="3">
        <v>1</v>
      </c>
      <c r="E529" s="2">
        <v>600</v>
      </c>
    </row>
    <row r="530" spans="1:5" x14ac:dyDescent="0.35">
      <c r="A530" t="s">
        <v>3216</v>
      </c>
      <c r="B530" t="s">
        <v>1213</v>
      </c>
      <c r="C530" t="s">
        <v>635</v>
      </c>
      <c r="D530" s="3">
        <v>1</v>
      </c>
      <c r="E530" s="2">
        <v>180</v>
      </c>
    </row>
    <row r="531" spans="1:5" x14ac:dyDescent="0.35">
      <c r="A531" t="s">
        <v>3217</v>
      </c>
      <c r="B531" t="s">
        <v>1214</v>
      </c>
      <c r="C531" t="s">
        <v>629</v>
      </c>
      <c r="D531" s="3">
        <v>1</v>
      </c>
      <c r="E531" s="2">
        <v>300</v>
      </c>
    </row>
    <row r="532" spans="1:5" x14ac:dyDescent="0.35">
      <c r="A532" t="s">
        <v>3218</v>
      </c>
      <c r="B532" t="s">
        <v>1215</v>
      </c>
      <c r="C532" t="s">
        <v>667</v>
      </c>
      <c r="D532" s="3">
        <v>1</v>
      </c>
      <c r="E532" s="2">
        <v>550</v>
      </c>
    </row>
    <row r="533" spans="1:5" x14ac:dyDescent="0.35">
      <c r="A533" t="s">
        <v>3219</v>
      </c>
      <c r="B533" t="s">
        <v>1216</v>
      </c>
      <c r="C533" t="s">
        <v>617</v>
      </c>
      <c r="D533" s="3">
        <v>1</v>
      </c>
      <c r="E533" s="2">
        <v>200</v>
      </c>
    </row>
    <row r="534" spans="1:5" x14ac:dyDescent="0.35">
      <c r="A534" t="s">
        <v>3220</v>
      </c>
      <c r="B534" t="s">
        <v>1217</v>
      </c>
      <c r="C534" t="s">
        <v>651</v>
      </c>
      <c r="D534" s="3">
        <v>1</v>
      </c>
      <c r="E534" s="2">
        <v>120</v>
      </c>
    </row>
    <row r="535" spans="1:5" x14ac:dyDescent="0.35">
      <c r="A535" t="s">
        <v>3221</v>
      </c>
      <c r="B535" t="s">
        <v>1218</v>
      </c>
      <c r="C535" t="s">
        <v>631</v>
      </c>
      <c r="D535" s="3">
        <v>2</v>
      </c>
      <c r="E535" s="2">
        <v>1800</v>
      </c>
    </row>
    <row r="536" spans="1:5" x14ac:dyDescent="0.35">
      <c r="A536" t="s">
        <v>3222</v>
      </c>
      <c r="B536" t="s">
        <v>1219</v>
      </c>
      <c r="C536" t="s">
        <v>645</v>
      </c>
      <c r="D536" s="3">
        <v>2</v>
      </c>
      <c r="E536" s="2">
        <v>7000</v>
      </c>
    </row>
    <row r="537" spans="1:5" x14ac:dyDescent="0.35">
      <c r="A537" t="s">
        <v>3223</v>
      </c>
      <c r="B537" t="s">
        <v>1220</v>
      </c>
      <c r="C537" t="s">
        <v>635</v>
      </c>
      <c r="D537" s="3">
        <v>1</v>
      </c>
      <c r="E537" s="2">
        <v>180</v>
      </c>
    </row>
    <row r="538" spans="1:5" x14ac:dyDescent="0.35">
      <c r="A538" t="s">
        <v>3224</v>
      </c>
      <c r="B538" t="s">
        <v>1221</v>
      </c>
      <c r="C538" t="s">
        <v>647</v>
      </c>
      <c r="D538" s="3">
        <v>1</v>
      </c>
      <c r="E538" s="2">
        <v>4200</v>
      </c>
    </row>
    <row r="539" spans="1:5" x14ac:dyDescent="0.35">
      <c r="A539" t="s">
        <v>3225</v>
      </c>
      <c r="B539" t="s">
        <v>1222</v>
      </c>
      <c r="C539" t="s">
        <v>660</v>
      </c>
      <c r="D539" s="3">
        <v>1</v>
      </c>
      <c r="E539" s="2">
        <v>6500</v>
      </c>
    </row>
    <row r="540" spans="1:5" x14ac:dyDescent="0.35">
      <c r="A540" t="s">
        <v>3226</v>
      </c>
      <c r="B540" t="s">
        <v>1223</v>
      </c>
      <c r="C540" t="s">
        <v>617</v>
      </c>
      <c r="D540" s="3">
        <v>1</v>
      </c>
      <c r="E540" s="2">
        <v>200</v>
      </c>
    </row>
    <row r="541" spans="1:5" x14ac:dyDescent="0.35">
      <c r="A541" t="s">
        <v>3227</v>
      </c>
      <c r="B541" t="s">
        <v>1224</v>
      </c>
      <c r="C541" t="s">
        <v>643</v>
      </c>
      <c r="D541" s="3">
        <v>1</v>
      </c>
      <c r="E541" s="2">
        <v>2200</v>
      </c>
    </row>
    <row r="542" spans="1:5" x14ac:dyDescent="0.35">
      <c r="A542" t="s">
        <v>3228</v>
      </c>
      <c r="B542" t="s">
        <v>1225</v>
      </c>
      <c r="C542" t="s">
        <v>663</v>
      </c>
      <c r="D542" s="3">
        <v>1</v>
      </c>
      <c r="E542" s="2">
        <v>1400</v>
      </c>
    </row>
    <row r="543" spans="1:5" x14ac:dyDescent="0.35">
      <c r="A543" t="s">
        <v>3229</v>
      </c>
      <c r="B543" t="s">
        <v>1226</v>
      </c>
      <c r="C543" t="s">
        <v>617</v>
      </c>
      <c r="D543" s="3">
        <v>1</v>
      </c>
      <c r="E543" s="2">
        <v>200</v>
      </c>
    </row>
    <row r="544" spans="1:5" x14ac:dyDescent="0.35">
      <c r="A544" t="s">
        <v>3230</v>
      </c>
      <c r="B544" t="s">
        <v>1227</v>
      </c>
      <c r="C544" t="s">
        <v>635</v>
      </c>
      <c r="D544" s="3">
        <v>1</v>
      </c>
      <c r="E544" s="2">
        <v>180</v>
      </c>
    </row>
    <row r="545" spans="1:5" x14ac:dyDescent="0.35">
      <c r="A545" t="s">
        <v>3231</v>
      </c>
      <c r="B545" t="s">
        <v>1228</v>
      </c>
      <c r="C545" t="s">
        <v>629</v>
      </c>
      <c r="D545" s="3">
        <v>1</v>
      </c>
      <c r="E545" s="2">
        <v>300</v>
      </c>
    </row>
    <row r="546" spans="1:5" x14ac:dyDescent="0.35">
      <c r="A546" t="s">
        <v>3232</v>
      </c>
      <c r="B546" t="s">
        <v>1229</v>
      </c>
      <c r="C546" t="s">
        <v>656</v>
      </c>
      <c r="D546" s="3">
        <v>1</v>
      </c>
      <c r="E546" s="2">
        <v>350</v>
      </c>
    </row>
    <row r="547" spans="1:5" x14ac:dyDescent="0.35">
      <c r="A547" t="s">
        <v>3233</v>
      </c>
      <c r="B547" t="s">
        <v>1230</v>
      </c>
      <c r="C547" t="s">
        <v>635</v>
      </c>
      <c r="D547" s="3">
        <v>3</v>
      </c>
      <c r="E547" s="2">
        <v>540</v>
      </c>
    </row>
    <row r="548" spans="1:5" x14ac:dyDescent="0.35">
      <c r="A548" t="s">
        <v>3234</v>
      </c>
      <c r="B548" t="s">
        <v>1231</v>
      </c>
      <c r="C548" t="s">
        <v>673</v>
      </c>
      <c r="D548" s="3">
        <v>1</v>
      </c>
      <c r="E548" s="2">
        <v>300</v>
      </c>
    </row>
    <row r="549" spans="1:5" x14ac:dyDescent="0.35">
      <c r="A549" t="s">
        <v>3235</v>
      </c>
      <c r="B549" t="s">
        <v>1232</v>
      </c>
      <c r="C549" t="s">
        <v>641</v>
      </c>
      <c r="D549" s="3">
        <v>1</v>
      </c>
      <c r="E549" s="2">
        <v>1800</v>
      </c>
    </row>
    <row r="550" spans="1:5" x14ac:dyDescent="0.35">
      <c r="A550" t="s">
        <v>3236</v>
      </c>
      <c r="B550" t="s">
        <v>1233</v>
      </c>
      <c r="C550" t="s">
        <v>620</v>
      </c>
      <c r="D550" s="3">
        <v>1</v>
      </c>
      <c r="E550" s="2">
        <v>50</v>
      </c>
    </row>
    <row r="551" spans="1:5" x14ac:dyDescent="0.35">
      <c r="A551" t="s">
        <v>3237</v>
      </c>
      <c r="B551" t="s">
        <v>1234</v>
      </c>
      <c r="C551" t="s">
        <v>638</v>
      </c>
      <c r="D551" s="3">
        <v>2</v>
      </c>
      <c r="E551" s="2">
        <v>300</v>
      </c>
    </row>
    <row r="552" spans="1:5" x14ac:dyDescent="0.35">
      <c r="A552" t="s">
        <v>3238</v>
      </c>
      <c r="B552" t="s">
        <v>1235</v>
      </c>
      <c r="C552" t="s">
        <v>671</v>
      </c>
      <c r="D552" s="3">
        <v>1</v>
      </c>
      <c r="E552" s="2">
        <v>400</v>
      </c>
    </row>
    <row r="553" spans="1:5" x14ac:dyDescent="0.35">
      <c r="A553" t="s">
        <v>3239</v>
      </c>
      <c r="B553" t="s">
        <v>1236</v>
      </c>
      <c r="C553" t="s">
        <v>669</v>
      </c>
      <c r="D553" s="3">
        <v>1</v>
      </c>
      <c r="E553" s="2">
        <v>600</v>
      </c>
    </row>
    <row r="554" spans="1:5" x14ac:dyDescent="0.35">
      <c r="A554" t="s">
        <v>3240</v>
      </c>
      <c r="B554" t="s">
        <v>1237</v>
      </c>
      <c r="C554" t="s">
        <v>623</v>
      </c>
      <c r="D554" s="3">
        <v>1</v>
      </c>
      <c r="E554" s="2">
        <v>1200</v>
      </c>
    </row>
    <row r="555" spans="1:5" x14ac:dyDescent="0.35">
      <c r="A555" t="s">
        <v>3241</v>
      </c>
      <c r="B555" t="s">
        <v>1238</v>
      </c>
      <c r="C555" t="s">
        <v>658</v>
      </c>
      <c r="D555" s="3">
        <v>1</v>
      </c>
      <c r="E555" s="2">
        <v>750</v>
      </c>
    </row>
    <row r="556" spans="1:5" x14ac:dyDescent="0.35">
      <c r="A556" t="s">
        <v>3242</v>
      </c>
      <c r="B556" t="s">
        <v>1239</v>
      </c>
      <c r="C556" t="s">
        <v>633</v>
      </c>
      <c r="D556" s="3">
        <v>1</v>
      </c>
      <c r="E556" s="2">
        <v>450</v>
      </c>
    </row>
    <row r="557" spans="1:5" x14ac:dyDescent="0.35">
      <c r="A557" t="s">
        <v>3243</v>
      </c>
      <c r="B557" t="s">
        <v>1240</v>
      </c>
      <c r="C557" t="s">
        <v>651</v>
      </c>
      <c r="D557" s="3">
        <v>1</v>
      </c>
      <c r="E557" s="2">
        <v>120</v>
      </c>
    </row>
    <row r="558" spans="1:5" x14ac:dyDescent="0.35">
      <c r="A558" t="s">
        <v>3244</v>
      </c>
      <c r="B558" t="s">
        <v>1241</v>
      </c>
      <c r="C558" t="s">
        <v>665</v>
      </c>
      <c r="D558" s="3">
        <v>1</v>
      </c>
      <c r="E558" s="2">
        <v>700</v>
      </c>
    </row>
    <row r="559" spans="1:5" x14ac:dyDescent="0.35">
      <c r="A559" t="s">
        <v>3245</v>
      </c>
      <c r="B559" t="s">
        <v>1242</v>
      </c>
      <c r="C559" t="s">
        <v>667</v>
      </c>
      <c r="D559" s="3">
        <v>1</v>
      </c>
      <c r="E559" s="2">
        <v>550</v>
      </c>
    </row>
    <row r="560" spans="1:5" x14ac:dyDescent="0.35">
      <c r="A560" t="s">
        <v>3246</v>
      </c>
      <c r="B560" t="s">
        <v>1243</v>
      </c>
      <c r="C560" t="s">
        <v>663</v>
      </c>
      <c r="D560" s="3">
        <v>1</v>
      </c>
      <c r="E560" s="2">
        <v>1400</v>
      </c>
    </row>
    <row r="561" spans="1:5" x14ac:dyDescent="0.35">
      <c r="A561" t="s">
        <v>3247</v>
      </c>
      <c r="B561" t="s">
        <v>1244</v>
      </c>
      <c r="C561" t="s">
        <v>658</v>
      </c>
      <c r="D561" s="3">
        <v>1</v>
      </c>
      <c r="E561" s="2">
        <v>750</v>
      </c>
    </row>
    <row r="562" spans="1:5" x14ac:dyDescent="0.35">
      <c r="A562" t="s">
        <v>3248</v>
      </c>
      <c r="B562" t="s">
        <v>1245</v>
      </c>
      <c r="C562" t="s">
        <v>673</v>
      </c>
      <c r="D562" s="3">
        <v>1</v>
      </c>
      <c r="E562" s="2">
        <v>300</v>
      </c>
    </row>
    <row r="563" spans="1:5" x14ac:dyDescent="0.35">
      <c r="A563" t="s">
        <v>3249</v>
      </c>
      <c r="B563" t="s">
        <v>1246</v>
      </c>
      <c r="C563" t="s">
        <v>623</v>
      </c>
      <c r="D563" s="3">
        <v>1</v>
      </c>
      <c r="E563" s="2">
        <v>1200</v>
      </c>
    </row>
    <row r="564" spans="1:5" x14ac:dyDescent="0.35">
      <c r="A564" t="s">
        <v>3250</v>
      </c>
      <c r="B564" t="s">
        <v>1247</v>
      </c>
      <c r="C564" t="s">
        <v>669</v>
      </c>
      <c r="D564" s="3">
        <v>1</v>
      </c>
      <c r="E564" s="2">
        <v>600</v>
      </c>
    </row>
    <row r="565" spans="1:5" x14ac:dyDescent="0.35">
      <c r="A565" t="s">
        <v>3251</v>
      </c>
      <c r="B565" t="s">
        <v>1248</v>
      </c>
      <c r="C565" t="s">
        <v>649</v>
      </c>
      <c r="D565" s="3">
        <v>1</v>
      </c>
      <c r="E565" s="2">
        <v>800</v>
      </c>
    </row>
    <row r="566" spans="1:5" x14ac:dyDescent="0.35">
      <c r="A566" t="s">
        <v>3252</v>
      </c>
      <c r="B566" t="s">
        <v>1249</v>
      </c>
      <c r="C566" t="s">
        <v>671</v>
      </c>
      <c r="D566" s="3">
        <v>1</v>
      </c>
      <c r="E566" s="2">
        <v>400</v>
      </c>
    </row>
    <row r="567" spans="1:5" x14ac:dyDescent="0.35">
      <c r="A567" t="s">
        <v>3253</v>
      </c>
      <c r="B567" t="s">
        <v>1250</v>
      </c>
      <c r="C567" t="s">
        <v>620</v>
      </c>
      <c r="D567" s="3">
        <v>1</v>
      </c>
      <c r="E567" s="2">
        <v>50</v>
      </c>
    </row>
    <row r="568" spans="1:5" x14ac:dyDescent="0.35">
      <c r="A568" t="s">
        <v>3254</v>
      </c>
      <c r="B568" t="s">
        <v>1251</v>
      </c>
      <c r="C568" t="s">
        <v>649</v>
      </c>
      <c r="D568" s="3">
        <v>1</v>
      </c>
      <c r="E568" s="2">
        <v>800</v>
      </c>
    </row>
    <row r="569" spans="1:5" x14ac:dyDescent="0.35">
      <c r="A569" t="s">
        <v>3255</v>
      </c>
      <c r="B569" t="s">
        <v>1252</v>
      </c>
      <c r="C569" t="s">
        <v>667</v>
      </c>
      <c r="D569" s="3">
        <v>1</v>
      </c>
      <c r="E569" s="2">
        <v>550</v>
      </c>
    </row>
    <row r="570" spans="1:5" x14ac:dyDescent="0.35">
      <c r="A570" t="s">
        <v>3256</v>
      </c>
      <c r="B570" t="s">
        <v>1253</v>
      </c>
      <c r="C570" t="s">
        <v>643</v>
      </c>
      <c r="D570" s="3">
        <v>1</v>
      </c>
      <c r="E570" s="2">
        <v>2200</v>
      </c>
    </row>
    <row r="571" spans="1:5" x14ac:dyDescent="0.35">
      <c r="A571" t="s">
        <v>3257</v>
      </c>
      <c r="B571" t="s">
        <v>1254</v>
      </c>
      <c r="C571" t="s">
        <v>654</v>
      </c>
      <c r="D571" s="3">
        <v>1</v>
      </c>
      <c r="E571" s="2">
        <v>100</v>
      </c>
    </row>
    <row r="572" spans="1:5" x14ac:dyDescent="0.35">
      <c r="A572" t="s">
        <v>3258</v>
      </c>
      <c r="B572" t="s">
        <v>1255</v>
      </c>
      <c r="C572" t="s">
        <v>635</v>
      </c>
      <c r="D572" s="3">
        <v>1</v>
      </c>
      <c r="E572" s="2">
        <v>180</v>
      </c>
    </row>
    <row r="573" spans="1:5" x14ac:dyDescent="0.35">
      <c r="A573" t="s">
        <v>3259</v>
      </c>
      <c r="B573" t="s">
        <v>1256</v>
      </c>
      <c r="C573" t="s">
        <v>633</v>
      </c>
      <c r="D573" s="3">
        <v>1</v>
      </c>
      <c r="E573" s="2">
        <v>450</v>
      </c>
    </row>
    <row r="574" spans="1:5" x14ac:dyDescent="0.35">
      <c r="A574" t="s">
        <v>3260</v>
      </c>
      <c r="B574" t="s">
        <v>1257</v>
      </c>
      <c r="C574" t="s">
        <v>643</v>
      </c>
      <c r="D574" s="3">
        <v>1</v>
      </c>
      <c r="E574" s="2">
        <v>2200</v>
      </c>
    </row>
    <row r="575" spans="1:5" x14ac:dyDescent="0.35">
      <c r="A575" t="s">
        <v>3261</v>
      </c>
      <c r="B575" t="s">
        <v>1258</v>
      </c>
      <c r="C575" t="s">
        <v>623</v>
      </c>
      <c r="D575" s="3">
        <v>1</v>
      </c>
      <c r="E575" s="2">
        <v>1200</v>
      </c>
    </row>
    <row r="576" spans="1:5" x14ac:dyDescent="0.35">
      <c r="A576" t="s">
        <v>3262</v>
      </c>
      <c r="B576" t="s">
        <v>1259</v>
      </c>
      <c r="C576" t="s">
        <v>656</v>
      </c>
      <c r="D576" s="3">
        <v>1</v>
      </c>
      <c r="E576" s="2">
        <v>350</v>
      </c>
    </row>
    <row r="577" spans="1:5" x14ac:dyDescent="0.35">
      <c r="A577" t="s">
        <v>3263</v>
      </c>
      <c r="B577" t="s">
        <v>1260</v>
      </c>
      <c r="C577" t="s">
        <v>649</v>
      </c>
      <c r="D577" s="3">
        <v>1</v>
      </c>
      <c r="E577" s="2">
        <v>800</v>
      </c>
    </row>
    <row r="578" spans="1:5" x14ac:dyDescent="0.35">
      <c r="A578" t="s">
        <v>3264</v>
      </c>
      <c r="B578" t="s">
        <v>1261</v>
      </c>
      <c r="C578" t="s">
        <v>631</v>
      </c>
      <c r="D578" s="3">
        <v>1</v>
      </c>
      <c r="E578" s="2">
        <v>900</v>
      </c>
    </row>
    <row r="579" spans="1:5" x14ac:dyDescent="0.35">
      <c r="A579" t="s">
        <v>3265</v>
      </c>
      <c r="B579" t="s">
        <v>1262</v>
      </c>
      <c r="C579" t="s">
        <v>635</v>
      </c>
      <c r="D579" s="3">
        <v>1</v>
      </c>
      <c r="E579" s="2">
        <v>180</v>
      </c>
    </row>
    <row r="580" spans="1:5" x14ac:dyDescent="0.35">
      <c r="A580" t="s">
        <v>3266</v>
      </c>
      <c r="B580" t="s">
        <v>1263</v>
      </c>
      <c r="C580" t="s">
        <v>667</v>
      </c>
      <c r="D580" s="3">
        <v>1</v>
      </c>
      <c r="E580" s="2">
        <v>550</v>
      </c>
    </row>
    <row r="581" spans="1:5" x14ac:dyDescent="0.35">
      <c r="A581" t="s">
        <v>3267</v>
      </c>
      <c r="B581" t="s">
        <v>1264</v>
      </c>
      <c r="C581" t="s">
        <v>629</v>
      </c>
      <c r="D581" s="3">
        <v>1</v>
      </c>
      <c r="E581" s="2">
        <v>300</v>
      </c>
    </row>
    <row r="582" spans="1:5" x14ac:dyDescent="0.35">
      <c r="A582" t="s">
        <v>3268</v>
      </c>
      <c r="B582" t="s">
        <v>1265</v>
      </c>
      <c r="C582" t="s">
        <v>635</v>
      </c>
      <c r="D582" s="3">
        <v>1</v>
      </c>
      <c r="E582" s="2">
        <v>180</v>
      </c>
    </row>
    <row r="583" spans="1:5" x14ac:dyDescent="0.35">
      <c r="A583" t="s">
        <v>3269</v>
      </c>
      <c r="B583" t="s">
        <v>1266</v>
      </c>
      <c r="C583" t="s">
        <v>620</v>
      </c>
      <c r="D583" s="3">
        <v>1</v>
      </c>
      <c r="E583" s="2">
        <v>50</v>
      </c>
    </row>
    <row r="584" spans="1:5" x14ac:dyDescent="0.35">
      <c r="A584" t="s">
        <v>3270</v>
      </c>
      <c r="B584" t="s">
        <v>1267</v>
      </c>
      <c r="C584" t="s">
        <v>651</v>
      </c>
      <c r="D584" s="3">
        <v>1</v>
      </c>
      <c r="E584" s="2">
        <v>120</v>
      </c>
    </row>
    <row r="585" spans="1:5" x14ac:dyDescent="0.35">
      <c r="A585" t="s">
        <v>3271</v>
      </c>
      <c r="B585" t="s">
        <v>1268</v>
      </c>
      <c r="C585" t="s">
        <v>645</v>
      </c>
      <c r="D585" s="3">
        <v>1</v>
      </c>
      <c r="E585" s="2">
        <v>3500</v>
      </c>
    </row>
    <row r="586" spans="1:5" x14ac:dyDescent="0.35">
      <c r="A586" t="s">
        <v>3272</v>
      </c>
      <c r="B586" t="s">
        <v>1269</v>
      </c>
      <c r="C586" t="s">
        <v>656</v>
      </c>
      <c r="D586" s="3">
        <v>1</v>
      </c>
      <c r="E586" s="2">
        <v>350</v>
      </c>
    </row>
    <row r="587" spans="1:5" x14ac:dyDescent="0.35">
      <c r="A587" t="s">
        <v>3273</v>
      </c>
      <c r="B587" t="s">
        <v>1270</v>
      </c>
      <c r="C587" t="s">
        <v>617</v>
      </c>
      <c r="D587" s="3">
        <v>1</v>
      </c>
      <c r="E587" s="2">
        <v>200</v>
      </c>
    </row>
    <row r="588" spans="1:5" x14ac:dyDescent="0.35">
      <c r="A588" t="s">
        <v>3274</v>
      </c>
      <c r="B588" t="s">
        <v>1271</v>
      </c>
      <c r="C588" t="s">
        <v>651</v>
      </c>
      <c r="D588" s="3">
        <v>1</v>
      </c>
      <c r="E588" s="2">
        <v>120</v>
      </c>
    </row>
    <row r="589" spans="1:5" x14ac:dyDescent="0.35">
      <c r="A589" t="s">
        <v>3275</v>
      </c>
      <c r="B589" t="s">
        <v>1272</v>
      </c>
      <c r="C589" t="s">
        <v>649</v>
      </c>
      <c r="D589" s="3">
        <v>1</v>
      </c>
      <c r="E589" s="2">
        <v>800</v>
      </c>
    </row>
    <row r="590" spans="1:5" x14ac:dyDescent="0.35">
      <c r="A590" t="s">
        <v>3276</v>
      </c>
      <c r="B590" t="s">
        <v>1273</v>
      </c>
      <c r="C590" t="s">
        <v>663</v>
      </c>
      <c r="D590" s="3">
        <v>2</v>
      </c>
      <c r="E590" s="2">
        <v>2800</v>
      </c>
    </row>
    <row r="591" spans="1:5" x14ac:dyDescent="0.35">
      <c r="A591" t="s">
        <v>3277</v>
      </c>
      <c r="B591" t="s">
        <v>1274</v>
      </c>
      <c r="C591" t="s">
        <v>667</v>
      </c>
      <c r="D591" s="3">
        <v>1</v>
      </c>
      <c r="E591" s="2">
        <v>550</v>
      </c>
    </row>
    <row r="592" spans="1:5" x14ac:dyDescent="0.35">
      <c r="A592" t="s">
        <v>3278</v>
      </c>
      <c r="B592" t="s">
        <v>1275</v>
      </c>
      <c r="C592" t="s">
        <v>654</v>
      </c>
      <c r="D592" s="3">
        <v>1</v>
      </c>
      <c r="E592" s="2">
        <v>100</v>
      </c>
    </row>
    <row r="593" spans="1:5" x14ac:dyDescent="0.35">
      <c r="A593" t="s">
        <v>3279</v>
      </c>
      <c r="B593" t="s">
        <v>1276</v>
      </c>
      <c r="C593" t="s">
        <v>638</v>
      </c>
      <c r="D593" s="3">
        <v>1</v>
      </c>
      <c r="E593" s="2">
        <v>150</v>
      </c>
    </row>
    <row r="594" spans="1:5" x14ac:dyDescent="0.35">
      <c r="A594" t="s">
        <v>3280</v>
      </c>
      <c r="B594" t="s">
        <v>1277</v>
      </c>
      <c r="C594" t="s">
        <v>617</v>
      </c>
      <c r="D594" s="3">
        <v>1</v>
      </c>
      <c r="E594" s="2">
        <v>200</v>
      </c>
    </row>
    <row r="595" spans="1:5" x14ac:dyDescent="0.35">
      <c r="A595" t="s">
        <v>3281</v>
      </c>
      <c r="B595" t="s">
        <v>1278</v>
      </c>
      <c r="C595" t="s">
        <v>656</v>
      </c>
      <c r="D595" s="3">
        <v>3</v>
      </c>
      <c r="E595" s="2">
        <v>1050</v>
      </c>
    </row>
    <row r="596" spans="1:5" x14ac:dyDescent="0.35">
      <c r="A596" t="s">
        <v>3282</v>
      </c>
      <c r="B596" t="s">
        <v>1279</v>
      </c>
      <c r="C596" t="s">
        <v>647</v>
      </c>
      <c r="D596" s="3">
        <v>1</v>
      </c>
      <c r="E596" s="2">
        <v>4200</v>
      </c>
    </row>
    <row r="597" spans="1:5" x14ac:dyDescent="0.35">
      <c r="A597" t="s">
        <v>3283</v>
      </c>
      <c r="B597" t="s">
        <v>1280</v>
      </c>
      <c r="C597" t="s">
        <v>665</v>
      </c>
      <c r="D597" s="3">
        <v>3</v>
      </c>
      <c r="E597" s="2">
        <v>2100</v>
      </c>
    </row>
    <row r="598" spans="1:5" x14ac:dyDescent="0.35">
      <c r="A598" t="s">
        <v>3284</v>
      </c>
      <c r="B598" t="s">
        <v>1281</v>
      </c>
      <c r="C598" t="s">
        <v>665</v>
      </c>
      <c r="D598" s="3">
        <v>1</v>
      </c>
      <c r="E598" s="2">
        <v>700</v>
      </c>
    </row>
    <row r="599" spans="1:5" x14ac:dyDescent="0.35">
      <c r="A599" t="s">
        <v>3285</v>
      </c>
      <c r="B599" t="s">
        <v>1282</v>
      </c>
      <c r="C599" t="s">
        <v>629</v>
      </c>
      <c r="D599" s="3">
        <v>1</v>
      </c>
      <c r="E599" s="2">
        <v>300</v>
      </c>
    </row>
    <row r="600" spans="1:5" x14ac:dyDescent="0.35">
      <c r="A600" t="s">
        <v>3286</v>
      </c>
      <c r="B600" t="s">
        <v>1283</v>
      </c>
      <c r="C600" t="s">
        <v>641</v>
      </c>
      <c r="D600" s="3">
        <v>1</v>
      </c>
      <c r="E600" s="2">
        <v>1800</v>
      </c>
    </row>
    <row r="601" spans="1:5" x14ac:dyDescent="0.35">
      <c r="A601" t="s">
        <v>3287</v>
      </c>
      <c r="B601" t="s">
        <v>1284</v>
      </c>
      <c r="C601" t="s">
        <v>631</v>
      </c>
      <c r="D601" s="3">
        <v>1</v>
      </c>
      <c r="E601" s="2">
        <v>900</v>
      </c>
    </row>
    <row r="602" spans="1:5" x14ac:dyDescent="0.35">
      <c r="A602" t="s">
        <v>3288</v>
      </c>
      <c r="B602" t="s">
        <v>1285</v>
      </c>
      <c r="C602" t="s">
        <v>671</v>
      </c>
      <c r="D602" s="3">
        <v>1</v>
      </c>
      <c r="E602" s="2">
        <v>400</v>
      </c>
    </row>
    <row r="603" spans="1:5" x14ac:dyDescent="0.35">
      <c r="A603" t="s">
        <v>3289</v>
      </c>
      <c r="B603" t="s">
        <v>1286</v>
      </c>
      <c r="C603" t="s">
        <v>660</v>
      </c>
      <c r="D603" s="3">
        <v>2</v>
      </c>
      <c r="E603" s="2">
        <v>13000</v>
      </c>
    </row>
    <row r="604" spans="1:5" x14ac:dyDescent="0.35">
      <c r="A604" t="s">
        <v>3290</v>
      </c>
      <c r="B604" t="s">
        <v>1287</v>
      </c>
      <c r="C604" t="s">
        <v>673</v>
      </c>
      <c r="D604" s="3">
        <v>1</v>
      </c>
      <c r="E604" s="2">
        <v>300</v>
      </c>
    </row>
    <row r="605" spans="1:5" x14ac:dyDescent="0.35">
      <c r="A605" t="s">
        <v>3291</v>
      </c>
      <c r="B605" t="s">
        <v>1288</v>
      </c>
      <c r="C605" t="s">
        <v>647</v>
      </c>
      <c r="D605" s="3">
        <v>1</v>
      </c>
      <c r="E605" s="2">
        <v>4200</v>
      </c>
    </row>
    <row r="606" spans="1:5" x14ac:dyDescent="0.35">
      <c r="A606" t="s">
        <v>3292</v>
      </c>
      <c r="B606" t="s">
        <v>1289</v>
      </c>
      <c r="C606" t="s">
        <v>617</v>
      </c>
      <c r="D606" s="3">
        <v>1</v>
      </c>
      <c r="E606" s="2">
        <v>200</v>
      </c>
    </row>
    <row r="607" spans="1:5" x14ac:dyDescent="0.35">
      <c r="A607" t="s">
        <v>3293</v>
      </c>
      <c r="B607" t="s">
        <v>1290</v>
      </c>
      <c r="C607" t="s">
        <v>663</v>
      </c>
      <c r="D607" s="3">
        <v>1</v>
      </c>
      <c r="E607" s="2">
        <v>1400</v>
      </c>
    </row>
    <row r="608" spans="1:5" x14ac:dyDescent="0.35">
      <c r="A608" t="s">
        <v>3294</v>
      </c>
      <c r="B608" t="s">
        <v>1291</v>
      </c>
      <c r="C608" t="s">
        <v>673</v>
      </c>
      <c r="D608" s="3">
        <v>1</v>
      </c>
      <c r="E608" s="2">
        <v>300</v>
      </c>
    </row>
    <row r="609" spans="1:5" x14ac:dyDescent="0.35">
      <c r="A609" t="s">
        <v>3295</v>
      </c>
      <c r="B609" t="s">
        <v>1292</v>
      </c>
      <c r="C609" t="s">
        <v>651</v>
      </c>
      <c r="D609" s="3">
        <v>3</v>
      </c>
      <c r="E609" s="2">
        <v>360</v>
      </c>
    </row>
    <row r="610" spans="1:5" x14ac:dyDescent="0.35">
      <c r="A610" t="s">
        <v>3296</v>
      </c>
      <c r="B610" t="s">
        <v>1293</v>
      </c>
      <c r="C610" t="s">
        <v>649</v>
      </c>
      <c r="D610" s="3">
        <v>1</v>
      </c>
      <c r="E610" s="2">
        <v>800</v>
      </c>
    </row>
    <row r="611" spans="1:5" x14ac:dyDescent="0.35">
      <c r="A611" t="s">
        <v>3297</v>
      </c>
      <c r="B611" t="s">
        <v>1294</v>
      </c>
      <c r="C611" t="s">
        <v>635</v>
      </c>
      <c r="D611" s="3">
        <v>1</v>
      </c>
      <c r="E611" s="2">
        <v>180</v>
      </c>
    </row>
    <row r="612" spans="1:5" x14ac:dyDescent="0.35">
      <c r="A612" t="s">
        <v>3298</v>
      </c>
      <c r="B612" t="s">
        <v>1295</v>
      </c>
      <c r="C612" t="s">
        <v>641</v>
      </c>
      <c r="D612" s="3">
        <v>2</v>
      </c>
      <c r="E612" s="2">
        <v>3600</v>
      </c>
    </row>
    <row r="613" spans="1:5" x14ac:dyDescent="0.35">
      <c r="A613" t="s">
        <v>3299</v>
      </c>
      <c r="B613" t="s">
        <v>1296</v>
      </c>
      <c r="C613" t="s">
        <v>638</v>
      </c>
      <c r="D613" s="3">
        <v>3</v>
      </c>
      <c r="E613" s="2">
        <v>450</v>
      </c>
    </row>
    <row r="614" spans="1:5" x14ac:dyDescent="0.35">
      <c r="A614" t="s">
        <v>3300</v>
      </c>
      <c r="B614" t="s">
        <v>1297</v>
      </c>
      <c r="C614" t="s">
        <v>656</v>
      </c>
      <c r="D614" s="3">
        <v>1</v>
      </c>
      <c r="E614" s="2">
        <v>350</v>
      </c>
    </row>
    <row r="615" spans="1:5" x14ac:dyDescent="0.35">
      <c r="A615" t="s">
        <v>3301</v>
      </c>
      <c r="B615" t="s">
        <v>1298</v>
      </c>
      <c r="C615" t="s">
        <v>638</v>
      </c>
      <c r="D615" s="3">
        <v>2</v>
      </c>
      <c r="E615" s="2">
        <v>300</v>
      </c>
    </row>
    <row r="616" spans="1:5" x14ac:dyDescent="0.35">
      <c r="A616" t="s">
        <v>3302</v>
      </c>
      <c r="B616" t="s">
        <v>1299</v>
      </c>
      <c r="C616" t="s">
        <v>623</v>
      </c>
      <c r="D616" s="3">
        <v>1</v>
      </c>
      <c r="E616" s="2">
        <v>1200</v>
      </c>
    </row>
    <row r="617" spans="1:5" x14ac:dyDescent="0.35">
      <c r="A617" t="s">
        <v>3303</v>
      </c>
      <c r="B617" t="s">
        <v>1300</v>
      </c>
      <c r="C617" t="s">
        <v>643</v>
      </c>
      <c r="D617" s="3">
        <v>2</v>
      </c>
      <c r="E617" s="2">
        <v>4400</v>
      </c>
    </row>
    <row r="618" spans="1:5" x14ac:dyDescent="0.35">
      <c r="A618" t="s">
        <v>3304</v>
      </c>
      <c r="B618" t="s">
        <v>1301</v>
      </c>
      <c r="C618" t="s">
        <v>645</v>
      </c>
      <c r="D618" s="3">
        <v>1</v>
      </c>
      <c r="E618" s="2">
        <v>3500</v>
      </c>
    </row>
    <row r="619" spans="1:5" x14ac:dyDescent="0.35">
      <c r="A619" t="s">
        <v>3305</v>
      </c>
      <c r="B619" t="s">
        <v>1302</v>
      </c>
      <c r="C619" t="s">
        <v>641</v>
      </c>
      <c r="D619" s="3">
        <v>1</v>
      </c>
      <c r="E619" s="2">
        <v>1800</v>
      </c>
    </row>
    <row r="620" spans="1:5" x14ac:dyDescent="0.35">
      <c r="A620" t="s">
        <v>3306</v>
      </c>
      <c r="B620" t="s">
        <v>1303</v>
      </c>
      <c r="C620" t="s">
        <v>673</v>
      </c>
      <c r="D620" s="3">
        <v>1</v>
      </c>
      <c r="E620" s="2">
        <v>300</v>
      </c>
    </row>
    <row r="621" spans="1:5" x14ac:dyDescent="0.35">
      <c r="A621" t="s">
        <v>3307</v>
      </c>
      <c r="B621" t="s">
        <v>1304</v>
      </c>
      <c r="C621" t="s">
        <v>656</v>
      </c>
      <c r="D621" s="3">
        <v>1</v>
      </c>
      <c r="E621" s="2">
        <v>350</v>
      </c>
    </row>
    <row r="622" spans="1:5" x14ac:dyDescent="0.35">
      <c r="A622" t="s">
        <v>3308</v>
      </c>
      <c r="B622" t="s">
        <v>1305</v>
      </c>
      <c r="C622" t="s">
        <v>656</v>
      </c>
      <c r="D622" s="3">
        <v>1</v>
      </c>
      <c r="E622" s="2">
        <v>350</v>
      </c>
    </row>
    <row r="623" spans="1:5" x14ac:dyDescent="0.35">
      <c r="A623" t="s">
        <v>3309</v>
      </c>
      <c r="B623" t="s">
        <v>1306</v>
      </c>
      <c r="C623" t="s">
        <v>673</v>
      </c>
      <c r="D623" s="3">
        <v>1</v>
      </c>
      <c r="E623" s="2">
        <v>300</v>
      </c>
    </row>
    <row r="624" spans="1:5" x14ac:dyDescent="0.35">
      <c r="A624" t="s">
        <v>3310</v>
      </c>
      <c r="B624" t="s">
        <v>1307</v>
      </c>
      <c r="C624" t="s">
        <v>643</v>
      </c>
      <c r="D624" s="3">
        <v>1</v>
      </c>
      <c r="E624" s="2">
        <v>2200</v>
      </c>
    </row>
    <row r="625" spans="1:5" x14ac:dyDescent="0.35">
      <c r="A625" t="s">
        <v>3311</v>
      </c>
      <c r="B625" t="s">
        <v>1308</v>
      </c>
      <c r="C625" t="s">
        <v>667</v>
      </c>
      <c r="D625" s="3">
        <v>1</v>
      </c>
      <c r="E625" s="2">
        <v>550</v>
      </c>
    </row>
    <row r="626" spans="1:5" x14ac:dyDescent="0.35">
      <c r="A626" t="s">
        <v>3312</v>
      </c>
      <c r="B626" t="s">
        <v>1309</v>
      </c>
      <c r="C626" t="s">
        <v>626</v>
      </c>
      <c r="D626" s="3">
        <v>1</v>
      </c>
      <c r="E626" s="2">
        <v>5000</v>
      </c>
    </row>
    <row r="627" spans="1:5" x14ac:dyDescent="0.35">
      <c r="A627" t="s">
        <v>3313</v>
      </c>
      <c r="B627" t="s">
        <v>1310</v>
      </c>
      <c r="C627" t="s">
        <v>633</v>
      </c>
      <c r="D627" s="3">
        <v>1</v>
      </c>
      <c r="E627" s="2">
        <v>450</v>
      </c>
    </row>
    <row r="628" spans="1:5" x14ac:dyDescent="0.35">
      <c r="A628" t="s">
        <v>3314</v>
      </c>
      <c r="B628" t="s">
        <v>1311</v>
      </c>
      <c r="C628" t="s">
        <v>665</v>
      </c>
      <c r="D628" s="3">
        <v>1</v>
      </c>
      <c r="E628" s="2">
        <v>700</v>
      </c>
    </row>
    <row r="629" spans="1:5" x14ac:dyDescent="0.35">
      <c r="A629" t="s">
        <v>3315</v>
      </c>
      <c r="B629" t="s">
        <v>1312</v>
      </c>
      <c r="C629" t="s">
        <v>649</v>
      </c>
      <c r="D629" s="3">
        <v>2</v>
      </c>
      <c r="E629" s="2">
        <v>1600</v>
      </c>
    </row>
    <row r="630" spans="1:5" x14ac:dyDescent="0.35">
      <c r="A630" t="s">
        <v>3316</v>
      </c>
      <c r="B630" t="s">
        <v>1313</v>
      </c>
      <c r="C630" t="s">
        <v>633</v>
      </c>
      <c r="D630" s="3">
        <v>1</v>
      </c>
      <c r="E630" s="2">
        <v>450</v>
      </c>
    </row>
    <row r="631" spans="1:5" x14ac:dyDescent="0.35">
      <c r="A631" t="s">
        <v>3317</v>
      </c>
      <c r="B631" t="s">
        <v>1314</v>
      </c>
      <c r="C631" t="s">
        <v>671</v>
      </c>
      <c r="D631" s="3">
        <v>1</v>
      </c>
      <c r="E631" s="2">
        <v>400</v>
      </c>
    </row>
    <row r="632" spans="1:5" x14ac:dyDescent="0.35">
      <c r="A632" t="s">
        <v>3318</v>
      </c>
      <c r="B632" t="s">
        <v>1315</v>
      </c>
      <c r="C632" t="s">
        <v>635</v>
      </c>
      <c r="D632" s="3">
        <v>1</v>
      </c>
      <c r="E632" s="2">
        <v>180</v>
      </c>
    </row>
    <row r="633" spans="1:5" x14ac:dyDescent="0.35">
      <c r="A633" t="s">
        <v>3319</v>
      </c>
      <c r="B633" t="s">
        <v>1316</v>
      </c>
      <c r="C633" t="s">
        <v>617</v>
      </c>
      <c r="D633" s="3">
        <v>1</v>
      </c>
      <c r="E633" s="2">
        <v>200</v>
      </c>
    </row>
    <row r="634" spans="1:5" x14ac:dyDescent="0.35">
      <c r="A634" t="s">
        <v>3320</v>
      </c>
      <c r="B634" t="s">
        <v>1317</v>
      </c>
      <c r="C634" t="s">
        <v>671</v>
      </c>
      <c r="D634" s="3">
        <v>3</v>
      </c>
      <c r="E634" s="2">
        <v>1200</v>
      </c>
    </row>
    <row r="635" spans="1:5" x14ac:dyDescent="0.35">
      <c r="A635" t="s">
        <v>3321</v>
      </c>
      <c r="B635" t="s">
        <v>1318</v>
      </c>
      <c r="C635" t="s">
        <v>667</v>
      </c>
      <c r="D635" s="3">
        <v>2</v>
      </c>
      <c r="E635" s="2">
        <v>1100</v>
      </c>
    </row>
    <row r="636" spans="1:5" x14ac:dyDescent="0.35">
      <c r="A636" t="s">
        <v>3322</v>
      </c>
      <c r="B636" t="s">
        <v>1319</v>
      </c>
      <c r="C636" t="s">
        <v>626</v>
      </c>
      <c r="D636" s="3">
        <v>1</v>
      </c>
      <c r="E636" s="2">
        <v>5000</v>
      </c>
    </row>
    <row r="637" spans="1:5" x14ac:dyDescent="0.35">
      <c r="A637" t="s">
        <v>3323</v>
      </c>
      <c r="B637" t="s">
        <v>1320</v>
      </c>
      <c r="C637" t="s">
        <v>645</v>
      </c>
      <c r="D637" s="3">
        <v>1</v>
      </c>
      <c r="E637" s="2">
        <v>3500</v>
      </c>
    </row>
    <row r="638" spans="1:5" x14ac:dyDescent="0.35">
      <c r="A638" t="s">
        <v>3324</v>
      </c>
      <c r="B638" t="s">
        <v>1321</v>
      </c>
      <c r="C638" t="s">
        <v>671</v>
      </c>
      <c r="D638" s="3">
        <v>1</v>
      </c>
      <c r="E638" s="2">
        <v>400</v>
      </c>
    </row>
    <row r="639" spans="1:5" x14ac:dyDescent="0.35">
      <c r="A639" t="s">
        <v>3325</v>
      </c>
      <c r="B639" t="s">
        <v>1322</v>
      </c>
      <c r="C639" t="s">
        <v>623</v>
      </c>
      <c r="D639" s="3">
        <v>1</v>
      </c>
      <c r="E639" s="2">
        <v>1200</v>
      </c>
    </row>
    <row r="640" spans="1:5" x14ac:dyDescent="0.35">
      <c r="A640" t="s">
        <v>3326</v>
      </c>
      <c r="B640" t="s">
        <v>1323</v>
      </c>
      <c r="C640" t="s">
        <v>647</v>
      </c>
      <c r="D640" s="3">
        <v>1</v>
      </c>
      <c r="E640" s="2">
        <v>4200</v>
      </c>
    </row>
    <row r="641" spans="1:5" x14ac:dyDescent="0.35">
      <c r="A641" t="s">
        <v>3327</v>
      </c>
      <c r="B641" t="s">
        <v>1324</v>
      </c>
      <c r="C641" t="s">
        <v>663</v>
      </c>
      <c r="D641" s="3">
        <v>1</v>
      </c>
      <c r="E641" s="2">
        <v>1400</v>
      </c>
    </row>
    <row r="642" spans="1:5" x14ac:dyDescent="0.35">
      <c r="A642" t="s">
        <v>3328</v>
      </c>
      <c r="B642" t="s">
        <v>1325</v>
      </c>
      <c r="C642" t="s">
        <v>631</v>
      </c>
      <c r="D642" s="3">
        <v>1</v>
      </c>
      <c r="E642" s="2">
        <v>900</v>
      </c>
    </row>
    <row r="643" spans="1:5" x14ac:dyDescent="0.35">
      <c r="A643" t="s">
        <v>3329</v>
      </c>
      <c r="B643" t="s">
        <v>1326</v>
      </c>
      <c r="C643" t="s">
        <v>643</v>
      </c>
      <c r="D643" s="3">
        <v>1</v>
      </c>
      <c r="E643" s="2">
        <v>2200</v>
      </c>
    </row>
    <row r="644" spans="1:5" x14ac:dyDescent="0.35">
      <c r="A644" t="s">
        <v>3330</v>
      </c>
      <c r="B644" t="s">
        <v>1327</v>
      </c>
      <c r="C644" t="s">
        <v>669</v>
      </c>
      <c r="D644" s="3">
        <v>1</v>
      </c>
      <c r="E644" s="2">
        <v>600</v>
      </c>
    </row>
    <row r="645" spans="1:5" x14ac:dyDescent="0.35">
      <c r="A645" t="s">
        <v>3331</v>
      </c>
      <c r="B645" t="s">
        <v>1328</v>
      </c>
      <c r="C645" t="s">
        <v>626</v>
      </c>
      <c r="D645" s="3">
        <v>1</v>
      </c>
      <c r="E645" s="2">
        <v>5000</v>
      </c>
    </row>
    <row r="646" spans="1:5" x14ac:dyDescent="0.35">
      <c r="A646" t="s">
        <v>3332</v>
      </c>
      <c r="B646" t="s">
        <v>1329</v>
      </c>
      <c r="C646" t="s">
        <v>663</v>
      </c>
      <c r="D646" s="3">
        <v>2</v>
      </c>
      <c r="E646" s="2">
        <v>2800</v>
      </c>
    </row>
    <row r="647" spans="1:5" x14ac:dyDescent="0.35">
      <c r="A647" t="s">
        <v>3333</v>
      </c>
      <c r="B647" t="s">
        <v>1330</v>
      </c>
      <c r="C647" t="s">
        <v>654</v>
      </c>
      <c r="D647" s="3">
        <v>1</v>
      </c>
      <c r="E647" s="2">
        <v>100</v>
      </c>
    </row>
    <row r="648" spans="1:5" x14ac:dyDescent="0.35">
      <c r="A648" t="s">
        <v>3334</v>
      </c>
      <c r="B648" t="s">
        <v>1331</v>
      </c>
      <c r="C648" t="s">
        <v>633</v>
      </c>
      <c r="D648" s="3">
        <v>1</v>
      </c>
      <c r="E648" s="2">
        <v>450</v>
      </c>
    </row>
    <row r="649" spans="1:5" x14ac:dyDescent="0.35">
      <c r="A649" t="s">
        <v>3335</v>
      </c>
      <c r="B649" t="s">
        <v>1332</v>
      </c>
      <c r="C649" t="s">
        <v>667</v>
      </c>
      <c r="D649" s="3">
        <v>1</v>
      </c>
      <c r="E649" s="2">
        <v>550</v>
      </c>
    </row>
    <row r="650" spans="1:5" x14ac:dyDescent="0.35">
      <c r="A650" t="s">
        <v>3336</v>
      </c>
      <c r="B650" t="s">
        <v>1333</v>
      </c>
      <c r="C650" t="s">
        <v>643</v>
      </c>
      <c r="D650" s="3">
        <v>1</v>
      </c>
      <c r="E650" s="2">
        <v>2200</v>
      </c>
    </row>
    <row r="651" spans="1:5" x14ac:dyDescent="0.35">
      <c r="A651" t="s">
        <v>3337</v>
      </c>
      <c r="B651" t="s">
        <v>1334</v>
      </c>
      <c r="C651" t="s">
        <v>671</v>
      </c>
      <c r="D651" s="3">
        <v>1</v>
      </c>
      <c r="E651" s="2">
        <v>400</v>
      </c>
    </row>
    <row r="652" spans="1:5" x14ac:dyDescent="0.35">
      <c r="A652" t="s">
        <v>3338</v>
      </c>
      <c r="B652" t="s">
        <v>1335</v>
      </c>
      <c r="C652" t="s">
        <v>617</v>
      </c>
      <c r="D652" s="3">
        <v>1</v>
      </c>
      <c r="E652" s="2">
        <v>200</v>
      </c>
    </row>
    <row r="653" spans="1:5" x14ac:dyDescent="0.35">
      <c r="A653" t="s">
        <v>3339</v>
      </c>
      <c r="B653" t="s">
        <v>1336</v>
      </c>
      <c r="C653" t="s">
        <v>633</v>
      </c>
      <c r="D653" s="3">
        <v>1</v>
      </c>
      <c r="E653" s="2">
        <v>450</v>
      </c>
    </row>
    <row r="654" spans="1:5" x14ac:dyDescent="0.35">
      <c r="A654" t="s">
        <v>3340</v>
      </c>
      <c r="B654" t="s">
        <v>1337</v>
      </c>
      <c r="C654" t="s">
        <v>645</v>
      </c>
      <c r="D654" s="3">
        <v>1</v>
      </c>
      <c r="E654" s="2">
        <v>3500</v>
      </c>
    </row>
    <row r="655" spans="1:5" x14ac:dyDescent="0.35">
      <c r="A655" t="s">
        <v>3341</v>
      </c>
      <c r="B655" t="s">
        <v>1338</v>
      </c>
      <c r="C655" t="s">
        <v>633</v>
      </c>
      <c r="D655" s="3">
        <v>2</v>
      </c>
      <c r="E655" s="2">
        <v>900</v>
      </c>
    </row>
    <row r="656" spans="1:5" x14ac:dyDescent="0.35">
      <c r="A656" t="s">
        <v>3342</v>
      </c>
      <c r="B656" t="s">
        <v>1339</v>
      </c>
      <c r="C656" t="s">
        <v>669</v>
      </c>
      <c r="D656" s="3">
        <v>3</v>
      </c>
      <c r="E656" s="2">
        <v>1800</v>
      </c>
    </row>
    <row r="657" spans="1:5" x14ac:dyDescent="0.35">
      <c r="A657" t="s">
        <v>3343</v>
      </c>
      <c r="B657" t="s">
        <v>1340</v>
      </c>
      <c r="C657" t="s">
        <v>633</v>
      </c>
      <c r="D657" s="3">
        <v>1</v>
      </c>
      <c r="E657" s="2">
        <v>450</v>
      </c>
    </row>
    <row r="658" spans="1:5" x14ac:dyDescent="0.35">
      <c r="A658" t="s">
        <v>3344</v>
      </c>
      <c r="B658" t="s">
        <v>1341</v>
      </c>
      <c r="C658" t="s">
        <v>641</v>
      </c>
      <c r="D658" s="3">
        <v>3</v>
      </c>
      <c r="E658" s="2">
        <v>5400</v>
      </c>
    </row>
    <row r="659" spans="1:5" x14ac:dyDescent="0.35">
      <c r="A659" t="s">
        <v>3345</v>
      </c>
      <c r="B659" t="s">
        <v>1342</v>
      </c>
      <c r="C659" t="s">
        <v>654</v>
      </c>
      <c r="D659" s="3">
        <v>1</v>
      </c>
      <c r="E659" s="2">
        <v>100</v>
      </c>
    </row>
    <row r="660" spans="1:5" x14ac:dyDescent="0.35">
      <c r="A660" t="s">
        <v>3346</v>
      </c>
      <c r="B660" t="s">
        <v>1343</v>
      </c>
      <c r="C660" t="s">
        <v>635</v>
      </c>
      <c r="D660" s="3">
        <v>1</v>
      </c>
      <c r="E660" s="2">
        <v>180</v>
      </c>
    </row>
    <row r="661" spans="1:5" x14ac:dyDescent="0.35">
      <c r="A661" t="s">
        <v>3347</v>
      </c>
      <c r="B661" t="s">
        <v>1344</v>
      </c>
      <c r="C661" t="s">
        <v>638</v>
      </c>
      <c r="D661" s="3">
        <v>1</v>
      </c>
      <c r="E661" s="2">
        <v>150</v>
      </c>
    </row>
    <row r="662" spans="1:5" x14ac:dyDescent="0.35">
      <c r="A662" t="s">
        <v>3348</v>
      </c>
      <c r="B662" t="s">
        <v>1345</v>
      </c>
      <c r="C662" t="s">
        <v>638</v>
      </c>
      <c r="D662" s="3">
        <v>1</v>
      </c>
      <c r="E662" s="2">
        <v>150</v>
      </c>
    </row>
    <row r="663" spans="1:5" x14ac:dyDescent="0.35">
      <c r="A663" t="s">
        <v>3349</v>
      </c>
      <c r="B663" t="s">
        <v>1346</v>
      </c>
      <c r="C663" t="s">
        <v>620</v>
      </c>
      <c r="D663" s="3">
        <v>1</v>
      </c>
      <c r="E663" s="2">
        <v>50</v>
      </c>
    </row>
    <row r="664" spans="1:5" x14ac:dyDescent="0.35">
      <c r="A664" t="s">
        <v>3350</v>
      </c>
      <c r="B664" t="s">
        <v>1347</v>
      </c>
      <c r="C664" t="s">
        <v>647</v>
      </c>
      <c r="D664" s="3">
        <v>2</v>
      </c>
      <c r="E664" s="2">
        <v>8400</v>
      </c>
    </row>
    <row r="665" spans="1:5" x14ac:dyDescent="0.35">
      <c r="A665" t="s">
        <v>3351</v>
      </c>
      <c r="B665" t="s">
        <v>1348</v>
      </c>
      <c r="C665" t="s">
        <v>647</v>
      </c>
      <c r="D665" s="3">
        <v>1</v>
      </c>
      <c r="E665" s="2">
        <v>4200</v>
      </c>
    </row>
    <row r="666" spans="1:5" x14ac:dyDescent="0.35">
      <c r="A666" t="s">
        <v>3352</v>
      </c>
      <c r="B666" t="s">
        <v>1349</v>
      </c>
      <c r="C666" t="s">
        <v>669</v>
      </c>
      <c r="D666" s="3">
        <v>1</v>
      </c>
      <c r="E666" s="2">
        <v>600</v>
      </c>
    </row>
    <row r="667" spans="1:5" x14ac:dyDescent="0.35">
      <c r="A667" t="s">
        <v>3353</v>
      </c>
      <c r="B667" t="s">
        <v>1350</v>
      </c>
      <c r="C667" t="s">
        <v>669</v>
      </c>
      <c r="D667" s="3">
        <v>2</v>
      </c>
      <c r="E667" s="2">
        <v>1200</v>
      </c>
    </row>
    <row r="668" spans="1:5" x14ac:dyDescent="0.35">
      <c r="A668" t="s">
        <v>3354</v>
      </c>
      <c r="B668" t="s">
        <v>1351</v>
      </c>
      <c r="C668" t="s">
        <v>626</v>
      </c>
      <c r="D668" s="3">
        <v>2</v>
      </c>
      <c r="E668" s="2">
        <v>10000</v>
      </c>
    </row>
    <row r="669" spans="1:5" x14ac:dyDescent="0.35">
      <c r="A669" t="s">
        <v>3355</v>
      </c>
      <c r="B669" t="s">
        <v>1352</v>
      </c>
      <c r="C669" t="s">
        <v>673</v>
      </c>
      <c r="D669" s="3">
        <v>1</v>
      </c>
      <c r="E669" s="2">
        <v>300</v>
      </c>
    </row>
    <row r="670" spans="1:5" x14ac:dyDescent="0.35">
      <c r="A670" t="s">
        <v>3356</v>
      </c>
      <c r="B670" t="s">
        <v>1353</v>
      </c>
      <c r="C670" t="s">
        <v>671</v>
      </c>
      <c r="D670" s="3">
        <v>1</v>
      </c>
      <c r="E670" s="2">
        <v>400</v>
      </c>
    </row>
    <row r="671" spans="1:5" x14ac:dyDescent="0.35">
      <c r="A671" t="s">
        <v>3357</v>
      </c>
      <c r="B671" t="s">
        <v>1354</v>
      </c>
      <c r="C671" t="s">
        <v>645</v>
      </c>
      <c r="D671" s="3">
        <v>1</v>
      </c>
      <c r="E671" s="2">
        <v>3500</v>
      </c>
    </row>
    <row r="672" spans="1:5" x14ac:dyDescent="0.35">
      <c r="A672" t="s">
        <v>3358</v>
      </c>
      <c r="B672" t="s">
        <v>1355</v>
      </c>
      <c r="C672" t="s">
        <v>656</v>
      </c>
      <c r="D672" s="3">
        <v>1</v>
      </c>
      <c r="E672" s="2">
        <v>350</v>
      </c>
    </row>
    <row r="673" spans="1:5" x14ac:dyDescent="0.35">
      <c r="A673" t="s">
        <v>3359</v>
      </c>
      <c r="B673" t="s">
        <v>1356</v>
      </c>
      <c r="C673" t="s">
        <v>620</v>
      </c>
      <c r="D673" s="3">
        <v>1</v>
      </c>
      <c r="E673" s="2">
        <v>50</v>
      </c>
    </row>
    <row r="674" spans="1:5" x14ac:dyDescent="0.35">
      <c r="A674" t="s">
        <v>3360</v>
      </c>
      <c r="B674" t="s">
        <v>1357</v>
      </c>
      <c r="C674" t="s">
        <v>647</v>
      </c>
      <c r="D674" s="3">
        <v>1</v>
      </c>
      <c r="E674" s="2">
        <v>4200</v>
      </c>
    </row>
    <row r="675" spans="1:5" x14ac:dyDescent="0.35">
      <c r="A675" t="s">
        <v>3361</v>
      </c>
      <c r="B675" t="s">
        <v>1358</v>
      </c>
      <c r="C675" t="s">
        <v>658</v>
      </c>
      <c r="D675" s="3">
        <v>1</v>
      </c>
      <c r="E675" s="2">
        <v>750</v>
      </c>
    </row>
    <row r="676" spans="1:5" x14ac:dyDescent="0.35">
      <c r="A676" t="s">
        <v>3362</v>
      </c>
      <c r="B676" t="s">
        <v>1359</v>
      </c>
      <c r="C676" t="s">
        <v>651</v>
      </c>
      <c r="D676" s="3">
        <v>1</v>
      </c>
      <c r="E676" s="2">
        <v>120</v>
      </c>
    </row>
    <row r="677" spans="1:5" x14ac:dyDescent="0.35">
      <c r="A677" t="s">
        <v>3363</v>
      </c>
      <c r="B677" t="s">
        <v>1360</v>
      </c>
      <c r="C677" t="s">
        <v>635</v>
      </c>
      <c r="D677" s="3">
        <v>1</v>
      </c>
      <c r="E677" s="2">
        <v>180</v>
      </c>
    </row>
    <row r="678" spans="1:5" x14ac:dyDescent="0.35">
      <c r="A678" t="s">
        <v>3364</v>
      </c>
      <c r="B678" t="s">
        <v>1361</v>
      </c>
      <c r="C678" t="s">
        <v>651</v>
      </c>
      <c r="D678" s="3">
        <v>1</v>
      </c>
      <c r="E678" s="2">
        <v>120</v>
      </c>
    </row>
    <row r="679" spans="1:5" x14ac:dyDescent="0.35">
      <c r="A679" t="s">
        <v>3365</v>
      </c>
      <c r="B679" t="s">
        <v>1362</v>
      </c>
      <c r="C679" t="s">
        <v>617</v>
      </c>
      <c r="D679" s="3">
        <v>1</v>
      </c>
      <c r="E679" s="2">
        <v>200</v>
      </c>
    </row>
    <row r="680" spans="1:5" x14ac:dyDescent="0.35">
      <c r="A680" t="s">
        <v>3366</v>
      </c>
      <c r="B680" t="s">
        <v>1363</v>
      </c>
      <c r="C680" t="s">
        <v>663</v>
      </c>
      <c r="D680" s="3">
        <v>1</v>
      </c>
      <c r="E680" s="2">
        <v>1400</v>
      </c>
    </row>
    <row r="681" spans="1:5" x14ac:dyDescent="0.35">
      <c r="A681" t="s">
        <v>3367</v>
      </c>
      <c r="B681" t="s">
        <v>1364</v>
      </c>
      <c r="C681" t="s">
        <v>641</v>
      </c>
      <c r="D681" s="3">
        <v>1</v>
      </c>
      <c r="E681" s="2">
        <v>1800</v>
      </c>
    </row>
    <row r="682" spans="1:5" x14ac:dyDescent="0.35">
      <c r="A682" t="s">
        <v>3368</v>
      </c>
      <c r="B682" t="s">
        <v>1365</v>
      </c>
      <c r="C682" t="s">
        <v>645</v>
      </c>
      <c r="D682" s="3">
        <v>1</v>
      </c>
      <c r="E682" s="2">
        <v>3500</v>
      </c>
    </row>
    <row r="683" spans="1:5" x14ac:dyDescent="0.35">
      <c r="A683" t="s">
        <v>3369</v>
      </c>
      <c r="B683" t="s">
        <v>1366</v>
      </c>
      <c r="C683" t="s">
        <v>629</v>
      </c>
      <c r="D683" s="3">
        <v>1</v>
      </c>
      <c r="E683" s="2">
        <v>300</v>
      </c>
    </row>
    <row r="684" spans="1:5" x14ac:dyDescent="0.35">
      <c r="A684" t="s">
        <v>3370</v>
      </c>
      <c r="B684" t="s">
        <v>1367</v>
      </c>
      <c r="C684" t="s">
        <v>638</v>
      </c>
      <c r="D684" s="3">
        <v>1</v>
      </c>
      <c r="E684" s="2">
        <v>150</v>
      </c>
    </row>
    <row r="685" spans="1:5" x14ac:dyDescent="0.35">
      <c r="A685" t="s">
        <v>3371</v>
      </c>
      <c r="B685" t="s">
        <v>1368</v>
      </c>
      <c r="C685" t="s">
        <v>669</v>
      </c>
      <c r="D685" s="3">
        <v>1</v>
      </c>
      <c r="E685" s="2">
        <v>600</v>
      </c>
    </row>
    <row r="686" spans="1:5" x14ac:dyDescent="0.35">
      <c r="A686" t="s">
        <v>3372</v>
      </c>
      <c r="B686" t="s">
        <v>1369</v>
      </c>
      <c r="C686" t="s">
        <v>635</v>
      </c>
      <c r="D686" s="3">
        <v>1</v>
      </c>
      <c r="E686" s="2">
        <v>180</v>
      </c>
    </row>
    <row r="687" spans="1:5" x14ac:dyDescent="0.35">
      <c r="A687" t="s">
        <v>3373</v>
      </c>
      <c r="B687" t="s">
        <v>1370</v>
      </c>
      <c r="C687" t="s">
        <v>654</v>
      </c>
      <c r="D687" s="3">
        <v>1</v>
      </c>
      <c r="E687" s="2">
        <v>100</v>
      </c>
    </row>
    <row r="688" spans="1:5" x14ac:dyDescent="0.35">
      <c r="A688" t="s">
        <v>3374</v>
      </c>
      <c r="B688" t="s">
        <v>1371</v>
      </c>
      <c r="C688" t="s">
        <v>649</v>
      </c>
      <c r="D688" s="3">
        <v>1</v>
      </c>
      <c r="E688" s="2">
        <v>800</v>
      </c>
    </row>
    <row r="689" spans="1:5" x14ac:dyDescent="0.35">
      <c r="A689" t="s">
        <v>3375</v>
      </c>
      <c r="B689" t="s">
        <v>1372</v>
      </c>
      <c r="C689" t="s">
        <v>673</v>
      </c>
      <c r="D689" s="3">
        <v>2</v>
      </c>
      <c r="E689" s="2">
        <v>600</v>
      </c>
    </row>
    <row r="690" spans="1:5" x14ac:dyDescent="0.35">
      <c r="A690" t="s">
        <v>3376</v>
      </c>
      <c r="B690" t="s">
        <v>1373</v>
      </c>
      <c r="C690" t="s">
        <v>647</v>
      </c>
      <c r="D690" s="3">
        <v>1</v>
      </c>
      <c r="E690" s="2">
        <v>4200</v>
      </c>
    </row>
    <row r="691" spans="1:5" x14ac:dyDescent="0.35">
      <c r="A691" t="s">
        <v>3377</v>
      </c>
      <c r="B691" t="s">
        <v>1374</v>
      </c>
      <c r="C691" t="s">
        <v>669</v>
      </c>
      <c r="D691" s="3">
        <v>1</v>
      </c>
      <c r="E691" s="2">
        <v>600</v>
      </c>
    </row>
    <row r="692" spans="1:5" x14ac:dyDescent="0.35">
      <c r="A692" t="s">
        <v>3378</v>
      </c>
      <c r="B692" t="s">
        <v>1375</v>
      </c>
      <c r="C692" t="s">
        <v>665</v>
      </c>
      <c r="D692" s="3">
        <v>1</v>
      </c>
      <c r="E692" s="2">
        <v>700</v>
      </c>
    </row>
    <row r="693" spans="1:5" x14ac:dyDescent="0.35">
      <c r="A693" t="s">
        <v>3379</v>
      </c>
      <c r="B693" t="s">
        <v>1376</v>
      </c>
      <c r="C693" t="s">
        <v>647</v>
      </c>
      <c r="D693" s="3">
        <v>1</v>
      </c>
      <c r="E693" s="2">
        <v>4200</v>
      </c>
    </row>
    <row r="694" spans="1:5" x14ac:dyDescent="0.35">
      <c r="A694" t="s">
        <v>3380</v>
      </c>
      <c r="B694" t="s">
        <v>1377</v>
      </c>
      <c r="C694" t="s">
        <v>629</v>
      </c>
      <c r="D694" s="3">
        <v>1</v>
      </c>
      <c r="E694" s="2">
        <v>300</v>
      </c>
    </row>
    <row r="695" spans="1:5" x14ac:dyDescent="0.35">
      <c r="A695" t="s">
        <v>3381</v>
      </c>
      <c r="B695" t="s">
        <v>1378</v>
      </c>
      <c r="C695" t="s">
        <v>654</v>
      </c>
      <c r="D695" s="3">
        <v>1</v>
      </c>
      <c r="E695" s="2">
        <v>100</v>
      </c>
    </row>
    <row r="696" spans="1:5" x14ac:dyDescent="0.35">
      <c r="A696" t="s">
        <v>3382</v>
      </c>
      <c r="B696" t="s">
        <v>1379</v>
      </c>
      <c r="C696" t="s">
        <v>643</v>
      </c>
      <c r="D696" s="3">
        <v>1</v>
      </c>
      <c r="E696" s="2">
        <v>2200</v>
      </c>
    </row>
    <row r="697" spans="1:5" x14ac:dyDescent="0.35">
      <c r="A697" t="s">
        <v>3383</v>
      </c>
      <c r="B697" t="s">
        <v>1380</v>
      </c>
      <c r="C697" t="s">
        <v>667</v>
      </c>
      <c r="D697" s="3">
        <v>1</v>
      </c>
      <c r="E697" s="2">
        <v>550</v>
      </c>
    </row>
    <row r="698" spans="1:5" x14ac:dyDescent="0.35">
      <c r="A698" t="s">
        <v>3384</v>
      </c>
      <c r="B698" t="s">
        <v>1381</v>
      </c>
      <c r="C698" t="s">
        <v>629</v>
      </c>
      <c r="D698" s="3">
        <v>1</v>
      </c>
      <c r="E698" s="2">
        <v>300</v>
      </c>
    </row>
    <row r="699" spans="1:5" x14ac:dyDescent="0.35">
      <c r="A699" t="s">
        <v>3385</v>
      </c>
      <c r="B699" t="s">
        <v>1382</v>
      </c>
      <c r="C699" t="s">
        <v>647</v>
      </c>
      <c r="D699" s="3">
        <v>1</v>
      </c>
      <c r="E699" s="2">
        <v>4200</v>
      </c>
    </row>
    <row r="700" spans="1:5" x14ac:dyDescent="0.35">
      <c r="A700" t="s">
        <v>3386</v>
      </c>
      <c r="B700" t="s">
        <v>1383</v>
      </c>
      <c r="C700" t="s">
        <v>643</v>
      </c>
      <c r="D700" s="3">
        <v>2</v>
      </c>
      <c r="E700" s="2">
        <v>4400</v>
      </c>
    </row>
    <row r="701" spans="1:5" x14ac:dyDescent="0.35">
      <c r="A701" t="s">
        <v>3387</v>
      </c>
      <c r="B701" t="s">
        <v>1384</v>
      </c>
      <c r="C701" t="s">
        <v>673</v>
      </c>
      <c r="D701" s="3">
        <v>3</v>
      </c>
      <c r="E701" s="2">
        <v>900</v>
      </c>
    </row>
    <row r="702" spans="1:5" x14ac:dyDescent="0.35">
      <c r="A702" t="s">
        <v>3388</v>
      </c>
      <c r="B702" t="s">
        <v>1385</v>
      </c>
      <c r="C702" t="s">
        <v>660</v>
      </c>
      <c r="D702" s="3">
        <v>1</v>
      </c>
      <c r="E702" s="2">
        <v>6500</v>
      </c>
    </row>
    <row r="703" spans="1:5" x14ac:dyDescent="0.35">
      <c r="A703" t="s">
        <v>3389</v>
      </c>
      <c r="B703" t="s">
        <v>1386</v>
      </c>
      <c r="C703" t="s">
        <v>623</v>
      </c>
      <c r="D703" s="3">
        <v>3</v>
      </c>
      <c r="E703" s="2">
        <v>3600</v>
      </c>
    </row>
    <row r="704" spans="1:5" x14ac:dyDescent="0.35">
      <c r="A704" t="s">
        <v>3390</v>
      </c>
      <c r="B704" t="s">
        <v>1387</v>
      </c>
      <c r="C704" t="s">
        <v>651</v>
      </c>
      <c r="D704" s="3">
        <v>1</v>
      </c>
      <c r="E704" s="2">
        <v>120</v>
      </c>
    </row>
    <row r="705" spans="1:5" x14ac:dyDescent="0.35">
      <c r="A705" t="s">
        <v>3391</v>
      </c>
      <c r="B705" t="s">
        <v>1388</v>
      </c>
      <c r="C705" t="s">
        <v>633</v>
      </c>
      <c r="D705" s="3">
        <v>1</v>
      </c>
      <c r="E705" s="2">
        <v>450</v>
      </c>
    </row>
    <row r="706" spans="1:5" x14ac:dyDescent="0.35">
      <c r="A706" t="s">
        <v>3392</v>
      </c>
      <c r="B706" t="s">
        <v>1389</v>
      </c>
      <c r="C706" t="s">
        <v>633</v>
      </c>
      <c r="D706" s="3">
        <v>1</v>
      </c>
      <c r="E706" s="2">
        <v>450</v>
      </c>
    </row>
    <row r="707" spans="1:5" x14ac:dyDescent="0.35">
      <c r="A707" t="s">
        <v>3393</v>
      </c>
      <c r="B707" t="s">
        <v>1390</v>
      </c>
      <c r="C707" t="s">
        <v>631</v>
      </c>
      <c r="D707" s="3">
        <v>1</v>
      </c>
      <c r="E707" s="2">
        <v>900</v>
      </c>
    </row>
    <row r="708" spans="1:5" x14ac:dyDescent="0.35">
      <c r="A708" t="s">
        <v>3394</v>
      </c>
      <c r="B708" t="s">
        <v>1391</v>
      </c>
      <c r="C708" t="s">
        <v>623</v>
      </c>
      <c r="D708" s="3">
        <v>1</v>
      </c>
      <c r="E708" s="2">
        <v>1200</v>
      </c>
    </row>
    <row r="709" spans="1:5" x14ac:dyDescent="0.35">
      <c r="A709" t="s">
        <v>3395</v>
      </c>
      <c r="B709" t="s">
        <v>1392</v>
      </c>
      <c r="C709" t="s">
        <v>647</v>
      </c>
      <c r="D709" s="3">
        <v>1</v>
      </c>
      <c r="E709" s="2">
        <v>4200</v>
      </c>
    </row>
    <row r="710" spans="1:5" x14ac:dyDescent="0.35">
      <c r="A710" t="s">
        <v>3396</v>
      </c>
      <c r="B710" t="s">
        <v>1393</v>
      </c>
      <c r="C710" t="s">
        <v>633</v>
      </c>
      <c r="D710" s="3">
        <v>1</v>
      </c>
      <c r="E710" s="2">
        <v>450</v>
      </c>
    </row>
    <row r="711" spans="1:5" x14ac:dyDescent="0.35">
      <c r="A711" t="s">
        <v>3397</v>
      </c>
      <c r="B711" t="s">
        <v>1394</v>
      </c>
      <c r="C711" t="s">
        <v>629</v>
      </c>
      <c r="D711" s="3">
        <v>1</v>
      </c>
      <c r="E711" s="2">
        <v>300</v>
      </c>
    </row>
    <row r="712" spans="1:5" x14ac:dyDescent="0.35">
      <c r="A712" t="s">
        <v>3398</v>
      </c>
      <c r="B712" t="s">
        <v>1395</v>
      </c>
      <c r="C712" t="s">
        <v>669</v>
      </c>
      <c r="D712" s="3">
        <v>1</v>
      </c>
      <c r="E712" s="2">
        <v>600</v>
      </c>
    </row>
    <row r="713" spans="1:5" x14ac:dyDescent="0.35">
      <c r="A713" t="s">
        <v>3399</v>
      </c>
      <c r="B713" t="s">
        <v>1396</v>
      </c>
      <c r="C713" t="s">
        <v>658</v>
      </c>
      <c r="D713" s="3">
        <v>1</v>
      </c>
      <c r="E713" s="2">
        <v>750</v>
      </c>
    </row>
    <row r="714" spans="1:5" x14ac:dyDescent="0.35">
      <c r="A714" t="s">
        <v>3400</v>
      </c>
      <c r="B714" t="s">
        <v>1397</v>
      </c>
      <c r="C714" t="s">
        <v>667</v>
      </c>
      <c r="D714" s="3">
        <v>1</v>
      </c>
      <c r="E714" s="2">
        <v>550</v>
      </c>
    </row>
    <row r="715" spans="1:5" x14ac:dyDescent="0.35">
      <c r="A715" t="s">
        <v>3401</v>
      </c>
      <c r="B715" t="s">
        <v>1398</v>
      </c>
      <c r="C715" t="s">
        <v>635</v>
      </c>
      <c r="D715" s="3">
        <v>1</v>
      </c>
      <c r="E715" s="2">
        <v>180</v>
      </c>
    </row>
    <row r="716" spans="1:5" x14ac:dyDescent="0.35">
      <c r="A716" t="s">
        <v>3402</v>
      </c>
      <c r="B716" t="s">
        <v>1399</v>
      </c>
      <c r="C716" t="s">
        <v>656</v>
      </c>
      <c r="D716" s="3">
        <v>1</v>
      </c>
      <c r="E716" s="2">
        <v>350</v>
      </c>
    </row>
    <row r="717" spans="1:5" x14ac:dyDescent="0.35">
      <c r="A717" t="s">
        <v>3403</v>
      </c>
      <c r="B717" t="s">
        <v>1400</v>
      </c>
      <c r="C717" t="s">
        <v>663</v>
      </c>
      <c r="D717" s="3">
        <v>1</v>
      </c>
      <c r="E717" s="2">
        <v>1400</v>
      </c>
    </row>
    <row r="718" spans="1:5" x14ac:dyDescent="0.35">
      <c r="A718" t="s">
        <v>3404</v>
      </c>
      <c r="B718" t="s">
        <v>1401</v>
      </c>
      <c r="C718" t="s">
        <v>617</v>
      </c>
      <c r="D718" s="3">
        <v>1</v>
      </c>
      <c r="E718" s="2">
        <v>200</v>
      </c>
    </row>
    <row r="719" spans="1:5" x14ac:dyDescent="0.35">
      <c r="A719" t="s">
        <v>3405</v>
      </c>
      <c r="B719" t="s">
        <v>1402</v>
      </c>
      <c r="C719" t="s">
        <v>649</v>
      </c>
      <c r="D719" s="3">
        <v>1</v>
      </c>
      <c r="E719" s="2">
        <v>800</v>
      </c>
    </row>
    <row r="720" spans="1:5" x14ac:dyDescent="0.35">
      <c r="A720" t="s">
        <v>3406</v>
      </c>
      <c r="B720" t="s">
        <v>1403</v>
      </c>
      <c r="C720" t="s">
        <v>656</v>
      </c>
      <c r="D720" s="3">
        <v>1</v>
      </c>
      <c r="E720" s="2">
        <v>350</v>
      </c>
    </row>
    <row r="721" spans="1:5" x14ac:dyDescent="0.35">
      <c r="A721" t="s">
        <v>3407</v>
      </c>
      <c r="B721" t="s">
        <v>1404</v>
      </c>
      <c r="C721" t="s">
        <v>641</v>
      </c>
      <c r="D721" s="3">
        <v>2</v>
      </c>
      <c r="E721" s="2">
        <v>3600</v>
      </c>
    </row>
    <row r="722" spans="1:5" x14ac:dyDescent="0.35">
      <c r="A722" t="s">
        <v>3408</v>
      </c>
      <c r="B722" t="s">
        <v>1405</v>
      </c>
      <c r="C722" t="s">
        <v>645</v>
      </c>
      <c r="D722" s="3">
        <v>1</v>
      </c>
      <c r="E722" s="2">
        <v>3500</v>
      </c>
    </row>
    <row r="723" spans="1:5" x14ac:dyDescent="0.35">
      <c r="A723" t="s">
        <v>3409</v>
      </c>
      <c r="B723" t="s">
        <v>1406</v>
      </c>
      <c r="C723" t="s">
        <v>654</v>
      </c>
      <c r="D723" s="3">
        <v>1</v>
      </c>
      <c r="E723" s="2">
        <v>100</v>
      </c>
    </row>
    <row r="724" spans="1:5" x14ac:dyDescent="0.35">
      <c r="A724" t="s">
        <v>3410</v>
      </c>
      <c r="B724" t="s">
        <v>1407</v>
      </c>
      <c r="C724" t="s">
        <v>649</v>
      </c>
      <c r="D724" s="3">
        <v>1</v>
      </c>
      <c r="E724" s="2">
        <v>800</v>
      </c>
    </row>
    <row r="725" spans="1:5" x14ac:dyDescent="0.35">
      <c r="A725" t="s">
        <v>3411</v>
      </c>
      <c r="B725" t="s">
        <v>1408</v>
      </c>
      <c r="C725" t="s">
        <v>654</v>
      </c>
      <c r="D725" s="3">
        <v>1</v>
      </c>
      <c r="E725" s="2">
        <v>100</v>
      </c>
    </row>
    <row r="726" spans="1:5" x14ac:dyDescent="0.35">
      <c r="A726" t="s">
        <v>3412</v>
      </c>
      <c r="B726" t="s">
        <v>1409</v>
      </c>
      <c r="C726" t="s">
        <v>635</v>
      </c>
      <c r="D726" s="3">
        <v>1</v>
      </c>
      <c r="E726" s="2">
        <v>180</v>
      </c>
    </row>
    <row r="727" spans="1:5" x14ac:dyDescent="0.35">
      <c r="A727" t="s">
        <v>3413</v>
      </c>
      <c r="B727" t="s">
        <v>1410</v>
      </c>
      <c r="C727" t="s">
        <v>669</v>
      </c>
      <c r="D727" s="3">
        <v>1</v>
      </c>
      <c r="E727" s="2">
        <v>600</v>
      </c>
    </row>
    <row r="728" spans="1:5" x14ac:dyDescent="0.35">
      <c r="A728" t="s">
        <v>3414</v>
      </c>
      <c r="B728" t="s">
        <v>1411</v>
      </c>
      <c r="C728" t="s">
        <v>641</v>
      </c>
      <c r="D728" s="3">
        <v>1</v>
      </c>
      <c r="E728" s="2">
        <v>1800</v>
      </c>
    </row>
    <row r="729" spans="1:5" x14ac:dyDescent="0.35">
      <c r="A729" t="s">
        <v>3415</v>
      </c>
      <c r="B729" t="s">
        <v>1412</v>
      </c>
      <c r="C729" t="s">
        <v>656</v>
      </c>
      <c r="D729" s="3">
        <v>1</v>
      </c>
      <c r="E729" s="2">
        <v>350</v>
      </c>
    </row>
    <row r="730" spans="1:5" x14ac:dyDescent="0.35">
      <c r="A730" t="s">
        <v>3416</v>
      </c>
      <c r="B730" t="s">
        <v>1413</v>
      </c>
      <c r="C730" t="s">
        <v>658</v>
      </c>
      <c r="D730" s="3">
        <v>1</v>
      </c>
      <c r="E730" s="2">
        <v>750</v>
      </c>
    </row>
    <row r="731" spans="1:5" x14ac:dyDescent="0.35">
      <c r="A731" t="s">
        <v>3417</v>
      </c>
      <c r="B731" t="s">
        <v>1414</v>
      </c>
      <c r="C731" t="s">
        <v>663</v>
      </c>
      <c r="D731" s="3">
        <v>1</v>
      </c>
      <c r="E731" s="2">
        <v>1400</v>
      </c>
    </row>
    <row r="732" spans="1:5" x14ac:dyDescent="0.35">
      <c r="A732" t="s">
        <v>3418</v>
      </c>
      <c r="B732" t="s">
        <v>1415</v>
      </c>
      <c r="C732" t="s">
        <v>654</v>
      </c>
      <c r="D732" s="3">
        <v>1</v>
      </c>
      <c r="E732" s="2">
        <v>100</v>
      </c>
    </row>
    <row r="733" spans="1:5" x14ac:dyDescent="0.35">
      <c r="A733" t="s">
        <v>3419</v>
      </c>
      <c r="B733" t="s">
        <v>1416</v>
      </c>
      <c r="C733" t="s">
        <v>656</v>
      </c>
      <c r="D733" s="3">
        <v>3</v>
      </c>
      <c r="E733" s="2">
        <v>1050</v>
      </c>
    </row>
    <row r="734" spans="1:5" x14ac:dyDescent="0.35">
      <c r="A734" t="s">
        <v>3420</v>
      </c>
      <c r="B734" t="s">
        <v>1417</v>
      </c>
      <c r="C734" t="s">
        <v>654</v>
      </c>
      <c r="D734" s="3">
        <v>2</v>
      </c>
      <c r="E734" s="2">
        <v>200</v>
      </c>
    </row>
    <row r="735" spans="1:5" x14ac:dyDescent="0.35">
      <c r="A735" t="s">
        <v>3421</v>
      </c>
      <c r="B735" t="s">
        <v>1418</v>
      </c>
      <c r="C735" t="s">
        <v>660</v>
      </c>
      <c r="D735" s="3">
        <v>1</v>
      </c>
      <c r="E735" s="2">
        <v>6500</v>
      </c>
    </row>
    <row r="736" spans="1:5" x14ac:dyDescent="0.35">
      <c r="A736" t="s">
        <v>3422</v>
      </c>
      <c r="B736" t="s">
        <v>1419</v>
      </c>
      <c r="C736" t="s">
        <v>671</v>
      </c>
      <c r="D736" s="3">
        <v>1</v>
      </c>
      <c r="E736" s="2">
        <v>400</v>
      </c>
    </row>
    <row r="737" spans="1:5" x14ac:dyDescent="0.35">
      <c r="A737" t="s">
        <v>3423</v>
      </c>
      <c r="B737" t="s">
        <v>1420</v>
      </c>
      <c r="C737" t="s">
        <v>671</v>
      </c>
      <c r="D737" s="3">
        <v>2</v>
      </c>
      <c r="E737" s="2">
        <v>800</v>
      </c>
    </row>
    <row r="738" spans="1:5" x14ac:dyDescent="0.35">
      <c r="A738" t="s">
        <v>3424</v>
      </c>
      <c r="B738" t="s">
        <v>1421</v>
      </c>
      <c r="C738" t="s">
        <v>635</v>
      </c>
      <c r="D738" s="3">
        <v>1</v>
      </c>
      <c r="E738" s="2">
        <v>180</v>
      </c>
    </row>
    <row r="739" spans="1:5" x14ac:dyDescent="0.35">
      <c r="A739" t="s">
        <v>3425</v>
      </c>
      <c r="B739" t="s">
        <v>1422</v>
      </c>
      <c r="C739" t="s">
        <v>631</v>
      </c>
      <c r="D739" s="3">
        <v>1</v>
      </c>
      <c r="E739" s="2">
        <v>900</v>
      </c>
    </row>
    <row r="740" spans="1:5" x14ac:dyDescent="0.35">
      <c r="A740" t="s">
        <v>3426</v>
      </c>
      <c r="B740" t="s">
        <v>1423</v>
      </c>
      <c r="C740" t="s">
        <v>631</v>
      </c>
      <c r="D740" s="3">
        <v>1</v>
      </c>
      <c r="E740" s="2">
        <v>900</v>
      </c>
    </row>
    <row r="741" spans="1:5" x14ac:dyDescent="0.35">
      <c r="A741" t="s">
        <v>3427</v>
      </c>
      <c r="B741" t="s">
        <v>1424</v>
      </c>
      <c r="C741" t="s">
        <v>665</v>
      </c>
      <c r="D741" s="3">
        <v>2</v>
      </c>
      <c r="E741" s="2">
        <v>1400</v>
      </c>
    </row>
    <row r="742" spans="1:5" x14ac:dyDescent="0.35">
      <c r="A742" t="s">
        <v>3428</v>
      </c>
      <c r="B742" t="s">
        <v>1425</v>
      </c>
      <c r="C742" t="s">
        <v>638</v>
      </c>
      <c r="D742" s="3">
        <v>2</v>
      </c>
      <c r="E742" s="2">
        <v>300</v>
      </c>
    </row>
    <row r="743" spans="1:5" x14ac:dyDescent="0.35">
      <c r="A743" t="s">
        <v>3429</v>
      </c>
      <c r="B743" t="s">
        <v>1426</v>
      </c>
      <c r="C743" t="s">
        <v>626</v>
      </c>
      <c r="D743" s="3">
        <v>1</v>
      </c>
      <c r="E743" s="2">
        <v>5000</v>
      </c>
    </row>
    <row r="744" spans="1:5" x14ac:dyDescent="0.35">
      <c r="A744" t="s">
        <v>3430</v>
      </c>
      <c r="B744" t="s">
        <v>1427</v>
      </c>
      <c r="C744" t="s">
        <v>645</v>
      </c>
      <c r="D744" s="3">
        <v>1</v>
      </c>
      <c r="E744" s="2">
        <v>3500</v>
      </c>
    </row>
    <row r="745" spans="1:5" x14ac:dyDescent="0.35">
      <c r="A745" t="s">
        <v>3431</v>
      </c>
      <c r="B745" t="s">
        <v>1428</v>
      </c>
      <c r="C745" t="s">
        <v>645</v>
      </c>
      <c r="D745" s="3">
        <v>1</v>
      </c>
      <c r="E745" s="2">
        <v>3500</v>
      </c>
    </row>
    <row r="746" spans="1:5" x14ac:dyDescent="0.35">
      <c r="A746" t="s">
        <v>3432</v>
      </c>
      <c r="B746" t="s">
        <v>1429</v>
      </c>
      <c r="C746" t="s">
        <v>669</v>
      </c>
      <c r="D746" s="3">
        <v>1</v>
      </c>
      <c r="E746" s="2">
        <v>600</v>
      </c>
    </row>
    <row r="747" spans="1:5" x14ac:dyDescent="0.35">
      <c r="A747" t="s">
        <v>3433</v>
      </c>
      <c r="B747" t="s">
        <v>1430</v>
      </c>
      <c r="C747" t="s">
        <v>656</v>
      </c>
      <c r="D747" s="3">
        <v>1</v>
      </c>
      <c r="E747" s="2">
        <v>350</v>
      </c>
    </row>
    <row r="748" spans="1:5" x14ac:dyDescent="0.35">
      <c r="A748" t="s">
        <v>3434</v>
      </c>
      <c r="B748" t="s">
        <v>1431</v>
      </c>
      <c r="C748" t="s">
        <v>651</v>
      </c>
      <c r="D748" s="3">
        <v>1</v>
      </c>
      <c r="E748" s="2">
        <v>120</v>
      </c>
    </row>
    <row r="749" spans="1:5" x14ac:dyDescent="0.35">
      <c r="A749" t="s">
        <v>3435</v>
      </c>
      <c r="B749" t="s">
        <v>1432</v>
      </c>
      <c r="C749" t="s">
        <v>638</v>
      </c>
      <c r="D749" s="3">
        <v>1</v>
      </c>
      <c r="E749" s="2">
        <v>150</v>
      </c>
    </row>
    <row r="750" spans="1:5" x14ac:dyDescent="0.35">
      <c r="A750" t="s">
        <v>3436</v>
      </c>
      <c r="B750" t="s">
        <v>1433</v>
      </c>
      <c r="C750" t="s">
        <v>633</v>
      </c>
      <c r="D750" s="3">
        <v>1</v>
      </c>
      <c r="E750" s="2">
        <v>450</v>
      </c>
    </row>
    <row r="751" spans="1:5" x14ac:dyDescent="0.35">
      <c r="A751" t="s">
        <v>3437</v>
      </c>
      <c r="B751" t="s">
        <v>1434</v>
      </c>
      <c r="C751" t="s">
        <v>641</v>
      </c>
      <c r="D751" s="3">
        <v>2</v>
      </c>
      <c r="E751" s="2">
        <v>3600</v>
      </c>
    </row>
    <row r="752" spans="1:5" x14ac:dyDescent="0.35">
      <c r="A752" t="s">
        <v>3438</v>
      </c>
      <c r="B752" t="s">
        <v>1435</v>
      </c>
      <c r="C752" t="s">
        <v>654</v>
      </c>
      <c r="D752" s="3">
        <v>1</v>
      </c>
      <c r="E752" s="2">
        <v>100</v>
      </c>
    </row>
    <row r="753" spans="1:5" x14ac:dyDescent="0.35">
      <c r="A753" t="s">
        <v>3439</v>
      </c>
      <c r="B753" t="s">
        <v>1436</v>
      </c>
      <c r="C753" t="s">
        <v>645</v>
      </c>
      <c r="D753" s="3">
        <v>1</v>
      </c>
      <c r="E753" s="2">
        <v>3500</v>
      </c>
    </row>
    <row r="754" spans="1:5" x14ac:dyDescent="0.35">
      <c r="A754" t="s">
        <v>3440</v>
      </c>
      <c r="B754" t="s">
        <v>1437</v>
      </c>
      <c r="C754" t="s">
        <v>673</v>
      </c>
      <c r="D754" s="3">
        <v>1</v>
      </c>
      <c r="E754" s="2">
        <v>300</v>
      </c>
    </row>
    <row r="755" spans="1:5" x14ac:dyDescent="0.35">
      <c r="A755" t="s">
        <v>3441</v>
      </c>
      <c r="B755" t="s">
        <v>1438</v>
      </c>
      <c r="C755" t="s">
        <v>633</v>
      </c>
      <c r="D755" s="3">
        <v>1</v>
      </c>
      <c r="E755" s="2">
        <v>450</v>
      </c>
    </row>
    <row r="756" spans="1:5" x14ac:dyDescent="0.35">
      <c r="A756" t="s">
        <v>3442</v>
      </c>
      <c r="B756" t="s">
        <v>1439</v>
      </c>
      <c r="C756" t="s">
        <v>658</v>
      </c>
      <c r="D756" s="3">
        <v>1</v>
      </c>
      <c r="E756" s="2">
        <v>750</v>
      </c>
    </row>
    <row r="757" spans="1:5" x14ac:dyDescent="0.35">
      <c r="A757" t="s">
        <v>3443</v>
      </c>
      <c r="B757" t="s">
        <v>1440</v>
      </c>
      <c r="C757" t="s">
        <v>651</v>
      </c>
      <c r="D757" s="3">
        <v>3</v>
      </c>
      <c r="E757" s="2">
        <v>360</v>
      </c>
    </row>
    <row r="758" spans="1:5" x14ac:dyDescent="0.35">
      <c r="A758" t="s">
        <v>3444</v>
      </c>
      <c r="B758" t="s">
        <v>1441</v>
      </c>
      <c r="C758" t="s">
        <v>631</v>
      </c>
      <c r="D758" s="3">
        <v>1</v>
      </c>
      <c r="E758" s="2">
        <v>900</v>
      </c>
    </row>
    <row r="759" spans="1:5" x14ac:dyDescent="0.35">
      <c r="A759" t="s">
        <v>3445</v>
      </c>
      <c r="B759" t="s">
        <v>1442</v>
      </c>
      <c r="C759" t="s">
        <v>645</v>
      </c>
      <c r="D759" s="3">
        <v>1</v>
      </c>
      <c r="E759" s="2">
        <v>3500</v>
      </c>
    </row>
    <row r="760" spans="1:5" x14ac:dyDescent="0.35">
      <c r="A760" t="s">
        <v>3446</v>
      </c>
      <c r="B760" t="s">
        <v>1443</v>
      </c>
      <c r="C760" t="s">
        <v>643</v>
      </c>
      <c r="D760" s="3">
        <v>1</v>
      </c>
      <c r="E760" s="2">
        <v>2200</v>
      </c>
    </row>
    <row r="761" spans="1:5" x14ac:dyDescent="0.35">
      <c r="A761" t="s">
        <v>3447</v>
      </c>
      <c r="B761" t="s">
        <v>1444</v>
      </c>
      <c r="C761" t="s">
        <v>663</v>
      </c>
      <c r="D761" s="3">
        <v>1</v>
      </c>
      <c r="E761" s="2">
        <v>1400</v>
      </c>
    </row>
    <row r="762" spans="1:5" x14ac:dyDescent="0.35">
      <c r="A762" t="s">
        <v>3448</v>
      </c>
      <c r="B762" t="s">
        <v>1445</v>
      </c>
      <c r="C762" t="s">
        <v>623</v>
      </c>
      <c r="D762" s="3">
        <v>1</v>
      </c>
      <c r="E762" s="2">
        <v>1200</v>
      </c>
    </row>
    <row r="763" spans="1:5" x14ac:dyDescent="0.35">
      <c r="A763" t="s">
        <v>3449</v>
      </c>
      <c r="B763" t="s">
        <v>1446</v>
      </c>
      <c r="C763" t="s">
        <v>620</v>
      </c>
      <c r="D763" s="3">
        <v>1</v>
      </c>
      <c r="E763" s="2">
        <v>50</v>
      </c>
    </row>
    <row r="764" spans="1:5" x14ac:dyDescent="0.35">
      <c r="A764" t="s">
        <v>3450</v>
      </c>
      <c r="B764" t="s">
        <v>1447</v>
      </c>
      <c r="C764" t="s">
        <v>631</v>
      </c>
      <c r="D764" s="3">
        <v>1</v>
      </c>
      <c r="E764" s="2">
        <v>900</v>
      </c>
    </row>
    <row r="765" spans="1:5" x14ac:dyDescent="0.35">
      <c r="A765" t="s">
        <v>3451</v>
      </c>
      <c r="B765" t="s">
        <v>1448</v>
      </c>
      <c r="C765" t="s">
        <v>671</v>
      </c>
      <c r="D765" s="3">
        <v>1</v>
      </c>
      <c r="E765" s="2">
        <v>400</v>
      </c>
    </row>
    <row r="766" spans="1:5" x14ac:dyDescent="0.35">
      <c r="A766" t="s">
        <v>3452</v>
      </c>
      <c r="B766" t="s">
        <v>1449</v>
      </c>
      <c r="C766" t="s">
        <v>667</v>
      </c>
      <c r="D766" s="3">
        <v>3</v>
      </c>
      <c r="E766" s="2">
        <v>1650</v>
      </c>
    </row>
    <row r="767" spans="1:5" x14ac:dyDescent="0.35">
      <c r="A767" t="s">
        <v>3453</v>
      </c>
      <c r="B767" t="s">
        <v>1450</v>
      </c>
      <c r="C767" t="s">
        <v>673</v>
      </c>
      <c r="D767" s="3">
        <v>1</v>
      </c>
      <c r="E767" s="2">
        <v>300</v>
      </c>
    </row>
    <row r="768" spans="1:5" x14ac:dyDescent="0.35">
      <c r="A768" t="s">
        <v>3454</v>
      </c>
      <c r="B768" t="s">
        <v>1451</v>
      </c>
      <c r="C768" t="s">
        <v>629</v>
      </c>
      <c r="D768" s="3">
        <v>2</v>
      </c>
      <c r="E768" s="2">
        <v>600</v>
      </c>
    </row>
    <row r="769" spans="1:5" x14ac:dyDescent="0.35">
      <c r="A769" t="s">
        <v>3455</v>
      </c>
      <c r="B769" t="s">
        <v>1452</v>
      </c>
      <c r="C769" t="s">
        <v>658</v>
      </c>
      <c r="D769" s="3">
        <v>1</v>
      </c>
      <c r="E769" s="2">
        <v>750</v>
      </c>
    </row>
    <row r="770" spans="1:5" x14ac:dyDescent="0.35">
      <c r="A770" t="s">
        <v>3456</v>
      </c>
      <c r="B770" t="s">
        <v>1453</v>
      </c>
      <c r="C770" t="s">
        <v>654</v>
      </c>
      <c r="D770" s="3">
        <v>1</v>
      </c>
      <c r="E770" s="2">
        <v>100</v>
      </c>
    </row>
    <row r="771" spans="1:5" x14ac:dyDescent="0.35">
      <c r="A771" t="s">
        <v>3457</v>
      </c>
      <c r="B771" t="s">
        <v>1454</v>
      </c>
      <c r="C771" t="s">
        <v>635</v>
      </c>
      <c r="D771" s="3">
        <v>1</v>
      </c>
      <c r="E771" s="2">
        <v>180</v>
      </c>
    </row>
    <row r="772" spans="1:5" x14ac:dyDescent="0.35">
      <c r="A772" t="s">
        <v>3458</v>
      </c>
      <c r="B772" t="s">
        <v>1455</v>
      </c>
      <c r="C772" t="s">
        <v>673</v>
      </c>
      <c r="D772" s="3">
        <v>1</v>
      </c>
      <c r="E772" s="2">
        <v>300</v>
      </c>
    </row>
    <row r="773" spans="1:5" x14ac:dyDescent="0.35">
      <c r="A773" t="s">
        <v>3459</v>
      </c>
      <c r="B773" t="s">
        <v>1456</v>
      </c>
      <c r="C773" t="s">
        <v>663</v>
      </c>
      <c r="D773" s="3">
        <v>1</v>
      </c>
      <c r="E773" s="2">
        <v>1400</v>
      </c>
    </row>
    <row r="774" spans="1:5" x14ac:dyDescent="0.35">
      <c r="A774" t="s">
        <v>3460</v>
      </c>
      <c r="B774" t="s">
        <v>1457</v>
      </c>
      <c r="C774" t="s">
        <v>667</v>
      </c>
      <c r="D774" s="3">
        <v>1</v>
      </c>
      <c r="E774" s="2">
        <v>550</v>
      </c>
    </row>
    <row r="775" spans="1:5" x14ac:dyDescent="0.35">
      <c r="A775" t="s">
        <v>3461</v>
      </c>
      <c r="B775" t="s">
        <v>1458</v>
      </c>
      <c r="C775" t="s">
        <v>643</v>
      </c>
      <c r="D775" s="3">
        <v>1</v>
      </c>
      <c r="E775" s="2">
        <v>2200</v>
      </c>
    </row>
    <row r="776" spans="1:5" x14ac:dyDescent="0.35">
      <c r="A776" t="s">
        <v>3462</v>
      </c>
      <c r="B776" t="s">
        <v>1459</v>
      </c>
      <c r="C776" t="s">
        <v>641</v>
      </c>
      <c r="D776" s="3">
        <v>1</v>
      </c>
      <c r="E776" s="2">
        <v>1800</v>
      </c>
    </row>
    <row r="777" spans="1:5" x14ac:dyDescent="0.35">
      <c r="A777" t="s">
        <v>3463</v>
      </c>
      <c r="B777" t="s">
        <v>1460</v>
      </c>
      <c r="C777" t="s">
        <v>671</v>
      </c>
      <c r="D777" s="3">
        <v>1</v>
      </c>
      <c r="E777" s="2">
        <v>400</v>
      </c>
    </row>
    <row r="778" spans="1:5" x14ac:dyDescent="0.35">
      <c r="A778" t="s">
        <v>3464</v>
      </c>
      <c r="B778" t="s">
        <v>1461</v>
      </c>
      <c r="C778" t="s">
        <v>673</v>
      </c>
      <c r="D778" s="3">
        <v>1</v>
      </c>
      <c r="E778" s="2">
        <v>300</v>
      </c>
    </row>
    <row r="779" spans="1:5" x14ac:dyDescent="0.35">
      <c r="A779" t="s">
        <v>3465</v>
      </c>
      <c r="B779" t="s">
        <v>1462</v>
      </c>
      <c r="C779" t="s">
        <v>645</v>
      </c>
      <c r="D779" s="3">
        <v>1</v>
      </c>
      <c r="E779" s="2">
        <v>3500</v>
      </c>
    </row>
    <row r="780" spans="1:5" x14ac:dyDescent="0.35">
      <c r="A780" t="s">
        <v>3466</v>
      </c>
      <c r="B780" t="s">
        <v>1463</v>
      </c>
      <c r="C780" t="s">
        <v>665</v>
      </c>
      <c r="D780" s="3">
        <v>1</v>
      </c>
      <c r="E780" s="2">
        <v>700</v>
      </c>
    </row>
    <row r="781" spans="1:5" x14ac:dyDescent="0.35">
      <c r="A781" t="s">
        <v>3467</v>
      </c>
      <c r="B781" t="s">
        <v>1464</v>
      </c>
      <c r="C781" t="s">
        <v>631</v>
      </c>
      <c r="D781" s="3">
        <v>1</v>
      </c>
      <c r="E781" s="2">
        <v>900</v>
      </c>
    </row>
    <row r="782" spans="1:5" x14ac:dyDescent="0.35">
      <c r="A782" t="s">
        <v>3468</v>
      </c>
      <c r="B782" t="s">
        <v>1465</v>
      </c>
      <c r="C782" t="s">
        <v>663</v>
      </c>
      <c r="D782" s="3">
        <v>1</v>
      </c>
      <c r="E782" s="2">
        <v>1400</v>
      </c>
    </row>
    <row r="783" spans="1:5" x14ac:dyDescent="0.35">
      <c r="A783" t="s">
        <v>3469</v>
      </c>
      <c r="B783" t="s">
        <v>1466</v>
      </c>
      <c r="C783" t="s">
        <v>629</v>
      </c>
      <c r="D783" s="3">
        <v>1</v>
      </c>
      <c r="E783" s="2">
        <v>300</v>
      </c>
    </row>
    <row r="784" spans="1:5" x14ac:dyDescent="0.35">
      <c r="A784" t="s">
        <v>3470</v>
      </c>
      <c r="B784" t="s">
        <v>1467</v>
      </c>
      <c r="C784" t="s">
        <v>669</v>
      </c>
      <c r="D784" s="3">
        <v>1</v>
      </c>
      <c r="E784" s="2">
        <v>600</v>
      </c>
    </row>
    <row r="785" spans="1:5" x14ac:dyDescent="0.35">
      <c r="A785" t="s">
        <v>3471</v>
      </c>
      <c r="B785" t="s">
        <v>1468</v>
      </c>
      <c r="C785" t="s">
        <v>638</v>
      </c>
      <c r="D785" s="3">
        <v>1</v>
      </c>
      <c r="E785" s="2">
        <v>150</v>
      </c>
    </row>
    <row r="786" spans="1:5" x14ac:dyDescent="0.35">
      <c r="A786" t="s">
        <v>3472</v>
      </c>
      <c r="B786" t="s">
        <v>1469</v>
      </c>
      <c r="C786" t="s">
        <v>654</v>
      </c>
      <c r="D786" s="3">
        <v>2</v>
      </c>
      <c r="E786" s="2">
        <v>200</v>
      </c>
    </row>
    <row r="787" spans="1:5" x14ac:dyDescent="0.35">
      <c r="A787" t="s">
        <v>3473</v>
      </c>
      <c r="B787" t="s">
        <v>1470</v>
      </c>
      <c r="C787" t="s">
        <v>667</v>
      </c>
      <c r="D787" s="3">
        <v>1</v>
      </c>
      <c r="E787" s="2">
        <v>550</v>
      </c>
    </row>
    <row r="788" spans="1:5" x14ac:dyDescent="0.35">
      <c r="A788" t="s">
        <v>3474</v>
      </c>
      <c r="B788" t="s">
        <v>1471</v>
      </c>
      <c r="C788" t="s">
        <v>649</v>
      </c>
      <c r="D788" s="3">
        <v>1</v>
      </c>
      <c r="E788" s="2">
        <v>800</v>
      </c>
    </row>
    <row r="789" spans="1:5" x14ac:dyDescent="0.35">
      <c r="A789" t="s">
        <v>3475</v>
      </c>
      <c r="B789" t="s">
        <v>1472</v>
      </c>
      <c r="C789" t="s">
        <v>667</v>
      </c>
      <c r="D789" s="3">
        <v>1</v>
      </c>
      <c r="E789" s="2">
        <v>550</v>
      </c>
    </row>
    <row r="790" spans="1:5" x14ac:dyDescent="0.35">
      <c r="A790" t="s">
        <v>3476</v>
      </c>
      <c r="B790" t="s">
        <v>1473</v>
      </c>
      <c r="C790" t="s">
        <v>635</v>
      </c>
      <c r="D790" s="3">
        <v>1</v>
      </c>
      <c r="E790" s="2">
        <v>180</v>
      </c>
    </row>
    <row r="791" spans="1:5" x14ac:dyDescent="0.35">
      <c r="A791" t="s">
        <v>3477</v>
      </c>
      <c r="B791" t="s">
        <v>1474</v>
      </c>
      <c r="C791" t="s">
        <v>663</v>
      </c>
      <c r="D791" s="3">
        <v>1</v>
      </c>
      <c r="E791" s="2">
        <v>1400</v>
      </c>
    </row>
    <row r="792" spans="1:5" x14ac:dyDescent="0.35">
      <c r="A792" t="s">
        <v>3478</v>
      </c>
      <c r="B792" t="s">
        <v>1475</v>
      </c>
      <c r="C792" t="s">
        <v>660</v>
      </c>
      <c r="D792" s="3">
        <v>1</v>
      </c>
      <c r="E792" s="2">
        <v>6500</v>
      </c>
    </row>
    <row r="793" spans="1:5" x14ac:dyDescent="0.35">
      <c r="A793" t="s">
        <v>3479</v>
      </c>
      <c r="B793" t="s">
        <v>1476</v>
      </c>
      <c r="C793" t="s">
        <v>649</v>
      </c>
      <c r="D793" s="3">
        <v>2</v>
      </c>
      <c r="E793" s="2">
        <v>1600</v>
      </c>
    </row>
    <row r="794" spans="1:5" x14ac:dyDescent="0.35">
      <c r="A794" t="s">
        <v>3480</v>
      </c>
      <c r="B794" t="s">
        <v>1477</v>
      </c>
      <c r="C794" t="s">
        <v>633</v>
      </c>
      <c r="D794" s="3">
        <v>3</v>
      </c>
      <c r="E794" s="2">
        <v>1350</v>
      </c>
    </row>
    <row r="795" spans="1:5" x14ac:dyDescent="0.35">
      <c r="A795" t="s">
        <v>3481</v>
      </c>
      <c r="B795" t="s">
        <v>1478</v>
      </c>
      <c r="C795" t="s">
        <v>629</v>
      </c>
      <c r="D795" s="3">
        <v>1</v>
      </c>
      <c r="E795" s="2">
        <v>300</v>
      </c>
    </row>
    <row r="796" spans="1:5" x14ac:dyDescent="0.35">
      <c r="A796" t="s">
        <v>3482</v>
      </c>
      <c r="B796" t="s">
        <v>1479</v>
      </c>
      <c r="C796" t="s">
        <v>658</v>
      </c>
      <c r="D796" s="3">
        <v>1</v>
      </c>
      <c r="E796" s="2">
        <v>750</v>
      </c>
    </row>
    <row r="797" spans="1:5" x14ac:dyDescent="0.35">
      <c r="A797" t="s">
        <v>3483</v>
      </c>
      <c r="B797" t="s">
        <v>1480</v>
      </c>
      <c r="C797" t="s">
        <v>620</v>
      </c>
      <c r="D797" s="3">
        <v>1</v>
      </c>
      <c r="E797" s="2">
        <v>50</v>
      </c>
    </row>
    <row r="798" spans="1:5" x14ac:dyDescent="0.35">
      <c r="A798" t="s">
        <v>3484</v>
      </c>
      <c r="B798" t="s">
        <v>1481</v>
      </c>
      <c r="C798" t="s">
        <v>643</v>
      </c>
      <c r="D798" s="3">
        <v>1</v>
      </c>
      <c r="E798" s="2">
        <v>2200</v>
      </c>
    </row>
    <row r="799" spans="1:5" x14ac:dyDescent="0.35">
      <c r="A799" t="s">
        <v>3485</v>
      </c>
      <c r="B799" t="s">
        <v>1482</v>
      </c>
      <c r="C799" t="s">
        <v>667</v>
      </c>
      <c r="D799" s="3">
        <v>1</v>
      </c>
      <c r="E799" s="2">
        <v>550</v>
      </c>
    </row>
    <row r="800" spans="1:5" x14ac:dyDescent="0.35">
      <c r="A800" t="s">
        <v>3486</v>
      </c>
      <c r="B800" t="s">
        <v>1483</v>
      </c>
      <c r="C800" t="s">
        <v>635</v>
      </c>
      <c r="D800" s="3">
        <v>3</v>
      </c>
      <c r="E800" s="2">
        <v>540</v>
      </c>
    </row>
    <row r="801" spans="1:5" x14ac:dyDescent="0.35">
      <c r="A801" t="s">
        <v>3487</v>
      </c>
      <c r="B801" t="s">
        <v>1484</v>
      </c>
      <c r="C801" t="s">
        <v>617</v>
      </c>
      <c r="D801" s="3">
        <v>1</v>
      </c>
      <c r="E801" s="2">
        <v>200</v>
      </c>
    </row>
    <row r="802" spans="1:5" x14ac:dyDescent="0.35">
      <c r="A802" t="s">
        <v>3488</v>
      </c>
      <c r="B802" t="s">
        <v>1485</v>
      </c>
      <c r="C802" t="s">
        <v>667</v>
      </c>
      <c r="D802" s="3">
        <v>1</v>
      </c>
      <c r="E802" s="2">
        <v>550</v>
      </c>
    </row>
    <row r="803" spans="1:5" x14ac:dyDescent="0.35">
      <c r="A803" t="s">
        <v>3489</v>
      </c>
      <c r="B803" t="s">
        <v>1486</v>
      </c>
      <c r="C803" t="s">
        <v>645</v>
      </c>
      <c r="D803" s="3">
        <v>2</v>
      </c>
      <c r="E803" s="2">
        <v>7000</v>
      </c>
    </row>
    <row r="804" spans="1:5" x14ac:dyDescent="0.35">
      <c r="A804" t="s">
        <v>3490</v>
      </c>
      <c r="B804" t="s">
        <v>1487</v>
      </c>
      <c r="C804" t="s">
        <v>620</v>
      </c>
      <c r="D804" s="3">
        <v>1</v>
      </c>
      <c r="E804" s="2">
        <v>50</v>
      </c>
    </row>
    <row r="805" spans="1:5" x14ac:dyDescent="0.35">
      <c r="A805" t="s">
        <v>3491</v>
      </c>
      <c r="B805" t="s">
        <v>1488</v>
      </c>
      <c r="C805" t="s">
        <v>658</v>
      </c>
      <c r="D805" s="3">
        <v>1</v>
      </c>
      <c r="E805" s="2">
        <v>750</v>
      </c>
    </row>
    <row r="806" spans="1:5" x14ac:dyDescent="0.35">
      <c r="A806" t="s">
        <v>3492</v>
      </c>
      <c r="B806" t="s">
        <v>1489</v>
      </c>
      <c r="C806" t="s">
        <v>633</v>
      </c>
      <c r="D806" s="3">
        <v>1</v>
      </c>
      <c r="E806" s="2">
        <v>450</v>
      </c>
    </row>
    <row r="807" spans="1:5" x14ac:dyDescent="0.35">
      <c r="A807" t="s">
        <v>3493</v>
      </c>
      <c r="B807" t="s">
        <v>1490</v>
      </c>
      <c r="C807" t="s">
        <v>656</v>
      </c>
      <c r="D807" s="3">
        <v>1</v>
      </c>
      <c r="E807" s="2">
        <v>350</v>
      </c>
    </row>
    <row r="808" spans="1:5" x14ac:dyDescent="0.35">
      <c r="A808" t="s">
        <v>3494</v>
      </c>
      <c r="B808" t="s">
        <v>1491</v>
      </c>
      <c r="C808" t="s">
        <v>667</v>
      </c>
      <c r="D808" s="3">
        <v>1</v>
      </c>
      <c r="E808" s="2">
        <v>550</v>
      </c>
    </row>
    <row r="809" spans="1:5" x14ac:dyDescent="0.35">
      <c r="A809" t="s">
        <v>3495</v>
      </c>
      <c r="B809" t="s">
        <v>1492</v>
      </c>
      <c r="C809" t="s">
        <v>669</v>
      </c>
      <c r="D809" s="3">
        <v>1</v>
      </c>
      <c r="E809" s="2">
        <v>600</v>
      </c>
    </row>
    <row r="810" spans="1:5" x14ac:dyDescent="0.35">
      <c r="A810" t="s">
        <v>3496</v>
      </c>
      <c r="B810" t="s">
        <v>1493</v>
      </c>
      <c r="C810" t="s">
        <v>649</v>
      </c>
      <c r="D810" s="3">
        <v>1</v>
      </c>
      <c r="E810" s="2">
        <v>800</v>
      </c>
    </row>
    <row r="811" spans="1:5" x14ac:dyDescent="0.35">
      <c r="A811" t="s">
        <v>3497</v>
      </c>
      <c r="B811" t="s">
        <v>1494</v>
      </c>
      <c r="C811" t="s">
        <v>671</v>
      </c>
      <c r="D811" s="3">
        <v>3</v>
      </c>
      <c r="E811" s="2">
        <v>1200</v>
      </c>
    </row>
    <row r="812" spans="1:5" x14ac:dyDescent="0.35">
      <c r="A812" t="s">
        <v>3498</v>
      </c>
      <c r="B812" t="s">
        <v>1495</v>
      </c>
      <c r="C812" t="s">
        <v>633</v>
      </c>
      <c r="D812" s="3">
        <v>1</v>
      </c>
      <c r="E812" s="2">
        <v>450</v>
      </c>
    </row>
    <row r="813" spans="1:5" x14ac:dyDescent="0.35">
      <c r="A813" t="s">
        <v>3499</v>
      </c>
      <c r="B813" t="s">
        <v>1496</v>
      </c>
      <c r="C813" t="s">
        <v>667</v>
      </c>
      <c r="D813" s="3">
        <v>1</v>
      </c>
      <c r="E813" s="2">
        <v>550</v>
      </c>
    </row>
    <row r="814" spans="1:5" x14ac:dyDescent="0.35">
      <c r="A814" t="s">
        <v>3500</v>
      </c>
      <c r="B814" t="s">
        <v>1497</v>
      </c>
      <c r="C814" t="s">
        <v>673</v>
      </c>
      <c r="D814" s="3">
        <v>1</v>
      </c>
      <c r="E814" s="2">
        <v>300</v>
      </c>
    </row>
    <row r="815" spans="1:5" x14ac:dyDescent="0.35">
      <c r="A815" t="s">
        <v>3501</v>
      </c>
      <c r="B815" t="s">
        <v>1498</v>
      </c>
      <c r="C815" t="s">
        <v>623</v>
      </c>
      <c r="D815" s="3">
        <v>1</v>
      </c>
      <c r="E815" s="2">
        <v>1200</v>
      </c>
    </row>
    <row r="816" spans="1:5" x14ac:dyDescent="0.35">
      <c r="A816" t="s">
        <v>3502</v>
      </c>
      <c r="B816" t="s">
        <v>1499</v>
      </c>
      <c r="C816" t="s">
        <v>631</v>
      </c>
      <c r="D816" s="3">
        <v>1</v>
      </c>
      <c r="E816" s="2">
        <v>900</v>
      </c>
    </row>
    <row r="817" spans="1:5" x14ac:dyDescent="0.35">
      <c r="A817" t="s">
        <v>3503</v>
      </c>
      <c r="B817" t="s">
        <v>1500</v>
      </c>
      <c r="C817" t="s">
        <v>663</v>
      </c>
      <c r="D817" s="3">
        <v>2</v>
      </c>
      <c r="E817" s="2">
        <v>2800</v>
      </c>
    </row>
    <row r="818" spans="1:5" x14ac:dyDescent="0.35">
      <c r="A818" t="s">
        <v>3504</v>
      </c>
      <c r="B818" t="s">
        <v>1501</v>
      </c>
      <c r="C818" t="s">
        <v>620</v>
      </c>
      <c r="D818" s="3">
        <v>2</v>
      </c>
      <c r="E818" s="2">
        <v>100</v>
      </c>
    </row>
    <row r="819" spans="1:5" x14ac:dyDescent="0.35">
      <c r="A819" t="s">
        <v>3505</v>
      </c>
      <c r="B819" t="s">
        <v>1502</v>
      </c>
      <c r="C819" t="s">
        <v>656</v>
      </c>
      <c r="D819" s="3">
        <v>1</v>
      </c>
      <c r="E819" s="2">
        <v>350</v>
      </c>
    </row>
    <row r="820" spans="1:5" x14ac:dyDescent="0.35">
      <c r="A820" t="s">
        <v>3506</v>
      </c>
      <c r="B820" t="s">
        <v>1503</v>
      </c>
      <c r="C820" t="s">
        <v>645</v>
      </c>
      <c r="D820" s="3">
        <v>2</v>
      </c>
      <c r="E820" s="2">
        <v>7000</v>
      </c>
    </row>
    <row r="821" spans="1:5" x14ac:dyDescent="0.35">
      <c r="A821" t="s">
        <v>3507</v>
      </c>
      <c r="B821" t="s">
        <v>1504</v>
      </c>
      <c r="C821" t="s">
        <v>645</v>
      </c>
      <c r="D821" s="3">
        <v>1</v>
      </c>
      <c r="E821" s="2">
        <v>3500</v>
      </c>
    </row>
    <row r="822" spans="1:5" x14ac:dyDescent="0.35">
      <c r="A822" t="s">
        <v>3508</v>
      </c>
      <c r="B822" t="s">
        <v>1505</v>
      </c>
      <c r="C822" t="s">
        <v>656</v>
      </c>
      <c r="D822" s="3">
        <v>1</v>
      </c>
      <c r="E822" s="2">
        <v>350</v>
      </c>
    </row>
    <row r="823" spans="1:5" x14ac:dyDescent="0.35">
      <c r="A823" t="s">
        <v>3509</v>
      </c>
      <c r="B823" t="s">
        <v>1506</v>
      </c>
      <c r="C823" t="s">
        <v>641</v>
      </c>
      <c r="D823" s="3">
        <v>1</v>
      </c>
      <c r="E823" s="2">
        <v>1800</v>
      </c>
    </row>
    <row r="824" spans="1:5" x14ac:dyDescent="0.35">
      <c r="A824" t="s">
        <v>3510</v>
      </c>
      <c r="B824" t="s">
        <v>1507</v>
      </c>
      <c r="C824" t="s">
        <v>623</v>
      </c>
      <c r="D824" s="3">
        <v>2</v>
      </c>
      <c r="E824" s="2">
        <v>2400</v>
      </c>
    </row>
    <row r="825" spans="1:5" x14ac:dyDescent="0.35">
      <c r="A825" t="s">
        <v>3511</v>
      </c>
      <c r="B825" t="s">
        <v>1508</v>
      </c>
      <c r="C825" t="s">
        <v>663</v>
      </c>
      <c r="D825" s="3">
        <v>1</v>
      </c>
      <c r="E825" s="2">
        <v>1400</v>
      </c>
    </row>
    <row r="826" spans="1:5" x14ac:dyDescent="0.35">
      <c r="A826" t="s">
        <v>3512</v>
      </c>
      <c r="B826" t="s">
        <v>1509</v>
      </c>
      <c r="C826" t="s">
        <v>658</v>
      </c>
      <c r="D826" s="3">
        <v>1</v>
      </c>
      <c r="E826" s="2">
        <v>750</v>
      </c>
    </row>
    <row r="827" spans="1:5" x14ac:dyDescent="0.35">
      <c r="A827" t="s">
        <v>3513</v>
      </c>
      <c r="B827" t="s">
        <v>1510</v>
      </c>
      <c r="C827" t="s">
        <v>647</v>
      </c>
      <c r="D827" s="3">
        <v>1</v>
      </c>
      <c r="E827" s="2">
        <v>4200</v>
      </c>
    </row>
    <row r="828" spans="1:5" x14ac:dyDescent="0.35">
      <c r="A828" t="s">
        <v>3514</v>
      </c>
      <c r="B828" t="s">
        <v>1511</v>
      </c>
      <c r="C828" t="s">
        <v>645</v>
      </c>
      <c r="D828" s="3">
        <v>1</v>
      </c>
      <c r="E828" s="2">
        <v>3500</v>
      </c>
    </row>
    <row r="829" spans="1:5" x14ac:dyDescent="0.35">
      <c r="A829" t="s">
        <v>3515</v>
      </c>
      <c r="B829" t="s">
        <v>1512</v>
      </c>
      <c r="C829" t="s">
        <v>656</v>
      </c>
      <c r="D829" s="3">
        <v>1</v>
      </c>
      <c r="E829" s="2">
        <v>350</v>
      </c>
    </row>
    <row r="830" spans="1:5" x14ac:dyDescent="0.35">
      <c r="A830" t="s">
        <v>3516</v>
      </c>
      <c r="B830" t="s">
        <v>1513</v>
      </c>
      <c r="C830" t="s">
        <v>626</v>
      </c>
      <c r="D830" s="3">
        <v>1</v>
      </c>
      <c r="E830" s="2">
        <v>5000</v>
      </c>
    </row>
    <row r="831" spans="1:5" x14ac:dyDescent="0.35">
      <c r="A831" t="s">
        <v>3517</v>
      </c>
      <c r="B831" t="s">
        <v>1514</v>
      </c>
      <c r="C831" t="s">
        <v>669</v>
      </c>
      <c r="D831" s="3">
        <v>1</v>
      </c>
      <c r="E831" s="2">
        <v>600</v>
      </c>
    </row>
    <row r="832" spans="1:5" x14ac:dyDescent="0.35">
      <c r="A832" t="s">
        <v>3518</v>
      </c>
      <c r="B832" t="s">
        <v>1515</v>
      </c>
      <c r="C832" t="s">
        <v>641</v>
      </c>
      <c r="D832" s="3">
        <v>1</v>
      </c>
      <c r="E832" s="2">
        <v>1800</v>
      </c>
    </row>
    <row r="833" spans="1:5" x14ac:dyDescent="0.35">
      <c r="A833" t="s">
        <v>3519</v>
      </c>
      <c r="B833" t="s">
        <v>1516</v>
      </c>
      <c r="C833" t="s">
        <v>643</v>
      </c>
      <c r="D833" s="3">
        <v>1</v>
      </c>
      <c r="E833" s="2">
        <v>2200</v>
      </c>
    </row>
    <row r="834" spans="1:5" x14ac:dyDescent="0.35">
      <c r="A834" t="s">
        <v>3520</v>
      </c>
      <c r="B834" t="s">
        <v>1517</v>
      </c>
      <c r="C834" t="s">
        <v>631</v>
      </c>
      <c r="D834" s="3">
        <v>2</v>
      </c>
      <c r="E834" s="2">
        <v>1800</v>
      </c>
    </row>
    <row r="835" spans="1:5" x14ac:dyDescent="0.35">
      <c r="A835" t="s">
        <v>3521</v>
      </c>
      <c r="B835" t="s">
        <v>1518</v>
      </c>
      <c r="C835" t="s">
        <v>631</v>
      </c>
      <c r="D835" s="3">
        <v>1</v>
      </c>
      <c r="E835" s="2">
        <v>900</v>
      </c>
    </row>
    <row r="836" spans="1:5" x14ac:dyDescent="0.35">
      <c r="A836" t="s">
        <v>3522</v>
      </c>
      <c r="B836" t="s">
        <v>1519</v>
      </c>
      <c r="C836" t="s">
        <v>638</v>
      </c>
      <c r="D836" s="3">
        <v>1</v>
      </c>
      <c r="E836" s="2">
        <v>150</v>
      </c>
    </row>
    <row r="837" spans="1:5" x14ac:dyDescent="0.35">
      <c r="A837" t="s">
        <v>3523</v>
      </c>
      <c r="B837" t="s">
        <v>1520</v>
      </c>
      <c r="C837" t="s">
        <v>651</v>
      </c>
      <c r="D837" s="3">
        <v>1</v>
      </c>
      <c r="E837" s="2">
        <v>120</v>
      </c>
    </row>
    <row r="838" spans="1:5" x14ac:dyDescent="0.35">
      <c r="A838" t="s">
        <v>3524</v>
      </c>
      <c r="B838" t="s">
        <v>1521</v>
      </c>
      <c r="C838" t="s">
        <v>620</v>
      </c>
      <c r="D838" s="3">
        <v>1</v>
      </c>
      <c r="E838" s="2">
        <v>50</v>
      </c>
    </row>
    <row r="839" spans="1:5" x14ac:dyDescent="0.35">
      <c r="A839" t="s">
        <v>3525</v>
      </c>
      <c r="B839" t="s">
        <v>1522</v>
      </c>
      <c r="C839" t="s">
        <v>626</v>
      </c>
      <c r="D839" s="3">
        <v>3</v>
      </c>
      <c r="E839" s="2">
        <v>15000</v>
      </c>
    </row>
    <row r="840" spans="1:5" x14ac:dyDescent="0.35">
      <c r="A840" t="s">
        <v>3526</v>
      </c>
      <c r="B840" t="s">
        <v>1523</v>
      </c>
      <c r="C840" t="s">
        <v>629</v>
      </c>
      <c r="D840" s="3">
        <v>1</v>
      </c>
      <c r="E840" s="2">
        <v>300</v>
      </c>
    </row>
    <row r="841" spans="1:5" x14ac:dyDescent="0.35">
      <c r="A841" t="s">
        <v>3527</v>
      </c>
      <c r="B841" t="s">
        <v>1524</v>
      </c>
      <c r="C841" t="s">
        <v>656</v>
      </c>
      <c r="D841" s="3">
        <v>1</v>
      </c>
      <c r="E841" s="2">
        <v>350</v>
      </c>
    </row>
    <row r="842" spans="1:5" x14ac:dyDescent="0.35">
      <c r="A842" t="s">
        <v>3528</v>
      </c>
      <c r="B842" t="s">
        <v>1525</v>
      </c>
      <c r="C842" t="s">
        <v>635</v>
      </c>
      <c r="D842" s="3">
        <v>1</v>
      </c>
      <c r="E842" s="2">
        <v>180</v>
      </c>
    </row>
    <row r="843" spans="1:5" x14ac:dyDescent="0.35">
      <c r="A843" t="s">
        <v>3529</v>
      </c>
      <c r="B843" t="s">
        <v>1526</v>
      </c>
      <c r="C843" t="s">
        <v>635</v>
      </c>
      <c r="D843" s="3">
        <v>1</v>
      </c>
      <c r="E843" s="2">
        <v>180</v>
      </c>
    </row>
    <row r="844" spans="1:5" x14ac:dyDescent="0.35">
      <c r="A844" t="s">
        <v>3530</v>
      </c>
      <c r="B844" t="s">
        <v>1527</v>
      </c>
      <c r="C844" t="s">
        <v>667</v>
      </c>
      <c r="D844" s="3">
        <v>1</v>
      </c>
      <c r="E844" s="2">
        <v>550</v>
      </c>
    </row>
    <row r="845" spans="1:5" x14ac:dyDescent="0.35">
      <c r="A845" t="s">
        <v>3531</v>
      </c>
      <c r="B845" t="s">
        <v>1528</v>
      </c>
      <c r="C845" t="s">
        <v>645</v>
      </c>
      <c r="D845" s="3">
        <v>1</v>
      </c>
      <c r="E845" s="2">
        <v>3500</v>
      </c>
    </row>
    <row r="846" spans="1:5" x14ac:dyDescent="0.35">
      <c r="A846" t="s">
        <v>3532</v>
      </c>
      <c r="B846" t="s">
        <v>1529</v>
      </c>
      <c r="C846" t="s">
        <v>665</v>
      </c>
      <c r="D846" s="3">
        <v>1</v>
      </c>
      <c r="E846" s="2">
        <v>700</v>
      </c>
    </row>
    <row r="847" spans="1:5" x14ac:dyDescent="0.35">
      <c r="A847" t="s">
        <v>3533</v>
      </c>
      <c r="B847" t="s">
        <v>1530</v>
      </c>
      <c r="C847" t="s">
        <v>635</v>
      </c>
      <c r="D847" s="3">
        <v>1</v>
      </c>
      <c r="E847" s="2">
        <v>180</v>
      </c>
    </row>
    <row r="848" spans="1:5" x14ac:dyDescent="0.35">
      <c r="A848" t="s">
        <v>3534</v>
      </c>
      <c r="B848" t="s">
        <v>1531</v>
      </c>
      <c r="C848" t="s">
        <v>660</v>
      </c>
      <c r="D848" s="3">
        <v>2</v>
      </c>
      <c r="E848" s="2">
        <v>13000</v>
      </c>
    </row>
    <row r="849" spans="1:5" x14ac:dyDescent="0.35">
      <c r="A849" t="s">
        <v>3535</v>
      </c>
      <c r="B849" t="s">
        <v>1532</v>
      </c>
      <c r="C849" t="s">
        <v>623</v>
      </c>
      <c r="D849" s="3">
        <v>1</v>
      </c>
      <c r="E849" s="2">
        <v>1200</v>
      </c>
    </row>
    <row r="850" spans="1:5" x14ac:dyDescent="0.35">
      <c r="A850" t="s">
        <v>3536</v>
      </c>
      <c r="B850" t="s">
        <v>1533</v>
      </c>
      <c r="C850" t="s">
        <v>658</v>
      </c>
      <c r="D850" s="3">
        <v>1</v>
      </c>
      <c r="E850" s="2">
        <v>750</v>
      </c>
    </row>
    <row r="851" spans="1:5" x14ac:dyDescent="0.35">
      <c r="A851" t="s">
        <v>3537</v>
      </c>
      <c r="B851" t="s">
        <v>1534</v>
      </c>
      <c r="C851" t="s">
        <v>665</v>
      </c>
      <c r="D851" s="3">
        <v>1</v>
      </c>
      <c r="E851" s="2">
        <v>700</v>
      </c>
    </row>
    <row r="852" spans="1:5" x14ac:dyDescent="0.35">
      <c r="A852" t="s">
        <v>3538</v>
      </c>
      <c r="B852" t="s">
        <v>1535</v>
      </c>
      <c r="C852" t="s">
        <v>660</v>
      </c>
      <c r="D852" s="3">
        <v>1</v>
      </c>
      <c r="E852" s="2">
        <v>6500</v>
      </c>
    </row>
    <row r="853" spans="1:5" x14ac:dyDescent="0.35">
      <c r="A853" t="s">
        <v>3539</v>
      </c>
      <c r="B853" t="s">
        <v>1536</v>
      </c>
      <c r="C853" t="s">
        <v>660</v>
      </c>
      <c r="D853" s="3">
        <v>1</v>
      </c>
      <c r="E853" s="2">
        <v>6500</v>
      </c>
    </row>
    <row r="854" spans="1:5" x14ac:dyDescent="0.35">
      <c r="A854" t="s">
        <v>3540</v>
      </c>
      <c r="B854" t="s">
        <v>1537</v>
      </c>
      <c r="C854" t="s">
        <v>651</v>
      </c>
      <c r="D854" s="3">
        <v>1</v>
      </c>
      <c r="E854" s="2">
        <v>120</v>
      </c>
    </row>
    <row r="855" spans="1:5" x14ac:dyDescent="0.35">
      <c r="A855" t="s">
        <v>3541</v>
      </c>
      <c r="B855" t="s">
        <v>1538</v>
      </c>
      <c r="C855" t="s">
        <v>631</v>
      </c>
      <c r="D855" s="3">
        <v>1</v>
      </c>
      <c r="E855" s="2">
        <v>900</v>
      </c>
    </row>
    <row r="856" spans="1:5" x14ac:dyDescent="0.35">
      <c r="A856" t="s">
        <v>3542</v>
      </c>
      <c r="B856" t="s">
        <v>1539</v>
      </c>
      <c r="C856" t="s">
        <v>654</v>
      </c>
      <c r="D856" s="3">
        <v>1</v>
      </c>
      <c r="E856" s="2">
        <v>100</v>
      </c>
    </row>
    <row r="857" spans="1:5" x14ac:dyDescent="0.35">
      <c r="A857" t="s">
        <v>3543</v>
      </c>
      <c r="B857" t="s">
        <v>1540</v>
      </c>
      <c r="C857" t="s">
        <v>635</v>
      </c>
      <c r="D857" s="3">
        <v>1</v>
      </c>
      <c r="E857" s="2">
        <v>180</v>
      </c>
    </row>
    <row r="858" spans="1:5" x14ac:dyDescent="0.35">
      <c r="A858" t="s">
        <v>3544</v>
      </c>
      <c r="B858" t="s">
        <v>1541</v>
      </c>
      <c r="C858" t="s">
        <v>654</v>
      </c>
      <c r="D858" s="3">
        <v>1</v>
      </c>
      <c r="E858" s="2">
        <v>100</v>
      </c>
    </row>
    <row r="859" spans="1:5" x14ac:dyDescent="0.35">
      <c r="A859" t="s">
        <v>3545</v>
      </c>
      <c r="B859" t="s">
        <v>1542</v>
      </c>
      <c r="C859" t="s">
        <v>658</v>
      </c>
      <c r="D859" s="3">
        <v>3</v>
      </c>
      <c r="E859" s="2">
        <v>2250</v>
      </c>
    </row>
    <row r="860" spans="1:5" x14ac:dyDescent="0.35">
      <c r="A860" t="s">
        <v>3546</v>
      </c>
      <c r="B860" t="s">
        <v>1543</v>
      </c>
      <c r="C860" t="s">
        <v>663</v>
      </c>
      <c r="D860" s="3">
        <v>1</v>
      </c>
      <c r="E860" s="2">
        <v>1400</v>
      </c>
    </row>
    <row r="861" spans="1:5" x14ac:dyDescent="0.35">
      <c r="A861" t="s">
        <v>3547</v>
      </c>
      <c r="B861" t="s">
        <v>1544</v>
      </c>
      <c r="C861" t="s">
        <v>654</v>
      </c>
      <c r="D861" s="3">
        <v>1</v>
      </c>
      <c r="E861" s="2">
        <v>100</v>
      </c>
    </row>
    <row r="862" spans="1:5" x14ac:dyDescent="0.35">
      <c r="A862" t="s">
        <v>3548</v>
      </c>
      <c r="B862" t="s">
        <v>1545</v>
      </c>
      <c r="C862" t="s">
        <v>643</v>
      </c>
      <c r="D862" s="3">
        <v>1</v>
      </c>
      <c r="E862" s="2">
        <v>2200</v>
      </c>
    </row>
    <row r="863" spans="1:5" x14ac:dyDescent="0.35">
      <c r="A863" t="s">
        <v>3549</v>
      </c>
      <c r="B863" t="s">
        <v>1546</v>
      </c>
      <c r="C863" t="s">
        <v>633</v>
      </c>
      <c r="D863" s="3">
        <v>1</v>
      </c>
      <c r="E863" s="2">
        <v>450</v>
      </c>
    </row>
    <row r="864" spans="1:5" x14ac:dyDescent="0.35">
      <c r="A864" t="s">
        <v>3550</v>
      </c>
      <c r="B864" t="s">
        <v>1547</v>
      </c>
      <c r="C864" t="s">
        <v>656</v>
      </c>
      <c r="D864" s="3">
        <v>3</v>
      </c>
      <c r="E864" s="2">
        <v>1050</v>
      </c>
    </row>
    <row r="865" spans="1:5" x14ac:dyDescent="0.35">
      <c r="A865" t="s">
        <v>3551</v>
      </c>
      <c r="B865" t="s">
        <v>1548</v>
      </c>
      <c r="C865" t="s">
        <v>656</v>
      </c>
      <c r="D865" s="3">
        <v>1</v>
      </c>
      <c r="E865" s="2">
        <v>350</v>
      </c>
    </row>
    <row r="866" spans="1:5" x14ac:dyDescent="0.35">
      <c r="A866" t="s">
        <v>3552</v>
      </c>
      <c r="B866" t="s">
        <v>1549</v>
      </c>
      <c r="C866" t="s">
        <v>645</v>
      </c>
      <c r="D866" s="3">
        <v>1</v>
      </c>
      <c r="E866" s="2">
        <v>3500</v>
      </c>
    </row>
    <row r="867" spans="1:5" x14ac:dyDescent="0.35">
      <c r="A867" t="s">
        <v>3553</v>
      </c>
      <c r="B867" t="s">
        <v>1550</v>
      </c>
      <c r="C867" t="s">
        <v>647</v>
      </c>
      <c r="D867" s="3">
        <v>3</v>
      </c>
      <c r="E867" s="2">
        <v>12600</v>
      </c>
    </row>
    <row r="868" spans="1:5" x14ac:dyDescent="0.35">
      <c r="A868" t="s">
        <v>3554</v>
      </c>
      <c r="B868" t="s">
        <v>1551</v>
      </c>
      <c r="C868" t="s">
        <v>641</v>
      </c>
      <c r="D868" s="3">
        <v>1</v>
      </c>
      <c r="E868" s="2">
        <v>1800</v>
      </c>
    </row>
    <row r="869" spans="1:5" x14ac:dyDescent="0.35">
      <c r="A869" t="s">
        <v>3555</v>
      </c>
      <c r="B869" t="s">
        <v>1552</v>
      </c>
      <c r="C869" t="s">
        <v>633</v>
      </c>
      <c r="D869" s="3">
        <v>1</v>
      </c>
      <c r="E869" s="2">
        <v>450</v>
      </c>
    </row>
    <row r="870" spans="1:5" x14ac:dyDescent="0.35">
      <c r="A870" t="s">
        <v>3556</v>
      </c>
      <c r="B870" t="s">
        <v>1553</v>
      </c>
      <c r="C870" t="s">
        <v>649</v>
      </c>
      <c r="D870" s="3">
        <v>3</v>
      </c>
      <c r="E870" s="2">
        <v>2400</v>
      </c>
    </row>
    <row r="871" spans="1:5" x14ac:dyDescent="0.35">
      <c r="A871" t="s">
        <v>3557</v>
      </c>
      <c r="B871" t="s">
        <v>1554</v>
      </c>
      <c r="C871" t="s">
        <v>669</v>
      </c>
      <c r="D871" s="3">
        <v>1</v>
      </c>
      <c r="E871" s="2">
        <v>600</v>
      </c>
    </row>
    <row r="872" spans="1:5" x14ac:dyDescent="0.35">
      <c r="A872" t="s">
        <v>3558</v>
      </c>
      <c r="B872" t="s">
        <v>1555</v>
      </c>
      <c r="C872" t="s">
        <v>617</v>
      </c>
      <c r="D872" s="3">
        <v>1</v>
      </c>
      <c r="E872" s="2">
        <v>200</v>
      </c>
    </row>
    <row r="873" spans="1:5" x14ac:dyDescent="0.35">
      <c r="A873" t="s">
        <v>3559</v>
      </c>
      <c r="B873" t="s">
        <v>1556</v>
      </c>
      <c r="C873" t="s">
        <v>656</v>
      </c>
      <c r="D873" s="3">
        <v>1</v>
      </c>
      <c r="E873" s="2">
        <v>350</v>
      </c>
    </row>
    <row r="874" spans="1:5" x14ac:dyDescent="0.35">
      <c r="A874" t="s">
        <v>3560</v>
      </c>
      <c r="B874" t="s">
        <v>1557</v>
      </c>
      <c r="C874" t="s">
        <v>626</v>
      </c>
      <c r="D874" s="3">
        <v>1</v>
      </c>
      <c r="E874" s="2">
        <v>5000</v>
      </c>
    </row>
    <row r="875" spans="1:5" x14ac:dyDescent="0.35">
      <c r="A875" t="s">
        <v>3561</v>
      </c>
      <c r="B875" t="s">
        <v>1558</v>
      </c>
      <c r="C875" t="s">
        <v>665</v>
      </c>
      <c r="D875" s="3">
        <v>1</v>
      </c>
      <c r="E875" s="2">
        <v>700</v>
      </c>
    </row>
    <row r="876" spans="1:5" x14ac:dyDescent="0.35">
      <c r="A876" t="s">
        <v>3562</v>
      </c>
      <c r="B876" t="s">
        <v>1559</v>
      </c>
      <c r="C876" t="s">
        <v>629</v>
      </c>
      <c r="D876" s="3">
        <v>1</v>
      </c>
      <c r="E876" s="2">
        <v>300</v>
      </c>
    </row>
    <row r="877" spans="1:5" x14ac:dyDescent="0.35">
      <c r="A877" t="s">
        <v>3563</v>
      </c>
      <c r="B877" t="s">
        <v>1560</v>
      </c>
      <c r="C877" t="s">
        <v>663</v>
      </c>
      <c r="D877" s="3">
        <v>1</v>
      </c>
      <c r="E877" s="2">
        <v>1400</v>
      </c>
    </row>
    <row r="878" spans="1:5" x14ac:dyDescent="0.35">
      <c r="A878" t="s">
        <v>3564</v>
      </c>
      <c r="B878" t="s">
        <v>1561</v>
      </c>
      <c r="C878" t="s">
        <v>671</v>
      </c>
      <c r="D878" s="3">
        <v>1</v>
      </c>
      <c r="E878" s="2">
        <v>400</v>
      </c>
    </row>
    <row r="879" spans="1:5" x14ac:dyDescent="0.35">
      <c r="A879" t="s">
        <v>3565</v>
      </c>
      <c r="B879" t="s">
        <v>1562</v>
      </c>
      <c r="C879" t="s">
        <v>669</v>
      </c>
      <c r="D879" s="3">
        <v>1</v>
      </c>
      <c r="E879" s="2">
        <v>600</v>
      </c>
    </row>
    <row r="880" spans="1:5" x14ac:dyDescent="0.35">
      <c r="A880" t="s">
        <v>3566</v>
      </c>
      <c r="B880" t="s">
        <v>1563</v>
      </c>
      <c r="C880" t="s">
        <v>673</v>
      </c>
      <c r="D880" s="3">
        <v>1</v>
      </c>
      <c r="E880" s="2">
        <v>300</v>
      </c>
    </row>
    <row r="881" spans="1:5" x14ac:dyDescent="0.35">
      <c r="A881" t="s">
        <v>3567</v>
      </c>
      <c r="B881" t="s">
        <v>1564</v>
      </c>
      <c r="C881" t="s">
        <v>633</v>
      </c>
      <c r="D881" s="3">
        <v>3</v>
      </c>
      <c r="E881" s="2">
        <v>1350</v>
      </c>
    </row>
    <row r="882" spans="1:5" x14ac:dyDescent="0.35">
      <c r="A882" t="s">
        <v>3568</v>
      </c>
      <c r="B882" t="s">
        <v>1565</v>
      </c>
      <c r="C882" t="s">
        <v>641</v>
      </c>
      <c r="D882" s="3">
        <v>1</v>
      </c>
      <c r="E882" s="2">
        <v>1800</v>
      </c>
    </row>
    <row r="883" spans="1:5" x14ac:dyDescent="0.35">
      <c r="A883" t="s">
        <v>3569</v>
      </c>
      <c r="B883" t="s">
        <v>1566</v>
      </c>
      <c r="C883" t="s">
        <v>656</v>
      </c>
      <c r="D883" s="3">
        <v>1</v>
      </c>
      <c r="E883" s="2">
        <v>350</v>
      </c>
    </row>
    <row r="884" spans="1:5" x14ac:dyDescent="0.35">
      <c r="A884" t="s">
        <v>3570</v>
      </c>
      <c r="B884" t="s">
        <v>1567</v>
      </c>
      <c r="C884" t="s">
        <v>633</v>
      </c>
      <c r="D884" s="3">
        <v>1</v>
      </c>
      <c r="E884" s="2">
        <v>450</v>
      </c>
    </row>
    <row r="885" spans="1:5" x14ac:dyDescent="0.35">
      <c r="A885" t="s">
        <v>3571</v>
      </c>
      <c r="B885" t="s">
        <v>1568</v>
      </c>
      <c r="C885" t="s">
        <v>617</v>
      </c>
      <c r="D885" s="3">
        <v>1</v>
      </c>
      <c r="E885" s="2">
        <v>200</v>
      </c>
    </row>
    <row r="886" spans="1:5" x14ac:dyDescent="0.35">
      <c r="A886" t="s">
        <v>3572</v>
      </c>
      <c r="B886" t="s">
        <v>1569</v>
      </c>
      <c r="C886" t="s">
        <v>633</v>
      </c>
      <c r="D886" s="3">
        <v>1</v>
      </c>
      <c r="E886" s="2">
        <v>450</v>
      </c>
    </row>
    <row r="887" spans="1:5" x14ac:dyDescent="0.35">
      <c r="A887" t="s">
        <v>3573</v>
      </c>
      <c r="B887" t="s">
        <v>1570</v>
      </c>
      <c r="C887" t="s">
        <v>671</v>
      </c>
      <c r="D887" s="3">
        <v>1</v>
      </c>
      <c r="E887" s="2">
        <v>400</v>
      </c>
    </row>
    <row r="888" spans="1:5" x14ac:dyDescent="0.35">
      <c r="A888" t="s">
        <v>3574</v>
      </c>
      <c r="B888" t="s">
        <v>1571</v>
      </c>
      <c r="C888" t="s">
        <v>643</v>
      </c>
      <c r="D888" s="3">
        <v>1</v>
      </c>
      <c r="E888" s="2">
        <v>2200</v>
      </c>
    </row>
    <row r="889" spans="1:5" x14ac:dyDescent="0.35">
      <c r="A889" t="s">
        <v>3575</v>
      </c>
      <c r="B889" t="s">
        <v>1572</v>
      </c>
      <c r="C889" t="s">
        <v>638</v>
      </c>
      <c r="D889" s="3">
        <v>1</v>
      </c>
      <c r="E889" s="2">
        <v>150</v>
      </c>
    </row>
    <row r="890" spans="1:5" x14ac:dyDescent="0.35">
      <c r="A890" t="s">
        <v>3576</v>
      </c>
      <c r="B890" t="s">
        <v>1573</v>
      </c>
      <c r="C890" t="s">
        <v>645</v>
      </c>
      <c r="D890" s="3">
        <v>1</v>
      </c>
      <c r="E890" s="2">
        <v>3500</v>
      </c>
    </row>
    <row r="891" spans="1:5" x14ac:dyDescent="0.35">
      <c r="A891" t="s">
        <v>3577</v>
      </c>
      <c r="B891" t="s">
        <v>1574</v>
      </c>
      <c r="C891" t="s">
        <v>623</v>
      </c>
      <c r="D891" s="3">
        <v>1</v>
      </c>
      <c r="E891" s="2">
        <v>1200</v>
      </c>
    </row>
    <row r="892" spans="1:5" x14ac:dyDescent="0.35">
      <c r="A892" t="s">
        <v>3578</v>
      </c>
      <c r="B892" t="s">
        <v>1575</v>
      </c>
      <c r="C892" t="s">
        <v>626</v>
      </c>
      <c r="D892" s="3">
        <v>2</v>
      </c>
      <c r="E892" s="2">
        <v>10000</v>
      </c>
    </row>
    <row r="893" spans="1:5" x14ac:dyDescent="0.35">
      <c r="A893" t="s">
        <v>3579</v>
      </c>
      <c r="B893" t="s">
        <v>1576</v>
      </c>
      <c r="C893" t="s">
        <v>626</v>
      </c>
      <c r="D893" s="3">
        <v>1</v>
      </c>
      <c r="E893" s="2">
        <v>5000</v>
      </c>
    </row>
    <row r="894" spans="1:5" x14ac:dyDescent="0.35">
      <c r="A894" t="s">
        <v>3580</v>
      </c>
      <c r="B894" t="s">
        <v>1577</v>
      </c>
      <c r="C894" t="s">
        <v>673</v>
      </c>
      <c r="D894" s="3">
        <v>2</v>
      </c>
      <c r="E894" s="2">
        <v>600</v>
      </c>
    </row>
    <row r="895" spans="1:5" x14ac:dyDescent="0.35">
      <c r="A895" t="s">
        <v>3581</v>
      </c>
      <c r="B895" t="s">
        <v>1578</v>
      </c>
      <c r="C895" t="s">
        <v>647</v>
      </c>
      <c r="D895" s="3">
        <v>2</v>
      </c>
      <c r="E895" s="2">
        <v>8400</v>
      </c>
    </row>
    <row r="896" spans="1:5" x14ac:dyDescent="0.35">
      <c r="A896" t="s">
        <v>3582</v>
      </c>
      <c r="B896" t="s">
        <v>1579</v>
      </c>
      <c r="C896" t="s">
        <v>669</v>
      </c>
      <c r="D896" s="3">
        <v>2</v>
      </c>
      <c r="E896" s="2">
        <v>1200</v>
      </c>
    </row>
    <row r="897" spans="1:5" x14ac:dyDescent="0.35">
      <c r="A897" t="s">
        <v>3583</v>
      </c>
      <c r="B897" t="s">
        <v>1580</v>
      </c>
      <c r="C897" t="s">
        <v>660</v>
      </c>
      <c r="D897" s="3">
        <v>3</v>
      </c>
      <c r="E897" s="2">
        <v>19500</v>
      </c>
    </row>
    <row r="898" spans="1:5" x14ac:dyDescent="0.35">
      <c r="A898" t="s">
        <v>3584</v>
      </c>
      <c r="B898" t="s">
        <v>1581</v>
      </c>
      <c r="C898" t="s">
        <v>641</v>
      </c>
      <c r="D898" s="3">
        <v>1</v>
      </c>
      <c r="E898" s="2">
        <v>1800</v>
      </c>
    </row>
    <row r="899" spans="1:5" x14ac:dyDescent="0.35">
      <c r="A899" t="s">
        <v>3585</v>
      </c>
      <c r="B899" t="s">
        <v>1582</v>
      </c>
      <c r="C899" t="s">
        <v>629</v>
      </c>
      <c r="D899" s="3">
        <v>1</v>
      </c>
      <c r="E899" s="2">
        <v>300</v>
      </c>
    </row>
    <row r="900" spans="1:5" x14ac:dyDescent="0.35">
      <c r="A900" t="s">
        <v>3586</v>
      </c>
      <c r="B900" t="s">
        <v>1583</v>
      </c>
      <c r="C900" t="s">
        <v>633</v>
      </c>
      <c r="D900" s="3">
        <v>1</v>
      </c>
      <c r="E900" s="2">
        <v>450</v>
      </c>
    </row>
    <row r="901" spans="1:5" x14ac:dyDescent="0.35">
      <c r="A901" t="s">
        <v>3587</v>
      </c>
      <c r="B901" t="s">
        <v>1584</v>
      </c>
      <c r="C901" t="s">
        <v>671</v>
      </c>
      <c r="D901" s="3">
        <v>1</v>
      </c>
      <c r="E901" s="2">
        <v>400</v>
      </c>
    </row>
    <row r="902" spans="1:5" x14ac:dyDescent="0.35">
      <c r="A902" t="s">
        <v>3588</v>
      </c>
      <c r="B902" t="s">
        <v>1585</v>
      </c>
      <c r="C902" t="s">
        <v>654</v>
      </c>
      <c r="D902" s="3">
        <v>2</v>
      </c>
      <c r="E902" s="2">
        <v>200</v>
      </c>
    </row>
    <row r="903" spans="1:5" x14ac:dyDescent="0.35">
      <c r="A903" t="s">
        <v>3589</v>
      </c>
      <c r="B903" t="s">
        <v>1586</v>
      </c>
      <c r="C903" t="s">
        <v>617</v>
      </c>
      <c r="D903" s="3">
        <v>1</v>
      </c>
      <c r="E903" s="2">
        <v>200</v>
      </c>
    </row>
    <row r="904" spans="1:5" x14ac:dyDescent="0.35">
      <c r="A904" t="s">
        <v>3590</v>
      </c>
      <c r="B904" t="s">
        <v>1587</v>
      </c>
      <c r="C904" t="s">
        <v>645</v>
      </c>
      <c r="D904" s="3">
        <v>1</v>
      </c>
      <c r="E904" s="2">
        <v>3500</v>
      </c>
    </row>
    <row r="905" spans="1:5" x14ac:dyDescent="0.35">
      <c r="A905" t="s">
        <v>3591</v>
      </c>
      <c r="B905" t="s">
        <v>1588</v>
      </c>
      <c r="C905" t="s">
        <v>620</v>
      </c>
      <c r="D905" s="3">
        <v>1</v>
      </c>
      <c r="E905" s="2">
        <v>50</v>
      </c>
    </row>
    <row r="906" spans="1:5" x14ac:dyDescent="0.35">
      <c r="A906" t="s">
        <v>3592</v>
      </c>
      <c r="B906" t="s">
        <v>1589</v>
      </c>
      <c r="C906" t="s">
        <v>633</v>
      </c>
      <c r="D906" s="3">
        <v>1</v>
      </c>
      <c r="E906" s="2">
        <v>450</v>
      </c>
    </row>
    <row r="907" spans="1:5" x14ac:dyDescent="0.35">
      <c r="A907" t="s">
        <v>3593</v>
      </c>
      <c r="B907" t="s">
        <v>1590</v>
      </c>
      <c r="C907" t="s">
        <v>643</v>
      </c>
      <c r="D907" s="3">
        <v>1</v>
      </c>
      <c r="E907" s="2">
        <v>2200</v>
      </c>
    </row>
    <row r="908" spans="1:5" x14ac:dyDescent="0.35">
      <c r="A908" t="s">
        <v>3594</v>
      </c>
      <c r="B908" t="s">
        <v>1591</v>
      </c>
      <c r="C908" t="s">
        <v>647</v>
      </c>
      <c r="D908" s="3">
        <v>1</v>
      </c>
      <c r="E908" s="2">
        <v>4200</v>
      </c>
    </row>
    <row r="909" spans="1:5" x14ac:dyDescent="0.35">
      <c r="A909" t="s">
        <v>3595</v>
      </c>
      <c r="B909" t="s">
        <v>1592</v>
      </c>
      <c r="C909" t="s">
        <v>620</v>
      </c>
      <c r="D909" s="3">
        <v>1</v>
      </c>
      <c r="E909" s="2">
        <v>50</v>
      </c>
    </row>
    <row r="910" spans="1:5" x14ac:dyDescent="0.35">
      <c r="A910" t="s">
        <v>3596</v>
      </c>
      <c r="B910" t="s">
        <v>1593</v>
      </c>
      <c r="C910" t="s">
        <v>633</v>
      </c>
      <c r="D910" s="3">
        <v>1</v>
      </c>
      <c r="E910" s="2">
        <v>450</v>
      </c>
    </row>
    <row r="911" spans="1:5" x14ac:dyDescent="0.35">
      <c r="A911" t="s">
        <v>3597</v>
      </c>
      <c r="B911" t="s">
        <v>1594</v>
      </c>
      <c r="C911" t="s">
        <v>651</v>
      </c>
      <c r="D911" s="3">
        <v>1</v>
      </c>
      <c r="E911" s="2">
        <v>120</v>
      </c>
    </row>
    <row r="912" spans="1:5" x14ac:dyDescent="0.35">
      <c r="A912" t="s">
        <v>3598</v>
      </c>
      <c r="B912" t="s">
        <v>1595</v>
      </c>
      <c r="C912" t="s">
        <v>673</v>
      </c>
      <c r="D912" s="3">
        <v>1</v>
      </c>
      <c r="E912" s="2">
        <v>300</v>
      </c>
    </row>
    <row r="913" spans="1:5" x14ac:dyDescent="0.35">
      <c r="A913" t="s">
        <v>3599</v>
      </c>
      <c r="B913" t="s">
        <v>1596</v>
      </c>
      <c r="C913" t="s">
        <v>643</v>
      </c>
      <c r="D913" s="3">
        <v>1</v>
      </c>
      <c r="E913" s="2">
        <v>2200</v>
      </c>
    </row>
    <row r="914" spans="1:5" x14ac:dyDescent="0.35">
      <c r="A914" t="s">
        <v>3600</v>
      </c>
      <c r="B914" t="s">
        <v>1597</v>
      </c>
      <c r="C914" t="s">
        <v>620</v>
      </c>
      <c r="D914" s="3">
        <v>3</v>
      </c>
      <c r="E914" s="2">
        <v>150</v>
      </c>
    </row>
    <row r="915" spans="1:5" x14ac:dyDescent="0.35">
      <c r="A915" t="s">
        <v>3601</v>
      </c>
      <c r="B915" t="s">
        <v>1598</v>
      </c>
      <c r="C915" t="s">
        <v>633</v>
      </c>
      <c r="D915" s="3">
        <v>1</v>
      </c>
      <c r="E915" s="2">
        <v>450</v>
      </c>
    </row>
    <row r="916" spans="1:5" x14ac:dyDescent="0.35">
      <c r="A916" t="s">
        <v>3602</v>
      </c>
      <c r="B916" t="s">
        <v>1599</v>
      </c>
      <c r="C916" t="s">
        <v>626</v>
      </c>
      <c r="D916" s="3">
        <v>1</v>
      </c>
      <c r="E916" s="2">
        <v>5000</v>
      </c>
    </row>
    <row r="917" spans="1:5" x14ac:dyDescent="0.35">
      <c r="A917" t="s">
        <v>3603</v>
      </c>
      <c r="B917" t="s">
        <v>1600</v>
      </c>
      <c r="C917" t="s">
        <v>643</v>
      </c>
      <c r="D917" s="3">
        <v>1</v>
      </c>
      <c r="E917" s="2">
        <v>2200</v>
      </c>
    </row>
    <row r="918" spans="1:5" x14ac:dyDescent="0.35">
      <c r="A918" t="s">
        <v>3604</v>
      </c>
      <c r="B918" t="s">
        <v>1601</v>
      </c>
      <c r="C918" t="s">
        <v>620</v>
      </c>
      <c r="D918" s="3">
        <v>1</v>
      </c>
      <c r="E918" s="2">
        <v>50</v>
      </c>
    </row>
    <row r="919" spans="1:5" x14ac:dyDescent="0.35">
      <c r="A919" t="s">
        <v>3605</v>
      </c>
      <c r="B919" t="s">
        <v>1602</v>
      </c>
      <c r="C919" t="s">
        <v>654</v>
      </c>
      <c r="D919" s="3">
        <v>1</v>
      </c>
      <c r="E919" s="2">
        <v>100</v>
      </c>
    </row>
    <row r="920" spans="1:5" x14ac:dyDescent="0.35">
      <c r="A920" t="s">
        <v>3606</v>
      </c>
      <c r="B920" t="s">
        <v>1603</v>
      </c>
      <c r="C920" t="s">
        <v>633</v>
      </c>
      <c r="D920" s="3">
        <v>1</v>
      </c>
      <c r="E920" s="2">
        <v>450</v>
      </c>
    </row>
    <row r="921" spans="1:5" x14ac:dyDescent="0.35">
      <c r="A921" t="s">
        <v>3607</v>
      </c>
      <c r="B921" t="s">
        <v>1604</v>
      </c>
      <c r="C921" t="s">
        <v>647</v>
      </c>
      <c r="D921" s="3">
        <v>2</v>
      </c>
      <c r="E921" s="2">
        <v>8400</v>
      </c>
    </row>
    <row r="922" spans="1:5" x14ac:dyDescent="0.35">
      <c r="A922" t="s">
        <v>3608</v>
      </c>
      <c r="B922" t="s">
        <v>1605</v>
      </c>
      <c r="C922" t="s">
        <v>629</v>
      </c>
      <c r="D922" s="3">
        <v>1</v>
      </c>
      <c r="E922" s="2">
        <v>300</v>
      </c>
    </row>
    <row r="923" spans="1:5" x14ac:dyDescent="0.35">
      <c r="A923" t="s">
        <v>3609</v>
      </c>
      <c r="B923" t="s">
        <v>1606</v>
      </c>
      <c r="C923" t="s">
        <v>656</v>
      </c>
      <c r="D923" s="3">
        <v>1</v>
      </c>
      <c r="E923" s="2">
        <v>350</v>
      </c>
    </row>
    <row r="924" spans="1:5" x14ac:dyDescent="0.35">
      <c r="A924" t="s">
        <v>3610</v>
      </c>
      <c r="B924" t="s">
        <v>1607</v>
      </c>
      <c r="C924" t="s">
        <v>665</v>
      </c>
      <c r="D924" s="3">
        <v>3</v>
      </c>
      <c r="E924" s="2">
        <v>2100</v>
      </c>
    </row>
    <row r="925" spans="1:5" x14ac:dyDescent="0.35">
      <c r="A925" t="s">
        <v>3611</v>
      </c>
      <c r="B925" t="s">
        <v>1608</v>
      </c>
      <c r="C925" t="s">
        <v>645</v>
      </c>
      <c r="D925" s="3">
        <v>1</v>
      </c>
      <c r="E925" s="2">
        <v>3500</v>
      </c>
    </row>
    <row r="926" spans="1:5" x14ac:dyDescent="0.35">
      <c r="A926" t="s">
        <v>3612</v>
      </c>
      <c r="B926" t="s">
        <v>1609</v>
      </c>
      <c r="C926" t="s">
        <v>660</v>
      </c>
      <c r="D926" s="3">
        <v>1</v>
      </c>
      <c r="E926" s="2">
        <v>6500</v>
      </c>
    </row>
    <row r="927" spans="1:5" x14ac:dyDescent="0.35">
      <c r="A927" t="s">
        <v>3613</v>
      </c>
      <c r="B927" t="s">
        <v>1610</v>
      </c>
      <c r="C927" t="s">
        <v>633</v>
      </c>
      <c r="D927" s="3">
        <v>1</v>
      </c>
      <c r="E927" s="2">
        <v>450</v>
      </c>
    </row>
    <row r="928" spans="1:5" x14ac:dyDescent="0.35">
      <c r="A928" t="s">
        <v>3614</v>
      </c>
      <c r="B928" t="s">
        <v>1611</v>
      </c>
      <c r="C928" t="s">
        <v>631</v>
      </c>
      <c r="D928" s="3">
        <v>2</v>
      </c>
      <c r="E928" s="2">
        <v>1800</v>
      </c>
    </row>
    <row r="929" spans="1:5" x14ac:dyDescent="0.35">
      <c r="A929" t="s">
        <v>3615</v>
      </c>
      <c r="B929" t="s">
        <v>1612</v>
      </c>
      <c r="C929" t="s">
        <v>635</v>
      </c>
      <c r="D929" s="3">
        <v>3</v>
      </c>
      <c r="E929" s="2">
        <v>540</v>
      </c>
    </row>
    <row r="930" spans="1:5" x14ac:dyDescent="0.35">
      <c r="A930" t="s">
        <v>3616</v>
      </c>
      <c r="B930" t="s">
        <v>1613</v>
      </c>
      <c r="C930" t="s">
        <v>647</v>
      </c>
      <c r="D930" s="3">
        <v>3</v>
      </c>
      <c r="E930" s="2">
        <v>12600</v>
      </c>
    </row>
    <row r="931" spans="1:5" x14ac:dyDescent="0.35">
      <c r="A931" t="s">
        <v>3617</v>
      </c>
      <c r="B931" t="s">
        <v>1614</v>
      </c>
      <c r="C931" t="s">
        <v>629</v>
      </c>
      <c r="D931" s="3">
        <v>1</v>
      </c>
      <c r="E931" s="2">
        <v>300</v>
      </c>
    </row>
    <row r="932" spans="1:5" x14ac:dyDescent="0.35">
      <c r="A932" t="s">
        <v>3618</v>
      </c>
      <c r="B932" t="s">
        <v>1615</v>
      </c>
      <c r="C932" t="s">
        <v>620</v>
      </c>
      <c r="D932" s="3">
        <v>1</v>
      </c>
      <c r="E932" s="2">
        <v>50</v>
      </c>
    </row>
    <row r="933" spans="1:5" x14ac:dyDescent="0.35">
      <c r="A933" t="s">
        <v>3619</v>
      </c>
      <c r="B933" t="s">
        <v>1616</v>
      </c>
      <c r="C933" t="s">
        <v>638</v>
      </c>
      <c r="D933" s="3">
        <v>1</v>
      </c>
      <c r="E933" s="2">
        <v>150</v>
      </c>
    </row>
    <row r="934" spans="1:5" x14ac:dyDescent="0.35">
      <c r="A934" t="s">
        <v>3620</v>
      </c>
      <c r="B934" t="s">
        <v>1617</v>
      </c>
      <c r="C934" t="s">
        <v>643</v>
      </c>
      <c r="D934" s="3">
        <v>1</v>
      </c>
      <c r="E934" s="2">
        <v>2200</v>
      </c>
    </row>
    <row r="935" spans="1:5" x14ac:dyDescent="0.35">
      <c r="A935" t="s">
        <v>3621</v>
      </c>
      <c r="B935" t="s">
        <v>1618</v>
      </c>
      <c r="C935" t="s">
        <v>671</v>
      </c>
      <c r="D935" s="3">
        <v>2</v>
      </c>
      <c r="E935" s="2">
        <v>800</v>
      </c>
    </row>
    <row r="936" spans="1:5" x14ac:dyDescent="0.35">
      <c r="A936" t="s">
        <v>3622</v>
      </c>
      <c r="B936" t="s">
        <v>1619</v>
      </c>
      <c r="C936" t="s">
        <v>631</v>
      </c>
      <c r="D936" s="3">
        <v>2</v>
      </c>
      <c r="E936" s="2">
        <v>1800</v>
      </c>
    </row>
    <row r="937" spans="1:5" x14ac:dyDescent="0.35">
      <c r="A937" t="s">
        <v>3623</v>
      </c>
      <c r="B937" t="s">
        <v>1620</v>
      </c>
      <c r="C937" t="s">
        <v>633</v>
      </c>
      <c r="D937" s="3">
        <v>1</v>
      </c>
      <c r="E937" s="2">
        <v>450</v>
      </c>
    </row>
    <row r="938" spans="1:5" x14ac:dyDescent="0.35">
      <c r="A938" t="s">
        <v>3624</v>
      </c>
      <c r="B938" t="s">
        <v>1621</v>
      </c>
      <c r="C938" t="s">
        <v>673</v>
      </c>
      <c r="D938" s="3">
        <v>1</v>
      </c>
      <c r="E938" s="2">
        <v>300</v>
      </c>
    </row>
    <row r="939" spans="1:5" x14ac:dyDescent="0.35">
      <c r="A939" t="s">
        <v>3625</v>
      </c>
      <c r="B939" t="s">
        <v>1622</v>
      </c>
      <c r="C939" t="s">
        <v>633</v>
      </c>
      <c r="D939" s="3">
        <v>1</v>
      </c>
      <c r="E939" s="2">
        <v>450</v>
      </c>
    </row>
    <row r="940" spans="1:5" x14ac:dyDescent="0.35">
      <c r="A940" t="s">
        <v>3626</v>
      </c>
      <c r="B940" t="s">
        <v>1623</v>
      </c>
      <c r="C940" t="s">
        <v>660</v>
      </c>
      <c r="D940" s="3">
        <v>1</v>
      </c>
      <c r="E940" s="2">
        <v>6500</v>
      </c>
    </row>
    <row r="941" spans="1:5" x14ac:dyDescent="0.35">
      <c r="A941" t="s">
        <v>3627</v>
      </c>
      <c r="B941" t="s">
        <v>1624</v>
      </c>
      <c r="C941" t="s">
        <v>631</v>
      </c>
      <c r="D941" s="3">
        <v>1</v>
      </c>
      <c r="E941" s="2">
        <v>900</v>
      </c>
    </row>
    <row r="942" spans="1:5" x14ac:dyDescent="0.35">
      <c r="A942" t="s">
        <v>3628</v>
      </c>
      <c r="B942" t="s">
        <v>1625</v>
      </c>
      <c r="C942" t="s">
        <v>643</v>
      </c>
      <c r="D942" s="3">
        <v>1</v>
      </c>
      <c r="E942" s="2">
        <v>2200</v>
      </c>
    </row>
    <row r="943" spans="1:5" x14ac:dyDescent="0.35">
      <c r="A943" t="s">
        <v>3629</v>
      </c>
      <c r="B943" t="s">
        <v>1626</v>
      </c>
      <c r="C943" t="s">
        <v>643</v>
      </c>
      <c r="D943" s="3">
        <v>1</v>
      </c>
      <c r="E943" s="2">
        <v>2200</v>
      </c>
    </row>
    <row r="944" spans="1:5" x14ac:dyDescent="0.35">
      <c r="A944" t="s">
        <v>3630</v>
      </c>
      <c r="B944" t="s">
        <v>1627</v>
      </c>
      <c r="C944" t="s">
        <v>633</v>
      </c>
      <c r="D944" s="3">
        <v>1</v>
      </c>
      <c r="E944" s="2">
        <v>450</v>
      </c>
    </row>
    <row r="945" spans="1:5" x14ac:dyDescent="0.35">
      <c r="A945" t="s">
        <v>3631</v>
      </c>
      <c r="B945" t="s">
        <v>1628</v>
      </c>
      <c r="C945" t="s">
        <v>620</v>
      </c>
      <c r="D945" s="3">
        <v>1</v>
      </c>
      <c r="E945" s="2">
        <v>50</v>
      </c>
    </row>
    <row r="946" spans="1:5" x14ac:dyDescent="0.35">
      <c r="A946" t="s">
        <v>3632</v>
      </c>
      <c r="B946" t="s">
        <v>1629</v>
      </c>
      <c r="C946" t="s">
        <v>660</v>
      </c>
      <c r="D946" s="3">
        <v>3</v>
      </c>
      <c r="E946" s="2">
        <v>19500</v>
      </c>
    </row>
    <row r="947" spans="1:5" x14ac:dyDescent="0.35">
      <c r="A947" t="s">
        <v>3633</v>
      </c>
      <c r="B947" t="s">
        <v>1630</v>
      </c>
      <c r="C947" t="s">
        <v>626</v>
      </c>
      <c r="D947" s="3">
        <v>1</v>
      </c>
      <c r="E947" s="2">
        <v>5000</v>
      </c>
    </row>
    <row r="948" spans="1:5" x14ac:dyDescent="0.35">
      <c r="A948" t="s">
        <v>3634</v>
      </c>
      <c r="B948" t="s">
        <v>1631</v>
      </c>
      <c r="C948" t="s">
        <v>631</v>
      </c>
      <c r="D948" s="3">
        <v>2</v>
      </c>
      <c r="E948" s="2">
        <v>1800</v>
      </c>
    </row>
    <row r="949" spans="1:5" x14ac:dyDescent="0.35">
      <c r="A949" t="s">
        <v>3635</v>
      </c>
      <c r="B949" t="s">
        <v>1632</v>
      </c>
      <c r="C949" t="s">
        <v>656</v>
      </c>
      <c r="D949" s="3">
        <v>1</v>
      </c>
      <c r="E949" s="2">
        <v>350</v>
      </c>
    </row>
    <row r="950" spans="1:5" x14ac:dyDescent="0.35">
      <c r="A950" t="s">
        <v>3636</v>
      </c>
      <c r="B950" t="s">
        <v>1633</v>
      </c>
      <c r="C950" t="s">
        <v>673</v>
      </c>
      <c r="D950" s="3">
        <v>1</v>
      </c>
      <c r="E950" s="2">
        <v>300</v>
      </c>
    </row>
    <row r="951" spans="1:5" x14ac:dyDescent="0.35">
      <c r="A951" t="s">
        <v>3637</v>
      </c>
      <c r="B951" t="s">
        <v>1634</v>
      </c>
      <c r="C951" t="s">
        <v>629</v>
      </c>
      <c r="D951" s="3">
        <v>1</v>
      </c>
      <c r="E951" s="2">
        <v>300</v>
      </c>
    </row>
    <row r="952" spans="1:5" x14ac:dyDescent="0.35">
      <c r="A952" t="s">
        <v>3638</v>
      </c>
      <c r="B952" t="s">
        <v>1635</v>
      </c>
      <c r="C952" t="s">
        <v>633</v>
      </c>
      <c r="D952" s="3">
        <v>1</v>
      </c>
      <c r="E952" s="2">
        <v>450</v>
      </c>
    </row>
    <row r="953" spans="1:5" x14ac:dyDescent="0.35">
      <c r="A953" t="s">
        <v>3639</v>
      </c>
      <c r="B953" t="s">
        <v>1636</v>
      </c>
      <c r="C953" t="s">
        <v>638</v>
      </c>
      <c r="D953" s="3">
        <v>1</v>
      </c>
      <c r="E953" s="2">
        <v>150</v>
      </c>
    </row>
    <row r="954" spans="1:5" x14ac:dyDescent="0.35">
      <c r="A954" t="s">
        <v>3640</v>
      </c>
      <c r="B954" t="s">
        <v>1637</v>
      </c>
      <c r="C954" t="s">
        <v>673</v>
      </c>
      <c r="D954" s="3">
        <v>1</v>
      </c>
      <c r="E954" s="2">
        <v>300</v>
      </c>
    </row>
    <row r="955" spans="1:5" x14ac:dyDescent="0.35">
      <c r="A955" t="s">
        <v>3641</v>
      </c>
      <c r="B955" t="s">
        <v>1638</v>
      </c>
      <c r="C955" t="s">
        <v>617</v>
      </c>
      <c r="D955" s="3">
        <v>1</v>
      </c>
      <c r="E955" s="2">
        <v>200</v>
      </c>
    </row>
    <row r="956" spans="1:5" x14ac:dyDescent="0.35">
      <c r="A956" t="s">
        <v>3642</v>
      </c>
      <c r="B956" t="s">
        <v>1639</v>
      </c>
      <c r="C956" t="s">
        <v>617</v>
      </c>
      <c r="D956" s="3">
        <v>1</v>
      </c>
      <c r="E956" s="2">
        <v>200</v>
      </c>
    </row>
    <row r="957" spans="1:5" x14ac:dyDescent="0.35">
      <c r="A957" t="s">
        <v>3643</v>
      </c>
      <c r="B957" t="s">
        <v>1640</v>
      </c>
      <c r="C957" t="s">
        <v>660</v>
      </c>
      <c r="D957" s="3">
        <v>1</v>
      </c>
      <c r="E957" s="2">
        <v>6500</v>
      </c>
    </row>
    <row r="958" spans="1:5" x14ac:dyDescent="0.35">
      <c r="A958" t="s">
        <v>3644</v>
      </c>
      <c r="B958" t="s">
        <v>1641</v>
      </c>
      <c r="C958" t="s">
        <v>631</v>
      </c>
      <c r="D958" s="3">
        <v>1</v>
      </c>
      <c r="E958" s="2">
        <v>900</v>
      </c>
    </row>
    <row r="959" spans="1:5" x14ac:dyDescent="0.35">
      <c r="A959" t="s">
        <v>3645</v>
      </c>
      <c r="B959" t="s">
        <v>1642</v>
      </c>
      <c r="C959" t="s">
        <v>658</v>
      </c>
      <c r="D959" s="3">
        <v>1</v>
      </c>
      <c r="E959" s="2">
        <v>750</v>
      </c>
    </row>
    <row r="960" spans="1:5" x14ac:dyDescent="0.35">
      <c r="A960" t="s">
        <v>3646</v>
      </c>
      <c r="B960" t="s">
        <v>1643</v>
      </c>
      <c r="C960" t="s">
        <v>641</v>
      </c>
      <c r="D960" s="3">
        <v>1</v>
      </c>
      <c r="E960" s="2">
        <v>1800</v>
      </c>
    </row>
    <row r="961" spans="1:5" x14ac:dyDescent="0.35">
      <c r="A961" t="s">
        <v>3647</v>
      </c>
      <c r="B961" t="s">
        <v>1644</v>
      </c>
      <c r="C961" t="s">
        <v>643</v>
      </c>
      <c r="D961" s="3">
        <v>1</v>
      </c>
      <c r="E961" s="2">
        <v>2200</v>
      </c>
    </row>
    <row r="962" spans="1:5" x14ac:dyDescent="0.35">
      <c r="A962" t="s">
        <v>3648</v>
      </c>
      <c r="B962" t="s">
        <v>1645</v>
      </c>
      <c r="C962" t="s">
        <v>617</v>
      </c>
      <c r="D962" s="3">
        <v>1</v>
      </c>
      <c r="E962" s="2">
        <v>200</v>
      </c>
    </row>
    <row r="963" spans="1:5" x14ac:dyDescent="0.35">
      <c r="A963" t="s">
        <v>3649</v>
      </c>
      <c r="B963" t="s">
        <v>1646</v>
      </c>
      <c r="C963" t="s">
        <v>617</v>
      </c>
      <c r="D963" s="3">
        <v>3</v>
      </c>
      <c r="E963" s="2">
        <v>600</v>
      </c>
    </row>
    <row r="964" spans="1:5" x14ac:dyDescent="0.35">
      <c r="A964" t="s">
        <v>3650</v>
      </c>
      <c r="B964" t="s">
        <v>1647</v>
      </c>
      <c r="C964" t="s">
        <v>647</v>
      </c>
      <c r="D964" s="3">
        <v>1</v>
      </c>
      <c r="E964" s="2">
        <v>4200</v>
      </c>
    </row>
    <row r="965" spans="1:5" x14ac:dyDescent="0.35">
      <c r="A965" t="s">
        <v>3651</v>
      </c>
      <c r="B965" t="s">
        <v>1648</v>
      </c>
      <c r="C965" t="s">
        <v>629</v>
      </c>
      <c r="D965" s="3">
        <v>2</v>
      </c>
      <c r="E965" s="2">
        <v>600</v>
      </c>
    </row>
    <row r="966" spans="1:5" x14ac:dyDescent="0.35">
      <c r="A966" t="s">
        <v>3652</v>
      </c>
      <c r="B966" t="s">
        <v>1649</v>
      </c>
      <c r="C966" t="s">
        <v>663</v>
      </c>
      <c r="D966" s="3">
        <v>1</v>
      </c>
      <c r="E966" s="2">
        <v>1400</v>
      </c>
    </row>
    <row r="967" spans="1:5" x14ac:dyDescent="0.35">
      <c r="A967" t="s">
        <v>3653</v>
      </c>
      <c r="B967" t="s">
        <v>1650</v>
      </c>
      <c r="C967" t="s">
        <v>617</v>
      </c>
      <c r="D967" s="3">
        <v>1</v>
      </c>
      <c r="E967" s="2">
        <v>200</v>
      </c>
    </row>
    <row r="968" spans="1:5" x14ac:dyDescent="0.35">
      <c r="A968" t="s">
        <v>3654</v>
      </c>
      <c r="B968" t="s">
        <v>1651</v>
      </c>
      <c r="C968" t="s">
        <v>663</v>
      </c>
      <c r="D968" s="3">
        <v>1</v>
      </c>
      <c r="E968" s="2">
        <v>1400</v>
      </c>
    </row>
    <row r="969" spans="1:5" x14ac:dyDescent="0.35">
      <c r="A969" t="s">
        <v>3655</v>
      </c>
      <c r="B969" t="s">
        <v>1652</v>
      </c>
      <c r="C969" t="s">
        <v>623</v>
      </c>
      <c r="D969" s="3">
        <v>1</v>
      </c>
      <c r="E969" s="2">
        <v>1200</v>
      </c>
    </row>
    <row r="970" spans="1:5" x14ac:dyDescent="0.35">
      <c r="A970" t="s">
        <v>3656</v>
      </c>
      <c r="B970" t="s">
        <v>1653</v>
      </c>
      <c r="C970" t="s">
        <v>658</v>
      </c>
      <c r="D970" s="3">
        <v>1</v>
      </c>
      <c r="E970" s="2">
        <v>750</v>
      </c>
    </row>
    <row r="971" spans="1:5" x14ac:dyDescent="0.35">
      <c r="A971" t="s">
        <v>3657</v>
      </c>
      <c r="B971" t="s">
        <v>1654</v>
      </c>
      <c r="C971" t="s">
        <v>638</v>
      </c>
      <c r="D971" s="3">
        <v>1</v>
      </c>
      <c r="E971" s="2">
        <v>150</v>
      </c>
    </row>
    <row r="972" spans="1:5" x14ac:dyDescent="0.35">
      <c r="A972" t="s">
        <v>3658</v>
      </c>
      <c r="B972" t="s">
        <v>1655</v>
      </c>
      <c r="C972" t="s">
        <v>649</v>
      </c>
      <c r="D972" s="3">
        <v>1</v>
      </c>
      <c r="E972" s="2">
        <v>800</v>
      </c>
    </row>
    <row r="973" spans="1:5" x14ac:dyDescent="0.35">
      <c r="A973" t="s">
        <v>3659</v>
      </c>
      <c r="B973" t="s">
        <v>1656</v>
      </c>
      <c r="C973" t="s">
        <v>656</v>
      </c>
      <c r="D973" s="3">
        <v>1</v>
      </c>
      <c r="E973" s="2">
        <v>350</v>
      </c>
    </row>
    <row r="974" spans="1:5" x14ac:dyDescent="0.35">
      <c r="A974" t="s">
        <v>3660</v>
      </c>
      <c r="B974" t="s">
        <v>1657</v>
      </c>
      <c r="C974" t="s">
        <v>669</v>
      </c>
      <c r="D974" s="3">
        <v>1</v>
      </c>
      <c r="E974" s="2">
        <v>600</v>
      </c>
    </row>
    <row r="975" spans="1:5" x14ac:dyDescent="0.35">
      <c r="A975" t="s">
        <v>3661</v>
      </c>
      <c r="B975" t="s">
        <v>1658</v>
      </c>
      <c r="C975" t="s">
        <v>649</v>
      </c>
      <c r="D975" s="3">
        <v>1</v>
      </c>
      <c r="E975" s="2">
        <v>800</v>
      </c>
    </row>
    <row r="976" spans="1:5" x14ac:dyDescent="0.35">
      <c r="A976" t="s">
        <v>3662</v>
      </c>
      <c r="B976" t="s">
        <v>1659</v>
      </c>
      <c r="C976" t="s">
        <v>626</v>
      </c>
      <c r="D976" s="3">
        <v>1</v>
      </c>
      <c r="E976" s="2">
        <v>5000</v>
      </c>
    </row>
    <row r="977" spans="1:5" x14ac:dyDescent="0.35">
      <c r="A977" t="s">
        <v>3663</v>
      </c>
      <c r="B977" t="s">
        <v>1660</v>
      </c>
      <c r="C977" t="s">
        <v>629</v>
      </c>
      <c r="D977" s="3">
        <v>2</v>
      </c>
      <c r="E977" s="2">
        <v>600</v>
      </c>
    </row>
    <row r="978" spans="1:5" x14ac:dyDescent="0.35">
      <c r="A978" t="s">
        <v>3664</v>
      </c>
      <c r="B978" t="s">
        <v>1661</v>
      </c>
      <c r="C978" t="s">
        <v>665</v>
      </c>
      <c r="D978" s="3">
        <v>1</v>
      </c>
      <c r="E978" s="2">
        <v>700</v>
      </c>
    </row>
    <row r="979" spans="1:5" x14ac:dyDescent="0.35">
      <c r="A979" t="s">
        <v>3665</v>
      </c>
      <c r="B979" t="s">
        <v>1662</v>
      </c>
      <c r="C979" t="s">
        <v>656</v>
      </c>
      <c r="D979" s="3">
        <v>2</v>
      </c>
      <c r="E979" s="2">
        <v>700</v>
      </c>
    </row>
    <row r="980" spans="1:5" x14ac:dyDescent="0.35">
      <c r="A980" t="s">
        <v>3666</v>
      </c>
      <c r="B980" t="s">
        <v>1663</v>
      </c>
      <c r="C980" t="s">
        <v>667</v>
      </c>
      <c r="D980" s="3">
        <v>1</v>
      </c>
      <c r="E980" s="2">
        <v>550</v>
      </c>
    </row>
    <row r="981" spans="1:5" x14ac:dyDescent="0.35">
      <c r="A981" t="s">
        <v>3667</v>
      </c>
      <c r="B981" t="s">
        <v>1664</v>
      </c>
      <c r="C981" t="s">
        <v>673</v>
      </c>
      <c r="D981" s="3">
        <v>1</v>
      </c>
      <c r="E981" s="2">
        <v>300</v>
      </c>
    </row>
    <row r="982" spans="1:5" x14ac:dyDescent="0.35">
      <c r="A982" t="s">
        <v>3668</v>
      </c>
      <c r="B982" t="s">
        <v>1665</v>
      </c>
      <c r="C982" t="s">
        <v>620</v>
      </c>
      <c r="D982" s="3">
        <v>1</v>
      </c>
      <c r="E982" s="2">
        <v>50</v>
      </c>
    </row>
    <row r="983" spans="1:5" x14ac:dyDescent="0.35">
      <c r="A983" t="s">
        <v>3669</v>
      </c>
      <c r="B983" t="s">
        <v>1666</v>
      </c>
      <c r="C983" t="s">
        <v>669</v>
      </c>
      <c r="D983" s="3">
        <v>1</v>
      </c>
      <c r="E983" s="2">
        <v>600</v>
      </c>
    </row>
    <row r="984" spans="1:5" x14ac:dyDescent="0.35">
      <c r="A984" t="s">
        <v>3670</v>
      </c>
      <c r="B984" t="s">
        <v>1667</v>
      </c>
      <c r="C984" t="s">
        <v>667</v>
      </c>
      <c r="D984" s="3">
        <v>1</v>
      </c>
      <c r="E984" s="2">
        <v>550</v>
      </c>
    </row>
    <row r="985" spans="1:5" x14ac:dyDescent="0.35">
      <c r="A985" t="s">
        <v>3671</v>
      </c>
      <c r="B985" t="s">
        <v>1668</v>
      </c>
      <c r="C985" t="s">
        <v>629</v>
      </c>
      <c r="D985" s="3">
        <v>1</v>
      </c>
      <c r="E985" s="2">
        <v>300</v>
      </c>
    </row>
    <row r="986" spans="1:5" x14ac:dyDescent="0.35">
      <c r="A986" t="s">
        <v>3672</v>
      </c>
      <c r="B986" t="s">
        <v>1669</v>
      </c>
      <c r="C986" t="s">
        <v>626</v>
      </c>
      <c r="D986" s="3">
        <v>2</v>
      </c>
      <c r="E986" s="2">
        <v>10000</v>
      </c>
    </row>
    <row r="987" spans="1:5" x14ac:dyDescent="0.35">
      <c r="A987" t="s">
        <v>3673</v>
      </c>
      <c r="B987" t="s">
        <v>1670</v>
      </c>
      <c r="C987" t="s">
        <v>626</v>
      </c>
      <c r="D987" s="3">
        <v>1</v>
      </c>
      <c r="E987" s="2">
        <v>5000</v>
      </c>
    </row>
    <row r="988" spans="1:5" x14ac:dyDescent="0.35">
      <c r="A988" t="s">
        <v>3674</v>
      </c>
      <c r="B988" t="s">
        <v>1671</v>
      </c>
      <c r="C988" t="s">
        <v>631</v>
      </c>
      <c r="D988" s="3">
        <v>1</v>
      </c>
      <c r="E988" s="2">
        <v>900</v>
      </c>
    </row>
    <row r="989" spans="1:5" x14ac:dyDescent="0.35">
      <c r="A989" t="s">
        <v>3675</v>
      </c>
      <c r="B989" t="s">
        <v>1672</v>
      </c>
      <c r="C989" t="s">
        <v>663</v>
      </c>
      <c r="D989" s="3">
        <v>2</v>
      </c>
      <c r="E989" s="2">
        <v>2800</v>
      </c>
    </row>
    <row r="990" spans="1:5" x14ac:dyDescent="0.35">
      <c r="A990" t="s">
        <v>3676</v>
      </c>
      <c r="B990" t="s">
        <v>1673</v>
      </c>
      <c r="C990" t="s">
        <v>665</v>
      </c>
      <c r="D990" s="3">
        <v>1</v>
      </c>
      <c r="E990" s="2">
        <v>700</v>
      </c>
    </row>
    <row r="991" spans="1:5" x14ac:dyDescent="0.35">
      <c r="A991" t="s">
        <v>3677</v>
      </c>
      <c r="B991" t="s">
        <v>1674</v>
      </c>
      <c r="C991" t="s">
        <v>647</v>
      </c>
      <c r="D991" s="3">
        <v>1</v>
      </c>
      <c r="E991" s="2">
        <v>4200</v>
      </c>
    </row>
    <row r="992" spans="1:5" x14ac:dyDescent="0.35">
      <c r="A992" t="s">
        <v>3678</v>
      </c>
      <c r="B992" t="s">
        <v>1675</v>
      </c>
      <c r="C992" t="s">
        <v>667</v>
      </c>
      <c r="D992" s="3">
        <v>1</v>
      </c>
      <c r="E992" s="2">
        <v>550</v>
      </c>
    </row>
    <row r="993" spans="1:5" x14ac:dyDescent="0.35">
      <c r="A993" t="s">
        <v>3679</v>
      </c>
      <c r="B993" t="s">
        <v>1676</v>
      </c>
      <c r="C993" t="s">
        <v>629</v>
      </c>
      <c r="D993" s="3">
        <v>1</v>
      </c>
      <c r="E993" s="2">
        <v>300</v>
      </c>
    </row>
    <row r="994" spans="1:5" x14ac:dyDescent="0.35">
      <c r="A994" t="s">
        <v>3680</v>
      </c>
      <c r="B994" t="s">
        <v>1677</v>
      </c>
      <c r="C994" t="s">
        <v>669</v>
      </c>
      <c r="D994" s="3">
        <v>1</v>
      </c>
      <c r="E994" s="2">
        <v>600</v>
      </c>
    </row>
    <row r="995" spans="1:5" x14ac:dyDescent="0.35">
      <c r="A995" t="s">
        <v>3681</v>
      </c>
      <c r="B995" t="s">
        <v>1678</v>
      </c>
      <c r="C995" t="s">
        <v>673</v>
      </c>
      <c r="D995" s="3">
        <v>2</v>
      </c>
      <c r="E995" s="2">
        <v>600</v>
      </c>
    </row>
    <row r="996" spans="1:5" x14ac:dyDescent="0.35">
      <c r="A996" t="s">
        <v>3682</v>
      </c>
      <c r="B996" t="s">
        <v>1679</v>
      </c>
      <c r="C996" t="s">
        <v>669</v>
      </c>
      <c r="D996" s="3">
        <v>1</v>
      </c>
      <c r="E996" s="2">
        <v>600</v>
      </c>
    </row>
    <row r="997" spans="1:5" x14ac:dyDescent="0.35">
      <c r="A997" t="s">
        <v>3683</v>
      </c>
      <c r="B997" t="s">
        <v>1680</v>
      </c>
      <c r="C997" t="s">
        <v>633</v>
      </c>
      <c r="D997" s="3">
        <v>1</v>
      </c>
      <c r="E997" s="2">
        <v>450</v>
      </c>
    </row>
    <row r="998" spans="1:5" x14ac:dyDescent="0.35">
      <c r="A998" t="s">
        <v>3684</v>
      </c>
      <c r="B998" t="s">
        <v>1681</v>
      </c>
      <c r="C998" t="s">
        <v>663</v>
      </c>
      <c r="D998" s="3">
        <v>1</v>
      </c>
      <c r="E998" s="2">
        <v>1400</v>
      </c>
    </row>
    <row r="999" spans="1:5" x14ac:dyDescent="0.35">
      <c r="A999" t="s">
        <v>3685</v>
      </c>
      <c r="B999" t="s">
        <v>1682</v>
      </c>
      <c r="C999" t="s">
        <v>617</v>
      </c>
      <c r="D999" s="3">
        <v>1</v>
      </c>
      <c r="E999" s="2">
        <v>200</v>
      </c>
    </row>
    <row r="1000" spans="1:5" x14ac:dyDescent="0.35">
      <c r="A1000" t="s">
        <v>3686</v>
      </c>
      <c r="B1000" t="s">
        <v>1683</v>
      </c>
      <c r="C1000" t="s">
        <v>649</v>
      </c>
      <c r="D1000" s="3">
        <v>1</v>
      </c>
      <c r="E1000" s="2">
        <v>800</v>
      </c>
    </row>
    <row r="1001" spans="1:5" x14ac:dyDescent="0.35">
      <c r="A1001" t="s">
        <v>3687</v>
      </c>
      <c r="B1001" t="s">
        <v>1684</v>
      </c>
      <c r="C1001" t="s">
        <v>671</v>
      </c>
      <c r="D1001" s="3">
        <v>1</v>
      </c>
      <c r="E1001" s="2">
        <v>400</v>
      </c>
    </row>
    <row r="1002" spans="1:5" x14ac:dyDescent="0.35">
      <c r="A1002" t="s">
        <v>3688</v>
      </c>
      <c r="B1002" t="s">
        <v>1685</v>
      </c>
      <c r="C1002" t="s">
        <v>626</v>
      </c>
      <c r="D1002" s="3">
        <v>1</v>
      </c>
      <c r="E1002" s="2">
        <v>5000</v>
      </c>
    </row>
    <row r="1003" spans="1:5" x14ac:dyDescent="0.35">
      <c r="A1003" t="s">
        <v>3689</v>
      </c>
      <c r="B1003" t="s">
        <v>1686</v>
      </c>
      <c r="C1003" t="s">
        <v>656</v>
      </c>
      <c r="D1003" s="3">
        <v>2</v>
      </c>
      <c r="E1003" s="2">
        <v>700</v>
      </c>
    </row>
    <row r="1004" spans="1:5" x14ac:dyDescent="0.35">
      <c r="A1004" t="s">
        <v>3690</v>
      </c>
      <c r="B1004" t="s">
        <v>1687</v>
      </c>
      <c r="C1004" t="s">
        <v>665</v>
      </c>
      <c r="D1004" s="3">
        <v>1</v>
      </c>
      <c r="E1004" s="2">
        <v>700</v>
      </c>
    </row>
    <row r="1005" spans="1:5" x14ac:dyDescent="0.35">
      <c r="A1005" t="s">
        <v>3691</v>
      </c>
      <c r="B1005" t="s">
        <v>1688</v>
      </c>
      <c r="C1005" t="s">
        <v>649</v>
      </c>
      <c r="D1005" s="3">
        <v>1</v>
      </c>
      <c r="E1005" s="2">
        <v>800</v>
      </c>
    </row>
    <row r="1006" spans="1:5" x14ac:dyDescent="0.35">
      <c r="A1006" t="s">
        <v>3692</v>
      </c>
      <c r="B1006" t="s">
        <v>1689</v>
      </c>
      <c r="C1006" t="s">
        <v>654</v>
      </c>
      <c r="D1006" s="3">
        <v>1</v>
      </c>
      <c r="E1006" s="2">
        <v>100</v>
      </c>
    </row>
    <row r="1007" spans="1:5" x14ac:dyDescent="0.35">
      <c r="A1007" t="s">
        <v>3693</v>
      </c>
      <c r="B1007" t="s">
        <v>1690</v>
      </c>
      <c r="C1007" t="s">
        <v>649</v>
      </c>
      <c r="D1007" s="3">
        <v>1</v>
      </c>
      <c r="E1007" s="2">
        <v>800</v>
      </c>
    </row>
    <row r="1008" spans="1:5" x14ac:dyDescent="0.35">
      <c r="A1008" t="s">
        <v>3694</v>
      </c>
      <c r="B1008" t="s">
        <v>1691</v>
      </c>
      <c r="C1008" t="s">
        <v>654</v>
      </c>
      <c r="D1008" s="3">
        <v>2</v>
      </c>
      <c r="E1008" s="2">
        <v>200</v>
      </c>
    </row>
    <row r="1009" spans="1:5" x14ac:dyDescent="0.35">
      <c r="A1009" t="s">
        <v>3695</v>
      </c>
      <c r="B1009" t="s">
        <v>1692</v>
      </c>
      <c r="C1009" t="s">
        <v>671</v>
      </c>
      <c r="D1009" s="3">
        <v>1</v>
      </c>
      <c r="E1009" s="2">
        <v>400</v>
      </c>
    </row>
    <row r="1010" spans="1:5" x14ac:dyDescent="0.35">
      <c r="A1010" t="s">
        <v>3696</v>
      </c>
      <c r="B1010" t="s">
        <v>1693</v>
      </c>
      <c r="C1010" t="s">
        <v>663</v>
      </c>
      <c r="D1010" s="3">
        <v>1</v>
      </c>
      <c r="E1010" s="2">
        <v>1400</v>
      </c>
    </row>
    <row r="1011" spans="1:5" x14ac:dyDescent="0.35">
      <c r="A1011" t="s">
        <v>3697</v>
      </c>
      <c r="B1011" t="s">
        <v>1694</v>
      </c>
      <c r="C1011" t="s">
        <v>635</v>
      </c>
      <c r="D1011" s="3">
        <v>1</v>
      </c>
      <c r="E1011" s="2">
        <v>180</v>
      </c>
    </row>
    <row r="1012" spans="1:5" x14ac:dyDescent="0.35">
      <c r="A1012" t="s">
        <v>3698</v>
      </c>
      <c r="B1012" t="s">
        <v>1695</v>
      </c>
      <c r="C1012" t="s">
        <v>671</v>
      </c>
      <c r="D1012" s="3">
        <v>1</v>
      </c>
      <c r="E1012" s="2">
        <v>400</v>
      </c>
    </row>
    <row r="1013" spans="1:5" x14ac:dyDescent="0.35">
      <c r="A1013" t="s">
        <v>3699</v>
      </c>
      <c r="B1013" t="s">
        <v>1696</v>
      </c>
      <c r="C1013" t="s">
        <v>623</v>
      </c>
      <c r="D1013" s="3">
        <v>1</v>
      </c>
      <c r="E1013" s="2">
        <v>1200</v>
      </c>
    </row>
    <row r="1014" spans="1:5" x14ac:dyDescent="0.35">
      <c r="A1014" t="s">
        <v>3700</v>
      </c>
      <c r="B1014" t="s">
        <v>1697</v>
      </c>
      <c r="C1014" t="s">
        <v>673</v>
      </c>
      <c r="D1014" s="3">
        <v>1</v>
      </c>
      <c r="E1014" s="2">
        <v>300</v>
      </c>
    </row>
    <row r="1015" spans="1:5" x14ac:dyDescent="0.35">
      <c r="A1015" t="s">
        <v>3701</v>
      </c>
      <c r="B1015" t="s">
        <v>1698</v>
      </c>
      <c r="C1015" t="s">
        <v>660</v>
      </c>
      <c r="D1015" s="3">
        <v>2</v>
      </c>
      <c r="E1015" s="2">
        <v>13000</v>
      </c>
    </row>
    <row r="1016" spans="1:5" x14ac:dyDescent="0.35">
      <c r="A1016" t="s">
        <v>3702</v>
      </c>
      <c r="B1016" t="s">
        <v>1699</v>
      </c>
      <c r="C1016" t="s">
        <v>617</v>
      </c>
      <c r="D1016" s="3">
        <v>1</v>
      </c>
      <c r="E1016" s="2">
        <v>200</v>
      </c>
    </row>
    <row r="1017" spans="1:5" x14ac:dyDescent="0.35">
      <c r="A1017" t="s">
        <v>3703</v>
      </c>
      <c r="B1017" t="s">
        <v>1700</v>
      </c>
      <c r="C1017" t="s">
        <v>620</v>
      </c>
      <c r="D1017" s="3">
        <v>1</v>
      </c>
      <c r="E1017" s="2">
        <v>50</v>
      </c>
    </row>
    <row r="1018" spans="1:5" x14ac:dyDescent="0.35">
      <c r="A1018" t="s">
        <v>3704</v>
      </c>
      <c r="B1018" t="s">
        <v>1701</v>
      </c>
      <c r="C1018" t="s">
        <v>651</v>
      </c>
      <c r="D1018" s="3">
        <v>1</v>
      </c>
      <c r="E1018" s="2">
        <v>120</v>
      </c>
    </row>
    <row r="1019" spans="1:5" x14ac:dyDescent="0.35">
      <c r="A1019" t="s">
        <v>3705</v>
      </c>
      <c r="B1019" t="s">
        <v>1702</v>
      </c>
      <c r="C1019" t="s">
        <v>667</v>
      </c>
      <c r="D1019" s="3">
        <v>1</v>
      </c>
      <c r="E1019" s="2">
        <v>550</v>
      </c>
    </row>
    <row r="1020" spans="1:5" x14ac:dyDescent="0.35">
      <c r="A1020" t="s">
        <v>3706</v>
      </c>
      <c r="B1020" t="s">
        <v>1703</v>
      </c>
      <c r="C1020" t="s">
        <v>641</v>
      </c>
      <c r="D1020" s="3">
        <v>1</v>
      </c>
      <c r="E1020" s="2">
        <v>1800</v>
      </c>
    </row>
    <row r="1021" spans="1:5" x14ac:dyDescent="0.35">
      <c r="A1021" t="s">
        <v>3707</v>
      </c>
      <c r="B1021" t="s">
        <v>1704</v>
      </c>
      <c r="C1021" t="s">
        <v>658</v>
      </c>
      <c r="D1021" s="3">
        <v>1</v>
      </c>
      <c r="E1021" s="2">
        <v>750</v>
      </c>
    </row>
    <row r="1022" spans="1:5" x14ac:dyDescent="0.35">
      <c r="A1022" t="s">
        <v>3708</v>
      </c>
      <c r="B1022" t="s">
        <v>1705</v>
      </c>
      <c r="C1022" t="s">
        <v>667</v>
      </c>
      <c r="D1022" s="3">
        <v>1</v>
      </c>
      <c r="E1022" s="2">
        <v>550</v>
      </c>
    </row>
    <row r="1023" spans="1:5" x14ac:dyDescent="0.35">
      <c r="A1023" t="s">
        <v>3709</v>
      </c>
      <c r="B1023" t="s">
        <v>1706</v>
      </c>
      <c r="C1023" t="s">
        <v>649</v>
      </c>
      <c r="D1023" s="3">
        <v>2</v>
      </c>
      <c r="E1023" s="2">
        <v>1600</v>
      </c>
    </row>
    <row r="1024" spans="1:5" x14ac:dyDescent="0.35">
      <c r="A1024" t="s">
        <v>3710</v>
      </c>
      <c r="B1024" t="s">
        <v>1707</v>
      </c>
      <c r="C1024" t="s">
        <v>656</v>
      </c>
      <c r="D1024" s="3">
        <v>1</v>
      </c>
      <c r="E1024" s="2">
        <v>350</v>
      </c>
    </row>
    <row r="1025" spans="1:5" x14ac:dyDescent="0.35">
      <c r="A1025" t="s">
        <v>3711</v>
      </c>
      <c r="B1025" t="s">
        <v>1708</v>
      </c>
      <c r="C1025" t="s">
        <v>647</v>
      </c>
      <c r="D1025" s="3">
        <v>1</v>
      </c>
      <c r="E1025" s="2">
        <v>4200</v>
      </c>
    </row>
    <row r="1026" spans="1:5" x14ac:dyDescent="0.35">
      <c r="A1026" t="s">
        <v>3712</v>
      </c>
      <c r="B1026" t="s">
        <v>1709</v>
      </c>
      <c r="C1026" t="s">
        <v>617</v>
      </c>
      <c r="D1026" s="3">
        <v>1</v>
      </c>
      <c r="E1026" s="2">
        <v>200</v>
      </c>
    </row>
    <row r="1027" spans="1:5" x14ac:dyDescent="0.35">
      <c r="A1027" t="s">
        <v>3713</v>
      </c>
      <c r="B1027" t="s">
        <v>1710</v>
      </c>
      <c r="C1027" t="s">
        <v>629</v>
      </c>
      <c r="D1027" s="3">
        <v>1</v>
      </c>
      <c r="E1027" s="2">
        <v>300</v>
      </c>
    </row>
    <row r="1028" spans="1:5" x14ac:dyDescent="0.35">
      <c r="A1028" t="s">
        <v>3714</v>
      </c>
      <c r="B1028" t="s">
        <v>1711</v>
      </c>
      <c r="C1028" t="s">
        <v>647</v>
      </c>
      <c r="D1028" s="3">
        <v>1</v>
      </c>
      <c r="E1028" s="2">
        <v>4200</v>
      </c>
    </row>
    <row r="1029" spans="1:5" x14ac:dyDescent="0.35">
      <c r="A1029" t="s">
        <v>3715</v>
      </c>
      <c r="B1029" t="s">
        <v>1712</v>
      </c>
      <c r="C1029" t="s">
        <v>673</v>
      </c>
      <c r="D1029" s="3">
        <v>1</v>
      </c>
      <c r="E1029" s="2">
        <v>300</v>
      </c>
    </row>
    <row r="1030" spans="1:5" x14ac:dyDescent="0.35">
      <c r="A1030" t="s">
        <v>3716</v>
      </c>
      <c r="B1030" t="s">
        <v>1713</v>
      </c>
      <c r="C1030" t="s">
        <v>649</v>
      </c>
      <c r="D1030" s="3">
        <v>1</v>
      </c>
      <c r="E1030" s="2">
        <v>800</v>
      </c>
    </row>
    <row r="1031" spans="1:5" x14ac:dyDescent="0.35">
      <c r="A1031" t="s">
        <v>3717</v>
      </c>
      <c r="B1031" t="s">
        <v>1714</v>
      </c>
      <c r="C1031" t="s">
        <v>671</v>
      </c>
      <c r="D1031" s="3">
        <v>1</v>
      </c>
      <c r="E1031" s="2">
        <v>400</v>
      </c>
    </row>
    <row r="1032" spans="1:5" x14ac:dyDescent="0.35">
      <c r="A1032" t="s">
        <v>3718</v>
      </c>
      <c r="B1032" t="s">
        <v>1715</v>
      </c>
      <c r="C1032" t="s">
        <v>623</v>
      </c>
      <c r="D1032" s="3">
        <v>1</v>
      </c>
      <c r="E1032" s="2">
        <v>1200</v>
      </c>
    </row>
    <row r="1033" spans="1:5" x14ac:dyDescent="0.35">
      <c r="A1033" t="s">
        <v>3719</v>
      </c>
      <c r="B1033" t="s">
        <v>1716</v>
      </c>
      <c r="C1033" t="s">
        <v>651</v>
      </c>
      <c r="D1033" s="3">
        <v>2</v>
      </c>
      <c r="E1033" s="2">
        <v>240</v>
      </c>
    </row>
    <row r="1034" spans="1:5" x14ac:dyDescent="0.35">
      <c r="A1034" t="s">
        <v>3720</v>
      </c>
      <c r="B1034" t="s">
        <v>1717</v>
      </c>
      <c r="C1034" t="s">
        <v>660</v>
      </c>
      <c r="D1034" s="3">
        <v>1</v>
      </c>
      <c r="E1034" s="2">
        <v>6500</v>
      </c>
    </row>
    <row r="1035" spans="1:5" x14ac:dyDescent="0.35">
      <c r="A1035" t="s">
        <v>3721</v>
      </c>
      <c r="B1035" t="s">
        <v>1718</v>
      </c>
      <c r="C1035" t="s">
        <v>656</v>
      </c>
      <c r="D1035" s="3">
        <v>1</v>
      </c>
      <c r="E1035" s="2">
        <v>350</v>
      </c>
    </row>
    <row r="1036" spans="1:5" x14ac:dyDescent="0.35">
      <c r="A1036" t="s">
        <v>3722</v>
      </c>
      <c r="B1036" t="s">
        <v>1719</v>
      </c>
      <c r="C1036" t="s">
        <v>623</v>
      </c>
      <c r="D1036" s="3">
        <v>2</v>
      </c>
      <c r="E1036" s="2">
        <v>2400</v>
      </c>
    </row>
    <row r="1037" spans="1:5" x14ac:dyDescent="0.35">
      <c r="A1037" t="s">
        <v>3723</v>
      </c>
      <c r="B1037" t="s">
        <v>1720</v>
      </c>
      <c r="C1037" t="s">
        <v>654</v>
      </c>
      <c r="D1037" s="3">
        <v>1</v>
      </c>
      <c r="E1037" s="2">
        <v>100</v>
      </c>
    </row>
    <row r="1038" spans="1:5" x14ac:dyDescent="0.35">
      <c r="A1038" t="s">
        <v>3724</v>
      </c>
      <c r="B1038" t="s">
        <v>1721</v>
      </c>
      <c r="C1038" t="s">
        <v>649</v>
      </c>
      <c r="D1038" s="3">
        <v>1</v>
      </c>
      <c r="E1038" s="2">
        <v>800</v>
      </c>
    </row>
    <row r="1039" spans="1:5" x14ac:dyDescent="0.35">
      <c r="A1039" t="s">
        <v>3725</v>
      </c>
      <c r="B1039" t="s">
        <v>1722</v>
      </c>
      <c r="C1039" t="s">
        <v>645</v>
      </c>
      <c r="D1039" s="3">
        <v>1</v>
      </c>
      <c r="E1039" s="2">
        <v>3500</v>
      </c>
    </row>
    <row r="1040" spans="1:5" x14ac:dyDescent="0.35">
      <c r="A1040" t="s">
        <v>3726</v>
      </c>
      <c r="B1040" t="s">
        <v>1723</v>
      </c>
      <c r="C1040" t="s">
        <v>645</v>
      </c>
      <c r="D1040" s="3">
        <v>1</v>
      </c>
      <c r="E1040" s="2">
        <v>3500</v>
      </c>
    </row>
    <row r="1041" spans="1:5" x14ac:dyDescent="0.35">
      <c r="A1041" t="s">
        <v>3727</v>
      </c>
      <c r="B1041" t="s">
        <v>1724</v>
      </c>
      <c r="C1041" t="s">
        <v>643</v>
      </c>
      <c r="D1041" s="3">
        <v>1</v>
      </c>
      <c r="E1041" s="2">
        <v>2200</v>
      </c>
    </row>
    <row r="1042" spans="1:5" x14ac:dyDescent="0.35">
      <c r="A1042" t="s">
        <v>3728</v>
      </c>
      <c r="B1042" t="s">
        <v>1725</v>
      </c>
      <c r="C1042" t="s">
        <v>656</v>
      </c>
      <c r="D1042" s="3">
        <v>1</v>
      </c>
      <c r="E1042" s="2">
        <v>350</v>
      </c>
    </row>
    <row r="1043" spans="1:5" x14ac:dyDescent="0.35">
      <c r="A1043" t="s">
        <v>3729</v>
      </c>
      <c r="B1043" t="s">
        <v>1726</v>
      </c>
      <c r="C1043" t="s">
        <v>635</v>
      </c>
      <c r="D1043" s="3">
        <v>2</v>
      </c>
      <c r="E1043" s="2">
        <v>360</v>
      </c>
    </row>
    <row r="1044" spans="1:5" x14ac:dyDescent="0.35">
      <c r="A1044" t="s">
        <v>3730</v>
      </c>
      <c r="B1044" t="s">
        <v>1727</v>
      </c>
      <c r="C1044" t="s">
        <v>656</v>
      </c>
      <c r="D1044" s="3">
        <v>1</v>
      </c>
      <c r="E1044" s="2">
        <v>350</v>
      </c>
    </row>
    <row r="1045" spans="1:5" x14ac:dyDescent="0.35">
      <c r="A1045" t="s">
        <v>3731</v>
      </c>
      <c r="B1045" t="s">
        <v>1728</v>
      </c>
      <c r="C1045" t="s">
        <v>665</v>
      </c>
      <c r="D1045" s="3">
        <v>1</v>
      </c>
      <c r="E1045" s="2">
        <v>700</v>
      </c>
    </row>
    <row r="1046" spans="1:5" x14ac:dyDescent="0.35">
      <c r="A1046" t="s">
        <v>3732</v>
      </c>
      <c r="B1046" t="s">
        <v>1729</v>
      </c>
      <c r="C1046" t="s">
        <v>673</v>
      </c>
      <c r="D1046" s="3">
        <v>1</v>
      </c>
      <c r="E1046" s="2">
        <v>300</v>
      </c>
    </row>
    <row r="1047" spans="1:5" x14ac:dyDescent="0.35">
      <c r="A1047" t="s">
        <v>3733</v>
      </c>
      <c r="B1047" t="s">
        <v>1730</v>
      </c>
      <c r="C1047" t="s">
        <v>669</v>
      </c>
      <c r="D1047" s="3">
        <v>1</v>
      </c>
      <c r="E1047" s="2">
        <v>600</v>
      </c>
    </row>
    <row r="1048" spans="1:5" x14ac:dyDescent="0.35">
      <c r="A1048" t="s">
        <v>3734</v>
      </c>
      <c r="B1048" t="s">
        <v>1731</v>
      </c>
      <c r="C1048" t="s">
        <v>663</v>
      </c>
      <c r="D1048" s="3">
        <v>2</v>
      </c>
      <c r="E1048" s="2">
        <v>2800</v>
      </c>
    </row>
    <row r="1049" spans="1:5" x14ac:dyDescent="0.35">
      <c r="A1049" t="s">
        <v>3735</v>
      </c>
      <c r="B1049" t="s">
        <v>1732</v>
      </c>
      <c r="C1049" t="s">
        <v>643</v>
      </c>
      <c r="D1049" s="3">
        <v>1</v>
      </c>
      <c r="E1049" s="2">
        <v>2200</v>
      </c>
    </row>
    <row r="1050" spans="1:5" x14ac:dyDescent="0.35">
      <c r="A1050" t="s">
        <v>3736</v>
      </c>
      <c r="B1050" t="s">
        <v>1733</v>
      </c>
      <c r="C1050" t="s">
        <v>673</v>
      </c>
      <c r="D1050" s="3">
        <v>1</v>
      </c>
      <c r="E1050" s="2">
        <v>300</v>
      </c>
    </row>
    <row r="1051" spans="1:5" x14ac:dyDescent="0.35">
      <c r="A1051" t="s">
        <v>3737</v>
      </c>
      <c r="B1051" t="s">
        <v>1734</v>
      </c>
      <c r="C1051" t="s">
        <v>673</v>
      </c>
      <c r="D1051" s="3">
        <v>1</v>
      </c>
      <c r="E1051" s="2">
        <v>300</v>
      </c>
    </row>
    <row r="1052" spans="1:5" x14ac:dyDescent="0.35">
      <c r="A1052" t="s">
        <v>3738</v>
      </c>
      <c r="B1052" t="s">
        <v>1735</v>
      </c>
      <c r="C1052" t="s">
        <v>620</v>
      </c>
      <c r="D1052" s="3">
        <v>1</v>
      </c>
      <c r="E1052" s="2">
        <v>50</v>
      </c>
    </row>
    <row r="1053" spans="1:5" x14ac:dyDescent="0.35">
      <c r="A1053" t="s">
        <v>3739</v>
      </c>
      <c r="B1053" t="s">
        <v>1736</v>
      </c>
      <c r="C1053" t="s">
        <v>641</v>
      </c>
      <c r="D1053" s="3">
        <v>1</v>
      </c>
      <c r="E1053" s="2">
        <v>1800</v>
      </c>
    </row>
    <row r="1054" spans="1:5" x14ac:dyDescent="0.35">
      <c r="A1054" t="s">
        <v>3740</v>
      </c>
      <c r="B1054" t="s">
        <v>1737</v>
      </c>
      <c r="C1054" t="s">
        <v>641</v>
      </c>
      <c r="D1054" s="3">
        <v>1</v>
      </c>
      <c r="E1054" s="2">
        <v>1800</v>
      </c>
    </row>
    <row r="1055" spans="1:5" x14ac:dyDescent="0.35">
      <c r="A1055" t="s">
        <v>3741</v>
      </c>
      <c r="B1055" t="s">
        <v>1738</v>
      </c>
      <c r="C1055" t="s">
        <v>643</v>
      </c>
      <c r="D1055" s="3">
        <v>1</v>
      </c>
      <c r="E1055" s="2">
        <v>2200</v>
      </c>
    </row>
    <row r="1056" spans="1:5" x14ac:dyDescent="0.35">
      <c r="A1056" t="s">
        <v>3742</v>
      </c>
      <c r="B1056" t="s">
        <v>1739</v>
      </c>
      <c r="C1056" t="s">
        <v>631</v>
      </c>
      <c r="D1056" s="3">
        <v>1</v>
      </c>
      <c r="E1056" s="2">
        <v>900</v>
      </c>
    </row>
    <row r="1057" spans="1:5" x14ac:dyDescent="0.35">
      <c r="A1057" t="s">
        <v>3743</v>
      </c>
      <c r="B1057" t="s">
        <v>1740</v>
      </c>
      <c r="C1057" t="s">
        <v>626</v>
      </c>
      <c r="D1057" s="3">
        <v>1</v>
      </c>
      <c r="E1057" s="2">
        <v>5000</v>
      </c>
    </row>
    <row r="1058" spans="1:5" x14ac:dyDescent="0.35">
      <c r="A1058" t="s">
        <v>3744</v>
      </c>
      <c r="B1058" t="s">
        <v>1741</v>
      </c>
      <c r="C1058" t="s">
        <v>671</v>
      </c>
      <c r="D1058" s="3">
        <v>1</v>
      </c>
      <c r="E1058" s="2">
        <v>400</v>
      </c>
    </row>
    <row r="1059" spans="1:5" x14ac:dyDescent="0.35">
      <c r="A1059" t="s">
        <v>3745</v>
      </c>
      <c r="B1059" t="s">
        <v>1742</v>
      </c>
      <c r="C1059" t="s">
        <v>645</v>
      </c>
      <c r="D1059" s="3">
        <v>1</v>
      </c>
      <c r="E1059" s="2">
        <v>3500</v>
      </c>
    </row>
    <row r="1060" spans="1:5" x14ac:dyDescent="0.35">
      <c r="A1060" t="s">
        <v>3746</v>
      </c>
      <c r="B1060" t="s">
        <v>1743</v>
      </c>
      <c r="C1060" t="s">
        <v>643</v>
      </c>
      <c r="D1060" s="3">
        <v>2</v>
      </c>
      <c r="E1060" s="2">
        <v>4400</v>
      </c>
    </row>
    <row r="1061" spans="1:5" x14ac:dyDescent="0.35">
      <c r="A1061" t="s">
        <v>3747</v>
      </c>
      <c r="B1061" t="s">
        <v>1744</v>
      </c>
      <c r="C1061" t="s">
        <v>669</v>
      </c>
      <c r="D1061" s="3">
        <v>1</v>
      </c>
      <c r="E1061" s="2">
        <v>600</v>
      </c>
    </row>
    <row r="1062" spans="1:5" x14ac:dyDescent="0.35">
      <c r="A1062" t="s">
        <v>3748</v>
      </c>
      <c r="B1062" t="s">
        <v>1745</v>
      </c>
      <c r="C1062" t="s">
        <v>669</v>
      </c>
      <c r="D1062" s="3">
        <v>2</v>
      </c>
      <c r="E1062" s="2">
        <v>1200</v>
      </c>
    </row>
    <row r="1063" spans="1:5" x14ac:dyDescent="0.35">
      <c r="A1063" t="s">
        <v>3749</v>
      </c>
      <c r="B1063" t="s">
        <v>1746</v>
      </c>
      <c r="C1063" t="s">
        <v>673</v>
      </c>
      <c r="D1063" s="3">
        <v>1</v>
      </c>
      <c r="E1063" s="2">
        <v>300</v>
      </c>
    </row>
    <row r="1064" spans="1:5" x14ac:dyDescent="0.35">
      <c r="A1064" t="s">
        <v>3750</v>
      </c>
      <c r="B1064" t="s">
        <v>1747</v>
      </c>
      <c r="C1064" t="s">
        <v>647</v>
      </c>
      <c r="D1064" s="3">
        <v>1</v>
      </c>
      <c r="E1064" s="2">
        <v>4200</v>
      </c>
    </row>
    <row r="1065" spans="1:5" x14ac:dyDescent="0.35">
      <c r="A1065" t="s">
        <v>3751</v>
      </c>
      <c r="B1065" t="s">
        <v>1748</v>
      </c>
      <c r="C1065" t="s">
        <v>629</v>
      </c>
      <c r="D1065" s="3">
        <v>1</v>
      </c>
      <c r="E1065" s="2">
        <v>300</v>
      </c>
    </row>
    <row r="1066" spans="1:5" x14ac:dyDescent="0.35">
      <c r="A1066" t="s">
        <v>3752</v>
      </c>
      <c r="B1066" t="s">
        <v>1749</v>
      </c>
      <c r="C1066" t="s">
        <v>631</v>
      </c>
      <c r="D1066" s="3">
        <v>1</v>
      </c>
      <c r="E1066" s="2">
        <v>900</v>
      </c>
    </row>
    <row r="1067" spans="1:5" x14ac:dyDescent="0.35">
      <c r="A1067" t="s">
        <v>3753</v>
      </c>
      <c r="B1067" t="s">
        <v>1750</v>
      </c>
      <c r="C1067" t="s">
        <v>617</v>
      </c>
      <c r="D1067" s="3">
        <v>1</v>
      </c>
      <c r="E1067" s="2">
        <v>200</v>
      </c>
    </row>
    <row r="1068" spans="1:5" x14ac:dyDescent="0.35">
      <c r="A1068" t="s">
        <v>3754</v>
      </c>
      <c r="B1068" t="s">
        <v>1751</v>
      </c>
      <c r="C1068" t="s">
        <v>631</v>
      </c>
      <c r="D1068" s="3">
        <v>1</v>
      </c>
      <c r="E1068" s="2">
        <v>900</v>
      </c>
    </row>
    <row r="1069" spans="1:5" x14ac:dyDescent="0.35">
      <c r="A1069" t="s">
        <v>3755</v>
      </c>
      <c r="B1069" t="s">
        <v>1752</v>
      </c>
      <c r="C1069" t="s">
        <v>658</v>
      </c>
      <c r="D1069" s="3">
        <v>1</v>
      </c>
      <c r="E1069" s="2">
        <v>750</v>
      </c>
    </row>
    <row r="1070" spans="1:5" x14ac:dyDescent="0.35">
      <c r="A1070" t="s">
        <v>3756</v>
      </c>
      <c r="B1070" t="s">
        <v>1753</v>
      </c>
      <c r="C1070" t="s">
        <v>667</v>
      </c>
      <c r="D1070" s="3">
        <v>1</v>
      </c>
      <c r="E1070" s="2">
        <v>550</v>
      </c>
    </row>
    <row r="1071" spans="1:5" x14ac:dyDescent="0.35">
      <c r="A1071" t="s">
        <v>3757</v>
      </c>
      <c r="B1071" t="s">
        <v>1754</v>
      </c>
      <c r="C1071" t="s">
        <v>638</v>
      </c>
      <c r="D1071" s="3">
        <v>1</v>
      </c>
      <c r="E1071" s="2">
        <v>150</v>
      </c>
    </row>
    <row r="1072" spans="1:5" x14ac:dyDescent="0.35">
      <c r="A1072" t="s">
        <v>3758</v>
      </c>
      <c r="B1072" t="s">
        <v>1755</v>
      </c>
      <c r="C1072" t="s">
        <v>671</v>
      </c>
      <c r="D1072" s="3">
        <v>1</v>
      </c>
      <c r="E1072" s="2">
        <v>400</v>
      </c>
    </row>
    <row r="1073" spans="1:5" x14ac:dyDescent="0.35">
      <c r="A1073" t="s">
        <v>3759</v>
      </c>
      <c r="B1073" t="s">
        <v>1756</v>
      </c>
      <c r="C1073" t="s">
        <v>673</v>
      </c>
      <c r="D1073" s="3">
        <v>1</v>
      </c>
      <c r="E1073" s="2">
        <v>300</v>
      </c>
    </row>
    <row r="1074" spans="1:5" x14ac:dyDescent="0.35">
      <c r="A1074" t="s">
        <v>3760</v>
      </c>
      <c r="B1074" t="s">
        <v>1757</v>
      </c>
      <c r="C1074" t="s">
        <v>651</v>
      </c>
      <c r="D1074" s="3">
        <v>1</v>
      </c>
      <c r="E1074" s="2">
        <v>120</v>
      </c>
    </row>
    <row r="1075" spans="1:5" x14ac:dyDescent="0.35">
      <c r="A1075" t="s">
        <v>3761</v>
      </c>
      <c r="B1075" t="s">
        <v>1758</v>
      </c>
      <c r="C1075" t="s">
        <v>635</v>
      </c>
      <c r="D1075" s="3">
        <v>1</v>
      </c>
      <c r="E1075" s="2">
        <v>180</v>
      </c>
    </row>
    <row r="1076" spans="1:5" x14ac:dyDescent="0.35">
      <c r="A1076" t="s">
        <v>3762</v>
      </c>
      <c r="B1076" t="s">
        <v>1759</v>
      </c>
      <c r="C1076" t="s">
        <v>660</v>
      </c>
      <c r="D1076" s="3">
        <v>1</v>
      </c>
      <c r="E1076" s="2">
        <v>6500</v>
      </c>
    </row>
    <row r="1077" spans="1:5" x14ac:dyDescent="0.35">
      <c r="A1077" t="s">
        <v>3763</v>
      </c>
      <c r="B1077" t="s">
        <v>1760</v>
      </c>
      <c r="C1077" t="s">
        <v>671</v>
      </c>
      <c r="D1077" s="3">
        <v>1</v>
      </c>
      <c r="E1077" s="2">
        <v>400</v>
      </c>
    </row>
    <row r="1078" spans="1:5" x14ac:dyDescent="0.35">
      <c r="A1078" t="s">
        <v>3764</v>
      </c>
      <c r="B1078" t="s">
        <v>1761</v>
      </c>
      <c r="C1078" t="s">
        <v>654</v>
      </c>
      <c r="D1078" s="3">
        <v>1</v>
      </c>
      <c r="E1078" s="2">
        <v>100</v>
      </c>
    </row>
    <row r="1079" spans="1:5" x14ac:dyDescent="0.35">
      <c r="A1079" t="s">
        <v>3765</v>
      </c>
      <c r="B1079" t="s">
        <v>1762</v>
      </c>
      <c r="C1079" t="s">
        <v>631</v>
      </c>
      <c r="D1079" s="3">
        <v>1</v>
      </c>
      <c r="E1079" s="2">
        <v>900</v>
      </c>
    </row>
    <row r="1080" spans="1:5" x14ac:dyDescent="0.35">
      <c r="A1080" t="s">
        <v>3766</v>
      </c>
      <c r="B1080" t="s">
        <v>1763</v>
      </c>
      <c r="C1080" t="s">
        <v>631</v>
      </c>
      <c r="D1080" s="3">
        <v>1</v>
      </c>
      <c r="E1080" s="2">
        <v>900</v>
      </c>
    </row>
    <row r="1081" spans="1:5" x14ac:dyDescent="0.35">
      <c r="A1081" t="s">
        <v>3767</v>
      </c>
      <c r="B1081" t="s">
        <v>1764</v>
      </c>
      <c r="C1081" t="s">
        <v>667</v>
      </c>
      <c r="D1081" s="3">
        <v>2</v>
      </c>
      <c r="E1081" s="2">
        <v>1100</v>
      </c>
    </row>
    <row r="1082" spans="1:5" x14ac:dyDescent="0.35">
      <c r="A1082" t="s">
        <v>3768</v>
      </c>
      <c r="B1082" t="s">
        <v>1765</v>
      </c>
      <c r="C1082" t="s">
        <v>623</v>
      </c>
      <c r="D1082" s="3">
        <v>1</v>
      </c>
      <c r="E1082" s="2">
        <v>1200</v>
      </c>
    </row>
    <row r="1083" spans="1:5" x14ac:dyDescent="0.35">
      <c r="A1083" t="s">
        <v>3769</v>
      </c>
      <c r="B1083" t="s">
        <v>1766</v>
      </c>
      <c r="C1083" t="s">
        <v>641</v>
      </c>
      <c r="D1083" s="3">
        <v>2</v>
      </c>
      <c r="E1083" s="2">
        <v>3600</v>
      </c>
    </row>
    <row r="1084" spans="1:5" x14ac:dyDescent="0.35">
      <c r="A1084" t="s">
        <v>3770</v>
      </c>
      <c r="B1084" t="s">
        <v>1767</v>
      </c>
      <c r="C1084" t="s">
        <v>617</v>
      </c>
      <c r="D1084" s="3">
        <v>1</v>
      </c>
      <c r="E1084" s="2">
        <v>200</v>
      </c>
    </row>
    <row r="1085" spans="1:5" x14ac:dyDescent="0.35">
      <c r="A1085" t="s">
        <v>3771</v>
      </c>
      <c r="B1085" t="s">
        <v>1768</v>
      </c>
      <c r="C1085" t="s">
        <v>649</v>
      </c>
      <c r="D1085" s="3">
        <v>2</v>
      </c>
      <c r="E1085" s="2">
        <v>1600</v>
      </c>
    </row>
    <row r="1086" spans="1:5" x14ac:dyDescent="0.35">
      <c r="A1086" t="s">
        <v>3772</v>
      </c>
      <c r="B1086" t="s">
        <v>1769</v>
      </c>
      <c r="C1086" t="s">
        <v>626</v>
      </c>
      <c r="D1086" s="3">
        <v>1</v>
      </c>
      <c r="E1086" s="2">
        <v>5000</v>
      </c>
    </row>
    <row r="1087" spans="1:5" x14ac:dyDescent="0.35">
      <c r="A1087" t="s">
        <v>3773</v>
      </c>
      <c r="B1087" t="s">
        <v>1770</v>
      </c>
      <c r="C1087" t="s">
        <v>645</v>
      </c>
      <c r="D1087" s="3">
        <v>1</v>
      </c>
      <c r="E1087" s="2">
        <v>3500</v>
      </c>
    </row>
    <row r="1088" spans="1:5" x14ac:dyDescent="0.35">
      <c r="A1088" t="s">
        <v>3774</v>
      </c>
      <c r="B1088" t="s">
        <v>1771</v>
      </c>
      <c r="C1088" t="s">
        <v>631</v>
      </c>
      <c r="D1088" s="3">
        <v>1</v>
      </c>
      <c r="E1088" s="2">
        <v>900</v>
      </c>
    </row>
    <row r="1089" spans="1:5" x14ac:dyDescent="0.35">
      <c r="A1089" t="s">
        <v>3775</v>
      </c>
      <c r="B1089" t="s">
        <v>1772</v>
      </c>
      <c r="C1089" t="s">
        <v>643</v>
      </c>
      <c r="D1089" s="3">
        <v>1</v>
      </c>
      <c r="E1089" s="2">
        <v>2200</v>
      </c>
    </row>
    <row r="1090" spans="1:5" x14ac:dyDescent="0.35">
      <c r="A1090" t="s">
        <v>3776</v>
      </c>
      <c r="B1090" t="s">
        <v>1773</v>
      </c>
      <c r="C1090" t="s">
        <v>645</v>
      </c>
      <c r="D1090" s="3">
        <v>1</v>
      </c>
      <c r="E1090" s="2">
        <v>3500</v>
      </c>
    </row>
    <row r="1091" spans="1:5" x14ac:dyDescent="0.35">
      <c r="A1091" t="s">
        <v>3777</v>
      </c>
      <c r="B1091" t="s">
        <v>1774</v>
      </c>
      <c r="C1091" t="s">
        <v>641</v>
      </c>
      <c r="D1091" s="3">
        <v>3</v>
      </c>
      <c r="E1091" s="2">
        <v>5400</v>
      </c>
    </row>
    <row r="1092" spans="1:5" x14ac:dyDescent="0.35">
      <c r="A1092" t="s">
        <v>3778</v>
      </c>
      <c r="B1092" t="s">
        <v>1775</v>
      </c>
      <c r="C1092" t="s">
        <v>658</v>
      </c>
      <c r="D1092" s="3">
        <v>3</v>
      </c>
      <c r="E1092" s="2">
        <v>2250</v>
      </c>
    </row>
    <row r="1093" spans="1:5" x14ac:dyDescent="0.35">
      <c r="A1093" t="s">
        <v>3779</v>
      </c>
      <c r="B1093" t="s">
        <v>1776</v>
      </c>
      <c r="C1093" t="s">
        <v>633</v>
      </c>
      <c r="D1093" s="3">
        <v>1</v>
      </c>
      <c r="E1093" s="2">
        <v>450</v>
      </c>
    </row>
    <row r="1094" spans="1:5" x14ac:dyDescent="0.35">
      <c r="A1094" t="s">
        <v>3780</v>
      </c>
      <c r="B1094" t="s">
        <v>1777</v>
      </c>
      <c r="C1094" t="s">
        <v>633</v>
      </c>
      <c r="D1094" s="3">
        <v>2</v>
      </c>
      <c r="E1094" s="2">
        <v>900</v>
      </c>
    </row>
    <row r="1095" spans="1:5" x14ac:dyDescent="0.35">
      <c r="A1095" t="s">
        <v>3781</v>
      </c>
      <c r="B1095" t="s">
        <v>1778</v>
      </c>
      <c r="C1095" t="s">
        <v>643</v>
      </c>
      <c r="D1095" s="3">
        <v>2</v>
      </c>
      <c r="E1095" s="2">
        <v>4400</v>
      </c>
    </row>
    <row r="1096" spans="1:5" x14ac:dyDescent="0.35">
      <c r="A1096" t="s">
        <v>3782</v>
      </c>
      <c r="B1096" t="s">
        <v>1779</v>
      </c>
      <c r="C1096" t="s">
        <v>626</v>
      </c>
      <c r="D1096" s="3">
        <v>1</v>
      </c>
      <c r="E1096" s="2">
        <v>5000</v>
      </c>
    </row>
    <row r="1097" spans="1:5" x14ac:dyDescent="0.35">
      <c r="A1097" t="s">
        <v>3783</v>
      </c>
      <c r="B1097" t="s">
        <v>1780</v>
      </c>
      <c r="C1097" t="s">
        <v>663</v>
      </c>
      <c r="D1097" s="3">
        <v>1</v>
      </c>
      <c r="E1097" s="2">
        <v>1400</v>
      </c>
    </row>
    <row r="1098" spans="1:5" x14ac:dyDescent="0.35">
      <c r="A1098" t="s">
        <v>3784</v>
      </c>
      <c r="B1098" t="s">
        <v>1781</v>
      </c>
      <c r="C1098" t="s">
        <v>617</v>
      </c>
      <c r="D1098" s="3">
        <v>1</v>
      </c>
      <c r="E1098" s="2">
        <v>200</v>
      </c>
    </row>
    <row r="1099" spans="1:5" x14ac:dyDescent="0.35">
      <c r="A1099" t="s">
        <v>3785</v>
      </c>
      <c r="B1099" t="s">
        <v>1782</v>
      </c>
      <c r="C1099" t="s">
        <v>647</v>
      </c>
      <c r="D1099" s="3">
        <v>1</v>
      </c>
      <c r="E1099" s="2">
        <v>4200</v>
      </c>
    </row>
    <row r="1100" spans="1:5" x14ac:dyDescent="0.35">
      <c r="A1100" t="s">
        <v>3786</v>
      </c>
      <c r="B1100" t="s">
        <v>1783</v>
      </c>
      <c r="C1100" t="s">
        <v>658</v>
      </c>
      <c r="D1100" s="3">
        <v>1</v>
      </c>
      <c r="E1100" s="2">
        <v>750</v>
      </c>
    </row>
    <row r="1101" spans="1:5" x14ac:dyDescent="0.35">
      <c r="A1101" t="s">
        <v>3787</v>
      </c>
      <c r="B1101" t="s">
        <v>1784</v>
      </c>
      <c r="C1101" t="s">
        <v>638</v>
      </c>
      <c r="D1101" s="3">
        <v>1</v>
      </c>
      <c r="E1101" s="2">
        <v>150</v>
      </c>
    </row>
    <row r="1102" spans="1:5" x14ac:dyDescent="0.35">
      <c r="A1102" t="s">
        <v>3788</v>
      </c>
      <c r="B1102" t="s">
        <v>1785</v>
      </c>
      <c r="C1102" t="s">
        <v>671</v>
      </c>
      <c r="D1102" s="3">
        <v>1</v>
      </c>
      <c r="E1102" s="2">
        <v>400</v>
      </c>
    </row>
    <row r="1103" spans="1:5" x14ac:dyDescent="0.35">
      <c r="A1103" t="s">
        <v>3789</v>
      </c>
      <c r="B1103" t="s">
        <v>1786</v>
      </c>
      <c r="C1103" t="s">
        <v>671</v>
      </c>
      <c r="D1103" s="3">
        <v>1</v>
      </c>
      <c r="E1103" s="2">
        <v>400</v>
      </c>
    </row>
    <row r="1104" spans="1:5" x14ac:dyDescent="0.35">
      <c r="A1104" t="s">
        <v>3790</v>
      </c>
      <c r="B1104" t="s">
        <v>1787</v>
      </c>
      <c r="C1104" t="s">
        <v>638</v>
      </c>
      <c r="D1104" s="3">
        <v>2</v>
      </c>
      <c r="E1104" s="2">
        <v>300</v>
      </c>
    </row>
    <row r="1105" spans="1:5" x14ac:dyDescent="0.35">
      <c r="A1105" t="s">
        <v>3791</v>
      </c>
      <c r="B1105" t="s">
        <v>1788</v>
      </c>
      <c r="C1105" t="s">
        <v>669</v>
      </c>
      <c r="D1105" s="3">
        <v>1</v>
      </c>
      <c r="E1105" s="2">
        <v>600</v>
      </c>
    </row>
    <row r="1106" spans="1:5" x14ac:dyDescent="0.35">
      <c r="A1106" t="s">
        <v>3792</v>
      </c>
      <c r="B1106" t="s">
        <v>1789</v>
      </c>
      <c r="C1106" t="s">
        <v>638</v>
      </c>
      <c r="D1106" s="3">
        <v>1</v>
      </c>
      <c r="E1106" s="2">
        <v>150</v>
      </c>
    </row>
    <row r="1107" spans="1:5" x14ac:dyDescent="0.35">
      <c r="A1107" t="s">
        <v>3793</v>
      </c>
      <c r="B1107" t="s">
        <v>1790</v>
      </c>
      <c r="C1107" t="s">
        <v>641</v>
      </c>
      <c r="D1107" s="3">
        <v>1</v>
      </c>
      <c r="E1107" s="2">
        <v>1800</v>
      </c>
    </row>
    <row r="1108" spans="1:5" x14ac:dyDescent="0.35">
      <c r="A1108" t="s">
        <v>3794</v>
      </c>
      <c r="B1108" t="s">
        <v>1791</v>
      </c>
      <c r="C1108" t="s">
        <v>620</v>
      </c>
      <c r="D1108" s="3">
        <v>1</v>
      </c>
      <c r="E1108" s="2">
        <v>50</v>
      </c>
    </row>
    <row r="1109" spans="1:5" x14ac:dyDescent="0.35">
      <c r="A1109" t="s">
        <v>3795</v>
      </c>
      <c r="B1109" t="s">
        <v>1792</v>
      </c>
      <c r="C1109" t="s">
        <v>631</v>
      </c>
      <c r="D1109" s="3">
        <v>1</v>
      </c>
      <c r="E1109" s="2">
        <v>900</v>
      </c>
    </row>
    <row r="1110" spans="1:5" x14ac:dyDescent="0.35">
      <c r="A1110" t="s">
        <v>3796</v>
      </c>
      <c r="B1110" t="s">
        <v>1793</v>
      </c>
      <c r="C1110" t="s">
        <v>651</v>
      </c>
      <c r="D1110" s="3">
        <v>1</v>
      </c>
      <c r="E1110" s="2">
        <v>120</v>
      </c>
    </row>
    <row r="1111" spans="1:5" x14ac:dyDescent="0.35">
      <c r="A1111" t="s">
        <v>3797</v>
      </c>
      <c r="B1111" t="s">
        <v>1794</v>
      </c>
      <c r="C1111" t="s">
        <v>623</v>
      </c>
      <c r="D1111" s="3">
        <v>1</v>
      </c>
      <c r="E1111" s="2">
        <v>1200</v>
      </c>
    </row>
    <row r="1112" spans="1:5" x14ac:dyDescent="0.35">
      <c r="A1112" t="s">
        <v>3798</v>
      </c>
      <c r="B1112" t="s">
        <v>1795</v>
      </c>
      <c r="C1112" t="s">
        <v>643</v>
      </c>
      <c r="D1112" s="3">
        <v>2</v>
      </c>
      <c r="E1112" s="2">
        <v>4400</v>
      </c>
    </row>
    <row r="1113" spans="1:5" x14ac:dyDescent="0.35">
      <c r="A1113" t="s">
        <v>3799</v>
      </c>
      <c r="B1113" t="s">
        <v>1796</v>
      </c>
      <c r="C1113" t="s">
        <v>631</v>
      </c>
      <c r="D1113" s="3">
        <v>1</v>
      </c>
      <c r="E1113" s="2">
        <v>900</v>
      </c>
    </row>
    <row r="1114" spans="1:5" x14ac:dyDescent="0.35">
      <c r="A1114" t="s">
        <v>3800</v>
      </c>
      <c r="B1114" t="s">
        <v>1797</v>
      </c>
      <c r="C1114" t="s">
        <v>623</v>
      </c>
      <c r="D1114" s="3">
        <v>1</v>
      </c>
      <c r="E1114" s="2">
        <v>1200</v>
      </c>
    </row>
    <row r="1115" spans="1:5" x14ac:dyDescent="0.35">
      <c r="A1115" t="s">
        <v>3801</v>
      </c>
      <c r="B1115" t="s">
        <v>1798</v>
      </c>
      <c r="C1115" t="s">
        <v>671</v>
      </c>
      <c r="D1115" s="3">
        <v>1</v>
      </c>
      <c r="E1115" s="2">
        <v>400</v>
      </c>
    </row>
    <row r="1116" spans="1:5" x14ac:dyDescent="0.35">
      <c r="A1116" t="s">
        <v>3802</v>
      </c>
      <c r="B1116" t="s">
        <v>1799</v>
      </c>
      <c r="C1116" t="s">
        <v>643</v>
      </c>
      <c r="D1116" s="3">
        <v>2</v>
      </c>
      <c r="E1116" s="2">
        <v>4400</v>
      </c>
    </row>
    <row r="1117" spans="1:5" x14ac:dyDescent="0.35">
      <c r="A1117" t="s">
        <v>3803</v>
      </c>
      <c r="B1117" t="s">
        <v>1800</v>
      </c>
      <c r="C1117" t="s">
        <v>651</v>
      </c>
      <c r="D1117" s="3">
        <v>1</v>
      </c>
      <c r="E1117" s="2">
        <v>120</v>
      </c>
    </row>
    <row r="1118" spans="1:5" x14ac:dyDescent="0.35">
      <c r="A1118" t="s">
        <v>3804</v>
      </c>
      <c r="B1118" t="s">
        <v>1801</v>
      </c>
      <c r="C1118" t="s">
        <v>647</v>
      </c>
      <c r="D1118" s="3">
        <v>1</v>
      </c>
      <c r="E1118" s="2">
        <v>4200</v>
      </c>
    </row>
    <row r="1119" spans="1:5" x14ac:dyDescent="0.35">
      <c r="A1119" t="s">
        <v>3805</v>
      </c>
      <c r="B1119" t="s">
        <v>1802</v>
      </c>
      <c r="C1119" t="s">
        <v>663</v>
      </c>
      <c r="D1119" s="3">
        <v>1</v>
      </c>
      <c r="E1119" s="2">
        <v>1400</v>
      </c>
    </row>
    <row r="1120" spans="1:5" x14ac:dyDescent="0.35">
      <c r="A1120" t="s">
        <v>3806</v>
      </c>
      <c r="B1120" t="s">
        <v>1803</v>
      </c>
      <c r="C1120" t="s">
        <v>641</v>
      </c>
      <c r="D1120" s="3">
        <v>2</v>
      </c>
      <c r="E1120" s="2">
        <v>3600</v>
      </c>
    </row>
    <row r="1121" spans="1:5" x14ac:dyDescent="0.35">
      <c r="A1121" t="s">
        <v>3807</v>
      </c>
      <c r="B1121" t="s">
        <v>1804</v>
      </c>
      <c r="C1121" t="s">
        <v>631</v>
      </c>
      <c r="D1121" s="3">
        <v>1</v>
      </c>
      <c r="E1121" s="2">
        <v>900</v>
      </c>
    </row>
    <row r="1122" spans="1:5" x14ac:dyDescent="0.35">
      <c r="A1122" t="s">
        <v>3808</v>
      </c>
      <c r="B1122" t="s">
        <v>1805</v>
      </c>
      <c r="C1122" t="s">
        <v>651</v>
      </c>
      <c r="D1122" s="3">
        <v>1</v>
      </c>
      <c r="E1122" s="2">
        <v>120</v>
      </c>
    </row>
    <row r="1123" spans="1:5" x14ac:dyDescent="0.35">
      <c r="A1123" t="s">
        <v>3809</v>
      </c>
      <c r="B1123" t="s">
        <v>1806</v>
      </c>
      <c r="C1123" t="s">
        <v>673</v>
      </c>
      <c r="D1123" s="3">
        <v>1</v>
      </c>
      <c r="E1123" s="2">
        <v>300</v>
      </c>
    </row>
    <row r="1124" spans="1:5" x14ac:dyDescent="0.35">
      <c r="A1124" t="s">
        <v>3810</v>
      </c>
      <c r="B1124" t="s">
        <v>1807</v>
      </c>
      <c r="C1124" t="s">
        <v>658</v>
      </c>
      <c r="D1124" s="3">
        <v>2</v>
      </c>
      <c r="E1124" s="2">
        <v>1500</v>
      </c>
    </row>
    <row r="1125" spans="1:5" x14ac:dyDescent="0.35">
      <c r="A1125" t="s">
        <v>3811</v>
      </c>
      <c r="B1125" t="s">
        <v>1808</v>
      </c>
      <c r="C1125" t="s">
        <v>658</v>
      </c>
      <c r="D1125" s="3">
        <v>1</v>
      </c>
      <c r="E1125" s="2">
        <v>750</v>
      </c>
    </row>
    <row r="1126" spans="1:5" x14ac:dyDescent="0.35">
      <c r="A1126" t="s">
        <v>3812</v>
      </c>
      <c r="B1126" t="s">
        <v>1809</v>
      </c>
      <c r="C1126" t="s">
        <v>633</v>
      </c>
      <c r="D1126" s="3">
        <v>2</v>
      </c>
      <c r="E1126" s="2">
        <v>900</v>
      </c>
    </row>
    <row r="1127" spans="1:5" x14ac:dyDescent="0.35">
      <c r="A1127" t="s">
        <v>3813</v>
      </c>
      <c r="B1127" t="s">
        <v>1810</v>
      </c>
      <c r="C1127" t="s">
        <v>651</v>
      </c>
      <c r="D1127" s="3">
        <v>1</v>
      </c>
      <c r="E1127" s="2">
        <v>120</v>
      </c>
    </row>
    <row r="1128" spans="1:5" x14ac:dyDescent="0.35">
      <c r="A1128" t="s">
        <v>3814</v>
      </c>
      <c r="B1128" t="s">
        <v>1811</v>
      </c>
      <c r="C1128" t="s">
        <v>658</v>
      </c>
      <c r="D1128" s="3">
        <v>1</v>
      </c>
      <c r="E1128" s="2">
        <v>750</v>
      </c>
    </row>
    <row r="1129" spans="1:5" x14ac:dyDescent="0.35">
      <c r="A1129" t="s">
        <v>3815</v>
      </c>
      <c r="B1129" t="s">
        <v>1812</v>
      </c>
      <c r="C1129" t="s">
        <v>658</v>
      </c>
      <c r="D1129" s="3">
        <v>1</v>
      </c>
      <c r="E1129" s="2">
        <v>750</v>
      </c>
    </row>
    <row r="1130" spans="1:5" x14ac:dyDescent="0.35">
      <c r="A1130" t="s">
        <v>3816</v>
      </c>
      <c r="B1130" t="s">
        <v>1813</v>
      </c>
      <c r="C1130" t="s">
        <v>663</v>
      </c>
      <c r="D1130" s="3">
        <v>1</v>
      </c>
      <c r="E1130" s="2">
        <v>1400</v>
      </c>
    </row>
    <row r="1131" spans="1:5" x14ac:dyDescent="0.35">
      <c r="A1131" t="s">
        <v>3817</v>
      </c>
      <c r="B1131" t="s">
        <v>1814</v>
      </c>
      <c r="C1131" t="s">
        <v>638</v>
      </c>
      <c r="D1131" s="3">
        <v>1</v>
      </c>
      <c r="E1131" s="2">
        <v>150</v>
      </c>
    </row>
    <row r="1132" spans="1:5" x14ac:dyDescent="0.35">
      <c r="A1132" t="s">
        <v>3818</v>
      </c>
      <c r="B1132" t="s">
        <v>1815</v>
      </c>
      <c r="C1132" t="s">
        <v>671</v>
      </c>
      <c r="D1132" s="3">
        <v>1</v>
      </c>
      <c r="E1132" s="2">
        <v>400</v>
      </c>
    </row>
    <row r="1133" spans="1:5" x14ac:dyDescent="0.35">
      <c r="A1133" t="s">
        <v>3819</v>
      </c>
      <c r="B1133" t="s">
        <v>1816</v>
      </c>
      <c r="C1133" t="s">
        <v>620</v>
      </c>
      <c r="D1133" s="3">
        <v>1</v>
      </c>
      <c r="E1133" s="2">
        <v>50</v>
      </c>
    </row>
    <row r="1134" spans="1:5" x14ac:dyDescent="0.35">
      <c r="A1134" t="s">
        <v>3820</v>
      </c>
      <c r="B1134" t="s">
        <v>1817</v>
      </c>
      <c r="C1134" t="s">
        <v>635</v>
      </c>
      <c r="D1134" s="3">
        <v>1</v>
      </c>
      <c r="E1134" s="2">
        <v>180</v>
      </c>
    </row>
    <row r="1135" spans="1:5" x14ac:dyDescent="0.35">
      <c r="A1135" t="s">
        <v>3821</v>
      </c>
      <c r="B1135" t="s">
        <v>1818</v>
      </c>
      <c r="C1135" t="s">
        <v>663</v>
      </c>
      <c r="D1135" s="3">
        <v>1</v>
      </c>
      <c r="E1135" s="2">
        <v>1400</v>
      </c>
    </row>
    <row r="1136" spans="1:5" x14ac:dyDescent="0.35">
      <c r="A1136" t="s">
        <v>3822</v>
      </c>
      <c r="B1136" t="s">
        <v>1819</v>
      </c>
      <c r="C1136" t="s">
        <v>620</v>
      </c>
      <c r="D1136" s="3">
        <v>1</v>
      </c>
      <c r="E1136" s="2">
        <v>50</v>
      </c>
    </row>
    <row r="1137" spans="1:5" x14ac:dyDescent="0.35">
      <c r="A1137" t="s">
        <v>3823</v>
      </c>
      <c r="B1137" t="s">
        <v>1820</v>
      </c>
      <c r="C1137" t="s">
        <v>643</v>
      </c>
      <c r="D1137" s="3">
        <v>2</v>
      </c>
      <c r="E1137" s="2">
        <v>4400</v>
      </c>
    </row>
    <row r="1138" spans="1:5" x14ac:dyDescent="0.35">
      <c r="A1138" t="s">
        <v>3824</v>
      </c>
      <c r="B1138" t="s">
        <v>1821</v>
      </c>
      <c r="C1138" t="s">
        <v>633</v>
      </c>
      <c r="D1138" s="3">
        <v>1</v>
      </c>
      <c r="E1138" s="2">
        <v>450</v>
      </c>
    </row>
    <row r="1139" spans="1:5" x14ac:dyDescent="0.35">
      <c r="A1139" t="s">
        <v>3825</v>
      </c>
      <c r="B1139" t="s">
        <v>1822</v>
      </c>
      <c r="C1139" t="s">
        <v>631</v>
      </c>
      <c r="D1139" s="3">
        <v>1</v>
      </c>
      <c r="E1139" s="2">
        <v>900</v>
      </c>
    </row>
    <row r="1140" spans="1:5" x14ac:dyDescent="0.35">
      <c r="A1140" t="s">
        <v>3826</v>
      </c>
      <c r="B1140" t="s">
        <v>1823</v>
      </c>
      <c r="C1140" t="s">
        <v>641</v>
      </c>
      <c r="D1140" s="3">
        <v>1</v>
      </c>
      <c r="E1140" s="2">
        <v>1800</v>
      </c>
    </row>
    <row r="1141" spans="1:5" x14ac:dyDescent="0.35">
      <c r="A1141" t="s">
        <v>3827</v>
      </c>
      <c r="B1141" t="s">
        <v>1824</v>
      </c>
      <c r="C1141" t="s">
        <v>629</v>
      </c>
      <c r="D1141" s="3">
        <v>1</v>
      </c>
      <c r="E1141" s="2">
        <v>300</v>
      </c>
    </row>
    <row r="1142" spans="1:5" x14ac:dyDescent="0.35">
      <c r="A1142" t="s">
        <v>3828</v>
      </c>
      <c r="B1142" t="s">
        <v>1825</v>
      </c>
      <c r="C1142" t="s">
        <v>643</v>
      </c>
      <c r="D1142" s="3">
        <v>1</v>
      </c>
      <c r="E1142" s="2">
        <v>2200</v>
      </c>
    </row>
    <row r="1143" spans="1:5" x14ac:dyDescent="0.35">
      <c r="A1143" t="s">
        <v>3829</v>
      </c>
      <c r="B1143" t="s">
        <v>1826</v>
      </c>
      <c r="C1143" t="s">
        <v>617</v>
      </c>
      <c r="D1143" s="3">
        <v>1</v>
      </c>
      <c r="E1143" s="2">
        <v>200</v>
      </c>
    </row>
    <row r="1144" spans="1:5" x14ac:dyDescent="0.35">
      <c r="A1144" t="s">
        <v>3830</v>
      </c>
      <c r="B1144" t="s">
        <v>1827</v>
      </c>
      <c r="C1144" t="s">
        <v>620</v>
      </c>
      <c r="D1144" s="3">
        <v>3</v>
      </c>
      <c r="E1144" s="2">
        <v>150</v>
      </c>
    </row>
    <row r="1145" spans="1:5" x14ac:dyDescent="0.35">
      <c r="A1145" t="s">
        <v>3831</v>
      </c>
      <c r="B1145" t="s">
        <v>1828</v>
      </c>
      <c r="C1145" t="s">
        <v>671</v>
      </c>
      <c r="D1145" s="3">
        <v>1</v>
      </c>
      <c r="E1145" s="2">
        <v>400</v>
      </c>
    </row>
    <row r="1146" spans="1:5" x14ac:dyDescent="0.35">
      <c r="A1146" t="s">
        <v>3832</v>
      </c>
      <c r="B1146" t="s">
        <v>1829</v>
      </c>
      <c r="C1146" t="s">
        <v>617</v>
      </c>
      <c r="D1146" s="3">
        <v>1</v>
      </c>
      <c r="E1146" s="2">
        <v>200</v>
      </c>
    </row>
    <row r="1147" spans="1:5" x14ac:dyDescent="0.35">
      <c r="A1147" t="s">
        <v>3833</v>
      </c>
      <c r="B1147" t="s">
        <v>1830</v>
      </c>
      <c r="C1147" t="s">
        <v>660</v>
      </c>
      <c r="D1147" s="3">
        <v>1</v>
      </c>
      <c r="E1147" s="2">
        <v>6500</v>
      </c>
    </row>
    <row r="1148" spans="1:5" x14ac:dyDescent="0.35">
      <c r="A1148" t="s">
        <v>3834</v>
      </c>
      <c r="B1148" t="s">
        <v>1831</v>
      </c>
      <c r="C1148" t="s">
        <v>620</v>
      </c>
      <c r="D1148" s="3">
        <v>1</v>
      </c>
      <c r="E1148" s="2">
        <v>50</v>
      </c>
    </row>
    <row r="1149" spans="1:5" x14ac:dyDescent="0.35">
      <c r="A1149" t="s">
        <v>3835</v>
      </c>
      <c r="B1149" t="s">
        <v>1832</v>
      </c>
      <c r="C1149" t="s">
        <v>665</v>
      </c>
      <c r="D1149" s="3">
        <v>1</v>
      </c>
      <c r="E1149" s="2">
        <v>700</v>
      </c>
    </row>
    <row r="1150" spans="1:5" x14ac:dyDescent="0.35">
      <c r="A1150" t="s">
        <v>3836</v>
      </c>
      <c r="B1150" t="s">
        <v>1833</v>
      </c>
      <c r="C1150" t="s">
        <v>663</v>
      </c>
      <c r="D1150" s="3">
        <v>2</v>
      </c>
      <c r="E1150" s="2">
        <v>2800</v>
      </c>
    </row>
    <row r="1151" spans="1:5" x14ac:dyDescent="0.35">
      <c r="A1151" t="s">
        <v>3837</v>
      </c>
      <c r="B1151" t="s">
        <v>1834</v>
      </c>
      <c r="C1151" t="s">
        <v>669</v>
      </c>
      <c r="D1151" s="3">
        <v>1</v>
      </c>
      <c r="E1151" s="2">
        <v>600</v>
      </c>
    </row>
    <row r="1152" spans="1:5" x14ac:dyDescent="0.35">
      <c r="A1152" t="s">
        <v>3838</v>
      </c>
      <c r="B1152" t="s">
        <v>1835</v>
      </c>
      <c r="C1152" t="s">
        <v>665</v>
      </c>
      <c r="D1152" s="3">
        <v>2</v>
      </c>
      <c r="E1152" s="2">
        <v>1400</v>
      </c>
    </row>
    <row r="1153" spans="1:5" x14ac:dyDescent="0.35">
      <c r="A1153" t="s">
        <v>3839</v>
      </c>
      <c r="B1153" t="s">
        <v>1836</v>
      </c>
      <c r="C1153" t="s">
        <v>671</v>
      </c>
      <c r="D1153" s="3">
        <v>1</v>
      </c>
      <c r="E1153" s="2">
        <v>400</v>
      </c>
    </row>
    <row r="1154" spans="1:5" x14ac:dyDescent="0.35">
      <c r="A1154" t="s">
        <v>3840</v>
      </c>
      <c r="B1154" t="s">
        <v>1837</v>
      </c>
      <c r="C1154" t="s">
        <v>626</v>
      </c>
      <c r="D1154" s="3">
        <v>1</v>
      </c>
      <c r="E1154" s="2">
        <v>5000</v>
      </c>
    </row>
    <row r="1155" spans="1:5" x14ac:dyDescent="0.35">
      <c r="A1155" t="s">
        <v>3841</v>
      </c>
      <c r="B1155" t="s">
        <v>1838</v>
      </c>
      <c r="C1155" t="s">
        <v>645</v>
      </c>
      <c r="D1155" s="3">
        <v>1</v>
      </c>
      <c r="E1155" s="2">
        <v>3500</v>
      </c>
    </row>
    <row r="1156" spans="1:5" x14ac:dyDescent="0.35">
      <c r="A1156" t="s">
        <v>3842</v>
      </c>
      <c r="B1156" t="s">
        <v>1839</v>
      </c>
      <c r="C1156" t="s">
        <v>667</v>
      </c>
      <c r="D1156" s="3">
        <v>1</v>
      </c>
      <c r="E1156" s="2">
        <v>550</v>
      </c>
    </row>
    <row r="1157" spans="1:5" x14ac:dyDescent="0.35">
      <c r="A1157" t="s">
        <v>3843</v>
      </c>
      <c r="B1157" t="s">
        <v>1840</v>
      </c>
      <c r="C1157" t="s">
        <v>663</v>
      </c>
      <c r="D1157" s="3">
        <v>1</v>
      </c>
      <c r="E1157" s="2">
        <v>1400</v>
      </c>
    </row>
    <row r="1158" spans="1:5" x14ac:dyDescent="0.35">
      <c r="A1158" t="s">
        <v>3844</v>
      </c>
      <c r="B1158" t="s">
        <v>1841</v>
      </c>
      <c r="C1158" t="s">
        <v>658</v>
      </c>
      <c r="D1158" s="3">
        <v>3</v>
      </c>
      <c r="E1158" s="2">
        <v>2250</v>
      </c>
    </row>
    <row r="1159" spans="1:5" x14ac:dyDescent="0.35">
      <c r="A1159" t="s">
        <v>3845</v>
      </c>
      <c r="B1159" t="s">
        <v>1842</v>
      </c>
      <c r="C1159" t="s">
        <v>617</v>
      </c>
      <c r="D1159" s="3">
        <v>1</v>
      </c>
      <c r="E1159" s="2">
        <v>200</v>
      </c>
    </row>
    <row r="1160" spans="1:5" x14ac:dyDescent="0.35">
      <c r="A1160" t="s">
        <v>3846</v>
      </c>
      <c r="B1160" t="s">
        <v>1843</v>
      </c>
      <c r="C1160" t="s">
        <v>617</v>
      </c>
      <c r="D1160" s="3">
        <v>1</v>
      </c>
      <c r="E1160" s="2">
        <v>200</v>
      </c>
    </row>
    <row r="1161" spans="1:5" x14ac:dyDescent="0.35">
      <c r="A1161" t="s">
        <v>3847</v>
      </c>
      <c r="B1161" t="s">
        <v>1844</v>
      </c>
      <c r="C1161" t="s">
        <v>671</v>
      </c>
      <c r="D1161" s="3">
        <v>3</v>
      </c>
      <c r="E1161" s="2">
        <v>1200</v>
      </c>
    </row>
    <row r="1162" spans="1:5" x14ac:dyDescent="0.35">
      <c r="A1162" t="s">
        <v>3848</v>
      </c>
      <c r="B1162" t="s">
        <v>1845</v>
      </c>
      <c r="C1162" t="s">
        <v>649</v>
      </c>
      <c r="D1162" s="3">
        <v>1</v>
      </c>
      <c r="E1162" s="2">
        <v>800</v>
      </c>
    </row>
    <row r="1163" spans="1:5" x14ac:dyDescent="0.35">
      <c r="A1163" t="s">
        <v>3849</v>
      </c>
      <c r="B1163" t="s">
        <v>1846</v>
      </c>
      <c r="C1163" t="s">
        <v>626</v>
      </c>
      <c r="D1163" s="3">
        <v>1</v>
      </c>
      <c r="E1163" s="2">
        <v>5000</v>
      </c>
    </row>
    <row r="1164" spans="1:5" x14ac:dyDescent="0.35">
      <c r="A1164" t="s">
        <v>3850</v>
      </c>
      <c r="B1164" t="s">
        <v>1847</v>
      </c>
      <c r="C1164" t="s">
        <v>629</v>
      </c>
      <c r="D1164" s="3">
        <v>1</v>
      </c>
      <c r="E1164" s="2">
        <v>300</v>
      </c>
    </row>
    <row r="1165" spans="1:5" x14ac:dyDescent="0.35">
      <c r="A1165" t="s">
        <v>3851</v>
      </c>
      <c r="B1165" t="s">
        <v>1848</v>
      </c>
      <c r="C1165" t="s">
        <v>643</v>
      </c>
      <c r="D1165" s="3">
        <v>1</v>
      </c>
      <c r="E1165" s="2">
        <v>2200</v>
      </c>
    </row>
    <row r="1166" spans="1:5" x14ac:dyDescent="0.35">
      <c r="A1166" t="s">
        <v>3852</v>
      </c>
      <c r="B1166" t="s">
        <v>1849</v>
      </c>
      <c r="C1166" t="s">
        <v>671</v>
      </c>
      <c r="D1166" s="3">
        <v>1</v>
      </c>
      <c r="E1166" s="2">
        <v>400</v>
      </c>
    </row>
    <row r="1167" spans="1:5" x14ac:dyDescent="0.35">
      <c r="A1167" t="s">
        <v>3853</v>
      </c>
      <c r="B1167" t="s">
        <v>1850</v>
      </c>
      <c r="C1167" t="s">
        <v>669</v>
      </c>
      <c r="D1167" s="3">
        <v>1</v>
      </c>
      <c r="E1167" s="2">
        <v>600</v>
      </c>
    </row>
    <row r="1168" spans="1:5" x14ac:dyDescent="0.35">
      <c r="A1168" t="s">
        <v>3854</v>
      </c>
      <c r="B1168" t="s">
        <v>1851</v>
      </c>
      <c r="C1168" t="s">
        <v>647</v>
      </c>
      <c r="D1168" s="3">
        <v>2</v>
      </c>
      <c r="E1168" s="2">
        <v>8400</v>
      </c>
    </row>
    <row r="1169" spans="1:5" x14ac:dyDescent="0.35">
      <c r="A1169" t="s">
        <v>3855</v>
      </c>
      <c r="B1169" t="s">
        <v>1852</v>
      </c>
      <c r="C1169" t="s">
        <v>654</v>
      </c>
      <c r="D1169" s="3">
        <v>1</v>
      </c>
      <c r="E1169" s="2">
        <v>100</v>
      </c>
    </row>
    <row r="1170" spans="1:5" x14ac:dyDescent="0.35">
      <c r="A1170" t="s">
        <v>3856</v>
      </c>
      <c r="B1170" t="s">
        <v>1853</v>
      </c>
      <c r="C1170" t="s">
        <v>671</v>
      </c>
      <c r="D1170" s="3">
        <v>1</v>
      </c>
      <c r="E1170" s="2">
        <v>400</v>
      </c>
    </row>
    <row r="1171" spans="1:5" x14ac:dyDescent="0.35">
      <c r="A1171" t="s">
        <v>3857</v>
      </c>
      <c r="B1171" t="s">
        <v>1854</v>
      </c>
      <c r="C1171" t="s">
        <v>647</v>
      </c>
      <c r="D1171" s="3">
        <v>1</v>
      </c>
      <c r="E1171" s="2">
        <v>4200</v>
      </c>
    </row>
    <row r="1172" spans="1:5" x14ac:dyDescent="0.35">
      <c r="A1172" t="s">
        <v>3858</v>
      </c>
      <c r="B1172" t="s">
        <v>1855</v>
      </c>
      <c r="C1172" t="s">
        <v>671</v>
      </c>
      <c r="D1172" s="3">
        <v>2</v>
      </c>
      <c r="E1172" s="2">
        <v>800</v>
      </c>
    </row>
    <row r="1173" spans="1:5" x14ac:dyDescent="0.35">
      <c r="A1173" t="s">
        <v>3859</v>
      </c>
      <c r="B1173" t="s">
        <v>1856</v>
      </c>
      <c r="C1173" t="s">
        <v>667</v>
      </c>
      <c r="D1173" s="3">
        <v>1</v>
      </c>
      <c r="E1173" s="2">
        <v>550</v>
      </c>
    </row>
    <row r="1174" spans="1:5" x14ac:dyDescent="0.35">
      <c r="A1174" t="s">
        <v>3860</v>
      </c>
      <c r="B1174" t="s">
        <v>1857</v>
      </c>
      <c r="C1174" t="s">
        <v>620</v>
      </c>
      <c r="D1174" s="3">
        <v>1</v>
      </c>
      <c r="E1174" s="2">
        <v>50</v>
      </c>
    </row>
    <row r="1175" spans="1:5" x14ac:dyDescent="0.35">
      <c r="A1175" t="s">
        <v>3861</v>
      </c>
      <c r="B1175" t="s">
        <v>1858</v>
      </c>
      <c r="C1175" t="s">
        <v>654</v>
      </c>
      <c r="D1175" s="3">
        <v>1</v>
      </c>
      <c r="E1175" s="2">
        <v>100</v>
      </c>
    </row>
    <row r="1176" spans="1:5" x14ac:dyDescent="0.35">
      <c r="A1176" t="s">
        <v>3862</v>
      </c>
      <c r="B1176" t="s">
        <v>1859</v>
      </c>
      <c r="C1176" t="s">
        <v>631</v>
      </c>
      <c r="D1176" s="3">
        <v>1</v>
      </c>
      <c r="E1176" s="2">
        <v>900</v>
      </c>
    </row>
    <row r="1177" spans="1:5" x14ac:dyDescent="0.35">
      <c r="A1177" t="s">
        <v>3863</v>
      </c>
      <c r="B1177" t="s">
        <v>1860</v>
      </c>
      <c r="C1177" t="s">
        <v>649</v>
      </c>
      <c r="D1177" s="3">
        <v>1</v>
      </c>
      <c r="E1177" s="2">
        <v>800</v>
      </c>
    </row>
    <row r="1178" spans="1:5" x14ac:dyDescent="0.35">
      <c r="A1178" t="s">
        <v>3864</v>
      </c>
      <c r="B1178" t="s">
        <v>1861</v>
      </c>
      <c r="C1178" t="s">
        <v>617</v>
      </c>
      <c r="D1178" s="3">
        <v>1</v>
      </c>
      <c r="E1178" s="2">
        <v>200</v>
      </c>
    </row>
    <row r="1179" spans="1:5" x14ac:dyDescent="0.35">
      <c r="A1179" t="s">
        <v>3865</v>
      </c>
      <c r="B1179" t="s">
        <v>1862</v>
      </c>
      <c r="C1179" t="s">
        <v>656</v>
      </c>
      <c r="D1179" s="3">
        <v>2</v>
      </c>
      <c r="E1179" s="2">
        <v>700</v>
      </c>
    </row>
    <row r="1180" spans="1:5" x14ac:dyDescent="0.35">
      <c r="A1180" t="s">
        <v>3866</v>
      </c>
      <c r="B1180" t="s">
        <v>1863</v>
      </c>
      <c r="C1180" t="s">
        <v>643</v>
      </c>
      <c r="D1180" s="3">
        <v>1</v>
      </c>
      <c r="E1180" s="2">
        <v>2200</v>
      </c>
    </row>
    <row r="1181" spans="1:5" x14ac:dyDescent="0.35">
      <c r="A1181" t="s">
        <v>3867</v>
      </c>
      <c r="B1181" t="s">
        <v>1864</v>
      </c>
      <c r="C1181" t="s">
        <v>660</v>
      </c>
      <c r="D1181" s="3">
        <v>1</v>
      </c>
      <c r="E1181" s="2">
        <v>6500</v>
      </c>
    </row>
    <row r="1182" spans="1:5" x14ac:dyDescent="0.35">
      <c r="A1182" t="s">
        <v>3868</v>
      </c>
      <c r="B1182" t="s">
        <v>1865</v>
      </c>
      <c r="C1182" t="s">
        <v>623</v>
      </c>
      <c r="D1182" s="3">
        <v>1</v>
      </c>
      <c r="E1182" s="2">
        <v>1200</v>
      </c>
    </row>
    <row r="1183" spans="1:5" x14ac:dyDescent="0.35">
      <c r="A1183" t="s">
        <v>3869</v>
      </c>
      <c r="B1183" t="s">
        <v>1866</v>
      </c>
      <c r="C1183" t="s">
        <v>643</v>
      </c>
      <c r="D1183" s="3">
        <v>1</v>
      </c>
      <c r="E1183" s="2">
        <v>2200</v>
      </c>
    </row>
    <row r="1184" spans="1:5" x14ac:dyDescent="0.35">
      <c r="A1184" t="s">
        <v>3870</v>
      </c>
      <c r="B1184" t="s">
        <v>1867</v>
      </c>
      <c r="C1184" t="s">
        <v>629</v>
      </c>
      <c r="D1184" s="3">
        <v>2</v>
      </c>
      <c r="E1184" s="2">
        <v>600</v>
      </c>
    </row>
    <row r="1185" spans="1:5" x14ac:dyDescent="0.35">
      <c r="A1185" t="s">
        <v>3871</v>
      </c>
      <c r="B1185" t="s">
        <v>1868</v>
      </c>
      <c r="C1185" t="s">
        <v>656</v>
      </c>
      <c r="D1185" s="3">
        <v>1</v>
      </c>
      <c r="E1185" s="2">
        <v>350</v>
      </c>
    </row>
    <row r="1186" spans="1:5" x14ac:dyDescent="0.35">
      <c r="A1186" t="s">
        <v>3872</v>
      </c>
      <c r="B1186" t="s">
        <v>1869</v>
      </c>
      <c r="C1186" t="s">
        <v>667</v>
      </c>
      <c r="D1186" s="3">
        <v>1</v>
      </c>
      <c r="E1186" s="2">
        <v>550</v>
      </c>
    </row>
    <row r="1187" spans="1:5" x14ac:dyDescent="0.35">
      <c r="A1187" t="s">
        <v>3873</v>
      </c>
      <c r="B1187" t="s">
        <v>1870</v>
      </c>
      <c r="C1187" t="s">
        <v>633</v>
      </c>
      <c r="D1187" s="3">
        <v>1</v>
      </c>
      <c r="E1187" s="2">
        <v>450</v>
      </c>
    </row>
    <row r="1188" spans="1:5" x14ac:dyDescent="0.35">
      <c r="A1188" t="s">
        <v>3874</v>
      </c>
      <c r="B1188" t="s">
        <v>1871</v>
      </c>
      <c r="C1188" t="s">
        <v>641</v>
      </c>
      <c r="D1188" s="3">
        <v>2</v>
      </c>
      <c r="E1188" s="2">
        <v>3600</v>
      </c>
    </row>
    <row r="1189" spans="1:5" x14ac:dyDescent="0.35">
      <c r="A1189" t="s">
        <v>3875</v>
      </c>
      <c r="B1189" t="s">
        <v>1872</v>
      </c>
      <c r="C1189" t="s">
        <v>643</v>
      </c>
      <c r="D1189" s="3">
        <v>3</v>
      </c>
      <c r="E1189" s="2">
        <v>6600</v>
      </c>
    </row>
    <row r="1190" spans="1:5" x14ac:dyDescent="0.35">
      <c r="A1190" t="s">
        <v>3876</v>
      </c>
      <c r="B1190" t="s">
        <v>1873</v>
      </c>
      <c r="C1190" t="s">
        <v>623</v>
      </c>
      <c r="D1190" s="3">
        <v>1</v>
      </c>
      <c r="E1190" s="2">
        <v>1200</v>
      </c>
    </row>
    <row r="1191" spans="1:5" x14ac:dyDescent="0.35">
      <c r="A1191" t="s">
        <v>3877</v>
      </c>
      <c r="B1191" t="s">
        <v>1874</v>
      </c>
      <c r="C1191" t="s">
        <v>663</v>
      </c>
      <c r="D1191" s="3">
        <v>1</v>
      </c>
      <c r="E1191" s="2">
        <v>1400</v>
      </c>
    </row>
    <row r="1192" spans="1:5" x14ac:dyDescent="0.35">
      <c r="A1192" t="s">
        <v>3878</v>
      </c>
      <c r="B1192" t="s">
        <v>1875</v>
      </c>
      <c r="C1192" t="s">
        <v>641</v>
      </c>
      <c r="D1192" s="3">
        <v>1</v>
      </c>
      <c r="E1192" s="2">
        <v>1800</v>
      </c>
    </row>
    <row r="1193" spans="1:5" x14ac:dyDescent="0.35">
      <c r="A1193" t="s">
        <v>3879</v>
      </c>
      <c r="B1193" t="s">
        <v>1876</v>
      </c>
      <c r="C1193" t="s">
        <v>641</v>
      </c>
      <c r="D1193" s="3">
        <v>1</v>
      </c>
      <c r="E1193" s="2">
        <v>1800</v>
      </c>
    </row>
    <row r="1194" spans="1:5" x14ac:dyDescent="0.35">
      <c r="A1194" t="s">
        <v>3880</v>
      </c>
      <c r="B1194" t="s">
        <v>1877</v>
      </c>
      <c r="C1194" t="s">
        <v>649</v>
      </c>
      <c r="D1194" s="3">
        <v>1</v>
      </c>
      <c r="E1194" s="2">
        <v>800</v>
      </c>
    </row>
    <row r="1195" spans="1:5" x14ac:dyDescent="0.35">
      <c r="A1195" t="s">
        <v>3881</v>
      </c>
      <c r="B1195" t="s">
        <v>1878</v>
      </c>
      <c r="C1195" t="s">
        <v>645</v>
      </c>
      <c r="D1195" s="3">
        <v>1</v>
      </c>
      <c r="E1195" s="2">
        <v>3500</v>
      </c>
    </row>
    <row r="1196" spans="1:5" x14ac:dyDescent="0.35">
      <c r="A1196" t="s">
        <v>3882</v>
      </c>
      <c r="B1196" t="s">
        <v>1879</v>
      </c>
      <c r="C1196" t="s">
        <v>651</v>
      </c>
      <c r="D1196" s="3">
        <v>1</v>
      </c>
      <c r="E1196" s="2">
        <v>120</v>
      </c>
    </row>
    <row r="1197" spans="1:5" x14ac:dyDescent="0.35">
      <c r="A1197" t="s">
        <v>3883</v>
      </c>
      <c r="B1197" t="s">
        <v>1880</v>
      </c>
      <c r="C1197" t="s">
        <v>641</v>
      </c>
      <c r="D1197" s="3">
        <v>1</v>
      </c>
      <c r="E1197" s="2">
        <v>1800</v>
      </c>
    </row>
    <row r="1198" spans="1:5" x14ac:dyDescent="0.35">
      <c r="A1198" t="s">
        <v>3884</v>
      </c>
      <c r="B1198" t="s">
        <v>1881</v>
      </c>
      <c r="C1198" t="s">
        <v>641</v>
      </c>
      <c r="D1198" s="3">
        <v>1</v>
      </c>
      <c r="E1198" s="2">
        <v>1800</v>
      </c>
    </row>
    <row r="1199" spans="1:5" x14ac:dyDescent="0.35">
      <c r="A1199" t="s">
        <v>3885</v>
      </c>
      <c r="B1199" t="s">
        <v>1882</v>
      </c>
      <c r="C1199" t="s">
        <v>660</v>
      </c>
      <c r="D1199" s="3">
        <v>1</v>
      </c>
      <c r="E1199" s="2">
        <v>6500</v>
      </c>
    </row>
    <row r="1200" spans="1:5" x14ac:dyDescent="0.35">
      <c r="A1200" t="s">
        <v>3886</v>
      </c>
      <c r="B1200" t="s">
        <v>1883</v>
      </c>
      <c r="C1200" t="s">
        <v>617</v>
      </c>
      <c r="D1200" s="3">
        <v>1</v>
      </c>
      <c r="E1200" s="2">
        <v>200</v>
      </c>
    </row>
    <row r="1201" spans="1:5" x14ac:dyDescent="0.35">
      <c r="A1201" t="s">
        <v>3887</v>
      </c>
      <c r="B1201" t="s">
        <v>1884</v>
      </c>
      <c r="C1201" t="s">
        <v>671</v>
      </c>
      <c r="D1201" s="3">
        <v>1</v>
      </c>
      <c r="E1201" s="2">
        <v>400</v>
      </c>
    </row>
    <row r="1202" spans="1:5" x14ac:dyDescent="0.35">
      <c r="A1202" t="s">
        <v>3888</v>
      </c>
      <c r="B1202" t="s">
        <v>1885</v>
      </c>
      <c r="C1202" t="s">
        <v>641</v>
      </c>
      <c r="D1202" s="3">
        <v>1</v>
      </c>
      <c r="E1202" s="2">
        <v>1800</v>
      </c>
    </row>
    <row r="1203" spans="1:5" x14ac:dyDescent="0.35">
      <c r="A1203" t="s">
        <v>3889</v>
      </c>
      <c r="B1203" t="s">
        <v>1886</v>
      </c>
      <c r="C1203" t="s">
        <v>620</v>
      </c>
      <c r="D1203" s="3">
        <v>1</v>
      </c>
      <c r="E1203" s="2">
        <v>50</v>
      </c>
    </row>
    <row r="1204" spans="1:5" x14ac:dyDescent="0.35">
      <c r="A1204" t="s">
        <v>3890</v>
      </c>
      <c r="B1204" t="s">
        <v>1887</v>
      </c>
      <c r="C1204" t="s">
        <v>656</v>
      </c>
      <c r="D1204" s="3">
        <v>1</v>
      </c>
      <c r="E1204" s="2">
        <v>350</v>
      </c>
    </row>
    <row r="1205" spans="1:5" x14ac:dyDescent="0.35">
      <c r="A1205" t="s">
        <v>3891</v>
      </c>
      <c r="B1205" t="s">
        <v>1888</v>
      </c>
      <c r="C1205" t="s">
        <v>671</v>
      </c>
      <c r="D1205" s="3">
        <v>1</v>
      </c>
      <c r="E1205" s="2">
        <v>400</v>
      </c>
    </row>
    <row r="1206" spans="1:5" x14ac:dyDescent="0.35">
      <c r="A1206" t="s">
        <v>3892</v>
      </c>
      <c r="B1206" t="s">
        <v>1889</v>
      </c>
      <c r="C1206" t="s">
        <v>633</v>
      </c>
      <c r="D1206" s="3">
        <v>1</v>
      </c>
      <c r="E1206" s="2">
        <v>450</v>
      </c>
    </row>
    <row r="1207" spans="1:5" x14ac:dyDescent="0.35">
      <c r="A1207" t="s">
        <v>3893</v>
      </c>
      <c r="B1207" t="s">
        <v>1890</v>
      </c>
      <c r="C1207" t="s">
        <v>633</v>
      </c>
      <c r="D1207" s="3">
        <v>2</v>
      </c>
      <c r="E1207" s="2">
        <v>900</v>
      </c>
    </row>
    <row r="1208" spans="1:5" x14ac:dyDescent="0.35">
      <c r="A1208" t="s">
        <v>3894</v>
      </c>
      <c r="B1208" t="s">
        <v>1891</v>
      </c>
      <c r="C1208" t="s">
        <v>663</v>
      </c>
      <c r="D1208" s="3">
        <v>1</v>
      </c>
      <c r="E1208" s="2">
        <v>1400</v>
      </c>
    </row>
    <row r="1209" spans="1:5" x14ac:dyDescent="0.35">
      <c r="A1209" t="s">
        <v>3895</v>
      </c>
      <c r="B1209" t="s">
        <v>1892</v>
      </c>
      <c r="C1209" t="s">
        <v>638</v>
      </c>
      <c r="D1209" s="3">
        <v>1</v>
      </c>
      <c r="E1209" s="2">
        <v>150</v>
      </c>
    </row>
    <row r="1210" spans="1:5" x14ac:dyDescent="0.35">
      <c r="A1210" t="s">
        <v>3896</v>
      </c>
      <c r="B1210" t="s">
        <v>1893</v>
      </c>
      <c r="C1210" t="s">
        <v>667</v>
      </c>
      <c r="D1210" s="3">
        <v>1</v>
      </c>
      <c r="E1210" s="2">
        <v>550</v>
      </c>
    </row>
    <row r="1211" spans="1:5" x14ac:dyDescent="0.35">
      <c r="A1211" t="s">
        <v>3897</v>
      </c>
      <c r="B1211" t="s">
        <v>1894</v>
      </c>
      <c r="C1211" t="s">
        <v>620</v>
      </c>
      <c r="D1211" s="3">
        <v>1</v>
      </c>
      <c r="E1211" s="2">
        <v>50</v>
      </c>
    </row>
    <row r="1212" spans="1:5" x14ac:dyDescent="0.35">
      <c r="A1212" t="s">
        <v>3898</v>
      </c>
      <c r="B1212" t="s">
        <v>1895</v>
      </c>
      <c r="C1212" t="s">
        <v>649</v>
      </c>
      <c r="D1212" s="3">
        <v>1</v>
      </c>
      <c r="E1212" s="2">
        <v>800</v>
      </c>
    </row>
    <row r="1213" spans="1:5" x14ac:dyDescent="0.35">
      <c r="A1213" t="s">
        <v>3899</v>
      </c>
      <c r="B1213" t="s">
        <v>1896</v>
      </c>
      <c r="C1213" t="s">
        <v>656</v>
      </c>
      <c r="D1213" s="3">
        <v>1</v>
      </c>
      <c r="E1213" s="2">
        <v>350</v>
      </c>
    </row>
    <row r="1214" spans="1:5" x14ac:dyDescent="0.35">
      <c r="A1214" t="s">
        <v>3900</v>
      </c>
      <c r="B1214" t="s">
        <v>1897</v>
      </c>
      <c r="C1214" t="s">
        <v>617</v>
      </c>
      <c r="D1214" s="3">
        <v>1</v>
      </c>
      <c r="E1214" s="2">
        <v>200</v>
      </c>
    </row>
    <row r="1215" spans="1:5" x14ac:dyDescent="0.35">
      <c r="A1215" t="s">
        <v>3901</v>
      </c>
      <c r="B1215" t="s">
        <v>1898</v>
      </c>
      <c r="C1215" t="s">
        <v>638</v>
      </c>
      <c r="D1215" s="3">
        <v>1</v>
      </c>
      <c r="E1215" s="2">
        <v>150</v>
      </c>
    </row>
    <row r="1216" spans="1:5" x14ac:dyDescent="0.35">
      <c r="A1216" t="s">
        <v>3902</v>
      </c>
      <c r="B1216" t="s">
        <v>1899</v>
      </c>
      <c r="C1216" t="s">
        <v>663</v>
      </c>
      <c r="D1216" s="3">
        <v>1</v>
      </c>
      <c r="E1216" s="2">
        <v>1400</v>
      </c>
    </row>
    <row r="1217" spans="1:5" x14ac:dyDescent="0.35">
      <c r="A1217" t="s">
        <v>3903</v>
      </c>
      <c r="B1217" t="s">
        <v>1900</v>
      </c>
      <c r="C1217" t="s">
        <v>665</v>
      </c>
      <c r="D1217" s="3">
        <v>1</v>
      </c>
      <c r="E1217" s="2">
        <v>700</v>
      </c>
    </row>
    <row r="1218" spans="1:5" x14ac:dyDescent="0.35">
      <c r="A1218" t="s">
        <v>3904</v>
      </c>
      <c r="B1218" t="s">
        <v>1901</v>
      </c>
      <c r="C1218" t="s">
        <v>660</v>
      </c>
      <c r="D1218" s="3">
        <v>1</v>
      </c>
      <c r="E1218" s="2">
        <v>6500</v>
      </c>
    </row>
    <row r="1219" spans="1:5" x14ac:dyDescent="0.35">
      <c r="A1219" t="s">
        <v>3905</v>
      </c>
      <c r="B1219" t="s">
        <v>1902</v>
      </c>
      <c r="C1219" t="s">
        <v>626</v>
      </c>
      <c r="D1219" s="3">
        <v>1</v>
      </c>
      <c r="E1219" s="2">
        <v>5000</v>
      </c>
    </row>
    <row r="1220" spans="1:5" x14ac:dyDescent="0.35">
      <c r="A1220" t="s">
        <v>3906</v>
      </c>
      <c r="B1220" t="s">
        <v>1903</v>
      </c>
      <c r="C1220" t="s">
        <v>635</v>
      </c>
      <c r="D1220" s="3">
        <v>1</v>
      </c>
      <c r="E1220" s="2">
        <v>180</v>
      </c>
    </row>
    <row r="1221" spans="1:5" x14ac:dyDescent="0.35">
      <c r="A1221" t="s">
        <v>3907</v>
      </c>
      <c r="B1221" t="s">
        <v>1904</v>
      </c>
      <c r="C1221" t="s">
        <v>647</v>
      </c>
      <c r="D1221" s="3">
        <v>1</v>
      </c>
      <c r="E1221" s="2">
        <v>4200</v>
      </c>
    </row>
    <row r="1222" spans="1:5" x14ac:dyDescent="0.35">
      <c r="A1222" t="s">
        <v>3908</v>
      </c>
      <c r="B1222" t="s">
        <v>1905</v>
      </c>
      <c r="C1222" t="s">
        <v>626</v>
      </c>
      <c r="D1222" s="3">
        <v>1</v>
      </c>
      <c r="E1222" s="2">
        <v>5000</v>
      </c>
    </row>
    <row r="1223" spans="1:5" x14ac:dyDescent="0.35">
      <c r="A1223" t="s">
        <v>3909</v>
      </c>
      <c r="B1223" t="s">
        <v>1906</v>
      </c>
      <c r="C1223" t="s">
        <v>638</v>
      </c>
      <c r="D1223" s="3">
        <v>1</v>
      </c>
      <c r="E1223" s="2">
        <v>150</v>
      </c>
    </row>
    <row r="1224" spans="1:5" x14ac:dyDescent="0.35">
      <c r="A1224" t="s">
        <v>3910</v>
      </c>
      <c r="B1224" t="s">
        <v>1907</v>
      </c>
      <c r="C1224" t="s">
        <v>638</v>
      </c>
      <c r="D1224" s="3">
        <v>1</v>
      </c>
      <c r="E1224" s="2">
        <v>150</v>
      </c>
    </row>
    <row r="1225" spans="1:5" x14ac:dyDescent="0.35">
      <c r="A1225" t="s">
        <v>3911</v>
      </c>
      <c r="B1225" t="s">
        <v>1908</v>
      </c>
      <c r="C1225" t="s">
        <v>667</v>
      </c>
      <c r="D1225" s="3">
        <v>1</v>
      </c>
      <c r="E1225" s="2">
        <v>550</v>
      </c>
    </row>
    <row r="1226" spans="1:5" x14ac:dyDescent="0.35">
      <c r="A1226" t="s">
        <v>3912</v>
      </c>
      <c r="B1226" t="s">
        <v>1909</v>
      </c>
      <c r="C1226" t="s">
        <v>658</v>
      </c>
      <c r="D1226" s="3">
        <v>1</v>
      </c>
      <c r="E1226" s="2">
        <v>750</v>
      </c>
    </row>
    <row r="1227" spans="1:5" x14ac:dyDescent="0.35">
      <c r="A1227" t="s">
        <v>3913</v>
      </c>
      <c r="B1227" t="s">
        <v>1910</v>
      </c>
      <c r="C1227" t="s">
        <v>645</v>
      </c>
      <c r="D1227" s="3">
        <v>2</v>
      </c>
      <c r="E1227" s="2">
        <v>7000</v>
      </c>
    </row>
    <row r="1228" spans="1:5" x14ac:dyDescent="0.35">
      <c r="A1228" t="s">
        <v>3914</v>
      </c>
      <c r="B1228" t="s">
        <v>1911</v>
      </c>
      <c r="C1228" t="s">
        <v>641</v>
      </c>
      <c r="D1228" s="3">
        <v>1</v>
      </c>
      <c r="E1228" s="2">
        <v>1800</v>
      </c>
    </row>
    <row r="1229" spans="1:5" x14ac:dyDescent="0.35">
      <c r="A1229" t="s">
        <v>3915</v>
      </c>
      <c r="B1229" t="s">
        <v>1912</v>
      </c>
      <c r="C1229" t="s">
        <v>643</v>
      </c>
      <c r="D1229" s="3">
        <v>2</v>
      </c>
      <c r="E1229" s="2">
        <v>4400</v>
      </c>
    </row>
    <row r="1230" spans="1:5" x14ac:dyDescent="0.35">
      <c r="A1230" t="s">
        <v>3916</v>
      </c>
      <c r="B1230" t="s">
        <v>1913</v>
      </c>
      <c r="C1230" t="s">
        <v>633</v>
      </c>
      <c r="D1230" s="3">
        <v>1</v>
      </c>
      <c r="E1230" s="2">
        <v>450</v>
      </c>
    </row>
    <row r="1231" spans="1:5" x14ac:dyDescent="0.35">
      <c r="A1231" t="s">
        <v>3917</v>
      </c>
      <c r="B1231" t="s">
        <v>1914</v>
      </c>
      <c r="C1231" t="s">
        <v>638</v>
      </c>
      <c r="D1231" s="3">
        <v>2</v>
      </c>
      <c r="E1231" s="2">
        <v>300</v>
      </c>
    </row>
    <row r="1232" spans="1:5" x14ac:dyDescent="0.35">
      <c r="A1232" t="s">
        <v>3918</v>
      </c>
      <c r="B1232" t="s">
        <v>1915</v>
      </c>
      <c r="C1232" t="s">
        <v>631</v>
      </c>
      <c r="D1232" s="3">
        <v>1</v>
      </c>
      <c r="E1232" s="2">
        <v>900</v>
      </c>
    </row>
    <row r="1233" spans="1:5" x14ac:dyDescent="0.35">
      <c r="A1233" t="s">
        <v>3919</v>
      </c>
      <c r="B1233" t="s">
        <v>1916</v>
      </c>
      <c r="C1233" t="s">
        <v>660</v>
      </c>
      <c r="D1233" s="3">
        <v>2</v>
      </c>
      <c r="E1233" s="2">
        <v>13000</v>
      </c>
    </row>
    <row r="1234" spans="1:5" x14ac:dyDescent="0.35">
      <c r="A1234" t="s">
        <v>3920</v>
      </c>
      <c r="B1234" t="s">
        <v>1917</v>
      </c>
      <c r="C1234" t="s">
        <v>654</v>
      </c>
      <c r="D1234" s="3">
        <v>1</v>
      </c>
      <c r="E1234" s="2">
        <v>100</v>
      </c>
    </row>
    <row r="1235" spans="1:5" x14ac:dyDescent="0.35">
      <c r="A1235" t="s">
        <v>3921</v>
      </c>
      <c r="B1235" t="s">
        <v>1918</v>
      </c>
      <c r="C1235" t="s">
        <v>651</v>
      </c>
      <c r="D1235" s="3">
        <v>1</v>
      </c>
      <c r="E1235" s="2">
        <v>120</v>
      </c>
    </row>
    <row r="1236" spans="1:5" x14ac:dyDescent="0.35">
      <c r="A1236" t="s">
        <v>3922</v>
      </c>
      <c r="B1236" t="s">
        <v>1919</v>
      </c>
      <c r="C1236" t="s">
        <v>633</v>
      </c>
      <c r="D1236" s="3">
        <v>1</v>
      </c>
      <c r="E1236" s="2">
        <v>450</v>
      </c>
    </row>
    <row r="1237" spans="1:5" x14ac:dyDescent="0.35">
      <c r="A1237" t="s">
        <v>3923</v>
      </c>
      <c r="B1237" t="s">
        <v>1920</v>
      </c>
      <c r="C1237" t="s">
        <v>654</v>
      </c>
      <c r="D1237" s="3">
        <v>1</v>
      </c>
      <c r="E1237" s="2">
        <v>100</v>
      </c>
    </row>
    <row r="1238" spans="1:5" x14ac:dyDescent="0.35">
      <c r="A1238" t="s">
        <v>3924</v>
      </c>
      <c r="B1238" t="s">
        <v>1921</v>
      </c>
      <c r="C1238" t="s">
        <v>629</v>
      </c>
      <c r="D1238" s="3">
        <v>1</v>
      </c>
      <c r="E1238" s="2">
        <v>300</v>
      </c>
    </row>
    <row r="1239" spans="1:5" x14ac:dyDescent="0.35">
      <c r="A1239" t="s">
        <v>3925</v>
      </c>
      <c r="B1239" t="s">
        <v>1922</v>
      </c>
      <c r="C1239" t="s">
        <v>654</v>
      </c>
      <c r="D1239" s="3">
        <v>1</v>
      </c>
      <c r="E1239" s="2">
        <v>100</v>
      </c>
    </row>
    <row r="1240" spans="1:5" x14ac:dyDescent="0.35">
      <c r="A1240" t="s">
        <v>3926</v>
      </c>
      <c r="B1240" t="s">
        <v>1923</v>
      </c>
      <c r="C1240" t="s">
        <v>617</v>
      </c>
      <c r="D1240" s="3">
        <v>1</v>
      </c>
      <c r="E1240" s="2">
        <v>200</v>
      </c>
    </row>
    <row r="1241" spans="1:5" x14ac:dyDescent="0.35">
      <c r="A1241" t="s">
        <v>3927</v>
      </c>
      <c r="B1241" t="s">
        <v>1924</v>
      </c>
      <c r="C1241" t="s">
        <v>660</v>
      </c>
      <c r="D1241" s="3">
        <v>1</v>
      </c>
      <c r="E1241" s="2">
        <v>6500</v>
      </c>
    </row>
    <row r="1242" spans="1:5" x14ac:dyDescent="0.35">
      <c r="A1242" t="s">
        <v>3928</v>
      </c>
      <c r="B1242" t="s">
        <v>1925</v>
      </c>
      <c r="C1242" t="s">
        <v>629</v>
      </c>
      <c r="D1242" s="3">
        <v>1</v>
      </c>
      <c r="E1242" s="2">
        <v>300</v>
      </c>
    </row>
    <row r="1243" spans="1:5" x14ac:dyDescent="0.35">
      <c r="A1243" t="s">
        <v>3929</v>
      </c>
      <c r="B1243" t="s">
        <v>1926</v>
      </c>
      <c r="C1243" t="s">
        <v>633</v>
      </c>
      <c r="D1243" s="3">
        <v>1</v>
      </c>
      <c r="E1243" s="2">
        <v>450</v>
      </c>
    </row>
    <row r="1244" spans="1:5" x14ac:dyDescent="0.35">
      <c r="A1244" t="s">
        <v>3930</v>
      </c>
      <c r="B1244" t="s">
        <v>1927</v>
      </c>
      <c r="C1244" t="s">
        <v>660</v>
      </c>
      <c r="D1244" s="3">
        <v>1</v>
      </c>
      <c r="E1244" s="2">
        <v>6500</v>
      </c>
    </row>
    <row r="1245" spans="1:5" x14ac:dyDescent="0.35">
      <c r="A1245" t="s">
        <v>3931</v>
      </c>
      <c r="B1245" t="s">
        <v>1928</v>
      </c>
      <c r="C1245" t="s">
        <v>667</v>
      </c>
      <c r="D1245" s="3">
        <v>2</v>
      </c>
      <c r="E1245" s="2">
        <v>1100</v>
      </c>
    </row>
    <row r="1246" spans="1:5" x14ac:dyDescent="0.35">
      <c r="A1246" t="s">
        <v>3932</v>
      </c>
      <c r="B1246" t="s">
        <v>1929</v>
      </c>
      <c r="C1246" t="s">
        <v>629</v>
      </c>
      <c r="D1246" s="3">
        <v>3</v>
      </c>
      <c r="E1246" s="2">
        <v>900</v>
      </c>
    </row>
    <row r="1247" spans="1:5" x14ac:dyDescent="0.35">
      <c r="A1247" t="s">
        <v>3933</v>
      </c>
      <c r="B1247" t="s">
        <v>1930</v>
      </c>
      <c r="C1247" t="s">
        <v>656</v>
      </c>
      <c r="D1247" s="3">
        <v>2</v>
      </c>
      <c r="E1247" s="2">
        <v>700</v>
      </c>
    </row>
    <row r="1248" spans="1:5" x14ac:dyDescent="0.35">
      <c r="A1248" t="s">
        <v>3934</v>
      </c>
      <c r="B1248" t="s">
        <v>1931</v>
      </c>
      <c r="C1248" t="s">
        <v>667</v>
      </c>
      <c r="D1248" s="3">
        <v>1</v>
      </c>
      <c r="E1248" s="2">
        <v>550</v>
      </c>
    </row>
    <row r="1249" spans="1:5" x14ac:dyDescent="0.35">
      <c r="A1249" t="s">
        <v>3935</v>
      </c>
      <c r="B1249" t="s">
        <v>1932</v>
      </c>
      <c r="C1249" t="s">
        <v>635</v>
      </c>
      <c r="D1249" s="3">
        <v>1</v>
      </c>
      <c r="E1249" s="2">
        <v>180</v>
      </c>
    </row>
    <row r="1250" spans="1:5" x14ac:dyDescent="0.35">
      <c r="A1250" t="s">
        <v>3936</v>
      </c>
      <c r="B1250" t="s">
        <v>1933</v>
      </c>
      <c r="C1250" t="s">
        <v>617</v>
      </c>
      <c r="D1250" s="3">
        <v>3</v>
      </c>
      <c r="E1250" s="2">
        <v>600</v>
      </c>
    </row>
    <row r="1251" spans="1:5" x14ac:dyDescent="0.35">
      <c r="A1251" t="s">
        <v>3937</v>
      </c>
      <c r="B1251" t="s">
        <v>1934</v>
      </c>
      <c r="C1251" t="s">
        <v>620</v>
      </c>
      <c r="D1251" s="3">
        <v>1</v>
      </c>
      <c r="E1251" s="2">
        <v>50</v>
      </c>
    </row>
    <row r="1252" spans="1:5" x14ac:dyDescent="0.35">
      <c r="A1252" t="s">
        <v>3938</v>
      </c>
      <c r="B1252" t="s">
        <v>1935</v>
      </c>
      <c r="C1252" t="s">
        <v>651</v>
      </c>
      <c r="D1252" s="3">
        <v>1</v>
      </c>
      <c r="E1252" s="2">
        <v>120</v>
      </c>
    </row>
    <row r="1253" spans="1:5" x14ac:dyDescent="0.35">
      <c r="A1253" t="s">
        <v>3939</v>
      </c>
      <c r="B1253" t="s">
        <v>1936</v>
      </c>
      <c r="C1253" t="s">
        <v>663</v>
      </c>
      <c r="D1253" s="3">
        <v>1</v>
      </c>
      <c r="E1253" s="2">
        <v>1400</v>
      </c>
    </row>
    <row r="1254" spans="1:5" x14ac:dyDescent="0.35">
      <c r="A1254" t="s">
        <v>3940</v>
      </c>
      <c r="B1254" t="s">
        <v>1937</v>
      </c>
      <c r="C1254" t="s">
        <v>658</v>
      </c>
      <c r="D1254" s="3">
        <v>1</v>
      </c>
      <c r="E1254" s="2">
        <v>750</v>
      </c>
    </row>
    <row r="1255" spans="1:5" x14ac:dyDescent="0.35">
      <c r="A1255" t="s">
        <v>3941</v>
      </c>
      <c r="B1255" t="s">
        <v>1938</v>
      </c>
      <c r="C1255" t="s">
        <v>643</v>
      </c>
      <c r="D1255" s="3">
        <v>1</v>
      </c>
      <c r="E1255" s="2">
        <v>2200</v>
      </c>
    </row>
    <row r="1256" spans="1:5" x14ac:dyDescent="0.35">
      <c r="A1256" t="s">
        <v>3942</v>
      </c>
      <c r="B1256" t="s">
        <v>1939</v>
      </c>
      <c r="C1256" t="s">
        <v>673</v>
      </c>
      <c r="D1256" s="3">
        <v>1</v>
      </c>
      <c r="E1256" s="2">
        <v>300</v>
      </c>
    </row>
    <row r="1257" spans="1:5" x14ac:dyDescent="0.35">
      <c r="A1257" t="s">
        <v>3943</v>
      </c>
      <c r="B1257" t="s">
        <v>1940</v>
      </c>
      <c r="C1257" t="s">
        <v>641</v>
      </c>
      <c r="D1257" s="3">
        <v>1</v>
      </c>
      <c r="E1257" s="2">
        <v>1800</v>
      </c>
    </row>
    <row r="1258" spans="1:5" x14ac:dyDescent="0.35">
      <c r="A1258" t="s">
        <v>3944</v>
      </c>
      <c r="B1258" t="s">
        <v>1941</v>
      </c>
      <c r="C1258" t="s">
        <v>671</v>
      </c>
      <c r="D1258" s="3">
        <v>1</v>
      </c>
      <c r="E1258" s="2">
        <v>400</v>
      </c>
    </row>
    <row r="1259" spans="1:5" x14ac:dyDescent="0.35">
      <c r="A1259" t="s">
        <v>3945</v>
      </c>
      <c r="B1259" t="s">
        <v>1942</v>
      </c>
      <c r="C1259" t="s">
        <v>671</v>
      </c>
      <c r="D1259" s="3">
        <v>1</v>
      </c>
      <c r="E1259" s="2">
        <v>400</v>
      </c>
    </row>
    <row r="1260" spans="1:5" x14ac:dyDescent="0.35">
      <c r="A1260" t="s">
        <v>3946</v>
      </c>
      <c r="B1260" t="s">
        <v>1943</v>
      </c>
      <c r="C1260" t="s">
        <v>626</v>
      </c>
      <c r="D1260" s="3">
        <v>1</v>
      </c>
      <c r="E1260" s="2">
        <v>5000</v>
      </c>
    </row>
    <row r="1261" spans="1:5" x14ac:dyDescent="0.35">
      <c r="A1261" t="s">
        <v>3947</v>
      </c>
      <c r="B1261" t="s">
        <v>1944</v>
      </c>
      <c r="C1261" t="s">
        <v>629</v>
      </c>
      <c r="D1261" s="3">
        <v>1</v>
      </c>
      <c r="E1261" s="2">
        <v>300</v>
      </c>
    </row>
    <row r="1262" spans="1:5" x14ac:dyDescent="0.35">
      <c r="A1262" t="s">
        <v>3948</v>
      </c>
      <c r="B1262" t="s">
        <v>1945</v>
      </c>
      <c r="C1262" t="s">
        <v>626</v>
      </c>
      <c r="D1262" s="3">
        <v>1</v>
      </c>
      <c r="E1262" s="2">
        <v>5000</v>
      </c>
    </row>
    <row r="1263" spans="1:5" x14ac:dyDescent="0.35">
      <c r="A1263" t="s">
        <v>3949</v>
      </c>
      <c r="B1263" t="s">
        <v>1946</v>
      </c>
      <c r="C1263" t="s">
        <v>647</v>
      </c>
      <c r="D1263" s="3">
        <v>1</v>
      </c>
      <c r="E1263" s="2">
        <v>4200</v>
      </c>
    </row>
    <row r="1264" spans="1:5" x14ac:dyDescent="0.35">
      <c r="A1264" t="s">
        <v>3950</v>
      </c>
      <c r="B1264" t="s">
        <v>1947</v>
      </c>
      <c r="C1264" t="s">
        <v>673</v>
      </c>
      <c r="D1264" s="3">
        <v>2</v>
      </c>
      <c r="E1264" s="2">
        <v>600</v>
      </c>
    </row>
    <row r="1265" spans="1:5" x14ac:dyDescent="0.35">
      <c r="A1265" t="s">
        <v>3951</v>
      </c>
      <c r="B1265" t="s">
        <v>1948</v>
      </c>
      <c r="C1265" t="s">
        <v>647</v>
      </c>
      <c r="D1265" s="3">
        <v>1</v>
      </c>
      <c r="E1265" s="2">
        <v>4200</v>
      </c>
    </row>
    <row r="1266" spans="1:5" x14ac:dyDescent="0.35">
      <c r="A1266" t="s">
        <v>3952</v>
      </c>
      <c r="B1266" t="s">
        <v>1949</v>
      </c>
      <c r="C1266" t="s">
        <v>658</v>
      </c>
      <c r="D1266" s="3">
        <v>2</v>
      </c>
      <c r="E1266" s="2">
        <v>1500</v>
      </c>
    </row>
    <row r="1267" spans="1:5" x14ac:dyDescent="0.35">
      <c r="A1267" t="s">
        <v>3953</v>
      </c>
      <c r="B1267" t="s">
        <v>1950</v>
      </c>
      <c r="C1267" t="s">
        <v>671</v>
      </c>
      <c r="D1267" s="3">
        <v>1</v>
      </c>
      <c r="E1267" s="2">
        <v>400</v>
      </c>
    </row>
    <row r="1268" spans="1:5" x14ac:dyDescent="0.35">
      <c r="A1268" t="s">
        <v>3954</v>
      </c>
      <c r="B1268" t="s">
        <v>1951</v>
      </c>
      <c r="C1268" t="s">
        <v>620</v>
      </c>
      <c r="D1268" s="3">
        <v>1</v>
      </c>
      <c r="E1268" s="2">
        <v>50</v>
      </c>
    </row>
    <row r="1269" spans="1:5" x14ac:dyDescent="0.35">
      <c r="A1269" t="s">
        <v>3955</v>
      </c>
      <c r="B1269" t="s">
        <v>1952</v>
      </c>
      <c r="C1269" t="s">
        <v>654</v>
      </c>
      <c r="D1269" s="3">
        <v>1</v>
      </c>
      <c r="E1269" s="2">
        <v>100</v>
      </c>
    </row>
    <row r="1270" spans="1:5" x14ac:dyDescent="0.35">
      <c r="A1270" t="s">
        <v>3956</v>
      </c>
      <c r="B1270" t="s">
        <v>1953</v>
      </c>
      <c r="C1270" t="s">
        <v>617</v>
      </c>
      <c r="D1270" s="3">
        <v>1</v>
      </c>
      <c r="E1270" s="2">
        <v>200</v>
      </c>
    </row>
    <row r="1271" spans="1:5" x14ac:dyDescent="0.35">
      <c r="A1271" t="s">
        <v>3957</v>
      </c>
      <c r="B1271" t="s">
        <v>1954</v>
      </c>
      <c r="C1271" t="s">
        <v>660</v>
      </c>
      <c r="D1271" s="3">
        <v>1</v>
      </c>
      <c r="E1271" s="2">
        <v>6500</v>
      </c>
    </row>
    <row r="1272" spans="1:5" x14ac:dyDescent="0.35">
      <c r="A1272" t="s">
        <v>3958</v>
      </c>
      <c r="B1272" t="s">
        <v>1955</v>
      </c>
      <c r="C1272" t="s">
        <v>638</v>
      </c>
      <c r="D1272" s="3">
        <v>1</v>
      </c>
      <c r="E1272" s="2">
        <v>150</v>
      </c>
    </row>
    <row r="1273" spans="1:5" x14ac:dyDescent="0.35">
      <c r="A1273" t="s">
        <v>3959</v>
      </c>
      <c r="B1273" t="s">
        <v>1956</v>
      </c>
      <c r="C1273" t="s">
        <v>623</v>
      </c>
      <c r="D1273" s="3">
        <v>1</v>
      </c>
      <c r="E1273" s="2">
        <v>1200</v>
      </c>
    </row>
    <row r="1274" spans="1:5" x14ac:dyDescent="0.35">
      <c r="A1274" t="s">
        <v>3960</v>
      </c>
      <c r="B1274" t="s">
        <v>1957</v>
      </c>
      <c r="C1274" t="s">
        <v>673</v>
      </c>
      <c r="D1274" s="3">
        <v>1</v>
      </c>
      <c r="E1274" s="2">
        <v>300</v>
      </c>
    </row>
    <row r="1275" spans="1:5" x14ac:dyDescent="0.35">
      <c r="A1275" t="s">
        <v>3961</v>
      </c>
      <c r="B1275" t="s">
        <v>1958</v>
      </c>
      <c r="C1275" t="s">
        <v>633</v>
      </c>
      <c r="D1275" s="3">
        <v>1</v>
      </c>
      <c r="E1275" s="2">
        <v>450</v>
      </c>
    </row>
    <row r="1276" spans="1:5" x14ac:dyDescent="0.35">
      <c r="A1276" t="s">
        <v>3962</v>
      </c>
      <c r="B1276" t="s">
        <v>1959</v>
      </c>
      <c r="C1276" t="s">
        <v>641</v>
      </c>
      <c r="D1276" s="3">
        <v>3</v>
      </c>
      <c r="E1276" s="2">
        <v>5400</v>
      </c>
    </row>
    <row r="1277" spans="1:5" x14ac:dyDescent="0.35">
      <c r="A1277" t="s">
        <v>3963</v>
      </c>
      <c r="B1277" t="s">
        <v>1960</v>
      </c>
      <c r="C1277" t="s">
        <v>617</v>
      </c>
      <c r="D1277" s="3">
        <v>1</v>
      </c>
      <c r="E1277" s="2">
        <v>200</v>
      </c>
    </row>
    <row r="1278" spans="1:5" x14ac:dyDescent="0.35">
      <c r="A1278" t="s">
        <v>3964</v>
      </c>
      <c r="B1278" t="s">
        <v>1961</v>
      </c>
      <c r="C1278" t="s">
        <v>641</v>
      </c>
      <c r="D1278" s="3">
        <v>1</v>
      </c>
      <c r="E1278" s="2">
        <v>1800</v>
      </c>
    </row>
    <row r="1279" spans="1:5" x14ac:dyDescent="0.35">
      <c r="A1279" t="s">
        <v>3965</v>
      </c>
      <c r="B1279" t="s">
        <v>1962</v>
      </c>
      <c r="C1279" t="s">
        <v>665</v>
      </c>
      <c r="D1279" s="3">
        <v>1</v>
      </c>
      <c r="E1279" s="2">
        <v>700</v>
      </c>
    </row>
    <row r="1280" spans="1:5" x14ac:dyDescent="0.35">
      <c r="A1280" t="s">
        <v>3966</v>
      </c>
      <c r="B1280" t="s">
        <v>1963</v>
      </c>
      <c r="C1280" t="s">
        <v>638</v>
      </c>
      <c r="D1280" s="3">
        <v>1</v>
      </c>
      <c r="E1280" s="2">
        <v>150</v>
      </c>
    </row>
    <row r="1281" spans="1:5" x14ac:dyDescent="0.35">
      <c r="A1281" t="s">
        <v>3967</v>
      </c>
      <c r="B1281" t="s">
        <v>1964</v>
      </c>
      <c r="C1281" t="s">
        <v>651</v>
      </c>
      <c r="D1281" s="3">
        <v>2</v>
      </c>
      <c r="E1281" s="2">
        <v>240</v>
      </c>
    </row>
    <row r="1282" spans="1:5" x14ac:dyDescent="0.35">
      <c r="A1282" t="s">
        <v>3968</v>
      </c>
      <c r="B1282" t="s">
        <v>1965</v>
      </c>
      <c r="C1282" t="s">
        <v>651</v>
      </c>
      <c r="D1282" s="3">
        <v>3</v>
      </c>
      <c r="E1282" s="2">
        <v>360</v>
      </c>
    </row>
    <row r="1283" spans="1:5" x14ac:dyDescent="0.35">
      <c r="A1283" t="s">
        <v>3969</v>
      </c>
      <c r="B1283" t="s">
        <v>1966</v>
      </c>
      <c r="C1283" t="s">
        <v>623</v>
      </c>
      <c r="D1283" s="3">
        <v>1</v>
      </c>
      <c r="E1283" s="2">
        <v>1200</v>
      </c>
    </row>
    <row r="1284" spans="1:5" x14ac:dyDescent="0.35">
      <c r="A1284" t="s">
        <v>3970</v>
      </c>
      <c r="B1284" t="s">
        <v>1967</v>
      </c>
      <c r="C1284" t="s">
        <v>673</v>
      </c>
      <c r="D1284" s="3">
        <v>1</v>
      </c>
      <c r="E1284" s="2">
        <v>300</v>
      </c>
    </row>
    <row r="1285" spans="1:5" x14ac:dyDescent="0.35">
      <c r="A1285" t="s">
        <v>3971</v>
      </c>
      <c r="B1285" t="s">
        <v>1968</v>
      </c>
      <c r="C1285" t="s">
        <v>629</v>
      </c>
      <c r="D1285" s="3">
        <v>1</v>
      </c>
      <c r="E1285" s="2">
        <v>300</v>
      </c>
    </row>
    <row r="1286" spans="1:5" x14ac:dyDescent="0.35">
      <c r="A1286" t="s">
        <v>3972</v>
      </c>
      <c r="B1286" t="s">
        <v>1969</v>
      </c>
      <c r="C1286" t="s">
        <v>638</v>
      </c>
      <c r="D1286" s="3">
        <v>1</v>
      </c>
      <c r="E1286" s="2">
        <v>150</v>
      </c>
    </row>
    <row r="1287" spans="1:5" x14ac:dyDescent="0.35">
      <c r="A1287" t="s">
        <v>3973</v>
      </c>
      <c r="B1287" t="s">
        <v>1970</v>
      </c>
      <c r="C1287" t="s">
        <v>667</v>
      </c>
      <c r="D1287" s="3">
        <v>1</v>
      </c>
      <c r="E1287" s="2">
        <v>550</v>
      </c>
    </row>
    <row r="1288" spans="1:5" x14ac:dyDescent="0.35">
      <c r="A1288" t="s">
        <v>3974</v>
      </c>
      <c r="B1288" t="s">
        <v>1971</v>
      </c>
      <c r="C1288" t="s">
        <v>638</v>
      </c>
      <c r="D1288" s="3">
        <v>2</v>
      </c>
      <c r="E1288" s="2">
        <v>300</v>
      </c>
    </row>
    <row r="1289" spans="1:5" x14ac:dyDescent="0.35">
      <c r="A1289" t="s">
        <v>3975</v>
      </c>
      <c r="B1289" t="s">
        <v>1972</v>
      </c>
      <c r="C1289" t="s">
        <v>669</v>
      </c>
      <c r="D1289" s="3">
        <v>1</v>
      </c>
      <c r="E1289" s="2">
        <v>600</v>
      </c>
    </row>
    <row r="1290" spans="1:5" x14ac:dyDescent="0.35">
      <c r="A1290" t="s">
        <v>3976</v>
      </c>
      <c r="B1290" t="s">
        <v>1973</v>
      </c>
      <c r="C1290" t="s">
        <v>633</v>
      </c>
      <c r="D1290" s="3">
        <v>1</v>
      </c>
      <c r="E1290" s="2">
        <v>450</v>
      </c>
    </row>
    <row r="1291" spans="1:5" x14ac:dyDescent="0.35">
      <c r="A1291" t="s">
        <v>3977</v>
      </c>
      <c r="B1291" t="s">
        <v>1974</v>
      </c>
      <c r="C1291" t="s">
        <v>671</v>
      </c>
      <c r="D1291" s="3">
        <v>1</v>
      </c>
      <c r="E1291" s="2">
        <v>400</v>
      </c>
    </row>
    <row r="1292" spans="1:5" x14ac:dyDescent="0.35">
      <c r="A1292" t="s">
        <v>3978</v>
      </c>
      <c r="B1292" t="s">
        <v>1975</v>
      </c>
      <c r="C1292" t="s">
        <v>669</v>
      </c>
      <c r="D1292" s="3">
        <v>2</v>
      </c>
      <c r="E1292" s="2">
        <v>1200</v>
      </c>
    </row>
    <row r="1293" spans="1:5" x14ac:dyDescent="0.35">
      <c r="A1293" t="s">
        <v>3979</v>
      </c>
      <c r="B1293" t="s">
        <v>1976</v>
      </c>
      <c r="C1293" t="s">
        <v>645</v>
      </c>
      <c r="D1293" s="3">
        <v>1</v>
      </c>
      <c r="E1293" s="2">
        <v>3500</v>
      </c>
    </row>
    <row r="1294" spans="1:5" x14ac:dyDescent="0.35">
      <c r="A1294" t="s">
        <v>3980</v>
      </c>
      <c r="B1294" t="s">
        <v>1977</v>
      </c>
      <c r="C1294" t="s">
        <v>673</v>
      </c>
      <c r="D1294" s="3">
        <v>1</v>
      </c>
      <c r="E1294" s="2">
        <v>300</v>
      </c>
    </row>
    <row r="1295" spans="1:5" x14ac:dyDescent="0.35">
      <c r="A1295" t="s">
        <v>3981</v>
      </c>
      <c r="B1295" t="s">
        <v>1978</v>
      </c>
      <c r="C1295" t="s">
        <v>638</v>
      </c>
      <c r="D1295" s="3">
        <v>1</v>
      </c>
      <c r="E1295" s="2">
        <v>150</v>
      </c>
    </row>
    <row r="1296" spans="1:5" x14ac:dyDescent="0.35">
      <c r="A1296" t="s">
        <v>3982</v>
      </c>
      <c r="B1296" t="s">
        <v>1979</v>
      </c>
      <c r="C1296" t="s">
        <v>631</v>
      </c>
      <c r="D1296" s="3">
        <v>1</v>
      </c>
      <c r="E1296" s="2">
        <v>900</v>
      </c>
    </row>
    <row r="1297" spans="1:5" x14ac:dyDescent="0.35">
      <c r="A1297" t="s">
        <v>3983</v>
      </c>
      <c r="B1297" t="s">
        <v>1980</v>
      </c>
      <c r="C1297" t="s">
        <v>669</v>
      </c>
      <c r="D1297" s="3">
        <v>1</v>
      </c>
      <c r="E1297" s="2">
        <v>600</v>
      </c>
    </row>
    <row r="1298" spans="1:5" x14ac:dyDescent="0.35">
      <c r="A1298" t="s">
        <v>3984</v>
      </c>
      <c r="B1298" t="s">
        <v>1981</v>
      </c>
      <c r="C1298" t="s">
        <v>620</v>
      </c>
      <c r="D1298" s="3">
        <v>1</v>
      </c>
      <c r="E1298" s="2">
        <v>50</v>
      </c>
    </row>
    <row r="1299" spans="1:5" x14ac:dyDescent="0.35">
      <c r="A1299" t="s">
        <v>3985</v>
      </c>
      <c r="B1299" t="s">
        <v>1982</v>
      </c>
      <c r="C1299" t="s">
        <v>638</v>
      </c>
      <c r="D1299" s="3">
        <v>1</v>
      </c>
      <c r="E1299" s="2">
        <v>150</v>
      </c>
    </row>
    <row r="1300" spans="1:5" x14ac:dyDescent="0.35">
      <c r="A1300" t="s">
        <v>3986</v>
      </c>
      <c r="B1300" t="s">
        <v>1983</v>
      </c>
      <c r="C1300" t="s">
        <v>656</v>
      </c>
      <c r="D1300" s="3">
        <v>1</v>
      </c>
      <c r="E1300" s="2">
        <v>350</v>
      </c>
    </row>
    <row r="1301" spans="1:5" x14ac:dyDescent="0.35">
      <c r="A1301" t="s">
        <v>3987</v>
      </c>
      <c r="B1301" t="s">
        <v>1984</v>
      </c>
      <c r="C1301" t="s">
        <v>617</v>
      </c>
      <c r="D1301" s="3">
        <v>1</v>
      </c>
      <c r="E1301" s="2">
        <v>200</v>
      </c>
    </row>
    <row r="1302" spans="1:5" x14ac:dyDescent="0.35">
      <c r="A1302" t="s">
        <v>3988</v>
      </c>
      <c r="B1302" t="s">
        <v>1985</v>
      </c>
      <c r="C1302" t="s">
        <v>660</v>
      </c>
      <c r="D1302" s="3">
        <v>1</v>
      </c>
      <c r="E1302" s="2">
        <v>6500</v>
      </c>
    </row>
    <row r="1303" spans="1:5" x14ac:dyDescent="0.35">
      <c r="A1303" t="s">
        <v>3989</v>
      </c>
      <c r="B1303" t="s">
        <v>1986</v>
      </c>
      <c r="C1303" t="s">
        <v>631</v>
      </c>
      <c r="D1303" s="3">
        <v>1</v>
      </c>
      <c r="E1303" s="2">
        <v>900</v>
      </c>
    </row>
    <row r="1304" spans="1:5" x14ac:dyDescent="0.35">
      <c r="A1304" t="s">
        <v>3990</v>
      </c>
      <c r="B1304" t="s">
        <v>1987</v>
      </c>
      <c r="C1304" t="s">
        <v>629</v>
      </c>
      <c r="D1304" s="3">
        <v>1</v>
      </c>
      <c r="E1304" s="2">
        <v>300</v>
      </c>
    </row>
    <row r="1305" spans="1:5" x14ac:dyDescent="0.35">
      <c r="A1305" t="s">
        <v>3991</v>
      </c>
      <c r="B1305" t="s">
        <v>1988</v>
      </c>
      <c r="C1305" t="s">
        <v>620</v>
      </c>
      <c r="D1305" s="3">
        <v>1</v>
      </c>
      <c r="E1305" s="2">
        <v>50</v>
      </c>
    </row>
    <row r="1306" spans="1:5" x14ac:dyDescent="0.35">
      <c r="A1306" t="s">
        <v>3992</v>
      </c>
      <c r="B1306" t="s">
        <v>1989</v>
      </c>
      <c r="C1306" t="s">
        <v>638</v>
      </c>
      <c r="D1306" s="3">
        <v>1</v>
      </c>
      <c r="E1306" s="2">
        <v>150</v>
      </c>
    </row>
    <row r="1307" spans="1:5" x14ac:dyDescent="0.35">
      <c r="A1307" t="s">
        <v>3993</v>
      </c>
      <c r="B1307" t="s">
        <v>1990</v>
      </c>
      <c r="C1307" t="s">
        <v>649</v>
      </c>
      <c r="D1307" s="3">
        <v>1</v>
      </c>
      <c r="E1307" s="2">
        <v>800</v>
      </c>
    </row>
    <row r="1308" spans="1:5" x14ac:dyDescent="0.35">
      <c r="A1308" t="s">
        <v>3994</v>
      </c>
      <c r="B1308" t="s">
        <v>1991</v>
      </c>
      <c r="C1308" t="s">
        <v>626</v>
      </c>
      <c r="D1308" s="3">
        <v>3</v>
      </c>
      <c r="E1308" s="2">
        <v>15000</v>
      </c>
    </row>
    <row r="1309" spans="1:5" x14ac:dyDescent="0.35">
      <c r="A1309" t="s">
        <v>3995</v>
      </c>
      <c r="B1309" t="s">
        <v>1992</v>
      </c>
      <c r="C1309" t="s">
        <v>626</v>
      </c>
      <c r="D1309" s="3">
        <v>1</v>
      </c>
      <c r="E1309" s="2">
        <v>5000</v>
      </c>
    </row>
    <row r="1310" spans="1:5" x14ac:dyDescent="0.35">
      <c r="A1310" t="s">
        <v>3996</v>
      </c>
      <c r="B1310" t="s">
        <v>1993</v>
      </c>
      <c r="C1310" t="s">
        <v>665</v>
      </c>
      <c r="D1310" s="3">
        <v>1</v>
      </c>
      <c r="E1310" s="2">
        <v>700</v>
      </c>
    </row>
    <row r="1311" spans="1:5" x14ac:dyDescent="0.35">
      <c r="A1311" t="s">
        <v>3997</v>
      </c>
      <c r="B1311" t="s">
        <v>1994</v>
      </c>
      <c r="C1311" t="s">
        <v>651</v>
      </c>
      <c r="D1311" s="3">
        <v>1</v>
      </c>
      <c r="E1311" s="2">
        <v>120</v>
      </c>
    </row>
    <row r="1312" spans="1:5" x14ac:dyDescent="0.35">
      <c r="A1312" t="s">
        <v>3998</v>
      </c>
      <c r="B1312" t="s">
        <v>1995</v>
      </c>
      <c r="C1312" t="s">
        <v>635</v>
      </c>
      <c r="D1312" s="3">
        <v>1</v>
      </c>
      <c r="E1312" s="2">
        <v>180</v>
      </c>
    </row>
    <row r="1313" spans="1:5" x14ac:dyDescent="0.35">
      <c r="A1313" t="s">
        <v>3999</v>
      </c>
      <c r="B1313" t="s">
        <v>1996</v>
      </c>
      <c r="C1313" t="s">
        <v>626</v>
      </c>
      <c r="D1313" s="3">
        <v>1</v>
      </c>
      <c r="E1313" s="2">
        <v>5000</v>
      </c>
    </row>
    <row r="1314" spans="1:5" x14ac:dyDescent="0.35">
      <c r="A1314" t="s">
        <v>4000</v>
      </c>
      <c r="B1314" t="s">
        <v>1997</v>
      </c>
      <c r="C1314" t="s">
        <v>654</v>
      </c>
      <c r="D1314" s="3">
        <v>1</v>
      </c>
      <c r="E1314" s="2">
        <v>100</v>
      </c>
    </row>
    <row r="1315" spans="1:5" x14ac:dyDescent="0.35">
      <c r="A1315" t="s">
        <v>4001</v>
      </c>
      <c r="B1315" t="s">
        <v>1998</v>
      </c>
      <c r="C1315" t="s">
        <v>665</v>
      </c>
      <c r="D1315" s="3">
        <v>1</v>
      </c>
      <c r="E1315" s="2">
        <v>700</v>
      </c>
    </row>
    <row r="1316" spans="1:5" x14ac:dyDescent="0.35">
      <c r="A1316" t="s">
        <v>4002</v>
      </c>
      <c r="B1316" t="s">
        <v>1999</v>
      </c>
      <c r="C1316" t="s">
        <v>626</v>
      </c>
      <c r="D1316" s="3">
        <v>1</v>
      </c>
      <c r="E1316" s="2">
        <v>5000</v>
      </c>
    </row>
    <row r="1317" spans="1:5" x14ac:dyDescent="0.35">
      <c r="A1317" t="s">
        <v>4003</v>
      </c>
      <c r="B1317" t="s">
        <v>2000</v>
      </c>
      <c r="C1317" t="s">
        <v>654</v>
      </c>
      <c r="D1317" s="3">
        <v>2</v>
      </c>
      <c r="E1317" s="2">
        <v>200</v>
      </c>
    </row>
    <row r="1318" spans="1:5" x14ac:dyDescent="0.35">
      <c r="A1318" t="s">
        <v>4004</v>
      </c>
      <c r="B1318" t="s">
        <v>2001</v>
      </c>
      <c r="C1318" t="s">
        <v>667</v>
      </c>
      <c r="D1318" s="3">
        <v>1</v>
      </c>
      <c r="E1318" s="2">
        <v>550</v>
      </c>
    </row>
    <row r="1319" spans="1:5" x14ac:dyDescent="0.35">
      <c r="A1319" t="s">
        <v>4005</v>
      </c>
      <c r="B1319" t="s">
        <v>2002</v>
      </c>
      <c r="C1319" t="s">
        <v>645</v>
      </c>
      <c r="D1319" s="3">
        <v>1</v>
      </c>
      <c r="E1319" s="2">
        <v>3500</v>
      </c>
    </row>
    <row r="1320" spans="1:5" x14ac:dyDescent="0.35">
      <c r="A1320" t="s">
        <v>4006</v>
      </c>
      <c r="B1320" t="s">
        <v>2003</v>
      </c>
      <c r="C1320" t="s">
        <v>654</v>
      </c>
      <c r="D1320" s="3">
        <v>3</v>
      </c>
      <c r="E1320" s="2">
        <v>300</v>
      </c>
    </row>
    <row r="1321" spans="1:5" x14ac:dyDescent="0.35">
      <c r="A1321" t="s">
        <v>4007</v>
      </c>
      <c r="B1321" t="s">
        <v>2004</v>
      </c>
      <c r="C1321" t="s">
        <v>660</v>
      </c>
      <c r="D1321" s="3">
        <v>1</v>
      </c>
      <c r="E1321" s="2">
        <v>6500</v>
      </c>
    </row>
    <row r="1322" spans="1:5" x14ac:dyDescent="0.35">
      <c r="A1322" t="s">
        <v>4008</v>
      </c>
      <c r="B1322" t="s">
        <v>2005</v>
      </c>
      <c r="C1322" t="s">
        <v>635</v>
      </c>
      <c r="D1322" s="3">
        <v>1</v>
      </c>
      <c r="E1322" s="2">
        <v>180</v>
      </c>
    </row>
    <row r="1323" spans="1:5" x14ac:dyDescent="0.35">
      <c r="A1323" t="s">
        <v>4009</v>
      </c>
      <c r="B1323" t="s">
        <v>2006</v>
      </c>
      <c r="C1323" t="s">
        <v>631</v>
      </c>
      <c r="D1323" s="3">
        <v>1</v>
      </c>
      <c r="E1323" s="2">
        <v>900</v>
      </c>
    </row>
    <row r="1324" spans="1:5" x14ac:dyDescent="0.35">
      <c r="A1324" t="s">
        <v>4010</v>
      </c>
      <c r="B1324" t="s">
        <v>2007</v>
      </c>
      <c r="C1324" t="s">
        <v>641</v>
      </c>
      <c r="D1324" s="3">
        <v>2</v>
      </c>
      <c r="E1324" s="2">
        <v>3600</v>
      </c>
    </row>
    <row r="1325" spans="1:5" x14ac:dyDescent="0.35">
      <c r="A1325" t="s">
        <v>4011</v>
      </c>
      <c r="B1325" t="s">
        <v>2008</v>
      </c>
      <c r="C1325" t="s">
        <v>629</v>
      </c>
      <c r="D1325" s="3">
        <v>1</v>
      </c>
      <c r="E1325" s="2">
        <v>300</v>
      </c>
    </row>
    <row r="1326" spans="1:5" x14ac:dyDescent="0.35">
      <c r="A1326" t="s">
        <v>4012</v>
      </c>
      <c r="B1326" t="s">
        <v>2009</v>
      </c>
      <c r="C1326" t="s">
        <v>658</v>
      </c>
      <c r="D1326" s="3">
        <v>1</v>
      </c>
      <c r="E1326" s="2">
        <v>750</v>
      </c>
    </row>
    <row r="1327" spans="1:5" x14ac:dyDescent="0.35">
      <c r="A1327" t="s">
        <v>4013</v>
      </c>
      <c r="B1327" t="s">
        <v>2010</v>
      </c>
      <c r="C1327" t="s">
        <v>641</v>
      </c>
      <c r="D1327" s="3">
        <v>1</v>
      </c>
      <c r="E1327" s="2">
        <v>1800</v>
      </c>
    </row>
    <row r="1328" spans="1:5" x14ac:dyDescent="0.35">
      <c r="A1328" t="s">
        <v>4014</v>
      </c>
      <c r="B1328" t="s">
        <v>2011</v>
      </c>
      <c r="C1328" t="s">
        <v>641</v>
      </c>
      <c r="D1328" s="3">
        <v>1</v>
      </c>
      <c r="E1328" s="2">
        <v>1800</v>
      </c>
    </row>
    <row r="1329" spans="1:5" x14ac:dyDescent="0.35">
      <c r="A1329" t="s">
        <v>4015</v>
      </c>
      <c r="B1329" t="s">
        <v>2012</v>
      </c>
      <c r="C1329" t="s">
        <v>633</v>
      </c>
      <c r="D1329" s="3">
        <v>1</v>
      </c>
      <c r="E1329" s="2">
        <v>450</v>
      </c>
    </row>
    <row r="1330" spans="1:5" x14ac:dyDescent="0.35">
      <c r="A1330" t="s">
        <v>4016</v>
      </c>
      <c r="B1330" t="s">
        <v>2013</v>
      </c>
      <c r="C1330" t="s">
        <v>658</v>
      </c>
      <c r="D1330" s="3">
        <v>1</v>
      </c>
      <c r="E1330" s="2">
        <v>750</v>
      </c>
    </row>
    <row r="1331" spans="1:5" x14ac:dyDescent="0.35">
      <c r="A1331" t="s">
        <v>4017</v>
      </c>
      <c r="B1331" t="s">
        <v>2014</v>
      </c>
      <c r="C1331" t="s">
        <v>617</v>
      </c>
      <c r="D1331" s="3">
        <v>1</v>
      </c>
      <c r="E1331" s="2">
        <v>200</v>
      </c>
    </row>
    <row r="1332" spans="1:5" x14ac:dyDescent="0.35">
      <c r="A1332" t="s">
        <v>4018</v>
      </c>
      <c r="B1332" t="s">
        <v>2015</v>
      </c>
      <c r="C1332" t="s">
        <v>633</v>
      </c>
      <c r="D1332" s="3">
        <v>1</v>
      </c>
      <c r="E1332" s="2">
        <v>450</v>
      </c>
    </row>
    <row r="1333" spans="1:5" x14ac:dyDescent="0.35">
      <c r="A1333" t="s">
        <v>4019</v>
      </c>
      <c r="B1333" t="s">
        <v>2016</v>
      </c>
      <c r="C1333" t="s">
        <v>665</v>
      </c>
      <c r="D1333" s="3">
        <v>1</v>
      </c>
      <c r="E1333" s="2">
        <v>700</v>
      </c>
    </row>
    <row r="1334" spans="1:5" x14ac:dyDescent="0.35">
      <c r="A1334" t="s">
        <v>4020</v>
      </c>
      <c r="B1334" t="s">
        <v>2017</v>
      </c>
      <c r="C1334" t="s">
        <v>617</v>
      </c>
      <c r="D1334" s="3">
        <v>1</v>
      </c>
      <c r="E1334" s="2">
        <v>200</v>
      </c>
    </row>
    <row r="1335" spans="1:5" x14ac:dyDescent="0.35">
      <c r="A1335" t="s">
        <v>4021</v>
      </c>
      <c r="B1335" t="s">
        <v>2018</v>
      </c>
      <c r="C1335" t="s">
        <v>651</v>
      </c>
      <c r="D1335" s="3">
        <v>1</v>
      </c>
      <c r="E1335" s="2">
        <v>120</v>
      </c>
    </row>
    <row r="1336" spans="1:5" x14ac:dyDescent="0.35">
      <c r="A1336" t="s">
        <v>4022</v>
      </c>
      <c r="B1336" t="s">
        <v>2019</v>
      </c>
      <c r="C1336" t="s">
        <v>626</v>
      </c>
      <c r="D1336" s="3">
        <v>1</v>
      </c>
      <c r="E1336" s="2">
        <v>5000</v>
      </c>
    </row>
    <row r="1337" spans="1:5" x14ac:dyDescent="0.35">
      <c r="A1337" t="s">
        <v>4023</v>
      </c>
      <c r="B1337" t="s">
        <v>2020</v>
      </c>
      <c r="C1337" t="s">
        <v>663</v>
      </c>
      <c r="D1337" s="3">
        <v>1</v>
      </c>
      <c r="E1337" s="2">
        <v>1400</v>
      </c>
    </row>
    <row r="1338" spans="1:5" x14ac:dyDescent="0.35">
      <c r="A1338" t="s">
        <v>4024</v>
      </c>
      <c r="B1338" t="s">
        <v>2021</v>
      </c>
      <c r="C1338" t="s">
        <v>641</v>
      </c>
      <c r="D1338" s="3">
        <v>1</v>
      </c>
      <c r="E1338" s="2">
        <v>1800</v>
      </c>
    </row>
    <row r="1339" spans="1:5" x14ac:dyDescent="0.35">
      <c r="A1339" t="s">
        <v>4025</v>
      </c>
      <c r="B1339" t="s">
        <v>2022</v>
      </c>
      <c r="C1339" t="s">
        <v>669</v>
      </c>
      <c r="D1339" s="3">
        <v>1</v>
      </c>
      <c r="E1339" s="2">
        <v>600</v>
      </c>
    </row>
    <row r="1340" spans="1:5" x14ac:dyDescent="0.35">
      <c r="A1340" t="s">
        <v>4026</v>
      </c>
      <c r="B1340" t="s">
        <v>2023</v>
      </c>
      <c r="C1340" t="s">
        <v>638</v>
      </c>
      <c r="D1340" s="3">
        <v>1</v>
      </c>
      <c r="E1340" s="2">
        <v>150</v>
      </c>
    </row>
    <row r="1341" spans="1:5" x14ac:dyDescent="0.35">
      <c r="A1341" t="s">
        <v>4027</v>
      </c>
      <c r="B1341" t="s">
        <v>2024</v>
      </c>
      <c r="C1341" t="s">
        <v>620</v>
      </c>
      <c r="D1341" s="3">
        <v>1</v>
      </c>
      <c r="E1341" s="2">
        <v>50</v>
      </c>
    </row>
    <row r="1342" spans="1:5" x14ac:dyDescent="0.35">
      <c r="A1342" t="s">
        <v>4028</v>
      </c>
      <c r="B1342" t="s">
        <v>2025</v>
      </c>
      <c r="C1342" t="s">
        <v>649</v>
      </c>
      <c r="D1342" s="3">
        <v>1</v>
      </c>
      <c r="E1342" s="2">
        <v>800</v>
      </c>
    </row>
    <row r="1343" spans="1:5" x14ac:dyDescent="0.35">
      <c r="A1343" t="s">
        <v>4029</v>
      </c>
      <c r="B1343" t="s">
        <v>2026</v>
      </c>
      <c r="C1343" t="s">
        <v>654</v>
      </c>
      <c r="D1343" s="3">
        <v>1</v>
      </c>
      <c r="E1343" s="2">
        <v>100</v>
      </c>
    </row>
    <row r="1344" spans="1:5" x14ac:dyDescent="0.35">
      <c r="A1344" t="s">
        <v>4030</v>
      </c>
      <c r="B1344" t="s">
        <v>2027</v>
      </c>
      <c r="C1344" t="s">
        <v>617</v>
      </c>
      <c r="D1344" s="3">
        <v>1</v>
      </c>
      <c r="E1344" s="2">
        <v>200</v>
      </c>
    </row>
    <row r="1345" spans="1:5" x14ac:dyDescent="0.35">
      <c r="A1345" t="s">
        <v>4031</v>
      </c>
      <c r="B1345" t="s">
        <v>2028</v>
      </c>
      <c r="C1345" t="s">
        <v>620</v>
      </c>
      <c r="D1345" s="3">
        <v>2</v>
      </c>
      <c r="E1345" s="2">
        <v>100</v>
      </c>
    </row>
    <row r="1346" spans="1:5" x14ac:dyDescent="0.35">
      <c r="A1346" t="s">
        <v>4032</v>
      </c>
      <c r="B1346" t="s">
        <v>2029</v>
      </c>
      <c r="C1346" t="s">
        <v>633</v>
      </c>
      <c r="D1346" s="3">
        <v>1</v>
      </c>
      <c r="E1346" s="2">
        <v>450</v>
      </c>
    </row>
    <row r="1347" spans="1:5" x14ac:dyDescent="0.35">
      <c r="A1347" t="s">
        <v>4033</v>
      </c>
      <c r="B1347" t="s">
        <v>2030</v>
      </c>
      <c r="C1347" t="s">
        <v>641</v>
      </c>
      <c r="D1347" s="3">
        <v>1</v>
      </c>
      <c r="E1347" s="2">
        <v>1800</v>
      </c>
    </row>
    <row r="1348" spans="1:5" x14ac:dyDescent="0.35">
      <c r="A1348" t="s">
        <v>4034</v>
      </c>
      <c r="B1348" t="s">
        <v>2031</v>
      </c>
      <c r="C1348" t="s">
        <v>667</v>
      </c>
      <c r="D1348" s="3">
        <v>1</v>
      </c>
      <c r="E1348" s="2">
        <v>550</v>
      </c>
    </row>
    <row r="1349" spans="1:5" x14ac:dyDescent="0.35">
      <c r="A1349" t="s">
        <v>4035</v>
      </c>
      <c r="B1349" t="s">
        <v>2032</v>
      </c>
      <c r="C1349" t="s">
        <v>663</v>
      </c>
      <c r="D1349" s="3">
        <v>1</v>
      </c>
      <c r="E1349" s="2">
        <v>1400</v>
      </c>
    </row>
    <row r="1350" spans="1:5" x14ac:dyDescent="0.35">
      <c r="A1350" t="s">
        <v>4036</v>
      </c>
      <c r="B1350" t="s">
        <v>2033</v>
      </c>
      <c r="C1350" t="s">
        <v>617</v>
      </c>
      <c r="D1350" s="3">
        <v>1</v>
      </c>
      <c r="E1350" s="2">
        <v>200</v>
      </c>
    </row>
    <row r="1351" spans="1:5" x14ac:dyDescent="0.35">
      <c r="A1351" t="s">
        <v>4037</v>
      </c>
      <c r="B1351" t="s">
        <v>2034</v>
      </c>
      <c r="C1351" t="s">
        <v>647</v>
      </c>
      <c r="D1351" s="3">
        <v>1</v>
      </c>
      <c r="E1351" s="2">
        <v>4200</v>
      </c>
    </row>
    <row r="1352" spans="1:5" x14ac:dyDescent="0.35">
      <c r="A1352" t="s">
        <v>4038</v>
      </c>
      <c r="B1352" t="s">
        <v>2035</v>
      </c>
      <c r="C1352" t="s">
        <v>617</v>
      </c>
      <c r="D1352" s="3">
        <v>1</v>
      </c>
      <c r="E1352" s="2">
        <v>200</v>
      </c>
    </row>
    <row r="1353" spans="1:5" x14ac:dyDescent="0.35">
      <c r="A1353" t="s">
        <v>4039</v>
      </c>
      <c r="B1353" t="s">
        <v>2036</v>
      </c>
      <c r="C1353" t="s">
        <v>629</v>
      </c>
      <c r="D1353" s="3">
        <v>1</v>
      </c>
      <c r="E1353" s="2">
        <v>300</v>
      </c>
    </row>
    <row r="1354" spans="1:5" x14ac:dyDescent="0.35">
      <c r="A1354" t="s">
        <v>4040</v>
      </c>
      <c r="B1354" t="s">
        <v>2037</v>
      </c>
      <c r="C1354" t="s">
        <v>654</v>
      </c>
      <c r="D1354" s="3">
        <v>1</v>
      </c>
      <c r="E1354" s="2">
        <v>100</v>
      </c>
    </row>
    <row r="1355" spans="1:5" x14ac:dyDescent="0.35">
      <c r="A1355" t="s">
        <v>4041</v>
      </c>
      <c r="B1355" t="s">
        <v>2038</v>
      </c>
      <c r="C1355" t="s">
        <v>651</v>
      </c>
      <c r="D1355" s="3">
        <v>1</v>
      </c>
      <c r="E1355" s="2">
        <v>120</v>
      </c>
    </row>
    <row r="1356" spans="1:5" x14ac:dyDescent="0.35">
      <c r="A1356" t="s">
        <v>4042</v>
      </c>
      <c r="B1356" t="s">
        <v>2039</v>
      </c>
      <c r="C1356" t="s">
        <v>656</v>
      </c>
      <c r="D1356" s="3">
        <v>3</v>
      </c>
      <c r="E1356" s="2">
        <v>1050</v>
      </c>
    </row>
    <row r="1357" spans="1:5" x14ac:dyDescent="0.35">
      <c r="A1357" t="s">
        <v>4043</v>
      </c>
      <c r="B1357" t="s">
        <v>2040</v>
      </c>
      <c r="C1357" t="s">
        <v>669</v>
      </c>
      <c r="D1357" s="3">
        <v>1</v>
      </c>
      <c r="E1357" s="2">
        <v>600</v>
      </c>
    </row>
    <row r="1358" spans="1:5" x14ac:dyDescent="0.35">
      <c r="A1358" t="s">
        <v>4044</v>
      </c>
      <c r="B1358" t="s">
        <v>2041</v>
      </c>
      <c r="C1358" t="s">
        <v>654</v>
      </c>
      <c r="D1358" s="3">
        <v>1</v>
      </c>
      <c r="E1358" s="2">
        <v>100</v>
      </c>
    </row>
    <row r="1359" spans="1:5" x14ac:dyDescent="0.35">
      <c r="A1359" t="s">
        <v>4045</v>
      </c>
      <c r="B1359" t="s">
        <v>2042</v>
      </c>
      <c r="C1359" t="s">
        <v>647</v>
      </c>
      <c r="D1359" s="3">
        <v>1</v>
      </c>
      <c r="E1359" s="2">
        <v>4200</v>
      </c>
    </row>
    <row r="1360" spans="1:5" x14ac:dyDescent="0.35">
      <c r="A1360" t="s">
        <v>4046</v>
      </c>
      <c r="B1360" t="s">
        <v>2043</v>
      </c>
      <c r="C1360" t="s">
        <v>643</v>
      </c>
      <c r="D1360" s="3">
        <v>2</v>
      </c>
      <c r="E1360" s="2">
        <v>4400</v>
      </c>
    </row>
    <row r="1361" spans="1:5" x14ac:dyDescent="0.35">
      <c r="A1361" t="s">
        <v>4047</v>
      </c>
      <c r="B1361" t="s">
        <v>2044</v>
      </c>
      <c r="C1361" t="s">
        <v>656</v>
      </c>
      <c r="D1361" s="3">
        <v>1</v>
      </c>
      <c r="E1361" s="2">
        <v>350</v>
      </c>
    </row>
    <row r="1362" spans="1:5" x14ac:dyDescent="0.35">
      <c r="A1362" t="s">
        <v>4048</v>
      </c>
      <c r="B1362" t="s">
        <v>2045</v>
      </c>
      <c r="C1362" t="s">
        <v>656</v>
      </c>
      <c r="D1362" s="3">
        <v>2</v>
      </c>
      <c r="E1362" s="2">
        <v>700</v>
      </c>
    </row>
    <row r="1363" spans="1:5" x14ac:dyDescent="0.35">
      <c r="A1363" t="s">
        <v>4049</v>
      </c>
      <c r="B1363" t="s">
        <v>2046</v>
      </c>
      <c r="C1363" t="s">
        <v>620</v>
      </c>
      <c r="D1363" s="3">
        <v>1</v>
      </c>
      <c r="E1363" s="2">
        <v>50</v>
      </c>
    </row>
    <row r="1364" spans="1:5" x14ac:dyDescent="0.35">
      <c r="A1364" t="s">
        <v>4050</v>
      </c>
      <c r="B1364" t="s">
        <v>2047</v>
      </c>
      <c r="C1364" t="s">
        <v>647</v>
      </c>
      <c r="D1364" s="3">
        <v>1</v>
      </c>
      <c r="E1364" s="2">
        <v>4200</v>
      </c>
    </row>
    <row r="1365" spans="1:5" x14ac:dyDescent="0.35">
      <c r="A1365" t="s">
        <v>4051</v>
      </c>
      <c r="B1365" t="s">
        <v>2048</v>
      </c>
      <c r="C1365" t="s">
        <v>649</v>
      </c>
      <c r="D1365" s="3">
        <v>1</v>
      </c>
      <c r="E1365" s="2">
        <v>800</v>
      </c>
    </row>
    <row r="1366" spans="1:5" x14ac:dyDescent="0.35">
      <c r="A1366" t="s">
        <v>4052</v>
      </c>
      <c r="B1366" t="s">
        <v>2049</v>
      </c>
      <c r="C1366" t="s">
        <v>643</v>
      </c>
      <c r="D1366" s="3">
        <v>1</v>
      </c>
      <c r="E1366" s="2">
        <v>2200</v>
      </c>
    </row>
    <row r="1367" spans="1:5" x14ac:dyDescent="0.35">
      <c r="A1367" t="s">
        <v>4053</v>
      </c>
      <c r="B1367" t="s">
        <v>2050</v>
      </c>
      <c r="C1367" t="s">
        <v>641</v>
      </c>
      <c r="D1367" s="3">
        <v>1</v>
      </c>
      <c r="E1367" s="2">
        <v>1800</v>
      </c>
    </row>
    <row r="1368" spans="1:5" x14ac:dyDescent="0.35">
      <c r="A1368" t="s">
        <v>4054</v>
      </c>
      <c r="B1368" t="s">
        <v>2051</v>
      </c>
      <c r="C1368" t="s">
        <v>623</v>
      </c>
      <c r="D1368" s="3">
        <v>1</v>
      </c>
      <c r="E1368" s="2">
        <v>1200</v>
      </c>
    </row>
    <row r="1369" spans="1:5" x14ac:dyDescent="0.35">
      <c r="A1369" t="s">
        <v>4055</v>
      </c>
      <c r="B1369" t="s">
        <v>2052</v>
      </c>
      <c r="C1369" t="s">
        <v>656</v>
      </c>
      <c r="D1369" s="3">
        <v>1</v>
      </c>
      <c r="E1369" s="2">
        <v>350</v>
      </c>
    </row>
    <row r="1370" spans="1:5" x14ac:dyDescent="0.35">
      <c r="A1370" t="s">
        <v>4056</v>
      </c>
      <c r="B1370" t="s">
        <v>2053</v>
      </c>
      <c r="C1370" t="s">
        <v>651</v>
      </c>
      <c r="D1370" s="3">
        <v>1</v>
      </c>
      <c r="E1370" s="2">
        <v>120</v>
      </c>
    </row>
    <row r="1371" spans="1:5" x14ac:dyDescent="0.35">
      <c r="A1371" t="s">
        <v>4057</v>
      </c>
      <c r="B1371" t="s">
        <v>2054</v>
      </c>
      <c r="C1371" t="s">
        <v>638</v>
      </c>
      <c r="D1371" s="3">
        <v>1</v>
      </c>
      <c r="E1371" s="2">
        <v>150</v>
      </c>
    </row>
    <row r="1372" spans="1:5" x14ac:dyDescent="0.35">
      <c r="A1372" t="s">
        <v>4058</v>
      </c>
      <c r="B1372" t="s">
        <v>2055</v>
      </c>
      <c r="C1372" t="s">
        <v>641</v>
      </c>
      <c r="D1372" s="3">
        <v>3</v>
      </c>
      <c r="E1372" s="2">
        <v>5400</v>
      </c>
    </row>
    <row r="1373" spans="1:5" x14ac:dyDescent="0.35">
      <c r="A1373" t="s">
        <v>4059</v>
      </c>
      <c r="B1373" t="s">
        <v>2056</v>
      </c>
      <c r="C1373" t="s">
        <v>635</v>
      </c>
      <c r="D1373" s="3">
        <v>1</v>
      </c>
      <c r="E1373" s="2">
        <v>180</v>
      </c>
    </row>
    <row r="1374" spans="1:5" x14ac:dyDescent="0.35">
      <c r="A1374" t="s">
        <v>4060</v>
      </c>
      <c r="B1374" t="s">
        <v>2057</v>
      </c>
      <c r="C1374" t="s">
        <v>665</v>
      </c>
      <c r="D1374" s="3">
        <v>3</v>
      </c>
      <c r="E1374" s="2">
        <v>2100</v>
      </c>
    </row>
    <row r="1375" spans="1:5" x14ac:dyDescent="0.35">
      <c r="A1375" t="s">
        <v>4061</v>
      </c>
      <c r="B1375" t="s">
        <v>2058</v>
      </c>
      <c r="C1375" t="s">
        <v>647</v>
      </c>
      <c r="D1375" s="3">
        <v>1</v>
      </c>
      <c r="E1375" s="2">
        <v>4200</v>
      </c>
    </row>
    <row r="1376" spans="1:5" x14ac:dyDescent="0.35">
      <c r="A1376" t="s">
        <v>4062</v>
      </c>
      <c r="B1376" t="s">
        <v>2059</v>
      </c>
      <c r="C1376" t="s">
        <v>658</v>
      </c>
      <c r="D1376" s="3">
        <v>2</v>
      </c>
      <c r="E1376" s="2">
        <v>1500</v>
      </c>
    </row>
    <row r="1377" spans="1:5" x14ac:dyDescent="0.35">
      <c r="A1377" t="s">
        <v>4063</v>
      </c>
      <c r="B1377" t="s">
        <v>2060</v>
      </c>
      <c r="C1377" t="s">
        <v>629</v>
      </c>
      <c r="D1377" s="3">
        <v>1</v>
      </c>
      <c r="E1377" s="2">
        <v>300</v>
      </c>
    </row>
    <row r="1378" spans="1:5" x14ac:dyDescent="0.35">
      <c r="A1378" t="s">
        <v>4064</v>
      </c>
      <c r="B1378" t="s">
        <v>2061</v>
      </c>
      <c r="C1378" t="s">
        <v>631</v>
      </c>
      <c r="D1378" s="3">
        <v>1</v>
      </c>
      <c r="E1378" s="2">
        <v>900</v>
      </c>
    </row>
    <row r="1379" spans="1:5" x14ac:dyDescent="0.35">
      <c r="A1379" t="s">
        <v>4065</v>
      </c>
      <c r="B1379" t="s">
        <v>2062</v>
      </c>
      <c r="C1379" t="s">
        <v>656</v>
      </c>
      <c r="D1379" s="3">
        <v>1</v>
      </c>
      <c r="E1379" s="2">
        <v>350</v>
      </c>
    </row>
    <row r="1380" spans="1:5" x14ac:dyDescent="0.35">
      <c r="A1380" t="s">
        <v>4066</v>
      </c>
      <c r="B1380" t="s">
        <v>2063</v>
      </c>
      <c r="C1380" t="s">
        <v>643</v>
      </c>
      <c r="D1380" s="3">
        <v>1</v>
      </c>
      <c r="E1380" s="2">
        <v>2200</v>
      </c>
    </row>
    <row r="1381" spans="1:5" x14ac:dyDescent="0.35">
      <c r="A1381" t="s">
        <v>4067</v>
      </c>
      <c r="B1381" t="s">
        <v>2064</v>
      </c>
      <c r="C1381" t="s">
        <v>663</v>
      </c>
      <c r="D1381" s="3">
        <v>1</v>
      </c>
      <c r="E1381" s="2">
        <v>1400</v>
      </c>
    </row>
    <row r="1382" spans="1:5" x14ac:dyDescent="0.35">
      <c r="A1382" t="s">
        <v>4068</v>
      </c>
      <c r="B1382" t="s">
        <v>2065</v>
      </c>
      <c r="C1382" t="s">
        <v>654</v>
      </c>
      <c r="D1382" s="3">
        <v>1</v>
      </c>
      <c r="E1382" s="2">
        <v>100</v>
      </c>
    </row>
    <row r="1383" spans="1:5" x14ac:dyDescent="0.35">
      <c r="A1383" t="s">
        <v>4069</v>
      </c>
      <c r="B1383" t="s">
        <v>2066</v>
      </c>
      <c r="C1383" t="s">
        <v>638</v>
      </c>
      <c r="D1383" s="3">
        <v>3</v>
      </c>
      <c r="E1383" s="2">
        <v>450</v>
      </c>
    </row>
    <row r="1384" spans="1:5" x14ac:dyDescent="0.35">
      <c r="A1384" t="s">
        <v>4070</v>
      </c>
      <c r="B1384" t="s">
        <v>2067</v>
      </c>
      <c r="C1384" t="s">
        <v>620</v>
      </c>
      <c r="D1384" s="3">
        <v>3</v>
      </c>
      <c r="E1384" s="2">
        <v>150</v>
      </c>
    </row>
    <row r="1385" spans="1:5" x14ac:dyDescent="0.35">
      <c r="A1385" t="s">
        <v>4071</v>
      </c>
      <c r="B1385" t="s">
        <v>2068</v>
      </c>
      <c r="C1385" t="s">
        <v>629</v>
      </c>
      <c r="D1385" s="3">
        <v>3</v>
      </c>
      <c r="E1385" s="2">
        <v>900</v>
      </c>
    </row>
    <row r="1386" spans="1:5" x14ac:dyDescent="0.35">
      <c r="A1386" t="s">
        <v>4072</v>
      </c>
      <c r="B1386" t="s">
        <v>2069</v>
      </c>
      <c r="C1386" t="s">
        <v>617</v>
      </c>
      <c r="D1386" s="3">
        <v>3</v>
      </c>
      <c r="E1386" s="2">
        <v>600</v>
      </c>
    </row>
    <row r="1387" spans="1:5" x14ac:dyDescent="0.35">
      <c r="A1387" t="s">
        <v>4073</v>
      </c>
      <c r="B1387" t="s">
        <v>2070</v>
      </c>
      <c r="C1387" t="s">
        <v>626</v>
      </c>
      <c r="D1387" s="3">
        <v>1</v>
      </c>
      <c r="E1387" s="2">
        <v>5000</v>
      </c>
    </row>
    <row r="1388" spans="1:5" x14ac:dyDescent="0.35">
      <c r="A1388" t="s">
        <v>4074</v>
      </c>
      <c r="B1388" t="s">
        <v>2071</v>
      </c>
      <c r="C1388" t="s">
        <v>626</v>
      </c>
      <c r="D1388" s="3">
        <v>3</v>
      </c>
      <c r="E1388" s="2">
        <v>15000</v>
      </c>
    </row>
    <row r="1389" spans="1:5" x14ac:dyDescent="0.35">
      <c r="A1389" t="s">
        <v>4075</v>
      </c>
      <c r="B1389" t="s">
        <v>2072</v>
      </c>
      <c r="C1389" t="s">
        <v>667</v>
      </c>
      <c r="D1389" s="3">
        <v>2</v>
      </c>
      <c r="E1389" s="2">
        <v>1100</v>
      </c>
    </row>
    <row r="1390" spans="1:5" x14ac:dyDescent="0.35">
      <c r="A1390" t="s">
        <v>4076</v>
      </c>
      <c r="B1390" t="s">
        <v>2073</v>
      </c>
      <c r="C1390" t="s">
        <v>673</v>
      </c>
      <c r="D1390" s="3">
        <v>1</v>
      </c>
      <c r="E1390" s="2">
        <v>300</v>
      </c>
    </row>
    <row r="1391" spans="1:5" x14ac:dyDescent="0.35">
      <c r="A1391" t="s">
        <v>4077</v>
      </c>
      <c r="B1391" t="s">
        <v>2074</v>
      </c>
      <c r="C1391" t="s">
        <v>623</v>
      </c>
      <c r="D1391" s="3">
        <v>1</v>
      </c>
      <c r="E1391" s="2">
        <v>1200</v>
      </c>
    </row>
    <row r="1392" spans="1:5" x14ac:dyDescent="0.35">
      <c r="A1392" t="s">
        <v>4078</v>
      </c>
      <c r="B1392" t="s">
        <v>2075</v>
      </c>
      <c r="C1392" t="s">
        <v>638</v>
      </c>
      <c r="D1392" s="3">
        <v>2</v>
      </c>
      <c r="E1392" s="2">
        <v>300</v>
      </c>
    </row>
    <row r="1393" spans="1:5" x14ac:dyDescent="0.35">
      <c r="A1393" t="s">
        <v>4079</v>
      </c>
      <c r="B1393" t="s">
        <v>2076</v>
      </c>
      <c r="C1393" t="s">
        <v>667</v>
      </c>
      <c r="D1393" s="3">
        <v>1</v>
      </c>
      <c r="E1393" s="2">
        <v>550</v>
      </c>
    </row>
    <row r="1394" spans="1:5" x14ac:dyDescent="0.35">
      <c r="A1394" t="s">
        <v>4080</v>
      </c>
      <c r="B1394" t="s">
        <v>2077</v>
      </c>
      <c r="C1394" t="s">
        <v>669</v>
      </c>
      <c r="D1394" s="3">
        <v>1</v>
      </c>
      <c r="E1394" s="2">
        <v>600</v>
      </c>
    </row>
    <row r="1395" spans="1:5" x14ac:dyDescent="0.35">
      <c r="A1395" t="s">
        <v>4081</v>
      </c>
      <c r="B1395" t="s">
        <v>2078</v>
      </c>
      <c r="C1395" t="s">
        <v>645</v>
      </c>
      <c r="D1395" s="3">
        <v>1</v>
      </c>
      <c r="E1395" s="2">
        <v>3500</v>
      </c>
    </row>
    <row r="1396" spans="1:5" x14ac:dyDescent="0.35">
      <c r="A1396" t="s">
        <v>4082</v>
      </c>
      <c r="B1396" t="s">
        <v>2079</v>
      </c>
      <c r="C1396" t="s">
        <v>641</v>
      </c>
      <c r="D1396" s="3">
        <v>1</v>
      </c>
      <c r="E1396" s="2">
        <v>1800</v>
      </c>
    </row>
    <row r="1397" spans="1:5" x14ac:dyDescent="0.35">
      <c r="A1397" t="s">
        <v>4083</v>
      </c>
      <c r="B1397" t="s">
        <v>2080</v>
      </c>
      <c r="C1397" t="s">
        <v>620</v>
      </c>
      <c r="D1397" s="3">
        <v>3</v>
      </c>
      <c r="E1397" s="2">
        <v>150</v>
      </c>
    </row>
    <row r="1398" spans="1:5" x14ac:dyDescent="0.35">
      <c r="A1398" t="s">
        <v>4084</v>
      </c>
      <c r="B1398" t="s">
        <v>2081</v>
      </c>
      <c r="C1398" t="s">
        <v>643</v>
      </c>
      <c r="D1398" s="3">
        <v>1</v>
      </c>
      <c r="E1398" s="2">
        <v>2200</v>
      </c>
    </row>
    <row r="1399" spans="1:5" x14ac:dyDescent="0.35">
      <c r="A1399" t="s">
        <v>4085</v>
      </c>
      <c r="B1399" t="s">
        <v>2082</v>
      </c>
      <c r="C1399" t="s">
        <v>641</v>
      </c>
      <c r="D1399" s="3">
        <v>1</v>
      </c>
      <c r="E1399" s="2">
        <v>1800</v>
      </c>
    </row>
    <row r="1400" spans="1:5" x14ac:dyDescent="0.35">
      <c r="A1400" t="s">
        <v>4086</v>
      </c>
      <c r="B1400" t="s">
        <v>2083</v>
      </c>
      <c r="C1400" t="s">
        <v>667</v>
      </c>
      <c r="D1400" s="3">
        <v>1</v>
      </c>
      <c r="E1400" s="2">
        <v>550</v>
      </c>
    </row>
    <row r="1401" spans="1:5" x14ac:dyDescent="0.35">
      <c r="A1401" t="s">
        <v>4087</v>
      </c>
      <c r="B1401" t="s">
        <v>2084</v>
      </c>
      <c r="C1401" t="s">
        <v>631</v>
      </c>
      <c r="D1401" s="3">
        <v>1</v>
      </c>
      <c r="E1401" s="2">
        <v>900</v>
      </c>
    </row>
    <row r="1402" spans="1:5" x14ac:dyDescent="0.35">
      <c r="A1402" t="s">
        <v>4088</v>
      </c>
      <c r="B1402" t="s">
        <v>2085</v>
      </c>
      <c r="C1402" t="s">
        <v>658</v>
      </c>
      <c r="D1402" s="3">
        <v>1</v>
      </c>
      <c r="E1402" s="2">
        <v>750</v>
      </c>
    </row>
    <row r="1403" spans="1:5" x14ac:dyDescent="0.35">
      <c r="A1403" t="s">
        <v>4089</v>
      </c>
      <c r="B1403" t="s">
        <v>2086</v>
      </c>
      <c r="C1403" t="s">
        <v>620</v>
      </c>
      <c r="D1403" s="3">
        <v>1</v>
      </c>
      <c r="E1403" s="2">
        <v>50</v>
      </c>
    </row>
    <row r="1404" spans="1:5" x14ac:dyDescent="0.35">
      <c r="A1404" t="s">
        <v>4090</v>
      </c>
      <c r="B1404" t="s">
        <v>2087</v>
      </c>
      <c r="C1404" t="s">
        <v>620</v>
      </c>
      <c r="D1404" s="3">
        <v>3</v>
      </c>
      <c r="E1404" s="2">
        <v>150</v>
      </c>
    </row>
    <row r="1405" spans="1:5" x14ac:dyDescent="0.35">
      <c r="A1405" t="s">
        <v>4091</v>
      </c>
      <c r="B1405" t="s">
        <v>2088</v>
      </c>
      <c r="C1405" t="s">
        <v>641</v>
      </c>
      <c r="D1405" s="3">
        <v>1</v>
      </c>
      <c r="E1405" s="2">
        <v>1800</v>
      </c>
    </row>
    <row r="1406" spans="1:5" x14ac:dyDescent="0.35">
      <c r="A1406" t="s">
        <v>4092</v>
      </c>
      <c r="B1406" t="s">
        <v>2089</v>
      </c>
      <c r="C1406" t="s">
        <v>654</v>
      </c>
      <c r="D1406" s="3">
        <v>1</v>
      </c>
      <c r="E1406" s="2">
        <v>100</v>
      </c>
    </row>
    <row r="1407" spans="1:5" x14ac:dyDescent="0.35">
      <c r="A1407" t="s">
        <v>4093</v>
      </c>
      <c r="B1407" t="s">
        <v>2090</v>
      </c>
      <c r="C1407" t="s">
        <v>645</v>
      </c>
      <c r="D1407" s="3">
        <v>2</v>
      </c>
      <c r="E1407" s="2">
        <v>7000</v>
      </c>
    </row>
    <row r="1408" spans="1:5" x14ac:dyDescent="0.35">
      <c r="A1408" t="s">
        <v>4094</v>
      </c>
      <c r="B1408" t="s">
        <v>2091</v>
      </c>
      <c r="C1408" t="s">
        <v>617</v>
      </c>
      <c r="D1408" s="3">
        <v>1</v>
      </c>
      <c r="E1408" s="2">
        <v>200</v>
      </c>
    </row>
    <row r="1409" spans="1:5" x14ac:dyDescent="0.35">
      <c r="A1409" t="s">
        <v>4095</v>
      </c>
      <c r="B1409" t="s">
        <v>2092</v>
      </c>
      <c r="C1409" t="s">
        <v>665</v>
      </c>
      <c r="D1409" s="3">
        <v>1</v>
      </c>
      <c r="E1409" s="2">
        <v>700</v>
      </c>
    </row>
    <row r="1410" spans="1:5" x14ac:dyDescent="0.35">
      <c r="A1410" t="s">
        <v>4096</v>
      </c>
      <c r="B1410" t="s">
        <v>2093</v>
      </c>
      <c r="C1410" t="s">
        <v>635</v>
      </c>
      <c r="D1410" s="3">
        <v>1</v>
      </c>
      <c r="E1410" s="2">
        <v>180</v>
      </c>
    </row>
    <row r="1411" spans="1:5" x14ac:dyDescent="0.35">
      <c r="A1411" t="s">
        <v>4097</v>
      </c>
      <c r="B1411" t="s">
        <v>2094</v>
      </c>
      <c r="C1411" t="s">
        <v>654</v>
      </c>
      <c r="D1411" s="3">
        <v>1</v>
      </c>
      <c r="E1411" s="2">
        <v>100</v>
      </c>
    </row>
    <row r="1412" spans="1:5" x14ac:dyDescent="0.35">
      <c r="A1412" t="s">
        <v>4098</v>
      </c>
      <c r="B1412" t="s">
        <v>2095</v>
      </c>
      <c r="C1412" t="s">
        <v>658</v>
      </c>
      <c r="D1412" s="3">
        <v>1</v>
      </c>
      <c r="E1412" s="2">
        <v>750</v>
      </c>
    </row>
    <row r="1413" spans="1:5" x14ac:dyDescent="0.35">
      <c r="A1413" t="s">
        <v>4099</v>
      </c>
      <c r="B1413" t="s">
        <v>2096</v>
      </c>
      <c r="C1413" t="s">
        <v>647</v>
      </c>
      <c r="D1413" s="3">
        <v>2</v>
      </c>
      <c r="E1413" s="2">
        <v>8400</v>
      </c>
    </row>
    <row r="1414" spans="1:5" x14ac:dyDescent="0.35">
      <c r="A1414" t="s">
        <v>4100</v>
      </c>
      <c r="B1414" t="s">
        <v>2097</v>
      </c>
      <c r="C1414" t="s">
        <v>651</v>
      </c>
      <c r="D1414" s="3">
        <v>1</v>
      </c>
      <c r="E1414" s="2">
        <v>120</v>
      </c>
    </row>
    <row r="1415" spans="1:5" x14ac:dyDescent="0.35">
      <c r="A1415" t="s">
        <v>4101</v>
      </c>
      <c r="B1415" t="s">
        <v>2098</v>
      </c>
      <c r="C1415" t="s">
        <v>665</v>
      </c>
      <c r="D1415" s="3">
        <v>1</v>
      </c>
      <c r="E1415" s="2">
        <v>700</v>
      </c>
    </row>
    <row r="1416" spans="1:5" x14ac:dyDescent="0.35">
      <c r="A1416" t="s">
        <v>4102</v>
      </c>
      <c r="B1416" t="s">
        <v>2099</v>
      </c>
      <c r="C1416" t="s">
        <v>645</v>
      </c>
      <c r="D1416" s="3">
        <v>1</v>
      </c>
      <c r="E1416" s="2">
        <v>3500</v>
      </c>
    </row>
    <row r="1417" spans="1:5" x14ac:dyDescent="0.35">
      <c r="A1417" t="s">
        <v>4103</v>
      </c>
      <c r="B1417" t="s">
        <v>2100</v>
      </c>
      <c r="C1417" t="s">
        <v>635</v>
      </c>
      <c r="D1417" s="3">
        <v>1</v>
      </c>
      <c r="E1417" s="2">
        <v>180</v>
      </c>
    </row>
    <row r="1418" spans="1:5" x14ac:dyDescent="0.35">
      <c r="A1418" t="s">
        <v>4104</v>
      </c>
      <c r="B1418" t="s">
        <v>2101</v>
      </c>
      <c r="C1418" t="s">
        <v>641</v>
      </c>
      <c r="D1418" s="3">
        <v>1</v>
      </c>
      <c r="E1418" s="2">
        <v>1800</v>
      </c>
    </row>
    <row r="1419" spans="1:5" x14ac:dyDescent="0.35">
      <c r="A1419" t="s">
        <v>4105</v>
      </c>
      <c r="B1419" t="s">
        <v>2102</v>
      </c>
      <c r="C1419" t="s">
        <v>649</v>
      </c>
      <c r="D1419" s="3">
        <v>1</v>
      </c>
      <c r="E1419" s="2">
        <v>800</v>
      </c>
    </row>
    <row r="1420" spans="1:5" x14ac:dyDescent="0.35">
      <c r="A1420" t="s">
        <v>4106</v>
      </c>
      <c r="B1420" t="s">
        <v>2103</v>
      </c>
      <c r="C1420" t="s">
        <v>629</v>
      </c>
      <c r="D1420" s="3">
        <v>1</v>
      </c>
      <c r="E1420" s="2">
        <v>300</v>
      </c>
    </row>
    <row r="1421" spans="1:5" x14ac:dyDescent="0.35">
      <c r="A1421" t="s">
        <v>4107</v>
      </c>
      <c r="B1421" t="s">
        <v>2104</v>
      </c>
      <c r="C1421" t="s">
        <v>658</v>
      </c>
      <c r="D1421" s="3">
        <v>3</v>
      </c>
      <c r="E1421" s="2">
        <v>2250</v>
      </c>
    </row>
    <row r="1422" spans="1:5" x14ac:dyDescent="0.35">
      <c r="A1422" t="s">
        <v>4108</v>
      </c>
      <c r="B1422" t="s">
        <v>2105</v>
      </c>
      <c r="C1422" t="s">
        <v>660</v>
      </c>
      <c r="D1422" s="3">
        <v>2</v>
      </c>
      <c r="E1422" s="2">
        <v>13000</v>
      </c>
    </row>
    <row r="1423" spans="1:5" x14ac:dyDescent="0.35">
      <c r="A1423" t="s">
        <v>4109</v>
      </c>
      <c r="B1423" t="s">
        <v>2106</v>
      </c>
      <c r="C1423" t="s">
        <v>651</v>
      </c>
      <c r="D1423" s="3">
        <v>1</v>
      </c>
      <c r="E1423" s="2">
        <v>120</v>
      </c>
    </row>
    <row r="1424" spans="1:5" x14ac:dyDescent="0.35">
      <c r="A1424" t="s">
        <v>4110</v>
      </c>
      <c r="B1424" t="s">
        <v>2107</v>
      </c>
      <c r="C1424" t="s">
        <v>631</v>
      </c>
      <c r="D1424" s="3">
        <v>1</v>
      </c>
      <c r="E1424" s="2">
        <v>900</v>
      </c>
    </row>
    <row r="1425" spans="1:5" x14ac:dyDescent="0.35">
      <c r="A1425" t="s">
        <v>4111</v>
      </c>
      <c r="B1425" t="s">
        <v>2108</v>
      </c>
      <c r="C1425" t="s">
        <v>643</v>
      </c>
      <c r="D1425" s="3">
        <v>1</v>
      </c>
      <c r="E1425" s="2">
        <v>2200</v>
      </c>
    </row>
    <row r="1426" spans="1:5" x14ac:dyDescent="0.35">
      <c r="A1426" t="s">
        <v>4112</v>
      </c>
      <c r="B1426" t="s">
        <v>2109</v>
      </c>
      <c r="C1426" t="s">
        <v>665</v>
      </c>
      <c r="D1426" s="3">
        <v>1</v>
      </c>
      <c r="E1426" s="2">
        <v>700</v>
      </c>
    </row>
    <row r="1427" spans="1:5" x14ac:dyDescent="0.35">
      <c r="A1427" t="s">
        <v>4113</v>
      </c>
      <c r="B1427" t="s">
        <v>2110</v>
      </c>
      <c r="C1427" t="s">
        <v>643</v>
      </c>
      <c r="D1427" s="3">
        <v>1</v>
      </c>
      <c r="E1427" s="2">
        <v>2200</v>
      </c>
    </row>
    <row r="1428" spans="1:5" x14ac:dyDescent="0.35">
      <c r="A1428" t="s">
        <v>4114</v>
      </c>
      <c r="B1428" t="s">
        <v>2111</v>
      </c>
      <c r="C1428" t="s">
        <v>663</v>
      </c>
      <c r="D1428" s="3">
        <v>1</v>
      </c>
      <c r="E1428" s="2">
        <v>1400</v>
      </c>
    </row>
    <row r="1429" spans="1:5" x14ac:dyDescent="0.35">
      <c r="A1429" t="s">
        <v>4115</v>
      </c>
      <c r="B1429" t="s">
        <v>2112</v>
      </c>
      <c r="C1429" t="s">
        <v>663</v>
      </c>
      <c r="D1429" s="3">
        <v>1</v>
      </c>
      <c r="E1429" s="2">
        <v>1400</v>
      </c>
    </row>
    <row r="1430" spans="1:5" x14ac:dyDescent="0.35">
      <c r="A1430" t="s">
        <v>4116</v>
      </c>
      <c r="B1430" t="s">
        <v>2113</v>
      </c>
      <c r="C1430" t="s">
        <v>665</v>
      </c>
      <c r="D1430" s="3">
        <v>1</v>
      </c>
      <c r="E1430" s="2">
        <v>700</v>
      </c>
    </row>
    <row r="1431" spans="1:5" x14ac:dyDescent="0.35">
      <c r="A1431" t="s">
        <v>4117</v>
      </c>
      <c r="B1431" t="s">
        <v>2114</v>
      </c>
      <c r="C1431" t="s">
        <v>658</v>
      </c>
      <c r="D1431" s="3">
        <v>1</v>
      </c>
      <c r="E1431" s="2">
        <v>750</v>
      </c>
    </row>
    <row r="1432" spans="1:5" x14ac:dyDescent="0.35">
      <c r="A1432" t="s">
        <v>4118</v>
      </c>
      <c r="B1432" t="s">
        <v>2115</v>
      </c>
      <c r="C1432" t="s">
        <v>673</v>
      </c>
      <c r="D1432" s="3">
        <v>1</v>
      </c>
      <c r="E1432" s="2">
        <v>300</v>
      </c>
    </row>
    <row r="1433" spans="1:5" x14ac:dyDescent="0.35">
      <c r="A1433" t="s">
        <v>4119</v>
      </c>
      <c r="B1433" t="s">
        <v>2116</v>
      </c>
      <c r="C1433" t="s">
        <v>658</v>
      </c>
      <c r="D1433" s="3">
        <v>1</v>
      </c>
      <c r="E1433" s="2">
        <v>750</v>
      </c>
    </row>
    <row r="1434" spans="1:5" x14ac:dyDescent="0.35">
      <c r="A1434" t="s">
        <v>4120</v>
      </c>
      <c r="B1434" t="s">
        <v>2117</v>
      </c>
      <c r="C1434" t="s">
        <v>641</v>
      </c>
      <c r="D1434" s="3">
        <v>1</v>
      </c>
      <c r="E1434" s="2">
        <v>1800</v>
      </c>
    </row>
    <row r="1435" spans="1:5" x14ac:dyDescent="0.35">
      <c r="A1435" t="s">
        <v>4121</v>
      </c>
      <c r="B1435" t="s">
        <v>2118</v>
      </c>
      <c r="C1435" t="s">
        <v>620</v>
      </c>
      <c r="D1435" s="3">
        <v>1</v>
      </c>
      <c r="E1435" s="2">
        <v>50</v>
      </c>
    </row>
    <row r="1436" spans="1:5" x14ac:dyDescent="0.35">
      <c r="A1436" t="s">
        <v>4122</v>
      </c>
      <c r="B1436" t="s">
        <v>2119</v>
      </c>
      <c r="C1436" t="s">
        <v>638</v>
      </c>
      <c r="D1436" s="3">
        <v>1</v>
      </c>
      <c r="E1436" s="2">
        <v>150</v>
      </c>
    </row>
    <row r="1437" spans="1:5" x14ac:dyDescent="0.35">
      <c r="A1437" t="s">
        <v>4123</v>
      </c>
      <c r="B1437" t="s">
        <v>2120</v>
      </c>
      <c r="C1437" t="s">
        <v>649</v>
      </c>
      <c r="D1437" s="3">
        <v>1</v>
      </c>
      <c r="E1437" s="2">
        <v>800</v>
      </c>
    </row>
    <row r="1438" spans="1:5" x14ac:dyDescent="0.35">
      <c r="A1438" t="s">
        <v>4124</v>
      </c>
      <c r="B1438" t="s">
        <v>2121</v>
      </c>
      <c r="C1438" t="s">
        <v>660</v>
      </c>
      <c r="D1438" s="3">
        <v>3</v>
      </c>
      <c r="E1438" s="2">
        <v>19500</v>
      </c>
    </row>
    <row r="1439" spans="1:5" x14ac:dyDescent="0.35">
      <c r="A1439" t="s">
        <v>4125</v>
      </c>
      <c r="B1439" t="s">
        <v>2122</v>
      </c>
      <c r="C1439" t="s">
        <v>641</v>
      </c>
      <c r="D1439" s="3">
        <v>1</v>
      </c>
      <c r="E1439" s="2">
        <v>1800</v>
      </c>
    </row>
    <row r="1440" spans="1:5" x14ac:dyDescent="0.35">
      <c r="A1440" t="s">
        <v>4126</v>
      </c>
      <c r="B1440" t="s">
        <v>2123</v>
      </c>
      <c r="C1440" t="s">
        <v>669</v>
      </c>
      <c r="D1440" s="3">
        <v>1</v>
      </c>
      <c r="E1440" s="2">
        <v>600</v>
      </c>
    </row>
    <row r="1441" spans="1:5" x14ac:dyDescent="0.35">
      <c r="A1441" t="s">
        <v>4127</v>
      </c>
      <c r="B1441" t="s">
        <v>2124</v>
      </c>
      <c r="C1441" t="s">
        <v>626</v>
      </c>
      <c r="D1441" s="3">
        <v>1</v>
      </c>
      <c r="E1441" s="2">
        <v>5000</v>
      </c>
    </row>
    <row r="1442" spans="1:5" x14ac:dyDescent="0.35">
      <c r="A1442" t="s">
        <v>4128</v>
      </c>
      <c r="B1442" t="s">
        <v>2125</v>
      </c>
      <c r="C1442" t="s">
        <v>631</v>
      </c>
      <c r="D1442" s="3">
        <v>2</v>
      </c>
      <c r="E1442" s="2">
        <v>1800</v>
      </c>
    </row>
    <row r="1443" spans="1:5" x14ac:dyDescent="0.35">
      <c r="A1443" t="s">
        <v>4129</v>
      </c>
      <c r="B1443" t="s">
        <v>2126</v>
      </c>
      <c r="C1443" t="s">
        <v>649</v>
      </c>
      <c r="D1443" s="3">
        <v>1</v>
      </c>
      <c r="E1443" s="2">
        <v>800</v>
      </c>
    </row>
    <row r="1444" spans="1:5" x14ac:dyDescent="0.35">
      <c r="A1444" t="s">
        <v>4130</v>
      </c>
      <c r="B1444" t="s">
        <v>2127</v>
      </c>
      <c r="C1444" t="s">
        <v>626</v>
      </c>
      <c r="D1444" s="3">
        <v>1</v>
      </c>
      <c r="E1444" s="2">
        <v>5000</v>
      </c>
    </row>
    <row r="1445" spans="1:5" x14ac:dyDescent="0.35">
      <c r="A1445" t="s">
        <v>4131</v>
      </c>
      <c r="B1445" t="s">
        <v>2128</v>
      </c>
      <c r="C1445" t="s">
        <v>651</v>
      </c>
      <c r="D1445" s="3">
        <v>1</v>
      </c>
      <c r="E1445" s="2">
        <v>120</v>
      </c>
    </row>
    <row r="1446" spans="1:5" x14ac:dyDescent="0.35">
      <c r="A1446" t="s">
        <v>4132</v>
      </c>
      <c r="B1446" t="s">
        <v>2129</v>
      </c>
      <c r="C1446" t="s">
        <v>654</v>
      </c>
      <c r="D1446" s="3">
        <v>1</v>
      </c>
      <c r="E1446" s="2">
        <v>100</v>
      </c>
    </row>
    <row r="1447" spans="1:5" x14ac:dyDescent="0.35">
      <c r="A1447" t="s">
        <v>4133</v>
      </c>
      <c r="B1447" t="s">
        <v>2130</v>
      </c>
      <c r="C1447" t="s">
        <v>633</v>
      </c>
      <c r="D1447" s="3">
        <v>3</v>
      </c>
      <c r="E1447" s="2">
        <v>1350</v>
      </c>
    </row>
    <row r="1448" spans="1:5" x14ac:dyDescent="0.35">
      <c r="A1448" t="s">
        <v>4134</v>
      </c>
      <c r="B1448" t="s">
        <v>2131</v>
      </c>
      <c r="C1448" t="s">
        <v>656</v>
      </c>
      <c r="D1448" s="3">
        <v>1</v>
      </c>
      <c r="E1448" s="2">
        <v>350</v>
      </c>
    </row>
    <row r="1449" spans="1:5" x14ac:dyDescent="0.35">
      <c r="A1449" t="s">
        <v>4135</v>
      </c>
      <c r="B1449" t="s">
        <v>2132</v>
      </c>
      <c r="C1449" t="s">
        <v>660</v>
      </c>
      <c r="D1449" s="3">
        <v>1</v>
      </c>
      <c r="E1449" s="2">
        <v>6500</v>
      </c>
    </row>
    <row r="1450" spans="1:5" x14ac:dyDescent="0.35">
      <c r="A1450" t="s">
        <v>4136</v>
      </c>
      <c r="B1450" t="s">
        <v>2133</v>
      </c>
      <c r="C1450" t="s">
        <v>660</v>
      </c>
      <c r="D1450" s="3">
        <v>1</v>
      </c>
      <c r="E1450" s="2">
        <v>6500</v>
      </c>
    </row>
    <row r="1451" spans="1:5" x14ac:dyDescent="0.35">
      <c r="A1451" t="s">
        <v>4137</v>
      </c>
      <c r="B1451" t="s">
        <v>2134</v>
      </c>
      <c r="C1451" t="s">
        <v>656</v>
      </c>
      <c r="D1451" s="3">
        <v>1</v>
      </c>
      <c r="E1451" s="2">
        <v>350</v>
      </c>
    </row>
    <row r="1452" spans="1:5" x14ac:dyDescent="0.35">
      <c r="A1452" t="s">
        <v>4138</v>
      </c>
      <c r="B1452" t="s">
        <v>2135</v>
      </c>
      <c r="C1452" t="s">
        <v>631</v>
      </c>
      <c r="D1452" s="3">
        <v>3</v>
      </c>
      <c r="E1452" s="2">
        <v>2700</v>
      </c>
    </row>
    <row r="1453" spans="1:5" x14ac:dyDescent="0.35">
      <c r="A1453" t="s">
        <v>4139</v>
      </c>
      <c r="B1453" t="s">
        <v>2136</v>
      </c>
      <c r="C1453" t="s">
        <v>643</v>
      </c>
      <c r="D1453" s="3">
        <v>2</v>
      </c>
      <c r="E1453" s="2">
        <v>4400</v>
      </c>
    </row>
    <row r="1454" spans="1:5" x14ac:dyDescent="0.35">
      <c r="A1454" t="s">
        <v>4140</v>
      </c>
      <c r="B1454" t="s">
        <v>2137</v>
      </c>
      <c r="C1454" t="s">
        <v>654</v>
      </c>
      <c r="D1454" s="3">
        <v>1</v>
      </c>
      <c r="E1454" s="2">
        <v>100</v>
      </c>
    </row>
    <row r="1455" spans="1:5" x14ac:dyDescent="0.35">
      <c r="A1455" t="s">
        <v>4141</v>
      </c>
      <c r="B1455" t="s">
        <v>2138</v>
      </c>
      <c r="C1455" t="s">
        <v>673</v>
      </c>
      <c r="D1455" s="3">
        <v>1</v>
      </c>
      <c r="E1455" s="2">
        <v>300</v>
      </c>
    </row>
    <row r="1456" spans="1:5" x14ac:dyDescent="0.35">
      <c r="A1456" t="s">
        <v>4142</v>
      </c>
      <c r="B1456" t="s">
        <v>2139</v>
      </c>
      <c r="C1456" t="s">
        <v>635</v>
      </c>
      <c r="D1456" s="3">
        <v>1</v>
      </c>
      <c r="E1456" s="2">
        <v>180</v>
      </c>
    </row>
    <row r="1457" spans="1:5" x14ac:dyDescent="0.35">
      <c r="A1457" t="s">
        <v>4143</v>
      </c>
      <c r="B1457" t="s">
        <v>2140</v>
      </c>
      <c r="C1457" t="s">
        <v>643</v>
      </c>
      <c r="D1457" s="3">
        <v>1</v>
      </c>
      <c r="E1457" s="2">
        <v>2200</v>
      </c>
    </row>
    <row r="1458" spans="1:5" x14ac:dyDescent="0.35">
      <c r="A1458" t="s">
        <v>4144</v>
      </c>
      <c r="B1458" t="s">
        <v>2141</v>
      </c>
      <c r="C1458" t="s">
        <v>633</v>
      </c>
      <c r="D1458" s="3">
        <v>1</v>
      </c>
      <c r="E1458" s="2">
        <v>450</v>
      </c>
    </row>
    <row r="1459" spans="1:5" x14ac:dyDescent="0.35">
      <c r="A1459" t="s">
        <v>4145</v>
      </c>
      <c r="B1459" t="s">
        <v>2142</v>
      </c>
      <c r="C1459" t="s">
        <v>671</v>
      </c>
      <c r="D1459" s="3">
        <v>1</v>
      </c>
      <c r="E1459" s="2">
        <v>400</v>
      </c>
    </row>
    <row r="1460" spans="1:5" x14ac:dyDescent="0.35">
      <c r="A1460" t="s">
        <v>4146</v>
      </c>
      <c r="B1460" t="s">
        <v>2143</v>
      </c>
      <c r="C1460" t="s">
        <v>667</v>
      </c>
      <c r="D1460" s="3">
        <v>1</v>
      </c>
      <c r="E1460" s="2">
        <v>550</v>
      </c>
    </row>
    <row r="1461" spans="1:5" x14ac:dyDescent="0.35">
      <c r="A1461" t="s">
        <v>4147</v>
      </c>
      <c r="B1461" t="s">
        <v>2144</v>
      </c>
      <c r="C1461" t="s">
        <v>673</v>
      </c>
      <c r="D1461" s="3">
        <v>1</v>
      </c>
      <c r="E1461" s="2">
        <v>300</v>
      </c>
    </row>
    <row r="1462" spans="1:5" x14ac:dyDescent="0.35">
      <c r="A1462" t="s">
        <v>4148</v>
      </c>
      <c r="B1462" t="s">
        <v>2145</v>
      </c>
      <c r="C1462" t="s">
        <v>660</v>
      </c>
      <c r="D1462" s="3">
        <v>1</v>
      </c>
      <c r="E1462" s="2">
        <v>6500</v>
      </c>
    </row>
    <row r="1463" spans="1:5" x14ac:dyDescent="0.35">
      <c r="A1463" t="s">
        <v>4149</v>
      </c>
      <c r="B1463" t="s">
        <v>2146</v>
      </c>
      <c r="C1463" t="s">
        <v>641</v>
      </c>
      <c r="D1463" s="3">
        <v>1</v>
      </c>
      <c r="E1463" s="2">
        <v>1800</v>
      </c>
    </row>
    <row r="1464" spans="1:5" x14ac:dyDescent="0.35">
      <c r="A1464" t="s">
        <v>4150</v>
      </c>
      <c r="B1464" t="s">
        <v>2147</v>
      </c>
      <c r="C1464" t="s">
        <v>638</v>
      </c>
      <c r="D1464" s="3">
        <v>1</v>
      </c>
      <c r="E1464" s="2">
        <v>150</v>
      </c>
    </row>
    <row r="1465" spans="1:5" x14ac:dyDescent="0.35">
      <c r="A1465" t="s">
        <v>4151</v>
      </c>
      <c r="B1465" t="s">
        <v>2148</v>
      </c>
      <c r="C1465" t="s">
        <v>626</v>
      </c>
      <c r="D1465" s="3">
        <v>1</v>
      </c>
      <c r="E1465" s="2">
        <v>5000</v>
      </c>
    </row>
    <row r="1466" spans="1:5" x14ac:dyDescent="0.35">
      <c r="A1466" t="s">
        <v>4152</v>
      </c>
      <c r="B1466" t="s">
        <v>2149</v>
      </c>
      <c r="C1466" t="s">
        <v>669</v>
      </c>
      <c r="D1466" s="3">
        <v>1</v>
      </c>
      <c r="E1466" s="2">
        <v>600</v>
      </c>
    </row>
    <row r="1467" spans="1:5" x14ac:dyDescent="0.35">
      <c r="A1467" t="s">
        <v>4153</v>
      </c>
      <c r="B1467" t="s">
        <v>2150</v>
      </c>
      <c r="C1467" t="s">
        <v>651</v>
      </c>
      <c r="D1467" s="3">
        <v>1</v>
      </c>
      <c r="E1467" s="2">
        <v>120</v>
      </c>
    </row>
    <row r="1468" spans="1:5" x14ac:dyDescent="0.35">
      <c r="A1468" t="s">
        <v>4154</v>
      </c>
      <c r="B1468" t="s">
        <v>2151</v>
      </c>
      <c r="C1468" t="s">
        <v>647</v>
      </c>
      <c r="D1468" s="3">
        <v>1</v>
      </c>
      <c r="E1468" s="2">
        <v>4200</v>
      </c>
    </row>
    <row r="1469" spans="1:5" x14ac:dyDescent="0.35">
      <c r="A1469" t="s">
        <v>4155</v>
      </c>
      <c r="B1469" t="s">
        <v>2152</v>
      </c>
      <c r="C1469" t="s">
        <v>673</v>
      </c>
      <c r="D1469" s="3">
        <v>1</v>
      </c>
      <c r="E1469" s="2">
        <v>300</v>
      </c>
    </row>
    <row r="1470" spans="1:5" x14ac:dyDescent="0.35">
      <c r="A1470" t="s">
        <v>4156</v>
      </c>
      <c r="B1470" t="s">
        <v>2153</v>
      </c>
      <c r="C1470" t="s">
        <v>620</v>
      </c>
      <c r="D1470" s="3">
        <v>1</v>
      </c>
      <c r="E1470" s="2">
        <v>50</v>
      </c>
    </row>
    <row r="1471" spans="1:5" x14ac:dyDescent="0.35">
      <c r="A1471" t="s">
        <v>4157</v>
      </c>
      <c r="B1471" t="s">
        <v>2154</v>
      </c>
      <c r="C1471" t="s">
        <v>620</v>
      </c>
      <c r="D1471" s="3">
        <v>1</v>
      </c>
      <c r="E1471" s="2">
        <v>50</v>
      </c>
    </row>
    <row r="1472" spans="1:5" x14ac:dyDescent="0.35">
      <c r="A1472" t="s">
        <v>4158</v>
      </c>
      <c r="B1472" t="s">
        <v>2155</v>
      </c>
      <c r="C1472" t="s">
        <v>654</v>
      </c>
      <c r="D1472" s="3">
        <v>1</v>
      </c>
      <c r="E1472" s="2">
        <v>100</v>
      </c>
    </row>
    <row r="1473" spans="1:5" x14ac:dyDescent="0.35">
      <c r="A1473" t="s">
        <v>4159</v>
      </c>
      <c r="B1473" t="s">
        <v>2156</v>
      </c>
      <c r="C1473" t="s">
        <v>638</v>
      </c>
      <c r="D1473" s="3">
        <v>2</v>
      </c>
      <c r="E1473" s="2">
        <v>300</v>
      </c>
    </row>
    <row r="1474" spans="1:5" x14ac:dyDescent="0.35">
      <c r="A1474" t="s">
        <v>4160</v>
      </c>
      <c r="B1474" t="s">
        <v>2157</v>
      </c>
      <c r="C1474" t="s">
        <v>647</v>
      </c>
      <c r="D1474" s="3">
        <v>3</v>
      </c>
      <c r="E1474" s="2">
        <v>12600</v>
      </c>
    </row>
    <row r="1475" spans="1:5" x14ac:dyDescent="0.35">
      <c r="A1475" t="s">
        <v>4161</v>
      </c>
      <c r="B1475" t="s">
        <v>2158</v>
      </c>
      <c r="C1475" t="s">
        <v>623</v>
      </c>
      <c r="D1475" s="3">
        <v>1</v>
      </c>
      <c r="E1475" s="2">
        <v>1200</v>
      </c>
    </row>
    <row r="1476" spans="1:5" x14ac:dyDescent="0.35">
      <c r="A1476" t="s">
        <v>4162</v>
      </c>
      <c r="B1476" t="s">
        <v>2159</v>
      </c>
      <c r="C1476" t="s">
        <v>638</v>
      </c>
      <c r="D1476" s="3">
        <v>1</v>
      </c>
      <c r="E1476" s="2">
        <v>150</v>
      </c>
    </row>
    <row r="1477" spans="1:5" x14ac:dyDescent="0.35">
      <c r="A1477" t="s">
        <v>4163</v>
      </c>
      <c r="B1477" t="s">
        <v>2160</v>
      </c>
      <c r="C1477" t="s">
        <v>647</v>
      </c>
      <c r="D1477" s="3">
        <v>1</v>
      </c>
      <c r="E1477" s="2">
        <v>4200</v>
      </c>
    </row>
    <row r="1478" spans="1:5" x14ac:dyDescent="0.35">
      <c r="A1478" t="s">
        <v>4164</v>
      </c>
      <c r="B1478" t="s">
        <v>2161</v>
      </c>
      <c r="C1478" t="s">
        <v>665</v>
      </c>
      <c r="D1478" s="3">
        <v>1</v>
      </c>
      <c r="E1478" s="2">
        <v>700</v>
      </c>
    </row>
    <row r="1479" spans="1:5" x14ac:dyDescent="0.35">
      <c r="A1479" t="s">
        <v>4165</v>
      </c>
      <c r="B1479" t="s">
        <v>2162</v>
      </c>
      <c r="C1479" t="s">
        <v>667</v>
      </c>
      <c r="D1479" s="3">
        <v>1</v>
      </c>
      <c r="E1479" s="2">
        <v>550</v>
      </c>
    </row>
    <row r="1480" spans="1:5" x14ac:dyDescent="0.35">
      <c r="A1480" t="s">
        <v>4166</v>
      </c>
      <c r="B1480" t="s">
        <v>2163</v>
      </c>
      <c r="C1480" t="s">
        <v>620</v>
      </c>
      <c r="D1480" s="3">
        <v>1</v>
      </c>
      <c r="E1480" s="2">
        <v>50</v>
      </c>
    </row>
    <row r="1481" spans="1:5" x14ac:dyDescent="0.35">
      <c r="A1481" t="s">
        <v>4167</v>
      </c>
      <c r="B1481" t="s">
        <v>2164</v>
      </c>
      <c r="C1481" t="s">
        <v>635</v>
      </c>
      <c r="D1481" s="3">
        <v>1</v>
      </c>
      <c r="E1481" s="2">
        <v>180</v>
      </c>
    </row>
    <row r="1482" spans="1:5" x14ac:dyDescent="0.35">
      <c r="A1482" t="s">
        <v>4168</v>
      </c>
      <c r="B1482" t="s">
        <v>2165</v>
      </c>
      <c r="C1482" t="s">
        <v>638</v>
      </c>
      <c r="D1482" s="3">
        <v>2</v>
      </c>
      <c r="E1482" s="2">
        <v>300</v>
      </c>
    </row>
    <row r="1483" spans="1:5" x14ac:dyDescent="0.35">
      <c r="A1483" t="s">
        <v>4169</v>
      </c>
      <c r="B1483" t="s">
        <v>2166</v>
      </c>
      <c r="C1483" t="s">
        <v>654</v>
      </c>
      <c r="D1483" s="3">
        <v>1</v>
      </c>
      <c r="E1483" s="2">
        <v>100</v>
      </c>
    </row>
    <row r="1484" spans="1:5" x14ac:dyDescent="0.35">
      <c r="A1484" t="s">
        <v>4170</v>
      </c>
      <c r="B1484" t="s">
        <v>2167</v>
      </c>
      <c r="C1484" t="s">
        <v>620</v>
      </c>
      <c r="D1484" s="3">
        <v>1</v>
      </c>
      <c r="E1484" s="2">
        <v>50</v>
      </c>
    </row>
    <row r="1485" spans="1:5" x14ac:dyDescent="0.35">
      <c r="A1485" t="s">
        <v>4171</v>
      </c>
      <c r="B1485" t="s">
        <v>2168</v>
      </c>
      <c r="C1485" t="s">
        <v>631</v>
      </c>
      <c r="D1485" s="3">
        <v>1</v>
      </c>
      <c r="E1485" s="2">
        <v>900</v>
      </c>
    </row>
    <row r="1486" spans="1:5" x14ac:dyDescent="0.35">
      <c r="A1486" t="s">
        <v>4172</v>
      </c>
      <c r="B1486" t="s">
        <v>2169</v>
      </c>
      <c r="C1486" t="s">
        <v>667</v>
      </c>
      <c r="D1486" s="3">
        <v>1</v>
      </c>
      <c r="E1486" s="2">
        <v>550</v>
      </c>
    </row>
    <row r="1487" spans="1:5" x14ac:dyDescent="0.35">
      <c r="A1487" t="s">
        <v>4173</v>
      </c>
      <c r="B1487" t="s">
        <v>2170</v>
      </c>
      <c r="C1487" t="s">
        <v>635</v>
      </c>
      <c r="D1487" s="3">
        <v>1</v>
      </c>
      <c r="E1487" s="2">
        <v>180</v>
      </c>
    </row>
    <row r="1488" spans="1:5" x14ac:dyDescent="0.35">
      <c r="A1488" t="s">
        <v>4174</v>
      </c>
      <c r="B1488" t="s">
        <v>2171</v>
      </c>
      <c r="C1488" t="s">
        <v>629</v>
      </c>
      <c r="D1488" s="3">
        <v>1</v>
      </c>
      <c r="E1488" s="2">
        <v>300</v>
      </c>
    </row>
    <row r="1489" spans="1:5" x14ac:dyDescent="0.35">
      <c r="A1489" t="s">
        <v>4175</v>
      </c>
      <c r="B1489" t="s">
        <v>2172</v>
      </c>
      <c r="C1489" t="s">
        <v>638</v>
      </c>
      <c r="D1489" s="3">
        <v>1</v>
      </c>
      <c r="E1489" s="2">
        <v>150</v>
      </c>
    </row>
    <row r="1490" spans="1:5" x14ac:dyDescent="0.35">
      <c r="A1490" t="s">
        <v>4176</v>
      </c>
      <c r="B1490" t="s">
        <v>2173</v>
      </c>
      <c r="C1490" t="s">
        <v>617</v>
      </c>
      <c r="D1490" s="3">
        <v>1</v>
      </c>
      <c r="E1490" s="2">
        <v>200</v>
      </c>
    </row>
    <row r="1491" spans="1:5" x14ac:dyDescent="0.35">
      <c r="A1491" t="s">
        <v>4177</v>
      </c>
      <c r="B1491" t="s">
        <v>2174</v>
      </c>
      <c r="C1491" t="s">
        <v>638</v>
      </c>
      <c r="D1491" s="3">
        <v>1</v>
      </c>
      <c r="E1491" s="2">
        <v>150</v>
      </c>
    </row>
    <row r="1492" spans="1:5" x14ac:dyDescent="0.35">
      <c r="A1492" t="s">
        <v>4178</v>
      </c>
      <c r="B1492" t="s">
        <v>2175</v>
      </c>
      <c r="C1492" t="s">
        <v>641</v>
      </c>
      <c r="D1492" s="3">
        <v>1</v>
      </c>
      <c r="E1492" s="2">
        <v>1800</v>
      </c>
    </row>
    <row r="1493" spans="1:5" x14ac:dyDescent="0.35">
      <c r="A1493" t="s">
        <v>4179</v>
      </c>
      <c r="B1493" t="s">
        <v>2176</v>
      </c>
      <c r="C1493" t="s">
        <v>669</v>
      </c>
      <c r="D1493" s="3">
        <v>1</v>
      </c>
      <c r="E1493" s="2">
        <v>600</v>
      </c>
    </row>
    <row r="1494" spans="1:5" x14ac:dyDescent="0.35">
      <c r="A1494" t="s">
        <v>4180</v>
      </c>
      <c r="B1494" t="s">
        <v>2177</v>
      </c>
      <c r="C1494" t="s">
        <v>626</v>
      </c>
      <c r="D1494" s="3">
        <v>3</v>
      </c>
      <c r="E1494" s="2">
        <v>15000</v>
      </c>
    </row>
    <row r="1495" spans="1:5" x14ac:dyDescent="0.35">
      <c r="A1495" t="s">
        <v>4181</v>
      </c>
      <c r="B1495" t="s">
        <v>2178</v>
      </c>
      <c r="C1495" t="s">
        <v>623</v>
      </c>
      <c r="D1495" s="3">
        <v>1</v>
      </c>
      <c r="E1495" s="2">
        <v>1200</v>
      </c>
    </row>
    <row r="1496" spans="1:5" x14ac:dyDescent="0.35">
      <c r="A1496" t="s">
        <v>4182</v>
      </c>
      <c r="B1496" t="s">
        <v>2179</v>
      </c>
      <c r="C1496" t="s">
        <v>641</v>
      </c>
      <c r="D1496" s="3">
        <v>1</v>
      </c>
      <c r="E1496" s="2">
        <v>1800</v>
      </c>
    </row>
    <row r="1497" spans="1:5" x14ac:dyDescent="0.35">
      <c r="A1497" t="s">
        <v>4183</v>
      </c>
      <c r="B1497" t="s">
        <v>2180</v>
      </c>
      <c r="C1497" t="s">
        <v>651</v>
      </c>
      <c r="D1497" s="3">
        <v>3</v>
      </c>
      <c r="E1497" s="2">
        <v>360</v>
      </c>
    </row>
    <row r="1498" spans="1:5" x14ac:dyDescent="0.35">
      <c r="A1498" t="s">
        <v>4184</v>
      </c>
      <c r="B1498" t="s">
        <v>2181</v>
      </c>
      <c r="C1498" t="s">
        <v>643</v>
      </c>
      <c r="D1498" s="3">
        <v>1</v>
      </c>
      <c r="E1498" s="2">
        <v>2200</v>
      </c>
    </row>
    <row r="1499" spans="1:5" x14ac:dyDescent="0.35">
      <c r="A1499" t="s">
        <v>4185</v>
      </c>
      <c r="B1499" t="s">
        <v>2182</v>
      </c>
      <c r="C1499" t="s">
        <v>649</v>
      </c>
      <c r="D1499" s="3">
        <v>1</v>
      </c>
      <c r="E1499" s="2">
        <v>800</v>
      </c>
    </row>
    <row r="1500" spans="1:5" x14ac:dyDescent="0.35">
      <c r="A1500" t="s">
        <v>4186</v>
      </c>
      <c r="B1500" t="s">
        <v>2183</v>
      </c>
      <c r="C1500" t="s">
        <v>631</v>
      </c>
      <c r="D1500" s="3">
        <v>1</v>
      </c>
      <c r="E1500" s="2">
        <v>900</v>
      </c>
    </row>
    <row r="1501" spans="1:5" x14ac:dyDescent="0.35">
      <c r="A1501" t="s">
        <v>4187</v>
      </c>
      <c r="B1501" t="s">
        <v>2184</v>
      </c>
      <c r="C1501" t="s">
        <v>645</v>
      </c>
      <c r="D1501" s="3">
        <v>1</v>
      </c>
      <c r="E1501" s="2">
        <v>3500</v>
      </c>
    </row>
    <row r="1502" spans="1:5" x14ac:dyDescent="0.35">
      <c r="A1502" t="s">
        <v>4188</v>
      </c>
      <c r="B1502" t="s">
        <v>2185</v>
      </c>
      <c r="C1502" t="s">
        <v>647</v>
      </c>
      <c r="D1502" s="3">
        <v>1</v>
      </c>
      <c r="E1502" s="2">
        <v>4200</v>
      </c>
    </row>
    <row r="1503" spans="1:5" x14ac:dyDescent="0.35">
      <c r="A1503" t="s">
        <v>4189</v>
      </c>
      <c r="B1503" t="s">
        <v>2186</v>
      </c>
      <c r="C1503" t="s">
        <v>656</v>
      </c>
      <c r="D1503" s="3">
        <v>1</v>
      </c>
      <c r="E1503" s="2">
        <v>350</v>
      </c>
    </row>
    <row r="1504" spans="1:5" x14ac:dyDescent="0.35">
      <c r="A1504" t="s">
        <v>4190</v>
      </c>
      <c r="B1504" t="s">
        <v>2187</v>
      </c>
      <c r="C1504" t="s">
        <v>654</v>
      </c>
      <c r="D1504" s="3">
        <v>3</v>
      </c>
      <c r="E1504" s="2">
        <v>300</v>
      </c>
    </row>
    <row r="1505" spans="1:5" x14ac:dyDescent="0.35">
      <c r="A1505" t="s">
        <v>4191</v>
      </c>
      <c r="B1505" t="s">
        <v>2188</v>
      </c>
      <c r="C1505" t="s">
        <v>623</v>
      </c>
      <c r="D1505" s="3">
        <v>1</v>
      </c>
      <c r="E1505" s="2">
        <v>1200</v>
      </c>
    </row>
    <row r="1506" spans="1:5" x14ac:dyDescent="0.35">
      <c r="A1506" t="s">
        <v>4192</v>
      </c>
      <c r="B1506" t="s">
        <v>2189</v>
      </c>
      <c r="C1506" t="s">
        <v>620</v>
      </c>
      <c r="D1506" s="3">
        <v>1</v>
      </c>
      <c r="E1506" s="2">
        <v>50</v>
      </c>
    </row>
    <row r="1507" spans="1:5" x14ac:dyDescent="0.35">
      <c r="A1507" t="s">
        <v>4193</v>
      </c>
      <c r="B1507" t="s">
        <v>2190</v>
      </c>
      <c r="C1507" t="s">
        <v>643</v>
      </c>
      <c r="D1507" s="3">
        <v>1</v>
      </c>
      <c r="E1507" s="2">
        <v>2200</v>
      </c>
    </row>
    <row r="1508" spans="1:5" x14ac:dyDescent="0.35">
      <c r="A1508" t="s">
        <v>4194</v>
      </c>
      <c r="B1508" t="s">
        <v>2191</v>
      </c>
      <c r="C1508" t="s">
        <v>638</v>
      </c>
      <c r="D1508" s="3">
        <v>1</v>
      </c>
      <c r="E1508" s="2">
        <v>150</v>
      </c>
    </row>
    <row r="1509" spans="1:5" x14ac:dyDescent="0.35">
      <c r="A1509" t="s">
        <v>4195</v>
      </c>
      <c r="B1509" t="s">
        <v>2192</v>
      </c>
      <c r="C1509" t="s">
        <v>623</v>
      </c>
      <c r="D1509" s="3">
        <v>1</v>
      </c>
      <c r="E1509" s="2">
        <v>1200</v>
      </c>
    </row>
    <row r="1510" spans="1:5" x14ac:dyDescent="0.35">
      <c r="A1510" t="s">
        <v>4196</v>
      </c>
      <c r="B1510" t="s">
        <v>2193</v>
      </c>
      <c r="C1510" t="s">
        <v>658</v>
      </c>
      <c r="D1510" s="3">
        <v>1</v>
      </c>
      <c r="E1510" s="2">
        <v>750</v>
      </c>
    </row>
    <row r="1511" spans="1:5" x14ac:dyDescent="0.35">
      <c r="A1511" t="s">
        <v>4197</v>
      </c>
      <c r="B1511" t="s">
        <v>2194</v>
      </c>
      <c r="C1511" t="s">
        <v>663</v>
      </c>
      <c r="D1511" s="3">
        <v>1</v>
      </c>
      <c r="E1511" s="2">
        <v>1400</v>
      </c>
    </row>
    <row r="1512" spans="1:5" x14ac:dyDescent="0.35">
      <c r="A1512" t="s">
        <v>4198</v>
      </c>
      <c r="B1512" t="s">
        <v>2195</v>
      </c>
      <c r="C1512" t="s">
        <v>651</v>
      </c>
      <c r="D1512" s="3">
        <v>1</v>
      </c>
      <c r="E1512" s="2">
        <v>120</v>
      </c>
    </row>
    <row r="1513" spans="1:5" x14ac:dyDescent="0.35">
      <c r="A1513" t="s">
        <v>4199</v>
      </c>
      <c r="B1513" t="s">
        <v>2196</v>
      </c>
      <c r="C1513" t="s">
        <v>649</v>
      </c>
      <c r="D1513" s="3">
        <v>3</v>
      </c>
      <c r="E1513" s="2">
        <v>2400</v>
      </c>
    </row>
    <row r="1514" spans="1:5" x14ac:dyDescent="0.35">
      <c r="A1514" t="s">
        <v>4200</v>
      </c>
      <c r="B1514" t="s">
        <v>2197</v>
      </c>
      <c r="C1514" t="s">
        <v>620</v>
      </c>
      <c r="D1514" s="3">
        <v>1</v>
      </c>
      <c r="E1514" s="2">
        <v>50</v>
      </c>
    </row>
    <row r="1515" spans="1:5" x14ac:dyDescent="0.35">
      <c r="A1515" t="s">
        <v>4201</v>
      </c>
      <c r="B1515" t="s">
        <v>2198</v>
      </c>
      <c r="C1515" t="s">
        <v>656</v>
      </c>
      <c r="D1515" s="3">
        <v>1</v>
      </c>
      <c r="E1515" s="2">
        <v>350</v>
      </c>
    </row>
    <row r="1516" spans="1:5" x14ac:dyDescent="0.35">
      <c r="A1516" t="s">
        <v>4202</v>
      </c>
      <c r="B1516" t="s">
        <v>2199</v>
      </c>
      <c r="C1516" t="s">
        <v>667</v>
      </c>
      <c r="D1516" s="3">
        <v>1</v>
      </c>
      <c r="E1516" s="2">
        <v>550</v>
      </c>
    </row>
    <row r="1517" spans="1:5" x14ac:dyDescent="0.35">
      <c r="A1517" t="s">
        <v>4203</v>
      </c>
      <c r="B1517" t="s">
        <v>2200</v>
      </c>
      <c r="C1517" t="s">
        <v>635</v>
      </c>
      <c r="D1517" s="3">
        <v>1</v>
      </c>
      <c r="E1517" s="2">
        <v>180</v>
      </c>
    </row>
    <row r="1518" spans="1:5" x14ac:dyDescent="0.35">
      <c r="A1518" t="s">
        <v>4204</v>
      </c>
      <c r="B1518" t="s">
        <v>2201</v>
      </c>
      <c r="C1518" t="s">
        <v>641</v>
      </c>
      <c r="D1518" s="3">
        <v>1</v>
      </c>
      <c r="E1518" s="2">
        <v>1800</v>
      </c>
    </row>
    <row r="1519" spans="1:5" x14ac:dyDescent="0.35">
      <c r="A1519" t="s">
        <v>4205</v>
      </c>
      <c r="B1519" t="s">
        <v>2202</v>
      </c>
      <c r="C1519" t="s">
        <v>658</v>
      </c>
      <c r="D1519" s="3">
        <v>1</v>
      </c>
      <c r="E1519" s="2">
        <v>750</v>
      </c>
    </row>
    <row r="1520" spans="1:5" x14ac:dyDescent="0.35">
      <c r="A1520" t="s">
        <v>4206</v>
      </c>
      <c r="B1520" t="s">
        <v>2203</v>
      </c>
      <c r="C1520" t="s">
        <v>673</v>
      </c>
      <c r="D1520" s="3">
        <v>1</v>
      </c>
      <c r="E1520" s="2">
        <v>300</v>
      </c>
    </row>
    <row r="1521" spans="1:5" x14ac:dyDescent="0.35">
      <c r="A1521" t="s">
        <v>4207</v>
      </c>
      <c r="B1521" t="s">
        <v>2204</v>
      </c>
      <c r="C1521" t="s">
        <v>660</v>
      </c>
      <c r="D1521" s="3">
        <v>1</v>
      </c>
      <c r="E1521" s="2">
        <v>6500</v>
      </c>
    </row>
    <row r="1522" spans="1:5" x14ac:dyDescent="0.35">
      <c r="A1522" t="s">
        <v>4208</v>
      </c>
      <c r="B1522" t="s">
        <v>2205</v>
      </c>
      <c r="C1522" t="s">
        <v>635</v>
      </c>
      <c r="D1522" s="3">
        <v>1</v>
      </c>
      <c r="E1522" s="2">
        <v>180</v>
      </c>
    </row>
    <row r="1523" spans="1:5" x14ac:dyDescent="0.35">
      <c r="A1523" t="s">
        <v>4209</v>
      </c>
      <c r="B1523" t="s">
        <v>2206</v>
      </c>
      <c r="C1523" t="s">
        <v>635</v>
      </c>
      <c r="D1523" s="3">
        <v>1</v>
      </c>
      <c r="E1523" s="2">
        <v>180</v>
      </c>
    </row>
    <row r="1524" spans="1:5" x14ac:dyDescent="0.35">
      <c r="A1524" t="s">
        <v>4210</v>
      </c>
      <c r="B1524" t="s">
        <v>2207</v>
      </c>
      <c r="C1524" t="s">
        <v>623</v>
      </c>
      <c r="D1524" s="3">
        <v>1</v>
      </c>
      <c r="E1524" s="2">
        <v>1200</v>
      </c>
    </row>
    <row r="1525" spans="1:5" x14ac:dyDescent="0.35">
      <c r="A1525" t="s">
        <v>4211</v>
      </c>
      <c r="B1525" t="s">
        <v>2208</v>
      </c>
      <c r="C1525" t="s">
        <v>623</v>
      </c>
      <c r="D1525" s="3">
        <v>1</v>
      </c>
      <c r="E1525" s="2">
        <v>1200</v>
      </c>
    </row>
    <row r="1526" spans="1:5" x14ac:dyDescent="0.35">
      <c r="A1526" t="s">
        <v>4212</v>
      </c>
      <c r="B1526" t="s">
        <v>2209</v>
      </c>
      <c r="C1526" t="s">
        <v>645</v>
      </c>
      <c r="D1526" s="3">
        <v>1</v>
      </c>
      <c r="E1526" s="2">
        <v>3500</v>
      </c>
    </row>
    <row r="1527" spans="1:5" x14ac:dyDescent="0.35">
      <c r="A1527" t="s">
        <v>4213</v>
      </c>
      <c r="B1527" t="s">
        <v>2210</v>
      </c>
      <c r="C1527" t="s">
        <v>667</v>
      </c>
      <c r="D1527" s="3">
        <v>2</v>
      </c>
      <c r="E1527" s="2">
        <v>1100</v>
      </c>
    </row>
    <row r="1528" spans="1:5" x14ac:dyDescent="0.35">
      <c r="A1528" t="s">
        <v>4214</v>
      </c>
      <c r="B1528" t="s">
        <v>2211</v>
      </c>
      <c r="C1528" t="s">
        <v>656</v>
      </c>
      <c r="D1528" s="3">
        <v>1</v>
      </c>
      <c r="E1528" s="2">
        <v>350</v>
      </c>
    </row>
    <row r="1529" spans="1:5" x14ac:dyDescent="0.35">
      <c r="A1529" t="s">
        <v>4215</v>
      </c>
      <c r="B1529" t="s">
        <v>2212</v>
      </c>
      <c r="C1529" t="s">
        <v>626</v>
      </c>
      <c r="D1529" s="3">
        <v>1</v>
      </c>
      <c r="E1529" s="2">
        <v>5000</v>
      </c>
    </row>
    <row r="1530" spans="1:5" x14ac:dyDescent="0.35">
      <c r="A1530" t="s">
        <v>4216</v>
      </c>
      <c r="B1530" t="s">
        <v>2213</v>
      </c>
      <c r="C1530" t="s">
        <v>656</v>
      </c>
      <c r="D1530" s="3">
        <v>1</v>
      </c>
      <c r="E1530" s="2">
        <v>350</v>
      </c>
    </row>
    <row r="1531" spans="1:5" x14ac:dyDescent="0.35">
      <c r="A1531" t="s">
        <v>4217</v>
      </c>
      <c r="B1531" t="s">
        <v>2214</v>
      </c>
      <c r="C1531" t="s">
        <v>649</v>
      </c>
      <c r="D1531" s="3">
        <v>2</v>
      </c>
      <c r="E1531" s="2">
        <v>1600</v>
      </c>
    </row>
    <row r="1532" spans="1:5" x14ac:dyDescent="0.35">
      <c r="A1532" t="s">
        <v>4218</v>
      </c>
      <c r="B1532" t="s">
        <v>2215</v>
      </c>
      <c r="C1532" t="s">
        <v>660</v>
      </c>
      <c r="D1532" s="3">
        <v>1</v>
      </c>
      <c r="E1532" s="2">
        <v>6500</v>
      </c>
    </row>
    <row r="1533" spans="1:5" x14ac:dyDescent="0.35">
      <c r="A1533" t="s">
        <v>4219</v>
      </c>
      <c r="B1533" t="s">
        <v>2216</v>
      </c>
      <c r="C1533" t="s">
        <v>638</v>
      </c>
      <c r="D1533" s="3">
        <v>1</v>
      </c>
      <c r="E1533" s="2">
        <v>150</v>
      </c>
    </row>
    <row r="1534" spans="1:5" x14ac:dyDescent="0.35">
      <c r="A1534" t="s">
        <v>4220</v>
      </c>
      <c r="B1534" t="s">
        <v>2217</v>
      </c>
      <c r="C1534" t="s">
        <v>665</v>
      </c>
      <c r="D1534" s="3">
        <v>2</v>
      </c>
      <c r="E1534" s="2">
        <v>1400</v>
      </c>
    </row>
    <row r="1535" spans="1:5" x14ac:dyDescent="0.35">
      <c r="A1535" t="s">
        <v>4221</v>
      </c>
      <c r="B1535" t="s">
        <v>2218</v>
      </c>
      <c r="C1535" t="s">
        <v>645</v>
      </c>
      <c r="D1535" s="3">
        <v>1</v>
      </c>
      <c r="E1535" s="2">
        <v>3500</v>
      </c>
    </row>
    <row r="1536" spans="1:5" x14ac:dyDescent="0.35">
      <c r="A1536" t="s">
        <v>4222</v>
      </c>
      <c r="B1536" t="s">
        <v>2219</v>
      </c>
      <c r="C1536" t="s">
        <v>629</v>
      </c>
      <c r="D1536" s="3">
        <v>1</v>
      </c>
      <c r="E1536" s="2">
        <v>300</v>
      </c>
    </row>
    <row r="1537" spans="1:5" x14ac:dyDescent="0.35">
      <c r="A1537" t="s">
        <v>4223</v>
      </c>
      <c r="B1537" t="s">
        <v>2220</v>
      </c>
      <c r="C1537" t="s">
        <v>643</v>
      </c>
      <c r="D1537" s="3">
        <v>1</v>
      </c>
      <c r="E1537" s="2">
        <v>2200</v>
      </c>
    </row>
    <row r="1538" spans="1:5" x14ac:dyDescent="0.35">
      <c r="A1538" t="s">
        <v>4224</v>
      </c>
      <c r="B1538" t="s">
        <v>2221</v>
      </c>
      <c r="C1538" t="s">
        <v>663</v>
      </c>
      <c r="D1538" s="3">
        <v>1</v>
      </c>
      <c r="E1538" s="2">
        <v>1400</v>
      </c>
    </row>
    <row r="1539" spans="1:5" x14ac:dyDescent="0.35">
      <c r="A1539" t="s">
        <v>4225</v>
      </c>
      <c r="B1539" t="s">
        <v>2222</v>
      </c>
      <c r="C1539" t="s">
        <v>623</v>
      </c>
      <c r="D1539" s="3">
        <v>1</v>
      </c>
      <c r="E1539" s="2">
        <v>1200</v>
      </c>
    </row>
    <row r="1540" spans="1:5" x14ac:dyDescent="0.35">
      <c r="A1540" t="s">
        <v>4226</v>
      </c>
      <c r="B1540" t="s">
        <v>2223</v>
      </c>
      <c r="C1540" t="s">
        <v>665</v>
      </c>
      <c r="D1540" s="3">
        <v>1</v>
      </c>
      <c r="E1540" s="2">
        <v>700</v>
      </c>
    </row>
    <row r="1541" spans="1:5" x14ac:dyDescent="0.35">
      <c r="A1541" t="s">
        <v>4227</v>
      </c>
      <c r="B1541" t="s">
        <v>2224</v>
      </c>
      <c r="C1541" t="s">
        <v>651</v>
      </c>
      <c r="D1541" s="3">
        <v>1</v>
      </c>
      <c r="E1541" s="2">
        <v>120</v>
      </c>
    </row>
    <row r="1542" spans="1:5" x14ac:dyDescent="0.35">
      <c r="A1542" t="s">
        <v>4228</v>
      </c>
      <c r="B1542" t="s">
        <v>2225</v>
      </c>
      <c r="C1542" t="s">
        <v>649</v>
      </c>
      <c r="D1542" s="3">
        <v>1</v>
      </c>
      <c r="E1542" s="2">
        <v>800</v>
      </c>
    </row>
    <row r="1543" spans="1:5" x14ac:dyDescent="0.35">
      <c r="A1543" t="s">
        <v>4229</v>
      </c>
      <c r="B1543" t="s">
        <v>2226</v>
      </c>
      <c r="C1543" t="s">
        <v>643</v>
      </c>
      <c r="D1543" s="3">
        <v>1</v>
      </c>
      <c r="E1543" s="2">
        <v>2200</v>
      </c>
    </row>
    <row r="1544" spans="1:5" x14ac:dyDescent="0.35">
      <c r="A1544" t="s">
        <v>4230</v>
      </c>
      <c r="B1544" t="s">
        <v>2227</v>
      </c>
      <c r="C1544" t="s">
        <v>663</v>
      </c>
      <c r="D1544" s="3">
        <v>1</v>
      </c>
      <c r="E1544" s="2">
        <v>1400</v>
      </c>
    </row>
    <row r="1545" spans="1:5" x14ac:dyDescent="0.35">
      <c r="A1545" t="s">
        <v>4231</v>
      </c>
      <c r="B1545" t="s">
        <v>2228</v>
      </c>
      <c r="C1545" t="s">
        <v>635</v>
      </c>
      <c r="D1545" s="3">
        <v>1</v>
      </c>
      <c r="E1545" s="2">
        <v>180</v>
      </c>
    </row>
    <row r="1546" spans="1:5" x14ac:dyDescent="0.35">
      <c r="A1546" t="s">
        <v>4232</v>
      </c>
      <c r="B1546" t="s">
        <v>2229</v>
      </c>
      <c r="C1546" t="s">
        <v>626</v>
      </c>
      <c r="D1546" s="3">
        <v>1</v>
      </c>
      <c r="E1546" s="2">
        <v>5000</v>
      </c>
    </row>
    <row r="1547" spans="1:5" x14ac:dyDescent="0.35">
      <c r="A1547" t="s">
        <v>4233</v>
      </c>
      <c r="B1547" t="s">
        <v>2230</v>
      </c>
      <c r="C1547" t="s">
        <v>645</v>
      </c>
      <c r="D1547" s="3">
        <v>1</v>
      </c>
      <c r="E1547" s="2">
        <v>3500</v>
      </c>
    </row>
    <row r="1548" spans="1:5" x14ac:dyDescent="0.35">
      <c r="A1548" t="s">
        <v>4234</v>
      </c>
      <c r="B1548" t="s">
        <v>2231</v>
      </c>
      <c r="C1548" t="s">
        <v>635</v>
      </c>
      <c r="D1548" s="3">
        <v>1</v>
      </c>
      <c r="E1548" s="2">
        <v>180</v>
      </c>
    </row>
    <row r="1549" spans="1:5" x14ac:dyDescent="0.35">
      <c r="A1549" t="s">
        <v>4235</v>
      </c>
      <c r="B1549" t="s">
        <v>2232</v>
      </c>
      <c r="C1549" t="s">
        <v>631</v>
      </c>
      <c r="D1549" s="3">
        <v>1</v>
      </c>
      <c r="E1549" s="2">
        <v>900</v>
      </c>
    </row>
    <row r="1550" spans="1:5" x14ac:dyDescent="0.35">
      <c r="A1550" t="s">
        <v>4236</v>
      </c>
      <c r="B1550" t="s">
        <v>2233</v>
      </c>
      <c r="C1550" t="s">
        <v>651</v>
      </c>
      <c r="D1550" s="3">
        <v>1</v>
      </c>
      <c r="E1550" s="2">
        <v>120</v>
      </c>
    </row>
    <row r="1551" spans="1:5" x14ac:dyDescent="0.35">
      <c r="A1551" t="s">
        <v>4237</v>
      </c>
      <c r="B1551" t="s">
        <v>2234</v>
      </c>
      <c r="C1551" t="s">
        <v>645</v>
      </c>
      <c r="D1551" s="3">
        <v>1</v>
      </c>
      <c r="E1551" s="2">
        <v>3500</v>
      </c>
    </row>
    <row r="1552" spans="1:5" x14ac:dyDescent="0.35">
      <c r="A1552" t="s">
        <v>4238</v>
      </c>
      <c r="B1552" t="s">
        <v>2235</v>
      </c>
      <c r="C1552" t="s">
        <v>654</v>
      </c>
      <c r="D1552" s="3">
        <v>1</v>
      </c>
      <c r="E1552" s="2">
        <v>100</v>
      </c>
    </row>
    <row r="1553" spans="1:5" x14ac:dyDescent="0.35">
      <c r="A1553" t="s">
        <v>4239</v>
      </c>
      <c r="B1553" t="s">
        <v>2236</v>
      </c>
      <c r="C1553" t="s">
        <v>654</v>
      </c>
      <c r="D1553" s="3">
        <v>1</v>
      </c>
      <c r="E1553" s="2">
        <v>100</v>
      </c>
    </row>
    <row r="1554" spans="1:5" x14ac:dyDescent="0.35">
      <c r="A1554" t="s">
        <v>4240</v>
      </c>
      <c r="B1554" t="s">
        <v>2237</v>
      </c>
      <c r="C1554" t="s">
        <v>665</v>
      </c>
      <c r="D1554" s="3">
        <v>1</v>
      </c>
      <c r="E1554" s="2">
        <v>700</v>
      </c>
    </row>
    <row r="1555" spans="1:5" x14ac:dyDescent="0.35">
      <c r="A1555" t="s">
        <v>4241</v>
      </c>
      <c r="B1555" t="s">
        <v>2238</v>
      </c>
      <c r="C1555" t="s">
        <v>663</v>
      </c>
      <c r="D1555" s="3">
        <v>1</v>
      </c>
      <c r="E1555" s="2">
        <v>1400</v>
      </c>
    </row>
    <row r="1556" spans="1:5" x14ac:dyDescent="0.35">
      <c r="A1556" t="s">
        <v>4242</v>
      </c>
      <c r="B1556" t="s">
        <v>2239</v>
      </c>
      <c r="C1556" t="s">
        <v>663</v>
      </c>
      <c r="D1556" s="3">
        <v>2</v>
      </c>
      <c r="E1556" s="2">
        <v>2800</v>
      </c>
    </row>
    <row r="1557" spans="1:5" x14ac:dyDescent="0.35">
      <c r="A1557" t="s">
        <v>4243</v>
      </c>
      <c r="B1557" t="s">
        <v>2240</v>
      </c>
      <c r="C1557" t="s">
        <v>626</v>
      </c>
      <c r="D1557" s="3">
        <v>1</v>
      </c>
      <c r="E1557" s="2">
        <v>5000</v>
      </c>
    </row>
    <row r="1558" spans="1:5" x14ac:dyDescent="0.35">
      <c r="A1558" t="s">
        <v>4244</v>
      </c>
      <c r="B1558" t="s">
        <v>2241</v>
      </c>
      <c r="C1558" t="s">
        <v>643</v>
      </c>
      <c r="D1558" s="3">
        <v>1</v>
      </c>
      <c r="E1558" s="2">
        <v>2200</v>
      </c>
    </row>
    <row r="1559" spans="1:5" x14ac:dyDescent="0.35">
      <c r="A1559" t="s">
        <v>4245</v>
      </c>
      <c r="B1559" t="s">
        <v>2242</v>
      </c>
      <c r="C1559" t="s">
        <v>647</v>
      </c>
      <c r="D1559" s="3">
        <v>1</v>
      </c>
      <c r="E1559" s="2">
        <v>4200</v>
      </c>
    </row>
    <row r="1560" spans="1:5" x14ac:dyDescent="0.35">
      <c r="A1560" t="s">
        <v>4246</v>
      </c>
      <c r="B1560" t="s">
        <v>2243</v>
      </c>
      <c r="C1560" t="s">
        <v>638</v>
      </c>
      <c r="D1560" s="3">
        <v>1</v>
      </c>
      <c r="E1560" s="2">
        <v>150</v>
      </c>
    </row>
    <row r="1561" spans="1:5" x14ac:dyDescent="0.35">
      <c r="A1561" t="s">
        <v>4247</v>
      </c>
      <c r="B1561" t="s">
        <v>2244</v>
      </c>
      <c r="C1561" t="s">
        <v>626</v>
      </c>
      <c r="D1561" s="3">
        <v>1</v>
      </c>
      <c r="E1561" s="2">
        <v>5000</v>
      </c>
    </row>
    <row r="1562" spans="1:5" x14ac:dyDescent="0.35">
      <c r="A1562" t="s">
        <v>4248</v>
      </c>
      <c r="B1562" t="s">
        <v>2245</v>
      </c>
      <c r="C1562" t="s">
        <v>645</v>
      </c>
      <c r="D1562" s="3">
        <v>1</v>
      </c>
      <c r="E1562" s="2">
        <v>3500</v>
      </c>
    </row>
    <row r="1563" spans="1:5" x14ac:dyDescent="0.35">
      <c r="A1563" t="s">
        <v>4249</v>
      </c>
      <c r="B1563" t="s">
        <v>2246</v>
      </c>
      <c r="C1563" t="s">
        <v>638</v>
      </c>
      <c r="D1563" s="3">
        <v>1</v>
      </c>
      <c r="E1563" s="2">
        <v>150</v>
      </c>
    </row>
    <row r="1564" spans="1:5" x14ac:dyDescent="0.35">
      <c r="A1564" t="s">
        <v>4250</v>
      </c>
      <c r="B1564" t="s">
        <v>2247</v>
      </c>
      <c r="C1564" t="s">
        <v>647</v>
      </c>
      <c r="D1564" s="3">
        <v>1</v>
      </c>
      <c r="E1564" s="2">
        <v>4200</v>
      </c>
    </row>
    <row r="1565" spans="1:5" x14ac:dyDescent="0.35">
      <c r="A1565" t="s">
        <v>4251</v>
      </c>
      <c r="B1565" t="s">
        <v>2248</v>
      </c>
      <c r="C1565" t="s">
        <v>654</v>
      </c>
      <c r="D1565" s="3">
        <v>1</v>
      </c>
      <c r="E1565" s="2">
        <v>100</v>
      </c>
    </row>
    <row r="1566" spans="1:5" x14ac:dyDescent="0.35">
      <c r="A1566" t="s">
        <v>4252</v>
      </c>
      <c r="B1566" t="s">
        <v>2249</v>
      </c>
      <c r="C1566" t="s">
        <v>631</v>
      </c>
      <c r="D1566" s="3">
        <v>1</v>
      </c>
      <c r="E1566" s="2">
        <v>900</v>
      </c>
    </row>
    <row r="1567" spans="1:5" x14ac:dyDescent="0.35">
      <c r="A1567" t="s">
        <v>4253</v>
      </c>
      <c r="B1567" t="s">
        <v>2250</v>
      </c>
      <c r="C1567" t="s">
        <v>641</v>
      </c>
      <c r="D1567" s="3">
        <v>1</v>
      </c>
      <c r="E1567" s="2">
        <v>1800</v>
      </c>
    </row>
    <row r="1568" spans="1:5" x14ac:dyDescent="0.35">
      <c r="A1568" t="s">
        <v>4254</v>
      </c>
      <c r="B1568" t="s">
        <v>2251</v>
      </c>
      <c r="C1568" t="s">
        <v>647</v>
      </c>
      <c r="D1568" s="3">
        <v>1</v>
      </c>
      <c r="E1568" s="2">
        <v>4200</v>
      </c>
    </row>
    <row r="1569" spans="1:5" x14ac:dyDescent="0.35">
      <c r="A1569" t="s">
        <v>4255</v>
      </c>
      <c r="B1569" t="s">
        <v>2252</v>
      </c>
      <c r="C1569" t="s">
        <v>633</v>
      </c>
      <c r="D1569" s="3">
        <v>1</v>
      </c>
      <c r="E1569" s="2">
        <v>450</v>
      </c>
    </row>
    <row r="1570" spans="1:5" x14ac:dyDescent="0.35">
      <c r="A1570" t="s">
        <v>4256</v>
      </c>
      <c r="B1570" t="s">
        <v>2253</v>
      </c>
      <c r="C1570" t="s">
        <v>660</v>
      </c>
      <c r="D1570" s="3">
        <v>1</v>
      </c>
      <c r="E1570" s="2">
        <v>6500</v>
      </c>
    </row>
    <row r="1571" spans="1:5" x14ac:dyDescent="0.35">
      <c r="A1571" t="s">
        <v>4257</v>
      </c>
      <c r="B1571" t="s">
        <v>2254</v>
      </c>
      <c r="C1571" t="s">
        <v>671</v>
      </c>
      <c r="D1571" s="3">
        <v>1</v>
      </c>
      <c r="E1571" s="2">
        <v>400</v>
      </c>
    </row>
    <row r="1572" spans="1:5" x14ac:dyDescent="0.35">
      <c r="A1572" t="s">
        <v>4258</v>
      </c>
      <c r="B1572" t="s">
        <v>2255</v>
      </c>
      <c r="C1572" t="s">
        <v>660</v>
      </c>
      <c r="D1572" s="3">
        <v>1</v>
      </c>
      <c r="E1572" s="2">
        <v>6500</v>
      </c>
    </row>
    <row r="1573" spans="1:5" x14ac:dyDescent="0.35">
      <c r="A1573" t="s">
        <v>4259</v>
      </c>
      <c r="B1573" t="s">
        <v>2256</v>
      </c>
      <c r="C1573" t="s">
        <v>656</v>
      </c>
      <c r="D1573" s="3">
        <v>1</v>
      </c>
      <c r="E1573" s="2">
        <v>350</v>
      </c>
    </row>
    <row r="1574" spans="1:5" x14ac:dyDescent="0.35">
      <c r="A1574" t="s">
        <v>4260</v>
      </c>
      <c r="B1574" t="s">
        <v>2257</v>
      </c>
      <c r="C1574" t="s">
        <v>647</v>
      </c>
      <c r="D1574" s="3">
        <v>1</v>
      </c>
      <c r="E1574" s="2">
        <v>4200</v>
      </c>
    </row>
    <row r="1575" spans="1:5" x14ac:dyDescent="0.35">
      <c r="A1575" t="s">
        <v>4261</v>
      </c>
      <c r="B1575" t="s">
        <v>2258</v>
      </c>
      <c r="C1575" t="s">
        <v>647</v>
      </c>
      <c r="D1575" s="3">
        <v>1</v>
      </c>
      <c r="E1575" s="2">
        <v>4200</v>
      </c>
    </row>
    <row r="1576" spans="1:5" x14ac:dyDescent="0.35">
      <c r="A1576" t="s">
        <v>4262</v>
      </c>
      <c r="B1576" t="s">
        <v>2259</v>
      </c>
      <c r="C1576" t="s">
        <v>665</v>
      </c>
      <c r="D1576" s="3">
        <v>1</v>
      </c>
      <c r="E1576" s="2">
        <v>700</v>
      </c>
    </row>
    <row r="1577" spans="1:5" x14ac:dyDescent="0.35">
      <c r="A1577" t="s">
        <v>4263</v>
      </c>
      <c r="B1577" t="s">
        <v>2260</v>
      </c>
      <c r="C1577" t="s">
        <v>620</v>
      </c>
      <c r="D1577" s="3">
        <v>1</v>
      </c>
      <c r="E1577" s="2">
        <v>50</v>
      </c>
    </row>
    <row r="1578" spans="1:5" x14ac:dyDescent="0.35">
      <c r="A1578" t="s">
        <v>4264</v>
      </c>
      <c r="B1578" t="s">
        <v>2261</v>
      </c>
      <c r="C1578" t="s">
        <v>641</v>
      </c>
      <c r="D1578" s="3">
        <v>2</v>
      </c>
      <c r="E1578" s="2">
        <v>3600</v>
      </c>
    </row>
    <row r="1579" spans="1:5" x14ac:dyDescent="0.35">
      <c r="A1579" t="s">
        <v>4265</v>
      </c>
      <c r="B1579" t="s">
        <v>2262</v>
      </c>
      <c r="C1579" t="s">
        <v>667</v>
      </c>
      <c r="D1579" s="3">
        <v>1</v>
      </c>
      <c r="E1579" s="2">
        <v>550</v>
      </c>
    </row>
    <row r="1580" spans="1:5" x14ac:dyDescent="0.35">
      <c r="A1580" t="s">
        <v>4266</v>
      </c>
      <c r="B1580" t="s">
        <v>2263</v>
      </c>
      <c r="C1580" t="s">
        <v>647</v>
      </c>
      <c r="D1580" s="3">
        <v>1</v>
      </c>
      <c r="E1580" s="2">
        <v>4200</v>
      </c>
    </row>
    <row r="1581" spans="1:5" x14ac:dyDescent="0.35">
      <c r="A1581" t="s">
        <v>4267</v>
      </c>
      <c r="B1581" t="s">
        <v>2264</v>
      </c>
      <c r="C1581" t="s">
        <v>638</v>
      </c>
      <c r="D1581" s="3">
        <v>2</v>
      </c>
      <c r="E1581" s="2">
        <v>300</v>
      </c>
    </row>
    <row r="1582" spans="1:5" x14ac:dyDescent="0.35">
      <c r="A1582" t="s">
        <v>4268</v>
      </c>
      <c r="B1582" t="s">
        <v>2265</v>
      </c>
      <c r="C1582" t="s">
        <v>617</v>
      </c>
      <c r="D1582" s="3">
        <v>1</v>
      </c>
      <c r="E1582" s="2">
        <v>200</v>
      </c>
    </row>
    <row r="1583" spans="1:5" x14ac:dyDescent="0.35">
      <c r="A1583" t="s">
        <v>4269</v>
      </c>
      <c r="B1583" t="s">
        <v>2266</v>
      </c>
      <c r="C1583" t="s">
        <v>649</v>
      </c>
      <c r="D1583" s="3">
        <v>2</v>
      </c>
      <c r="E1583" s="2">
        <v>1600</v>
      </c>
    </row>
    <row r="1584" spans="1:5" x14ac:dyDescent="0.35">
      <c r="A1584" t="s">
        <v>4270</v>
      </c>
      <c r="B1584" t="s">
        <v>2267</v>
      </c>
      <c r="C1584" t="s">
        <v>654</v>
      </c>
      <c r="D1584" s="3">
        <v>1</v>
      </c>
      <c r="E1584" s="2">
        <v>100</v>
      </c>
    </row>
    <row r="1585" spans="1:5" x14ac:dyDescent="0.35">
      <c r="A1585" t="s">
        <v>4271</v>
      </c>
      <c r="B1585" t="s">
        <v>2268</v>
      </c>
      <c r="C1585" t="s">
        <v>663</v>
      </c>
      <c r="D1585" s="3">
        <v>1</v>
      </c>
      <c r="E1585" s="2">
        <v>1400</v>
      </c>
    </row>
    <row r="1586" spans="1:5" x14ac:dyDescent="0.35">
      <c r="A1586" t="s">
        <v>4272</v>
      </c>
      <c r="B1586" t="s">
        <v>2269</v>
      </c>
      <c r="C1586" t="s">
        <v>651</v>
      </c>
      <c r="D1586" s="3">
        <v>1</v>
      </c>
      <c r="E1586" s="2">
        <v>120</v>
      </c>
    </row>
    <row r="1587" spans="1:5" x14ac:dyDescent="0.35">
      <c r="A1587" t="s">
        <v>4273</v>
      </c>
      <c r="B1587" t="s">
        <v>2270</v>
      </c>
      <c r="C1587" t="s">
        <v>617</v>
      </c>
      <c r="D1587" s="3">
        <v>3</v>
      </c>
      <c r="E1587" s="2">
        <v>600</v>
      </c>
    </row>
    <row r="1588" spans="1:5" x14ac:dyDescent="0.35">
      <c r="A1588" t="s">
        <v>4274</v>
      </c>
      <c r="B1588" t="s">
        <v>2271</v>
      </c>
      <c r="C1588" t="s">
        <v>656</v>
      </c>
      <c r="D1588" s="3">
        <v>2</v>
      </c>
      <c r="E1588" s="2">
        <v>700</v>
      </c>
    </row>
    <row r="1589" spans="1:5" x14ac:dyDescent="0.35">
      <c r="A1589" t="s">
        <v>4275</v>
      </c>
      <c r="B1589" t="s">
        <v>2272</v>
      </c>
      <c r="C1589" t="s">
        <v>671</v>
      </c>
      <c r="D1589" s="3">
        <v>1</v>
      </c>
      <c r="E1589" s="2">
        <v>400</v>
      </c>
    </row>
    <row r="1590" spans="1:5" x14ac:dyDescent="0.35">
      <c r="A1590" t="s">
        <v>4276</v>
      </c>
      <c r="B1590" t="s">
        <v>2273</v>
      </c>
      <c r="C1590" t="s">
        <v>647</v>
      </c>
      <c r="D1590" s="3">
        <v>1</v>
      </c>
      <c r="E1590" s="2">
        <v>4200</v>
      </c>
    </row>
    <row r="1591" spans="1:5" x14ac:dyDescent="0.35">
      <c r="A1591" t="s">
        <v>4277</v>
      </c>
      <c r="B1591" t="s">
        <v>2274</v>
      </c>
      <c r="C1591" t="s">
        <v>651</v>
      </c>
      <c r="D1591" s="3">
        <v>1</v>
      </c>
      <c r="E1591" s="2">
        <v>120</v>
      </c>
    </row>
    <row r="1592" spans="1:5" x14ac:dyDescent="0.35">
      <c r="A1592" t="s">
        <v>4278</v>
      </c>
      <c r="B1592" t="s">
        <v>2275</v>
      </c>
      <c r="C1592" t="s">
        <v>654</v>
      </c>
      <c r="D1592" s="3">
        <v>1</v>
      </c>
      <c r="E1592" s="2">
        <v>100</v>
      </c>
    </row>
    <row r="1593" spans="1:5" x14ac:dyDescent="0.35">
      <c r="A1593" t="s">
        <v>4279</v>
      </c>
      <c r="B1593" t="s">
        <v>2276</v>
      </c>
      <c r="C1593" t="s">
        <v>654</v>
      </c>
      <c r="D1593" s="3">
        <v>1</v>
      </c>
      <c r="E1593" s="2">
        <v>100</v>
      </c>
    </row>
    <row r="1594" spans="1:5" x14ac:dyDescent="0.35">
      <c r="A1594" t="s">
        <v>4280</v>
      </c>
      <c r="B1594" t="s">
        <v>2277</v>
      </c>
      <c r="C1594" t="s">
        <v>620</v>
      </c>
      <c r="D1594" s="3">
        <v>1</v>
      </c>
      <c r="E1594" s="2">
        <v>50</v>
      </c>
    </row>
    <row r="1595" spans="1:5" x14ac:dyDescent="0.35">
      <c r="A1595" t="s">
        <v>4281</v>
      </c>
      <c r="B1595" t="s">
        <v>2278</v>
      </c>
      <c r="C1595" t="s">
        <v>656</v>
      </c>
      <c r="D1595" s="3">
        <v>1</v>
      </c>
      <c r="E1595" s="2">
        <v>350</v>
      </c>
    </row>
    <row r="1596" spans="1:5" x14ac:dyDescent="0.35">
      <c r="A1596" t="s">
        <v>4282</v>
      </c>
      <c r="B1596" t="s">
        <v>2279</v>
      </c>
      <c r="C1596" t="s">
        <v>643</v>
      </c>
      <c r="D1596" s="3">
        <v>3</v>
      </c>
      <c r="E1596" s="2">
        <v>6600</v>
      </c>
    </row>
    <row r="1597" spans="1:5" x14ac:dyDescent="0.35">
      <c r="A1597" t="s">
        <v>4283</v>
      </c>
      <c r="B1597" t="s">
        <v>2280</v>
      </c>
      <c r="C1597" t="s">
        <v>635</v>
      </c>
      <c r="D1597" s="3">
        <v>2</v>
      </c>
      <c r="E1597" s="2">
        <v>360</v>
      </c>
    </row>
    <row r="1598" spans="1:5" x14ac:dyDescent="0.35">
      <c r="A1598" t="s">
        <v>4284</v>
      </c>
      <c r="B1598" t="s">
        <v>2281</v>
      </c>
      <c r="C1598" t="s">
        <v>663</v>
      </c>
      <c r="D1598" s="3">
        <v>1</v>
      </c>
      <c r="E1598" s="2">
        <v>1400</v>
      </c>
    </row>
    <row r="1599" spans="1:5" x14ac:dyDescent="0.35">
      <c r="A1599" t="s">
        <v>4285</v>
      </c>
      <c r="B1599" t="s">
        <v>2282</v>
      </c>
      <c r="C1599" t="s">
        <v>623</v>
      </c>
      <c r="D1599" s="3">
        <v>1</v>
      </c>
      <c r="E1599" s="2">
        <v>1200</v>
      </c>
    </row>
    <row r="1600" spans="1:5" x14ac:dyDescent="0.35">
      <c r="A1600" t="s">
        <v>4286</v>
      </c>
      <c r="B1600" t="s">
        <v>2283</v>
      </c>
      <c r="C1600" t="s">
        <v>645</v>
      </c>
      <c r="D1600" s="3">
        <v>3</v>
      </c>
      <c r="E1600" s="2">
        <v>10500</v>
      </c>
    </row>
    <row r="1601" spans="1:5" x14ac:dyDescent="0.35">
      <c r="A1601" t="s">
        <v>4287</v>
      </c>
      <c r="B1601" t="s">
        <v>2284</v>
      </c>
      <c r="C1601" t="s">
        <v>663</v>
      </c>
      <c r="D1601" s="3">
        <v>1</v>
      </c>
      <c r="E1601" s="2">
        <v>1400</v>
      </c>
    </row>
    <row r="1602" spans="1:5" x14ac:dyDescent="0.35">
      <c r="A1602" t="s">
        <v>4288</v>
      </c>
      <c r="B1602" t="s">
        <v>2285</v>
      </c>
      <c r="C1602" t="s">
        <v>654</v>
      </c>
      <c r="D1602" s="3">
        <v>1</v>
      </c>
      <c r="E1602" s="2">
        <v>100</v>
      </c>
    </row>
    <row r="1603" spans="1:5" x14ac:dyDescent="0.35">
      <c r="A1603" t="s">
        <v>4289</v>
      </c>
      <c r="B1603" t="s">
        <v>2286</v>
      </c>
      <c r="C1603" t="s">
        <v>649</v>
      </c>
      <c r="D1603" s="3">
        <v>1</v>
      </c>
      <c r="E1603" s="2">
        <v>800</v>
      </c>
    </row>
    <row r="1604" spans="1:5" x14ac:dyDescent="0.35">
      <c r="A1604" t="s">
        <v>4290</v>
      </c>
      <c r="B1604" t="s">
        <v>2287</v>
      </c>
      <c r="C1604" t="s">
        <v>654</v>
      </c>
      <c r="D1604" s="3">
        <v>2</v>
      </c>
      <c r="E1604" s="2">
        <v>200</v>
      </c>
    </row>
    <row r="1605" spans="1:5" x14ac:dyDescent="0.35">
      <c r="A1605" t="s">
        <v>4291</v>
      </c>
      <c r="B1605" t="s">
        <v>2288</v>
      </c>
      <c r="C1605" t="s">
        <v>665</v>
      </c>
      <c r="D1605" s="3">
        <v>1</v>
      </c>
      <c r="E1605" s="2">
        <v>700</v>
      </c>
    </row>
    <row r="1606" spans="1:5" x14ac:dyDescent="0.35">
      <c r="A1606" t="s">
        <v>4292</v>
      </c>
      <c r="B1606" t="s">
        <v>2289</v>
      </c>
      <c r="C1606" t="s">
        <v>656</v>
      </c>
      <c r="D1606" s="3">
        <v>1</v>
      </c>
      <c r="E1606" s="2">
        <v>350</v>
      </c>
    </row>
    <row r="1607" spans="1:5" x14ac:dyDescent="0.35">
      <c r="A1607" t="s">
        <v>4293</v>
      </c>
      <c r="B1607" t="s">
        <v>2290</v>
      </c>
      <c r="C1607" t="s">
        <v>643</v>
      </c>
      <c r="D1607" s="3">
        <v>1</v>
      </c>
      <c r="E1607" s="2">
        <v>2200</v>
      </c>
    </row>
    <row r="1608" spans="1:5" x14ac:dyDescent="0.35">
      <c r="A1608" t="s">
        <v>4294</v>
      </c>
      <c r="B1608" t="s">
        <v>2291</v>
      </c>
      <c r="C1608" t="s">
        <v>656</v>
      </c>
      <c r="D1608" s="3">
        <v>2</v>
      </c>
      <c r="E1608" s="2">
        <v>700</v>
      </c>
    </row>
    <row r="1609" spans="1:5" x14ac:dyDescent="0.35">
      <c r="A1609" t="s">
        <v>4295</v>
      </c>
      <c r="B1609" t="s">
        <v>2292</v>
      </c>
      <c r="C1609" t="s">
        <v>660</v>
      </c>
      <c r="D1609" s="3">
        <v>1</v>
      </c>
      <c r="E1609" s="2">
        <v>6500</v>
      </c>
    </row>
    <row r="1610" spans="1:5" x14ac:dyDescent="0.35">
      <c r="A1610" t="s">
        <v>4296</v>
      </c>
      <c r="B1610" t="s">
        <v>2293</v>
      </c>
      <c r="C1610" t="s">
        <v>667</v>
      </c>
      <c r="D1610" s="3">
        <v>1</v>
      </c>
      <c r="E1610" s="2">
        <v>550</v>
      </c>
    </row>
    <row r="1611" spans="1:5" x14ac:dyDescent="0.35">
      <c r="A1611" t="s">
        <v>4297</v>
      </c>
      <c r="B1611" t="s">
        <v>2294</v>
      </c>
      <c r="C1611" t="s">
        <v>617</v>
      </c>
      <c r="D1611" s="3">
        <v>1</v>
      </c>
      <c r="E1611" s="2">
        <v>200</v>
      </c>
    </row>
    <row r="1612" spans="1:5" x14ac:dyDescent="0.35">
      <c r="A1612" t="s">
        <v>4298</v>
      </c>
      <c r="B1612" t="s">
        <v>2295</v>
      </c>
      <c r="C1612" t="s">
        <v>645</v>
      </c>
      <c r="D1612" s="3">
        <v>2</v>
      </c>
      <c r="E1612" s="2">
        <v>7000</v>
      </c>
    </row>
    <row r="1613" spans="1:5" x14ac:dyDescent="0.35">
      <c r="A1613" t="s">
        <v>4299</v>
      </c>
      <c r="B1613" t="s">
        <v>2296</v>
      </c>
      <c r="C1613" t="s">
        <v>651</v>
      </c>
      <c r="D1613" s="3">
        <v>1</v>
      </c>
      <c r="E1613" s="2">
        <v>120</v>
      </c>
    </row>
    <row r="1614" spans="1:5" x14ac:dyDescent="0.35">
      <c r="A1614" t="s">
        <v>4300</v>
      </c>
      <c r="B1614" t="s">
        <v>2297</v>
      </c>
      <c r="C1614" t="s">
        <v>658</v>
      </c>
      <c r="D1614" s="3">
        <v>1</v>
      </c>
      <c r="E1614" s="2">
        <v>750</v>
      </c>
    </row>
    <row r="1615" spans="1:5" x14ac:dyDescent="0.35">
      <c r="A1615" t="s">
        <v>4301</v>
      </c>
      <c r="B1615" t="s">
        <v>2298</v>
      </c>
      <c r="C1615" t="s">
        <v>669</v>
      </c>
      <c r="D1615" s="3">
        <v>3</v>
      </c>
      <c r="E1615" s="2">
        <v>1800</v>
      </c>
    </row>
    <row r="1616" spans="1:5" x14ac:dyDescent="0.35">
      <c r="A1616" t="s">
        <v>4302</v>
      </c>
      <c r="B1616" t="s">
        <v>2299</v>
      </c>
      <c r="C1616" t="s">
        <v>649</v>
      </c>
      <c r="D1616" s="3">
        <v>1</v>
      </c>
      <c r="E1616" s="2">
        <v>800</v>
      </c>
    </row>
    <row r="1617" spans="1:5" x14ac:dyDescent="0.35">
      <c r="A1617" t="s">
        <v>4303</v>
      </c>
      <c r="B1617" t="s">
        <v>2300</v>
      </c>
      <c r="C1617" t="s">
        <v>617</v>
      </c>
      <c r="D1617" s="3">
        <v>1</v>
      </c>
      <c r="E1617" s="2">
        <v>200</v>
      </c>
    </row>
    <row r="1618" spans="1:5" x14ac:dyDescent="0.35">
      <c r="A1618" t="s">
        <v>4304</v>
      </c>
      <c r="B1618" t="s">
        <v>2301</v>
      </c>
      <c r="C1618" t="s">
        <v>647</v>
      </c>
      <c r="D1618" s="3">
        <v>2</v>
      </c>
      <c r="E1618" s="2">
        <v>8400</v>
      </c>
    </row>
    <row r="1619" spans="1:5" x14ac:dyDescent="0.35">
      <c r="A1619" t="s">
        <v>4305</v>
      </c>
      <c r="B1619" t="s">
        <v>2302</v>
      </c>
      <c r="C1619" t="s">
        <v>651</v>
      </c>
      <c r="D1619" s="3">
        <v>1</v>
      </c>
      <c r="E1619" s="2">
        <v>120</v>
      </c>
    </row>
    <row r="1620" spans="1:5" x14ac:dyDescent="0.35">
      <c r="A1620" t="s">
        <v>4306</v>
      </c>
      <c r="B1620" t="s">
        <v>2303</v>
      </c>
      <c r="C1620" t="s">
        <v>633</v>
      </c>
      <c r="D1620" s="3">
        <v>1</v>
      </c>
      <c r="E1620" s="2">
        <v>450</v>
      </c>
    </row>
    <row r="1621" spans="1:5" x14ac:dyDescent="0.35">
      <c r="A1621" t="s">
        <v>4307</v>
      </c>
      <c r="B1621" t="s">
        <v>2304</v>
      </c>
      <c r="C1621" t="s">
        <v>651</v>
      </c>
      <c r="D1621" s="3">
        <v>1</v>
      </c>
      <c r="E1621" s="2">
        <v>120</v>
      </c>
    </row>
    <row r="1622" spans="1:5" x14ac:dyDescent="0.35">
      <c r="A1622" t="s">
        <v>4308</v>
      </c>
      <c r="B1622" t="s">
        <v>2305</v>
      </c>
      <c r="C1622" t="s">
        <v>663</v>
      </c>
      <c r="D1622" s="3">
        <v>1</v>
      </c>
      <c r="E1622" s="2">
        <v>1400</v>
      </c>
    </row>
    <row r="1623" spans="1:5" x14ac:dyDescent="0.35">
      <c r="A1623" t="s">
        <v>4309</v>
      </c>
      <c r="B1623" t="s">
        <v>2306</v>
      </c>
      <c r="C1623" t="s">
        <v>641</v>
      </c>
      <c r="D1623" s="3">
        <v>1</v>
      </c>
      <c r="E1623" s="2">
        <v>1800</v>
      </c>
    </row>
    <row r="1624" spans="1:5" x14ac:dyDescent="0.35">
      <c r="A1624" t="s">
        <v>4310</v>
      </c>
      <c r="B1624" t="s">
        <v>2307</v>
      </c>
      <c r="C1624" t="s">
        <v>649</v>
      </c>
      <c r="D1624" s="3">
        <v>1</v>
      </c>
      <c r="E1624" s="2">
        <v>800</v>
      </c>
    </row>
    <row r="1625" spans="1:5" x14ac:dyDescent="0.35">
      <c r="A1625" t="s">
        <v>4311</v>
      </c>
      <c r="B1625" t="s">
        <v>2308</v>
      </c>
      <c r="C1625" t="s">
        <v>631</v>
      </c>
      <c r="D1625" s="3">
        <v>2</v>
      </c>
      <c r="E1625" s="2">
        <v>1800</v>
      </c>
    </row>
    <row r="1626" spans="1:5" x14ac:dyDescent="0.35">
      <c r="A1626" t="s">
        <v>4312</v>
      </c>
      <c r="B1626" t="s">
        <v>2309</v>
      </c>
      <c r="C1626" t="s">
        <v>649</v>
      </c>
      <c r="D1626" s="3">
        <v>1</v>
      </c>
      <c r="E1626" s="2">
        <v>800</v>
      </c>
    </row>
    <row r="1627" spans="1:5" x14ac:dyDescent="0.35">
      <c r="A1627" t="s">
        <v>4313</v>
      </c>
      <c r="B1627" t="s">
        <v>2310</v>
      </c>
      <c r="C1627" t="s">
        <v>671</v>
      </c>
      <c r="D1627" s="3">
        <v>1</v>
      </c>
      <c r="E1627" s="2">
        <v>400</v>
      </c>
    </row>
    <row r="1628" spans="1:5" x14ac:dyDescent="0.35">
      <c r="A1628" t="s">
        <v>4314</v>
      </c>
      <c r="B1628" t="s">
        <v>2311</v>
      </c>
      <c r="C1628" t="s">
        <v>673</v>
      </c>
      <c r="D1628" s="3">
        <v>1</v>
      </c>
      <c r="E1628" s="2">
        <v>300</v>
      </c>
    </row>
    <row r="1629" spans="1:5" x14ac:dyDescent="0.35">
      <c r="A1629" t="s">
        <v>4315</v>
      </c>
      <c r="B1629" t="s">
        <v>2312</v>
      </c>
      <c r="C1629" t="s">
        <v>667</v>
      </c>
      <c r="D1629" s="3">
        <v>1</v>
      </c>
      <c r="E1629" s="2">
        <v>550</v>
      </c>
    </row>
    <row r="1630" spans="1:5" x14ac:dyDescent="0.35">
      <c r="A1630" t="s">
        <v>4316</v>
      </c>
      <c r="B1630" t="s">
        <v>2313</v>
      </c>
      <c r="C1630" t="s">
        <v>645</v>
      </c>
      <c r="D1630" s="3">
        <v>1</v>
      </c>
      <c r="E1630" s="2">
        <v>3500</v>
      </c>
    </row>
    <row r="1631" spans="1:5" x14ac:dyDescent="0.35">
      <c r="A1631" t="s">
        <v>4317</v>
      </c>
      <c r="B1631" t="s">
        <v>2314</v>
      </c>
      <c r="C1631" t="s">
        <v>643</v>
      </c>
      <c r="D1631" s="3">
        <v>1</v>
      </c>
      <c r="E1631" s="2">
        <v>2200</v>
      </c>
    </row>
    <row r="1632" spans="1:5" x14ac:dyDescent="0.35">
      <c r="A1632" t="s">
        <v>4318</v>
      </c>
      <c r="B1632" t="s">
        <v>2315</v>
      </c>
      <c r="C1632" t="s">
        <v>673</v>
      </c>
      <c r="D1632" s="3">
        <v>1</v>
      </c>
      <c r="E1632" s="2">
        <v>300</v>
      </c>
    </row>
    <row r="1633" spans="1:5" x14ac:dyDescent="0.35">
      <c r="A1633" t="s">
        <v>4319</v>
      </c>
      <c r="B1633" t="s">
        <v>2316</v>
      </c>
      <c r="C1633" t="s">
        <v>663</v>
      </c>
      <c r="D1633" s="3">
        <v>1</v>
      </c>
      <c r="E1633" s="2">
        <v>1400</v>
      </c>
    </row>
    <row r="1634" spans="1:5" x14ac:dyDescent="0.35">
      <c r="A1634" t="s">
        <v>4320</v>
      </c>
      <c r="B1634" t="s">
        <v>2317</v>
      </c>
      <c r="C1634" t="s">
        <v>667</v>
      </c>
      <c r="D1634" s="3">
        <v>1</v>
      </c>
      <c r="E1634" s="2">
        <v>550</v>
      </c>
    </row>
    <row r="1635" spans="1:5" x14ac:dyDescent="0.35">
      <c r="A1635" t="s">
        <v>4321</v>
      </c>
      <c r="B1635" t="s">
        <v>2318</v>
      </c>
      <c r="C1635" t="s">
        <v>671</v>
      </c>
      <c r="D1635" s="3">
        <v>1</v>
      </c>
      <c r="E1635" s="2">
        <v>400</v>
      </c>
    </row>
    <row r="1636" spans="1:5" x14ac:dyDescent="0.35">
      <c r="A1636" t="s">
        <v>4322</v>
      </c>
      <c r="B1636" t="s">
        <v>2319</v>
      </c>
      <c r="C1636" t="s">
        <v>673</v>
      </c>
      <c r="D1636" s="3">
        <v>1</v>
      </c>
      <c r="E1636" s="2">
        <v>300</v>
      </c>
    </row>
    <row r="1637" spans="1:5" x14ac:dyDescent="0.35">
      <c r="A1637" t="s">
        <v>4323</v>
      </c>
      <c r="B1637" t="s">
        <v>2320</v>
      </c>
      <c r="C1637" t="s">
        <v>660</v>
      </c>
      <c r="D1637" s="3">
        <v>1</v>
      </c>
      <c r="E1637" s="2">
        <v>6500</v>
      </c>
    </row>
    <row r="1638" spans="1:5" x14ac:dyDescent="0.35">
      <c r="A1638" t="s">
        <v>4324</v>
      </c>
      <c r="B1638" t="s">
        <v>2321</v>
      </c>
      <c r="C1638" t="s">
        <v>620</v>
      </c>
      <c r="D1638" s="3">
        <v>2</v>
      </c>
      <c r="E1638" s="2">
        <v>100</v>
      </c>
    </row>
    <row r="1639" spans="1:5" x14ac:dyDescent="0.35">
      <c r="A1639" t="s">
        <v>4325</v>
      </c>
      <c r="B1639" t="s">
        <v>2322</v>
      </c>
      <c r="C1639" t="s">
        <v>667</v>
      </c>
      <c r="D1639" s="3">
        <v>1</v>
      </c>
      <c r="E1639" s="2">
        <v>550</v>
      </c>
    </row>
    <row r="1640" spans="1:5" x14ac:dyDescent="0.35">
      <c r="A1640" t="s">
        <v>4326</v>
      </c>
      <c r="B1640" t="s">
        <v>2323</v>
      </c>
      <c r="C1640" t="s">
        <v>663</v>
      </c>
      <c r="D1640" s="3">
        <v>1</v>
      </c>
      <c r="E1640" s="2">
        <v>1400</v>
      </c>
    </row>
    <row r="1641" spans="1:5" x14ac:dyDescent="0.35">
      <c r="A1641" t="s">
        <v>4327</v>
      </c>
      <c r="B1641" t="s">
        <v>2324</v>
      </c>
      <c r="C1641" t="s">
        <v>617</v>
      </c>
      <c r="D1641" s="3">
        <v>1</v>
      </c>
      <c r="E1641" s="2">
        <v>200</v>
      </c>
    </row>
    <row r="1642" spans="1:5" x14ac:dyDescent="0.35">
      <c r="A1642" t="s">
        <v>4328</v>
      </c>
      <c r="B1642" t="s">
        <v>2325</v>
      </c>
      <c r="C1642" t="s">
        <v>635</v>
      </c>
      <c r="D1642" s="3">
        <v>1</v>
      </c>
      <c r="E1642" s="2">
        <v>180</v>
      </c>
    </row>
    <row r="1643" spans="1:5" x14ac:dyDescent="0.35">
      <c r="A1643" t="s">
        <v>4329</v>
      </c>
      <c r="B1643" t="s">
        <v>2326</v>
      </c>
      <c r="C1643" t="s">
        <v>673</v>
      </c>
      <c r="D1643" s="3">
        <v>1</v>
      </c>
      <c r="E1643" s="2">
        <v>300</v>
      </c>
    </row>
    <row r="1644" spans="1:5" x14ac:dyDescent="0.35">
      <c r="A1644" t="s">
        <v>4330</v>
      </c>
      <c r="B1644" t="s">
        <v>2327</v>
      </c>
      <c r="C1644" t="s">
        <v>649</v>
      </c>
      <c r="D1644" s="3">
        <v>1</v>
      </c>
      <c r="E1644" s="2">
        <v>800</v>
      </c>
    </row>
    <row r="1645" spans="1:5" x14ac:dyDescent="0.35">
      <c r="A1645" t="s">
        <v>4331</v>
      </c>
      <c r="B1645" t="s">
        <v>2328</v>
      </c>
      <c r="C1645" t="s">
        <v>638</v>
      </c>
      <c r="D1645" s="3">
        <v>1</v>
      </c>
      <c r="E1645" s="2">
        <v>150</v>
      </c>
    </row>
    <row r="1646" spans="1:5" x14ac:dyDescent="0.35">
      <c r="A1646" t="s">
        <v>4332</v>
      </c>
      <c r="B1646" t="s">
        <v>2329</v>
      </c>
      <c r="C1646" t="s">
        <v>620</v>
      </c>
      <c r="D1646" s="3">
        <v>1</v>
      </c>
      <c r="E1646" s="2">
        <v>50</v>
      </c>
    </row>
    <row r="1647" spans="1:5" x14ac:dyDescent="0.35">
      <c r="A1647" t="s">
        <v>4333</v>
      </c>
      <c r="B1647" t="s">
        <v>2330</v>
      </c>
      <c r="C1647" t="s">
        <v>673</v>
      </c>
      <c r="D1647" s="3">
        <v>1</v>
      </c>
      <c r="E1647" s="2">
        <v>300</v>
      </c>
    </row>
    <row r="1648" spans="1:5" x14ac:dyDescent="0.35">
      <c r="A1648" t="s">
        <v>4334</v>
      </c>
      <c r="B1648" t="s">
        <v>2331</v>
      </c>
      <c r="C1648" t="s">
        <v>669</v>
      </c>
      <c r="D1648" s="3">
        <v>1</v>
      </c>
      <c r="E1648" s="2">
        <v>600</v>
      </c>
    </row>
    <row r="1649" spans="1:5" x14ac:dyDescent="0.35">
      <c r="A1649" t="s">
        <v>4335</v>
      </c>
      <c r="B1649" t="s">
        <v>2332</v>
      </c>
      <c r="C1649" t="s">
        <v>629</v>
      </c>
      <c r="D1649" s="3">
        <v>2</v>
      </c>
      <c r="E1649" s="2">
        <v>600</v>
      </c>
    </row>
    <row r="1650" spans="1:5" x14ac:dyDescent="0.35">
      <c r="A1650" t="s">
        <v>4336</v>
      </c>
      <c r="B1650" t="s">
        <v>2333</v>
      </c>
      <c r="C1650" t="s">
        <v>669</v>
      </c>
      <c r="D1650" s="3">
        <v>1</v>
      </c>
      <c r="E1650" s="2">
        <v>600</v>
      </c>
    </row>
    <row r="1651" spans="1:5" x14ac:dyDescent="0.35">
      <c r="A1651" t="s">
        <v>4337</v>
      </c>
      <c r="B1651" t="s">
        <v>2334</v>
      </c>
      <c r="C1651" t="s">
        <v>673</v>
      </c>
      <c r="D1651" s="3">
        <v>1</v>
      </c>
      <c r="E1651" s="2">
        <v>300</v>
      </c>
    </row>
    <row r="1652" spans="1:5" x14ac:dyDescent="0.35">
      <c r="A1652" t="s">
        <v>4338</v>
      </c>
      <c r="B1652" t="s">
        <v>2335</v>
      </c>
      <c r="C1652" t="s">
        <v>635</v>
      </c>
      <c r="D1652" s="3">
        <v>1</v>
      </c>
      <c r="E1652" s="2">
        <v>180</v>
      </c>
    </row>
    <row r="1653" spans="1:5" x14ac:dyDescent="0.35">
      <c r="A1653" t="s">
        <v>4339</v>
      </c>
      <c r="B1653" t="s">
        <v>2336</v>
      </c>
      <c r="C1653" t="s">
        <v>654</v>
      </c>
      <c r="D1653" s="3">
        <v>2</v>
      </c>
      <c r="E1653" s="2">
        <v>200</v>
      </c>
    </row>
    <row r="1654" spans="1:5" x14ac:dyDescent="0.35">
      <c r="A1654" t="s">
        <v>4340</v>
      </c>
      <c r="B1654" t="s">
        <v>2337</v>
      </c>
      <c r="C1654" t="s">
        <v>667</v>
      </c>
      <c r="D1654" s="3">
        <v>1</v>
      </c>
      <c r="E1654" s="2">
        <v>550</v>
      </c>
    </row>
    <row r="1655" spans="1:5" x14ac:dyDescent="0.35">
      <c r="A1655" t="s">
        <v>4341</v>
      </c>
      <c r="B1655" t="s">
        <v>2338</v>
      </c>
      <c r="C1655" t="s">
        <v>654</v>
      </c>
      <c r="D1655" s="3">
        <v>1</v>
      </c>
      <c r="E1655" s="2">
        <v>100</v>
      </c>
    </row>
    <row r="1656" spans="1:5" x14ac:dyDescent="0.35">
      <c r="A1656" t="s">
        <v>4342</v>
      </c>
      <c r="B1656" t="s">
        <v>2339</v>
      </c>
      <c r="C1656" t="s">
        <v>647</v>
      </c>
      <c r="D1656" s="3">
        <v>1</v>
      </c>
      <c r="E1656" s="2">
        <v>4200</v>
      </c>
    </row>
    <row r="1657" spans="1:5" x14ac:dyDescent="0.35">
      <c r="A1657" t="s">
        <v>4343</v>
      </c>
      <c r="B1657" t="s">
        <v>2340</v>
      </c>
      <c r="C1657" t="s">
        <v>663</v>
      </c>
      <c r="D1657" s="3">
        <v>1</v>
      </c>
      <c r="E1657" s="2">
        <v>1400</v>
      </c>
    </row>
    <row r="1658" spans="1:5" x14ac:dyDescent="0.35">
      <c r="A1658" t="s">
        <v>4344</v>
      </c>
      <c r="B1658" t="s">
        <v>2341</v>
      </c>
      <c r="C1658" t="s">
        <v>651</v>
      </c>
      <c r="D1658" s="3">
        <v>1</v>
      </c>
      <c r="E1658" s="2">
        <v>120</v>
      </c>
    </row>
    <row r="1659" spans="1:5" x14ac:dyDescent="0.35">
      <c r="A1659" t="s">
        <v>4345</v>
      </c>
      <c r="B1659" t="s">
        <v>2342</v>
      </c>
      <c r="C1659" t="s">
        <v>617</v>
      </c>
      <c r="D1659" s="3">
        <v>2</v>
      </c>
      <c r="E1659" s="2">
        <v>400</v>
      </c>
    </row>
    <row r="1660" spans="1:5" x14ac:dyDescent="0.35">
      <c r="A1660" t="s">
        <v>4346</v>
      </c>
      <c r="B1660" t="s">
        <v>2343</v>
      </c>
      <c r="C1660" t="s">
        <v>667</v>
      </c>
      <c r="D1660" s="3">
        <v>1</v>
      </c>
      <c r="E1660" s="2">
        <v>550</v>
      </c>
    </row>
    <row r="1661" spans="1:5" x14ac:dyDescent="0.35">
      <c r="A1661" t="s">
        <v>4347</v>
      </c>
      <c r="B1661" t="s">
        <v>2344</v>
      </c>
      <c r="C1661" t="s">
        <v>623</v>
      </c>
      <c r="D1661" s="3">
        <v>1</v>
      </c>
      <c r="E1661" s="2">
        <v>1200</v>
      </c>
    </row>
    <row r="1662" spans="1:5" x14ac:dyDescent="0.35">
      <c r="A1662" t="s">
        <v>4348</v>
      </c>
      <c r="B1662" t="s">
        <v>2345</v>
      </c>
      <c r="C1662" t="s">
        <v>631</v>
      </c>
      <c r="D1662" s="3">
        <v>1</v>
      </c>
      <c r="E1662" s="2">
        <v>900</v>
      </c>
    </row>
    <row r="1663" spans="1:5" x14ac:dyDescent="0.35">
      <c r="A1663" t="s">
        <v>4349</v>
      </c>
      <c r="B1663" t="s">
        <v>2346</v>
      </c>
      <c r="C1663" t="s">
        <v>667</v>
      </c>
      <c r="D1663" s="3">
        <v>1</v>
      </c>
      <c r="E1663" s="2">
        <v>550</v>
      </c>
    </row>
    <row r="1664" spans="1:5" x14ac:dyDescent="0.35">
      <c r="A1664" t="s">
        <v>4350</v>
      </c>
      <c r="B1664" t="s">
        <v>2347</v>
      </c>
      <c r="C1664" t="s">
        <v>649</v>
      </c>
      <c r="D1664" s="3">
        <v>1</v>
      </c>
      <c r="E1664" s="2">
        <v>800</v>
      </c>
    </row>
    <row r="1665" spans="1:5" x14ac:dyDescent="0.35">
      <c r="A1665" t="s">
        <v>4351</v>
      </c>
      <c r="B1665" t="s">
        <v>2348</v>
      </c>
      <c r="C1665" t="s">
        <v>626</v>
      </c>
      <c r="D1665" s="3">
        <v>1</v>
      </c>
      <c r="E1665" s="2">
        <v>5000</v>
      </c>
    </row>
    <row r="1666" spans="1:5" x14ac:dyDescent="0.35">
      <c r="A1666" t="s">
        <v>4352</v>
      </c>
      <c r="B1666" t="s">
        <v>2349</v>
      </c>
      <c r="C1666" t="s">
        <v>658</v>
      </c>
      <c r="D1666" s="3">
        <v>1</v>
      </c>
      <c r="E1666" s="2">
        <v>750</v>
      </c>
    </row>
    <row r="1667" spans="1:5" x14ac:dyDescent="0.35">
      <c r="A1667" t="s">
        <v>4353</v>
      </c>
      <c r="B1667" t="s">
        <v>2350</v>
      </c>
      <c r="C1667" t="s">
        <v>651</v>
      </c>
      <c r="D1667" s="3">
        <v>1</v>
      </c>
      <c r="E1667" s="2">
        <v>120</v>
      </c>
    </row>
    <row r="1668" spans="1:5" x14ac:dyDescent="0.35">
      <c r="A1668" t="s">
        <v>4354</v>
      </c>
      <c r="B1668" t="s">
        <v>2351</v>
      </c>
      <c r="C1668" t="s">
        <v>638</v>
      </c>
      <c r="D1668" s="3">
        <v>1</v>
      </c>
      <c r="E1668" s="2">
        <v>150</v>
      </c>
    </row>
    <row r="1669" spans="1:5" x14ac:dyDescent="0.35">
      <c r="A1669" t="s">
        <v>4355</v>
      </c>
      <c r="B1669" t="s">
        <v>2352</v>
      </c>
      <c r="C1669" t="s">
        <v>658</v>
      </c>
      <c r="D1669" s="3">
        <v>3</v>
      </c>
      <c r="E1669" s="2">
        <v>2250</v>
      </c>
    </row>
    <row r="1670" spans="1:5" x14ac:dyDescent="0.35">
      <c r="A1670" t="s">
        <v>4356</v>
      </c>
      <c r="B1670" t="s">
        <v>2353</v>
      </c>
      <c r="C1670" t="s">
        <v>623</v>
      </c>
      <c r="D1670" s="3">
        <v>1</v>
      </c>
      <c r="E1670" s="2">
        <v>1200</v>
      </c>
    </row>
    <row r="1671" spans="1:5" x14ac:dyDescent="0.35">
      <c r="A1671" t="s">
        <v>4357</v>
      </c>
      <c r="B1671" t="s">
        <v>2354</v>
      </c>
      <c r="C1671" t="s">
        <v>641</v>
      </c>
      <c r="D1671" s="3">
        <v>1</v>
      </c>
      <c r="E1671" s="2">
        <v>1800</v>
      </c>
    </row>
    <row r="1672" spans="1:5" x14ac:dyDescent="0.35">
      <c r="A1672" t="s">
        <v>4358</v>
      </c>
      <c r="B1672" t="s">
        <v>2355</v>
      </c>
      <c r="C1672" t="s">
        <v>656</v>
      </c>
      <c r="D1672" s="3">
        <v>1</v>
      </c>
      <c r="E1672" s="2">
        <v>350</v>
      </c>
    </row>
    <row r="1673" spans="1:5" x14ac:dyDescent="0.35">
      <c r="A1673" t="s">
        <v>4359</v>
      </c>
      <c r="B1673" t="s">
        <v>2356</v>
      </c>
      <c r="C1673" t="s">
        <v>633</v>
      </c>
      <c r="D1673" s="3">
        <v>2</v>
      </c>
      <c r="E1673" s="2">
        <v>900</v>
      </c>
    </row>
    <row r="1674" spans="1:5" x14ac:dyDescent="0.35">
      <c r="A1674" t="s">
        <v>4360</v>
      </c>
      <c r="B1674" t="s">
        <v>2357</v>
      </c>
      <c r="C1674" t="s">
        <v>651</v>
      </c>
      <c r="D1674" s="3">
        <v>1</v>
      </c>
      <c r="E1674" s="2">
        <v>120</v>
      </c>
    </row>
    <row r="1675" spans="1:5" x14ac:dyDescent="0.35">
      <c r="A1675" t="s">
        <v>4361</v>
      </c>
      <c r="B1675" t="s">
        <v>2358</v>
      </c>
      <c r="C1675" t="s">
        <v>617</v>
      </c>
      <c r="D1675" s="3">
        <v>1</v>
      </c>
      <c r="E1675" s="2">
        <v>200</v>
      </c>
    </row>
    <row r="1676" spans="1:5" x14ac:dyDescent="0.35">
      <c r="A1676" t="s">
        <v>4362</v>
      </c>
      <c r="B1676" t="s">
        <v>2359</v>
      </c>
      <c r="C1676" t="s">
        <v>673</v>
      </c>
      <c r="D1676" s="3">
        <v>1</v>
      </c>
      <c r="E1676" s="2">
        <v>300</v>
      </c>
    </row>
    <row r="1677" spans="1:5" x14ac:dyDescent="0.35">
      <c r="A1677" t="s">
        <v>4363</v>
      </c>
      <c r="B1677" t="s">
        <v>2360</v>
      </c>
      <c r="C1677" t="s">
        <v>643</v>
      </c>
      <c r="D1677" s="3">
        <v>1</v>
      </c>
      <c r="E1677" s="2">
        <v>2200</v>
      </c>
    </row>
    <row r="1678" spans="1:5" x14ac:dyDescent="0.35">
      <c r="A1678" t="s">
        <v>4364</v>
      </c>
      <c r="B1678" t="s">
        <v>2361</v>
      </c>
      <c r="C1678" t="s">
        <v>656</v>
      </c>
      <c r="D1678" s="3">
        <v>3</v>
      </c>
      <c r="E1678" s="2">
        <v>1050</v>
      </c>
    </row>
    <row r="1679" spans="1:5" x14ac:dyDescent="0.35">
      <c r="A1679" t="s">
        <v>4365</v>
      </c>
      <c r="B1679" t="s">
        <v>2362</v>
      </c>
      <c r="C1679" t="s">
        <v>629</v>
      </c>
      <c r="D1679" s="3">
        <v>2</v>
      </c>
      <c r="E1679" s="2">
        <v>600</v>
      </c>
    </row>
    <row r="1680" spans="1:5" x14ac:dyDescent="0.35">
      <c r="A1680" t="s">
        <v>4366</v>
      </c>
      <c r="B1680" t="s">
        <v>2363</v>
      </c>
      <c r="C1680" t="s">
        <v>633</v>
      </c>
      <c r="D1680" s="3">
        <v>2</v>
      </c>
      <c r="E1680" s="2">
        <v>900</v>
      </c>
    </row>
    <row r="1681" spans="1:5" x14ac:dyDescent="0.35">
      <c r="A1681" t="s">
        <v>4367</v>
      </c>
      <c r="B1681" t="s">
        <v>2364</v>
      </c>
      <c r="C1681" t="s">
        <v>660</v>
      </c>
      <c r="D1681" s="3">
        <v>1</v>
      </c>
      <c r="E1681" s="2">
        <v>6500</v>
      </c>
    </row>
    <row r="1682" spans="1:5" x14ac:dyDescent="0.35">
      <c r="A1682" t="s">
        <v>4368</v>
      </c>
      <c r="B1682" t="s">
        <v>2365</v>
      </c>
      <c r="C1682" t="s">
        <v>673</v>
      </c>
      <c r="D1682" s="3">
        <v>1</v>
      </c>
      <c r="E1682" s="2">
        <v>300</v>
      </c>
    </row>
    <row r="1683" spans="1:5" x14ac:dyDescent="0.35">
      <c r="A1683" t="s">
        <v>4369</v>
      </c>
      <c r="B1683" t="s">
        <v>2366</v>
      </c>
      <c r="C1683" t="s">
        <v>671</v>
      </c>
      <c r="D1683" s="3">
        <v>1</v>
      </c>
      <c r="E1683" s="2">
        <v>400</v>
      </c>
    </row>
    <row r="1684" spans="1:5" x14ac:dyDescent="0.35">
      <c r="A1684" t="s">
        <v>4370</v>
      </c>
      <c r="B1684" t="s">
        <v>2367</v>
      </c>
      <c r="C1684" t="s">
        <v>651</v>
      </c>
      <c r="D1684" s="3">
        <v>1</v>
      </c>
      <c r="E1684" s="2">
        <v>120</v>
      </c>
    </row>
    <row r="1685" spans="1:5" x14ac:dyDescent="0.35">
      <c r="A1685" t="s">
        <v>4371</v>
      </c>
      <c r="B1685" t="s">
        <v>2368</v>
      </c>
      <c r="C1685" t="s">
        <v>623</v>
      </c>
      <c r="D1685" s="3">
        <v>1</v>
      </c>
      <c r="E1685" s="2">
        <v>1200</v>
      </c>
    </row>
    <row r="1686" spans="1:5" x14ac:dyDescent="0.35">
      <c r="A1686" t="s">
        <v>4372</v>
      </c>
      <c r="B1686" t="s">
        <v>2369</v>
      </c>
      <c r="C1686" t="s">
        <v>651</v>
      </c>
      <c r="D1686" s="3">
        <v>1</v>
      </c>
      <c r="E1686" s="2">
        <v>120</v>
      </c>
    </row>
    <row r="1687" spans="1:5" x14ac:dyDescent="0.35">
      <c r="A1687" t="s">
        <v>4373</v>
      </c>
      <c r="B1687" t="s">
        <v>2370</v>
      </c>
      <c r="C1687" t="s">
        <v>629</v>
      </c>
      <c r="D1687" s="3">
        <v>2</v>
      </c>
      <c r="E1687" s="2">
        <v>600</v>
      </c>
    </row>
    <row r="1688" spans="1:5" x14ac:dyDescent="0.35">
      <c r="A1688" t="s">
        <v>4374</v>
      </c>
      <c r="B1688" t="s">
        <v>2371</v>
      </c>
      <c r="C1688" t="s">
        <v>669</v>
      </c>
      <c r="D1688" s="3">
        <v>3</v>
      </c>
      <c r="E1688" s="2">
        <v>1800</v>
      </c>
    </row>
    <row r="1689" spans="1:5" x14ac:dyDescent="0.35">
      <c r="A1689" t="s">
        <v>4375</v>
      </c>
      <c r="B1689" t="s">
        <v>2372</v>
      </c>
      <c r="C1689" t="s">
        <v>645</v>
      </c>
      <c r="D1689" s="3">
        <v>1</v>
      </c>
      <c r="E1689" s="2">
        <v>3500</v>
      </c>
    </row>
    <row r="1690" spans="1:5" x14ac:dyDescent="0.35">
      <c r="A1690" t="s">
        <v>4376</v>
      </c>
      <c r="B1690" t="s">
        <v>2373</v>
      </c>
      <c r="C1690" t="s">
        <v>663</v>
      </c>
      <c r="D1690" s="3">
        <v>1</v>
      </c>
      <c r="E1690" s="2">
        <v>1400</v>
      </c>
    </row>
    <row r="1691" spans="1:5" x14ac:dyDescent="0.35">
      <c r="A1691" t="s">
        <v>4377</v>
      </c>
      <c r="B1691" t="s">
        <v>2374</v>
      </c>
      <c r="C1691" t="s">
        <v>629</v>
      </c>
      <c r="D1691" s="3">
        <v>1</v>
      </c>
      <c r="E1691" s="2">
        <v>300</v>
      </c>
    </row>
    <row r="1692" spans="1:5" x14ac:dyDescent="0.35">
      <c r="A1692" t="s">
        <v>4378</v>
      </c>
      <c r="B1692" t="s">
        <v>2375</v>
      </c>
      <c r="C1692" t="s">
        <v>623</v>
      </c>
      <c r="D1692" s="3">
        <v>1</v>
      </c>
      <c r="E1692" s="2">
        <v>1200</v>
      </c>
    </row>
    <row r="1693" spans="1:5" x14ac:dyDescent="0.35">
      <c r="A1693" t="s">
        <v>4379</v>
      </c>
      <c r="B1693" t="s">
        <v>2376</v>
      </c>
      <c r="C1693" t="s">
        <v>638</v>
      </c>
      <c r="D1693" s="3">
        <v>1</v>
      </c>
      <c r="E1693" s="2">
        <v>150</v>
      </c>
    </row>
    <row r="1694" spans="1:5" x14ac:dyDescent="0.35">
      <c r="A1694" t="s">
        <v>4380</v>
      </c>
      <c r="B1694" t="s">
        <v>2377</v>
      </c>
      <c r="C1694" t="s">
        <v>638</v>
      </c>
      <c r="D1694" s="3">
        <v>1</v>
      </c>
      <c r="E1694" s="2">
        <v>150</v>
      </c>
    </row>
    <row r="1695" spans="1:5" x14ac:dyDescent="0.35">
      <c r="A1695" t="s">
        <v>4381</v>
      </c>
      <c r="B1695" t="s">
        <v>2378</v>
      </c>
      <c r="C1695" t="s">
        <v>633</v>
      </c>
      <c r="D1695" s="3">
        <v>2</v>
      </c>
      <c r="E1695" s="2">
        <v>900</v>
      </c>
    </row>
    <row r="1696" spans="1:5" x14ac:dyDescent="0.35">
      <c r="A1696" t="s">
        <v>4382</v>
      </c>
      <c r="B1696" t="s">
        <v>2379</v>
      </c>
      <c r="C1696" t="s">
        <v>620</v>
      </c>
      <c r="D1696" s="3">
        <v>1</v>
      </c>
      <c r="E1696" s="2">
        <v>50</v>
      </c>
    </row>
    <row r="1697" spans="1:5" x14ac:dyDescent="0.35">
      <c r="A1697" t="s">
        <v>4383</v>
      </c>
      <c r="B1697" t="s">
        <v>2380</v>
      </c>
      <c r="C1697" t="s">
        <v>669</v>
      </c>
      <c r="D1697" s="3">
        <v>1</v>
      </c>
      <c r="E1697" s="2">
        <v>600</v>
      </c>
    </row>
    <row r="1698" spans="1:5" x14ac:dyDescent="0.35">
      <c r="A1698" t="s">
        <v>4384</v>
      </c>
      <c r="B1698" t="s">
        <v>2381</v>
      </c>
      <c r="C1698" t="s">
        <v>669</v>
      </c>
      <c r="D1698" s="3">
        <v>1</v>
      </c>
      <c r="E1698" s="2">
        <v>600</v>
      </c>
    </row>
    <row r="1699" spans="1:5" x14ac:dyDescent="0.35">
      <c r="A1699" t="s">
        <v>4385</v>
      </c>
      <c r="B1699" t="s">
        <v>2382</v>
      </c>
      <c r="C1699" t="s">
        <v>665</v>
      </c>
      <c r="D1699" s="3">
        <v>1</v>
      </c>
      <c r="E1699" s="2">
        <v>700</v>
      </c>
    </row>
    <row r="1700" spans="1:5" x14ac:dyDescent="0.35">
      <c r="A1700" t="s">
        <v>4386</v>
      </c>
      <c r="B1700" t="s">
        <v>2383</v>
      </c>
      <c r="C1700" t="s">
        <v>654</v>
      </c>
      <c r="D1700" s="3">
        <v>1</v>
      </c>
      <c r="E1700" s="2">
        <v>100</v>
      </c>
    </row>
    <row r="1701" spans="1:5" x14ac:dyDescent="0.35">
      <c r="A1701" t="s">
        <v>4387</v>
      </c>
      <c r="B1701" t="s">
        <v>2384</v>
      </c>
      <c r="C1701" t="s">
        <v>638</v>
      </c>
      <c r="D1701" s="3">
        <v>1</v>
      </c>
      <c r="E1701" s="2">
        <v>150</v>
      </c>
    </row>
    <row r="1702" spans="1:5" x14ac:dyDescent="0.35">
      <c r="A1702" t="s">
        <v>4388</v>
      </c>
      <c r="B1702" t="s">
        <v>2385</v>
      </c>
      <c r="C1702" t="s">
        <v>647</v>
      </c>
      <c r="D1702" s="3">
        <v>2</v>
      </c>
      <c r="E1702" s="2">
        <v>8400</v>
      </c>
    </row>
    <row r="1703" spans="1:5" x14ac:dyDescent="0.35">
      <c r="A1703" t="s">
        <v>4389</v>
      </c>
      <c r="B1703" t="s">
        <v>2386</v>
      </c>
      <c r="C1703" t="s">
        <v>660</v>
      </c>
      <c r="D1703" s="3">
        <v>1</v>
      </c>
      <c r="E1703" s="2">
        <v>6500</v>
      </c>
    </row>
    <row r="1704" spans="1:5" x14ac:dyDescent="0.35">
      <c r="A1704" t="s">
        <v>4390</v>
      </c>
      <c r="B1704" t="s">
        <v>2387</v>
      </c>
      <c r="C1704" t="s">
        <v>663</v>
      </c>
      <c r="D1704" s="3">
        <v>1</v>
      </c>
      <c r="E1704" s="2">
        <v>1400</v>
      </c>
    </row>
    <row r="1705" spans="1:5" x14ac:dyDescent="0.35">
      <c r="A1705" t="s">
        <v>4391</v>
      </c>
      <c r="B1705" t="s">
        <v>2388</v>
      </c>
      <c r="C1705" t="s">
        <v>656</v>
      </c>
      <c r="D1705" s="3">
        <v>1</v>
      </c>
      <c r="E1705" s="2">
        <v>350</v>
      </c>
    </row>
    <row r="1706" spans="1:5" x14ac:dyDescent="0.35">
      <c r="A1706" t="s">
        <v>4392</v>
      </c>
      <c r="B1706" t="s">
        <v>2389</v>
      </c>
      <c r="C1706" t="s">
        <v>631</v>
      </c>
      <c r="D1706" s="3">
        <v>1</v>
      </c>
      <c r="E1706" s="2">
        <v>900</v>
      </c>
    </row>
    <row r="1707" spans="1:5" x14ac:dyDescent="0.35">
      <c r="A1707" t="s">
        <v>4393</v>
      </c>
      <c r="B1707" t="s">
        <v>2390</v>
      </c>
      <c r="C1707" t="s">
        <v>626</v>
      </c>
      <c r="D1707" s="3">
        <v>1</v>
      </c>
      <c r="E1707" s="2">
        <v>5000</v>
      </c>
    </row>
    <row r="1708" spans="1:5" x14ac:dyDescent="0.35">
      <c r="A1708" t="s">
        <v>4394</v>
      </c>
      <c r="B1708" t="s">
        <v>2391</v>
      </c>
      <c r="C1708" t="s">
        <v>617</v>
      </c>
      <c r="D1708" s="3">
        <v>1</v>
      </c>
      <c r="E1708" s="2">
        <v>200</v>
      </c>
    </row>
    <row r="1709" spans="1:5" x14ac:dyDescent="0.35">
      <c r="A1709" t="s">
        <v>4395</v>
      </c>
      <c r="B1709" t="s">
        <v>2392</v>
      </c>
      <c r="C1709" t="s">
        <v>658</v>
      </c>
      <c r="D1709" s="3">
        <v>1</v>
      </c>
      <c r="E1709" s="2">
        <v>750</v>
      </c>
    </row>
    <row r="1710" spans="1:5" x14ac:dyDescent="0.35">
      <c r="A1710" t="s">
        <v>4396</v>
      </c>
      <c r="B1710" t="s">
        <v>2393</v>
      </c>
      <c r="C1710" t="s">
        <v>660</v>
      </c>
      <c r="D1710" s="3">
        <v>1</v>
      </c>
      <c r="E1710" s="2">
        <v>6500</v>
      </c>
    </row>
    <row r="1711" spans="1:5" x14ac:dyDescent="0.35">
      <c r="A1711" t="s">
        <v>4397</v>
      </c>
      <c r="B1711" t="s">
        <v>2394</v>
      </c>
      <c r="C1711" t="s">
        <v>638</v>
      </c>
      <c r="D1711" s="3">
        <v>1</v>
      </c>
      <c r="E1711" s="2">
        <v>150</v>
      </c>
    </row>
    <row r="1712" spans="1:5" x14ac:dyDescent="0.35">
      <c r="A1712" t="s">
        <v>4398</v>
      </c>
      <c r="B1712" t="s">
        <v>2395</v>
      </c>
      <c r="C1712" t="s">
        <v>647</v>
      </c>
      <c r="D1712" s="3">
        <v>1</v>
      </c>
      <c r="E1712" s="2">
        <v>4200</v>
      </c>
    </row>
    <row r="1713" spans="1:5" x14ac:dyDescent="0.35">
      <c r="A1713" t="s">
        <v>4399</v>
      </c>
      <c r="B1713" t="s">
        <v>2396</v>
      </c>
      <c r="C1713" t="s">
        <v>635</v>
      </c>
      <c r="D1713" s="3">
        <v>2</v>
      </c>
      <c r="E1713" s="2">
        <v>360</v>
      </c>
    </row>
    <row r="1714" spans="1:5" x14ac:dyDescent="0.35">
      <c r="A1714" t="s">
        <v>4400</v>
      </c>
      <c r="B1714" t="s">
        <v>2397</v>
      </c>
      <c r="C1714" t="s">
        <v>669</v>
      </c>
      <c r="D1714" s="3">
        <v>1</v>
      </c>
      <c r="E1714" s="2">
        <v>600</v>
      </c>
    </row>
    <row r="1715" spans="1:5" x14ac:dyDescent="0.35">
      <c r="A1715" t="s">
        <v>4401</v>
      </c>
      <c r="B1715" t="s">
        <v>2398</v>
      </c>
      <c r="C1715" t="s">
        <v>647</v>
      </c>
      <c r="D1715" s="3">
        <v>1</v>
      </c>
      <c r="E1715" s="2">
        <v>4200</v>
      </c>
    </row>
    <row r="1716" spans="1:5" x14ac:dyDescent="0.35">
      <c r="A1716" t="s">
        <v>4402</v>
      </c>
      <c r="B1716" t="s">
        <v>2399</v>
      </c>
      <c r="C1716" t="s">
        <v>651</v>
      </c>
      <c r="D1716" s="3">
        <v>1</v>
      </c>
      <c r="E1716" s="2">
        <v>120</v>
      </c>
    </row>
    <row r="1717" spans="1:5" x14ac:dyDescent="0.35">
      <c r="A1717" t="s">
        <v>4403</v>
      </c>
      <c r="B1717" t="s">
        <v>2400</v>
      </c>
      <c r="C1717" t="s">
        <v>643</v>
      </c>
      <c r="D1717" s="3">
        <v>3</v>
      </c>
      <c r="E1717" s="2">
        <v>6600</v>
      </c>
    </row>
    <row r="1718" spans="1:5" x14ac:dyDescent="0.35">
      <c r="A1718" t="s">
        <v>4404</v>
      </c>
      <c r="B1718" t="s">
        <v>2401</v>
      </c>
      <c r="C1718" t="s">
        <v>645</v>
      </c>
      <c r="D1718" s="3">
        <v>1</v>
      </c>
      <c r="E1718" s="2">
        <v>3500</v>
      </c>
    </row>
    <row r="1719" spans="1:5" x14ac:dyDescent="0.35">
      <c r="A1719" t="s">
        <v>4405</v>
      </c>
      <c r="B1719" t="s">
        <v>2402</v>
      </c>
      <c r="C1719" t="s">
        <v>649</v>
      </c>
      <c r="D1719" s="3">
        <v>1</v>
      </c>
      <c r="E1719" s="2">
        <v>800</v>
      </c>
    </row>
    <row r="1720" spans="1:5" x14ac:dyDescent="0.35">
      <c r="A1720" t="s">
        <v>4406</v>
      </c>
      <c r="B1720" t="s">
        <v>2403</v>
      </c>
      <c r="C1720" t="s">
        <v>626</v>
      </c>
      <c r="D1720" s="3">
        <v>1</v>
      </c>
      <c r="E1720" s="2">
        <v>5000</v>
      </c>
    </row>
    <row r="1721" spans="1:5" x14ac:dyDescent="0.35">
      <c r="A1721" t="s">
        <v>4407</v>
      </c>
      <c r="B1721" t="s">
        <v>2404</v>
      </c>
      <c r="C1721" t="s">
        <v>617</v>
      </c>
      <c r="D1721" s="3">
        <v>2</v>
      </c>
      <c r="E1721" s="2">
        <v>400</v>
      </c>
    </row>
    <row r="1722" spans="1:5" x14ac:dyDescent="0.35">
      <c r="A1722" t="s">
        <v>4408</v>
      </c>
      <c r="B1722" t="s">
        <v>2405</v>
      </c>
      <c r="C1722" t="s">
        <v>671</v>
      </c>
      <c r="D1722" s="3">
        <v>1</v>
      </c>
      <c r="E1722" s="2">
        <v>400</v>
      </c>
    </row>
    <row r="1723" spans="1:5" x14ac:dyDescent="0.35">
      <c r="A1723" t="s">
        <v>4409</v>
      </c>
      <c r="B1723" t="s">
        <v>2406</v>
      </c>
      <c r="C1723" t="s">
        <v>626</v>
      </c>
      <c r="D1723" s="3">
        <v>1</v>
      </c>
      <c r="E1723" s="2">
        <v>5000</v>
      </c>
    </row>
    <row r="1724" spans="1:5" x14ac:dyDescent="0.35">
      <c r="A1724" t="s">
        <v>4410</v>
      </c>
      <c r="B1724" t="s">
        <v>2407</v>
      </c>
      <c r="C1724" t="s">
        <v>660</v>
      </c>
      <c r="D1724" s="3">
        <v>3</v>
      </c>
      <c r="E1724" s="2">
        <v>19500</v>
      </c>
    </row>
    <row r="1725" spans="1:5" x14ac:dyDescent="0.35">
      <c r="A1725" t="s">
        <v>4411</v>
      </c>
      <c r="B1725" t="s">
        <v>2408</v>
      </c>
      <c r="C1725" t="s">
        <v>638</v>
      </c>
      <c r="D1725" s="3">
        <v>1</v>
      </c>
      <c r="E1725" s="2">
        <v>150</v>
      </c>
    </row>
    <row r="1726" spans="1:5" x14ac:dyDescent="0.35">
      <c r="A1726" t="s">
        <v>4412</v>
      </c>
      <c r="B1726" t="s">
        <v>2409</v>
      </c>
      <c r="C1726" t="s">
        <v>641</v>
      </c>
      <c r="D1726" s="3">
        <v>1</v>
      </c>
      <c r="E1726" s="2">
        <v>1800</v>
      </c>
    </row>
    <row r="1727" spans="1:5" x14ac:dyDescent="0.35">
      <c r="A1727" t="s">
        <v>4413</v>
      </c>
      <c r="B1727" t="s">
        <v>2410</v>
      </c>
      <c r="C1727" t="s">
        <v>626</v>
      </c>
      <c r="D1727" s="3">
        <v>1</v>
      </c>
      <c r="E1727" s="2">
        <v>5000</v>
      </c>
    </row>
    <row r="1728" spans="1:5" x14ac:dyDescent="0.35">
      <c r="A1728" t="s">
        <v>4414</v>
      </c>
      <c r="B1728" t="s">
        <v>2411</v>
      </c>
      <c r="C1728" t="s">
        <v>663</v>
      </c>
      <c r="D1728" s="3">
        <v>1</v>
      </c>
      <c r="E1728" s="2">
        <v>1400</v>
      </c>
    </row>
    <row r="1729" spans="1:5" x14ac:dyDescent="0.35">
      <c r="A1729" t="s">
        <v>4415</v>
      </c>
      <c r="B1729" t="s">
        <v>2412</v>
      </c>
      <c r="C1729" t="s">
        <v>638</v>
      </c>
      <c r="D1729" s="3">
        <v>1</v>
      </c>
      <c r="E1729" s="2">
        <v>150</v>
      </c>
    </row>
    <row r="1730" spans="1:5" x14ac:dyDescent="0.35">
      <c r="A1730" t="s">
        <v>4416</v>
      </c>
      <c r="B1730" t="s">
        <v>2413</v>
      </c>
      <c r="C1730" t="s">
        <v>647</v>
      </c>
      <c r="D1730" s="3">
        <v>2</v>
      </c>
      <c r="E1730" s="2">
        <v>8400</v>
      </c>
    </row>
    <row r="1731" spans="1:5" x14ac:dyDescent="0.35">
      <c r="A1731" t="s">
        <v>4417</v>
      </c>
      <c r="B1731" t="s">
        <v>2414</v>
      </c>
      <c r="C1731" t="s">
        <v>645</v>
      </c>
      <c r="D1731" s="3">
        <v>1</v>
      </c>
      <c r="E1731" s="2">
        <v>3500</v>
      </c>
    </row>
    <row r="1732" spans="1:5" x14ac:dyDescent="0.35">
      <c r="A1732" t="s">
        <v>4418</v>
      </c>
      <c r="B1732" t="s">
        <v>2415</v>
      </c>
      <c r="C1732" t="s">
        <v>643</v>
      </c>
      <c r="D1732" s="3">
        <v>1</v>
      </c>
      <c r="E1732" s="2">
        <v>2200</v>
      </c>
    </row>
    <row r="1733" spans="1:5" x14ac:dyDescent="0.35">
      <c r="A1733" t="s">
        <v>4419</v>
      </c>
      <c r="B1733" t="s">
        <v>2416</v>
      </c>
      <c r="C1733" t="s">
        <v>645</v>
      </c>
      <c r="D1733" s="3">
        <v>2</v>
      </c>
      <c r="E1733" s="2">
        <v>7000</v>
      </c>
    </row>
    <row r="1734" spans="1:5" x14ac:dyDescent="0.35">
      <c r="A1734" t="s">
        <v>4420</v>
      </c>
      <c r="B1734" t="s">
        <v>2417</v>
      </c>
      <c r="C1734" t="s">
        <v>658</v>
      </c>
      <c r="D1734" s="3">
        <v>3</v>
      </c>
      <c r="E1734" s="2">
        <v>2250</v>
      </c>
    </row>
    <row r="1735" spans="1:5" x14ac:dyDescent="0.35">
      <c r="A1735" t="s">
        <v>4421</v>
      </c>
      <c r="B1735" t="s">
        <v>2418</v>
      </c>
      <c r="C1735" t="s">
        <v>645</v>
      </c>
      <c r="D1735" s="3">
        <v>1</v>
      </c>
      <c r="E1735" s="2">
        <v>3500</v>
      </c>
    </row>
    <row r="1736" spans="1:5" x14ac:dyDescent="0.35">
      <c r="A1736" t="s">
        <v>4422</v>
      </c>
      <c r="B1736" t="s">
        <v>2419</v>
      </c>
      <c r="C1736" t="s">
        <v>654</v>
      </c>
      <c r="D1736" s="3">
        <v>1</v>
      </c>
      <c r="E1736" s="2">
        <v>100</v>
      </c>
    </row>
    <row r="1737" spans="1:5" x14ac:dyDescent="0.35">
      <c r="A1737" t="s">
        <v>4423</v>
      </c>
      <c r="B1737" t="s">
        <v>2420</v>
      </c>
      <c r="C1737" t="s">
        <v>629</v>
      </c>
      <c r="D1737" s="3">
        <v>1</v>
      </c>
      <c r="E1737" s="2">
        <v>300</v>
      </c>
    </row>
    <row r="1738" spans="1:5" x14ac:dyDescent="0.35">
      <c r="A1738" t="s">
        <v>4424</v>
      </c>
      <c r="B1738" t="s">
        <v>2421</v>
      </c>
      <c r="C1738" t="s">
        <v>663</v>
      </c>
      <c r="D1738" s="3">
        <v>1</v>
      </c>
      <c r="E1738" s="2">
        <v>1400</v>
      </c>
    </row>
    <row r="1739" spans="1:5" x14ac:dyDescent="0.35">
      <c r="A1739" t="s">
        <v>4425</v>
      </c>
      <c r="B1739" t="s">
        <v>2422</v>
      </c>
      <c r="C1739" t="s">
        <v>673</v>
      </c>
      <c r="D1739" s="3">
        <v>1</v>
      </c>
      <c r="E1739" s="2">
        <v>300</v>
      </c>
    </row>
    <row r="1740" spans="1:5" x14ac:dyDescent="0.35">
      <c r="A1740" t="s">
        <v>4426</v>
      </c>
      <c r="B1740" t="s">
        <v>2423</v>
      </c>
      <c r="C1740" t="s">
        <v>645</v>
      </c>
      <c r="D1740" s="3">
        <v>1</v>
      </c>
      <c r="E1740" s="2">
        <v>3500</v>
      </c>
    </row>
    <row r="1741" spans="1:5" x14ac:dyDescent="0.35">
      <c r="A1741" t="s">
        <v>4427</v>
      </c>
      <c r="B1741" t="s">
        <v>2424</v>
      </c>
      <c r="C1741" t="s">
        <v>665</v>
      </c>
      <c r="D1741" s="3">
        <v>1</v>
      </c>
      <c r="E1741" s="2">
        <v>700</v>
      </c>
    </row>
    <row r="1742" spans="1:5" x14ac:dyDescent="0.35">
      <c r="A1742" t="s">
        <v>4428</v>
      </c>
      <c r="B1742" t="s">
        <v>2425</v>
      </c>
      <c r="C1742" t="s">
        <v>673</v>
      </c>
      <c r="D1742" s="3">
        <v>1</v>
      </c>
      <c r="E1742" s="2">
        <v>300</v>
      </c>
    </row>
    <row r="1743" spans="1:5" x14ac:dyDescent="0.35">
      <c r="A1743" t="s">
        <v>4429</v>
      </c>
      <c r="B1743" t="s">
        <v>2426</v>
      </c>
      <c r="C1743" t="s">
        <v>643</v>
      </c>
      <c r="D1743" s="3">
        <v>1</v>
      </c>
      <c r="E1743" s="2">
        <v>2200</v>
      </c>
    </row>
    <row r="1744" spans="1:5" x14ac:dyDescent="0.35">
      <c r="A1744" t="s">
        <v>4430</v>
      </c>
      <c r="B1744" t="s">
        <v>2427</v>
      </c>
      <c r="C1744" t="s">
        <v>638</v>
      </c>
      <c r="D1744" s="3">
        <v>1</v>
      </c>
      <c r="E1744" s="2">
        <v>150</v>
      </c>
    </row>
    <row r="1745" spans="1:5" x14ac:dyDescent="0.35">
      <c r="A1745" t="s">
        <v>4431</v>
      </c>
      <c r="B1745" t="s">
        <v>2428</v>
      </c>
      <c r="C1745" t="s">
        <v>658</v>
      </c>
      <c r="D1745" s="3">
        <v>1</v>
      </c>
      <c r="E1745" s="2">
        <v>750</v>
      </c>
    </row>
    <row r="1746" spans="1:5" x14ac:dyDescent="0.35">
      <c r="A1746" t="s">
        <v>4432</v>
      </c>
      <c r="B1746" t="s">
        <v>2429</v>
      </c>
      <c r="C1746" t="s">
        <v>673</v>
      </c>
      <c r="D1746" s="3">
        <v>1</v>
      </c>
      <c r="E1746" s="2">
        <v>300</v>
      </c>
    </row>
    <row r="1747" spans="1:5" x14ac:dyDescent="0.35">
      <c r="A1747" t="s">
        <v>4433</v>
      </c>
      <c r="B1747" t="s">
        <v>2430</v>
      </c>
      <c r="C1747" t="s">
        <v>623</v>
      </c>
      <c r="D1747" s="3">
        <v>1</v>
      </c>
      <c r="E1747" s="2">
        <v>1200</v>
      </c>
    </row>
    <row r="1748" spans="1:5" x14ac:dyDescent="0.35">
      <c r="A1748" t="s">
        <v>4434</v>
      </c>
      <c r="B1748" t="s">
        <v>2431</v>
      </c>
      <c r="C1748" t="s">
        <v>663</v>
      </c>
      <c r="D1748" s="3">
        <v>1</v>
      </c>
      <c r="E1748" s="2">
        <v>1400</v>
      </c>
    </row>
    <row r="1749" spans="1:5" x14ac:dyDescent="0.35">
      <c r="A1749" t="s">
        <v>4435</v>
      </c>
      <c r="B1749" t="s">
        <v>2432</v>
      </c>
      <c r="C1749" t="s">
        <v>656</v>
      </c>
      <c r="D1749" s="3">
        <v>1</v>
      </c>
      <c r="E1749" s="2">
        <v>350</v>
      </c>
    </row>
    <row r="1750" spans="1:5" x14ac:dyDescent="0.35">
      <c r="A1750" t="s">
        <v>4436</v>
      </c>
      <c r="B1750" t="s">
        <v>2433</v>
      </c>
      <c r="C1750" t="s">
        <v>649</v>
      </c>
      <c r="D1750" s="3">
        <v>1</v>
      </c>
      <c r="E1750" s="2">
        <v>800</v>
      </c>
    </row>
    <row r="1751" spans="1:5" x14ac:dyDescent="0.35">
      <c r="A1751" t="s">
        <v>4437</v>
      </c>
      <c r="B1751" t="s">
        <v>2434</v>
      </c>
      <c r="C1751" t="s">
        <v>617</v>
      </c>
      <c r="D1751" s="3">
        <v>1</v>
      </c>
      <c r="E1751" s="2">
        <v>200</v>
      </c>
    </row>
    <row r="1752" spans="1:5" x14ac:dyDescent="0.35">
      <c r="A1752" t="s">
        <v>4438</v>
      </c>
      <c r="B1752" t="s">
        <v>2435</v>
      </c>
      <c r="C1752" t="s">
        <v>656</v>
      </c>
      <c r="D1752" s="3">
        <v>1</v>
      </c>
      <c r="E1752" s="2">
        <v>350</v>
      </c>
    </row>
    <row r="1753" spans="1:5" x14ac:dyDescent="0.35">
      <c r="A1753" t="s">
        <v>4439</v>
      </c>
      <c r="B1753" t="s">
        <v>2436</v>
      </c>
      <c r="C1753" t="s">
        <v>673</v>
      </c>
      <c r="D1753" s="3">
        <v>1</v>
      </c>
      <c r="E1753" s="2">
        <v>300</v>
      </c>
    </row>
    <row r="1754" spans="1:5" x14ac:dyDescent="0.35">
      <c r="A1754" t="s">
        <v>4440</v>
      </c>
      <c r="B1754" t="s">
        <v>2437</v>
      </c>
      <c r="C1754" t="s">
        <v>635</v>
      </c>
      <c r="D1754" s="3">
        <v>1</v>
      </c>
      <c r="E1754" s="2">
        <v>180</v>
      </c>
    </row>
    <row r="1755" spans="1:5" x14ac:dyDescent="0.35">
      <c r="A1755" t="s">
        <v>4441</v>
      </c>
      <c r="B1755" t="s">
        <v>2438</v>
      </c>
      <c r="C1755" t="s">
        <v>629</v>
      </c>
      <c r="D1755" s="3">
        <v>1</v>
      </c>
      <c r="E1755" s="2">
        <v>300</v>
      </c>
    </row>
    <row r="1756" spans="1:5" x14ac:dyDescent="0.35">
      <c r="A1756" t="s">
        <v>4442</v>
      </c>
      <c r="B1756" t="s">
        <v>2439</v>
      </c>
      <c r="C1756" t="s">
        <v>629</v>
      </c>
      <c r="D1756" s="3">
        <v>1</v>
      </c>
      <c r="E1756" s="2">
        <v>300</v>
      </c>
    </row>
    <row r="1757" spans="1:5" x14ac:dyDescent="0.35">
      <c r="A1757" t="s">
        <v>4443</v>
      </c>
      <c r="B1757" t="s">
        <v>2440</v>
      </c>
      <c r="C1757" t="s">
        <v>638</v>
      </c>
      <c r="D1757" s="3">
        <v>1</v>
      </c>
      <c r="E1757" s="2">
        <v>150</v>
      </c>
    </row>
    <row r="1758" spans="1:5" x14ac:dyDescent="0.35">
      <c r="A1758" t="s">
        <v>4444</v>
      </c>
      <c r="B1758" t="s">
        <v>2441</v>
      </c>
      <c r="C1758" t="s">
        <v>623</v>
      </c>
      <c r="D1758" s="3">
        <v>1</v>
      </c>
      <c r="E1758" s="2">
        <v>1200</v>
      </c>
    </row>
    <row r="1759" spans="1:5" x14ac:dyDescent="0.35">
      <c r="A1759" t="s">
        <v>4445</v>
      </c>
      <c r="B1759" t="s">
        <v>2442</v>
      </c>
      <c r="C1759" t="s">
        <v>660</v>
      </c>
      <c r="D1759" s="3">
        <v>3</v>
      </c>
      <c r="E1759" s="2">
        <v>19500</v>
      </c>
    </row>
    <row r="1760" spans="1:5" x14ac:dyDescent="0.35">
      <c r="A1760" t="s">
        <v>4446</v>
      </c>
      <c r="B1760" t="s">
        <v>2443</v>
      </c>
      <c r="C1760" t="s">
        <v>669</v>
      </c>
      <c r="D1760" s="3">
        <v>1</v>
      </c>
      <c r="E1760" s="2">
        <v>600</v>
      </c>
    </row>
    <row r="1761" spans="1:5" x14ac:dyDescent="0.35">
      <c r="A1761" t="s">
        <v>4447</v>
      </c>
      <c r="B1761" t="s">
        <v>2444</v>
      </c>
      <c r="C1761" t="s">
        <v>638</v>
      </c>
      <c r="D1761" s="3">
        <v>1</v>
      </c>
      <c r="E1761" s="2">
        <v>150</v>
      </c>
    </row>
    <row r="1762" spans="1:5" x14ac:dyDescent="0.35">
      <c r="A1762" t="s">
        <v>4448</v>
      </c>
      <c r="B1762" t="s">
        <v>2445</v>
      </c>
      <c r="C1762" t="s">
        <v>667</v>
      </c>
      <c r="D1762" s="3">
        <v>1</v>
      </c>
      <c r="E1762" s="2">
        <v>550</v>
      </c>
    </row>
    <row r="1763" spans="1:5" x14ac:dyDescent="0.35">
      <c r="A1763" t="s">
        <v>4449</v>
      </c>
      <c r="B1763" t="s">
        <v>2446</v>
      </c>
      <c r="C1763" t="s">
        <v>658</v>
      </c>
      <c r="D1763" s="3">
        <v>3</v>
      </c>
      <c r="E1763" s="2">
        <v>2250</v>
      </c>
    </row>
    <row r="1764" spans="1:5" x14ac:dyDescent="0.35">
      <c r="A1764" t="s">
        <v>4450</v>
      </c>
      <c r="B1764" t="s">
        <v>2447</v>
      </c>
      <c r="C1764" t="s">
        <v>654</v>
      </c>
      <c r="D1764" s="3">
        <v>3</v>
      </c>
      <c r="E1764" s="2">
        <v>300</v>
      </c>
    </row>
    <row r="1765" spans="1:5" x14ac:dyDescent="0.35">
      <c r="A1765" t="s">
        <v>4451</v>
      </c>
      <c r="B1765" t="s">
        <v>2448</v>
      </c>
      <c r="C1765" t="s">
        <v>617</v>
      </c>
      <c r="D1765" s="3">
        <v>1</v>
      </c>
      <c r="E1765" s="2">
        <v>200</v>
      </c>
    </row>
    <row r="1766" spans="1:5" x14ac:dyDescent="0.35">
      <c r="A1766" t="s">
        <v>4452</v>
      </c>
      <c r="B1766" t="s">
        <v>2449</v>
      </c>
      <c r="C1766" t="s">
        <v>620</v>
      </c>
      <c r="D1766" s="3">
        <v>1</v>
      </c>
      <c r="E1766" s="2">
        <v>50</v>
      </c>
    </row>
    <row r="1767" spans="1:5" x14ac:dyDescent="0.35">
      <c r="A1767" t="s">
        <v>4453</v>
      </c>
      <c r="B1767" t="s">
        <v>2450</v>
      </c>
      <c r="C1767" t="s">
        <v>649</v>
      </c>
      <c r="D1767" s="3">
        <v>1</v>
      </c>
      <c r="E1767" s="2">
        <v>800</v>
      </c>
    </row>
    <row r="1768" spans="1:5" x14ac:dyDescent="0.35">
      <c r="A1768" t="s">
        <v>4454</v>
      </c>
      <c r="B1768" t="s">
        <v>2451</v>
      </c>
      <c r="C1768" t="s">
        <v>649</v>
      </c>
      <c r="D1768" s="3">
        <v>1</v>
      </c>
      <c r="E1768" s="2">
        <v>800</v>
      </c>
    </row>
    <row r="1769" spans="1:5" x14ac:dyDescent="0.35">
      <c r="A1769" t="s">
        <v>4455</v>
      </c>
      <c r="B1769" t="s">
        <v>2452</v>
      </c>
      <c r="C1769" t="s">
        <v>617</v>
      </c>
      <c r="D1769" s="3">
        <v>1</v>
      </c>
      <c r="E1769" s="2">
        <v>200</v>
      </c>
    </row>
    <row r="1770" spans="1:5" x14ac:dyDescent="0.35">
      <c r="A1770" t="s">
        <v>4456</v>
      </c>
      <c r="B1770" t="s">
        <v>2453</v>
      </c>
      <c r="C1770" t="s">
        <v>673</v>
      </c>
      <c r="D1770" s="3">
        <v>1</v>
      </c>
      <c r="E1770" s="2">
        <v>300</v>
      </c>
    </row>
    <row r="1771" spans="1:5" x14ac:dyDescent="0.35">
      <c r="A1771" t="s">
        <v>4457</v>
      </c>
      <c r="B1771" t="s">
        <v>2454</v>
      </c>
      <c r="C1771" t="s">
        <v>654</v>
      </c>
      <c r="D1771" s="3">
        <v>2</v>
      </c>
      <c r="E1771" s="2">
        <v>200</v>
      </c>
    </row>
    <row r="1772" spans="1:5" x14ac:dyDescent="0.35">
      <c r="A1772" t="s">
        <v>4458</v>
      </c>
      <c r="B1772" t="s">
        <v>2455</v>
      </c>
      <c r="C1772" t="s">
        <v>651</v>
      </c>
      <c r="D1772" s="3">
        <v>1</v>
      </c>
      <c r="E1772" s="2">
        <v>120</v>
      </c>
    </row>
    <row r="1773" spans="1:5" x14ac:dyDescent="0.35">
      <c r="A1773" t="s">
        <v>4459</v>
      </c>
      <c r="B1773" t="s">
        <v>2456</v>
      </c>
      <c r="C1773" t="s">
        <v>651</v>
      </c>
      <c r="D1773" s="3">
        <v>1</v>
      </c>
      <c r="E1773" s="2">
        <v>120</v>
      </c>
    </row>
    <row r="1774" spans="1:5" x14ac:dyDescent="0.35">
      <c r="A1774" t="s">
        <v>4460</v>
      </c>
      <c r="B1774" t="s">
        <v>2457</v>
      </c>
      <c r="C1774" t="s">
        <v>645</v>
      </c>
      <c r="D1774" s="3">
        <v>1</v>
      </c>
      <c r="E1774" s="2">
        <v>3500</v>
      </c>
    </row>
    <row r="1775" spans="1:5" x14ac:dyDescent="0.35">
      <c r="A1775" t="s">
        <v>4461</v>
      </c>
      <c r="B1775" t="s">
        <v>2458</v>
      </c>
      <c r="C1775" t="s">
        <v>654</v>
      </c>
      <c r="D1775" s="3">
        <v>1</v>
      </c>
      <c r="E1775" s="2">
        <v>100</v>
      </c>
    </row>
    <row r="1776" spans="1:5" x14ac:dyDescent="0.35">
      <c r="A1776" t="s">
        <v>4462</v>
      </c>
      <c r="B1776" t="s">
        <v>2459</v>
      </c>
      <c r="C1776" t="s">
        <v>649</v>
      </c>
      <c r="D1776" s="3">
        <v>1</v>
      </c>
      <c r="E1776" s="2">
        <v>800</v>
      </c>
    </row>
    <row r="1777" spans="1:5" x14ac:dyDescent="0.35">
      <c r="A1777" t="s">
        <v>4463</v>
      </c>
      <c r="B1777" t="s">
        <v>2460</v>
      </c>
      <c r="C1777" t="s">
        <v>671</v>
      </c>
      <c r="D1777" s="3">
        <v>1</v>
      </c>
      <c r="E1777" s="2">
        <v>400</v>
      </c>
    </row>
    <row r="1778" spans="1:5" x14ac:dyDescent="0.35">
      <c r="A1778" t="s">
        <v>4464</v>
      </c>
      <c r="B1778" t="s">
        <v>2461</v>
      </c>
      <c r="C1778" t="s">
        <v>651</v>
      </c>
      <c r="D1778" s="3">
        <v>1</v>
      </c>
      <c r="E1778" s="2">
        <v>120</v>
      </c>
    </row>
    <row r="1779" spans="1:5" x14ac:dyDescent="0.35">
      <c r="A1779" t="s">
        <v>4465</v>
      </c>
      <c r="B1779" t="s">
        <v>2462</v>
      </c>
      <c r="C1779" t="s">
        <v>669</v>
      </c>
      <c r="D1779" s="3">
        <v>1</v>
      </c>
      <c r="E1779" s="2">
        <v>600</v>
      </c>
    </row>
    <row r="1780" spans="1:5" x14ac:dyDescent="0.35">
      <c r="A1780" t="s">
        <v>4466</v>
      </c>
      <c r="B1780" t="s">
        <v>2463</v>
      </c>
      <c r="C1780" t="s">
        <v>651</v>
      </c>
      <c r="D1780" s="3">
        <v>2</v>
      </c>
      <c r="E1780" s="2">
        <v>240</v>
      </c>
    </row>
    <row r="1781" spans="1:5" x14ac:dyDescent="0.35">
      <c r="A1781" t="s">
        <v>4467</v>
      </c>
      <c r="B1781" t="s">
        <v>2464</v>
      </c>
      <c r="C1781" t="s">
        <v>660</v>
      </c>
      <c r="D1781" s="3">
        <v>1</v>
      </c>
      <c r="E1781" s="2">
        <v>6500</v>
      </c>
    </row>
    <row r="1782" spans="1:5" x14ac:dyDescent="0.35">
      <c r="A1782" t="s">
        <v>4468</v>
      </c>
      <c r="B1782" t="s">
        <v>2465</v>
      </c>
      <c r="C1782" t="s">
        <v>635</v>
      </c>
      <c r="D1782" s="3">
        <v>1</v>
      </c>
      <c r="E1782" s="2">
        <v>180</v>
      </c>
    </row>
    <row r="1783" spans="1:5" x14ac:dyDescent="0.35">
      <c r="A1783" t="s">
        <v>4469</v>
      </c>
      <c r="B1783" t="s">
        <v>2466</v>
      </c>
      <c r="C1783" t="s">
        <v>620</v>
      </c>
      <c r="D1783" s="3">
        <v>1</v>
      </c>
      <c r="E1783" s="2">
        <v>50</v>
      </c>
    </row>
    <row r="1784" spans="1:5" x14ac:dyDescent="0.35">
      <c r="A1784" t="s">
        <v>4470</v>
      </c>
      <c r="B1784" t="s">
        <v>2467</v>
      </c>
      <c r="C1784" t="s">
        <v>620</v>
      </c>
      <c r="D1784" s="3">
        <v>2</v>
      </c>
      <c r="E1784" s="2">
        <v>100</v>
      </c>
    </row>
    <row r="1785" spans="1:5" x14ac:dyDescent="0.35">
      <c r="A1785" t="s">
        <v>4471</v>
      </c>
      <c r="B1785" t="s">
        <v>2468</v>
      </c>
      <c r="C1785" t="s">
        <v>641</v>
      </c>
      <c r="D1785" s="3">
        <v>1</v>
      </c>
      <c r="E1785" s="2">
        <v>1800</v>
      </c>
    </row>
    <row r="1786" spans="1:5" x14ac:dyDescent="0.35">
      <c r="A1786" t="s">
        <v>4472</v>
      </c>
      <c r="B1786" t="s">
        <v>2469</v>
      </c>
      <c r="C1786" t="s">
        <v>623</v>
      </c>
      <c r="D1786" s="3">
        <v>1</v>
      </c>
      <c r="E1786" s="2">
        <v>1200</v>
      </c>
    </row>
    <row r="1787" spans="1:5" x14ac:dyDescent="0.35">
      <c r="A1787" t="s">
        <v>4473</v>
      </c>
      <c r="B1787" t="s">
        <v>2470</v>
      </c>
      <c r="C1787" t="s">
        <v>669</v>
      </c>
      <c r="D1787" s="3">
        <v>1</v>
      </c>
      <c r="E1787" s="2">
        <v>600</v>
      </c>
    </row>
    <row r="1788" spans="1:5" x14ac:dyDescent="0.35">
      <c r="A1788" t="s">
        <v>4474</v>
      </c>
      <c r="B1788" t="s">
        <v>2471</v>
      </c>
      <c r="C1788" t="s">
        <v>656</v>
      </c>
      <c r="D1788" s="3">
        <v>1</v>
      </c>
      <c r="E1788" s="2">
        <v>350</v>
      </c>
    </row>
    <row r="1789" spans="1:5" x14ac:dyDescent="0.35">
      <c r="A1789" t="s">
        <v>4475</v>
      </c>
      <c r="B1789" t="s">
        <v>2472</v>
      </c>
      <c r="C1789" t="s">
        <v>635</v>
      </c>
      <c r="D1789" s="3">
        <v>2</v>
      </c>
      <c r="E1789" s="2">
        <v>360</v>
      </c>
    </row>
    <row r="1790" spans="1:5" x14ac:dyDescent="0.35">
      <c r="A1790" t="s">
        <v>4476</v>
      </c>
      <c r="B1790" t="s">
        <v>2473</v>
      </c>
      <c r="C1790" t="s">
        <v>669</v>
      </c>
      <c r="D1790" s="3">
        <v>1</v>
      </c>
      <c r="E1790" s="2">
        <v>600</v>
      </c>
    </row>
    <row r="1791" spans="1:5" x14ac:dyDescent="0.35">
      <c r="A1791" t="s">
        <v>4477</v>
      </c>
      <c r="B1791" t="s">
        <v>2474</v>
      </c>
      <c r="C1791" t="s">
        <v>626</v>
      </c>
      <c r="D1791" s="3">
        <v>1</v>
      </c>
      <c r="E1791" s="2">
        <v>5000</v>
      </c>
    </row>
    <row r="1792" spans="1:5" x14ac:dyDescent="0.35">
      <c r="A1792" t="s">
        <v>4478</v>
      </c>
      <c r="B1792" t="s">
        <v>2475</v>
      </c>
      <c r="C1792" t="s">
        <v>649</v>
      </c>
      <c r="D1792" s="3">
        <v>1</v>
      </c>
      <c r="E1792" s="2">
        <v>800</v>
      </c>
    </row>
    <row r="1793" spans="1:5" x14ac:dyDescent="0.35">
      <c r="A1793" t="s">
        <v>4479</v>
      </c>
      <c r="B1793" t="s">
        <v>2476</v>
      </c>
      <c r="C1793" t="s">
        <v>665</v>
      </c>
      <c r="D1793" s="3">
        <v>1</v>
      </c>
      <c r="E1793" s="2">
        <v>700</v>
      </c>
    </row>
    <row r="1794" spans="1:5" x14ac:dyDescent="0.35">
      <c r="A1794" t="s">
        <v>4480</v>
      </c>
      <c r="B1794" t="s">
        <v>2477</v>
      </c>
      <c r="C1794" t="s">
        <v>641</v>
      </c>
      <c r="D1794" s="3">
        <v>1</v>
      </c>
      <c r="E1794" s="2">
        <v>1800</v>
      </c>
    </row>
    <row r="1795" spans="1:5" x14ac:dyDescent="0.35">
      <c r="A1795" t="s">
        <v>4481</v>
      </c>
      <c r="B1795" t="s">
        <v>2478</v>
      </c>
      <c r="C1795" t="s">
        <v>617</v>
      </c>
      <c r="D1795" s="3">
        <v>1</v>
      </c>
      <c r="E1795" s="2">
        <v>200</v>
      </c>
    </row>
    <row r="1796" spans="1:5" x14ac:dyDescent="0.35">
      <c r="A1796" t="s">
        <v>4482</v>
      </c>
      <c r="B1796" t="s">
        <v>2479</v>
      </c>
      <c r="C1796" t="s">
        <v>626</v>
      </c>
      <c r="D1796" s="3">
        <v>1</v>
      </c>
      <c r="E1796" s="2">
        <v>5000</v>
      </c>
    </row>
    <row r="1797" spans="1:5" x14ac:dyDescent="0.35">
      <c r="A1797" t="s">
        <v>4483</v>
      </c>
      <c r="B1797" t="s">
        <v>2480</v>
      </c>
      <c r="C1797" t="s">
        <v>617</v>
      </c>
      <c r="D1797" s="3">
        <v>1</v>
      </c>
      <c r="E1797" s="2">
        <v>200</v>
      </c>
    </row>
    <row r="1798" spans="1:5" x14ac:dyDescent="0.35">
      <c r="A1798" t="s">
        <v>4484</v>
      </c>
      <c r="B1798" t="s">
        <v>2481</v>
      </c>
      <c r="C1798" t="s">
        <v>656</v>
      </c>
      <c r="D1798" s="3">
        <v>1</v>
      </c>
      <c r="E1798" s="2">
        <v>350</v>
      </c>
    </row>
    <row r="1799" spans="1:5" x14ac:dyDescent="0.35">
      <c r="A1799" t="s">
        <v>4485</v>
      </c>
      <c r="B1799" t="s">
        <v>2482</v>
      </c>
      <c r="C1799" t="s">
        <v>656</v>
      </c>
      <c r="D1799" s="3">
        <v>1</v>
      </c>
      <c r="E1799" s="2">
        <v>350</v>
      </c>
    </row>
    <row r="1800" spans="1:5" x14ac:dyDescent="0.35">
      <c r="A1800" t="s">
        <v>4486</v>
      </c>
      <c r="B1800" t="s">
        <v>2483</v>
      </c>
      <c r="C1800" t="s">
        <v>633</v>
      </c>
      <c r="D1800" s="3">
        <v>1</v>
      </c>
      <c r="E1800" s="2">
        <v>450</v>
      </c>
    </row>
    <row r="1801" spans="1:5" x14ac:dyDescent="0.35">
      <c r="A1801" t="s">
        <v>4487</v>
      </c>
      <c r="B1801" t="s">
        <v>2484</v>
      </c>
      <c r="C1801" t="s">
        <v>669</v>
      </c>
      <c r="D1801" s="3">
        <v>1</v>
      </c>
      <c r="E1801" s="2">
        <v>600</v>
      </c>
    </row>
    <row r="1802" spans="1:5" x14ac:dyDescent="0.35">
      <c r="A1802" t="s">
        <v>4488</v>
      </c>
      <c r="B1802" t="s">
        <v>2485</v>
      </c>
      <c r="C1802" t="s">
        <v>663</v>
      </c>
      <c r="D1802" s="3">
        <v>1</v>
      </c>
      <c r="E1802" s="2">
        <v>1400</v>
      </c>
    </row>
    <row r="1803" spans="1:5" x14ac:dyDescent="0.35">
      <c r="A1803" t="s">
        <v>4489</v>
      </c>
      <c r="B1803" t="s">
        <v>2486</v>
      </c>
      <c r="C1803" t="s">
        <v>651</v>
      </c>
      <c r="D1803" s="3">
        <v>1</v>
      </c>
      <c r="E1803" s="2">
        <v>120</v>
      </c>
    </row>
    <row r="1804" spans="1:5" x14ac:dyDescent="0.35">
      <c r="A1804" t="s">
        <v>4490</v>
      </c>
      <c r="B1804" t="s">
        <v>2487</v>
      </c>
      <c r="C1804" t="s">
        <v>647</v>
      </c>
      <c r="D1804" s="3">
        <v>1</v>
      </c>
      <c r="E1804" s="2">
        <v>4200</v>
      </c>
    </row>
    <row r="1805" spans="1:5" x14ac:dyDescent="0.35">
      <c r="A1805" t="s">
        <v>4491</v>
      </c>
      <c r="B1805" t="s">
        <v>2488</v>
      </c>
      <c r="C1805" t="s">
        <v>620</v>
      </c>
      <c r="D1805" s="3">
        <v>1</v>
      </c>
      <c r="E1805" s="2">
        <v>50</v>
      </c>
    </row>
    <row r="1806" spans="1:5" x14ac:dyDescent="0.35">
      <c r="A1806" t="s">
        <v>4492</v>
      </c>
      <c r="B1806" t="s">
        <v>2489</v>
      </c>
      <c r="C1806" t="s">
        <v>660</v>
      </c>
      <c r="D1806" s="3">
        <v>3</v>
      </c>
      <c r="E1806" s="2">
        <v>19500</v>
      </c>
    </row>
    <row r="1807" spans="1:5" x14ac:dyDescent="0.35">
      <c r="A1807" t="s">
        <v>4493</v>
      </c>
      <c r="B1807" t="s">
        <v>2490</v>
      </c>
      <c r="C1807" t="s">
        <v>671</v>
      </c>
      <c r="D1807" s="3">
        <v>1</v>
      </c>
      <c r="E1807" s="2">
        <v>400</v>
      </c>
    </row>
    <row r="1808" spans="1:5" x14ac:dyDescent="0.35">
      <c r="A1808" t="s">
        <v>4494</v>
      </c>
      <c r="B1808" t="s">
        <v>2491</v>
      </c>
      <c r="C1808" t="s">
        <v>647</v>
      </c>
      <c r="D1808" s="3">
        <v>1</v>
      </c>
      <c r="E1808" s="2">
        <v>4200</v>
      </c>
    </row>
    <row r="1809" spans="1:5" x14ac:dyDescent="0.35">
      <c r="A1809" t="s">
        <v>4495</v>
      </c>
      <c r="B1809" t="s">
        <v>2492</v>
      </c>
      <c r="C1809" t="s">
        <v>671</v>
      </c>
      <c r="D1809" s="3">
        <v>1</v>
      </c>
      <c r="E1809" s="2">
        <v>400</v>
      </c>
    </row>
    <row r="1810" spans="1:5" x14ac:dyDescent="0.35">
      <c r="A1810" t="s">
        <v>4496</v>
      </c>
      <c r="B1810" t="s">
        <v>2493</v>
      </c>
      <c r="C1810" t="s">
        <v>643</v>
      </c>
      <c r="D1810" s="3">
        <v>1</v>
      </c>
      <c r="E1810" s="2">
        <v>2200</v>
      </c>
    </row>
    <row r="1811" spans="1:5" x14ac:dyDescent="0.35">
      <c r="A1811" t="s">
        <v>4497</v>
      </c>
      <c r="B1811" t="s">
        <v>2494</v>
      </c>
      <c r="C1811" t="s">
        <v>667</v>
      </c>
      <c r="D1811" s="3">
        <v>1</v>
      </c>
      <c r="E1811" s="2">
        <v>550</v>
      </c>
    </row>
    <row r="1812" spans="1:5" x14ac:dyDescent="0.35">
      <c r="A1812" t="s">
        <v>4498</v>
      </c>
      <c r="B1812" t="s">
        <v>2495</v>
      </c>
      <c r="C1812" t="s">
        <v>651</v>
      </c>
      <c r="D1812" s="3">
        <v>1</v>
      </c>
      <c r="E1812" s="2">
        <v>120</v>
      </c>
    </row>
    <row r="1813" spans="1:5" x14ac:dyDescent="0.35">
      <c r="A1813" t="s">
        <v>4499</v>
      </c>
      <c r="B1813" t="s">
        <v>2496</v>
      </c>
      <c r="C1813" t="s">
        <v>641</v>
      </c>
      <c r="D1813" s="3">
        <v>1</v>
      </c>
      <c r="E1813" s="2">
        <v>1800</v>
      </c>
    </row>
    <row r="1814" spans="1:5" x14ac:dyDescent="0.35">
      <c r="A1814" t="s">
        <v>4500</v>
      </c>
      <c r="B1814" t="s">
        <v>2497</v>
      </c>
      <c r="C1814" t="s">
        <v>638</v>
      </c>
      <c r="D1814" s="3">
        <v>2</v>
      </c>
      <c r="E1814" s="2">
        <v>300</v>
      </c>
    </row>
    <row r="1815" spans="1:5" x14ac:dyDescent="0.35">
      <c r="A1815" t="s">
        <v>4501</v>
      </c>
      <c r="B1815" t="s">
        <v>2498</v>
      </c>
      <c r="C1815" t="s">
        <v>638</v>
      </c>
      <c r="D1815" s="3">
        <v>1</v>
      </c>
      <c r="E1815" s="2">
        <v>150</v>
      </c>
    </row>
    <row r="1816" spans="1:5" x14ac:dyDescent="0.35">
      <c r="A1816" t="s">
        <v>4502</v>
      </c>
      <c r="B1816" t="s">
        <v>2499</v>
      </c>
      <c r="C1816" t="s">
        <v>663</v>
      </c>
      <c r="D1816" s="3">
        <v>1</v>
      </c>
      <c r="E1816" s="2">
        <v>1400</v>
      </c>
    </row>
    <row r="1817" spans="1:5" x14ac:dyDescent="0.35">
      <c r="A1817" t="s">
        <v>4503</v>
      </c>
      <c r="B1817" t="s">
        <v>2500</v>
      </c>
      <c r="C1817" t="s">
        <v>617</v>
      </c>
      <c r="D1817" s="3">
        <v>1</v>
      </c>
      <c r="E1817" s="2">
        <v>200</v>
      </c>
    </row>
    <row r="1818" spans="1:5" x14ac:dyDescent="0.35">
      <c r="A1818" t="s">
        <v>4504</v>
      </c>
      <c r="B1818" t="s">
        <v>2501</v>
      </c>
      <c r="C1818" t="s">
        <v>656</v>
      </c>
      <c r="D1818" s="3">
        <v>1</v>
      </c>
      <c r="E1818" s="2">
        <v>350</v>
      </c>
    </row>
    <row r="1819" spans="1:5" x14ac:dyDescent="0.35">
      <c r="A1819" t="s">
        <v>4505</v>
      </c>
      <c r="B1819" t="s">
        <v>2502</v>
      </c>
      <c r="C1819" t="s">
        <v>645</v>
      </c>
      <c r="D1819" s="3">
        <v>2</v>
      </c>
      <c r="E1819" s="2">
        <v>7000</v>
      </c>
    </row>
    <row r="1820" spans="1:5" x14ac:dyDescent="0.35">
      <c r="A1820" t="s">
        <v>4506</v>
      </c>
      <c r="B1820" t="s">
        <v>2503</v>
      </c>
      <c r="C1820" t="s">
        <v>641</v>
      </c>
      <c r="D1820" s="3">
        <v>1</v>
      </c>
      <c r="E1820" s="2">
        <v>1800</v>
      </c>
    </row>
    <row r="1821" spans="1:5" x14ac:dyDescent="0.35">
      <c r="A1821" t="s">
        <v>4507</v>
      </c>
      <c r="B1821" t="s">
        <v>2504</v>
      </c>
      <c r="C1821" t="s">
        <v>629</v>
      </c>
      <c r="D1821" s="3">
        <v>1</v>
      </c>
      <c r="E1821" s="2">
        <v>300</v>
      </c>
    </row>
    <row r="1822" spans="1:5" x14ac:dyDescent="0.35">
      <c r="A1822" t="s">
        <v>4508</v>
      </c>
      <c r="B1822" t="s">
        <v>2505</v>
      </c>
      <c r="C1822" t="s">
        <v>658</v>
      </c>
      <c r="D1822" s="3">
        <v>1</v>
      </c>
      <c r="E1822" s="2">
        <v>750</v>
      </c>
    </row>
    <row r="1823" spans="1:5" x14ac:dyDescent="0.35">
      <c r="A1823" t="s">
        <v>4509</v>
      </c>
      <c r="B1823" t="s">
        <v>2506</v>
      </c>
      <c r="C1823" t="s">
        <v>651</v>
      </c>
      <c r="D1823" s="3">
        <v>1</v>
      </c>
      <c r="E1823" s="2">
        <v>120</v>
      </c>
    </row>
    <row r="1824" spans="1:5" x14ac:dyDescent="0.35">
      <c r="A1824" t="s">
        <v>4510</v>
      </c>
      <c r="B1824" t="s">
        <v>2507</v>
      </c>
      <c r="C1824" t="s">
        <v>631</v>
      </c>
      <c r="D1824" s="3">
        <v>1</v>
      </c>
      <c r="E1824" s="2">
        <v>900</v>
      </c>
    </row>
    <row r="1825" spans="1:5" x14ac:dyDescent="0.35">
      <c r="A1825" t="s">
        <v>4511</v>
      </c>
      <c r="B1825" t="s">
        <v>2508</v>
      </c>
      <c r="C1825" t="s">
        <v>633</v>
      </c>
      <c r="D1825" s="3">
        <v>3</v>
      </c>
      <c r="E1825" s="2">
        <v>1350</v>
      </c>
    </row>
    <row r="1826" spans="1:5" x14ac:dyDescent="0.35">
      <c r="A1826" t="s">
        <v>4512</v>
      </c>
      <c r="B1826" t="s">
        <v>2509</v>
      </c>
      <c r="C1826" t="s">
        <v>656</v>
      </c>
      <c r="D1826" s="3">
        <v>1</v>
      </c>
      <c r="E1826" s="2">
        <v>350</v>
      </c>
    </row>
    <row r="1827" spans="1:5" x14ac:dyDescent="0.35">
      <c r="A1827" t="s">
        <v>4513</v>
      </c>
      <c r="B1827" t="s">
        <v>2510</v>
      </c>
      <c r="C1827" t="s">
        <v>631</v>
      </c>
      <c r="D1827" s="3">
        <v>1</v>
      </c>
      <c r="E1827" s="2">
        <v>900</v>
      </c>
    </row>
    <row r="1828" spans="1:5" x14ac:dyDescent="0.35">
      <c r="A1828" t="s">
        <v>4514</v>
      </c>
      <c r="B1828" t="s">
        <v>2511</v>
      </c>
      <c r="C1828" t="s">
        <v>635</v>
      </c>
      <c r="D1828" s="3">
        <v>2</v>
      </c>
      <c r="E1828" s="2">
        <v>360</v>
      </c>
    </row>
    <row r="1829" spans="1:5" x14ac:dyDescent="0.35">
      <c r="A1829" t="s">
        <v>4515</v>
      </c>
      <c r="B1829" t="s">
        <v>2512</v>
      </c>
      <c r="C1829" t="s">
        <v>645</v>
      </c>
      <c r="D1829" s="3">
        <v>1</v>
      </c>
      <c r="E1829" s="2">
        <v>3500</v>
      </c>
    </row>
    <row r="1830" spans="1:5" x14ac:dyDescent="0.35">
      <c r="A1830" t="s">
        <v>4516</v>
      </c>
      <c r="B1830" t="s">
        <v>2513</v>
      </c>
      <c r="C1830" t="s">
        <v>665</v>
      </c>
      <c r="D1830" s="3">
        <v>1</v>
      </c>
      <c r="E1830" s="2">
        <v>700</v>
      </c>
    </row>
    <row r="1831" spans="1:5" x14ac:dyDescent="0.35">
      <c r="A1831" t="s">
        <v>4517</v>
      </c>
      <c r="B1831" t="s">
        <v>2514</v>
      </c>
      <c r="C1831" t="s">
        <v>649</v>
      </c>
      <c r="D1831" s="3">
        <v>1</v>
      </c>
      <c r="E1831" s="2">
        <v>800</v>
      </c>
    </row>
    <row r="1832" spans="1:5" x14ac:dyDescent="0.35">
      <c r="A1832" t="s">
        <v>4518</v>
      </c>
      <c r="B1832" t="s">
        <v>2515</v>
      </c>
      <c r="C1832" t="s">
        <v>645</v>
      </c>
      <c r="D1832" s="3">
        <v>1</v>
      </c>
      <c r="E1832" s="2">
        <v>3500</v>
      </c>
    </row>
    <row r="1833" spans="1:5" x14ac:dyDescent="0.35">
      <c r="A1833" t="s">
        <v>4519</v>
      </c>
      <c r="B1833" t="s">
        <v>2516</v>
      </c>
      <c r="C1833" t="s">
        <v>669</v>
      </c>
      <c r="D1833" s="3">
        <v>3</v>
      </c>
      <c r="E1833" s="2">
        <v>1800</v>
      </c>
    </row>
    <row r="1834" spans="1:5" x14ac:dyDescent="0.35">
      <c r="A1834" t="s">
        <v>4520</v>
      </c>
      <c r="B1834" t="s">
        <v>2517</v>
      </c>
      <c r="C1834" t="s">
        <v>641</v>
      </c>
      <c r="D1834" s="3">
        <v>1</v>
      </c>
      <c r="E1834" s="2">
        <v>1800</v>
      </c>
    </row>
    <row r="1835" spans="1:5" x14ac:dyDescent="0.35">
      <c r="A1835" t="s">
        <v>4521</v>
      </c>
      <c r="B1835" t="s">
        <v>2518</v>
      </c>
      <c r="C1835" t="s">
        <v>667</v>
      </c>
      <c r="D1835" s="3">
        <v>1</v>
      </c>
      <c r="E1835" s="2">
        <v>550</v>
      </c>
    </row>
    <row r="1836" spans="1:5" x14ac:dyDescent="0.35">
      <c r="A1836" t="s">
        <v>4522</v>
      </c>
      <c r="B1836" t="s">
        <v>2519</v>
      </c>
      <c r="C1836" t="s">
        <v>663</v>
      </c>
      <c r="D1836" s="3">
        <v>1</v>
      </c>
      <c r="E1836" s="2">
        <v>1400</v>
      </c>
    </row>
    <row r="1837" spans="1:5" x14ac:dyDescent="0.35">
      <c r="A1837" t="s">
        <v>4523</v>
      </c>
      <c r="B1837" t="s">
        <v>2520</v>
      </c>
      <c r="C1837" t="s">
        <v>651</v>
      </c>
      <c r="D1837" s="3">
        <v>1</v>
      </c>
      <c r="E1837" s="2">
        <v>120</v>
      </c>
    </row>
    <row r="1838" spans="1:5" x14ac:dyDescent="0.35">
      <c r="A1838" t="s">
        <v>4524</v>
      </c>
      <c r="B1838" t="s">
        <v>2521</v>
      </c>
      <c r="C1838" t="s">
        <v>633</v>
      </c>
      <c r="D1838" s="3">
        <v>1</v>
      </c>
      <c r="E1838" s="2">
        <v>450</v>
      </c>
    </row>
    <row r="1839" spans="1:5" x14ac:dyDescent="0.35">
      <c r="A1839" t="s">
        <v>4525</v>
      </c>
      <c r="B1839" t="s">
        <v>2522</v>
      </c>
      <c r="C1839" t="s">
        <v>638</v>
      </c>
      <c r="D1839" s="3">
        <v>1</v>
      </c>
      <c r="E1839" s="2">
        <v>150</v>
      </c>
    </row>
    <row r="1840" spans="1:5" x14ac:dyDescent="0.35">
      <c r="A1840" t="s">
        <v>4526</v>
      </c>
      <c r="B1840" t="s">
        <v>2523</v>
      </c>
      <c r="C1840" t="s">
        <v>641</v>
      </c>
      <c r="D1840" s="3">
        <v>1</v>
      </c>
      <c r="E1840" s="2">
        <v>1800</v>
      </c>
    </row>
    <row r="1841" spans="1:5" x14ac:dyDescent="0.35">
      <c r="A1841" t="s">
        <v>4527</v>
      </c>
      <c r="B1841" t="s">
        <v>2524</v>
      </c>
      <c r="C1841" t="s">
        <v>641</v>
      </c>
      <c r="D1841" s="3">
        <v>1</v>
      </c>
      <c r="E1841" s="2">
        <v>1800</v>
      </c>
    </row>
    <row r="1842" spans="1:5" x14ac:dyDescent="0.35">
      <c r="A1842" t="s">
        <v>4528</v>
      </c>
      <c r="B1842" t="s">
        <v>2525</v>
      </c>
      <c r="C1842" t="s">
        <v>654</v>
      </c>
      <c r="D1842" s="3">
        <v>1</v>
      </c>
      <c r="E1842" s="2">
        <v>100</v>
      </c>
    </row>
    <row r="1843" spans="1:5" x14ac:dyDescent="0.35">
      <c r="A1843" t="s">
        <v>4529</v>
      </c>
      <c r="B1843" t="s">
        <v>2526</v>
      </c>
      <c r="C1843" t="s">
        <v>633</v>
      </c>
      <c r="D1843" s="3">
        <v>1</v>
      </c>
      <c r="E1843" s="2">
        <v>450</v>
      </c>
    </row>
    <row r="1844" spans="1:5" x14ac:dyDescent="0.35">
      <c r="A1844" t="s">
        <v>4530</v>
      </c>
      <c r="B1844" t="s">
        <v>2527</v>
      </c>
      <c r="C1844" t="s">
        <v>629</v>
      </c>
      <c r="D1844" s="3">
        <v>1</v>
      </c>
      <c r="E1844" s="2">
        <v>300</v>
      </c>
    </row>
    <row r="1845" spans="1:5" x14ac:dyDescent="0.35">
      <c r="A1845" t="s">
        <v>4531</v>
      </c>
      <c r="B1845" t="s">
        <v>2528</v>
      </c>
      <c r="C1845" t="s">
        <v>669</v>
      </c>
      <c r="D1845" s="3">
        <v>1</v>
      </c>
      <c r="E1845" s="2">
        <v>600</v>
      </c>
    </row>
    <row r="1846" spans="1:5" x14ac:dyDescent="0.35">
      <c r="A1846" t="s">
        <v>4532</v>
      </c>
      <c r="B1846" t="s">
        <v>2529</v>
      </c>
      <c r="C1846" t="s">
        <v>623</v>
      </c>
      <c r="D1846" s="3">
        <v>1</v>
      </c>
      <c r="E1846" s="2">
        <v>1200</v>
      </c>
    </row>
    <row r="1847" spans="1:5" x14ac:dyDescent="0.35">
      <c r="A1847" t="s">
        <v>4533</v>
      </c>
      <c r="B1847" t="s">
        <v>2530</v>
      </c>
      <c r="C1847" t="s">
        <v>658</v>
      </c>
      <c r="D1847" s="3">
        <v>1</v>
      </c>
      <c r="E1847" s="2">
        <v>750</v>
      </c>
    </row>
    <row r="1848" spans="1:5" x14ac:dyDescent="0.35">
      <c r="A1848" t="s">
        <v>4534</v>
      </c>
      <c r="B1848" t="s">
        <v>2531</v>
      </c>
      <c r="C1848" t="s">
        <v>643</v>
      </c>
      <c r="D1848" s="3">
        <v>1</v>
      </c>
      <c r="E1848" s="2">
        <v>2200</v>
      </c>
    </row>
    <row r="1849" spans="1:5" x14ac:dyDescent="0.35">
      <c r="A1849" t="s">
        <v>4535</v>
      </c>
      <c r="B1849" t="s">
        <v>2532</v>
      </c>
      <c r="C1849" t="s">
        <v>651</v>
      </c>
      <c r="D1849" s="3">
        <v>1</v>
      </c>
      <c r="E1849" s="2">
        <v>120</v>
      </c>
    </row>
    <row r="1850" spans="1:5" x14ac:dyDescent="0.35">
      <c r="A1850" t="s">
        <v>4536</v>
      </c>
      <c r="B1850" t="s">
        <v>2533</v>
      </c>
      <c r="C1850" t="s">
        <v>665</v>
      </c>
      <c r="D1850" s="3">
        <v>1</v>
      </c>
      <c r="E1850" s="2">
        <v>700</v>
      </c>
    </row>
    <row r="1851" spans="1:5" x14ac:dyDescent="0.35">
      <c r="A1851" t="s">
        <v>4537</v>
      </c>
      <c r="B1851" t="s">
        <v>2534</v>
      </c>
      <c r="C1851" t="s">
        <v>663</v>
      </c>
      <c r="D1851" s="3">
        <v>1</v>
      </c>
      <c r="E1851" s="2">
        <v>1400</v>
      </c>
    </row>
    <row r="1852" spans="1:5" x14ac:dyDescent="0.35">
      <c r="A1852" t="s">
        <v>4538</v>
      </c>
      <c r="B1852" t="s">
        <v>2535</v>
      </c>
      <c r="C1852" t="s">
        <v>629</v>
      </c>
      <c r="D1852" s="3">
        <v>2</v>
      </c>
      <c r="E1852" s="2">
        <v>600</v>
      </c>
    </row>
    <row r="1853" spans="1:5" x14ac:dyDescent="0.35">
      <c r="A1853" t="s">
        <v>4539</v>
      </c>
      <c r="B1853" t="s">
        <v>2536</v>
      </c>
      <c r="C1853" t="s">
        <v>671</v>
      </c>
      <c r="D1853" s="3">
        <v>1</v>
      </c>
      <c r="E1853" s="2">
        <v>400</v>
      </c>
    </row>
    <row r="1854" spans="1:5" x14ac:dyDescent="0.35">
      <c r="A1854" t="s">
        <v>4540</v>
      </c>
      <c r="B1854" t="s">
        <v>2537</v>
      </c>
      <c r="C1854" t="s">
        <v>645</v>
      </c>
      <c r="D1854" s="3">
        <v>2</v>
      </c>
      <c r="E1854" s="2">
        <v>7000</v>
      </c>
    </row>
    <row r="1855" spans="1:5" x14ac:dyDescent="0.35">
      <c r="A1855" t="s">
        <v>4541</v>
      </c>
      <c r="B1855" t="s">
        <v>2538</v>
      </c>
      <c r="C1855" t="s">
        <v>626</v>
      </c>
      <c r="D1855" s="3">
        <v>1</v>
      </c>
      <c r="E1855" s="2">
        <v>5000</v>
      </c>
    </row>
    <row r="1856" spans="1:5" x14ac:dyDescent="0.35">
      <c r="A1856" t="s">
        <v>4542</v>
      </c>
      <c r="B1856" t="s">
        <v>2539</v>
      </c>
      <c r="C1856" t="s">
        <v>651</v>
      </c>
      <c r="D1856" s="3">
        <v>2</v>
      </c>
      <c r="E1856" s="2">
        <v>240</v>
      </c>
    </row>
    <row r="1857" spans="1:5" x14ac:dyDescent="0.35">
      <c r="A1857" t="s">
        <v>4543</v>
      </c>
      <c r="B1857" t="s">
        <v>2540</v>
      </c>
      <c r="C1857" t="s">
        <v>638</v>
      </c>
      <c r="D1857" s="3">
        <v>1</v>
      </c>
      <c r="E1857" s="2">
        <v>150</v>
      </c>
    </row>
    <row r="1858" spans="1:5" x14ac:dyDescent="0.35">
      <c r="A1858" t="s">
        <v>4544</v>
      </c>
      <c r="B1858" t="s">
        <v>2541</v>
      </c>
      <c r="C1858" t="s">
        <v>633</v>
      </c>
      <c r="D1858" s="3">
        <v>1</v>
      </c>
      <c r="E1858" s="2">
        <v>450</v>
      </c>
    </row>
    <row r="1859" spans="1:5" x14ac:dyDescent="0.35">
      <c r="A1859" t="s">
        <v>4545</v>
      </c>
      <c r="B1859" t="s">
        <v>2542</v>
      </c>
      <c r="C1859" t="s">
        <v>641</v>
      </c>
      <c r="D1859" s="3">
        <v>2</v>
      </c>
      <c r="E1859" s="2">
        <v>3600</v>
      </c>
    </row>
    <row r="1860" spans="1:5" x14ac:dyDescent="0.35">
      <c r="A1860" t="s">
        <v>4546</v>
      </c>
      <c r="B1860" t="s">
        <v>2543</v>
      </c>
      <c r="C1860" t="s">
        <v>669</v>
      </c>
      <c r="D1860" s="3">
        <v>1</v>
      </c>
      <c r="E1860" s="2">
        <v>600</v>
      </c>
    </row>
    <row r="1861" spans="1:5" x14ac:dyDescent="0.35">
      <c r="A1861" t="s">
        <v>4547</v>
      </c>
      <c r="B1861" t="s">
        <v>2544</v>
      </c>
      <c r="C1861" t="s">
        <v>647</v>
      </c>
      <c r="D1861" s="3">
        <v>1</v>
      </c>
      <c r="E1861" s="2">
        <v>4200</v>
      </c>
    </row>
    <row r="1862" spans="1:5" x14ac:dyDescent="0.35">
      <c r="A1862" t="s">
        <v>4548</v>
      </c>
      <c r="B1862" t="s">
        <v>2545</v>
      </c>
      <c r="C1862" t="s">
        <v>635</v>
      </c>
      <c r="D1862" s="3">
        <v>1</v>
      </c>
      <c r="E1862" s="2">
        <v>180</v>
      </c>
    </row>
    <row r="1863" spans="1:5" x14ac:dyDescent="0.35">
      <c r="A1863" t="s">
        <v>4549</v>
      </c>
      <c r="B1863" t="s">
        <v>2546</v>
      </c>
      <c r="C1863" t="s">
        <v>645</v>
      </c>
      <c r="D1863" s="3">
        <v>1</v>
      </c>
      <c r="E1863" s="2">
        <v>3500</v>
      </c>
    </row>
    <row r="1864" spans="1:5" x14ac:dyDescent="0.35">
      <c r="A1864" t="s">
        <v>4550</v>
      </c>
      <c r="B1864" t="s">
        <v>2547</v>
      </c>
      <c r="C1864" t="s">
        <v>667</v>
      </c>
      <c r="D1864" s="3">
        <v>1</v>
      </c>
      <c r="E1864" s="2">
        <v>550</v>
      </c>
    </row>
    <row r="1865" spans="1:5" x14ac:dyDescent="0.35">
      <c r="A1865" t="s">
        <v>4551</v>
      </c>
      <c r="B1865" t="s">
        <v>2548</v>
      </c>
      <c r="C1865" t="s">
        <v>671</v>
      </c>
      <c r="D1865" s="3">
        <v>1</v>
      </c>
      <c r="E1865" s="2">
        <v>400</v>
      </c>
    </row>
    <row r="1866" spans="1:5" x14ac:dyDescent="0.35">
      <c r="A1866" t="s">
        <v>4552</v>
      </c>
      <c r="B1866" t="s">
        <v>2549</v>
      </c>
      <c r="C1866" t="s">
        <v>660</v>
      </c>
      <c r="D1866" s="3">
        <v>1</v>
      </c>
      <c r="E1866" s="2">
        <v>6500</v>
      </c>
    </row>
    <row r="1867" spans="1:5" x14ac:dyDescent="0.35">
      <c r="A1867" t="s">
        <v>4553</v>
      </c>
      <c r="B1867" t="s">
        <v>2550</v>
      </c>
      <c r="C1867" t="s">
        <v>617</v>
      </c>
      <c r="D1867" s="3">
        <v>1</v>
      </c>
      <c r="E1867" s="2">
        <v>200</v>
      </c>
    </row>
    <row r="1868" spans="1:5" x14ac:dyDescent="0.35">
      <c r="A1868" t="s">
        <v>4554</v>
      </c>
      <c r="B1868" t="s">
        <v>2551</v>
      </c>
      <c r="C1868" t="s">
        <v>654</v>
      </c>
      <c r="D1868" s="3">
        <v>2</v>
      </c>
      <c r="E1868" s="2">
        <v>200</v>
      </c>
    </row>
    <row r="1869" spans="1:5" x14ac:dyDescent="0.35">
      <c r="A1869" t="s">
        <v>4555</v>
      </c>
      <c r="B1869" t="s">
        <v>2552</v>
      </c>
      <c r="C1869" t="s">
        <v>667</v>
      </c>
      <c r="D1869" s="3">
        <v>1</v>
      </c>
      <c r="E1869" s="2">
        <v>550</v>
      </c>
    </row>
    <row r="1870" spans="1:5" x14ac:dyDescent="0.35">
      <c r="A1870" t="s">
        <v>4556</v>
      </c>
      <c r="B1870" t="s">
        <v>2553</v>
      </c>
      <c r="C1870" t="s">
        <v>656</v>
      </c>
      <c r="D1870" s="3">
        <v>1</v>
      </c>
      <c r="E1870" s="2">
        <v>350</v>
      </c>
    </row>
    <row r="1871" spans="1:5" x14ac:dyDescent="0.35">
      <c r="A1871" t="s">
        <v>4557</v>
      </c>
      <c r="B1871" t="s">
        <v>2554</v>
      </c>
      <c r="C1871" t="s">
        <v>673</v>
      </c>
      <c r="D1871" s="3">
        <v>1</v>
      </c>
      <c r="E1871" s="2">
        <v>300</v>
      </c>
    </row>
    <row r="1872" spans="1:5" x14ac:dyDescent="0.35">
      <c r="A1872" t="s">
        <v>4558</v>
      </c>
      <c r="B1872" t="s">
        <v>2555</v>
      </c>
      <c r="C1872" t="s">
        <v>658</v>
      </c>
      <c r="D1872" s="3">
        <v>2</v>
      </c>
      <c r="E1872" s="2">
        <v>1500</v>
      </c>
    </row>
    <row r="1873" spans="1:5" x14ac:dyDescent="0.35">
      <c r="A1873" t="s">
        <v>4559</v>
      </c>
      <c r="B1873" t="s">
        <v>2556</v>
      </c>
      <c r="C1873" t="s">
        <v>643</v>
      </c>
      <c r="D1873" s="3">
        <v>1</v>
      </c>
      <c r="E1873" s="2">
        <v>2200</v>
      </c>
    </row>
    <row r="1874" spans="1:5" x14ac:dyDescent="0.35">
      <c r="A1874" t="s">
        <v>4560</v>
      </c>
      <c r="B1874" t="s">
        <v>2557</v>
      </c>
      <c r="C1874" t="s">
        <v>658</v>
      </c>
      <c r="D1874" s="3">
        <v>2</v>
      </c>
      <c r="E1874" s="2">
        <v>1500</v>
      </c>
    </row>
    <row r="1875" spans="1:5" x14ac:dyDescent="0.35">
      <c r="A1875" t="s">
        <v>4561</v>
      </c>
      <c r="B1875" t="s">
        <v>2558</v>
      </c>
      <c r="C1875" t="s">
        <v>633</v>
      </c>
      <c r="D1875" s="3">
        <v>1</v>
      </c>
      <c r="E1875" s="2">
        <v>450</v>
      </c>
    </row>
    <row r="1876" spans="1:5" x14ac:dyDescent="0.35">
      <c r="A1876" t="s">
        <v>4562</v>
      </c>
      <c r="B1876" t="s">
        <v>2559</v>
      </c>
      <c r="C1876" t="s">
        <v>658</v>
      </c>
      <c r="D1876" s="3">
        <v>1</v>
      </c>
      <c r="E1876" s="2">
        <v>750</v>
      </c>
    </row>
    <row r="1877" spans="1:5" x14ac:dyDescent="0.35">
      <c r="A1877" t="s">
        <v>4563</v>
      </c>
      <c r="B1877" t="s">
        <v>2560</v>
      </c>
      <c r="C1877" t="s">
        <v>635</v>
      </c>
      <c r="D1877" s="3">
        <v>1</v>
      </c>
      <c r="E1877" s="2">
        <v>180</v>
      </c>
    </row>
    <row r="1878" spans="1:5" x14ac:dyDescent="0.35">
      <c r="A1878" t="s">
        <v>4564</v>
      </c>
      <c r="B1878" t="s">
        <v>2561</v>
      </c>
      <c r="C1878" t="s">
        <v>631</v>
      </c>
      <c r="D1878" s="3">
        <v>1</v>
      </c>
      <c r="E1878" s="2">
        <v>900</v>
      </c>
    </row>
    <row r="1879" spans="1:5" x14ac:dyDescent="0.35">
      <c r="A1879" t="s">
        <v>4565</v>
      </c>
      <c r="B1879" t="s">
        <v>2562</v>
      </c>
      <c r="C1879" t="s">
        <v>633</v>
      </c>
      <c r="D1879" s="3">
        <v>1</v>
      </c>
      <c r="E1879" s="2">
        <v>450</v>
      </c>
    </row>
    <row r="1880" spans="1:5" x14ac:dyDescent="0.35">
      <c r="A1880" t="s">
        <v>4566</v>
      </c>
      <c r="B1880" t="s">
        <v>2563</v>
      </c>
      <c r="C1880" t="s">
        <v>669</v>
      </c>
      <c r="D1880" s="3">
        <v>1</v>
      </c>
      <c r="E1880" s="2">
        <v>600</v>
      </c>
    </row>
    <row r="1881" spans="1:5" x14ac:dyDescent="0.35">
      <c r="A1881" t="s">
        <v>4567</v>
      </c>
      <c r="B1881" t="s">
        <v>2564</v>
      </c>
      <c r="C1881" t="s">
        <v>667</v>
      </c>
      <c r="D1881" s="3">
        <v>1</v>
      </c>
      <c r="E1881" s="2">
        <v>550</v>
      </c>
    </row>
    <row r="1882" spans="1:5" x14ac:dyDescent="0.35">
      <c r="A1882" t="s">
        <v>4568</v>
      </c>
      <c r="B1882" t="s">
        <v>2565</v>
      </c>
      <c r="C1882" t="s">
        <v>641</v>
      </c>
      <c r="D1882" s="3">
        <v>1</v>
      </c>
      <c r="E1882" s="2">
        <v>1800</v>
      </c>
    </row>
    <row r="1883" spans="1:5" x14ac:dyDescent="0.35">
      <c r="A1883" t="s">
        <v>4569</v>
      </c>
      <c r="B1883" t="s">
        <v>2566</v>
      </c>
      <c r="C1883" t="s">
        <v>643</v>
      </c>
      <c r="D1883" s="3">
        <v>1</v>
      </c>
      <c r="E1883" s="2">
        <v>2200</v>
      </c>
    </row>
    <row r="1884" spans="1:5" x14ac:dyDescent="0.35">
      <c r="A1884" t="s">
        <v>4570</v>
      </c>
      <c r="B1884" t="s">
        <v>2567</v>
      </c>
      <c r="C1884" t="s">
        <v>673</v>
      </c>
      <c r="D1884" s="3">
        <v>1</v>
      </c>
      <c r="E1884" s="2">
        <v>300</v>
      </c>
    </row>
    <row r="1885" spans="1:5" x14ac:dyDescent="0.35">
      <c r="A1885" t="s">
        <v>4571</v>
      </c>
      <c r="B1885" t="s">
        <v>2568</v>
      </c>
      <c r="C1885" t="s">
        <v>647</v>
      </c>
      <c r="D1885" s="3">
        <v>1</v>
      </c>
      <c r="E1885" s="2">
        <v>4200</v>
      </c>
    </row>
    <row r="1886" spans="1:5" x14ac:dyDescent="0.35">
      <c r="A1886" t="s">
        <v>4572</v>
      </c>
      <c r="B1886" t="s">
        <v>2569</v>
      </c>
      <c r="C1886" t="s">
        <v>638</v>
      </c>
      <c r="D1886" s="3">
        <v>1</v>
      </c>
      <c r="E1886" s="2">
        <v>150</v>
      </c>
    </row>
    <row r="1887" spans="1:5" x14ac:dyDescent="0.35">
      <c r="A1887" t="s">
        <v>4573</v>
      </c>
      <c r="B1887" t="s">
        <v>2570</v>
      </c>
      <c r="C1887" t="s">
        <v>633</v>
      </c>
      <c r="D1887" s="3">
        <v>1</v>
      </c>
      <c r="E1887" s="2">
        <v>450</v>
      </c>
    </row>
    <row r="1888" spans="1:5" x14ac:dyDescent="0.35">
      <c r="A1888" t="s">
        <v>4574</v>
      </c>
      <c r="B1888" t="s">
        <v>2571</v>
      </c>
      <c r="C1888" t="s">
        <v>638</v>
      </c>
      <c r="D1888" s="3">
        <v>2</v>
      </c>
      <c r="E1888" s="2">
        <v>300</v>
      </c>
    </row>
    <row r="1889" spans="1:5" x14ac:dyDescent="0.35">
      <c r="A1889" t="s">
        <v>4575</v>
      </c>
      <c r="B1889" t="s">
        <v>2572</v>
      </c>
      <c r="C1889" t="s">
        <v>647</v>
      </c>
      <c r="D1889" s="3">
        <v>1</v>
      </c>
      <c r="E1889" s="2">
        <v>4200</v>
      </c>
    </row>
    <row r="1890" spans="1:5" x14ac:dyDescent="0.35">
      <c r="A1890" t="s">
        <v>4576</v>
      </c>
      <c r="B1890" t="s">
        <v>2573</v>
      </c>
      <c r="C1890" t="s">
        <v>623</v>
      </c>
      <c r="D1890" s="3">
        <v>1</v>
      </c>
      <c r="E1890" s="2">
        <v>1200</v>
      </c>
    </row>
    <row r="1891" spans="1:5" x14ac:dyDescent="0.35">
      <c r="A1891" t="s">
        <v>4577</v>
      </c>
      <c r="B1891" t="s">
        <v>2574</v>
      </c>
      <c r="C1891" t="s">
        <v>623</v>
      </c>
      <c r="D1891" s="3">
        <v>1</v>
      </c>
      <c r="E1891" s="2">
        <v>1200</v>
      </c>
    </row>
    <row r="1892" spans="1:5" x14ac:dyDescent="0.35">
      <c r="A1892" t="s">
        <v>4578</v>
      </c>
      <c r="B1892" t="s">
        <v>2575</v>
      </c>
      <c r="C1892" t="s">
        <v>617</v>
      </c>
      <c r="D1892" s="3">
        <v>1</v>
      </c>
      <c r="E1892" s="2">
        <v>200</v>
      </c>
    </row>
    <row r="1893" spans="1:5" x14ac:dyDescent="0.35">
      <c r="A1893" t="s">
        <v>4579</v>
      </c>
      <c r="B1893" t="s">
        <v>2576</v>
      </c>
      <c r="C1893" t="s">
        <v>665</v>
      </c>
      <c r="D1893" s="3">
        <v>1</v>
      </c>
      <c r="E1893" s="2">
        <v>700</v>
      </c>
    </row>
    <row r="1894" spans="1:5" x14ac:dyDescent="0.35">
      <c r="A1894" t="s">
        <v>4580</v>
      </c>
      <c r="B1894" t="s">
        <v>2577</v>
      </c>
      <c r="C1894" t="s">
        <v>663</v>
      </c>
      <c r="D1894" s="3">
        <v>1</v>
      </c>
      <c r="E1894" s="2">
        <v>1400</v>
      </c>
    </row>
    <row r="1895" spans="1:5" x14ac:dyDescent="0.35">
      <c r="A1895" t="s">
        <v>4581</v>
      </c>
      <c r="B1895" t="s">
        <v>2578</v>
      </c>
      <c r="C1895" t="s">
        <v>620</v>
      </c>
      <c r="D1895" s="3">
        <v>1</v>
      </c>
      <c r="E1895" s="2">
        <v>50</v>
      </c>
    </row>
    <row r="1896" spans="1:5" x14ac:dyDescent="0.35">
      <c r="A1896" t="s">
        <v>4582</v>
      </c>
      <c r="B1896" t="s">
        <v>2579</v>
      </c>
      <c r="C1896" t="s">
        <v>673</v>
      </c>
      <c r="D1896" s="3">
        <v>1</v>
      </c>
      <c r="E1896" s="2">
        <v>300</v>
      </c>
    </row>
    <row r="1897" spans="1:5" x14ac:dyDescent="0.35">
      <c r="A1897" t="s">
        <v>4583</v>
      </c>
      <c r="B1897" t="s">
        <v>2580</v>
      </c>
      <c r="C1897" t="s">
        <v>623</v>
      </c>
      <c r="D1897" s="3">
        <v>1</v>
      </c>
      <c r="E1897" s="2">
        <v>1200</v>
      </c>
    </row>
    <row r="1898" spans="1:5" x14ac:dyDescent="0.35">
      <c r="A1898" t="s">
        <v>4584</v>
      </c>
      <c r="B1898" t="s">
        <v>2581</v>
      </c>
      <c r="C1898" t="s">
        <v>651</v>
      </c>
      <c r="D1898" s="3">
        <v>1</v>
      </c>
      <c r="E1898" s="2">
        <v>120</v>
      </c>
    </row>
    <row r="1899" spans="1:5" x14ac:dyDescent="0.35">
      <c r="A1899" t="s">
        <v>4585</v>
      </c>
      <c r="B1899" t="s">
        <v>2582</v>
      </c>
      <c r="C1899" t="s">
        <v>671</v>
      </c>
      <c r="D1899" s="3">
        <v>1</v>
      </c>
      <c r="E1899" s="2">
        <v>400</v>
      </c>
    </row>
    <row r="1900" spans="1:5" x14ac:dyDescent="0.35">
      <c r="A1900" t="s">
        <v>4586</v>
      </c>
      <c r="B1900" t="s">
        <v>2583</v>
      </c>
      <c r="C1900" t="s">
        <v>631</v>
      </c>
      <c r="D1900" s="3">
        <v>1</v>
      </c>
      <c r="E1900" s="2">
        <v>900</v>
      </c>
    </row>
    <row r="1901" spans="1:5" x14ac:dyDescent="0.35">
      <c r="A1901" t="s">
        <v>4587</v>
      </c>
      <c r="B1901" t="s">
        <v>2584</v>
      </c>
      <c r="C1901" t="s">
        <v>647</v>
      </c>
      <c r="D1901" s="3">
        <v>1</v>
      </c>
      <c r="E1901" s="2">
        <v>4200</v>
      </c>
    </row>
    <row r="1902" spans="1:5" x14ac:dyDescent="0.35">
      <c r="A1902" t="s">
        <v>4588</v>
      </c>
      <c r="B1902" t="s">
        <v>2585</v>
      </c>
      <c r="C1902" t="s">
        <v>665</v>
      </c>
      <c r="D1902" s="3">
        <v>1</v>
      </c>
      <c r="E1902" s="2">
        <v>700</v>
      </c>
    </row>
    <row r="1903" spans="1:5" x14ac:dyDescent="0.35">
      <c r="A1903" t="s">
        <v>4589</v>
      </c>
      <c r="B1903" t="s">
        <v>2586</v>
      </c>
      <c r="C1903" t="s">
        <v>617</v>
      </c>
      <c r="D1903" s="3">
        <v>3</v>
      </c>
      <c r="E1903" s="2">
        <v>600</v>
      </c>
    </row>
    <row r="1904" spans="1:5" x14ac:dyDescent="0.35">
      <c r="A1904" t="s">
        <v>4590</v>
      </c>
      <c r="B1904" t="s">
        <v>2587</v>
      </c>
      <c r="C1904" t="s">
        <v>663</v>
      </c>
      <c r="D1904" s="3">
        <v>1</v>
      </c>
      <c r="E1904" s="2">
        <v>1400</v>
      </c>
    </row>
    <row r="1905" spans="1:5" x14ac:dyDescent="0.35">
      <c r="A1905" t="s">
        <v>4591</v>
      </c>
      <c r="B1905" t="s">
        <v>2588</v>
      </c>
      <c r="C1905" t="s">
        <v>660</v>
      </c>
      <c r="D1905" s="3">
        <v>3</v>
      </c>
      <c r="E1905" s="2">
        <v>19500</v>
      </c>
    </row>
    <row r="1906" spans="1:5" x14ac:dyDescent="0.35">
      <c r="A1906" t="s">
        <v>4592</v>
      </c>
      <c r="B1906" t="s">
        <v>2589</v>
      </c>
      <c r="C1906" t="s">
        <v>617</v>
      </c>
      <c r="D1906" s="3">
        <v>1</v>
      </c>
      <c r="E1906" s="2">
        <v>200</v>
      </c>
    </row>
    <row r="1907" spans="1:5" x14ac:dyDescent="0.35">
      <c r="A1907" t="s">
        <v>4593</v>
      </c>
      <c r="B1907" t="s">
        <v>2590</v>
      </c>
      <c r="C1907" t="s">
        <v>665</v>
      </c>
      <c r="D1907" s="3">
        <v>1</v>
      </c>
      <c r="E1907" s="2">
        <v>700</v>
      </c>
    </row>
    <row r="1908" spans="1:5" x14ac:dyDescent="0.35">
      <c r="A1908" t="s">
        <v>4594</v>
      </c>
      <c r="B1908" t="s">
        <v>2591</v>
      </c>
      <c r="C1908" t="s">
        <v>667</v>
      </c>
      <c r="D1908" s="3">
        <v>2</v>
      </c>
      <c r="E1908" s="2">
        <v>1100</v>
      </c>
    </row>
    <row r="1909" spans="1:5" x14ac:dyDescent="0.35">
      <c r="A1909" t="s">
        <v>4595</v>
      </c>
      <c r="B1909" t="s">
        <v>2592</v>
      </c>
      <c r="C1909" t="s">
        <v>620</v>
      </c>
      <c r="D1909" s="3">
        <v>1</v>
      </c>
      <c r="E1909" s="2">
        <v>50</v>
      </c>
    </row>
    <row r="1910" spans="1:5" x14ac:dyDescent="0.35">
      <c r="A1910" t="s">
        <v>4596</v>
      </c>
      <c r="B1910" t="s">
        <v>2593</v>
      </c>
      <c r="C1910" t="s">
        <v>651</v>
      </c>
      <c r="D1910" s="3">
        <v>1</v>
      </c>
      <c r="E1910" s="2">
        <v>120</v>
      </c>
    </row>
    <row r="1911" spans="1:5" x14ac:dyDescent="0.35">
      <c r="A1911" t="s">
        <v>4597</v>
      </c>
      <c r="B1911" t="s">
        <v>2594</v>
      </c>
      <c r="C1911" t="s">
        <v>649</v>
      </c>
      <c r="D1911" s="3">
        <v>2</v>
      </c>
      <c r="E1911" s="2">
        <v>1600</v>
      </c>
    </row>
    <row r="1912" spans="1:5" x14ac:dyDescent="0.35">
      <c r="A1912" t="s">
        <v>4598</v>
      </c>
      <c r="B1912" t="s">
        <v>2595</v>
      </c>
      <c r="C1912" t="s">
        <v>660</v>
      </c>
      <c r="D1912" s="3">
        <v>1</v>
      </c>
      <c r="E1912" s="2">
        <v>6500</v>
      </c>
    </row>
    <row r="1913" spans="1:5" x14ac:dyDescent="0.35">
      <c r="A1913" t="s">
        <v>4599</v>
      </c>
      <c r="B1913" t="s">
        <v>2596</v>
      </c>
      <c r="C1913" t="s">
        <v>643</v>
      </c>
      <c r="D1913" s="3">
        <v>1</v>
      </c>
      <c r="E1913" s="2">
        <v>2200</v>
      </c>
    </row>
    <row r="1914" spans="1:5" x14ac:dyDescent="0.35">
      <c r="A1914" t="s">
        <v>4600</v>
      </c>
      <c r="B1914" t="s">
        <v>2597</v>
      </c>
      <c r="C1914" t="s">
        <v>651</v>
      </c>
      <c r="D1914" s="3">
        <v>2</v>
      </c>
      <c r="E1914" s="2">
        <v>240</v>
      </c>
    </row>
    <row r="1915" spans="1:5" x14ac:dyDescent="0.35">
      <c r="A1915" t="s">
        <v>4601</v>
      </c>
      <c r="B1915" t="s">
        <v>2598</v>
      </c>
      <c r="C1915" t="s">
        <v>631</v>
      </c>
      <c r="D1915" s="3">
        <v>1</v>
      </c>
      <c r="E1915" s="2">
        <v>900</v>
      </c>
    </row>
    <row r="1916" spans="1:5" x14ac:dyDescent="0.35">
      <c r="A1916" t="s">
        <v>4602</v>
      </c>
      <c r="B1916" t="s">
        <v>2599</v>
      </c>
      <c r="C1916" t="s">
        <v>663</v>
      </c>
      <c r="D1916" s="3">
        <v>1</v>
      </c>
      <c r="E1916" s="2">
        <v>1400</v>
      </c>
    </row>
    <row r="1917" spans="1:5" x14ac:dyDescent="0.35">
      <c r="A1917" t="s">
        <v>4603</v>
      </c>
      <c r="B1917" t="s">
        <v>2600</v>
      </c>
      <c r="C1917" t="s">
        <v>638</v>
      </c>
      <c r="D1917" s="3">
        <v>1</v>
      </c>
      <c r="E1917" s="2">
        <v>150</v>
      </c>
    </row>
    <row r="1918" spans="1:5" x14ac:dyDescent="0.35">
      <c r="A1918" t="s">
        <v>4604</v>
      </c>
      <c r="B1918" t="s">
        <v>2601</v>
      </c>
      <c r="C1918" t="s">
        <v>629</v>
      </c>
      <c r="D1918" s="3">
        <v>1</v>
      </c>
      <c r="E1918" s="2">
        <v>300</v>
      </c>
    </row>
    <row r="1919" spans="1:5" x14ac:dyDescent="0.35">
      <c r="A1919" t="s">
        <v>4605</v>
      </c>
      <c r="B1919" t="s">
        <v>2602</v>
      </c>
      <c r="C1919" t="s">
        <v>663</v>
      </c>
      <c r="D1919" s="3">
        <v>1</v>
      </c>
      <c r="E1919" s="2">
        <v>1400</v>
      </c>
    </row>
    <row r="1920" spans="1:5" x14ac:dyDescent="0.35">
      <c r="A1920" t="s">
        <v>4606</v>
      </c>
      <c r="B1920" t="s">
        <v>2603</v>
      </c>
      <c r="C1920" t="s">
        <v>620</v>
      </c>
      <c r="D1920" s="3">
        <v>1</v>
      </c>
      <c r="E1920" s="2">
        <v>50</v>
      </c>
    </row>
    <row r="1921" spans="1:5" x14ac:dyDescent="0.35">
      <c r="A1921" t="s">
        <v>4607</v>
      </c>
      <c r="B1921" t="s">
        <v>2604</v>
      </c>
      <c r="C1921" t="s">
        <v>631</v>
      </c>
      <c r="D1921" s="3">
        <v>1</v>
      </c>
      <c r="E1921" s="2">
        <v>900</v>
      </c>
    </row>
    <row r="1922" spans="1:5" x14ac:dyDescent="0.35">
      <c r="A1922" t="s">
        <v>4608</v>
      </c>
      <c r="B1922" t="s">
        <v>2605</v>
      </c>
      <c r="C1922" t="s">
        <v>658</v>
      </c>
      <c r="D1922" s="3">
        <v>1</v>
      </c>
      <c r="E1922" s="2">
        <v>750</v>
      </c>
    </row>
    <row r="1923" spans="1:5" x14ac:dyDescent="0.35">
      <c r="A1923" t="s">
        <v>4609</v>
      </c>
      <c r="B1923" t="s">
        <v>2606</v>
      </c>
      <c r="C1923" t="s">
        <v>669</v>
      </c>
      <c r="D1923" s="3">
        <v>2</v>
      </c>
      <c r="E1923" s="2">
        <v>1200</v>
      </c>
    </row>
    <row r="1924" spans="1:5" x14ac:dyDescent="0.35">
      <c r="A1924" t="s">
        <v>4610</v>
      </c>
      <c r="B1924" t="s">
        <v>2607</v>
      </c>
      <c r="C1924" t="s">
        <v>660</v>
      </c>
      <c r="D1924" s="3">
        <v>1</v>
      </c>
      <c r="E1924" s="2">
        <v>6500</v>
      </c>
    </row>
    <row r="1925" spans="1:5" x14ac:dyDescent="0.35">
      <c r="A1925" t="s">
        <v>4611</v>
      </c>
      <c r="B1925" t="s">
        <v>2608</v>
      </c>
      <c r="C1925" t="s">
        <v>638</v>
      </c>
      <c r="D1925" s="3">
        <v>1</v>
      </c>
      <c r="E1925" s="2">
        <v>150</v>
      </c>
    </row>
    <row r="1926" spans="1:5" x14ac:dyDescent="0.35">
      <c r="A1926" t="s">
        <v>4612</v>
      </c>
      <c r="B1926" t="s">
        <v>2609</v>
      </c>
      <c r="C1926" t="s">
        <v>665</v>
      </c>
      <c r="D1926" s="3">
        <v>1</v>
      </c>
      <c r="E1926" s="2">
        <v>700</v>
      </c>
    </row>
    <row r="1927" spans="1:5" x14ac:dyDescent="0.35">
      <c r="A1927" t="s">
        <v>4613</v>
      </c>
      <c r="B1927" t="s">
        <v>2610</v>
      </c>
      <c r="C1927" t="s">
        <v>671</v>
      </c>
      <c r="D1927" s="3">
        <v>1</v>
      </c>
      <c r="E1927" s="2">
        <v>400</v>
      </c>
    </row>
    <row r="1928" spans="1:5" x14ac:dyDescent="0.35">
      <c r="A1928" t="s">
        <v>4614</v>
      </c>
      <c r="B1928" t="s">
        <v>2611</v>
      </c>
      <c r="C1928" t="s">
        <v>631</v>
      </c>
      <c r="D1928" s="3">
        <v>2</v>
      </c>
      <c r="E1928" s="2">
        <v>1800</v>
      </c>
    </row>
    <row r="1929" spans="1:5" x14ac:dyDescent="0.35">
      <c r="A1929" t="s">
        <v>4615</v>
      </c>
      <c r="B1929" t="s">
        <v>2612</v>
      </c>
      <c r="C1929" t="s">
        <v>649</v>
      </c>
      <c r="D1929" s="3">
        <v>1</v>
      </c>
      <c r="E1929" s="2">
        <v>800</v>
      </c>
    </row>
    <row r="1930" spans="1:5" x14ac:dyDescent="0.35">
      <c r="A1930" t="s">
        <v>4616</v>
      </c>
      <c r="B1930" t="s">
        <v>2613</v>
      </c>
      <c r="C1930" t="s">
        <v>671</v>
      </c>
      <c r="D1930" s="3">
        <v>1</v>
      </c>
      <c r="E1930" s="2">
        <v>400</v>
      </c>
    </row>
    <row r="1931" spans="1:5" x14ac:dyDescent="0.35">
      <c r="A1931" t="s">
        <v>4617</v>
      </c>
      <c r="B1931" t="s">
        <v>2614</v>
      </c>
      <c r="C1931" t="s">
        <v>647</v>
      </c>
      <c r="D1931" s="3">
        <v>1</v>
      </c>
      <c r="E1931" s="2">
        <v>4200</v>
      </c>
    </row>
    <row r="1932" spans="1:5" x14ac:dyDescent="0.35">
      <c r="A1932" t="s">
        <v>4618</v>
      </c>
      <c r="B1932" t="s">
        <v>2615</v>
      </c>
      <c r="C1932" t="s">
        <v>643</v>
      </c>
      <c r="D1932" s="3">
        <v>1</v>
      </c>
      <c r="E1932" s="2">
        <v>2200</v>
      </c>
    </row>
    <row r="1933" spans="1:5" x14ac:dyDescent="0.35">
      <c r="A1933" t="s">
        <v>4619</v>
      </c>
      <c r="B1933" t="s">
        <v>2616</v>
      </c>
      <c r="C1933" t="s">
        <v>645</v>
      </c>
      <c r="D1933" s="3">
        <v>1</v>
      </c>
      <c r="E1933" s="2">
        <v>3500</v>
      </c>
    </row>
    <row r="1934" spans="1:5" x14ac:dyDescent="0.35">
      <c r="A1934" t="s">
        <v>4620</v>
      </c>
      <c r="B1934" t="s">
        <v>2617</v>
      </c>
      <c r="C1934" t="s">
        <v>660</v>
      </c>
      <c r="D1934" s="3">
        <v>1</v>
      </c>
      <c r="E1934" s="2">
        <v>6500</v>
      </c>
    </row>
    <row r="1935" spans="1:5" x14ac:dyDescent="0.35">
      <c r="A1935" t="s">
        <v>4621</v>
      </c>
      <c r="B1935" t="s">
        <v>2618</v>
      </c>
      <c r="C1935" t="s">
        <v>660</v>
      </c>
      <c r="D1935" s="3">
        <v>1</v>
      </c>
      <c r="E1935" s="2">
        <v>6500</v>
      </c>
    </row>
    <row r="1936" spans="1:5" x14ac:dyDescent="0.35">
      <c r="A1936" t="s">
        <v>4622</v>
      </c>
      <c r="B1936" t="s">
        <v>2619</v>
      </c>
      <c r="C1936" t="s">
        <v>665</v>
      </c>
      <c r="D1936" s="3">
        <v>1</v>
      </c>
      <c r="E1936" s="2">
        <v>700</v>
      </c>
    </row>
    <row r="1937" spans="1:5" x14ac:dyDescent="0.35">
      <c r="A1937" t="s">
        <v>4623</v>
      </c>
      <c r="B1937" t="s">
        <v>2620</v>
      </c>
      <c r="C1937" t="s">
        <v>660</v>
      </c>
      <c r="D1937" s="3">
        <v>1</v>
      </c>
      <c r="E1937" s="2">
        <v>6500</v>
      </c>
    </row>
    <row r="1938" spans="1:5" x14ac:dyDescent="0.35">
      <c r="A1938" t="s">
        <v>4624</v>
      </c>
      <c r="B1938" t="s">
        <v>2621</v>
      </c>
      <c r="C1938" t="s">
        <v>671</v>
      </c>
      <c r="D1938" s="3">
        <v>1</v>
      </c>
      <c r="E1938" s="2">
        <v>400</v>
      </c>
    </row>
    <row r="1939" spans="1:5" x14ac:dyDescent="0.35">
      <c r="A1939" t="s">
        <v>4625</v>
      </c>
      <c r="B1939" t="s">
        <v>2622</v>
      </c>
      <c r="C1939" t="s">
        <v>647</v>
      </c>
      <c r="D1939" s="3">
        <v>2</v>
      </c>
      <c r="E1939" s="2">
        <v>8400</v>
      </c>
    </row>
    <row r="1940" spans="1:5" x14ac:dyDescent="0.35">
      <c r="A1940" t="s">
        <v>4626</v>
      </c>
      <c r="B1940" t="s">
        <v>2623</v>
      </c>
      <c r="C1940" t="s">
        <v>649</v>
      </c>
      <c r="D1940" s="3">
        <v>1</v>
      </c>
      <c r="E1940" s="2">
        <v>800</v>
      </c>
    </row>
    <row r="1941" spans="1:5" x14ac:dyDescent="0.35">
      <c r="A1941" t="s">
        <v>4627</v>
      </c>
      <c r="B1941" t="s">
        <v>2624</v>
      </c>
      <c r="C1941" t="s">
        <v>671</v>
      </c>
      <c r="D1941" s="3">
        <v>1</v>
      </c>
      <c r="E1941" s="2">
        <v>400</v>
      </c>
    </row>
    <row r="1942" spans="1:5" x14ac:dyDescent="0.35">
      <c r="A1942" t="s">
        <v>4628</v>
      </c>
      <c r="B1942" t="s">
        <v>2625</v>
      </c>
      <c r="C1942" t="s">
        <v>658</v>
      </c>
      <c r="D1942" s="3">
        <v>2</v>
      </c>
      <c r="E1942" s="2">
        <v>1500</v>
      </c>
    </row>
    <row r="1943" spans="1:5" x14ac:dyDescent="0.35">
      <c r="A1943" t="s">
        <v>4629</v>
      </c>
      <c r="B1943" t="s">
        <v>2626</v>
      </c>
      <c r="C1943" t="s">
        <v>645</v>
      </c>
      <c r="D1943" s="3">
        <v>1</v>
      </c>
      <c r="E1943" s="2">
        <v>3500</v>
      </c>
    </row>
    <row r="1944" spans="1:5" x14ac:dyDescent="0.35">
      <c r="A1944" t="s">
        <v>4630</v>
      </c>
      <c r="B1944" t="s">
        <v>2627</v>
      </c>
      <c r="C1944" t="s">
        <v>626</v>
      </c>
      <c r="D1944" s="3">
        <v>1</v>
      </c>
      <c r="E1944" s="2">
        <v>5000</v>
      </c>
    </row>
    <row r="1945" spans="1:5" x14ac:dyDescent="0.35">
      <c r="A1945" t="s">
        <v>4631</v>
      </c>
      <c r="B1945" t="s">
        <v>2628</v>
      </c>
      <c r="C1945" t="s">
        <v>641</v>
      </c>
      <c r="D1945" s="3">
        <v>1</v>
      </c>
      <c r="E1945" s="2">
        <v>1800</v>
      </c>
    </row>
    <row r="1946" spans="1:5" x14ac:dyDescent="0.35">
      <c r="A1946" t="s">
        <v>4632</v>
      </c>
      <c r="B1946" t="s">
        <v>2629</v>
      </c>
      <c r="C1946" t="s">
        <v>656</v>
      </c>
      <c r="D1946" s="3">
        <v>2</v>
      </c>
      <c r="E1946" s="2">
        <v>700</v>
      </c>
    </row>
    <row r="1947" spans="1:5" x14ac:dyDescent="0.35">
      <c r="A1947" t="s">
        <v>4633</v>
      </c>
      <c r="B1947" t="s">
        <v>2630</v>
      </c>
      <c r="C1947" t="s">
        <v>626</v>
      </c>
      <c r="D1947" s="3">
        <v>1</v>
      </c>
      <c r="E1947" s="2">
        <v>5000</v>
      </c>
    </row>
    <row r="1948" spans="1:5" x14ac:dyDescent="0.35">
      <c r="A1948" t="s">
        <v>4634</v>
      </c>
      <c r="B1948" t="s">
        <v>2631</v>
      </c>
      <c r="C1948" t="s">
        <v>645</v>
      </c>
      <c r="D1948" s="3">
        <v>1</v>
      </c>
      <c r="E1948" s="2">
        <v>3500</v>
      </c>
    </row>
    <row r="1949" spans="1:5" x14ac:dyDescent="0.35">
      <c r="A1949" t="s">
        <v>4635</v>
      </c>
      <c r="B1949" t="s">
        <v>2632</v>
      </c>
      <c r="C1949" t="s">
        <v>647</v>
      </c>
      <c r="D1949" s="3">
        <v>1</v>
      </c>
      <c r="E1949" s="2">
        <v>4200</v>
      </c>
    </row>
    <row r="1950" spans="1:5" x14ac:dyDescent="0.35">
      <c r="A1950" t="s">
        <v>4636</v>
      </c>
      <c r="B1950" t="s">
        <v>2633</v>
      </c>
      <c r="C1950" t="s">
        <v>626</v>
      </c>
      <c r="D1950" s="3">
        <v>1</v>
      </c>
      <c r="E1950" s="2">
        <v>5000</v>
      </c>
    </row>
    <row r="1951" spans="1:5" x14ac:dyDescent="0.35">
      <c r="A1951" t="s">
        <v>4637</v>
      </c>
      <c r="B1951" t="s">
        <v>2634</v>
      </c>
      <c r="C1951" t="s">
        <v>641</v>
      </c>
      <c r="D1951" s="3">
        <v>1</v>
      </c>
      <c r="E1951" s="2">
        <v>1800</v>
      </c>
    </row>
    <row r="1952" spans="1:5" x14ac:dyDescent="0.35">
      <c r="A1952" t="s">
        <v>4638</v>
      </c>
      <c r="B1952" t="s">
        <v>2635</v>
      </c>
      <c r="C1952" t="s">
        <v>673</v>
      </c>
      <c r="D1952" s="3">
        <v>1</v>
      </c>
      <c r="E1952" s="2">
        <v>300</v>
      </c>
    </row>
    <row r="1953" spans="1:5" x14ac:dyDescent="0.35">
      <c r="A1953" t="s">
        <v>4639</v>
      </c>
      <c r="B1953" t="s">
        <v>2636</v>
      </c>
      <c r="C1953" t="s">
        <v>623</v>
      </c>
      <c r="D1953" s="3">
        <v>1</v>
      </c>
      <c r="E1953" s="2">
        <v>1200</v>
      </c>
    </row>
    <row r="1954" spans="1:5" x14ac:dyDescent="0.35">
      <c r="A1954" t="s">
        <v>4640</v>
      </c>
      <c r="B1954" t="s">
        <v>2637</v>
      </c>
      <c r="C1954" t="s">
        <v>651</v>
      </c>
      <c r="D1954" s="3">
        <v>1</v>
      </c>
      <c r="E1954" s="2">
        <v>120</v>
      </c>
    </row>
    <row r="1955" spans="1:5" x14ac:dyDescent="0.35">
      <c r="A1955" t="s">
        <v>4641</v>
      </c>
      <c r="B1955" t="s">
        <v>2638</v>
      </c>
      <c r="C1955" t="s">
        <v>620</v>
      </c>
      <c r="D1955" s="3">
        <v>1</v>
      </c>
      <c r="E1955" s="2">
        <v>50</v>
      </c>
    </row>
    <row r="1956" spans="1:5" x14ac:dyDescent="0.35">
      <c r="A1956" t="s">
        <v>4642</v>
      </c>
      <c r="B1956" t="s">
        <v>2639</v>
      </c>
      <c r="C1956" t="s">
        <v>673</v>
      </c>
      <c r="D1956" s="3">
        <v>3</v>
      </c>
      <c r="E1956" s="2">
        <v>900</v>
      </c>
    </row>
    <row r="1957" spans="1:5" x14ac:dyDescent="0.35">
      <c r="A1957" t="s">
        <v>4643</v>
      </c>
      <c r="B1957" t="s">
        <v>2640</v>
      </c>
      <c r="C1957" t="s">
        <v>673</v>
      </c>
      <c r="D1957" s="3">
        <v>1</v>
      </c>
      <c r="E1957" s="2">
        <v>300</v>
      </c>
    </row>
    <row r="1958" spans="1:5" x14ac:dyDescent="0.35">
      <c r="A1958" t="s">
        <v>4644</v>
      </c>
      <c r="B1958" t="s">
        <v>2641</v>
      </c>
      <c r="C1958" t="s">
        <v>656</v>
      </c>
      <c r="D1958" s="3">
        <v>1</v>
      </c>
      <c r="E1958" s="2">
        <v>350</v>
      </c>
    </row>
    <row r="1959" spans="1:5" x14ac:dyDescent="0.35">
      <c r="A1959" t="s">
        <v>4645</v>
      </c>
      <c r="B1959" t="s">
        <v>2642</v>
      </c>
      <c r="C1959" t="s">
        <v>631</v>
      </c>
      <c r="D1959" s="3">
        <v>1</v>
      </c>
      <c r="E1959" s="2">
        <v>900</v>
      </c>
    </row>
    <row r="1960" spans="1:5" x14ac:dyDescent="0.35">
      <c r="A1960" t="s">
        <v>4646</v>
      </c>
      <c r="B1960" t="s">
        <v>2643</v>
      </c>
      <c r="C1960" t="s">
        <v>635</v>
      </c>
      <c r="D1960" s="3">
        <v>1</v>
      </c>
      <c r="E1960" s="2">
        <v>180</v>
      </c>
    </row>
    <row r="1961" spans="1:5" x14ac:dyDescent="0.35">
      <c r="A1961" t="s">
        <v>4647</v>
      </c>
      <c r="B1961" t="s">
        <v>2644</v>
      </c>
      <c r="C1961" t="s">
        <v>623</v>
      </c>
      <c r="D1961" s="3">
        <v>1</v>
      </c>
      <c r="E1961" s="2">
        <v>1200</v>
      </c>
    </row>
    <row r="1962" spans="1:5" x14ac:dyDescent="0.35">
      <c r="A1962" t="s">
        <v>4648</v>
      </c>
      <c r="B1962" t="s">
        <v>2645</v>
      </c>
      <c r="C1962" t="s">
        <v>673</v>
      </c>
      <c r="D1962" s="3">
        <v>1</v>
      </c>
      <c r="E1962" s="2">
        <v>300</v>
      </c>
    </row>
    <row r="1963" spans="1:5" x14ac:dyDescent="0.35">
      <c r="A1963" t="s">
        <v>4649</v>
      </c>
      <c r="B1963" t="s">
        <v>2646</v>
      </c>
      <c r="C1963" t="s">
        <v>658</v>
      </c>
      <c r="D1963" s="3">
        <v>2</v>
      </c>
      <c r="E1963" s="2">
        <v>1500</v>
      </c>
    </row>
    <row r="1964" spans="1:5" x14ac:dyDescent="0.35">
      <c r="A1964" t="s">
        <v>4650</v>
      </c>
      <c r="B1964" t="s">
        <v>2647</v>
      </c>
      <c r="C1964" t="s">
        <v>667</v>
      </c>
      <c r="D1964" s="3">
        <v>1</v>
      </c>
      <c r="E1964" s="2">
        <v>550</v>
      </c>
    </row>
    <row r="1965" spans="1:5" x14ac:dyDescent="0.35">
      <c r="A1965" t="s">
        <v>4651</v>
      </c>
      <c r="B1965" t="s">
        <v>2648</v>
      </c>
      <c r="C1965" t="s">
        <v>617</v>
      </c>
      <c r="D1965" s="3">
        <v>1</v>
      </c>
      <c r="E1965" s="2">
        <v>200</v>
      </c>
    </row>
    <row r="1966" spans="1:5" x14ac:dyDescent="0.35">
      <c r="A1966" t="s">
        <v>4652</v>
      </c>
      <c r="B1966" t="s">
        <v>2649</v>
      </c>
      <c r="C1966" t="s">
        <v>654</v>
      </c>
      <c r="D1966" s="3">
        <v>1</v>
      </c>
      <c r="E1966" s="2">
        <v>100</v>
      </c>
    </row>
    <row r="1967" spans="1:5" x14ac:dyDescent="0.35">
      <c r="A1967" t="s">
        <v>4653</v>
      </c>
      <c r="B1967" t="s">
        <v>2650</v>
      </c>
      <c r="C1967" t="s">
        <v>633</v>
      </c>
      <c r="D1967" s="3">
        <v>2</v>
      </c>
      <c r="E1967" s="2">
        <v>900</v>
      </c>
    </row>
    <row r="1968" spans="1:5" x14ac:dyDescent="0.35">
      <c r="A1968" t="s">
        <v>4654</v>
      </c>
      <c r="B1968" t="s">
        <v>2651</v>
      </c>
      <c r="C1968" t="s">
        <v>623</v>
      </c>
      <c r="D1968" s="3">
        <v>1</v>
      </c>
      <c r="E1968" s="2">
        <v>1200</v>
      </c>
    </row>
    <row r="1969" spans="1:5" x14ac:dyDescent="0.35">
      <c r="A1969" t="s">
        <v>4655</v>
      </c>
      <c r="B1969" t="s">
        <v>2652</v>
      </c>
      <c r="C1969" t="s">
        <v>669</v>
      </c>
      <c r="D1969" s="3">
        <v>1</v>
      </c>
      <c r="E1969" s="2">
        <v>600</v>
      </c>
    </row>
    <row r="1970" spans="1:5" x14ac:dyDescent="0.35">
      <c r="A1970" t="s">
        <v>4656</v>
      </c>
      <c r="B1970" t="s">
        <v>2653</v>
      </c>
      <c r="C1970" t="s">
        <v>626</v>
      </c>
      <c r="D1970" s="3">
        <v>1</v>
      </c>
      <c r="E1970" s="2">
        <v>5000</v>
      </c>
    </row>
    <row r="1971" spans="1:5" x14ac:dyDescent="0.35">
      <c r="A1971" t="s">
        <v>4657</v>
      </c>
      <c r="B1971" t="s">
        <v>2654</v>
      </c>
      <c r="C1971" t="s">
        <v>638</v>
      </c>
      <c r="D1971" s="3">
        <v>1</v>
      </c>
      <c r="E1971" s="2">
        <v>150</v>
      </c>
    </row>
    <row r="1972" spans="1:5" x14ac:dyDescent="0.35">
      <c r="A1972" t="s">
        <v>4658</v>
      </c>
      <c r="B1972" t="s">
        <v>2655</v>
      </c>
      <c r="C1972" t="s">
        <v>629</v>
      </c>
      <c r="D1972" s="3">
        <v>2</v>
      </c>
      <c r="E1972" s="2">
        <v>600</v>
      </c>
    </row>
    <row r="1973" spans="1:5" x14ac:dyDescent="0.35">
      <c r="A1973" t="s">
        <v>4659</v>
      </c>
      <c r="B1973" t="s">
        <v>2656</v>
      </c>
      <c r="C1973" t="s">
        <v>660</v>
      </c>
      <c r="D1973" s="3">
        <v>1</v>
      </c>
      <c r="E1973" s="2">
        <v>6500</v>
      </c>
    </row>
    <row r="1974" spans="1:5" x14ac:dyDescent="0.35">
      <c r="A1974" t="s">
        <v>4660</v>
      </c>
      <c r="B1974" t="s">
        <v>2657</v>
      </c>
      <c r="C1974" t="s">
        <v>651</v>
      </c>
      <c r="D1974" s="3">
        <v>1</v>
      </c>
      <c r="E1974" s="2">
        <v>120</v>
      </c>
    </row>
    <row r="1975" spans="1:5" x14ac:dyDescent="0.35">
      <c r="A1975" t="s">
        <v>4661</v>
      </c>
      <c r="B1975" t="s">
        <v>2658</v>
      </c>
      <c r="C1975" t="s">
        <v>635</v>
      </c>
      <c r="D1975" s="3">
        <v>1</v>
      </c>
      <c r="E1975" s="2">
        <v>180</v>
      </c>
    </row>
    <row r="1976" spans="1:5" x14ac:dyDescent="0.35">
      <c r="A1976" t="s">
        <v>4662</v>
      </c>
      <c r="B1976" t="s">
        <v>2659</v>
      </c>
      <c r="C1976" t="s">
        <v>631</v>
      </c>
      <c r="D1976" s="3">
        <v>1</v>
      </c>
      <c r="E1976" s="2">
        <v>900</v>
      </c>
    </row>
    <row r="1977" spans="1:5" x14ac:dyDescent="0.35">
      <c r="A1977" t="s">
        <v>4663</v>
      </c>
      <c r="B1977" t="s">
        <v>2660</v>
      </c>
      <c r="C1977" t="s">
        <v>658</v>
      </c>
      <c r="D1977" s="3">
        <v>1</v>
      </c>
      <c r="E1977" s="2">
        <v>750</v>
      </c>
    </row>
    <row r="1978" spans="1:5" x14ac:dyDescent="0.35">
      <c r="A1978" t="s">
        <v>4664</v>
      </c>
      <c r="B1978" t="s">
        <v>2661</v>
      </c>
      <c r="C1978" t="s">
        <v>660</v>
      </c>
      <c r="D1978" s="3">
        <v>1</v>
      </c>
      <c r="E1978" s="2">
        <v>6500</v>
      </c>
    </row>
    <row r="1979" spans="1:5" x14ac:dyDescent="0.35">
      <c r="A1979" t="s">
        <v>4665</v>
      </c>
      <c r="B1979" t="s">
        <v>2662</v>
      </c>
      <c r="C1979" t="s">
        <v>671</v>
      </c>
      <c r="D1979" s="3">
        <v>1</v>
      </c>
      <c r="E1979" s="2">
        <v>400</v>
      </c>
    </row>
    <row r="1980" spans="1:5" x14ac:dyDescent="0.35">
      <c r="A1980" t="s">
        <v>4666</v>
      </c>
      <c r="B1980" t="s">
        <v>2663</v>
      </c>
      <c r="C1980" t="s">
        <v>651</v>
      </c>
      <c r="D1980" s="3">
        <v>2</v>
      </c>
      <c r="E1980" s="2">
        <v>240</v>
      </c>
    </row>
    <row r="1981" spans="1:5" x14ac:dyDescent="0.35">
      <c r="A1981" t="s">
        <v>4667</v>
      </c>
      <c r="B1981" t="s">
        <v>2664</v>
      </c>
      <c r="C1981" t="s">
        <v>633</v>
      </c>
      <c r="D1981" s="3">
        <v>1</v>
      </c>
      <c r="E1981" s="2">
        <v>450</v>
      </c>
    </row>
    <row r="1982" spans="1:5" x14ac:dyDescent="0.35">
      <c r="A1982" t="s">
        <v>4668</v>
      </c>
      <c r="B1982" t="s">
        <v>2665</v>
      </c>
      <c r="C1982" t="s">
        <v>641</v>
      </c>
      <c r="D1982" s="3">
        <v>1</v>
      </c>
      <c r="E1982" s="2">
        <v>1800</v>
      </c>
    </row>
    <row r="1983" spans="1:5" x14ac:dyDescent="0.35">
      <c r="A1983" t="s">
        <v>4669</v>
      </c>
      <c r="B1983" t="s">
        <v>2666</v>
      </c>
      <c r="C1983" t="s">
        <v>631</v>
      </c>
      <c r="D1983" s="3">
        <v>1</v>
      </c>
      <c r="E1983" s="2">
        <v>900</v>
      </c>
    </row>
    <row r="1984" spans="1:5" x14ac:dyDescent="0.35">
      <c r="A1984" t="s">
        <v>4670</v>
      </c>
      <c r="B1984" t="s">
        <v>2667</v>
      </c>
      <c r="C1984" t="s">
        <v>649</v>
      </c>
      <c r="D1984" s="3">
        <v>2</v>
      </c>
      <c r="E1984" s="2">
        <v>1600</v>
      </c>
    </row>
    <row r="1985" spans="1:5" x14ac:dyDescent="0.35">
      <c r="A1985" t="s">
        <v>4671</v>
      </c>
      <c r="B1985" t="s">
        <v>2668</v>
      </c>
      <c r="C1985" t="s">
        <v>656</v>
      </c>
      <c r="D1985" s="3">
        <v>1</v>
      </c>
      <c r="E1985" s="2">
        <v>350</v>
      </c>
    </row>
    <row r="1986" spans="1:5" x14ac:dyDescent="0.35">
      <c r="A1986" t="s">
        <v>4672</v>
      </c>
      <c r="B1986" t="s">
        <v>2669</v>
      </c>
      <c r="C1986" t="s">
        <v>638</v>
      </c>
      <c r="D1986" s="3">
        <v>1</v>
      </c>
      <c r="E1986" s="2">
        <v>150</v>
      </c>
    </row>
    <row r="1987" spans="1:5" x14ac:dyDescent="0.35">
      <c r="A1987" t="s">
        <v>4673</v>
      </c>
      <c r="B1987" t="s">
        <v>2670</v>
      </c>
      <c r="C1987" t="s">
        <v>660</v>
      </c>
      <c r="D1987" s="3">
        <v>1</v>
      </c>
      <c r="E1987" s="2">
        <v>6500</v>
      </c>
    </row>
    <row r="1988" spans="1:5" x14ac:dyDescent="0.35">
      <c r="A1988" t="s">
        <v>4674</v>
      </c>
      <c r="B1988" t="s">
        <v>2671</v>
      </c>
      <c r="C1988" t="s">
        <v>629</v>
      </c>
      <c r="D1988" s="3">
        <v>1</v>
      </c>
      <c r="E1988" s="2">
        <v>300</v>
      </c>
    </row>
    <row r="1989" spans="1:5" x14ac:dyDescent="0.35">
      <c r="A1989" t="s">
        <v>4675</v>
      </c>
      <c r="B1989" t="s">
        <v>2672</v>
      </c>
      <c r="C1989" t="s">
        <v>669</v>
      </c>
      <c r="D1989" s="3">
        <v>1</v>
      </c>
      <c r="E1989" s="2">
        <v>600</v>
      </c>
    </row>
    <row r="1990" spans="1:5" x14ac:dyDescent="0.35">
      <c r="A1990" t="s">
        <v>4676</v>
      </c>
      <c r="B1990" t="s">
        <v>2673</v>
      </c>
      <c r="C1990" t="s">
        <v>633</v>
      </c>
      <c r="D1990" s="3">
        <v>1</v>
      </c>
      <c r="E1990" s="2">
        <v>450</v>
      </c>
    </row>
    <row r="1991" spans="1:5" x14ac:dyDescent="0.35">
      <c r="A1991" t="s">
        <v>4677</v>
      </c>
      <c r="B1991" t="s">
        <v>2674</v>
      </c>
      <c r="C1991" t="s">
        <v>660</v>
      </c>
      <c r="D1991" s="3">
        <v>1</v>
      </c>
      <c r="E1991" s="2">
        <v>6500</v>
      </c>
    </row>
    <row r="1992" spans="1:5" x14ac:dyDescent="0.35">
      <c r="A1992" t="s">
        <v>4678</v>
      </c>
      <c r="B1992" t="s">
        <v>2675</v>
      </c>
      <c r="C1992" t="s">
        <v>663</v>
      </c>
      <c r="D1992" s="3">
        <v>1</v>
      </c>
      <c r="E1992" s="2">
        <v>1400</v>
      </c>
    </row>
    <row r="1993" spans="1:5" x14ac:dyDescent="0.35">
      <c r="A1993" t="s">
        <v>4679</v>
      </c>
      <c r="B1993" t="s">
        <v>2676</v>
      </c>
      <c r="C1993" t="s">
        <v>633</v>
      </c>
      <c r="D1993" s="3">
        <v>1</v>
      </c>
      <c r="E1993" s="2">
        <v>450</v>
      </c>
    </row>
    <row r="1994" spans="1:5" x14ac:dyDescent="0.35">
      <c r="A1994" t="s">
        <v>4680</v>
      </c>
      <c r="B1994" t="s">
        <v>2677</v>
      </c>
      <c r="C1994" t="s">
        <v>671</v>
      </c>
      <c r="D1994" s="3">
        <v>1</v>
      </c>
      <c r="E1994" s="2">
        <v>400</v>
      </c>
    </row>
    <row r="1995" spans="1:5" x14ac:dyDescent="0.35">
      <c r="A1995" t="s">
        <v>4681</v>
      </c>
      <c r="B1995" t="s">
        <v>2678</v>
      </c>
      <c r="C1995" t="s">
        <v>620</v>
      </c>
      <c r="D1995" s="3">
        <v>1</v>
      </c>
      <c r="E1995" s="2">
        <v>50</v>
      </c>
    </row>
    <row r="1996" spans="1:5" x14ac:dyDescent="0.35">
      <c r="A1996" t="s">
        <v>4682</v>
      </c>
      <c r="B1996" t="s">
        <v>2679</v>
      </c>
      <c r="C1996" t="s">
        <v>673</v>
      </c>
      <c r="D1996" s="3">
        <v>1</v>
      </c>
      <c r="E1996" s="2">
        <v>300</v>
      </c>
    </row>
    <row r="1997" spans="1:5" x14ac:dyDescent="0.35">
      <c r="A1997" t="s">
        <v>4683</v>
      </c>
      <c r="B1997" t="s">
        <v>2680</v>
      </c>
      <c r="C1997" t="s">
        <v>669</v>
      </c>
      <c r="D1997" s="3">
        <v>1</v>
      </c>
      <c r="E1997" s="2">
        <v>600</v>
      </c>
    </row>
    <row r="1998" spans="1:5" x14ac:dyDescent="0.35">
      <c r="A1998" t="s">
        <v>4684</v>
      </c>
      <c r="B1998" t="s">
        <v>2681</v>
      </c>
      <c r="C1998" t="s">
        <v>654</v>
      </c>
      <c r="D1998" s="3">
        <v>1</v>
      </c>
      <c r="E1998" s="2">
        <v>100</v>
      </c>
    </row>
    <row r="1999" spans="1:5" x14ac:dyDescent="0.35">
      <c r="A1999" t="s">
        <v>4685</v>
      </c>
      <c r="B1999" t="s">
        <v>2682</v>
      </c>
      <c r="C1999" t="s">
        <v>647</v>
      </c>
      <c r="D1999" s="3">
        <v>1</v>
      </c>
      <c r="E1999" s="2">
        <v>4200</v>
      </c>
    </row>
    <row r="2000" spans="1:5" x14ac:dyDescent="0.35">
      <c r="A2000" t="s">
        <v>4686</v>
      </c>
      <c r="B2000" t="s">
        <v>2683</v>
      </c>
      <c r="C2000" t="s">
        <v>635</v>
      </c>
      <c r="D2000" s="3">
        <v>1</v>
      </c>
      <c r="E2000" s="2">
        <v>180</v>
      </c>
    </row>
    <row r="2001" spans="1:5" x14ac:dyDescent="0.35">
      <c r="A2001" t="s">
        <v>4687</v>
      </c>
      <c r="B2001" t="s">
        <v>2684</v>
      </c>
      <c r="C2001" t="s">
        <v>631</v>
      </c>
      <c r="D2001" s="3">
        <v>1</v>
      </c>
      <c r="E2001" s="2">
        <v>900</v>
      </c>
    </row>
  </sheetData>
  <conditionalFormatting sqref="A2">
    <cfRule type="duplicateValues" dxfId="10" priority="2"/>
  </conditionalFormatting>
  <conditionalFormatting sqref="A2:A2001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613A-3768-4A06-8BE7-2F0E23D1C4B9}">
  <dimension ref="A1:F1487"/>
  <sheetViews>
    <sheetView workbookViewId="0">
      <selection activeCell="C11" sqref="C11"/>
    </sheetView>
  </sheetViews>
  <sheetFormatPr defaultRowHeight="14.5" x14ac:dyDescent="0.35"/>
  <cols>
    <col min="1" max="1" width="12.90625" bestFit="1" customWidth="1"/>
    <col min="2" max="2" width="10.26953125" bestFit="1" customWidth="1"/>
    <col min="3" max="3" width="15" bestFit="1" customWidth="1"/>
    <col min="4" max="4" width="14.08984375" style="2" bestFit="1" customWidth="1"/>
    <col min="5" max="5" width="17.81640625" bestFit="1" customWidth="1"/>
    <col min="6" max="6" width="21.54296875" style="2" bestFit="1" customWidth="1"/>
  </cols>
  <sheetData>
    <row r="1" spans="1:6" x14ac:dyDescent="0.35">
      <c r="A1" t="s">
        <v>4688</v>
      </c>
      <c r="B1" t="s">
        <v>675</v>
      </c>
      <c r="C1" t="s">
        <v>4689</v>
      </c>
      <c r="D1" s="2" t="s">
        <v>4690</v>
      </c>
      <c r="E1" t="s">
        <v>4691</v>
      </c>
      <c r="F1" s="2" t="s">
        <v>4692</v>
      </c>
    </row>
    <row r="2" spans="1:6" x14ac:dyDescent="0.35">
      <c r="A2" t="s">
        <v>4693</v>
      </c>
      <c r="B2" t="s">
        <v>682</v>
      </c>
      <c r="C2" s="1">
        <v>44977</v>
      </c>
      <c r="D2" s="2">
        <v>805.95</v>
      </c>
      <c r="E2" t="s">
        <v>4694</v>
      </c>
      <c r="F2" s="2">
        <v>335.98</v>
      </c>
    </row>
    <row r="3" spans="1:6" x14ac:dyDescent="0.35">
      <c r="A3" t="s">
        <v>4695</v>
      </c>
      <c r="B3" t="s">
        <v>684</v>
      </c>
      <c r="C3" s="1">
        <v>45596</v>
      </c>
      <c r="D3" s="2">
        <v>73.44</v>
      </c>
      <c r="E3" t="s">
        <v>4694</v>
      </c>
      <c r="F3" s="2">
        <v>37.97</v>
      </c>
    </row>
    <row r="4" spans="1:6" x14ac:dyDescent="0.35">
      <c r="A4" t="s">
        <v>4696</v>
      </c>
      <c r="B4" t="s">
        <v>685</v>
      </c>
      <c r="C4" s="1">
        <v>45378</v>
      </c>
      <c r="D4" s="2">
        <v>379.35</v>
      </c>
      <c r="E4" t="s">
        <v>4697</v>
      </c>
      <c r="F4" s="2">
        <v>224.56</v>
      </c>
    </row>
    <row r="5" spans="1:6" x14ac:dyDescent="0.35">
      <c r="A5" t="s">
        <v>4698</v>
      </c>
      <c r="B5" t="s">
        <v>690</v>
      </c>
      <c r="C5" s="1">
        <v>44981</v>
      </c>
      <c r="D5" s="2">
        <v>137.78</v>
      </c>
      <c r="E5" t="s">
        <v>4694</v>
      </c>
      <c r="F5" s="2">
        <v>45.11</v>
      </c>
    </row>
    <row r="6" spans="1:6" x14ac:dyDescent="0.35">
      <c r="A6" t="s">
        <v>4699</v>
      </c>
      <c r="B6" t="s">
        <v>691</v>
      </c>
      <c r="C6" s="1">
        <v>45560</v>
      </c>
      <c r="D6" s="2">
        <v>1915.49</v>
      </c>
      <c r="E6" t="s">
        <v>4694</v>
      </c>
      <c r="F6" s="2">
        <v>792.99</v>
      </c>
    </row>
    <row r="7" spans="1:6" x14ac:dyDescent="0.35">
      <c r="A7" t="s">
        <v>4700</v>
      </c>
      <c r="B7" t="s">
        <v>692</v>
      </c>
      <c r="C7" s="1">
        <v>45030</v>
      </c>
      <c r="D7" s="2">
        <v>93.75</v>
      </c>
      <c r="E7" t="s">
        <v>4697</v>
      </c>
      <c r="F7" s="2">
        <v>4.82</v>
      </c>
    </row>
    <row r="8" spans="1:6" x14ac:dyDescent="0.35">
      <c r="A8" t="s">
        <v>4701</v>
      </c>
      <c r="B8" t="s">
        <v>693</v>
      </c>
      <c r="C8" s="1">
        <v>45162</v>
      </c>
      <c r="D8" s="2">
        <v>1562.08</v>
      </c>
      <c r="E8" t="s">
        <v>4694</v>
      </c>
      <c r="F8" s="2">
        <v>140.81</v>
      </c>
    </row>
    <row r="9" spans="1:6" x14ac:dyDescent="0.35">
      <c r="A9" t="s">
        <v>4702</v>
      </c>
      <c r="B9" t="s">
        <v>694</v>
      </c>
      <c r="C9" s="1">
        <v>45065</v>
      </c>
      <c r="D9" s="2">
        <v>322.79000000000002</v>
      </c>
      <c r="E9" t="s">
        <v>4694</v>
      </c>
      <c r="F9" s="2">
        <v>29.24</v>
      </c>
    </row>
    <row r="10" spans="1:6" x14ac:dyDescent="0.35">
      <c r="A10" t="s">
        <v>4703</v>
      </c>
      <c r="B10" t="s">
        <v>697</v>
      </c>
      <c r="C10" s="1">
        <v>45595</v>
      </c>
      <c r="D10" s="2">
        <v>385.15</v>
      </c>
      <c r="E10" t="s">
        <v>4694</v>
      </c>
      <c r="F10" s="2">
        <v>95.16</v>
      </c>
    </row>
    <row r="11" spans="1:6" x14ac:dyDescent="0.35">
      <c r="A11" t="s">
        <v>4704</v>
      </c>
      <c r="B11" t="s">
        <v>699</v>
      </c>
      <c r="C11" s="1">
        <v>45087</v>
      </c>
      <c r="D11" s="2">
        <v>41.69</v>
      </c>
      <c r="E11" t="s">
        <v>4694</v>
      </c>
      <c r="F11" s="2">
        <v>19.89</v>
      </c>
    </row>
    <row r="12" spans="1:6" x14ac:dyDescent="0.35">
      <c r="A12" t="s">
        <v>4705</v>
      </c>
      <c r="B12" t="s">
        <v>700</v>
      </c>
      <c r="C12" s="1">
        <v>44986</v>
      </c>
      <c r="D12" s="2">
        <v>656.53</v>
      </c>
      <c r="E12" t="s">
        <v>4694</v>
      </c>
      <c r="F12" s="2">
        <v>286.83</v>
      </c>
    </row>
    <row r="13" spans="1:6" x14ac:dyDescent="0.35">
      <c r="A13" t="s">
        <v>4706</v>
      </c>
      <c r="B13" t="s">
        <v>701</v>
      </c>
      <c r="C13" s="1">
        <v>45497</v>
      </c>
      <c r="D13" s="2">
        <v>4401.8999999999996</v>
      </c>
      <c r="E13" t="s">
        <v>4694</v>
      </c>
      <c r="F13" s="2">
        <v>1469.28</v>
      </c>
    </row>
    <row r="14" spans="1:6" x14ac:dyDescent="0.35">
      <c r="A14" t="s">
        <v>4707</v>
      </c>
      <c r="B14" t="s">
        <v>702</v>
      </c>
      <c r="C14" s="1">
        <v>45193</v>
      </c>
      <c r="D14" s="2">
        <v>166.14</v>
      </c>
      <c r="E14" t="s">
        <v>4694</v>
      </c>
      <c r="F14" s="2">
        <v>23.73</v>
      </c>
    </row>
    <row r="15" spans="1:6" x14ac:dyDescent="0.35">
      <c r="A15" t="s">
        <v>4708</v>
      </c>
      <c r="B15" t="s">
        <v>704</v>
      </c>
      <c r="C15" s="1">
        <v>45422</v>
      </c>
      <c r="D15" s="2">
        <v>664.37</v>
      </c>
      <c r="E15" t="s">
        <v>4694</v>
      </c>
      <c r="F15" s="2">
        <v>207.92</v>
      </c>
    </row>
    <row r="16" spans="1:6" x14ac:dyDescent="0.35">
      <c r="A16" t="s">
        <v>4709</v>
      </c>
      <c r="B16" t="s">
        <v>705</v>
      </c>
      <c r="C16" s="1">
        <v>45370</v>
      </c>
      <c r="D16" s="2">
        <v>225.07</v>
      </c>
      <c r="E16" t="s">
        <v>4694</v>
      </c>
      <c r="F16" s="2">
        <v>80.48</v>
      </c>
    </row>
    <row r="17" spans="1:6" x14ac:dyDescent="0.35">
      <c r="A17" t="s">
        <v>4710</v>
      </c>
      <c r="B17" t="s">
        <v>706</v>
      </c>
      <c r="C17" s="1">
        <v>45155</v>
      </c>
      <c r="D17" s="2">
        <v>97.03</v>
      </c>
      <c r="E17" t="s">
        <v>4694</v>
      </c>
      <c r="F17" s="2">
        <v>9.5399999999999991</v>
      </c>
    </row>
    <row r="18" spans="1:6" x14ac:dyDescent="0.35">
      <c r="A18" t="s">
        <v>4711</v>
      </c>
      <c r="B18" t="s">
        <v>707</v>
      </c>
      <c r="C18" s="1">
        <v>44990</v>
      </c>
      <c r="D18" s="2">
        <v>194.09</v>
      </c>
      <c r="E18" t="s">
        <v>4694</v>
      </c>
      <c r="F18" s="2">
        <v>28.83</v>
      </c>
    </row>
    <row r="19" spans="1:6" x14ac:dyDescent="0.35">
      <c r="A19" t="s">
        <v>4712</v>
      </c>
      <c r="B19" t="s">
        <v>708</v>
      </c>
      <c r="C19" s="1">
        <v>45154</v>
      </c>
      <c r="D19" s="2">
        <v>777.86</v>
      </c>
      <c r="E19" t="s">
        <v>4694</v>
      </c>
      <c r="F19" s="2">
        <v>65</v>
      </c>
    </row>
    <row r="20" spans="1:6" x14ac:dyDescent="0.35">
      <c r="A20" t="s">
        <v>4713</v>
      </c>
      <c r="B20" t="s">
        <v>709</v>
      </c>
      <c r="C20" s="1">
        <v>45002</v>
      </c>
      <c r="D20" s="2">
        <v>905.64</v>
      </c>
      <c r="E20" t="s">
        <v>4694</v>
      </c>
      <c r="F20" s="2">
        <v>452.36</v>
      </c>
    </row>
    <row r="21" spans="1:6" x14ac:dyDescent="0.35">
      <c r="A21" t="s">
        <v>4714</v>
      </c>
      <c r="B21" t="s">
        <v>710</v>
      </c>
      <c r="C21" s="1">
        <v>44984</v>
      </c>
      <c r="D21" s="2">
        <v>410.81</v>
      </c>
      <c r="E21" t="s">
        <v>4694</v>
      </c>
      <c r="F21" s="2">
        <v>167.74</v>
      </c>
    </row>
    <row r="22" spans="1:6" x14ac:dyDescent="0.35">
      <c r="A22" t="s">
        <v>4715</v>
      </c>
      <c r="B22" t="s">
        <v>711</v>
      </c>
      <c r="C22" s="1">
        <v>45242</v>
      </c>
      <c r="D22" s="2">
        <v>595.09</v>
      </c>
      <c r="E22" t="s">
        <v>4694</v>
      </c>
      <c r="F22" s="2">
        <v>295.01</v>
      </c>
    </row>
    <row r="23" spans="1:6" x14ac:dyDescent="0.35">
      <c r="A23" t="s">
        <v>4716</v>
      </c>
      <c r="B23" t="s">
        <v>712</v>
      </c>
      <c r="C23" s="1">
        <v>45067</v>
      </c>
      <c r="D23" s="2">
        <v>128.51</v>
      </c>
      <c r="E23" t="s">
        <v>4697</v>
      </c>
      <c r="F23" s="2">
        <v>54.03</v>
      </c>
    </row>
    <row r="24" spans="1:6" x14ac:dyDescent="0.35">
      <c r="A24" t="s">
        <v>4717</v>
      </c>
      <c r="B24" t="s">
        <v>714</v>
      </c>
      <c r="C24" s="1">
        <v>45476</v>
      </c>
      <c r="D24" s="2">
        <v>506.38</v>
      </c>
      <c r="E24" t="s">
        <v>4694</v>
      </c>
      <c r="F24" s="2">
        <v>145.33000000000001</v>
      </c>
    </row>
    <row r="25" spans="1:6" x14ac:dyDescent="0.35">
      <c r="A25" t="s">
        <v>4718</v>
      </c>
      <c r="B25" t="s">
        <v>715</v>
      </c>
      <c r="C25" s="1">
        <v>45175</v>
      </c>
      <c r="D25" s="2">
        <v>458.74</v>
      </c>
      <c r="E25" t="s">
        <v>4694</v>
      </c>
      <c r="F25" s="2">
        <v>240.97</v>
      </c>
    </row>
    <row r="26" spans="1:6" x14ac:dyDescent="0.35">
      <c r="A26" t="s">
        <v>4719</v>
      </c>
      <c r="B26" t="s">
        <v>717</v>
      </c>
      <c r="C26" s="1">
        <v>45468</v>
      </c>
      <c r="D26" s="2">
        <v>142.69</v>
      </c>
      <c r="E26" t="s">
        <v>4694</v>
      </c>
      <c r="F26" s="2">
        <v>84.11</v>
      </c>
    </row>
    <row r="27" spans="1:6" x14ac:dyDescent="0.35">
      <c r="A27" t="s">
        <v>4720</v>
      </c>
      <c r="B27" t="s">
        <v>718</v>
      </c>
      <c r="C27" s="1">
        <v>45668</v>
      </c>
      <c r="D27" s="2">
        <v>756.86</v>
      </c>
      <c r="E27" t="s">
        <v>4694</v>
      </c>
      <c r="F27" s="2">
        <v>84.52</v>
      </c>
    </row>
    <row r="28" spans="1:6" x14ac:dyDescent="0.35">
      <c r="A28" t="s">
        <v>4721</v>
      </c>
      <c r="B28" t="s">
        <v>719</v>
      </c>
      <c r="C28" s="1">
        <v>45307</v>
      </c>
      <c r="D28" s="2">
        <v>1090.1500000000001</v>
      </c>
      <c r="E28" t="s">
        <v>4694</v>
      </c>
      <c r="F28" s="2">
        <v>632.48</v>
      </c>
    </row>
    <row r="29" spans="1:6" x14ac:dyDescent="0.35">
      <c r="A29" t="s">
        <v>4722</v>
      </c>
      <c r="B29" t="s">
        <v>720</v>
      </c>
      <c r="C29" s="1">
        <v>45653</v>
      </c>
      <c r="D29" s="2">
        <v>814.47</v>
      </c>
      <c r="E29" t="s">
        <v>4694</v>
      </c>
      <c r="F29" s="2">
        <v>251.44</v>
      </c>
    </row>
    <row r="30" spans="1:6" x14ac:dyDescent="0.35">
      <c r="A30" t="s">
        <v>4723</v>
      </c>
      <c r="B30" t="s">
        <v>721</v>
      </c>
      <c r="C30" s="1">
        <v>45001</v>
      </c>
      <c r="D30" s="2">
        <v>686.29</v>
      </c>
      <c r="E30" t="s">
        <v>4694</v>
      </c>
      <c r="F30" s="2">
        <v>32.92</v>
      </c>
    </row>
    <row r="31" spans="1:6" x14ac:dyDescent="0.35">
      <c r="A31" t="s">
        <v>4724</v>
      </c>
      <c r="B31" t="s">
        <v>722</v>
      </c>
      <c r="C31" s="1">
        <v>45461</v>
      </c>
      <c r="D31" s="2">
        <v>3181.91</v>
      </c>
      <c r="E31" t="s">
        <v>4694</v>
      </c>
      <c r="F31" s="2">
        <v>1088.1600000000001</v>
      </c>
    </row>
    <row r="32" spans="1:6" x14ac:dyDescent="0.35">
      <c r="A32" t="s">
        <v>4725</v>
      </c>
      <c r="B32" t="s">
        <v>723</v>
      </c>
      <c r="C32" s="1">
        <v>45487</v>
      </c>
      <c r="D32" s="2">
        <v>3319.7</v>
      </c>
      <c r="E32" t="s">
        <v>4694</v>
      </c>
      <c r="F32" s="2">
        <v>1644.55</v>
      </c>
    </row>
    <row r="33" spans="1:6" x14ac:dyDescent="0.35">
      <c r="A33" t="s">
        <v>4726</v>
      </c>
      <c r="B33" t="s">
        <v>724</v>
      </c>
      <c r="C33" s="1">
        <v>45129</v>
      </c>
      <c r="D33" s="2">
        <v>3222</v>
      </c>
      <c r="E33" t="s">
        <v>4694</v>
      </c>
      <c r="F33" s="2">
        <v>1886.81</v>
      </c>
    </row>
    <row r="34" spans="1:6" x14ac:dyDescent="0.35">
      <c r="A34" t="s">
        <v>4727</v>
      </c>
      <c r="B34" t="s">
        <v>725</v>
      </c>
      <c r="C34" s="1">
        <v>45620</v>
      </c>
      <c r="D34" s="2">
        <v>287.83</v>
      </c>
      <c r="E34" t="s">
        <v>4694</v>
      </c>
      <c r="F34" s="2">
        <v>66.45</v>
      </c>
    </row>
    <row r="35" spans="1:6" x14ac:dyDescent="0.35">
      <c r="A35" t="s">
        <v>4728</v>
      </c>
      <c r="B35" t="s">
        <v>726</v>
      </c>
      <c r="C35" s="1">
        <v>45550</v>
      </c>
      <c r="D35" s="2">
        <v>151.19</v>
      </c>
      <c r="E35" t="s">
        <v>4694</v>
      </c>
      <c r="F35" s="2">
        <v>45.61</v>
      </c>
    </row>
    <row r="36" spans="1:6" x14ac:dyDescent="0.35">
      <c r="A36" t="s">
        <v>4729</v>
      </c>
      <c r="B36" t="s">
        <v>727</v>
      </c>
      <c r="C36" s="1">
        <v>45140</v>
      </c>
      <c r="D36" s="2">
        <v>845.35</v>
      </c>
      <c r="E36" t="s">
        <v>4694</v>
      </c>
      <c r="F36" s="2">
        <v>439.4</v>
      </c>
    </row>
    <row r="37" spans="1:6" x14ac:dyDescent="0.35">
      <c r="A37" t="s">
        <v>4730</v>
      </c>
      <c r="B37" t="s">
        <v>728</v>
      </c>
      <c r="C37" s="1">
        <v>45152</v>
      </c>
      <c r="D37" s="2">
        <v>885.03</v>
      </c>
      <c r="E37" t="s">
        <v>4694</v>
      </c>
      <c r="F37" s="2">
        <v>213.4</v>
      </c>
    </row>
    <row r="38" spans="1:6" x14ac:dyDescent="0.35">
      <c r="A38" t="s">
        <v>4731</v>
      </c>
      <c r="B38" t="s">
        <v>730</v>
      </c>
      <c r="C38" s="1">
        <v>45272</v>
      </c>
      <c r="D38" s="2">
        <v>445.63</v>
      </c>
      <c r="E38" t="s">
        <v>4694</v>
      </c>
      <c r="F38" s="2">
        <v>29.38</v>
      </c>
    </row>
    <row r="39" spans="1:6" x14ac:dyDescent="0.35">
      <c r="A39" t="s">
        <v>4732</v>
      </c>
      <c r="B39" t="s">
        <v>731</v>
      </c>
      <c r="C39" s="1">
        <v>45165</v>
      </c>
      <c r="D39" s="2">
        <v>3264.45</v>
      </c>
      <c r="E39" t="s">
        <v>4694</v>
      </c>
      <c r="F39" s="2">
        <v>199.51</v>
      </c>
    </row>
    <row r="40" spans="1:6" x14ac:dyDescent="0.35">
      <c r="A40" t="s">
        <v>4733</v>
      </c>
      <c r="B40" t="s">
        <v>732</v>
      </c>
      <c r="C40" s="1">
        <v>45344</v>
      </c>
      <c r="D40" s="2">
        <v>34.590000000000003</v>
      </c>
      <c r="E40" t="s">
        <v>4694</v>
      </c>
      <c r="F40" s="2">
        <v>13.74</v>
      </c>
    </row>
    <row r="41" spans="1:6" x14ac:dyDescent="0.35">
      <c r="A41" t="s">
        <v>4734</v>
      </c>
      <c r="B41" t="s">
        <v>733</v>
      </c>
      <c r="C41" s="1">
        <v>45614</v>
      </c>
      <c r="D41" s="2">
        <v>398.59</v>
      </c>
      <c r="E41" t="s">
        <v>4694</v>
      </c>
      <c r="F41" s="2">
        <v>55.2</v>
      </c>
    </row>
    <row r="42" spans="1:6" x14ac:dyDescent="0.35">
      <c r="A42" t="s">
        <v>4735</v>
      </c>
      <c r="B42" t="s">
        <v>734</v>
      </c>
      <c r="C42" s="1">
        <v>45058</v>
      </c>
      <c r="D42" s="2">
        <v>686.5</v>
      </c>
      <c r="E42" t="s">
        <v>4694</v>
      </c>
      <c r="F42" s="2">
        <v>33.61</v>
      </c>
    </row>
    <row r="43" spans="1:6" x14ac:dyDescent="0.35">
      <c r="A43" t="s">
        <v>4736</v>
      </c>
      <c r="B43" t="s">
        <v>736</v>
      </c>
      <c r="C43" s="1">
        <v>45505</v>
      </c>
      <c r="D43" s="2">
        <v>453.72</v>
      </c>
      <c r="E43" t="s">
        <v>4694</v>
      </c>
      <c r="F43" s="2">
        <v>102.92</v>
      </c>
    </row>
    <row r="44" spans="1:6" x14ac:dyDescent="0.35">
      <c r="A44" t="s">
        <v>4737</v>
      </c>
      <c r="B44" t="s">
        <v>737</v>
      </c>
      <c r="C44" s="1">
        <v>45271</v>
      </c>
      <c r="D44" s="2">
        <v>255.64</v>
      </c>
      <c r="E44" t="s">
        <v>4694</v>
      </c>
      <c r="F44" s="2">
        <v>34.47</v>
      </c>
    </row>
    <row r="45" spans="1:6" x14ac:dyDescent="0.35">
      <c r="A45" t="s">
        <v>4738</v>
      </c>
      <c r="B45" t="s">
        <v>738</v>
      </c>
      <c r="C45" s="1">
        <v>45089</v>
      </c>
      <c r="D45" s="2">
        <v>116.4</v>
      </c>
      <c r="E45" t="s">
        <v>4694</v>
      </c>
      <c r="F45" s="2">
        <v>38.880000000000003</v>
      </c>
    </row>
    <row r="46" spans="1:6" x14ac:dyDescent="0.35">
      <c r="A46" t="s">
        <v>4739</v>
      </c>
      <c r="B46" t="s">
        <v>739</v>
      </c>
      <c r="C46" s="1">
        <v>45674</v>
      </c>
      <c r="D46" s="2">
        <v>465.58</v>
      </c>
      <c r="E46" t="s">
        <v>4694</v>
      </c>
      <c r="F46" s="2">
        <v>283.20999999999998</v>
      </c>
    </row>
    <row r="47" spans="1:6" x14ac:dyDescent="0.35">
      <c r="A47" t="s">
        <v>4740</v>
      </c>
      <c r="B47" t="s">
        <v>740</v>
      </c>
      <c r="C47" s="1">
        <v>44976</v>
      </c>
      <c r="D47" s="2">
        <v>1705.6</v>
      </c>
      <c r="E47" t="s">
        <v>4694</v>
      </c>
      <c r="F47" s="2">
        <v>547.75</v>
      </c>
    </row>
    <row r="48" spans="1:6" x14ac:dyDescent="0.35">
      <c r="A48" t="s">
        <v>4741</v>
      </c>
      <c r="B48" t="s">
        <v>741</v>
      </c>
      <c r="C48" s="1">
        <v>45405</v>
      </c>
      <c r="D48" s="2">
        <v>236.5</v>
      </c>
      <c r="E48" t="s">
        <v>4694</v>
      </c>
      <c r="F48" s="2">
        <v>67.17</v>
      </c>
    </row>
    <row r="49" spans="1:6" x14ac:dyDescent="0.35">
      <c r="A49" t="s">
        <v>4742</v>
      </c>
      <c r="B49" t="s">
        <v>742</v>
      </c>
      <c r="C49" s="1">
        <v>45658</v>
      </c>
      <c r="D49" s="2">
        <v>1231.0999999999999</v>
      </c>
      <c r="E49" t="s">
        <v>4694</v>
      </c>
      <c r="F49" s="2">
        <v>253.74</v>
      </c>
    </row>
    <row r="50" spans="1:6" x14ac:dyDescent="0.35">
      <c r="A50" t="s">
        <v>4743</v>
      </c>
      <c r="B50" t="s">
        <v>744</v>
      </c>
      <c r="C50" s="1">
        <v>45153</v>
      </c>
      <c r="D50" s="2">
        <v>41.59</v>
      </c>
      <c r="E50" t="s">
        <v>4697</v>
      </c>
      <c r="F50" s="2">
        <v>3.82</v>
      </c>
    </row>
    <row r="51" spans="1:6" x14ac:dyDescent="0.35">
      <c r="A51" t="s">
        <v>4744</v>
      </c>
      <c r="B51" t="s">
        <v>745</v>
      </c>
      <c r="C51" s="1">
        <v>45093</v>
      </c>
      <c r="D51" s="2">
        <v>366.99</v>
      </c>
      <c r="E51" t="s">
        <v>4697</v>
      </c>
      <c r="F51" s="2">
        <v>53.23</v>
      </c>
    </row>
    <row r="52" spans="1:6" x14ac:dyDescent="0.35">
      <c r="A52" t="s">
        <v>4745</v>
      </c>
      <c r="B52" t="s">
        <v>746</v>
      </c>
      <c r="C52" s="1">
        <v>45139</v>
      </c>
      <c r="D52" s="2">
        <v>175.8</v>
      </c>
      <c r="E52" t="s">
        <v>4694</v>
      </c>
      <c r="F52" s="2">
        <v>65.45</v>
      </c>
    </row>
    <row r="53" spans="1:6" x14ac:dyDescent="0.35">
      <c r="A53" t="s">
        <v>4746</v>
      </c>
      <c r="B53" t="s">
        <v>747</v>
      </c>
      <c r="C53" s="1">
        <v>45450</v>
      </c>
      <c r="D53" s="2">
        <v>360.63</v>
      </c>
      <c r="E53" t="s">
        <v>4694</v>
      </c>
      <c r="F53" s="2">
        <v>91.85</v>
      </c>
    </row>
    <row r="54" spans="1:6" x14ac:dyDescent="0.35">
      <c r="A54" t="s">
        <v>4747</v>
      </c>
      <c r="B54" t="s">
        <v>748</v>
      </c>
      <c r="C54" s="1">
        <v>45097</v>
      </c>
      <c r="D54" s="2">
        <v>707.69</v>
      </c>
      <c r="E54" t="s">
        <v>4694</v>
      </c>
      <c r="F54" s="2">
        <v>38.79</v>
      </c>
    </row>
    <row r="55" spans="1:6" x14ac:dyDescent="0.35">
      <c r="A55" t="s">
        <v>4748</v>
      </c>
      <c r="B55" t="s">
        <v>749</v>
      </c>
      <c r="C55" s="1">
        <v>45586</v>
      </c>
      <c r="D55" s="2">
        <v>291.8</v>
      </c>
      <c r="E55" t="s">
        <v>4694</v>
      </c>
      <c r="F55" s="2">
        <v>57.83</v>
      </c>
    </row>
    <row r="56" spans="1:6" x14ac:dyDescent="0.35">
      <c r="A56" t="s">
        <v>4749</v>
      </c>
      <c r="B56" t="s">
        <v>750</v>
      </c>
      <c r="C56" s="1">
        <v>45066</v>
      </c>
      <c r="D56" s="2">
        <v>6313</v>
      </c>
      <c r="E56" t="s">
        <v>4697</v>
      </c>
      <c r="F56" s="2">
        <v>915.68</v>
      </c>
    </row>
    <row r="57" spans="1:6" x14ac:dyDescent="0.35">
      <c r="A57" t="s">
        <v>4750</v>
      </c>
      <c r="B57" t="s">
        <v>751</v>
      </c>
      <c r="C57" s="1">
        <v>45420</v>
      </c>
      <c r="D57" s="2">
        <v>2289.5</v>
      </c>
      <c r="E57" t="s">
        <v>4694</v>
      </c>
      <c r="F57" s="2">
        <v>129.63999999999999</v>
      </c>
    </row>
    <row r="58" spans="1:6" x14ac:dyDescent="0.35">
      <c r="A58" t="s">
        <v>4751</v>
      </c>
      <c r="B58" t="s">
        <v>754</v>
      </c>
      <c r="C58" s="1">
        <v>45126</v>
      </c>
      <c r="D58" s="2">
        <v>35.21</v>
      </c>
      <c r="E58" t="s">
        <v>4694</v>
      </c>
      <c r="F58" s="2">
        <v>20.68</v>
      </c>
    </row>
    <row r="59" spans="1:6" x14ac:dyDescent="0.35">
      <c r="A59" t="s">
        <v>4752</v>
      </c>
      <c r="B59" t="s">
        <v>756</v>
      </c>
      <c r="C59" s="1">
        <v>45144</v>
      </c>
      <c r="D59" s="2">
        <v>104.56</v>
      </c>
      <c r="E59" t="s">
        <v>4694</v>
      </c>
      <c r="F59" s="2">
        <v>56.9</v>
      </c>
    </row>
    <row r="60" spans="1:6" x14ac:dyDescent="0.35">
      <c r="A60" t="s">
        <v>4753</v>
      </c>
      <c r="B60" t="s">
        <v>757</v>
      </c>
      <c r="C60" s="1">
        <v>45215</v>
      </c>
      <c r="D60" s="2">
        <v>980.57</v>
      </c>
      <c r="E60" t="s">
        <v>4694</v>
      </c>
      <c r="F60" s="2">
        <v>328.28</v>
      </c>
    </row>
    <row r="61" spans="1:6" x14ac:dyDescent="0.35">
      <c r="A61" t="s">
        <v>4754</v>
      </c>
      <c r="B61" t="s">
        <v>759</v>
      </c>
      <c r="C61" s="1">
        <v>45027</v>
      </c>
      <c r="D61" s="2">
        <v>470.69</v>
      </c>
      <c r="E61" t="s">
        <v>4697</v>
      </c>
      <c r="F61" s="2">
        <v>83.69</v>
      </c>
    </row>
    <row r="62" spans="1:6" x14ac:dyDescent="0.35">
      <c r="A62" t="s">
        <v>4755</v>
      </c>
      <c r="B62" t="s">
        <v>760</v>
      </c>
      <c r="C62" s="1">
        <v>45353</v>
      </c>
      <c r="D62" s="2">
        <v>247.58</v>
      </c>
      <c r="E62" t="s">
        <v>4694</v>
      </c>
      <c r="F62" s="2">
        <v>110.88</v>
      </c>
    </row>
    <row r="63" spans="1:6" x14ac:dyDescent="0.35">
      <c r="A63" t="s">
        <v>4756</v>
      </c>
      <c r="B63" t="s">
        <v>761</v>
      </c>
      <c r="C63" s="1">
        <v>45675</v>
      </c>
      <c r="D63" s="2">
        <v>772.88</v>
      </c>
      <c r="E63" t="s">
        <v>4694</v>
      </c>
      <c r="F63" s="2">
        <v>34.1</v>
      </c>
    </row>
    <row r="64" spans="1:6" x14ac:dyDescent="0.35">
      <c r="A64" t="s">
        <v>4757</v>
      </c>
      <c r="B64" t="s">
        <v>762</v>
      </c>
      <c r="C64" s="1">
        <v>45509</v>
      </c>
      <c r="D64" s="2">
        <v>238.34</v>
      </c>
      <c r="E64" t="s">
        <v>4694</v>
      </c>
      <c r="F64" s="2">
        <v>39.85</v>
      </c>
    </row>
    <row r="65" spans="1:6" x14ac:dyDescent="0.35">
      <c r="A65" t="s">
        <v>4758</v>
      </c>
      <c r="B65" t="s">
        <v>763</v>
      </c>
      <c r="C65" s="1">
        <v>45051</v>
      </c>
      <c r="D65" s="2">
        <v>1174.33</v>
      </c>
      <c r="E65" t="s">
        <v>4694</v>
      </c>
      <c r="F65" s="2">
        <v>137.66999999999999</v>
      </c>
    </row>
    <row r="66" spans="1:6" x14ac:dyDescent="0.35">
      <c r="A66" t="s">
        <v>4759</v>
      </c>
      <c r="B66" t="s">
        <v>764</v>
      </c>
      <c r="C66" s="1">
        <v>45066</v>
      </c>
      <c r="D66" s="2">
        <v>3792.06</v>
      </c>
      <c r="E66" t="s">
        <v>4694</v>
      </c>
      <c r="F66" s="2">
        <v>712.33</v>
      </c>
    </row>
    <row r="67" spans="1:6" x14ac:dyDescent="0.35">
      <c r="A67" t="s">
        <v>4760</v>
      </c>
      <c r="B67" t="s">
        <v>770</v>
      </c>
      <c r="C67" s="1">
        <v>45466</v>
      </c>
      <c r="D67" s="2">
        <v>309.41000000000003</v>
      </c>
      <c r="E67" t="s">
        <v>4697</v>
      </c>
      <c r="F67" s="2">
        <v>27.73</v>
      </c>
    </row>
    <row r="68" spans="1:6" x14ac:dyDescent="0.35">
      <c r="A68" t="s">
        <v>4761</v>
      </c>
      <c r="B68" t="s">
        <v>771</v>
      </c>
      <c r="C68" s="1">
        <v>45543</v>
      </c>
      <c r="D68" s="2">
        <v>30.39</v>
      </c>
      <c r="E68" t="s">
        <v>4694</v>
      </c>
      <c r="F68" s="2">
        <v>16.87</v>
      </c>
    </row>
    <row r="69" spans="1:6" x14ac:dyDescent="0.35">
      <c r="A69" t="s">
        <v>4762</v>
      </c>
      <c r="B69" t="s">
        <v>772</v>
      </c>
      <c r="C69" s="1">
        <v>45086</v>
      </c>
      <c r="D69" s="2">
        <v>275.82</v>
      </c>
      <c r="E69" t="s">
        <v>4694</v>
      </c>
      <c r="F69" s="2">
        <v>39.36</v>
      </c>
    </row>
    <row r="70" spans="1:6" x14ac:dyDescent="0.35">
      <c r="A70" t="s">
        <v>4763</v>
      </c>
      <c r="B70" t="s">
        <v>774</v>
      </c>
      <c r="C70" s="1">
        <v>45580</v>
      </c>
      <c r="D70" s="2">
        <v>172.63</v>
      </c>
      <c r="E70" t="s">
        <v>4694</v>
      </c>
      <c r="F70" s="2">
        <v>8.98</v>
      </c>
    </row>
    <row r="71" spans="1:6" x14ac:dyDescent="0.35">
      <c r="A71" t="s">
        <v>4764</v>
      </c>
      <c r="B71" t="s">
        <v>776</v>
      </c>
      <c r="C71" s="1">
        <v>45206</v>
      </c>
      <c r="D71" s="2">
        <v>1101.9100000000001</v>
      </c>
      <c r="E71" t="s">
        <v>4694</v>
      </c>
      <c r="F71" s="2">
        <v>361.86</v>
      </c>
    </row>
    <row r="72" spans="1:6" x14ac:dyDescent="0.35">
      <c r="A72" t="s">
        <v>4765</v>
      </c>
      <c r="B72" t="s">
        <v>777</v>
      </c>
      <c r="C72" s="1">
        <v>45578</v>
      </c>
      <c r="D72" s="2">
        <v>193.29</v>
      </c>
      <c r="E72" t="s">
        <v>4694</v>
      </c>
      <c r="F72" s="2">
        <v>45.02</v>
      </c>
    </row>
    <row r="73" spans="1:6" x14ac:dyDescent="0.35">
      <c r="A73" t="s">
        <v>4766</v>
      </c>
      <c r="B73" t="s">
        <v>778</v>
      </c>
      <c r="C73" s="1">
        <v>45649</v>
      </c>
      <c r="D73" s="2">
        <v>149.09</v>
      </c>
      <c r="E73" t="s">
        <v>4694</v>
      </c>
      <c r="F73" s="2">
        <v>51.74</v>
      </c>
    </row>
    <row r="74" spans="1:6" x14ac:dyDescent="0.35">
      <c r="A74" t="s">
        <v>4767</v>
      </c>
      <c r="B74" t="s">
        <v>779</v>
      </c>
      <c r="C74" s="1">
        <v>45521</v>
      </c>
      <c r="D74" s="2">
        <v>6548.14</v>
      </c>
      <c r="E74" t="s">
        <v>4694</v>
      </c>
      <c r="F74" s="2">
        <v>1097.5</v>
      </c>
    </row>
    <row r="75" spans="1:6" x14ac:dyDescent="0.35">
      <c r="A75" t="s">
        <v>4768</v>
      </c>
      <c r="B75" t="s">
        <v>780</v>
      </c>
      <c r="C75" s="1">
        <v>45385</v>
      </c>
      <c r="D75" s="2">
        <v>240.46</v>
      </c>
      <c r="E75" t="s">
        <v>4694</v>
      </c>
      <c r="F75" s="2">
        <v>32.82</v>
      </c>
    </row>
    <row r="76" spans="1:6" x14ac:dyDescent="0.35">
      <c r="A76" t="s">
        <v>4769</v>
      </c>
      <c r="B76" t="s">
        <v>781</v>
      </c>
      <c r="C76" s="1">
        <v>45498</v>
      </c>
      <c r="D76" s="2">
        <v>3829.31</v>
      </c>
      <c r="E76" t="s">
        <v>4694</v>
      </c>
      <c r="F76" s="2">
        <v>1371.98</v>
      </c>
    </row>
    <row r="77" spans="1:6" x14ac:dyDescent="0.35">
      <c r="A77" t="s">
        <v>4770</v>
      </c>
      <c r="B77" t="s">
        <v>782</v>
      </c>
      <c r="C77" s="1">
        <v>45259</v>
      </c>
      <c r="D77" s="2">
        <v>6385.13</v>
      </c>
      <c r="E77" t="s">
        <v>4694</v>
      </c>
      <c r="F77" s="2">
        <v>662.87</v>
      </c>
    </row>
    <row r="78" spans="1:6" x14ac:dyDescent="0.35">
      <c r="A78" t="s">
        <v>4771</v>
      </c>
      <c r="B78" t="s">
        <v>783</v>
      </c>
      <c r="C78" s="1">
        <v>45525</v>
      </c>
      <c r="D78" s="2">
        <v>2392.34</v>
      </c>
      <c r="E78" t="s">
        <v>4694</v>
      </c>
      <c r="F78" s="2">
        <v>1129.18</v>
      </c>
    </row>
    <row r="79" spans="1:6" x14ac:dyDescent="0.35">
      <c r="A79" t="s">
        <v>4772</v>
      </c>
      <c r="B79" t="s">
        <v>784</v>
      </c>
      <c r="C79" s="1">
        <v>45296</v>
      </c>
      <c r="D79" s="2">
        <v>92.32</v>
      </c>
      <c r="E79" t="s">
        <v>4694</v>
      </c>
      <c r="F79" s="2">
        <v>10.37</v>
      </c>
    </row>
    <row r="80" spans="1:6" x14ac:dyDescent="0.35">
      <c r="A80" t="s">
        <v>4773</v>
      </c>
      <c r="B80" t="s">
        <v>785</v>
      </c>
      <c r="C80" s="1">
        <v>45022</v>
      </c>
      <c r="D80" s="2">
        <v>262.64</v>
      </c>
      <c r="E80" t="s">
        <v>4694</v>
      </c>
      <c r="F80" s="2">
        <v>14.33</v>
      </c>
    </row>
    <row r="81" spans="1:6" x14ac:dyDescent="0.35">
      <c r="A81" t="s">
        <v>4774</v>
      </c>
      <c r="B81" t="s">
        <v>786</v>
      </c>
      <c r="C81" s="1">
        <v>45022</v>
      </c>
      <c r="D81" s="2">
        <v>319.33</v>
      </c>
      <c r="E81" t="s">
        <v>4697</v>
      </c>
      <c r="F81" s="2">
        <v>54.55</v>
      </c>
    </row>
    <row r="82" spans="1:6" x14ac:dyDescent="0.35">
      <c r="A82" t="s">
        <v>4775</v>
      </c>
      <c r="B82" t="s">
        <v>788</v>
      </c>
      <c r="C82" s="1">
        <v>45233</v>
      </c>
      <c r="D82" s="2">
        <v>958.42</v>
      </c>
      <c r="E82" t="s">
        <v>4694</v>
      </c>
      <c r="F82" s="2">
        <v>396.64</v>
      </c>
    </row>
    <row r="83" spans="1:6" x14ac:dyDescent="0.35">
      <c r="A83" t="s">
        <v>4776</v>
      </c>
      <c r="B83" t="s">
        <v>789</v>
      </c>
      <c r="C83" s="1">
        <v>45313</v>
      </c>
      <c r="D83" s="2">
        <v>2625.39</v>
      </c>
      <c r="E83" t="s">
        <v>4694</v>
      </c>
      <c r="F83" s="2">
        <v>1066.96</v>
      </c>
    </row>
    <row r="84" spans="1:6" x14ac:dyDescent="0.35">
      <c r="A84" t="s">
        <v>4777</v>
      </c>
      <c r="B84" t="s">
        <v>790</v>
      </c>
      <c r="C84" s="1">
        <v>45525</v>
      </c>
      <c r="D84" s="2">
        <v>307.19</v>
      </c>
      <c r="E84" t="s">
        <v>4694</v>
      </c>
      <c r="F84" s="2">
        <v>62.45</v>
      </c>
    </row>
    <row r="85" spans="1:6" x14ac:dyDescent="0.35">
      <c r="A85" t="s">
        <v>4778</v>
      </c>
      <c r="B85" t="s">
        <v>791</v>
      </c>
      <c r="C85" s="1">
        <v>45572</v>
      </c>
      <c r="D85" s="2">
        <v>33.520000000000003</v>
      </c>
      <c r="E85" t="s">
        <v>4694</v>
      </c>
      <c r="F85" s="2">
        <v>15.78</v>
      </c>
    </row>
    <row r="86" spans="1:6" x14ac:dyDescent="0.35">
      <c r="A86" t="s">
        <v>4779</v>
      </c>
      <c r="B86" t="s">
        <v>793</v>
      </c>
      <c r="C86" s="1">
        <v>45591</v>
      </c>
      <c r="D86" s="2">
        <v>425.5</v>
      </c>
      <c r="E86" t="s">
        <v>4694</v>
      </c>
      <c r="F86" s="2">
        <v>55.47</v>
      </c>
    </row>
    <row r="87" spans="1:6" x14ac:dyDescent="0.35">
      <c r="A87" t="s">
        <v>4780</v>
      </c>
      <c r="B87" t="s">
        <v>794</v>
      </c>
      <c r="C87" s="1">
        <v>45251</v>
      </c>
      <c r="D87" s="2">
        <v>3188.77</v>
      </c>
      <c r="E87" t="s">
        <v>4694</v>
      </c>
      <c r="F87" s="2">
        <v>1624.44</v>
      </c>
    </row>
    <row r="88" spans="1:6" x14ac:dyDescent="0.35">
      <c r="A88" t="s">
        <v>4781</v>
      </c>
      <c r="B88" t="s">
        <v>795</v>
      </c>
      <c r="C88" s="1">
        <v>45578</v>
      </c>
      <c r="D88" s="2">
        <v>264.92</v>
      </c>
      <c r="E88" t="s">
        <v>4694</v>
      </c>
      <c r="F88" s="2">
        <v>12.22</v>
      </c>
    </row>
    <row r="89" spans="1:6" x14ac:dyDescent="0.35">
      <c r="A89" t="s">
        <v>4782</v>
      </c>
      <c r="B89" t="s">
        <v>797</v>
      </c>
      <c r="C89" s="1">
        <v>45566</v>
      </c>
      <c r="D89" s="2">
        <v>420.43</v>
      </c>
      <c r="E89" t="s">
        <v>4694</v>
      </c>
      <c r="F89" s="2">
        <v>115.87</v>
      </c>
    </row>
    <row r="90" spans="1:6" x14ac:dyDescent="0.35">
      <c r="A90" t="s">
        <v>4783</v>
      </c>
      <c r="B90" t="s">
        <v>798</v>
      </c>
      <c r="C90" s="1">
        <v>45139</v>
      </c>
      <c r="D90" s="2">
        <v>1308.98</v>
      </c>
      <c r="E90" t="s">
        <v>4694</v>
      </c>
      <c r="F90" s="2">
        <v>81.040000000000006</v>
      </c>
    </row>
    <row r="91" spans="1:6" x14ac:dyDescent="0.35">
      <c r="A91" t="s">
        <v>4784</v>
      </c>
      <c r="B91" t="s">
        <v>799</v>
      </c>
      <c r="C91" s="1">
        <v>45650</v>
      </c>
      <c r="D91" s="2">
        <v>619.16</v>
      </c>
      <c r="E91" t="s">
        <v>4694</v>
      </c>
      <c r="F91" s="2">
        <v>57.18</v>
      </c>
    </row>
    <row r="92" spans="1:6" x14ac:dyDescent="0.35">
      <c r="A92" t="s">
        <v>4785</v>
      </c>
      <c r="B92" t="s">
        <v>801</v>
      </c>
      <c r="C92" s="1">
        <v>45156</v>
      </c>
      <c r="D92" s="2">
        <v>268.93</v>
      </c>
      <c r="E92" t="s">
        <v>4694</v>
      </c>
      <c r="F92" s="2">
        <v>23.67</v>
      </c>
    </row>
    <row r="93" spans="1:6" x14ac:dyDescent="0.35">
      <c r="A93" t="s">
        <v>4786</v>
      </c>
      <c r="B93" t="s">
        <v>802</v>
      </c>
      <c r="C93" s="1">
        <v>45532</v>
      </c>
      <c r="D93" s="2">
        <v>345.01</v>
      </c>
      <c r="E93" t="s">
        <v>4694</v>
      </c>
      <c r="F93" s="2">
        <v>135.62</v>
      </c>
    </row>
    <row r="94" spans="1:6" x14ac:dyDescent="0.35">
      <c r="A94" t="s">
        <v>4787</v>
      </c>
      <c r="B94" t="s">
        <v>803</v>
      </c>
      <c r="C94" s="1">
        <v>45507</v>
      </c>
      <c r="D94" s="2">
        <v>181.97</v>
      </c>
      <c r="E94" t="s">
        <v>4694</v>
      </c>
      <c r="F94" s="2">
        <v>39.39</v>
      </c>
    </row>
    <row r="95" spans="1:6" x14ac:dyDescent="0.35">
      <c r="A95" t="s">
        <v>4788</v>
      </c>
      <c r="B95" t="s">
        <v>804</v>
      </c>
      <c r="C95" s="1">
        <v>45549</v>
      </c>
      <c r="D95" s="2">
        <v>484.05</v>
      </c>
      <c r="E95" t="s">
        <v>4694</v>
      </c>
      <c r="F95" s="2">
        <v>110.76</v>
      </c>
    </row>
    <row r="96" spans="1:6" x14ac:dyDescent="0.35">
      <c r="A96" t="s">
        <v>4789</v>
      </c>
      <c r="B96" t="s">
        <v>805</v>
      </c>
      <c r="C96" s="1">
        <v>45630</v>
      </c>
      <c r="D96" s="2">
        <v>149.72999999999999</v>
      </c>
      <c r="E96" t="s">
        <v>4694</v>
      </c>
      <c r="F96" s="2">
        <v>54.93</v>
      </c>
    </row>
    <row r="97" spans="1:6" x14ac:dyDescent="0.35">
      <c r="A97" t="s">
        <v>4790</v>
      </c>
      <c r="B97" t="s">
        <v>806</v>
      </c>
      <c r="C97" s="1">
        <v>45502</v>
      </c>
      <c r="D97" s="2">
        <v>156.35</v>
      </c>
      <c r="E97" t="s">
        <v>4694</v>
      </c>
      <c r="F97" s="2">
        <v>20.399999999999999</v>
      </c>
    </row>
    <row r="98" spans="1:6" x14ac:dyDescent="0.35">
      <c r="A98" t="s">
        <v>4791</v>
      </c>
      <c r="B98" t="s">
        <v>807</v>
      </c>
      <c r="C98" s="1">
        <v>45694</v>
      </c>
      <c r="D98" s="2">
        <v>277.17</v>
      </c>
      <c r="E98" t="s">
        <v>4694</v>
      </c>
      <c r="F98" s="2">
        <v>89.8</v>
      </c>
    </row>
    <row r="99" spans="1:6" x14ac:dyDescent="0.35">
      <c r="A99" t="s">
        <v>4792</v>
      </c>
      <c r="B99" t="s">
        <v>809</v>
      </c>
      <c r="C99" s="1">
        <v>45582</v>
      </c>
      <c r="D99" s="2">
        <v>1332.22</v>
      </c>
      <c r="E99" t="s">
        <v>4694</v>
      </c>
      <c r="F99" s="2">
        <v>248.36</v>
      </c>
    </row>
    <row r="100" spans="1:6" x14ac:dyDescent="0.35">
      <c r="A100" t="s">
        <v>4793</v>
      </c>
      <c r="B100" t="s">
        <v>810</v>
      </c>
      <c r="C100" s="1">
        <v>45381</v>
      </c>
      <c r="D100" s="2">
        <v>100.04</v>
      </c>
      <c r="E100" t="s">
        <v>4697</v>
      </c>
      <c r="F100" s="2">
        <v>8.64</v>
      </c>
    </row>
    <row r="101" spans="1:6" x14ac:dyDescent="0.35">
      <c r="A101" t="s">
        <v>4794</v>
      </c>
      <c r="B101" t="s">
        <v>811</v>
      </c>
      <c r="C101" s="1">
        <v>45307</v>
      </c>
      <c r="D101" s="2">
        <v>650.41</v>
      </c>
      <c r="E101" t="s">
        <v>4697</v>
      </c>
      <c r="F101" s="2">
        <v>272.39999999999998</v>
      </c>
    </row>
    <row r="102" spans="1:6" x14ac:dyDescent="0.35">
      <c r="A102" t="s">
        <v>4795</v>
      </c>
      <c r="B102" t="s">
        <v>812</v>
      </c>
      <c r="C102" s="1">
        <v>45174</v>
      </c>
      <c r="D102" s="2">
        <v>1302.1500000000001</v>
      </c>
      <c r="E102" t="s">
        <v>4694</v>
      </c>
      <c r="F102" s="2">
        <v>152.03</v>
      </c>
    </row>
    <row r="103" spans="1:6" x14ac:dyDescent="0.35">
      <c r="A103" t="s">
        <v>4796</v>
      </c>
      <c r="B103" t="s">
        <v>815</v>
      </c>
      <c r="C103" s="1">
        <v>45206</v>
      </c>
      <c r="D103" s="2">
        <v>3160.11</v>
      </c>
      <c r="E103" t="s">
        <v>4694</v>
      </c>
      <c r="F103" s="2">
        <v>1373.38</v>
      </c>
    </row>
    <row r="104" spans="1:6" x14ac:dyDescent="0.35">
      <c r="A104" t="s">
        <v>4797</v>
      </c>
      <c r="B104" t="s">
        <v>819</v>
      </c>
      <c r="C104" s="1">
        <v>45568</v>
      </c>
      <c r="D104" s="2">
        <v>736.6</v>
      </c>
      <c r="E104" t="s">
        <v>4694</v>
      </c>
      <c r="F104" s="2">
        <v>181.26</v>
      </c>
    </row>
    <row r="105" spans="1:6" x14ac:dyDescent="0.35">
      <c r="A105" t="s">
        <v>4798</v>
      </c>
      <c r="B105" t="s">
        <v>821</v>
      </c>
      <c r="C105" s="1">
        <v>45168</v>
      </c>
      <c r="D105" s="2">
        <v>78.180000000000007</v>
      </c>
      <c r="E105" t="s">
        <v>4694</v>
      </c>
      <c r="F105" s="2">
        <v>23.35</v>
      </c>
    </row>
    <row r="106" spans="1:6" x14ac:dyDescent="0.35">
      <c r="A106" t="s">
        <v>4799</v>
      </c>
      <c r="B106" t="s">
        <v>822</v>
      </c>
      <c r="C106" s="1">
        <v>45533</v>
      </c>
      <c r="D106" s="2">
        <v>78.900000000000006</v>
      </c>
      <c r="E106" t="s">
        <v>4694</v>
      </c>
      <c r="F106" s="2">
        <v>30.87</v>
      </c>
    </row>
    <row r="107" spans="1:6" x14ac:dyDescent="0.35">
      <c r="A107" t="s">
        <v>4800</v>
      </c>
      <c r="B107" t="s">
        <v>824</v>
      </c>
      <c r="C107" s="1">
        <v>45183</v>
      </c>
      <c r="D107" s="2">
        <v>112.86</v>
      </c>
      <c r="E107" t="s">
        <v>4694</v>
      </c>
      <c r="F107" s="2">
        <v>50.72</v>
      </c>
    </row>
    <row r="108" spans="1:6" x14ac:dyDescent="0.35">
      <c r="A108" t="s">
        <v>4801</v>
      </c>
      <c r="B108" t="s">
        <v>825</v>
      </c>
      <c r="C108" s="1">
        <v>45675</v>
      </c>
      <c r="D108" s="2">
        <v>144.63</v>
      </c>
      <c r="E108" t="s">
        <v>4694</v>
      </c>
      <c r="F108" s="2">
        <v>27.98</v>
      </c>
    </row>
    <row r="109" spans="1:6" x14ac:dyDescent="0.35">
      <c r="A109" t="s">
        <v>4802</v>
      </c>
      <c r="B109" t="s">
        <v>828</v>
      </c>
      <c r="C109" s="1">
        <v>45196</v>
      </c>
      <c r="D109" s="2">
        <v>875.11</v>
      </c>
      <c r="E109" t="s">
        <v>4694</v>
      </c>
      <c r="F109" s="2">
        <v>48.16</v>
      </c>
    </row>
    <row r="110" spans="1:6" x14ac:dyDescent="0.35">
      <c r="A110" t="s">
        <v>4803</v>
      </c>
      <c r="B110" t="s">
        <v>830</v>
      </c>
      <c r="C110" s="1">
        <v>45493</v>
      </c>
      <c r="D110" s="2">
        <v>836.01</v>
      </c>
      <c r="E110" t="s">
        <v>4694</v>
      </c>
      <c r="F110" s="2">
        <v>68.77</v>
      </c>
    </row>
    <row r="111" spans="1:6" x14ac:dyDescent="0.35">
      <c r="A111" t="s">
        <v>4804</v>
      </c>
      <c r="B111" t="s">
        <v>831</v>
      </c>
      <c r="C111" s="1">
        <v>45146</v>
      </c>
      <c r="D111" s="2">
        <v>90.17</v>
      </c>
      <c r="E111" t="s">
        <v>4694</v>
      </c>
      <c r="F111" s="2">
        <v>47.42</v>
      </c>
    </row>
    <row r="112" spans="1:6" x14ac:dyDescent="0.35">
      <c r="A112" t="s">
        <v>4805</v>
      </c>
      <c r="B112" t="s">
        <v>833</v>
      </c>
      <c r="C112" s="1">
        <v>45475</v>
      </c>
      <c r="D112" s="2">
        <v>305.77</v>
      </c>
      <c r="E112" t="s">
        <v>4697</v>
      </c>
      <c r="F112" s="2">
        <v>75.45</v>
      </c>
    </row>
    <row r="113" spans="1:6" x14ac:dyDescent="0.35">
      <c r="A113" t="s">
        <v>4806</v>
      </c>
      <c r="B113" t="s">
        <v>834</v>
      </c>
      <c r="C113" s="1">
        <v>45027</v>
      </c>
      <c r="D113" s="2">
        <v>290.83999999999997</v>
      </c>
      <c r="E113" t="s">
        <v>4697</v>
      </c>
      <c r="F113" s="2">
        <v>68.37</v>
      </c>
    </row>
    <row r="114" spans="1:6" x14ac:dyDescent="0.35">
      <c r="A114" t="s">
        <v>4807</v>
      </c>
      <c r="B114" t="s">
        <v>835</v>
      </c>
      <c r="C114" s="1">
        <v>45598</v>
      </c>
      <c r="D114" s="2">
        <v>505.15</v>
      </c>
      <c r="E114" t="s">
        <v>4694</v>
      </c>
      <c r="F114" s="2">
        <v>82.28</v>
      </c>
    </row>
    <row r="115" spans="1:6" x14ac:dyDescent="0.35">
      <c r="A115" t="s">
        <v>4808</v>
      </c>
      <c r="B115" t="s">
        <v>836</v>
      </c>
      <c r="C115" s="1">
        <v>45344</v>
      </c>
      <c r="D115" s="2">
        <v>74.489999999999995</v>
      </c>
      <c r="E115" t="s">
        <v>4694</v>
      </c>
      <c r="F115" s="2">
        <v>28.57</v>
      </c>
    </row>
    <row r="116" spans="1:6" x14ac:dyDescent="0.35">
      <c r="A116" t="s">
        <v>4809</v>
      </c>
      <c r="B116" t="s">
        <v>837</v>
      </c>
      <c r="C116" s="1">
        <v>45622</v>
      </c>
      <c r="D116" s="2">
        <v>142.31</v>
      </c>
      <c r="E116" t="s">
        <v>4694</v>
      </c>
      <c r="F116" s="2">
        <v>18.59</v>
      </c>
    </row>
    <row r="117" spans="1:6" x14ac:dyDescent="0.35">
      <c r="A117" t="s">
        <v>4810</v>
      </c>
      <c r="B117" t="s">
        <v>840</v>
      </c>
      <c r="C117" s="1">
        <v>45437</v>
      </c>
      <c r="D117" s="2">
        <v>666.41</v>
      </c>
      <c r="E117" t="s">
        <v>4694</v>
      </c>
      <c r="F117" s="2">
        <v>245.08</v>
      </c>
    </row>
    <row r="118" spans="1:6" x14ac:dyDescent="0.35">
      <c r="A118" t="s">
        <v>4811</v>
      </c>
      <c r="B118" t="s">
        <v>841</v>
      </c>
      <c r="C118" s="1">
        <v>45605</v>
      </c>
      <c r="D118" s="2">
        <v>303.45</v>
      </c>
      <c r="E118" t="s">
        <v>4694</v>
      </c>
      <c r="F118" s="2">
        <v>94.14</v>
      </c>
    </row>
    <row r="119" spans="1:6" x14ac:dyDescent="0.35">
      <c r="A119" t="s">
        <v>4812</v>
      </c>
      <c r="B119" t="s">
        <v>842</v>
      </c>
      <c r="C119" s="1">
        <v>45177</v>
      </c>
      <c r="D119" s="2">
        <v>587.15</v>
      </c>
      <c r="E119" t="s">
        <v>4694</v>
      </c>
      <c r="F119" s="2">
        <v>254.08</v>
      </c>
    </row>
    <row r="120" spans="1:6" x14ac:dyDescent="0.35">
      <c r="A120" t="s">
        <v>4813</v>
      </c>
      <c r="B120" t="s">
        <v>843</v>
      </c>
      <c r="C120" s="1">
        <v>45405</v>
      </c>
      <c r="D120" s="2">
        <v>353.72</v>
      </c>
      <c r="E120" t="s">
        <v>4694</v>
      </c>
      <c r="F120" s="2">
        <v>66.95</v>
      </c>
    </row>
    <row r="121" spans="1:6" x14ac:dyDescent="0.35">
      <c r="A121" t="s">
        <v>4814</v>
      </c>
      <c r="B121" t="s">
        <v>845</v>
      </c>
      <c r="C121" s="1">
        <v>45460</v>
      </c>
      <c r="D121" s="2">
        <v>257.11</v>
      </c>
      <c r="E121" t="s">
        <v>4697</v>
      </c>
      <c r="F121" s="2">
        <v>25.59</v>
      </c>
    </row>
    <row r="122" spans="1:6" x14ac:dyDescent="0.35">
      <c r="A122" t="s">
        <v>4815</v>
      </c>
      <c r="B122" t="s">
        <v>846</v>
      </c>
      <c r="C122" s="1">
        <v>45118</v>
      </c>
      <c r="D122" s="2">
        <v>398.44</v>
      </c>
      <c r="E122" t="s">
        <v>4694</v>
      </c>
      <c r="F122" s="2">
        <v>158.09</v>
      </c>
    </row>
    <row r="123" spans="1:6" x14ac:dyDescent="0.35">
      <c r="A123" t="s">
        <v>4816</v>
      </c>
      <c r="B123" t="s">
        <v>847</v>
      </c>
      <c r="C123" s="1">
        <v>45288</v>
      </c>
      <c r="D123" s="2">
        <v>103.64</v>
      </c>
      <c r="E123" t="s">
        <v>4694</v>
      </c>
      <c r="F123" s="2">
        <v>4.82</v>
      </c>
    </row>
    <row r="124" spans="1:6" x14ac:dyDescent="0.35">
      <c r="A124" t="s">
        <v>4817</v>
      </c>
      <c r="B124" t="s">
        <v>848</v>
      </c>
      <c r="C124" s="1">
        <v>45130</v>
      </c>
      <c r="D124" s="2">
        <v>1138.1099999999999</v>
      </c>
      <c r="E124" t="s">
        <v>4694</v>
      </c>
      <c r="F124" s="2">
        <v>111.06</v>
      </c>
    </row>
    <row r="125" spans="1:6" x14ac:dyDescent="0.35">
      <c r="A125" t="s">
        <v>4818</v>
      </c>
      <c r="B125" t="s">
        <v>850</v>
      </c>
      <c r="C125" s="1">
        <v>44971</v>
      </c>
      <c r="D125" s="2">
        <v>496.82</v>
      </c>
      <c r="E125" t="s">
        <v>4694</v>
      </c>
      <c r="F125" s="2">
        <v>61.92</v>
      </c>
    </row>
    <row r="126" spans="1:6" x14ac:dyDescent="0.35">
      <c r="A126" t="s">
        <v>4819</v>
      </c>
      <c r="B126" t="s">
        <v>851</v>
      </c>
      <c r="C126" s="1">
        <v>45027</v>
      </c>
      <c r="D126" s="2">
        <v>627.08000000000004</v>
      </c>
      <c r="E126" t="s">
        <v>4694</v>
      </c>
      <c r="F126" s="2">
        <v>108.51</v>
      </c>
    </row>
    <row r="127" spans="1:6" x14ac:dyDescent="0.35">
      <c r="A127" t="s">
        <v>4820</v>
      </c>
      <c r="B127" t="s">
        <v>852</v>
      </c>
      <c r="C127" s="1">
        <v>45537</v>
      </c>
      <c r="D127" s="2">
        <v>576.65</v>
      </c>
      <c r="E127" t="s">
        <v>4694</v>
      </c>
      <c r="F127" s="2">
        <v>192.29</v>
      </c>
    </row>
    <row r="128" spans="1:6" x14ac:dyDescent="0.35">
      <c r="A128" t="s">
        <v>4821</v>
      </c>
      <c r="B128" t="s">
        <v>853</v>
      </c>
      <c r="C128" s="1">
        <v>45081</v>
      </c>
      <c r="D128" s="2">
        <v>121.09</v>
      </c>
      <c r="E128" t="s">
        <v>4694</v>
      </c>
      <c r="F128" s="2">
        <v>28.37</v>
      </c>
    </row>
    <row r="129" spans="1:6" x14ac:dyDescent="0.35">
      <c r="A129" t="s">
        <v>4822</v>
      </c>
      <c r="B129" t="s">
        <v>854</v>
      </c>
      <c r="C129" s="1">
        <v>45544</v>
      </c>
      <c r="D129" s="2">
        <v>367.08</v>
      </c>
      <c r="E129" t="s">
        <v>4694</v>
      </c>
      <c r="F129" s="2">
        <v>16.66</v>
      </c>
    </row>
    <row r="130" spans="1:6" x14ac:dyDescent="0.35">
      <c r="A130" t="s">
        <v>4823</v>
      </c>
      <c r="B130" t="s">
        <v>855</v>
      </c>
      <c r="C130" s="1">
        <v>45689</v>
      </c>
      <c r="D130" s="2">
        <v>201.53</v>
      </c>
      <c r="E130" t="s">
        <v>4694</v>
      </c>
      <c r="F130" s="2">
        <v>26.59</v>
      </c>
    </row>
    <row r="131" spans="1:6" x14ac:dyDescent="0.35">
      <c r="A131" t="s">
        <v>4824</v>
      </c>
      <c r="B131" t="s">
        <v>858</v>
      </c>
      <c r="C131" s="1">
        <v>45353</v>
      </c>
      <c r="D131" s="2">
        <v>362.75</v>
      </c>
      <c r="E131" t="s">
        <v>4694</v>
      </c>
      <c r="F131" s="2">
        <v>71.790000000000006</v>
      </c>
    </row>
    <row r="132" spans="1:6" x14ac:dyDescent="0.35">
      <c r="A132" t="s">
        <v>4825</v>
      </c>
      <c r="B132" t="s">
        <v>859</v>
      </c>
      <c r="C132" s="1">
        <v>45409</v>
      </c>
      <c r="D132" s="2">
        <v>529.20000000000005</v>
      </c>
      <c r="E132" t="s">
        <v>4694</v>
      </c>
      <c r="F132" s="2">
        <v>70.91</v>
      </c>
    </row>
    <row r="133" spans="1:6" x14ac:dyDescent="0.35">
      <c r="A133" t="s">
        <v>4826</v>
      </c>
      <c r="B133" t="s">
        <v>860</v>
      </c>
      <c r="C133" s="1">
        <v>45383</v>
      </c>
      <c r="D133" s="2">
        <v>254.75</v>
      </c>
      <c r="E133" t="s">
        <v>4694</v>
      </c>
      <c r="F133" s="2">
        <v>59.75</v>
      </c>
    </row>
    <row r="134" spans="1:6" x14ac:dyDescent="0.35">
      <c r="A134" t="s">
        <v>4827</v>
      </c>
      <c r="B134" t="s">
        <v>863</v>
      </c>
      <c r="C134" s="1">
        <v>45594</v>
      </c>
      <c r="D134" s="2">
        <v>888.54</v>
      </c>
      <c r="E134" t="s">
        <v>4694</v>
      </c>
      <c r="F134" s="2">
        <v>58.33</v>
      </c>
    </row>
    <row r="135" spans="1:6" x14ac:dyDescent="0.35">
      <c r="A135" t="s">
        <v>4828</v>
      </c>
      <c r="B135" t="s">
        <v>864</v>
      </c>
      <c r="C135" s="1">
        <v>45661</v>
      </c>
      <c r="D135" s="2">
        <v>1150.9000000000001</v>
      </c>
      <c r="E135" t="s">
        <v>4697</v>
      </c>
      <c r="F135" s="2">
        <v>372.02</v>
      </c>
    </row>
    <row r="136" spans="1:6" x14ac:dyDescent="0.35">
      <c r="A136" t="s">
        <v>4829</v>
      </c>
      <c r="B136" t="s">
        <v>865</v>
      </c>
      <c r="C136" s="1">
        <v>45440</v>
      </c>
      <c r="D136" s="2">
        <v>4243.16</v>
      </c>
      <c r="E136" t="s">
        <v>4694</v>
      </c>
      <c r="F136" s="2">
        <v>2239.7800000000002</v>
      </c>
    </row>
    <row r="137" spans="1:6" x14ac:dyDescent="0.35">
      <c r="A137" t="s">
        <v>4830</v>
      </c>
      <c r="B137" t="s">
        <v>866</v>
      </c>
      <c r="C137" s="1">
        <v>45292</v>
      </c>
      <c r="D137" s="2">
        <v>424.06</v>
      </c>
      <c r="E137" t="s">
        <v>4694</v>
      </c>
      <c r="F137" s="2">
        <v>221.03</v>
      </c>
    </row>
    <row r="138" spans="1:6" x14ac:dyDescent="0.35">
      <c r="A138" t="s">
        <v>4831</v>
      </c>
      <c r="B138" t="s">
        <v>867</v>
      </c>
      <c r="C138" s="1">
        <v>45552</v>
      </c>
      <c r="D138" s="2">
        <v>286.14999999999998</v>
      </c>
      <c r="E138" t="s">
        <v>4694</v>
      </c>
      <c r="F138" s="2">
        <v>144.44</v>
      </c>
    </row>
    <row r="139" spans="1:6" x14ac:dyDescent="0.35">
      <c r="A139" t="s">
        <v>4832</v>
      </c>
      <c r="B139" t="s">
        <v>868</v>
      </c>
      <c r="C139" s="1">
        <v>45238</v>
      </c>
      <c r="D139" s="2">
        <v>457.93</v>
      </c>
      <c r="E139" t="s">
        <v>4694</v>
      </c>
      <c r="F139" s="2">
        <v>27.37</v>
      </c>
    </row>
    <row r="140" spans="1:6" x14ac:dyDescent="0.35">
      <c r="A140" t="s">
        <v>4833</v>
      </c>
      <c r="B140" t="s">
        <v>869</v>
      </c>
      <c r="C140" s="1">
        <v>45561</v>
      </c>
      <c r="D140" s="2">
        <v>3554.36</v>
      </c>
      <c r="E140" t="s">
        <v>4694</v>
      </c>
      <c r="F140" s="2">
        <v>1234.0999999999999</v>
      </c>
    </row>
    <row r="141" spans="1:6" x14ac:dyDescent="0.35">
      <c r="A141" t="s">
        <v>4834</v>
      </c>
      <c r="B141" t="s">
        <v>870</v>
      </c>
      <c r="C141" s="1">
        <v>45609</v>
      </c>
      <c r="D141" s="2">
        <v>568.11</v>
      </c>
      <c r="E141" t="s">
        <v>4697</v>
      </c>
      <c r="F141" s="2">
        <v>172.49</v>
      </c>
    </row>
    <row r="142" spans="1:6" x14ac:dyDescent="0.35">
      <c r="A142" t="s">
        <v>4835</v>
      </c>
      <c r="B142" t="s">
        <v>872</v>
      </c>
      <c r="C142" s="1">
        <v>45548</v>
      </c>
      <c r="D142" s="2">
        <v>610.94000000000005</v>
      </c>
      <c r="E142" t="s">
        <v>4694</v>
      </c>
      <c r="F142" s="2">
        <v>302.43</v>
      </c>
    </row>
    <row r="143" spans="1:6" x14ac:dyDescent="0.35">
      <c r="A143" t="s">
        <v>4836</v>
      </c>
      <c r="B143" t="s">
        <v>873</v>
      </c>
      <c r="C143" s="1">
        <v>45298</v>
      </c>
      <c r="D143" s="2">
        <v>206.63</v>
      </c>
      <c r="E143" t="s">
        <v>4697</v>
      </c>
      <c r="F143" s="2">
        <v>13.44</v>
      </c>
    </row>
    <row r="144" spans="1:6" x14ac:dyDescent="0.35">
      <c r="A144" t="s">
        <v>4837</v>
      </c>
      <c r="B144" t="s">
        <v>874</v>
      </c>
      <c r="C144" s="1">
        <v>44986</v>
      </c>
      <c r="D144" s="2">
        <v>387.54</v>
      </c>
      <c r="E144" t="s">
        <v>4694</v>
      </c>
      <c r="F144" s="2">
        <v>81.17</v>
      </c>
    </row>
    <row r="145" spans="1:6" x14ac:dyDescent="0.35">
      <c r="A145" t="s">
        <v>4838</v>
      </c>
      <c r="B145" t="s">
        <v>875</v>
      </c>
      <c r="C145" s="1">
        <v>45009</v>
      </c>
      <c r="D145" s="2">
        <v>159.56</v>
      </c>
      <c r="E145" t="s">
        <v>4694</v>
      </c>
      <c r="F145" s="2">
        <v>25.35</v>
      </c>
    </row>
    <row r="146" spans="1:6" x14ac:dyDescent="0.35">
      <c r="A146" t="s">
        <v>4839</v>
      </c>
      <c r="B146" t="s">
        <v>876</v>
      </c>
      <c r="C146" s="1">
        <v>45636</v>
      </c>
      <c r="D146" s="2">
        <v>629.54</v>
      </c>
      <c r="E146" t="s">
        <v>4694</v>
      </c>
      <c r="F146" s="2">
        <v>102.37</v>
      </c>
    </row>
    <row r="147" spans="1:6" x14ac:dyDescent="0.35">
      <c r="A147" t="s">
        <v>4840</v>
      </c>
      <c r="B147" t="s">
        <v>877</v>
      </c>
      <c r="C147" s="1">
        <v>45386</v>
      </c>
      <c r="D147" s="2">
        <v>147.97999999999999</v>
      </c>
      <c r="E147" t="s">
        <v>4694</v>
      </c>
      <c r="F147" s="2">
        <v>22.17</v>
      </c>
    </row>
    <row r="148" spans="1:6" x14ac:dyDescent="0.35">
      <c r="A148" t="s">
        <v>4841</v>
      </c>
      <c r="B148" t="s">
        <v>878</v>
      </c>
      <c r="C148" s="1">
        <v>45550</v>
      </c>
      <c r="D148" s="2">
        <v>158.79</v>
      </c>
      <c r="E148" t="s">
        <v>4694</v>
      </c>
      <c r="F148" s="2">
        <v>89.16</v>
      </c>
    </row>
    <row r="149" spans="1:6" x14ac:dyDescent="0.35">
      <c r="A149" t="s">
        <v>4842</v>
      </c>
      <c r="B149" t="s">
        <v>879</v>
      </c>
      <c r="C149" s="1">
        <v>45147</v>
      </c>
      <c r="D149" s="2">
        <v>425.43</v>
      </c>
      <c r="E149" t="s">
        <v>4694</v>
      </c>
      <c r="F149" s="2">
        <v>103.4</v>
      </c>
    </row>
    <row r="150" spans="1:6" x14ac:dyDescent="0.35">
      <c r="A150" t="s">
        <v>4843</v>
      </c>
      <c r="B150" t="s">
        <v>880</v>
      </c>
      <c r="C150" s="1">
        <v>45507</v>
      </c>
      <c r="D150" s="2">
        <v>263.07</v>
      </c>
      <c r="E150" t="s">
        <v>4694</v>
      </c>
      <c r="F150" s="2">
        <v>125.08</v>
      </c>
    </row>
    <row r="151" spans="1:6" x14ac:dyDescent="0.35">
      <c r="A151" t="s">
        <v>4844</v>
      </c>
      <c r="B151" t="s">
        <v>881</v>
      </c>
      <c r="C151" s="1">
        <v>45584</v>
      </c>
      <c r="D151" s="2">
        <v>4331.71</v>
      </c>
      <c r="E151" t="s">
        <v>4694</v>
      </c>
      <c r="F151" s="2">
        <v>2483.31</v>
      </c>
    </row>
    <row r="152" spans="1:6" x14ac:dyDescent="0.35">
      <c r="A152" t="s">
        <v>4845</v>
      </c>
      <c r="B152" t="s">
        <v>884</v>
      </c>
      <c r="C152" s="1">
        <v>45582</v>
      </c>
      <c r="D152" s="2">
        <v>413.24</v>
      </c>
      <c r="E152" t="s">
        <v>4694</v>
      </c>
      <c r="F152" s="2">
        <v>62.28</v>
      </c>
    </row>
    <row r="153" spans="1:6" x14ac:dyDescent="0.35">
      <c r="A153" t="s">
        <v>4846</v>
      </c>
      <c r="B153" t="s">
        <v>885</v>
      </c>
      <c r="C153" s="1">
        <v>45529</v>
      </c>
      <c r="D153" s="2">
        <v>307.7</v>
      </c>
      <c r="E153" t="s">
        <v>4694</v>
      </c>
      <c r="F153" s="2">
        <v>13.25</v>
      </c>
    </row>
    <row r="154" spans="1:6" x14ac:dyDescent="0.35">
      <c r="A154" t="s">
        <v>4847</v>
      </c>
      <c r="B154" t="s">
        <v>886</v>
      </c>
      <c r="C154" s="1">
        <v>45492</v>
      </c>
      <c r="D154" s="2">
        <v>34.17</v>
      </c>
      <c r="E154" t="s">
        <v>4694</v>
      </c>
      <c r="F154" s="2">
        <v>20.34</v>
      </c>
    </row>
    <row r="155" spans="1:6" x14ac:dyDescent="0.35">
      <c r="A155" t="s">
        <v>4848</v>
      </c>
      <c r="B155" t="s">
        <v>887</v>
      </c>
      <c r="C155" s="1">
        <v>45477</v>
      </c>
      <c r="D155" s="2">
        <v>1177.26</v>
      </c>
      <c r="E155" t="s">
        <v>4694</v>
      </c>
      <c r="F155" s="2">
        <v>232.07</v>
      </c>
    </row>
    <row r="156" spans="1:6" x14ac:dyDescent="0.35">
      <c r="A156" t="s">
        <v>4849</v>
      </c>
      <c r="B156" t="s">
        <v>888</v>
      </c>
      <c r="C156" s="1">
        <v>44997</v>
      </c>
      <c r="D156" s="2">
        <v>238.53</v>
      </c>
      <c r="E156" t="s">
        <v>4694</v>
      </c>
      <c r="F156" s="2">
        <v>50.56</v>
      </c>
    </row>
    <row r="157" spans="1:6" x14ac:dyDescent="0.35">
      <c r="A157" t="s">
        <v>4850</v>
      </c>
      <c r="B157" t="s">
        <v>889</v>
      </c>
      <c r="C157" s="1">
        <v>45089</v>
      </c>
      <c r="D157" s="2">
        <v>3775.88</v>
      </c>
      <c r="E157" t="s">
        <v>4694</v>
      </c>
      <c r="F157" s="2">
        <v>874.46</v>
      </c>
    </row>
    <row r="158" spans="1:6" x14ac:dyDescent="0.35">
      <c r="A158" t="s">
        <v>4851</v>
      </c>
      <c r="B158" t="s">
        <v>890</v>
      </c>
      <c r="C158" s="1">
        <v>45012</v>
      </c>
      <c r="D158" s="2">
        <v>1520.84</v>
      </c>
      <c r="E158" t="s">
        <v>4694</v>
      </c>
      <c r="F158" s="2">
        <v>549.05999999999995</v>
      </c>
    </row>
    <row r="159" spans="1:6" x14ac:dyDescent="0.35">
      <c r="A159" t="s">
        <v>4852</v>
      </c>
      <c r="B159" t="s">
        <v>892</v>
      </c>
      <c r="C159" s="1">
        <v>45078</v>
      </c>
      <c r="D159" s="2">
        <v>371.1</v>
      </c>
      <c r="E159" t="s">
        <v>4694</v>
      </c>
      <c r="F159" s="2">
        <v>85.51</v>
      </c>
    </row>
    <row r="160" spans="1:6" x14ac:dyDescent="0.35">
      <c r="A160" t="s">
        <v>4853</v>
      </c>
      <c r="B160" t="s">
        <v>893</v>
      </c>
      <c r="C160" s="1">
        <v>45097</v>
      </c>
      <c r="D160" s="2">
        <v>644.77</v>
      </c>
      <c r="E160" t="s">
        <v>4694</v>
      </c>
      <c r="F160" s="2">
        <v>80.87</v>
      </c>
    </row>
    <row r="161" spans="1:6" x14ac:dyDescent="0.35">
      <c r="A161" t="s">
        <v>4854</v>
      </c>
      <c r="B161" t="s">
        <v>894</v>
      </c>
      <c r="C161" s="1">
        <v>45403</v>
      </c>
      <c r="D161" s="2">
        <v>1835.4</v>
      </c>
      <c r="E161" t="s">
        <v>4694</v>
      </c>
      <c r="F161" s="2">
        <v>464.75</v>
      </c>
    </row>
    <row r="162" spans="1:6" x14ac:dyDescent="0.35">
      <c r="A162" t="s">
        <v>4855</v>
      </c>
      <c r="B162" t="s">
        <v>896</v>
      </c>
      <c r="C162" s="1">
        <v>45621</v>
      </c>
      <c r="D162" s="2">
        <v>300.95999999999998</v>
      </c>
      <c r="E162" t="s">
        <v>4694</v>
      </c>
      <c r="F162" s="2">
        <v>59.08</v>
      </c>
    </row>
    <row r="163" spans="1:6" x14ac:dyDescent="0.35">
      <c r="A163" t="s">
        <v>4856</v>
      </c>
      <c r="B163" t="s">
        <v>897</v>
      </c>
      <c r="C163" s="1">
        <v>45063</v>
      </c>
      <c r="D163" s="2">
        <v>80.73</v>
      </c>
      <c r="E163" t="s">
        <v>4694</v>
      </c>
      <c r="F163" s="2">
        <v>12.79</v>
      </c>
    </row>
    <row r="164" spans="1:6" x14ac:dyDescent="0.35">
      <c r="A164" t="s">
        <v>4857</v>
      </c>
      <c r="B164" t="s">
        <v>899</v>
      </c>
      <c r="C164" s="1">
        <v>45290</v>
      </c>
      <c r="D164" s="2">
        <v>77.16</v>
      </c>
      <c r="E164" t="s">
        <v>4694</v>
      </c>
      <c r="F164" s="2">
        <v>36.07</v>
      </c>
    </row>
    <row r="165" spans="1:6" x14ac:dyDescent="0.35">
      <c r="A165" t="s">
        <v>4858</v>
      </c>
      <c r="B165" t="s">
        <v>902</v>
      </c>
      <c r="C165" s="1">
        <v>45597</v>
      </c>
      <c r="D165" s="2">
        <v>182</v>
      </c>
      <c r="E165" t="s">
        <v>4694</v>
      </c>
      <c r="F165" s="2">
        <v>8.99</v>
      </c>
    </row>
    <row r="166" spans="1:6" x14ac:dyDescent="0.35">
      <c r="A166" t="s">
        <v>4859</v>
      </c>
      <c r="B166" t="s">
        <v>904</v>
      </c>
      <c r="C166" s="1">
        <v>45689</v>
      </c>
      <c r="D166" s="2">
        <v>731.25</v>
      </c>
      <c r="E166" t="s">
        <v>4694</v>
      </c>
      <c r="F166" s="2">
        <v>437.11</v>
      </c>
    </row>
    <row r="167" spans="1:6" x14ac:dyDescent="0.35">
      <c r="A167" t="s">
        <v>4860</v>
      </c>
      <c r="B167" t="s">
        <v>905</v>
      </c>
      <c r="C167" s="1">
        <v>45212</v>
      </c>
      <c r="D167" s="2">
        <v>276.58</v>
      </c>
      <c r="E167" t="s">
        <v>4694</v>
      </c>
      <c r="F167" s="2">
        <v>41.24</v>
      </c>
    </row>
    <row r="168" spans="1:6" x14ac:dyDescent="0.35">
      <c r="A168" t="s">
        <v>4861</v>
      </c>
      <c r="B168" t="s">
        <v>906</v>
      </c>
      <c r="C168" s="1">
        <v>45516</v>
      </c>
      <c r="D168" s="2">
        <v>620.89</v>
      </c>
      <c r="E168" t="s">
        <v>4694</v>
      </c>
      <c r="F168" s="2">
        <v>228.81</v>
      </c>
    </row>
    <row r="169" spans="1:6" x14ac:dyDescent="0.35">
      <c r="A169" t="s">
        <v>4862</v>
      </c>
      <c r="B169" t="s">
        <v>907</v>
      </c>
      <c r="C169" s="1">
        <v>44984</v>
      </c>
      <c r="D169" s="2">
        <v>617.41999999999996</v>
      </c>
      <c r="E169" t="s">
        <v>4694</v>
      </c>
      <c r="F169" s="2">
        <v>112.89</v>
      </c>
    </row>
    <row r="170" spans="1:6" x14ac:dyDescent="0.35">
      <c r="A170" t="s">
        <v>4863</v>
      </c>
      <c r="B170" t="s">
        <v>908</v>
      </c>
      <c r="C170" s="1">
        <v>45366</v>
      </c>
      <c r="D170" s="2">
        <v>1640.68</v>
      </c>
      <c r="E170" t="s">
        <v>4694</v>
      </c>
      <c r="F170" s="2">
        <v>514.52</v>
      </c>
    </row>
    <row r="171" spans="1:6" x14ac:dyDescent="0.35">
      <c r="A171" t="s">
        <v>4864</v>
      </c>
      <c r="B171" t="s">
        <v>909</v>
      </c>
      <c r="C171" s="1">
        <v>45244</v>
      </c>
      <c r="D171" s="2">
        <v>3093.66</v>
      </c>
      <c r="E171" t="s">
        <v>4694</v>
      </c>
      <c r="F171" s="2">
        <v>1895.64</v>
      </c>
    </row>
    <row r="172" spans="1:6" x14ac:dyDescent="0.35">
      <c r="A172" t="s">
        <v>4865</v>
      </c>
      <c r="B172" t="s">
        <v>911</v>
      </c>
      <c r="C172" s="1">
        <v>45111</v>
      </c>
      <c r="D172" s="2">
        <v>322.89</v>
      </c>
      <c r="E172" t="s">
        <v>4694</v>
      </c>
      <c r="F172" s="2">
        <v>70.42</v>
      </c>
    </row>
    <row r="173" spans="1:6" x14ac:dyDescent="0.35">
      <c r="A173" t="s">
        <v>4866</v>
      </c>
      <c r="B173" t="s">
        <v>912</v>
      </c>
      <c r="C173" s="1">
        <v>45330</v>
      </c>
      <c r="D173" s="2">
        <v>118.38</v>
      </c>
      <c r="E173" t="s">
        <v>4694</v>
      </c>
      <c r="F173" s="2">
        <v>20.57</v>
      </c>
    </row>
    <row r="174" spans="1:6" x14ac:dyDescent="0.35">
      <c r="A174" t="s">
        <v>4867</v>
      </c>
      <c r="B174" t="s">
        <v>913</v>
      </c>
      <c r="C174" s="1">
        <v>45031</v>
      </c>
      <c r="D174" s="2">
        <v>778.03</v>
      </c>
      <c r="E174" t="s">
        <v>4694</v>
      </c>
      <c r="F174" s="2">
        <v>74.239999999999995</v>
      </c>
    </row>
    <row r="175" spans="1:6" x14ac:dyDescent="0.35">
      <c r="A175" t="s">
        <v>4868</v>
      </c>
      <c r="B175" t="s">
        <v>914</v>
      </c>
      <c r="C175" s="1">
        <v>45178</v>
      </c>
      <c r="D175" s="2">
        <v>308.82</v>
      </c>
      <c r="E175" t="s">
        <v>4694</v>
      </c>
      <c r="F175" s="2">
        <v>141.44999999999999</v>
      </c>
    </row>
    <row r="176" spans="1:6" x14ac:dyDescent="0.35">
      <c r="A176" t="s">
        <v>4869</v>
      </c>
      <c r="B176" t="s">
        <v>915</v>
      </c>
      <c r="C176" s="1">
        <v>45614</v>
      </c>
      <c r="D176" s="2">
        <v>904.32</v>
      </c>
      <c r="E176" t="s">
        <v>4694</v>
      </c>
      <c r="F176" s="2">
        <v>522.11</v>
      </c>
    </row>
    <row r="177" spans="1:6" x14ac:dyDescent="0.35">
      <c r="A177" t="s">
        <v>4870</v>
      </c>
      <c r="B177" t="s">
        <v>916</v>
      </c>
      <c r="C177" s="1">
        <v>45329</v>
      </c>
      <c r="D177" s="2">
        <v>324.77999999999997</v>
      </c>
      <c r="E177" t="s">
        <v>4694</v>
      </c>
      <c r="F177" s="2">
        <v>19.55</v>
      </c>
    </row>
    <row r="178" spans="1:6" x14ac:dyDescent="0.35">
      <c r="A178" t="s">
        <v>4871</v>
      </c>
      <c r="B178" t="s">
        <v>918</v>
      </c>
      <c r="C178" s="1">
        <v>45022</v>
      </c>
      <c r="D178" s="2">
        <v>106.55</v>
      </c>
      <c r="E178" t="s">
        <v>4694</v>
      </c>
      <c r="F178" s="2">
        <v>41.89</v>
      </c>
    </row>
    <row r="179" spans="1:6" x14ac:dyDescent="0.35">
      <c r="A179" t="s">
        <v>4872</v>
      </c>
      <c r="B179" t="s">
        <v>919</v>
      </c>
      <c r="C179" s="1">
        <v>45706</v>
      </c>
      <c r="D179" s="2">
        <v>552.41</v>
      </c>
      <c r="E179" t="s">
        <v>4694</v>
      </c>
      <c r="F179" s="2">
        <v>237.04</v>
      </c>
    </row>
    <row r="180" spans="1:6" x14ac:dyDescent="0.35">
      <c r="A180" t="s">
        <v>4873</v>
      </c>
      <c r="B180" t="s">
        <v>920</v>
      </c>
      <c r="C180" s="1">
        <v>45591</v>
      </c>
      <c r="D180" s="2">
        <v>773.64</v>
      </c>
      <c r="E180" t="s">
        <v>4697</v>
      </c>
      <c r="F180" s="2">
        <v>72.989999999999995</v>
      </c>
    </row>
    <row r="181" spans="1:6" x14ac:dyDescent="0.35">
      <c r="A181" t="s">
        <v>4874</v>
      </c>
      <c r="B181" t="s">
        <v>921</v>
      </c>
      <c r="C181" s="1">
        <v>45550</v>
      </c>
      <c r="D181" s="2">
        <v>892.24</v>
      </c>
      <c r="E181" t="s">
        <v>4697</v>
      </c>
      <c r="F181" s="2">
        <v>413.05</v>
      </c>
    </row>
    <row r="182" spans="1:6" x14ac:dyDescent="0.35">
      <c r="A182" t="s">
        <v>4875</v>
      </c>
      <c r="B182" t="s">
        <v>922</v>
      </c>
      <c r="C182" s="1">
        <v>45341</v>
      </c>
      <c r="D182" s="2">
        <v>965.14</v>
      </c>
      <c r="E182" t="s">
        <v>4694</v>
      </c>
      <c r="F182" s="2">
        <v>509.06</v>
      </c>
    </row>
    <row r="183" spans="1:6" x14ac:dyDescent="0.35">
      <c r="A183" t="s">
        <v>4876</v>
      </c>
      <c r="B183" t="s">
        <v>923</v>
      </c>
      <c r="C183" s="1">
        <v>45653</v>
      </c>
      <c r="D183" s="2">
        <v>824.95</v>
      </c>
      <c r="E183" t="s">
        <v>4694</v>
      </c>
      <c r="F183" s="2">
        <v>69.430000000000007</v>
      </c>
    </row>
    <row r="184" spans="1:6" x14ac:dyDescent="0.35">
      <c r="A184" t="s">
        <v>4877</v>
      </c>
      <c r="B184" t="s">
        <v>924</v>
      </c>
      <c r="C184" s="1">
        <v>45025</v>
      </c>
      <c r="D184" s="2">
        <v>375.29</v>
      </c>
      <c r="E184" t="s">
        <v>4694</v>
      </c>
      <c r="F184" s="2">
        <v>124.84</v>
      </c>
    </row>
    <row r="185" spans="1:6" x14ac:dyDescent="0.35">
      <c r="A185" t="s">
        <v>4878</v>
      </c>
      <c r="B185" t="s">
        <v>926</v>
      </c>
      <c r="C185" s="1">
        <v>45406</v>
      </c>
      <c r="D185" s="2">
        <v>623.20000000000005</v>
      </c>
      <c r="E185" t="s">
        <v>4694</v>
      </c>
      <c r="F185" s="2">
        <v>126.57</v>
      </c>
    </row>
    <row r="186" spans="1:6" x14ac:dyDescent="0.35">
      <c r="A186" t="s">
        <v>4879</v>
      </c>
      <c r="B186" t="s">
        <v>927</v>
      </c>
      <c r="C186" s="1">
        <v>45018</v>
      </c>
      <c r="D186" s="2">
        <v>164.08</v>
      </c>
      <c r="E186" t="s">
        <v>4694</v>
      </c>
      <c r="F186" s="2">
        <v>58.46</v>
      </c>
    </row>
    <row r="187" spans="1:6" x14ac:dyDescent="0.35">
      <c r="A187" t="s">
        <v>4880</v>
      </c>
      <c r="B187" t="s">
        <v>929</v>
      </c>
      <c r="C187" s="1">
        <v>45016</v>
      </c>
      <c r="D187" s="2">
        <v>770.77</v>
      </c>
      <c r="E187" t="s">
        <v>4694</v>
      </c>
      <c r="F187" s="2">
        <v>110.17</v>
      </c>
    </row>
    <row r="188" spans="1:6" x14ac:dyDescent="0.35">
      <c r="A188" t="s">
        <v>4881</v>
      </c>
      <c r="B188" t="s">
        <v>930</v>
      </c>
      <c r="C188" s="1">
        <v>45040</v>
      </c>
      <c r="D188" s="2">
        <v>2752.88</v>
      </c>
      <c r="E188" t="s">
        <v>4694</v>
      </c>
      <c r="F188" s="2">
        <v>1405.05</v>
      </c>
    </row>
    <row r="189" spans="1:6" x14ac:dyDescent="0.35">
      <c r="A189" t="s">
        <v>4882</v>
      </c>
      <c r="B189" t="s">
        <v>931</v>
      </c>
      <c r="C189" s="1">
        <v>45500</v>
      </c>
      <c r="D189" s="2">
        <v>42.3</v>
      </c>
      <c r="E189" t="s">
        <v>4697</v>
      </c>
      <c r="F189" s="2">
        <v>11.09</v>
      </c>
    </row>
    <row r="190" spans="1:6" x14ac:dyDescent="0.35">
      <c r="A190" t="s">
        <v>4883</v>
      </c>
      <c r="B190" t="s">
        <v>932</v>
      </c>
      <c r="C190" s="1">
        <v>45187</v>
      </c>
      <c r="D190" s="2">
        <v>98.15</v>
      </c>
      <c r="E190" t="s">
        <v>4694</v>
      </c>
      <c r="F190" s="2">
        <v>25.28</v>
      </c>
    </row>
    <row r="191" spans="1:6" x14ac:dyDescent="0.35">
      <c r="A191" t="s">
        <v>4884</v>
      </c>
      <c r="B191" t="s">
        <v>934</v>
      </c>
      <c r="C191" s="1">
        <v>45385</v>
      </c>
      <c r="D191" s="2">
        <v>3276.97</v>
      </c>
      <c r="E191" t="s">
        <v>4694</v>
      </c>
      <c r="F191" s="2">
        <v>1044.42</v>
      </c>
    </row>
    <row r="192" spans="1:6" x14ac:dyDescent="0.35">
      <c r="A192" t="s">
        <v>4885</v>
      </c>
      <c r="B192" t="s">
        <v>939</v>
      </c>
      <c r="C192" s="1">
        <v>45662</v>
      </c>
      <c r="D192" s="2">
        <v>808.82</v>
      </c>
      <c r="E192" t="s">
        <v>4694</v>
      </c>
      <c r="F192" s="2">
        <v>83.15</v>
      </c>
    </row>
    <row r="193" spans="1:6" x14ac:dyDescent="0.35">
      <c r="A193" t="s">
        <v>4886</v>
      </c>
      <c r="B193" t="s">
        <v>940</v>
      </c>
      <c r="C193" s="1">
        <v>45265</v>
      </c>
      <c r="D193" s="2">
        <v>256.81</v>
      </c>
      <c r="E193" t="s">
        <v>4694</v>
      </c>
      <c r="F193" s="2">
        <v>149.97</v>
      </c>
    </row>
    <row r="194" spans="1:6" x14ac:dyDescent="0.35">
      <c r="A194" t="s">
        <v>4887</v>
      </c>
      <c r="B194" t="s">
        <v>941</v>
      </c>
      <c r="C194" s="1">
        <v>45461</v>
      </c>
      <c r="D194" s="2">
        <v>1336.09</v>
      </c>
      <c r="E194" t="s">
        <v>4694</v>
      </c>
      <c r="F194" s="2">
        <v>799.19</v>
      </c>
    </row>
    <row r="195" spans="1:6" x14ac:dyDescent="0.35">
      <c r="A195" t="s">
        <v>4888</v>
      </c>
      <c r="B195" t="s">
        <v>942</v>
      </c>
      <c r="C195" s="1">
        <v>45234</v>
      </c>
      <c r="D195" s="2">
        <v>293</v>
      </c>
      <c r="E195" t="s">
        <v>4694</v>
      </c>
      <c r="F195" s="2">
        <v>26.7</v>
      </c>
    </row>
    <row r="196" spans="1:6" x14ac:dyDescent="0.35">
      <c r="A196" t="s">
        <v>4889</v>
      </c>
      <c r="B196" t="s">
        <v>944</v>
      </c>
      <c r="C196" s="1">
        <v>44967</v>
      </c>
      <c r="D196" s="2">
        <v>124.21</v>
      </c>
      <c r="E196" t="s">
        <v>4694</v>
      </c>
      <c r="F196" s="2">
        <v>70.09</v>
      </c>
    </row>
    <row r="197" spans="1:6" x14ac:dyDescent="0.35">
      <c r="A197" t="s">
        <v>4890</v>
      </c>
      <c r="B197" t="s">
        <v>949</v>
      </c>
      <c r="C197" s="1">
        <v>45427</v>
      </c>
      <c r="D197" s="2">
        <v>496.2</v>
      </c>
      <c r="E197" t="s">
        <v>4694</v>
      </c>
      <c r="F197" s="2">
        <v>166.57</v>
      </c>
    </row>
    <row r="198" spans="1:6" x14ac:dyDescent="0.35">
      <c r="A198" t="s">
        <v>4891</v>
      </c>
      <c r="B198" t="s">
        <v>950</v>
      </c>
      <c r="C198" s="1">
        <v>45547</v>
      </c>
      <c r="D198" s="2">
        <v>206</v>
      </c>
      <c r="E198" t="s">
        <v>4694</v>
      </c>
      <c r="F198" s="2">
        <v>110.91</v>
      </c>
    </row>
    <row r="199" spans="1:6" x14ac:dyDescent="0.35">
      <c r="A199" t="s">
        <v>4892</v>
      </c>
      <c r="B199" t="s">
        <v>951</v>
      </c>
      <c r="C199" s="1">
        <v>45011</v>
      </c>
      <c r="D199" s="2">
        <v>1329.73</v>
      </c>
      <c r="E199" t="s">
        <v>4697</v>
      </c>
      <c r="F199" s="2">
        <v>98.32</v>
      </c>
    </row>
    <row r="200" spans="1:6" x14ac:dyDescent="0.35">
      <c r="A200" t="s">
        <v>4893</v>
      </c>
      <c r="B200" t="s">
        <v>952</v>
      </c>
      <c r="C200" s="1">
        <v>45529</v>
      </c>
      <c r="D200" s="2">
        <v>458.71</v>
      </c>
      <c r="E200" t="s">
        <v>4694</v>
      </c>
      <c r="F200" s="2">
        <v>252.58</v>
      </c>
    </row>
    <row r="201" spans="1:6" x14ac:dyDescent="0.35">
      <c r="A201" t="s">
        <v>4894</v>
      </c>
      <c r="B201" t="s">
        <v>953</v>
      </c>
      <c r="C201" s="1">
        <v>45521</v>
      </c>
      <c r="D201" s="2">
        <v>670.66</v>
      </c>
      <c r="E201" t="s">
        <v>4694</v>
      </c>
      <c r="F201" s="2">
        <v>172.39</v>
      </c>
    </row>
    <row r="202" spans="1:6" x14ac:dyDescent="0.35">
      <c r="A202" t="s">
        <v>4895</v>
      </c>
      <c r="B202" t="s">
        <v>956</v>
      </c>
      <c r="C202" s="1">
        <v>45174</v>
      </c>
      <c r="D202" s="2">
        <v>137.88999999999999</v>
      </c>
      <c r="E202" t="s">
        <v>4694</v>
      </c>
      <c r="F202" s="2">
        <v>32.74</v>
      </c>
    </row>
    <row r="203" spans="1:6" x14ac:dyDescent="0.35">
      <c r="A203" t="s">
        <v>4896</v>
      </c>
      <c r="B203" t="s">
        <v>957</v>
      </c>
      <c r="C203" s="1">
        <v>45512</v>
      </c>
      <c r="D203" s="2">
        <v>926.69</v>
      </c>
      <c r="E203" t="s">
        <v>4694</v>
      </c>
      <c r="F203" s="2">
        <v>330.09</v>
      </c>
    </row>
    <row r="204" spans="1:6" x14ac:dyDescent="0.35">
      <c r="A204" t="s">
        <v>4897</v>
      </c>
      <c r="B204" t="s">
        <v>958</v>
      </c>
      <c r="C204" s="1">
        <v>45421</v>
      </c>
      <c r="D204" s="2">
        <v>161.4</v>
      </c>
      <c r="E204" t="s">
        <v>4694</v>
      </c>
      <c r="F204" s="2">
        <v>61.17</v>
      </c>
    </row>
    <row r="205" spans="1:6" x14ac:dyDescent="0.35">
      <c r="A205" t="s">
        <v>4898</v>
      </c>
      <c r="B205" t="s">
        <v>959</v>
      </c>
      <c r="C205" s="1">
        <v>45419</v>
      </c>
      <c r="D205" s="2">
        <v>1049.03</v>
      </c>
      <c r="E205" t="s">
        <v>4697</v>
      </c>
      <c r="F205" s="2">
        <v>504.62</v>
      </c>
    </row>
    <row r="206" spans="1:6" x14ac:dyDescent="0.35">
      <c r="A206" t="s">
        <v>4899</v>
      </c>
      <c r="B206" t="s">
        <v>960</v>
      </c>
      <c r="C206" s="1">
        <v>45209</v>
      </c>
      <c r="D206" s="2">
        <v>465.53</v>
      </c>
      <c r="E206" t="s">
        <v>4694</v>
      </c>
      <c r="F206" s="2">
        <v>184.91</v>
      </c>
    </row>
    <row r="207" spans="1:6" x14ac:dyDescent="0.35">
      <c r="A207" t="s">
        <v>4900</v>
      </c>
      <c r="B207" t="s">
        <v>961</v>
      </c>
      <c r="C207" s="1">
        <v>45347</v>
      </c>
      <c r="D207" s="2">
        <v>1268.72</v>
      </c>
      <c r="E207" t="s">
        <v>4694</v>
      </c>
      <c r="F207" s="2">
        <v>420.17</v>
      </c>
    </row>
    <row r="208" spans="1:6" x14ac:dyDescent="0.35">
      <c r="A208" t="s">
        <v>4901</v>
      </c>
      <c r="B208" t="s">
        <v>962</v>
      </c>
      <c r="C208" s="1">
        <v>45345</v>
      </c>
      <c r="D208" s="2">
        <v>437.94</v>
      </c>
      <c r="E208" t="s">
        <v>4694</v>
      </c>
      <c r="F208" s="2">
        <v>133.54</v>
      </c>
    </row>
    <row r="209" spans="1:6" x14ac:dyDescent="0.35">
      <c r="A209" t="s">
        <v>4902</v>
      </c>
      <c r="B209" t="s">
        <v>963</v>
      </c>
      <c r="C209" s="1">
        <v>45199</v>
      </c>
      <c r="D209" s="2">
        <v>6117.58</v>
      </c>
      <c r="E209" t="s">
        <v>4694</v>
      </c>
      <c r="F209" s="2">
        <v>498.75</v>
      </c>
    </row>
    <row r="210" spans="1:6" x14ac:dyDescent="0.35">
      <c r="A210" t="s">
        <v>4903</v>
      </c>
      <c r="B210" t="s">
        <v>964</v>
      </c>
      <c r="C210" s="1">
        <v>45240</v>
      </c>
      <c r="D210" s="2">
        <v>546.72</v>
      </c>
      <c r="E210" t="s">
        <v>4694</v>
      </c>
      <c r="F210" s="2">
        <v>222.8</v>
      </c>
    </row>
    <row r="211" spans="1:6" x14ac:dyDescent="0.35">
      <c r="A211" t="s">
        <v>4904</v>
      </c>
      <c r="B211" t="s">
        <v>965</v>
      </c>
      <c r="C211" s="1">
        <v>45594</v>
      </c>
      <c r="D211" s="2">
        <v>1051.8399999999999</v>
      </c>
      <c r="E211" t="s">
        <v>4694</v>
      </c>
      <c r="F211" s="2">
        <v>389.83</v>
      </c>
    </row>
    <row r="212" spans="1:6" x14ac:dyDescent="0.35">
      <c r="A212" t="s">
        <v>4905</v>
      </c>
      <c r="B212" t="s">
        <v>966</v>
      </c>
      <c r="C212" s="1">
        <v>44997</v>
      </c>
      <c r="D212" s="2">
        <v>1686.71</v>
      </c>
      <c r="E212" t="s">
        <v>4694</v>
      </c>
      <c r="F212" s="2">
        <v>353.61</v>
      </c>
    </row>
    <row r="213" spans="1:6" x14ac:dyDescent="0.35">
      <c r="A213" t="s">
        <v>4906</v>
      </c>
      <c r="B213" t="s">
        <v>967</v>
      </c>
      <c r="C213" s="1">
        <v>45434</v>
      </c>
      <c r="D213" s="2">
        <v>1540.82</v>
      </c>
      <c r="E213" t="s">
        <v>4697</v>
      </c>
      <c r="F213" s="2">
        <v>495.06</v>
      </c>
    </row>
    <row r="214" spans="1:6" x14ac:dyDescent="0.35">
      <c r="A214" t="s">
        <v>4907</v>
      </c>
      <c r="B214" t="s">
        <v>968</v>
      </c>
      <c r="C214" s="1">
        <v>45186</v>
      </c>
      <c r="D214" s="2">
        <v>368.88</v>
      </c>
      <c r="E214" t="s">
        <v>4694</v>
      </c>
      <c r="F214" s="2">
        <v>50.28</v>
      </c>
    </row>
    <row r="215" spans="1:6" x14ac:dyDescent="0.35">
      <c r="A215" t="s">
        <v>4908</v>
      </c>
      <c r="B215" t="s">
        <v>970</v>
      </c>
      <c r="C215" s="1">
        <v>45483</v>
      </c>
      <c r="D215" s="2">
        <v>481.19</v>
      </c>
      <c r="E215" t="s">
        <v>4694</v>
      </c>
      <c r="F215" s="2">
        <v>29.14</v>
      </c>
    </row>
    <row r="216" spans="1:6" x14ac:dyDescent="0.35">
      <c r="A216" t="s">
        <v>4909</v>
      </c>
      <c r="B216" t="s">
        <v>971</v>
      </c>
      <c r="C216" s="1">
        <v>45552</v>
      </c>
      <c r="D216" s="2">
        <v>3523.59</v>
      </c>
      <c r="E216" t="s">
        <v>4694</v>
      </c>
      <c r="F216" s="2">
        <v>1926.45</v>
      </c>
    </row>
    <row r="217" spans="1:6" x14ac:dyDescent="0.35">
      <c r="A217" t="s">
        <v>4910</v>
      </c>
      <c r="B217" t="s">
        <v>972</v>
      </c>
      <c r="C217" s="1">
        <v>45652</v>
      </c>
      <c r="D217" s="2">
        <v>508.74</v>
      </c>
      <c r="E217" t="s">
        <v>4694</v>
      </c>
      <c r="F217" s="2">
        <v>206.17</v>
      </c>
    </row>
    <row r="218" spans="1:6" x14ac:dyDescent="0.35">
      <c r="A218" t="s">
        <v>4911</v>
      </c>
      <c r="B218" t="s">
        <v>973</v>
      </c>
      <c r="C218" s="1">
        <v>45558</v>
      </c>
      <c r="D218" s="2">
        <v>4651.58</v>
      </c>
      <c r="E218" t="s">
        <v>4694</v>
      </c>
      <c r="F218" s="2">
        <v>1483</v>
      </c>
    </row>
    <row r="219" spans="1:6" x14ac:dyDescent="0.35">
      <c r="A219" t="s">
        <v>4912</v>
      </c>
      <c r="B219" t="s">
        <v>975</v>
      </c>
      <c r="C219" s="1">
        <v>45231</v>
      </c>
      <c r="D219" s="2">
        <v>117.46</v>
      </c>
      <c r="E219" t="s">
        <v>4694</v>
      </c>
      <c r="F219" s="2">
        <v>13.93</v>
      </c>
    </row>
    <row r="220" spans="1:6" x14ac:dyDescent="0.35">
      <c r="A220" t="s">
        <v>4913</v>
      </c>
      <c r="B220" t="s">
        <v>976</v>
      </c>
      <c r="C220" s="1">
        <v>45310</v>
      </c>
      <c r="D220" s="2">
        <v>2288.3000000000002</v>
      </c>
      <c r="E220" t="s">
        <v>4694</v>
      </c>
      <c r="F220" s="2">
        <v>420.41</v>
      </c>
    </row>
    <row r="221" spans="1:6" x14ac:dyDescent="0.35">
      <c r="A221" t="s">
        <v>4914</v>
      </c>
      <c r="B221" t="s">
        <v>977</v>
      </c>
      <c r="C221" s="1">
        <v>45481</v>
      </c>
      <c r="D221" s="2">
        <v>293.07</v>
      </c>
      <c r="E221" t="s">
        <v>4694</v>
      </c>
      <c r="F221" s="2">
        <v>20.5</v>
      </c>
    </row>
    <row r="222" spans="1:6" x14ac:dyDescent="0.35">
      <c r="A222" t="s">
        <v>4915</v>
      </c>
      <c r="B222" t="s">
        <v>978</v>
      </c>
      <c r="C222" s="1">
        <v>45609</v>
      </c>
      <c r="D222" s="2">
        <v>215.05</v>
      </c>
      <c r="E222" t="s">
        <v>4694</v>
      </c>
      <c r="F222" s="2">
        <v>89.28</v>
      </c>
    </row>
    <row r="223" spans="1:6" x14ac:dyDescent="0.35">
      <c r="A223" t="s">
        <v>4916</v>
      </c>
      <c r="B223" t="s">
        <v>979</v>
      </c>
      <c r="C223" s="1">
        <v>45471</v>
      </c>
      <c r="D223" s="2">
        <v>97.59</v>
      </c>
      <c r="E223" t="s">
        <v>4694</v>
      </c>
      <c r="F223" s="2">
        <v>35.89</v>
      </c>
    </row>
    <row r="224" spans="1:6" x14ac:dyDescent="0.35">
      <c r="A224" t="s">
        <v>4917</v>
      </c>
      <c r="B224" t="s">
        <v>980</v>
      </c>
      <c r="C224" s="1">
        <v>44987</v>
      </c>
      <c r="D224" s="2">
        <v>709.79</v>
      </c>
      <c r="E224" t="s">
        <v>4694</v>
      </c>
      <c r="F224" s="2">
        <v>209.45</v>
      </c>
    </row>
    <row r="225" spans="1:6" x14ac:dyDescent="0.35">
      <c r="A225" t="s">
        <v>4918</v>
      </c>
      <c r="B225" t="s">
        <v>981</v>
      </c>
      <c r="C225" s="1">
        <v>45087</v>
      </c>
      <c r="D225" s="2">
        <v>1991.75</v>
      </c>
      <c r="E225" t="s">
        <v>4694</v>
      </c>
      <c r="F225" s="2">
        <v>632.67999999999995</v>
      </c>
    </row>
    <row r="226" spans="1:6" x14ac:dyDescent="0.35">
      <c r="A226" t="s">
        <v>4919</v>
      </c>
      <c r="B226" t="s">
        <v>982</v>
      </c>
      <c r="C226" s="1">
        <v>45534</v>
      </c>
      <c r="D226" s="2">
        <v>3615.11</v>
      </c>
      <c r="E226" t="s">
        <v>4694</v>
      </c>
      <c r="F226" s="2">
        <v>754.36</v>
      </c>
    </row>
    <row r="227" spans="1:6" x14ac:dyDescent="0.35">
      <c r="A227" t="s">
        <v>4920</v>
      </c>
      <c r="B227" t="s">
        <v>983</v>
      </c>
      <c r="C227" s="1">
        <v>45080</v>
      </c>
      <c r="D227" s="2">
        <v>30.55</v>
      </c>
      <c r="E227" t="s">
        <v>4694</v>
      </c>
      <c r="F227" s="2">
        <v>14.84</v>
      </c>
    </row>
    <row r="228" spans="1:6" x14ac:dyDescent="0.35">
      <c r="A228" t="s">
        <v>4921</v>
      </c>
      <c r="B228" t="s">
        <v>984</v>
      </c>
      <c r="C228" s="1">
        <v>45510</v>
      </c>
      <c r="D228" s="2">
        <v>1152.43</v>
      </c>
      <c r="E228" t="s">
        <v>4694</v>
      </c>
      <c r="F228" s="2">
        <v>162.87</v>
      </c>
    </row>
    <row r="229" spans="1:6" x14ac:dyDescent="0.35">
      <c r="A229" t="s">
        <v>4922</v>
      </c>
      <c r="B229" t="s">
        <v>985</v>
      </c>
      <c r="C229" s="1">
        <v>45616</v>
      </c>
      <c r="D229" s="2">
        <v>89.63</v>
      </c>
      <c r="E229" t="s">
        <v>4694</v>
      </c>
      <c r="F229" s="2">
        <v>43.97</v>
      </c>
    </row>
    <row r="230" spans="1:6" x14ac:dyDescent="0.35">
      <c r="A230" t="s">
        <v>4923</v>
      </c>
      <c r="B230" t="s">
        <v>986</v>
      </c>
      <c r="C230" s="1">
        <v>45235</v>
      </c>
      <c r="D230" s="2">
        <v>1126.3499999999999</v>
      </c>
      <c r="E230" t="s">
        <v>4694</v>
      </c>
      <c r="F230" s="2">
        <v>535.73</v>
      </c>
    </row>
    <row r="231" spans="1:6" x14ac:dyDescent="0.35">
      <c r="A231" t="s">
        <v>4924</v>
      </c>
      <c r="B231" t="s">
        <v>987</v>
      </c>
      <c r="C231" s="1">
        <v>45114</v>
      </c>
      <c r="D231" s="2">
        <v>3215.84</v>
      </c>
      <c r="E231" t="s">
        <v>4694</v>
      </c>
      <c r="F231" s="2">
        <v>1783.34</v>
      </c>
    </row>
    <row r="232" spans="1:6" x14ac:dyDescent="0.35">
      <c r="A232" t="s">
        <v>4925</v>
      </c>
      <c r="B232" t="s">
        <v>988</v>
      </c>
      <c r="C232" s="1">
        <v>45214</v>
      </c>
      <c r="D232" s="2">
        <v>431.94</v>
      </c>
      <c r="E232" t="s">
        <v>4694</v>
      </c>
      <c r="F232" s="2">
        <v>109.11</v>
      </c>
    </row>
    <row r="233" spans="1:6" x14ac:dyDescent="0.35">
      <c r="A233" t="s">
        <v>4926</v>
      </c>
      <c r="B233" t="s">
        <v>989</v>
      </c>
      <c r="C233" s="1">
        <v>45062</v>
      </c>
      <c r="D233" s="2">
        <v>649.23</v>
      </c>
      <c r="E233" t="s">
        <v>4694</v>
      </c>
      <c r="F233" s="2">
        <v>232.35</v>
      </c>
    </row>
    <row r="234" spans="1:6" x14ac:dyDescent="0.35">
      <c r="A234" t="s">
        <v>4927</v>
      </c>
      <c r="B234" t="s">
        <v>990</v>
      </c>
      <c r="C234" s="1">
        <v>45461</v>
      </c>
      <c r="D234" s="2">
        <v>729.5</v>
      </c>
      <c r="E234" t="s">
        <v>4694</v>
      </c>
      <c r="F234" s="2">
        <v>98.26</v>
      </c>
    </row>
    <row r="235" spans="1:6" x14ac:dyDescent="0.35">
      <c r="A235" t="s">
        <v>4928</v>
      </c>
      <c r="B235" t="s">
        <v>991</v>
      </c>
      <c r="C235" s="1">
        <v>45508</v>
      </c>
      <c r="D235" s="2">
        <v>420.52</v>
      </c>
      <c r="E235" t="s">
        <v>4694</v>
      </c>
      <c r="F235" s="2">
        <v>197.05</v>
      </c>
    </row>
    <row r="236" spans="1:6" x14ac:dyDescent="0.35">
      <c r="A236" t="s">
        <v>4929</v>
      </c>
      <c r="B236" t="s">
        <v>992</v>
      </c>
      <c r="C236" s="1">
        <v>45217</v>
      </c>
      <c r="D236" s="2">
        <v>6462.83</v>
      </c>
      <c r="E236" t="s">
        <v>4694</v>
      </c>
      <c r="F236" s="2">
        <v>537.89</v>
      </c>
    </row>
    <row r="237" spans="1:6" x14ac:dyDescent="0.35">
      <c r="A237" t="s">
        <v>4930</v>
      </c>
      <c r="B237" t="s">
        <v>994</v>
      </c>
      <c r="C237" s="1">
        <v>45504</v>
      </c>
      <c r="D237" s="2">
        <v>344.95</v>
      </c>
      <c r="E237" t="s">
        <v>4694</v>
      </c>
      <c r="F237" s="2">
        <v>117.06</v>
      </c>
    </row>
    <row r="238" spans="1:6" x14ac:dyDescent="0.35">
      <c r="A238" t="s">
        <v>4931</v>
      </c>
      <c r="B238" t="s">
        <v>995</v>
      </c>
      <c r="C238" s="1">
        <v>45104</v>
      </c>
      <c r="D238" s="2">
        <v>36.99</v>
      </c>
      <c r="E238" t="s">
        <v>4694</v>
      </c>
      <c r="F238" s="2">
        <v>14.22</v>
      </c>
    </row>
    <row r="239" spans="1:6" x14ac:dyDescent="0.35">
      <c r="A239" t="s">
        <v>4932</v>
      </c>
      <c r="B239" t="s">
        <v>996</v>
      </c>
      <c r="C239" s="1">
        <v>45313</v>
      </c>
      <c r="D239" s="2">
        <v>168.54</v>
      </c>
      <c r="E239" t="s">
        <v>4694</v>
      </c>
      <c r="F239" s="2">
        <v>32.06</v>
      </c>
    </row>
    <row r="240" spans="1:6" x14ac:dyDescent="0.35">
      <c r="A240" t="s">
        <v>4933</v>
      </c>
      <c r="B240" t="s">
        <v>998</v>
      </c>
      <c r="C240" s="1">
        <v>45626</v>
      </c>
      <c r="D240" s="2">
        <v>259.26</v>
      </c>
      <c r="E240" t="s">
        <v>4694</v>
      </c>
      <c r="F240" s="2">
        <v>68.239999999999995</v>
      </c>
    </row>
    <row r="241" spans="1:6" x14ac:dyDescent="0.35">
      <c r="A241" t="s">
        <v>4934</v>
      </c>
      <c r="B241" t="s">
        <v>1001</v>
      </c>
      <c r="C241" s="1">
        <v>45188</v>
      </c>
      <c r="D241" s="2">
        <v>439.59</v>
      </c>
      <c r="E241" t="s">
        <v>4697</v>
      </c>
      <c r="F241" s="2">
        <v>257.63</v>
      </c>
    </row>
    <row r="242" spans="1:6" x14ac:dyDescent="0.35">
      <c r="A242" t="s">
        <v>4935</v>
      </c>
      <c r="B242" t="s">
        <v>1003</v>
      </c>
      <c r="C242" s="1">
        <v>45425</v>
      </c>
      <c r="D242" s="2">
        <v>390.56</v>
      </c>
      <c r="E242" t="s">
        <v>4697</v>
      </c>
      <c r="F242" s="2">
        <v>147.66999999999999</v>
      </c>
    </row>
    <row r="243" spans="1:6" x14ac:dyDescent="0.35">
      <c r="A243" t="s">
        <v>4936</v>
      </c>
      <c r="B243" t="s">
        <v>1005</v>
      </c>
      <c r="C243" s="1">
        <v>45220</v>
      </c>
      <c r="D243" s="2">
        <v>1205.3800000000001</v>
      </c>
      <c r="E243" t="s">
        <v>4694</v>
      </c>
      <c r="F243" s="2">
        <v>227.61</v>
      </c>
    </row>
    <row r="244" spans="1:6" x14ac:dyDescent="0.35">
      <c r="A244" t="s">
        <v>4937</v>
      </c>
      <c r="B244" t="s">
        <v>1006</v>
      </c>
      <c r="C244" s="1">
        <v>45329</v>
      </c>
      <c r="D244" s="2">
        <v>123.83</v>
      </c>
      <c r="E244" t="s">
        <v>4694</v>
      </c>
      <c r="F244" s="2">
        <v>47.99</v>
      </c>
    </row>
    <row r="245" spans="1:6" x14ac:dyDescent="0.35">
      <c r="A245" t="s">
        <v>4938</v>
      </c>
      <c r="B245" t="s">
        <v>1007</v>
      </c>
      <c r="C245" s="1">
        <v>45425</v>
      </c>
      <c r="D245" s="2">
        <v>1101.07</v>
      </c>
      <c r="E245" t="s">
        <v>4694</v>
      </c>
      <c r="F245" s="2">
        <v>310.33</v>
      </c>
    </row>
    <row r="246" spans="1:6" x14ac:dyDescent="0.35">
      <c r="A246" t="s">
        <v>4939</v>
      </c>
      <c r="B246" t="s">
        <v>1008</v>
      </c>
      <c r="C246" s="1">
        <v>45382</v>
      </c>
      <c r="D246" s="2">
        <v>1721.98</v>
      </c>
      <c r="E246" t="s">
        <v>4694</v>
      </c>
      <c r="F246" s="2">
        <v>528.27</v>
      </c>
    </row>
    <row r="247" spans="1:6" x14ac:dyDescent="0.35">
      <c r="A247" t="s">
        <v>4940</v>
      </c>
      <c r="B247" t="s">
        <v>1009</v>
      </c>
      <c r="C247" s="1">
        <v>45605</v>
      </c>
      <c r="D247" s="2">
        <v>2935.65</v>
      </c>
      <c r="E247" t="s">
        <v>4694</v>
      </c>
      <c r="F247" s="2">
        <v>710.05</v>
      </c>
    </row>
    <row r="248" spans="1:6" x14ac:dyDescent="0.35">
      <c r="A248" t="s">
        <v>4941</v>
      </c>
      <c r="B248" t="s">
        <v>1010</v>
      </c>
      <c r="C248" s="1">
        <v>45174</v>
      </c>
      <c r="D248" s="2">
        <v>2517.39</v>
      </c>
      <c r="E248" t="s">
        <v>4694</v>
      </c>
      <c r="F248" s="2">
        <v>1114.8699999999999</v>
      </c>
    </row>
    <row r="249" spans="1:6" x14ac:dyDescent="0.35">
      <c r="A249" t="s">
        <v>4942</v>
      </c>
      <c r="B249" t="s">
        <v>1011</v>
      </c>
      <c r="C249" s="1">
        <v>45519</v>
      </c>
      <c r="D249" s="2">
        <v>946.75</v>
      </c>
      <c r="E249" t="s">
        <v>4694</v>
      </c>
      <c r="F249" s="2">
        <v>213.84</v>
      </c>
    </row>
    <row r="250" spans="1:6" x14ac:dyDescent="0.35">
      <c r="A250" t="s">
        <v>4943</v>
      </c>
      <c r="B250" t="s">
        <v>1012</v>
      </c>
      <c r="C250" s="1">
        <v>45316</v>
      </c>
      <c r="D250" s="2">
        <v>507.45</v>
      </c>
      <c r="E250" t="s">
        <v>4694</v>
      </c>
      <c r="F250" s="2">
        <v>137.55000000000001</v>
      </c>
    </row>
    <row r="251" spans="1:6" x14ac:dyDescent="0.35">
      <c r="A251" t="s">
        <v>4944</v>
      </c>
      <c r="B251" t="s">
        <v>1013</v>
      </c>
      <c r="C251" s="1">
        <v>45334</v>
      </c>
      <c r="D251" s="2">
        <v>352.77</v>
      </c>
      <c r="E251" t="s">
        <v>4697</v>
      </c>
      <c r="F251" s="2">
        <v>145.30000000000001</v>
      </c>
    </row>
    <row r="252" spans="1:6" x14ac:dyDescent="0.35">
      <c r="A252" t="s">
        <v>4945</v>
      </c>
      <c r="B252" t="s">
        <v>1014</v>
      </c>
      <c r="C252" s="1">
        <v>45408</v>
      </c>
      <c r="D252" s="2">
        <v>862.08</v>
      </c>
      <c r="E252" t="s">
        <v>4694</v>
      </c>
      <c r="F252" s="2">
        <v>134.9</v>
      </c>
    </row>
    <row r="253" spans="1:6" x14ac:dyDescent="0.35">
      <c r="A253" t="s">
        <v>4946</v>
      </c>
      <c r="B253" t="s">
        <v>1015</v>
      </c>
      <c r="C253" s="1">
        <v>45333</v>
      </c>
      <c r="D253" s="2">
        <v>340.28</v>
      </c>
      <c r="E253" t="s">
        <v>4694</v>
      </c>
      <c r="F253" s="2">
        <v>43.08</v>
      </c>
    </row>
    <row r="254" spans="1:6" x14ac:dyDescent="0.35">
      <c r="A254" t="s">
        <v>4947</v>
      </c>
      <c r="B254" t="s">
        <v>1016</v>
      </c>
      <c r="C254" s="1">
        <v>45412</v>
      </c>
      <c r="D254" s="2">
        <v>1528.81</v>
      </c>
      <c r="E254" t="s">
        <v>4694</v>
      </c>
      <c r="F254" s="2">
        <v>487.14</v>
      </c>
    </row>
    <row r="255" spans="1:6" x14ac:dyDescent="0.35">
      <c r="A255" t="s">
        <v>4948</v>
      </c>
      <c r="B255" t="s">
        <v>1017</v>
      </c>
      <c r="C255" s="1">
        <v>45677</v>
      </c>
      <c r="D255" s="2">
        <v>426.49</v>
      </c>
      <c r="E255" t="s">
        <v>4694</v>
      </c>
      <c r="F255" s="2">
        <v>101.29</v>
      </c>
    </row>
    <row r="256" spans="1:6" x14ac:dyDescent="0.35">
      <c r="A256" t="s">
        <v>4949</v>
      </c>
      <c r="B256" t="s">
        <v>1018</v>
      </c>
      <c r="C256" s="1">
        <v>45680</v>
      </c>
      <c r="D256" s="2">
        <v>280.76</v>
      </c>
      <c r="E256" t="s">
        <v>4694</v>
      </c>
      <c r="F256" s="2">
        <v>15.76</v>
      </c>
    </row>
    <row r="257" spans="1:6" x14ac:dyDescent="0.35">
      <c r="A257" t="s">
        <v>4950</v>
      </c>
      <c r="B257" t="s">
        <v>1019</v>
      </c>
      <c r="C257" s="1">
        <v>45197</v>
      </c>
      <c r="D257" s="2">
        <v>606.24</v>
      </c>
      <c r="E257" t="s">
        <v>4694</v>
      </c>
      <c r="F257" s="2">
        <v>227.02</v>
      </c>
    </row>
    <row r="258" spans="1:6" x14ac:dyDescent="0.35">
      <c r="A258" t="s">
        <v>4951</v>
      </c>
      <c r="B258" t="s">
        <v>1021</v>
      </c>
      <c r="C258" s="1">
        <v>45552</v>
      </c>
      <c r="D258" s="2">
        <v>2211.19</v>
      </c>
      <c r="E258" t="s">
        <v>4697</v>
      </c>
      <c r="F258" s="2">
        <v>496.98</v>
      </c>
    </row>
    <row r="259" spans="1:6" x14ac:dyDescent="0.35">
      <c r="A259" t="s">
        <v>4952</v>
      </c>
      <c r="B259" t="s">
        <v>1024</v>
      </c>
      <c r="C259" s="1">
        <v>45128</v>
      </c>
      <c r="D259" s="2">
        <v>82.95</v>
      </c>
      <c r="E259" t="s">
        <v>4694</v>
      </c>
      <c r="F259" s="2">
        <v>23.32</v>
      </c>
    </row>
    <row r="260" spans="1:6" x14ac:dyDescent="0.35">
      <c r="A260" t="s">
        <v>4953</v>
      </c>
      <c r="B260" t="s">
        <v>1025</v>
      </c>
      <c r="C260" s="1">
        <v>45183</v>
      </c>
      <c r="D260" s="2">
        <v>387.67</v>
      </c>
      <c r="E260" t="s">
        <v>4694</v>
      </c>
      <c r="F260" s="2">
        <v>228.72</v>
      </c>
    </row>
    <row r="261" spans="1:6" x14ac:dyDescent="0.35">
      <c r="A261" t="s">
        <v>4954</v>
      </c>
      <c r="B261" t="s">
        <v>1027</v>
      </c>
      <c r="C261" s="1">
        <v>45389</v>
      </c>
      <c r="D261" s="2">
        <v>989.02</v>
      </c>
      <c r="E261" t="s">
        <v>4694</v>
      </c>
      <c r="F261" s="2">
        <v>363.41</v>
      </c>
    </row>
    <row r="262" spans="1:6" x14ac:dyDescent="0.35">
      <c r="A262" t="s">
        <v>4955</v>
      </c>
      <c r="B262" t="s">
        <v>1028</v>
      </c>
      <c r="C262" s="1">
        <v>45647</v>
      </c>
      <c r="D262" s="2">
        <v>3610.86</v>
      </c>
      <c r="E262" t="s">
        <v>4694</v>
      </c>
      <c r="F262" s="2">
        <v>161.31</v>
      </c>
    </row>
    <row r="263" spans="1:6" x14ac:dyDescent="0.35">
      <c r="A263" t="s">
        <v>4956</v>
      </c>
      <c r="B263" t="s">
        <v>1029</v>
      </c>
      <c r="C263" s="1">
        <v>45644</v>
      </c>
      <c r="D263" s="2">
        <v>529.82000000000005</v>
      </c>
      <c r="E263" t="s">
        <v>4694</v>
      </c>
      <c r="F263" s="2">
        <v>283.93</v>
      </c>
    </row>
    <row r="264" spans="1:6" x14ac:dyDescent="0.35">
      <c r="A264" t="s">
        <v>4957</v>
      </c>
      <c r="B264" t="s">
        <v>1030</v>
      </c>
      <c r="C264" s="1">
        <v>45496</v>
      </c>
      <c r="D264" s="2">
        <v>471.74</v>
      </c>
      <c r="E264" t="s">
        <v>4697</v>
      </c>
      <c r="F264" s="2">
        <v>238.49</v>
      </c>
    </row>
    <row r="265" spans="1:6" x14ac:dyDescent="0.35">
      <c r="A265" t="s">
        <v>4958</v>
      </c>
      <c r="B265" t="s">
        <v>1032</v>
      </c>
      <c r="C265" s="1">
        <v>45284</v>
      </c>
      <c r="D265" s="2">
        <v>319.97000000000003</v>
      </c>
      <c r="E265" t="s">
        <v>4694</v>
      </c>
      <c r="F265" s="2">
        <v>19.73</v>
      </c>
    </row>
    <row r="266" spans="1:6" x14ac:dyDescent="0.35">
      <c r="A266" t="s">
        <v>4959</v>
      </c>
      <c r="B266" t="s">
        <v>1033</v>
      </c>
      <c r="C266" s="1">
        <v>45290</v>
      </c>
      <c r="D266" s="2">
        <v>3556.64</v>
      </c>
      <c r="E266" t="s">
        <v>4694</v>
      </c>
      <c r="F266" s="2">
        <v>1141.79</v>
      </c>
    </row>
    <row r="267" spans="1:6" x14ac:dyDescent="0.35">
      <c r="A267" t="s">
        <v>4960</v>
      </c>
      <c r="B267" t="s">
        <v>1034</v>
      </c>
      <c r="C267" s="1">
        <v>45263</v>
      </c>
      <c r="D267" s="2">
        <v>768.14</v>
      </c>
      <c r="E267" t="s">
        <v>4694</v>
      </c>
      <c r="F267" s="2">
        <v>153.63</v>
      </c>
    </row>
    <row r="268" spans="1:6" x14ac:dyDescent="0.35">
      <c r="A268" t="s">
        <v>4961</v>
      </c>
      <c r="B268" t="s">
        <v>1035</v>
      </c>
      <c r="C268" s="1">
        <v>45022</v>
      </c>
      <c r="D268" s="2">
        <v>126.85</v>
      </c>
      <c r="E268" t="s">
        <v>4694</v>
      </c>
      <c r="F268" s="2">
        <v>66.67</v>
      </c>
    </row>
    <row r="269" spans="1:6" x14ac:dyDescent="0.35">
      <c r="A269" t="s">
        <v>4962</v>
      </c>
      <c r="B269" t="s">
        <v>1036</v>
      </c>
      <c r="C269" s="1">
        <v>45234</v>
      </c>
      <c r="D269" s="2">
        <v>168.66</v>
      </c>
      <c r="E269" t="s">
        <v>4694</v>
      </c>
      <c r="F269" s="2">
        <v>13.28</v>
      </c>
    </row>
    <row r="270" spans="1:6" x14ac:dyDescent="0.35">
      <c r="A270" t="s">
        <v>4963</v>
      </c>
      <c r="B270" t="s">
        <v>1037</v>
      </c>
      <c r="C270" s="1">
        <v>45146</v>
      </c>
      <c r="D270" s="2">
        <v>341.95</v>
      </c>
      <c r="E270" t="s">
        <v>4697</v>
      </c>
      <c r="F270" s="2">
        <v>24.64</v>
      </c>
    </row>
    <row r="271" spans="1:6" x14ac:dyDescent="0.35">
      <c r="A271" t="s">
        <v>4964</v>
      </c>
      <c r="B271" t="s">
        <v>1039</v>
      </c>
      <c r="C271" s="1">
        <v>45221</v>
      </c>
      <c r="D271" s="2">
        <v>1028.04</v>
      </c>
      <c r="E271" t="s">
        <v>4694</v>
      </c>
      <c r="F271" s="2">
        <v>396.63</v>
      </c>
    </row>
    <row r="272" spans="1:6" x14ac:dyDescent="0.35">
      <c r="A272" t="s">
        <v>4965</v>
      </c>
      <c r="B272" t="s">
        <v>1041</v>
      </c>
      <c r="C272" s="1">
        <v>45603</v>
      </c>
      <c r="D272" s="2">
        <v>665.67</v>
      </c>
      <c r="E272" t="s">
        <v>4694</v>
      </c>
      <c r="F272" s="2">
        <v>54.29</v>
      </c>
    </row>
    <row r="273" spans="1:6" x14ac:dyDescent="0.35">
      <c r="A273" t="s">
        <v>4966</v>
      </c>
      <c r="B273" t="s">
        <v>1042</v>
      </c>
      <c r="C273" s="1">
        <v>45241</v>
      </c>
      <c r="D273" s="2">
        <v>549.78</v>
      </c>
      <c r="E273" t="s">
        <v>4694</v>
      </c>
      <c r="F273" s="2">
        <v>267.57</v>
      </c>
    </row>
    <row r="274" spans="1:6" x14ac:dyDescent="0.35">
      <c r="A274" t="s">
        <v>4967</v>
      </c>
      <c r="B274" t="s">
        <v>1043</v>
      </c>
      <c r="C274" s="1">
        <v>45688</v>
      </c>
      <c r="D274" s="2">
        <v>173.08</v>
      </c>
      <c r="E274" t="s">
        <v>4694</v>
      </c>
      <c r="F274" s="2">
        <v>17.29</v>
      </c>
    </row>
    <row r="275" spans="1:6" x14ac:dyDescent="0.35">
      <c r="A275" t="s">
        <v>4968</v>
      </c>
      <c r="B275" t="s">
        <v>1044</v>
      </c>
      <c r="C275" s="1">
        <v>45219</v>
      </c>
      <c r="D275" s="2">
        <v>179.24</v>
      </c>
      <c r="E275" t="s">
        <v>4694</v>
      </c>
      <c r="F275" s="2">
        <v>29.78</v>
      </c>
    </row>
    <row r="276" spans="1:6" x14ac:dyDescent="0.35">
      <c r="A276" t="s">
        <v>4969</v>
      </c>
      <c r="B276" t="s">
        <v>1045</v>
      </c>
      <c r="C276" s="1">
        <v>45024</v>
      </c>
      <c r="D276" s="2">
        <v>5270.82</v>
      </c>
      <c r="E276" t="s">
        <v>4694</v>
      </c>
      <c r="F276" s="2">
        <v>598.19000000000005</v>
      </c>
    </row>
    <row r="277" spans="1:6" x14ac:dyDescent="0.35">
      <c r="A277" t="s">
        <v>4970</v>
      </c>
      <c r="B277" t="s">
        <v>1046</v>
      </c>
      <c r="C277" s="1">
        <v>45438</v>
      </c>
      <c r="D277" s="2">
        <v>261.32</v>
      </c>
      <c r="E277" t="s">
        <v>4694</v>
      </c>
      <c r="F277" s="2">
        <v>74.33</v>
      </c>
    </row>
    <row r="278" spans="1:6" x14ac:dyDescent="0.35">
      <c r="A278" t="s">
        <v>4971</v>
      </c>
      <c r="B278" t="s">
        <v>1047</v>
      </c>
      <c r="C278" s="1">
        <v>45220</v>
      </c>
      <c r="D278" s="2">
        <v>321.52</v>
      </c>
      <c r="E278" t="s">
        <v>4694</v>
      </c>
      <c r="F278" s="2">
        <v>64.63</v>
      </c>
    </row>
    <row r="279" spans="1:6" x14ac:dyDescent="0.35">
      <c r="A279" t="s">
        <v>4972</v>
      </c>
      <c r="B279" t="s">
        <v>1048</v>
      </c>
      <c r="C279" s="1">
        <v>45114</v>
      </c>
      <c r="D279" s="2">
        <v>2261.37</v>
      </c>
      <c r="E279" t="s">
        <v>4694</v>
      </c>
      <c r="F279" s="2">
        <v>268.70999999999998</v>
      </c>
    </row>
    <row r="280" spans="1:6" x14ac:dyDescent="0.35">
      <c r="A280" t="s">
        <v>4973</v>
      </c>
      <c r="B280" t="s">
        <v>1049</v>
      </c>
      <c r="C280" s="1">
        <v>44995</v>
      </c>
      <c r="D280" s="2">
        <v>48.68</v>
      </c>
      <c r="E280" t="s">
        <v>4694</v>
      </c>
      <c r="F280" s="2">
        <v>12.36</v>
      </c>
    </row>
    <row r="281" spans="1:6" x14ac:dyDescent="0.35">
      <c r="A281" t="s">
        <v>4974</v>
      </c>
      <c r="B281" t="s">
        <v>1050</v>
      </c>
      <c r="C281" s="1">
        <v>45425</v>
      </c>
      <c r="D281" s="2">
        <v>703.25</v>
      </c>
      <c r="E281" t="s">
        <v>4694</v>
      </c>
      <c r="F281" s="2">
        <v>328.98</v>
      </c>
    </row>
    <row r="282" spans="1:6" x14ac:dyDescent="0.35">
      <c r="A282" t="s">
        <v>4975</v>
      </c>
      <c r="B282" t="s">
        <v>1051</v>
      </c>
      <c r="C282" s="1">
        <v>45151</v>
      </c>
      <c r="D282" s="2">
        <v>448.85</v>
      </c>
      <c r="E282" t="s">
        <v>4694</v>
      </c>
      <c r="F282" s="2">
        <v>175.47</v>
      </c>
    </row>
    <row r="283" spans="1:6" x14ac:dyDescent="0.35">
      <c r="A283" t="s">
        <v>4976</v>
      </c>
      <c r="B283" t="s">
        <v>1052</v>
      </c>
      <c r="C283" s="1">
        <v>45618</v>
      </c>
      <c r="D283" s="2">
        <v>718.87</v>
      </c>
      <c r="E283" t="s">
        <v>4697</v>
      </c>
      <c r="F283" s="2">
        <v>111.55</v>
      </c>
    </row>
    <row r="284" spans="1:6" x14ac:dyDescent="0.35">
      <c r="A284" t="s">
        <v>4977</v>
      </c>
      <c r="B284" t="s">
        <v>1053</v>
      </c>
      <c r="C284" s="1">
        <v>45082</v>
      </c>
      <c r="D284" s="2">
        <v>748.97</v>
      </c>
      <c r="E284" t="s">
        <v>4694</v>
      </c>
      <c r="F284" s="2">
        <v>331.57</v>
      </c>
    </row>
    <row r="285" spans="1:6" x14ac:dyDescent="0.35">
      <c r="A285" t="s">
        <v>4978</v>
      </c>
      <c r="B285" t="s">
        <v>1054</v>
      </c>
      <c r="C285" s="1">
        <v>44959</v>
      </c>
      <c r="D285" s="2">
        <v>2254.88</v>
      </c>
      <c r="E285" t="s">
        <v>4694</v>
      </c>
      <c r="F285" s="2">
        <v>1042.32</v>
      </c>
    </row>
    <row r="286" spans="1:6" x14ac:dyDescent="0.35">
      <c r="A286" t="s">
        <v>4979</v>
      </c>
      <c r="B286" t="s">
        <v>1057</v>
      </c>
      <c r="C286" s="1">
        <v>45520</v>
      </c>
      <c r="D286" s="2">
        <v>3241.21</v>
      </c>
      <c r="E286" t="s">
        <v>4694</v>
      </c>
      <c r="F286" s="2">
        <v>1152.44</v>
      </c>
    </row>
    <row r="287" spans="1:6" x14ac:dyDescent="0.35">
      <c r="A287" t="s">
        <v>4980</v>
      </c>
      <c r="B287" t="s">
        <v>1058</v>
      </c>
      <c r="C287" s="1">
        <v>45465</v>
      </c>
      <c r="D287" s="2">
        <v>47.19</v>
      </c>
      <c r="E287" t="s">
        <v>4694</v>
      </c>
      <c r="F287" s="2">
        <v>10.6</v>
      </c>
    </row>
    <row r="288" spans="1:6" x14ac:dyDescent="0.35">
      <c r="A288" t="s">
        <v>4981</v>
      </c>
      <c r="B288" t="s">
        <v>1059</v>
      </c>
      <c r="C288" s="1">
        <v>45407</v>
      </c>
      <c r="D288" s="2">
        <v>39.74</v>
      </c>
      <c r="E288" t="s">
        <v>4694</v>
      </c>
      <c r="F288" s="2">
        <v>14.39</v>
      </c>
    </row>
    <row r="289" spans="1:6" x14ac:dyDescent="0.35">
      <c r="A289" t="s">
        <v>4982</v>
      </c>
      <c r="B289" t="s">
        <v>1061</v>
      </c>
      <c r="C289" s="1">
        <v>45152</v>
      </c>
      <c r="D289" s="2">
        <v>497.4</v>
      </c>
      <c r="E289" t="s">
        <v>4697</v>
      </c>
      <c r="F289" s="2">
        <v>82.92</v>
      </c>
    </row>
    <row r="290" spans="1:6" x14ac:dyDescent="0.35">
      <c r="A290" t="s">
        <v>4983</v>
      </c>
      <c r="B290" t="s">
        <v>1062</v>
      </c>
      <c r="C290" s="1">
        <v>45490</v>
      </c>
      <c r="D290" s="2">
        <v>341.67</v>
      </c>
      <c r="E290" t="s">
        <v>4694</v>
      </c>
      <c r="F290" s="2">
        <v>76.23</v>
      </c>
    </row>
    <row r="291" spans="1:6" x14ac:dyDescent="0.35">
      <c r="A291" t="s">
        <v>4984</v>
      </c>
      <c r="B291" t="s">
        <v>1064</v>
      </c>
      <c r="C291" s="1">
        <v>45283</v>
      </c>
      <c r="D291" s="2">
        <v>651.33000000000004</v>
      </c>
      <c r="E291" t="s">
        <v>4694</v>
      </c>
      <c r="F291" s="2">
        <v>319.2</v>
      </c>
    </row>
    <row r="292" spans="1:6" x14ac:dyDescent="0.35">
      <c r="A292" t="s">
        <v>4985</v>
      </c>
      <c r="B292" t="s">
        <v>1065</v>
      </c>
      <c r="C292" s="1">
        <v>45610</v>
      </c>
      <c r="D292" s="2">
        <v>2685.08</v>
      </c>
      <c r="E292" t="s">
        <v>4694</v>
      </c>
      <c r="F292" s="2">
        <v>608.92999999999995</v>
      </c>
    </row>
    <row r="293" spans="1:6" x14ac:dyDescent="0.35">
      <c r="A293" t="s">
        <v>4986</v>
      </c>
      <c r="B293" t="s">
        <v>1066</v>
      </c>
      <c r="C293" s="1">
        <v>45265</v>
      </c>
      <c r="D293" s="2">
        <v>354.56</v>
      </c>
      <c r="E293" t="s">
        <v>4694</v>
      </c>
      <c r="F293" s="2">
        <v>81.739999999999995</v>
      </c>
    </row>
    <row r="294" spans="1:6" x14ac:dyDescent="0.35">
      <c r="A294" t="s">
        <v>4987</v>
      </c>
      <c r="B294" t="s">
        <v>1067</v>
      </c>
      <c r="C294" s="1">
        <v>45620</v>
      </c>
      <c r="D294" s="2">
        <v>543.19000000000005</v>
      </c>
      <c r="E294" t="s">
        <v>4694</v>
      </c>
      <c r="F294" s="2">
        <v>235.44</v>
      </c>
    </row>
    <row r="295" spans="1:6" x14ac:dyDescent="0.35">
      <c r="A295" t="s">
        <v>4988</v>
      </c>
      <c r="B295" t="s">
        <v>1068</v>
      </c>
      <c r="C295" s="1">
        <v>45436</v>
      </c>
      <c r="D295" s="2">
        <v>768.37</v>
      </c>
      <c r="E295" t="s">
        <v>4694</v>
      </c>
      <c r="F295" s="2">
        <v>45.34</v>
      </c>
    </row>
    <row r="296" spans="1:6" x14ac:dyDescent="0.35">
      <c r="A296" t="s">
        <v>4989</v>
      </c>
      <c r="B296" t="s">
        <v>1069</v>
      </c>
      <c r="C296" s="1">
        <v>45351</v>
      </c>
      <c r="D296" s="2">
        <v>7316.51</v>
      </c>
      <c r="E296" t="s">
        <v>4694</v>
      </c>
      <c r="F296" s="2">
        <v>802.63</v>
      </c>
    </row>
    <row r="297" spans="1:6" x14ac:dyDescent="0.35">
      <c r="A297" t="s">
        <v>4990</v>
      </c>
      <c r="B297" t="s">
        <v>1070</v>
      </c>
      <c r="C297" s="1">
        <v>45526</v>
      </c>
      <c r="D297" s="2">
        <v>364.39</v>
      </c>
      <c r="E297" t="s">
        <v>4694</v>
      </c>
      <c r="F297" s="2">
        <v>34.96</v>
      </c>
    </row>
    <row r="298" spans="1:6" x14ac:dyDescent="0.35">
      <c r="A298" t="s">
        <v>4991</v>
      </c>
      <c r="B298" t="s">
        <v>1071</v>
      </c>
      <c r="C298" s="1">
        <v>45341</v>
      </c>
      <c r="D298" s="2">
        <v>797.98</v>
      </c>
      <c r="E298" t="s">
        <v>4694</v>
      </c>
      <c r="F298" s="2">
        <v>222.45</v>
      </c>
    </row>
    <row r="299" spans="1:6" x14ac:dyDescent="0.35">
      <c r="A299" t="s">
        <v>4992</v>
      </c>
      <c r="B299" t="s">
        <v>1072</v>
      </c>
      <c r="C299" s="1">
        <v>45180</v>
      </c>
      <c r="D299" s="2">
        <v>658.44</v>
      </c>
      <c r="E299" t="s">
        <v>4694</v>
      </c>
      <c r="F299" s="2">
        <v>62.94</v>
      </c>
    </row>
    <row r="300" spans="1:6" x14ac:dyDescent="0.35">
      <c r="A300" t="s">
        <v>4993</v>
      </c>
      <c r="B300" t="s">
        <v>1073</v>
      </c>
      <c r="C300" s="1">
        <v>45167</v>
      </c>
      <c r="D300" s="2">
        <v>294.64999999999998</v>
      </c>
      <c r="E300" t="s">
        <v>4694</v>
      </c>
      <c r="F300" s="2">
        <v>146.58000000000001</v>
      </c>
    </row>
    <row r="301" spans="1:6" x14ac:dyDescent="0.35">
      <c r="A301" t="s">
        <v>4994</v>
      </c>
      <c r="B301" t="s">
        <v>1074</v>
      </c>
      <c r="C301" s="1">
        <v>45080</v>
      </c>
      <c r="D301" s="2">
        <v>343.01</v>
      </c>
      <c r="E301" t="s">
        <v>4694</v>
      </c>
      <c r="F301" s="2">
        <v>21.91</v>
      </c>
    </row>
    <row r="302" spans="1:6" x14ac:dyDescent="0.35">
      <c r="A302" t="s">
        <v>4995</v>
      </c>
      <c r="B302" t="s">
        <v>1075</v>
      </c>
      <c r="C302" s="1">
        <v>45578</v>
      </c>
      <c r="D302" s="2">
        <v>380.52</v>
      </c>
      <c r="E302" t="s">
        <v>4694</v>
      </c>
      <c r="F302" s="2">
        <v>24.31</v>
      </c>
    </row>
    <row r="303" spans="1:6" x14ac:dyDescent="0.35">
      <c r="A303" t="s">
        <v>4996</v>
      </c>
      <c r="B303" t="s">
        <v>1078</v>
      </c>
      <c r="C303" s="1">
        <v>45350</v>
      </c>
      <c r="D303" s="2">
        <v>37.92</v>
      </c>
      <c r="E303" t="s">
        <v>4694</v>
      </c>
      <c r="F303" s="2">
        <v>18.010000000000002</v>
      </c>
    </row>
    <row r="304" spans="1:6" x14ac:dyDescent="0.35">
      <c r="A304" t="s">
        <v>4997</v>
      </c>
      <c r="B304" t="s">
        <v>1079</v>
      </c>
      <c r="C304" s="1">
        <v>45404</v>
      </c>
      <c r="D304" s="2">
        <v>145.81</v>
      </c>
      <c r="E304" t="s">
        <v>4694</v>
      </c>
      <c r="F304" s="2">
        <v>37.39</v>
      </c>
    </row>
    <row r="305" spans="1:6" x14ac:dyDescent="0.35">
      <c r="A305" t="s">
        <v>4998</v>
      </c>
      <c r="B305" t="s">
        <v>1080</v>
      </c>
      <c r="C305" s="1">
        <v>45561</v>
      </c>
      <c r="D305" s="2">
        <v>105.66</v>
      </c>
      <c r="E305" t="s">
        <v>4694</v>
      </c>
      <c r="F305" s="2">
        <v>11.21</v>
      </c>
    </row>
    <row r="306" spans="1:6" x14ac:dyDescent="0.35">
      <c r="A306" t="s">
        <v>4999</v>
      </c>
      <c r="B306" t="s">
        <v>1081</v>
      </c>
      <c r="C306" s="1">
        <v>45296</v>
      </c>
      <c r="D306" s="2">
        <v>84.56</v>
      </c>
      <c r="E306" t="s">
        <v>4694</v>
      </c>
      <c r="F306" s="2">
        <v>36.590000000000003</v>
      </c>
    </row>
    <row r="307" spans="1:6" x14ac:dyDescent="0.35">
      <c r="A307" t="s">
        <v>5000</v>
      </c>
      <c r="B307" t="s">
        <v>1082</v>
      </c>
      <c r="C307" s="1">
        <v>45529</v>
      </c>
      <c r="D307" s="2">
        <v>1961.6</v>
      </c>
      <c r="E307" t="s">
        <v>4694</v>
      </c>
      <c r="F307" s="2">
        <v>156.11000000000001</v>
      </c>
    </row>
    <row r="308" spans="1:6" x14ac:dyDescent="0.35">
      <c r="A308" t="s">
        <v>5001</v>
      </c>
      <c r="B308" t="s">
        <v>1084</v>
      </c>
      <c r="C308" s="1">
        <v>45101</v>
      </c>
      <c r="D308" s="2">
        <v>486.47</v>
      </c>
      <c r="E308" t="s">
        <v>4694</v>
      </c>
      <c r="F308" s="2">
        <v>84.99</v>
      </c>
    </row>
    <row r="309" spans="1:6" x14ac:dyDescent="0.35">
      <c r="A309" t="s">
        <v>5002</v>
      </c>
      <c r="B309" t="s">
        <v>1089</v>
      </c>
      <c r="C309" s="1">
        <v>45621</v>
      </c>
      <c r="D309" s="2">
        <v>4164.8999999999996</v>
      </c>
      <c r="E309" t="s">
        <v>4694</v>
      </c>
      <c r="F309" s="2">
        <v>174.84</v>
      </c>
    </row>
    <row r="310" spans="1:6" x14ac:dyDescent="0.35">
      <c r="A310" t="s">
        <v>5003</v>
      </c>
      <c r="B310" t="s">
        <v>1090</v>
      </c>
      <c r="C310" s="1">
        <v>45498</v>
      </c>
      <c r="D310" s="2">
        <v>283.27</v>
      </c>
      <c r="E310" t="s">
        <v>4694</v>
      </c>
      <c r="F310" s="2">
        <v>32.72</v>
      </c>
    </row>
    <row r="311" spans="1:6" x14ac:dyDescent="0.35">
      <c r="A311" t="s">
        <v>5004</v>
      </c>
      <c r="B311" t="s">
        <v>1091</v>
      </c>
      <c r="C311" s="1">
        <v>45443</v>
      </c>
      <c r="D311" s="2">
        <v>1945.64</v>
      </c>
      <c r="E311" t="s">
        <v>4694</v>
      </c>
      <c r="F311" s="2">
        <v>697.36</v>
      </c>
    </row>
    <row r="312" spans="1:6" x14ac:dyDescent="0.35">
      <c r="A312" t="s">
        <v>5005</v>
      </c>
      <c r="B312" t="s">
        <v>1092</v>
      </c>
      <c r="C312" s="1">
        <v>45553</v>
      </c>
      <c r="D312" s="2">
        <v>178.29</v>
      </c>
      <c r="E312" t="s">
        <v>4694</v>
      </c>
      <c r="F312" s="2">
        <v>19.36</v>
      </c>
    </row>
    <row r="313" spans="1:6" x14ac:dyDescent="0.35">
      <c r="A313" t="s">
        <v>5006</v>
      </c>
      <c r="B313" t="s">
        <v>1093</v>
      </c>
      <c r="C313" s="1">
        <v>45242</v>
      </c>
      <c r="D313" s="2">
        <v>278.72000000000003</v>
      </c>
      <c r="E313" t="s">
        <v>4694</v>
      </c>
      <c r="F313" s="2">
        <v>151.04</v>
      </c>
    </row>
    <row r="314" spans="1:6" x14ac:dyDescent="0.35">
      <c r="A314" t="s">
        <v>5007</v>
      </c>
      <c r="B314" t="s">
        <v>1094</v>
      </c>
      <c r="C314" s="1">
        <v>45384</v>
      </c>
      <c r="D314" s="2">
        <v>516.71</v>
      </c>
      <c r="E314" t="s">
        <v>4694</v>
      </c>
      <c r="F314" s="2">
        <v>168.32</v>
      </c>
    </row>
    <row r="315" spans="1:6" x14ac:dyDescent="0.35">
      <c r="A315" t="s">
        <v>5008</v>
      </c>
      <c r="B315" t="s">
        <v>1095</v>
      </c>
      <c r="C315" s="1">
        <v>45225</v>
      </c>
      <c r="D315" s="2">
        <v>656.01</v>
      </c>
      <c r="E315" t="s">
        <v>4694</v>
      </c>
      <c r="F315" s="2">
        <v>99.78</v>
      </c>
    </row>
    <row r="316" spans="1:6" x14ac:dyDescent="0.35">
      <c r="A316" t="s">
        <v>5009</v>
      </c>
      <c r="B316" t="s">
        <v>1096</v>
      </c>
      <c r="C316" s="1">
        <v>45108</v>
      </c>
      <c r="D316" s="2">
        <v>48.72</v>
      </c>
      <c r="E316" t="s">
        <v>4694</v>
      </c>
      <c r="F316" s="2">
        <v>7.67</v>
      </c>
    </row>
    <row r="317" spans="1:6" x14ac:dyDescent="0.35">
      <c r="A317" t="s">
        <v>5010</v>
      </c>
      <c r="B317" t="s">
        <v>1097</v>
      </c>
      <c r="C317" s="1">
        <v>45554</v>
      </c>
      <c r="D317" s="2">
        <v>1865.15</v>
      </c>
      <c r="E317" t="s">
        <v>4694</v>
      </c>
      <c r="F317" s="2">
        <v>799.91</v>
      </c>
    </row>
    <row r="318" spans="1:6" x14ac:dyDescent="0.35">
      <c r="A318" t="s">
        <v>5011</v>
      </c>
      <c r="B318" t="s">
        <v>1099</v>
      </c>
      <c r="C318" s="1">
        <v>45629</v>
      </c>
      <c r="D318" s="2">
        <v>1850.16</v>
      </c>
      <c r="E318" t="s">
        <v>4694</v>
      </c>
      <c r="F318" s="2">
        <v>337.58</v>
      </c>
    </row>
    <row r="319" spans="1:6" x14ac:dyDescent="0.35">
      <c r="A319" t="s">
        <v>5012</v>
      </c>
      <c r="B319" t="s">
        <v>1100</v>
      </c>
      <c r="C319" s="1">
        <v>45017</v>
      </c>
      <c r="D319" s="2">
        <v>1181.5</v>
      </c>
      <c r="E319" t="s">
        <v>4694</v>
      </c>
      <c r="F319" s="2">
        <v>213.78</v>
      </c>
    </row>
    <row r="320" spans="1:6" x14ac:dyDescent="0.35">
      <c r="A320" t="s">
        <v>5013</v>
      </c>
      <c r="B320" t="s">
        <v>1101</v>
      </c>
      <c r="C320" s="1">
        <v>45571</v>
      </c>
      <c r="D320" s="2">
        <v>1034.78</v>
      </c>
      <c r="E320" t="s">
        <v>4694</v>
      </c>
      <c r="F320" s="2">
        <v>464.64</v>
      </c>
    </row>
    <row r="321" spans="1:6" x14ac:dyDescent="0.35">
      <c r="A321" t="s">
        <v>5014</v>
      </c>
      <c r="B321" t="s">
        <v>1102</v>
      </c>
      <c r="C321" s="1">
        <v>45402</v>
      </c>
      <c r="D321" s="2">
        <v>1632.24</v>
      </c>
      <c r="E321" t="s">
        <v>4694</v>
      </c>
      <c r="F321" s="2">
        <v>367.79</v>
      </c>
    </row>
    <row r="322" spans="1:6" x14ac:dyDescent="0.35">
      <c r="A322" t="s">
        <v>5015</v>
      </c>
      <c r="B322" t="s">
        <v>1103</v>
      </c>
      <c r="C322" s="1">
        <v>45234</v>
      </c>
      <c r="D322" s="2">
        <v>658.43</v>
      </c>
      <c r="E322" t="s">
        <v>4694</v>
      </c>
      <c r="F322" s="2">
        <v>102.04</v>
      </c>
    </row>
    <row r="323" spans="1:6" x14ac:dyDescent="0.35">
      <c r="A323" t="s">
        <v>5016</v>
      </c>
      <c r="B323" t="s">
        <v>1105</v>
      </c>
      <c r="C323" s="1">
        <v>45236</v>
      </c>
      <c r="D323" s="2">
        <v>672.31</v>
      </c>
      <c r="E323" t="s">
        <v>4694</v>
      </c>
      <c r="F323" s="2">
        <v>177.87</v>
      </c>
    </row>
    <row r="324" spans="1:6" x14ac:dyDescent="0.35">
      <c r="A324" t="s">
        <v>5017</v>
      </c>
      <c r="B324" t="s">
        <v>1106</v>
      </c>
      <c r="C324" s="1">
        <v>45124</v>
      </c>
      <c r="D324" s="2">
        <v>267.88</v>
      </c>
      <c r="E324" t="s">
        <v>4694</v>
      </c>
      <c r="F324" s="2">
        <v>98.26</v>
      </c>
    </row>
    <row r="325" spans="1:6" x14ac:dyDescent="0.35">
      <c r="A325" t="s">
        <v>5018</v>
      </c>
      <c r="B325" t="s">
        <v>1108</v>
      </c>
      <c r="C325" s="1">
        <v>45678</v>
      </c>
      <c r="D325" s="2">
        <v>1469.51</v>
      </c>
      <c r="E325" t="s">
        <v>4697</v>
      </c>
      <c r="F325" s="2">
        <v>543.17999999999995</v>
      </c>
    </row>
    <row r="326" spans="1:6" x14ac:dyDescent="0.35">
      <c r="A326" t="s">
        <v>5019</v>
      </c>
      <c r="B326" t="s">
        <v>1109</v>
      </c>
      <c r="C326" s="1">
        <v>45028</v>
      </c>
      <c r="D326" s="2">
        <v>358.76</v>
      </c>
      <c r="E326" t="s">
        <v>4694</v>
      </c>
      <c r="F326" s="2">
        <v>147.08000000000001</v>
      </c>
    </row>
    <row r="327" spans="1:6" x14ac:dyDescent="0.35">
      <c r="A327" t="s">
        <v>5020</v>
      </c>
      <c r="B327" t="s">
        <v>1110</v>
      </c>
      <c r="C327" s="1">
        <v>45024</v>
      </c>
      <c r="D327" s="2">
        <v>3263.08</v>
      </c>
      <c r="E327" t="s">
        <v>4694</v>
      </c>
      <c r="F327" s="2">
        <v>552.03</v>
      </c>
    </row>
    <row r="328" spans="1:6" x14ac:dyDescent="0.35">
      <c r="A328" t="s">
        <v>5021</v>
      </c>
      <c r="B328" t="s">
        <v>1111</v>
      </c>
      <c r="C328" s="1">
        <v>45601</v>
      </c>
      <c r="D328" s="2">
        <v>553.15</v>
      </c>
      <c r="E328" t="s">
        <v>4694</v>
      </c>
      <c r="F328" s="2">
        <v>187.11</v>
      </c>
    </row>
    <row r="329" spans="1:6" x14ac:dyDescent="0.35">
      <c r="A329" t="s">
        <v>5022</v>
      </c>
      <c r="B329" t="s">
        <v>1112</v>
      </c>
      <c r="C329" s="1">
        <v>45309</v>
      </c>
      <c r="D329" s="2">
        <v>143.08000000000001</v>
      </c>
      <c r="E329" t="s">
        <v>4694</v>
      </c>
      <c r="F329" s="2">
        <v>39.880000000000003</v>
      </c>
    </row>
    <row r="330" spans="1:6" x14ac:dyDescent="0.35">
      <c r="A330" t="s">
        <v>5023</v>
      </c>
      <c r="B330" t="s">
        <v>1113</v>
      </c>
      <c r="C330" s="1">
        <v>45604</v>
      </c>
      <c r="D330" s="2">
        <v>3941.27</v>
      </c>
      <c r="E330" t="s">
        <v>4694</v>
      </c>
      <c r="F330" s="2">
        <v>1325.75</v>
      </c>
    </row>
    <row r="331" spans="1:6" x14ac:dyDescent="0.35">
      <c r="A331" t="s">
        <v>5024</v>
      </c>
      <c r="B331" t="s">
        <v>1114</v>
      </c>
      <c r="C331" s="1">
        <v>45483</v>
      </c>
      <c r="D331" s="2">
        <v>3505.56</v>
      </c>
      <c r="E331" t="s">
        <v>4694</v>
      </c>
      <c r="F331" s="2">
        <v>1454.15</v>
      </c>
    </row>
    <row r="332" spans="1:6" x14ac:dyDescent="0.35">
      <c r="A332" t="s">
        <v>5025</v>
      </c>
      <c r="B332" t="s">
        <v>1115</v>
      </c>
      <c r="C332" s="1">
        <v>45370</v>
      </c>
      <c r="D332" s="2">
        <v>267.7</v>
      </c>
      <c r="E332" t="s">
        <v>4694</v>
      </c>
      <c r="F332" s="2">
        <v>19.600000000000001</v>
      </c>
    </row>
    <row r="333" spans="1:6" x14ac:dyDescent="0.35">
      <c r="A333" t="s">
        <v>5026</v>
      </c>
      <c r="B333" t="s">
        <v>1118</v>
      </c>
      <c r="C333" s="1">
        <v>45641</v>
      </c>
      <c r="D333" s="2">
        <v>33.380000000000003</v>
      </c>
      <c r="E333" t="s">
        <v>4694</v>
      </c>
      <c r="F333" s="2">
        <v>15.12</v>
      </c>
    </row>
    <row r="334" spans="1:6" x14ac:dyDescent="0.35">
      <c r="A334" t="s">
        <v>5027</v>
      </c>
      <c r="B334" t="s">
        <v>1119</v>
      </c>
      <c r="C334" s="1">
        <v>45421</v>
      </c>
      <c r="D334" s="2">
        <v>144.93</v>
      </c>
      <c r="E334" t="s">
        <v>4694</v>
      </c>
      <c r="F334" s="2">
        <v>37.200000000000003</v>
      </c>
    </row>
    <row r="335" spans="1:6" x14ac:dyDescent="0.35">
      <c r="A335" t="s">
        <v>5028</v>
      </c>
      <c r="B335" t="s">
        <v>1120</v>
      </c>
      <c r="C335" s="1">
        <v>45250</v>
      </c>
      <c r="D335" s="2">
        <v>324.64</v>
      </c>
      <c r="E335" t="s">
        <v>4694</v>
      </c>
      <c r="F335" s="2">
        <v>173.57</v>
      </c>
    </row>
    <row r="336" spans="1:6" x14ac:dyDescent="0.35">
      <c r="A336" t="s">
        <v>5029</v>
      </c>
      <c r="B336" t="s">
        <v>1121</v>
      </c>
      <c r="C336" s="1">
        <v>45227</v>
      </c>
      <c r="D336" s="2">
        <v>88.63</v>
      </c>
      <c r="E336" t="s">
        <v>4694</v>
      </c>
      <c r="F336" s="2">
        <v>22.4</v>
      </c>
    </row>
    <row r="337" spans="1:6" x14ac:dyDescent="0.35">
      <c r="A337" t="s">
        <v>5030</v>
      </c>
      <c r="B337" t="s">
        <v>1122</v>
      </c>
      <c r="C337" s="1">
        <v>45298</v>
      </c>
      <c r="D337" s="2">
        <v>261.91000000000003</v>
      </c>
      <c r="E337" t="s">
        <v>4694</v>
      </c>
      <c r="F337" s="2">
        <v>23.57</v>
      </c>
    </row>
    <row r="338" spans="1:6" x14ac:dyDescent="0.35">
      <c r="A338" t="s">
        <v>5031</v>
      </c>
      <c r="B338" t="s">
        <v>1123</v>
      </c>
      <c r="C338" s="1">
        <v>45631</v>
      </c>
      <c r="D338" s="2">
        <v>195.61</v>
      </c>
      <c r="E338" t="s">
        <v>4694</v>
      </c>
      <c r="F338" s="2">
        <v>82.08</v>
      </c>
    </row>
    <row r="339" spans="1:6" x14ac:dyDescent="0.35">
      <c r="A339" t="s">
        <v>5032</v>
      </c>
      <c r="B339" t="s">
        <v>1124</v>
      </c>
      <c r="C339" s="1">
        <v>45351</v>
      </c>
      <c r="D339" s="2">
        <v>46.25</v>
      </c>
      <c r="E339" t="s">
        <v>4694</v>
      </c>
      <c r="F339" s="2">
        <v>12.97</v>
      </c>
    </row>
    <row r="340" spans="1:6" x14ac:dyDescent="0.35">
      <c r="A340" t="s">
        <v>5033</v>
      </c>
      <c r="B340" t="s">
        <v>1125</v>
      </c>
      <c r="C340" s="1">
        <v>45025</v>
      </c>
      <c r="D340" s="2">
        <v>367.79</v>
      </c>
      <c r="E340" t="s">
        <v>4694</v>
      </c>
      <c r="F340" s="2">
        <v>155.71</v>
      </c>
    </row>
    <row r="341" spans="1:6" x14ac:dyDescent="0.35">
      <c r="A341" t="s">
        <v>5034</v>
      </c>
      <c r="B341" t="s">
        <v>1126</v>
      </c>
      <c r="C341" s="1">
        <v>45613</v>
      </c>
      <c r="D341" s="2">
        <v>166.85</v>
      </c>
      <c r="E341" t="s">
        <v>4694</v>
      </c>
      <c r="F341" s="2">
        <v>42.61</v>
      </c>
    </row>
    <row r="342" spans="1:6" x14ac:dyDescent="0.35">
      <c r="A342" t="s">
        <v>5035</v>
      </c>
      <c r="B342" t="s">
        <v>1128</v>
      </c>
      <c r="C342" s="1">
        <v>45312</v>
      </c>
      <c r="D342" s="2">
        <v>446.38</v>
      </c>
      <c r="E342" t="s">
        <v>4694</v>
      </c>
      <c r="F342" s="2">
        <v>64.05</v>
      </c>
    </row>
    <row r="343" spans="1:6" x14ac:dyDescent="0.35">
      <c r="A343" t="s">
        <v>5036</v>
      </c>
      <c r="B343" t="s">
        <v>1129</v>
      </c>
      <c r="C343" s="1">
        <v>45176</v>
      </c>
      <c r="D343" s="2">
        <v>682.54</v>
      </c>
      <c r="E343" t="s">
        <v>4694</v>
      </c>
      <c r="F343" s="2">
        <v>171.02</v>
      </c>
    </row>
    <row r="344" spans="1:6" x14ac:dyDescent="0.35">
      <c r="A344" t="s">
        <v>5037</v>
      </c>
      <c r="B344" t="s">
        <v>1131</v>
      </c>
      <c r="C344" s="1">
        <v>45677</v>
      </c>
      <c r="D344" s="2">
        <v>500.01</v>
      </c>
      <c r="E344" t="s">
        <v>4694</v>
      </c>
      <c r="F344" s="2">
        <v>185.06</v>
      </c>
    </row>
    <row r="345" spans="1:6" x14ac:dyDescent="0.35">
      <c r="A345" t="s">
        <v>5038</v>
      </c>
      <c r="B345" t="s">
        <v>1132</v>
      </c>
      <c r="C345" s="1">
        <v>45028</v>
      </c>
      <c r="D345" s="2">
        <v>883.36</v>
      </c>
      <c r="E345" t="s">
        <v>4694</v>
      </c>
      <c r="F345" s="2">
        <v>122.4</v>
      </c>
    </row>
    <row r="346" spans="1:6" x14ac:dyDescent="0.35">
      <c r="A346" t="s">
        <v>5039</v>
      </c>
      <c r="B346" t="s">
        <v>1133</v>
      </c>
      <c r="C346" s="1">
        <v>45462</v>
      </c>
      <c r="D346" s="2">
        <v>4042.69</v>
      </c>
      <c r="E346" t="s">
        <v>4694</v>
      </c>
      <c r="F346" s="2">
        <v>1818.6</v>
      </c>
    </row>
    <row r="347" spans="1:6" x14ac:dyDescent="0.35">
      <c r="A347" t="s">
        <v>5040</v>
      </c>
      <c r="B347" t="s">
        <v>1134</v>
      </c>
      <c r="C347" s="1">
        <v>45593</v>
      </c>
      <c r="D347" s="2">
        <v>1677.13</v>
      </c>
      <c r="E347" t="s">
        <v>4697</v>
      </c>
      <c r="F347" s="2">
        <v>258.10000000000002</v>
      </c>
    </row>
    <row r="348" spans="1:6" x14ac:dyDescent="0.35">
      <c r="A348" t="s">
        <v>5041</v>
      </c>
      <c r="B348" t="s">
        <v>1135</v>
      </c>
      <c r="C348" s="1">
        <v>45582</v>
      </c>
      <c r="D348" s="2">
        <v>510.73</v>
      </c>
      <c r="E348" t="s">
        <v>4694</v>
      </c>
      <c r="F348" s="2">
        <v>258.12</v>
      </c>
    </row>
    <row r="349" spans="1:6" x14ac:dyDescent="0.35">
      <c r="A349" t="s">
        <v>5042</v>
      </c>
      <c r="B349" t="s">
        <v>1136</v>
      </c>
      <c r="C349" s="1">
        <v>45559</v>
      </c>
      <c r="D349" s="2">
        <v>2658.12</v>
      </c>
      <c r="E349" t="s">
        <v>4694</v>
      </c>
      <c r="F349" s="2">
        <v>831.73</v>
      </c>
    </row>
    <row r="350" spans="1:6" x14ac:dyDescent="0.35">
      <c r="A350" t="s">
        <v>5043</v>
      </c>
      <c r="B350" t="s">
        <v>1137</v>
      </c>
      <c r="C350" s="1">
        <v>45602</v>
      </c>
      <c r="D350" s="2">
        <v>83.67</v>
      </c>
      <c r="E350" t="s">
        <v>4694</v>
      </c>
      <c r="F350" s="2">
        <v>28.83</v>
      </c>
    </row>
    <row r="351" spans="1:6" x14ac:dyDescent="0.35">
      <c r="A351" t="s">
        <v>5044</v>
      </c>
      <c r="B351" t="s">
        <v>1138</v>
      </c>
      <c r="C351" s="1">
        <v>45089</v>
      </c>
      <c r="D351" s="2">
        <v>270.58</v>
      </c>
      <c r="E351" t="s">
        <v>4694</v>
      </c>
      <c r="F351" s="2">
        <v>72.16</v>
      </c>
    </row>
    <row r="352" spans="1:6" x14ac:dyDescent="0.35">
      <c r="A352" t="s">
        <v>5045</v>
      </c>
      <c r="B352" t="s">
        <v>1139</v>
      </c>
      <c r="C352" s="1">
        <v>45209</v>
      </c>
      <c r="D352" s="2">
        <v>403.03</v>
      </c>
      <c r="E352" t="s">
        <v>4694</v>
      </c>
      <c r="F352" s="2">
        <v>139.15</v>
      </c>
    </row>
    <row r="353" spans="1:6" x14ac:dyDescent="0.35">
      <c r="A353" t="s">
        <v>5046</v>
      </c>
      <c r="B353" t="s">
        <v>1140</v>
      </c>
      <c r="C353" s="1">
        <v>45655</v>
      </c>
      <c r="D353" s="2">
        <v>836.67</v>
      </c>
      <c r="E353" t="s">
        <v>4694</v>
      </c>
      <c r="F353" s="2">
        <v>81.17</v>
      </c>
    </row>
    <row r="354" spans="1:6" x14ac:dyDescent="0.35">
      <c r="A354" t="s">
        <v>5047</v>
      </c>
      <c r="B354" t="s">
        <v>1141</v>
      </c>
      <c r="C354" s="1">
        <v>44977</v>
      </c>
      <c r="D354" s="2">
        <v>222.59</v>
      </c>
      <c r="E354" t="s">
        <v>4694</v>
      </c>
      <c r="F354" s="2">
        <v>128.24</v>
      </c>
    </row>
    <row r="355" spans="1:6" x14ac:dyDescent="0.35">
      <c r="A355" t="s">
        <v>5048</v>
      </c>
      <c r="B355" t="s">
        <v>1142</v>
      </c>
      <c r="C355" s="1">
        <v>45425</v>
      </c>
      <c r="D355" s="2">
        <v>966.07</v>
      </c>
      <c r="E355" t="s">
        <v>4694</v>
      </c>
      <c r="F355" s="2">
        <v>349.7</v>
      </c>
    </row>
    <row r="356" spans="1:6" x14ac:dyDescent="0.35">
      <c r="A356" t="s">
        <v>5049</v>
      </c>
      <c r="B356" t="s">
        <v>1143</v>
      </c>
      <c r="C356" s="1">
        <v>45040</v>
      </c>
      <c r="D356" s="2">
        <v>2864.85</v>
      </c>
      <c r="E356" t="s">
        <v>4694</v>
      </c>
      <c r="F356" s="2">
        <v>1366.62</v>
      </c>
    </row>
    <row r="357" spans="1:6" x14ac:dyDescent="0.35">
      <c r="A357" t="s">
        <v>5050</v>
      </c>
      <c r="B357" t="s">
        <v>1144</v>
      </c>
      <c r="C357" s="1">
        <v>45384</v>
      </c>
      <c r="D357" s="2">
        <v>104.64</v>
      </c>
      <c r="E357" t="s">
        <v>4694</v>
      </c>
      <c r="F357" s="2">
        <v>25.53</v>
      </c>
    </row>
    <row r="358" spans="1:6" x14ac:dyDescent="0.35">
      <c r="A358" t="s">
        <v>5051</v>
      </c>
      <c r="B358" t="s">
        <v>1145</v>
      </c>
      <c r="C358" s="1">
        <v>45637</v>
      </c>
      <c r="D358" s="2">
        <v>1637.64</v>
      </c>
      <c r="E358" t="s">
        <v>4694</v>
      </c>
      <c r="F358" s="2">
        <v>308.47000000000003</v>
      </c>
    </row>
    <row r="359" spans="1:6" x14ac:dyDescent="0.35">
      <c r="A359" t="s">
        <v>5052</v>
      </c>
      <c r="B359" t="s">
        <v>1146</v>
      </c>
      <c r="C359" s="1">
        <v>45232</v>
      </c>
      <c r="D359" s="2">
        <v>1464.25</v>
      </c>
      <c r="E359" t="s">
        <v>4697</v>
      </c>
      <c r="F359" s="2">
        <v>78.91</v>
      </c>
    </row>
    <row r="360" spans="1:6" x14ac:dyDescent="0.35">
      <c r="A360" t="s">
        <v>5053</v>
      </c>
      <c r="B360" t="s">
        <v>1148</v>
      </c>
      <c r="C360" s="1">
        <v>45552</v>
      </c>
      <c r="D360" s="2">
        <v>107.17</v>
      </c>
      <c r="E360" t="s">
        <v>4697</v>
      </c>
      <c r="F360" s="2">
        <v>16.59</v>
      </c>
    </row>
    <row r="361" spans="1:6" x14ac:dyDescent="0.35">
      <c r="A361" t="s">
        <v>5054</v>
      </c>
      <c r="B361" t="s">
        <v>1149</v>
      </c>
      <c r="C361" s="1">
        <v>45450</v>
      </c>
      <c r="D361" s="2">
        <v>1621.32</v>
      </c>
      <c r="E361" t="s">
        <v>4694</v>
      </c>
      <c r="F361" s="2">
        <v>415.32</v>
      </c>
    </row>
    <row r="362" spans="1:6" x14ac:dyDescent="0.35">
      <c r="A362" t="s">
        <v>5055</v>
      </c>
      <c r="B362" t="s">
        <v>1150</v>
      </c>
      <c r="C362" s="1">
        <v>45524</v>
      </c>
      <c r="D362" s="2">
        <v>131.66999999999999</v>
      </c>
      <c r="E362" t="s">
        <v>4694</v>
      </c>
      <c r="F362" s="2">
        <v>33.700000000000003</v>
      </c>
    </row>
    <row r="363" spans="1:6" x14ac:dyDescent="0.35">
      <c r="A363" t="s">
        <v>5056</v>
      </c>
      <c r="B363" t="s">
        <v>1151</v>
      </c>
      <c r="C363" s="1">
        <v>45444</v>
      </c>
      <c r="D363" s="2">
        <v>1080.1300000000001</v>
      </c>
      <c r="E363" t="s">
        <v>4694</v>
      </c>
      <c r="F363" s="2">
        <v>393.64</v>
      </c>
    </row>
    <row r="364" spans="1:6" x14ac:dyDescent="0.35">
      <c r="A364" t="s">
        <v>5057</v>
      </c>
      <c r="B364" t="s">
        <v>1152</v>
      </c>
      <c r="C364" s="1">
        <v>45638</v>
      </c>
      <c r="D364" s="2">
        <v>560.80999999999995</v>
      </c>
      <c r="E364" t="s">
        <v>4694</v>
      </c>
      <c r="F364" s="2">
        <v>90.46</v>
      </c>
    </row>
    <row r="365" spans="1:6" x14ac:dyDescent="0.35">
      <c r="A365" t="s">
        <v>5058</v>
      </c>
      <c r="B365" t="s">
        <v>1153</v>
      </c>
      <c r="C365" s="1">
        <v>45299</v>
      </c>
      <c r="D365" s="2">
        <v>401.14</v>
      </c>
      <c r="E365" t="s">
        <v>4694</v>
      </c>
      <c r="F365" s="2">
        <v>100.71</v>
      </c>
    </row>
    <row r="366" spans="1:6" x14ac:dyDescent="0.35">
      <c r="A366" t="s">
        <v>5059</v>
      </c>
      <c r="B366" t="s">
        <v>1155</v>
      </c>
      <c r="C366" s="1">
        <v>45242</v>
      </c>
      <c r="D366" s="2">
        <v>333.17</v>
      </c>
      <c r="E366" t="s">
        <v>4694</v>
      </c>
      <c r="F366" s="2">
        <v>86.58</v>
      </c>
    </row>
    <row r="367" spans="1:6" x14ac:dyDescent="0.35">
      <c r="A367" t="s">
        <v>5060</v>
      </c>
      <c r="B367" t="s">
        <v>1156</v>
      </c>
      <c r="C367" s="1">
        <v>45626</v>
      </c>
      <c r="D367" s="2">
        <v>618.41</v>
      </c>
      <c r="E367" t="s">
        <v>4694</v>
      </c>
      <c r="F367" s="2">
        <v>316.66000000000003</v>
      </c>
    </row>
    <row r="368" spans="1:6" x14ac:dyDescent="0.35">
      <c r="A368" t="s">
        <v>5061</v>
      </c>
      <c r="B368" t="s">
        <v>1157</v>
      </c>
      <c r="C368" s="1">
        <v>45147</v>
      </c>
      <c r="D368" s="2">
        <v>46.87</v>
      </c>
      <c r="E368" t="s">
        <v>4694</v>
      </c>
      <c r="F368" s="2">
        <v>11.21</v>
      </c>
    </row>
    <row r="369" spans="1:6" x14ac:dyDescent="0.35">
      <c r="A369" t="s">
        <v>5062</v>
      </c>
      <c r="B369" t="s">
        <v>1158</v>
      </c>
      <c r="C369" s="1">
        <v>45394</v>
      </c>
      <c r="D369" s="2">
        <v>1480.25</v>
      </c>
      <c r="E369" t="s">
        <v>4694</v>
      </c>
      <c r="F369" s="2">
        <v>336.12</v>
      </c>
    </row>
    <row r="370" spans="1:6" x14ac:dyDescent="0.35">
      <c r="A370" t="s">
        <v>5063</v>
      </c>
      <c r="B370" t="s">
        <v>1159</v>
      </c>
      <c r="C370" s="1">
        <v>45279</v>
      </c>
      <c r="D370" s="2">
        <v>4350.95</v>
      </c>
      <c r="E370" t="s">
        <v>4694</v>
      </c>
      <c r="F370" s="2">
        <v>2195.7399999999998</v>
      </c>
    </row>
    <row r="371" spans="1:6" x14ac:dyDescent="0.35">
      <c r="A371" t="s">
        <v>5064</v>
      </c>
      <c r="B371" t="s">
        <v>1162</v>
      </c>
      <c r="C371" s="1">
        <v>45674</v>
      </c>
      <c r="D371" s="2">
        <v>5409.99</v>
      </c>
      <c r="E371" t="s">
        <v>4694</v>
      </c>
      <c r="F371" s="2">
        <v>2444.52</v>
      </c>
    </row>
    <row r="372" spans="1:6" x14ac:dyDescent="0.35">
      <c r="A372" t="s">
        <v>5065</v>
      </c>
      <c r="B372" t="s">
        <v>1163</v>
      </c>
      <c r="C372" s="1">
        <v>45435</v>
      </c>
      <c r="D372" s="2">
        <v>689.02</v>
      </c>
      <c r="E372" t="s">
        <v>4694</v>
      </c>
      <c r="F372" s="2">
        <v>53.35</v>
      </c>
    </row>
    <row r="373" spans="1:6" x14ac:dyDescent="0.35">
      <c r="A373" t="s">
        <v>5066</v>
      </c>
      <c r="B373" t="s">
        <v>1165</v>
      </c>
      <c r="C373" s="1">
        <v>44981</v>
      </c>
      <c r="D373" s="2">
        <v>79.069999999999993</v>
      </c>
      <c r="E373" t="s">
        <v>4694</v>
      </c>
      <c r="F373" s="2">
        <v>43.69</v>
      </c>
    </row>
    <row r="374" spans="1:6" x14ac:dyDescent="0.35">
      <c r="A374" t="s">
        <v>5067</v>
      </c>
      <c r="B374" t="s">
        <v>1166</v>
      </c>
      <c r="C374" s="1">
        <v>45267</v>
      </c>
      <c r="D374" s="2">
        <v>4063.82</v>
      </c>
      <c r="E374" t="s">
        <v>4694</v>
      </c>
      <c r="F374" s="2">
        <v>713.02</v>
      </c>
    </row>
    <row r="375" spans="1:6" x14ac:dyDescent="0.35">
      <c r="A375" t="s">
        <v>5068</v>
      </c>
      <c r="B375" t="s">
        <v>1167</v>
      </c>
      <c r="C375" s="1">
        <v>45315</v>
      </c>
      <c r="D375" s="2">
        <v>1732.14</v>
      </c>
      <c r="E375" t="s">
        <v>4694</v>
      </c>
      <c r="F375" s="2">
        <v>148.94999999999999</v>
      </c>
    </row>
    <row r="376" spans="1:6" x14ac:dyDescent="0.35">
      <c r="A376" t="s">
        <v>5069</v>
      </c>
      <c r="B376" t="s">
        <v>1169</v>
      </c>
      <c r="C376" s="1">
        <v>45400</v>
      </c>
      <c r="D376" s="2">
        <v>1321.41</v>
      </c>
      <c r="E376" t="s">
        <v>4694</v>
      </c>
      <c r="F376" s="2">
        <v>107.14</v>
      </c>
    </row>
    <row r="377" spans="1:6" x14ac:dyDescent="0.35">
      <c r="A377" t="s">
        <v>5070</v>
      </c>
      <c r="B377" t="s">
        <v>1172</v>
      </c>
      <c r="C377" s="1">
        <v>45537</v>
      </c>
      <c r="D377" s="2">
        <v>298.61</v>
      </c>
      <c r="E377" t="s">
        <v>4694</v>
      </c>
      <c r="F377" s="2">
        <v>50.22</v>
      </c>
    </row>
    <row r="378" spans="1:6" x14ac:dyDescent="0.35">
      <c r="A378" t="s">
        <v>5071</v>
      </c>
      <c r="B378" t="s">
        <v>1173</v>
      </c>
      <c r="C378" s="1">
        <v>45152</v>
      </c>
      <c r="D378" s="2">
        <v>6756.48</v>
      </c>
      <c r="E378" t="s">
        <v>4694</v>
      </c>
      <c r="F378" s="2">
        <v>560.26</v>
      </c>
    </row>
    <row r="379" spans="1:6" x14ac:dyDescent="0.35">
      <c r="A379" t="s">
        <v>5072</v>
      </c>
      <c r="B379" t="s">
        <v>1175</v>
      </c>
      <c r="C379" s="1">
        <v>45484</v>
      </c>
      <c r="D379" s="2">
        <v>495.94</v>
      </c>
      <c r="E379" t="s">
        <v>4694</v>
      </c>
      <c r="F379" s="2">
        <v>54.38</v>
      </c>
    </row>
    <row r="380" spans="1:6" x14ac:dyDescent="0.35">
      <c r="A380" t="s">
        <v>5073</v>
      </c>
      <c r="B380" t="s">
        <v>1176</v>
      </c>
      <c r="C380" s="1">
        <v>45596</v>
      </c>
      <c r="D380" s="2">
        <v>82.14</v>
      </c>
      <c r="E380" t="s">
        <v>4694</v>
      </c>
      <c r="F380" s="2">
        <v>27.16</v>
      </c>
    </row>
    <row r="381" spans="1:6" x14ac:dyDescent="0.35">
      <c r="A381" t="s">
        <v>5074</v>
      </c>
      <c r="B381" t="s">
        <v>1177</v>
      </c>
      <c r="C381" s="1">
        <v>44999</v>
      </c>
      <c r="D381" s="2">
        <v>83.87</v>
      </c>
      <c r="E381" t="s">
        <v>4694</v>
      </c>
      <c r="F381" s="2">
        <v>25.53</v>
      </c>
    </row>
    <row r="382" spans="1:6" x14ac:dyDescent="0.35">
      <c r="A382" t="s">
        <v>5075</v>
      </c>
      <c r="B382" t="s">
        <v>1178</v>
      </c>
      <c r="C382" s="1">
        <v>45586</v>
      </c>
      <c r="D382" s="2">
        <v>166.6</v>
      </c>
      <c r="E382" t="s">
        <v>4694</v>
      </c>
      <c r="F382" s="2">
        <v>43.41</v>
      </c>
    </row>
    <row r="383" spans="1:6" x14ac:dyDescent="0.35">
      <c r="A383" t="s">
        <v>5076</v>
      </c>
      <c r="B383" t="s">
        <v>1179</v>
      </c>
      <c r="C383" s="1">
        <v>45380</v>
      </c>
      <c r="D383" s="2">
        <v>1658.39</v>
      </c>
      <c r="E383" t="s">
        <v>4694</v>
      </c>
      <c r="F383" s="2">
        <v>300.16000000000003</v>
      </c>
    </row>
    <row r="384" spans="1:6" x14ac:dyDescent="0.35">
      <c r="A384" t="s">
        <v>5077</v>
      </c>
      <c r="B384" t="s">
        <v>1180</v>
      </c>
      <c r="C384" s="1">
        <v>45182</v>
      </c>
      <c r="D384" s="2">
        <v>4853.03</v>
      </c>
      <c r="E384" t="s">
        <v>4694</v>
      </c>
      <c r="F384" s="2">
        <v>1118.3399999999999</v>
      </c>
    </row>
    <row r="385" spans="1:6" x14ac:dyDescent="0.35">
      <c r="A385" t="s">
        <v>5078</v>
      </c>
      <c r="B385" t="s">
        <v>1181</v>
      </c>
      <c r="C385" s="1">
        <v>45502</v>
      </c>
      <c r="D385" s="2">
        <v>4723.8999999999996</v>
      </c>
      <c r="E385" t="s">
        <v>4694</v>
      </c>
      <c r="F385" s="2">
        <v>1202.1500000000001</v>
      </c>
    </row>
    <row r="386" spans="1:6" x14ac:dyDescent="0.35">
      <c r="A386" t="s">
        <v>5079</v>
      </c>
      <c r="B386" t="s">
        <v>1183</v>
      </c>
      <c r="C386" s="1">
        <v>45476</v>
      </c>
      <c r="D386" s="2">
        <v>463.16</v>
      </c>
      <c r="E386" t="s">
        <v>4694</v>
      </c>
      <c r="F386" s="2">
        <v>224.92</v>
      </c>
    </row>
    <row r="387" spans="1:6" x14ac:dyDescent="0.35">
      <c r="A387" t="s">
        <v>5080</v>
      </c>
      <c r="B387" t="s">
        <v>1184</v>
      </c>
      <c r="C387" s="1">
        <v>45639</v>
      </c>
      <c r="D387" s="2">
        <v>89.57</v>
      </c>
      <c r="E387" t="s">
        <v>4697</v>
      </c>
      <c r="F387" s="2">
        <v>37.22</v>
      </c>
    </row>
    <row r="388" spans="1:6" x14ac:dyDescent="0.35">
      <c r="A388" t="s">
        <v>5081</v>
      </c>
      <c r="B388" t="s">
        <v>1185</v>
      </c>
      <c r="C388" s="1">
        <v>45134</v>
      </c>
      <c r="D388" s="2">
        <v>651.05999999999995</v>
      </c>
      <c r="E388" t="s">
        <v>4694</v>
      </c>
      <c r="F388" s="2">
        <v>89.21</v>
      </c>
    </row>
    <row r="389" spans="1:6" x14ac:dyDescent="0.35">
      <c r="A389" t="s">
        <v>5082</v>
      </c>
      <c r="B389" t="s">
        <v>1186</v>
      </c>
      <c r="C389" s="1">
        <v>45077</v>
      </c>
      <c r="D389" s="2">
        <v>175.94</v>
      </c>
      <c r="E389" t="s">
        <v>4694</v>
      </c>
      <c r="F389" s="2">
        <v>70.849999999999994</v>
      </c>
    </row>
    <row r="390" spans="1:6" x14ac:dyDescent="0.35">
      <c r="A390" t="s">
        <v>5083</v>
      </c>
      <c r="B390" t="s">
        <v>1187</v>
      </c>
      <c r="C390" s="1">
        <v>45414</v>
      </c>
      <c r="D390" s="2">
        <v>89.64</v>
      </c>
      <c r="E390" t="s">
        <v>4694</v>
      </c>
      <c r="F390" s="2">
        <v>8.17</v>
      </c>
    </row>
    <row r="391" spans="1:6" x14ac:dyDescent="0.35">
      <c r="A391" t="s">
        <v>5084</v>
      </c>
      <c r="B391" t="s">
        <v>1188</v>
      </c>
      <c r="C391" s="1">
        <v>45305</v>
      </c>
      <c r="D391" s="2">
        <v>1822.16</v>
      </c>
      <c r="E391" t="s">
        <v>4694</v>
      </c>
      <c r="F391" s="2">
        <v>378.89</v>
      </c>
    </row>
    <row r="392" spans="1:6" x14ac:dyDescent="0.35">
      <c r="A392" t="s">
        <v>5085</v>
      </c>
      <c r="B392" t="s">
        <v>1189</v>
      </c>
      <c r="C392" s="1">
        <v>45514</v>
      </c>
      <c r="D392" s="2">
        <v>5672.51</v>
      </c>
      <c r="E392" t="s">
        <v>4694</v>
      </c>
      <c r="F392" s="2">
        <v>1146.4000000000001</v>
      </c>
    </row>
    <row r="393" spans="1:6" x14ac:dyDescent="0.35">
      <c r="A393" t="s">
        <v>5086</v>
      </c>
      <c r="B393" t="s">
        <v>1190</v>
      </c>
      <c r="C393" s="1">
        <v>45379</v>
      </c>
      <c r="D393" s="2">
        <v>578.59</v>
      </c>
      <c r="E393" t="s">
        <v>4694</v>
      </c>
      <c r="F393" s="2">
        <v>106.12</v>
      </c>
    </row>
    <row r="394" spans="1:6" x14ac:dyDescent="0.35">
      <c r="A394" t="s">
        <v>5087</v>
      </c>
      <c r="B394" t="s">
        <v>1192</v>
      </c>
      <c r="C394" s="1">
        <v>45532</v>
      </c>
      <c r="D394" s="2">
        <v>305.43</v>
      </c>
      <c r="E394" t="s">
        <v>4694</v>
      </c>
      <c r="F394" s="2">
        <v>62.31</v>
      </c>
    </row>
    <row r="395" spans="1:6" x14ac:dyDescent="0.35">
      <c r="A395" t="s">
        <v>5088</v>
      </c>
      <c r="B395" t="s">
        <v>1195</v>
      </c>
      <c r="C395" s="1">
        <v>45115</v>
      </c>
      <c r="D395" s="2">
        <v>1918.45</v>
      </c>
      <c r="E395" t="s">
        <v>4694</v>
      </c>
      <c r="F395" s="2">
        <v>756.9</v>
      </c>
    </row>
    <row r="396" spans="1:6" x14ac:dyDescent="0.35">
      <c r="A396" t="s">
        <v>5089</v>
      </c>
      <c r="B396" t="s">
        <v>1198</v>
      </c>
      <c r="C396" s="1">
        <v>45537</v>
      </c>
      <c r="D396" s="2">
        <v>2629.01</v>
      </c>
      <c r="E396" t="s">
        <v>4694</v>
      </c>
      <c r="F396" s="2">
        <v>1041.0899999999999</v>
      </c>
    </row>
    <row r="397" spans="1:6" x14ac:dyDescent="0.35">
      <c r="A397" t="s">
        <v>5090</v>
      </c>
      <c r="B397" t="s">
        <v>1199</v>
      </c>
      <c r="C397" s="1">
        <v>45029</v>
      </c>
      <c r="D397" s="2">
        <v>640.04</v>
      </c>
      <c r="E397" t="s">
        <v>4694</v>
      </c>
      <c r="F397" s="2">
        <v>34.69</v>
      </c>
    </row>
    <row r="398" spans="1:6" x14ac:dyDescent="0.35">
      <c r="A398" t="s">
        <v>5091</v>
      </c>
      <c r="B398" t="s">
        <v>1200</v>
      </c>
      <c r="C398" s="1">
        <v>45211</v>
      </c>
      <c r="D398" s="2">
        <v>907.47</v>
      </c>
      <c r="E398" t="s">
        <v>4694</v>
      </c>
      <c r="F398" s="2">
        <v>73.38</v>
      </c>
    </row>
    <row r="399" spans="1:6" x14ac:dyDescent="0.35">
      <c r="A399" t="s">
        <v>5092</v>
      </c>
      <c r="B399" t="s">
        <v>1201</v>
      </c>
      <c r="C399" s="1">
        <v>45162</v>
      </c>
      <c r="D399" s="2">
        <v>1505.21</v>
      </c>
      <c r="E399" t="s">
        <v>4694</v>
      </c>
      <c r="F399" s="2">
        <v>880.93</v>
      </c>
    </row>
    <row r="400" spans="1:6" x14ac:dyDescent="0.35">
      <c r="A400" t="s">
        <v>5093</v>
      </c>
      <c r="B400" t="s">
        <v>1202</v>
      </c>
      <c r="C400" s="1">
        <v>45617</v>
      </c>
      <c r="D400" s="2">
        <v>157.5</v>
      </c>
      <c r="E400" t="s">
        <v>4697</v>
      </c>
      <c r="F400" s="2">
        <v>13.39</v>
      </c>
    </row>
    <row r="401" spans="1:6" x14ac:dyDescent="0.35">
      <c r="A401" t="s">
        <v>5094</v>
      </c>
      <c r="B401" t="s">
        <v>1203</v>
      </c>
      <c r="C401" s="1">
        <v>45692</v>
      </c>
      <c r="D401" s="2">
        <v>2834.86</v>
      </c>
      <c r="E401" t="s">
        <v>4694</v>
      </c>
      <c r="F401" s="2">
        <v>316.11</v>
      </c>
    </row>
    <row r="402" spans="1:6" x14ac:dyDescent="0.35">
      <c r="A402" t="s">
        <v>5095</v>
      </c>
      <c r="B402" t="s">
        <v>1204</v>
      </c>
      <c r="C402" s="1">
        <v>45508</v>
      </c>
      <c r="D402" s="2">
        <v>54.59</v>
      </c>
      <c r="E402" t="s">
        <v>4694</v>
      </c>
      <c r="F402" s="2">
        <v>4.59</v>
      </c>
    </row>
    <row r="403" spans="1:6" x14ac:dyDescent="0.35">
      <c r="A403" t="s">
        <v>5096</v>
      </c>
      <c r="B403" t="s">
        <v>1206</v>
      </c>
      <c r="C403" s="1">
        <v>45684</v>
      </c>
      <c r="D403" s="2">
        <v>102.92</v>
      </c>
      <c r="E403" t="s">
        <v>4694</v>
      </c>
      <c r="F403" s="2">
        <v>31.7</v>
      </c>
    </row>
    <row r="404" spans="1:6" x14ac:dyDescent="0.35">
      <c r="A404" t="s">
        <v>5097</v>
      </c>
      <c r="B404" t="s">
        <v>1207</v>
      </c>
      <c r="C404" s="1">
        <v>45239</v>
      </c>
      <c r="D404" s="2">
        <v>58.13</v>
      </c>
      <c r="E404" t="s">
        <v>4694</v>
      </c>
      <c r="F404" s="2">
        <v>2.88</v>
      </c>
    </row>
    <row r="405" spans="1:6" x14ac:dyDescent="0.35">
      <c r="A405" t="s">
        <v>5098</v>
      </c>
      <c r="B405" t="s">
        <v>1208</v>
      </c>
      <c r="C405" s="1">
        <v>45599</v>
      </c>
      <c r="D405" s="2">
        <v>143.29</v>
      </c>
      <c r="E405" t="s">
        <v>4694</v>
      </c>
      <c r="F405" s="2">
        <v>51.32</v>
      </c>
    </row>
    <row r="406" spans="1:6" x14ac:dyDescent="0.35">
      <c r="A406" t="s">
        <v>5099</v>
      </c>
      <c r="B406" t="s">
        <v>1209</v>
      </c>
      <c r="C406" s="1">
        <v>45423</v>
      </c>
      <c r="D406" s="2">
        <v>1377.83</v>
      </c>
      <c r="E406" t="s">
        <v>4694</v>
      </c>
      <c r="F406" s="2">
        <v>661.29</v>
      </c>
    </row>
    <row r="407" spans="1:6" x14ac:dyDescent="0.35">
      <c r="A407" t="s">
        <v>5100</v>
      </c>
      <c r="B407" t="s">
        <v>1210</v>
      </c>
      <c r="C407" s="1">
        <v>45343</v>
      </c>
      <c r="D407" s="2">
        <v>35.9</v>
      </c>
      <c r="E407" t="s">
        <v>4694</v>
      </c>
      <c r="F407" s="2">
        <v>10.48</v>
      </c>
    </row>
    <row r="408" spans="1:6" x14ac:dyDescent="0.35">
      <c r="A408" t="s">
        <v>5101</v>
      </c>
      <c r="B408" t="s">
        <v>1211</v>
      </c>
      <c r="C408" s="1">
        <v>45316</v>
      </c>
      <c r="D408" s="2">
        <v>3003.24</v>
      </c>
      <c r="E408" t="s">
        <v>4694</v>
      </c>
      <c r="F408" s="2">
        <v>886.36</v>
      </c>
    </row>
    <row r="409" spans="1:6" x14ac:dyDescent="0.35">
      <c r="A409" t="s">
        <v>5102</v>
      </c>
      <c r="B409" t="s">
        <v>1212</v>
      </c>
      <c r="C409" s="1">
        <v>45405</v>
      </c>
      <c r="D409" s="2">
        <v>498.57</v>
      </c>
      <c r="E409" t="s">
        <v>4694</v>
      </c>
      <c r="F409" s="2">
        <v>75.86</v>
      </c>
    </row>
    <row r="410" spans="1:6" x14ac:dyDescent="0.35">
      <c r="A410" t="s">
        <v>5103</v>
      </c>
      <c r="B410" t="s">
        <v>1215</v>
      </c>
      <c r="C410" s="1">
        <v>45579</v>
      </c>
      <c r="D410" s="2">
        <v>550.5</v>
      </c>
      <c r="E410" t="s">
        <v>4694</v>
      </c>
      <c r="F410" s="2">
        <v>33.700000000000003</v>
      </c>
    </row>
    <row r="411" spans="1:6" x14ac:dyDescent="0.35">
      <c r="A411" t="s">
        <v>5104</v>
      </c>
      <c r="B411" t="s">
        <v>1216</v>
      </c>
      <c r="C411" s="1">
        <v>45389</v>
      </c>
      <c r="D411" s="2">
        <v>146.69</v>
      </c>
      <c r="E411" t="s">
        <v>4694</v>
      </c>
      <c r="F411" s="2">
        <v>75.27</v>
      </c>
    </row>
    <row r="412" spans="1:6" x14ac:dyDescent="0.35">
      <c r="A412" t="s">
        <v>5105</v>
      </c>
      <c r="B412" t="s">
        <v>1217</v>
      </c>
      <c r="C412" s="1">
        <v>45106</v>
      </c>
      <c r="D412" s="2">
        <v>94.94</v>
      </c>
      <c r="E412" t="s">
        <v>4694</v>
      </c>
      <c r="F412" s="2">
        <v>20.25</v>
      </c>
    </row>
    <row r="413" spans="1:6" x14ac:dyDescent="0.35">
      <c r="A413" t="s">
        <v>5106</v>
      </c>
      <c r="B413" t="s">
        <v>1218</v>
      </c>
      <c r="C413" s="1">
        <v>45226</v>
      </c>
      <c r="D413" s="2">
        <v>925.45</v>
      </c>
      <c r="E413" t="s">
        <v>4694</v>
      </c>
      <c r="F413" s="2">
        <v>118.17</v>
      </c>
    </row>
    <row r="414" spans="1:6" x14ac:dyDescent="0.35">
      <c r="A414" t="s">
        <v>5107</v>
      </c>
      <c r="B414" t="s">
        <v>1219</v>
      </c>
      <c r="C414" s="1">
        <v>45386</v>
      </c>
      <c r="D414" s="2">
        <v>3346.65</v>
      </c>
      <c r="E414" t="s">
        <v>4694</v>
      </c>
      <c r="F414" s="2">
        <v>174.08</v>
      </c>
    </row>
    <row r="415" spans="1:6" x14ac:dyDescent="0.35">
      <c r="A415" t="s">
        <v>5108</v>
      </c>
      <c r="B415" t="s">
        <v>1221</v>
      </c>
      <c r="C415" s="1">
        <v>45605</v>
      </c>
      <c r="D415" s="2">
        <v>3653.66</v>
      </c>
      <c r="E415" t="s">
        <v>4694</v>
      </c>
      <c r="F415" s="2">
        <v>359.02</v>
      </c>
    </row>
    <row r="416" spans="1:6" x14ac:dyDescent="0.35">
      <c r="A416" t="s">
        <v>5109</v>
      </c>
      <c r="B416" t="s">
        <v>1222</v>
      </c>
      <c r="C416" s="1">
        <v>45644</v>
      </c>
      <c r="D416" s="2">
        <v>6840.51</v>
      </c>
      <c r="E416" t="s">
        <v>4694</v>
      </c>
      <c r="F416" s="2">
        <v>574.96</v>
      </c>
    </row>
    <row r="417" spans="1:6" x14ac:dyDescent="0.35">
      <c r="A417" t="s">
        <v>5110</v>
      </c>
      <c r="B417" t="s">
        <v>1223</v>
      </c>
      <c r="C417" s="1">
        <v>45002</v>
      </c>
      <c r="D417" s="2">
        <v>166.39</v>
      </c>
      <c r="E417" t="s">
        <v>4694</v>
      </c>
      <c r="F417" s="2">
        <v>22.58</v>
      </c>
    </row>
    <row r="418" spans="1:6" x14ac:dyDescent="0.35">
      <c r="A418" t="s">
        <v>5111</v>
      </c>
      <c r="B418" t="s">
        <v>1225</v>
      </c>
      <c r="C418" s="1">
        <v>45137</v>
      </c>
      <c r="D418" s="2">
        <v>961.22</v>
      </c>
      <c r="E418" t="s">
        <v>4694</v>
      </c>
      <c r="F418" s="2">
        <v>419.91</v>
      </c>
    </row>
    <row r="419" spans="1:6" x14ac:dyDescent="0.35">
      <c r="A419" t="s">
        <v>5112</v>
      </c>
      <c r="B419" t="s">
        <v>1226</v>
      </c>
      <c r="C419" s="1">
        <v>45107</v>
      </c>
      <c r="D419" s="2">
        <v>186.27</v>
      </c>
      <c r="E419" t="s">
        <v>4694</v>
      </c>
      <c r="F419" s="2">
        <v>46.12</v>
      </c>
    </row>
    <row r="420" spans="1:6" x14ac:dyDescent="0.35">
      <c r="A420" t="s">
        <v>5113</v>
      </c>
      <c r="B420" t="s">
        <v>1227</v>
      </c>
      <c r="C420" s="1">
        <v>45508</v>
      </c>
      <c r="D420" s="2">
        <v>146.47</v>
      </c>
      <c r="E420" t="s">
        <v>4694</v>
      </c>
      <c r="F420" s="2">
        <v>32.04</v>
      </c>
    </row>
    <row r="421" spans="1:6" x14ac:dyDescent="0.35">
      <c r="A421" t="s">
        <v>5114</v>
      </c>
      <c r="B421" t="s">
        <v>1229</v>
      </c>
      <c r="C421" s="1">
        <v>45561</v>
      </c>
      <c r="D421" s="2">
        <v>378.71</v>
      </c>
      <c r="E421" t="s">
        <v>4697</v>
      </c>
      <c r="F421" s="2">
        <v>45.54</v>
      </c>
    </row>
    <row r="422" spans="1:6" x14ac:dyDescent="0.35">
      <c r="A422" t="s">
        <v>5115</v>
      </c>
      <c r="B422" t="s">
        <v>1230</v>
      </c>
      <c r="C422" s="1">
        <v>45283</v>
      </c>
      <c r="D422" s="2">
        <v>117.92</v>
      </c>
      <c r="E422" t="s">
        <v>4694</v>
      </c>
      <c r="F422" s="2">
        <v>56.46</v>
      </c>
    </row>
    <row r="423" spans="1:6" x14ac:dyDescent="0.35">
      <c r="A423" t="s">
        <v>5116</v>
      </c>
      <c r="B423" t="s">
        <v>1232</v>
      </c>
      <c r="C423" s="1">
        <v>45294</v>
      </c>
      <c r="D423" s="2">
        <v>1553.33</v>
      </c>
      <c r="E423" t="s">
        <v>4694</v>
      </c>
      <c r="F423" s="2">
        <v>121.93</v>
      </c>
    </row>
    <row r="424" spans="1:6" x14ac:dyDescent="0.35">
      <c r="A424" t="s">
        <v>5117</v>
      </c>
      <c r="B424" t="s">
        <v>1236</v>
      </c>
      <c r="C424" s="1">
        <v>45198</v>
      </c>
      <c r="D424" s="2">
        <v>612.71</v>
      </c>
      <c r="E424" t="s">
        <v>4694</v>
      </c>
      <c r="F424" s="2">
        <v>58.48</v>
      </c>
    </row>
    <row r="425" spans="1:6" x14ac:dyDescent="0.35">
      <c r="A425" t="s">
        <v>5118</v>
      </c>
      <c r="B425" t="s">
        <v>1237</v>
      </c>
      <c r="C425" s="1">
        <v>45296</v>
      </c>
      <c r="D425" s="2">
        <v>1132.03</v>
      </c>
      <c r="E425" t="s">
        <v>4694</v>
      </c>
      <c r="F425" s="2">
        <v>66.64</v>
      </c>
    </row>
    <row r="426" spans="1:6" x14ac:dyDescent="0.35">
      <c r="A426" t="s">
        <v>5119</v>
      </c>
      <c r="B426" t="s">
        <v>1238</v>
      </c>
      <c r="C426" s="1">
        <v>45493</v>
      </c>
      <c r="D426" s="2">
        <v>482.01</v>
      </c>
      <c r="E426" t="s">
        <v>4694</v>
      </c>
      <c r="F426" s="2">
        <v>292.22000000000003</v>
      </c>
    </row>
    <row r="427" spans="1:6" x14ac:dyDescent="0.35">
      <c r="A427" t="s">
        <v>5120</v>
      </c>
      <c r="B427" t="s">
        <v>1240</v>
      </c>
      <c r="C427" s="1">
        <v>45481</v>
      </c>
      <c r="D427" s="2">
        <v>127.5</v>
      </c>
      <c r="E427" t="s">
        <v>4694</v>
      </c>
      <c r="F427" s="2">
        <v>10.7</v>
      </c>
    </row>
    <row r="428" spans="1:6" x14ac:dyDescent="0.35">
      <c r="A428" t="s">
        <v>5121</v>
      </c>
      <c r="B428" t="s">
        <v>1242</v>
      </c>
      <c r="C428" s="1">
        <v>45140</v>
      </c>
      <c r="D428" s="2">
        <v>579.84</v>
      </c>
      <c r="E428" t="s">
        <v>4694</v>
      </c>
      <c r="F428" s="2">
        <v>51.6</v>
      </c>
    </row>
    <row r="429" spans="1:6" x14ac:dyDescent="0.35">
      <c r="A429" t="s">
        <v>5122</v>
      </c>
      <c r="B429" t="s">
        <v>1243</v>
      </c>
      <c r="C429" s="1">
        <v>45009</v>
      </c>
      <c r="D429" s="2">
        <v>900.48</v>
      </c>
      <c r="E429" t="s">
        <v>4694</v>
      </c>
      <c r="F429" s="2">
        <v>481.5</v>
      </c>
    </row>
    <row r="430" spans="1:6" x14ac:dyDescent="0.35">
      <c r="A430" t="s">
        <v>5123</v>
      </c>
      <c r="B430" t="s">
        <v>1244</v>
      </c>
      <c r="C430" s="1">
        <v>45499</v>
      </c>
      <c r="D430" s="2">
        <v>718.84</v>
      </c>
      <c r="E430" t="s">
        <v>4694</v>
      </c>
      <c r="F430" s="2">
        <v>41.33</v>
      </c>
    </row>
    <row r="431" spans="1:6" x14ac:dyDescent="0.35">
      <c r="A431" t="s">
        <v>5124</v>
      </c>
      <c r="B431" t="s">
        <v>1246</v>
      </c>
      <c r="C431" s="1">
        <v>45679</v>
      </c>
      <c r="D431" s="2">
        <v>727.02</v>
      </c>
      <c r="E431" t="s">
        <v>4694</v>
      </c>
      <c r="F431" s="2">
        <v>363.79</v>
      </c>
    </row>
    <row r="432" spans="1:6" x14ac:dyDescent="0.35">
      <c r="A432" t="s">
        <v>5125</v>
      </c>
      <c r="B432" t="s">
        <v>1247</v>
      </c>
      <c r="C432" s="1">
        <v>45431</v>
      </c>
      <c r="D432" s="2">
        <v>502.11</v>
      </c>
      <c r="E432" t="s">
        <v>4694</v>
      </c>
      <c r="F432" s="2">
        <v>109.51</v>
      </c>
    </row>
    <row r="433" spans="1:6" x14ac:dyDescent="0.35">
      <c r="A433" t="s">
        <v>5126</v>
      </c>
      <c r="B433" t="s">
        <v>1249</v>
      </c>
      <c r="C433" s="1">
        <v>45286</v>
      </c>
      <c r="D433" s="2">
        <v>448.68</v>
      </c>
      <c r="E433" t="s">
        <v>4694</v>
      </c>
      <c r="F433" s="2">
        <v>36.94</v>
      </c>
    </row>
    <row r="434" spans="1:6" x14ac:dyDescent="0.35">
      <c r="A434" t="s">
        <v>5127</v>
      </c>
      <c r="B434" t="s">
        <v>1250</v>
      </c>
      <c r="C434" s="1">
        <v>45061</v>
      </c>
      <c r="D434" s="2">
        <v>43.14</v>
      </c>
      <c r="E434" t="s">
        <v>4697</v>
      </c>
      <c r="F434" s="2">
        <v>10.93</v>
      </c>
    </row>
    <row r="435" spans="1:6" x14ac:dyDescent="0.35">
      <c r="A435" t="s">
        <v>5128</v>
      </c>
      <c r="B435" t="s">
        <v>1251</v>
      </c>
      <c r="C435" s="1">
        <v>45518</v>
      </c>
      <c r="D435" s="2">
        <v>731.56</v>
      </c>
      <c r="E435" t="s">
        <v>4694</v>
      </c>
      <c r="F435" s="2">
        <v>115.98</v>
      </c>
    </row>
    <row r="436" spans="1:6" x14ac:dyDescent="0.35">
      <c r="A436" t="s">
        <v>5129</v>
      </c>
      <c r="B436" t="s">
        <v>1252</v>
      </c>
      <c r="C436" s="1">
        <v>45499</v>
      </c>
      <c r="D436" s="2">
        <v>414.35</v>
      </c>
      <c r="E436" t="s">
        <v>4694</v>
      </c>
      <c r="F436" s="2">
        <v>86.58</v>
      </c>
    </row>
    <row r="437" spans="1:6" x14ac:dyDescent="0.35">
      <c r="A437" t="s">
        <v>5130</v>
      </c>
      <c r="B437" t="s">
        <v>1253</v>
      </c>
      <c r="C437" s="1">
        <v>44962</v>
      </c>
      <c r="D437" s="2">
        <v>2215.9899999999998</v>
      </c>
      <c r="E437" t="s">
        <v>4694</v>
      </c>
      <c r="F437" s="2">
        <v>441</v>
      </c>
    </row>
    <row r="438" spans="1:6" x14ac:dyDescent="0.35">
      <c r="A438" t="s">
        <v>5131</v>
      </c>
      <c r="B438" t="s">
        <v>1255</v>
      </c>
      <c r="C438" s="1">
        <v>45580</v>
      </c>
      <c r="D438" s="2">
        <v>144.37</v>
      </c>
      <c r="E438" t="s">
        <v>4694</v>
      </c>
      <c r="F438" s="2">
        <v>77.150000000000006</v>
      </c>
    </row>
    <row r="439" spans="1:6" x14ac:dyDescent="0.35">
      <c r="A439" t="s">
        <v>5132</v>
      </c>
      <c r="B439" t="s">
        <v>1256</v>
      </c>
      <c r="C439" s="1">
        <v>44994</v>
      </c>
      <c r="D439" s="2">
        <v>362.33</v>
      </c>
      <c r="E439" t="s">
        <v>4694</v>
      </c>
      <c r="F439" s="2">
        <v>119.72</v>
      </c>
    </row>
    <row r="440" spans="1:6" x14ac:dyDescent="0.35">
      <c r="A440" t="s">
        <v>5133</v>
      </c>
      <c r="B440" t="s">
        <v>1257</v>
      </c>
      <c r="C440" s="1">
        <v>45300</v>
      </c>
      <c r="D440" s="2">
        <v>1748.47</v>
      </c>
      <c r="E440" t="s">
        <v>4694</v>
      </c>
      <c r="F440" s="2">
        <v>494.82</v>
      </c>
    </row>
    <row r="441" spans="1:6" x14ac:dyDescent="0.35">
      <c r="A441" t="s">
        <v>5134</v>
      </c>
      <c r="B441" t="s">
        <v>1258</v>
      </c>
      <c r="C441" s="1">
        <v>45547</v>
      </c>
      <c r="D441" s="2">
        <v>964.57</v>
      </c>
      <c r="E441" t="s">
        <v>4694</v>
      </c>
      <c r="F441" s="2">
        <v>503.6</v>
      </c>
    </row>
    <row r="442" spans="1:6" x14ac:dyDescent="0.35">
      <c r="A442" t="s">
        <v>5135</v>
      </c>
      <c r="B442" t="s">
        <v>1259</v>
      </c>
      <c r="C442" s="1">
        <v>45409</v>
      </c>
      <c r="D442" s="2">
        <v>283.93</v>
      </c>
      <c r="E442" t="s">
        <v>4694</v>
      </c>
      <c r="F442" s="2">
        <v>34.06</v>
      </c>
    </row>
    <row r="443" spans="1:6" x14ac:dyDescent="0.35">
      <c r="A443" t="s">
        <v>5136</v>
      </c>
      <c r="B443" t="s">
        <v>1260</v>
      </c>
      <c r="C443" s="1">
        <v>45069</v>
      </c>
      <c r="D443" s="2">
        <v>711.33</v>
      </c>
      <c r="E443" t="s">
        <v>4694</v>
      </c>
      <c r="F443" s="2">
        <v>171.47</v>
      </c>
    </row>
    <row r="444" spans="1:6" x14ac:dyDescent="0.35">
      <c r="A444" t="s">
        <v>5137</v>
      </c>
      <c r="B444" t="s">
        <v>1261</v>
      </c>
      <c r="C444" s="1">
        <v>45234</v>
      </c>
      <c r="D444" s="2">
        <v>722.65</v>
      </c>
      <c r="E444" t="s">
        <v>4694</v>
      </c>
      <c r="F444" s="2">
        <v>260.26</v>
      </c>
    </row>
    <row r="445" spans="1:6" x14ac:dyDescent="0.35">
      <c r="A445" t="s">
        <v>5138</v>
      </c>
      <c r="B445" t="s">
        <v>1262</v>
      </c>
      <c r="C445" s="1">
        <v>45412</v>
      </c>
      <c r="D445" s="2">
        <v>110.31</v>
      </c>
      <c r="E445" t="s">
        <v>4694</v>
      </c>
      <c r="F445" s="2">
        <v>65.510000000000005</v>
      </c>
    </row>
    <row r="446" spans="1:6" x14ac:dyDescent="0.35">
      <c r="A446" t="s">
        <v>5139</v>
      </c>
      <c r="B446" t="s">
        <v>1263</v>
      </c>
      <c r="C446" s="1">
        <v>45207</v>
      </c>
      <c r="D446" s="2">
        <v>385.78</v>
      </c>
      <c r="E446" t="s">
        <v>4694</v>
      </c>
      <c r="F446" s="2">
        <v>191.78</v>
      </c>
    </row>
    <row r="447" spans="1:6" x14ac:dyDescent="0.35">
      <c r="A447" t="s">
        <v>5140</v>
      </c>
      <c r="B447" t="s">
        <v>1264</v>
      </c>
      <c r="C447" s="1">
        <v>45258</v>
      </c>
      <c r="D447" s="2">
        <v>283.64</v>
      </c>
      <c r="E447" t="s">
        <v>4694</v>
      </c>
      <c r="F447" s="2">
        <v>54.85</v>
      </c>
    </row>
    <row r="448" spans="1:6" x14ac:dyDescent="0.35">
      <c r="A448" t="s">
        <v>5141</v>
      </c>
      <c r="B448" t="s">
        <v>1265</v>
      </c>
      <c r="C448" s="1">
        <v>45578</v>
      </c>
      <c r="D448" s="2">
        <v>144.05000000000001</v>
      </c>
      <c r="E448" t="s">
        <v>4694</v>
      </c>
      <c r="F448" s="2">
        <v>63.76</v>
      </c>
    </row>
    <row r="449" spans="1:6" x14ac:dyDescent="0.35">
      <c r="A449" t="s">
        <v>5142</v>
      </c>
      <c r="B449" t="s">
        <v>1266</v>
      </c>
      <c r="C449" s="1">
        <v>45054</v>
      </c>
      <c r="D449" s="2">
        <v>38.549999999999997</v>
      </c>
      <c r="E449" t="s">
        <v>4694</v>
      </c>
      <c r="F449" s="2">
        <v>6.46</v>
      </c>
    </row>
    <row r="450" spans="1:6" x14ac:dyDescent="0.35">
      <c r="A450" t="s">
        <v>5143</v>
      </c>
      <c r="B450" t="s">
        <v>1268</v>
      </c>
      <c r="C450" s="1">
        <v>45393</v>
      </c>
      <c r="D450" s="2">
        <v>3119.69</v>
      </c>
      <c r="E450" t="s">
        <v>4694</v>
      </c>
      <c r="F450" s="2">
        <v>231.85</v>
      </c>
    </row>
    <row r="451" spans="1:6" x14ac:dyDescent="0.35">
      <c r="A451" t="s">
        <v>5144</v>
      </c>
      <c r="B451" t="s">
        <v>1269</v>
      </c>
      <c r="C451" s="1">
        <v>45462</v>
      </c>
      <c r="D451" s="2">
        <v>288.64999999999998</v>
      </c>
      <c r="E451" t="s">
        <v>4694</v>
      </c>
      <c r="F451" s="2">
        <v>54.96</v>
      </c>
    </row>
    <row r="452" spans="1:6" x14ac:dyDescent="0.35">
      <c r="A452" t="s">
        <v>5145</v>
      </c>
      <c r="B452" t="s">
        <v>1272</v>
      </c>
      <c r="C452" s="1">
        <v>45285</v>
      </c>
      <c r="D452" s="2">
        <v>520.03</v>
      </c>
      <c r="E452" t="s">
        <v>4694</v>
      </c>
      <c r="F452" s="2">
        <v>234.42</v>
      </c>
    </row>
    <row r="453" spans="1:6" x14ac:dyDescent="0.35">
      <c r="A453" t="s">
        <v>5146</v>
      </c>
      <c r="B453" t="s">
        <v>1273</v>
      </c>
      <c r="C453" s="1">
        <v>45610</v>
      </c>
      <c r="D453" s="2">
        <v>1338.51</v>
      </c>
      <c r="E453" t="s">
        <v>4694</v>
      </c>
      <c r="F453" s="2">
        <v>404.8</v>
      </c>
    </row>
    <row r="454" spans="1:6" x14ac:dyDescent="0.35">
      <c r="A454" t="s">
        <v>5147</v>
      </c>
      <c r="B454" t="s">
        <v>1274</v>
      </c>
      <c r="C454" s="1">
        <v>45394</v>
      </c>
      <c r="D454" s="2">
        <v>531.58000000000004</v>
      </c>
      <c r="E454" t="s">
        <v>4694</v>
      </c>
      <c r="F454" s="2">
        <v>24.1</v>
      </c>
    </row>
    <row r="455" spans="1:6" x14ac:dyDescent="0.35">
      <c r="A455" t="s">
        <v>5148</v>
      </c>
      <c r="B455" t="s">
        <v>1275</v>
      </c>
      <c r="C455" s="1">
        <v>45689</v>
      </c>
      <c r="D455" s="2">
        <v>65.47</v>
      </c>
      <c r="E455" t="s">
        <v>4694</v>
      </c>
      <c r="F455" s="2">
        <v>28.57</v>
      </c>
    </row>
    <row r="456" spans="1:6" x14ac:dyDescent="0.35">
      <c r="A456" t="s">
        <v>5149</v>
      </c>
      <c r="B456" t="s">
        <v>1277</v>
      </c>
      <c r="C456" s="1">
        <v>45648</v>
      </c>
      <c r="D456" s="2">
        <v>144.71</v>
      </c>
      <c r="E456" t="s">
        <v>4694</v>
      </c>
      <c r="F456" s="2">
        <v>85.65</v>
      </c>
    </row>
    <row r="457" spans="1:6" x14ac:dyDescent="0.35">
      <c r="A457" t="s">
        <v>5150</v>
      </c>
      <c r="B457" t="s">
        <v>1278</v>
      </c>
      <c r="C457" s="1">
        <v>45609</v>
      </c>
      <c r="D457" s="2">
        <v>340.37</v>
      </c>
      <c r="E457" t="s">
        <v>4697</v>
      </c>
      <c r="F457" s="2">
        <v>79.31</v>
      </c>
    </row>
    <row r="458" spans="1:6" x14ac:dyDescent="0.35">
      <c r="A458" t="s">
        <v>5151</v>
      </c>
      <c r="B458" t="s">
        <v>1280</v>
      </c>
      <c r="C458" s="1">
        <v>45634</v>
      </c>
      <c r="D458" s="2">
        <v>445.08</v>
      </c>
      <c r="E458" t="s">
        <v>4694</v>
      </c>
      <c r="F458" s="2">
        <v>190.04</v>
      </c>
    </row>
    <row r="459" spans="1:6" x14ac:dyDescent="0.35">
      <c r="A459" t="s">
        <v>5152</v>
      </c>
      <c r="B459" t="s">
        <v>1281</v>
      </c>
      <c r="C459" s="1">
        <v>45598</v>
      </c>
      <c r="D459" s="2">
        <v>506.89</v>
      </c>
      <c r="E459" t="s">
        <v>4694</v>
      </c>
      <c r="F459" s="2">
        <v>177.77</v>
      </c>
    </row>
    <row r="460" spans="1:6" x14ac:dyDescent="0.35">
      <c r="A460" t="s">
        <v>5153</v>
      </c>
      <c r="B460" t="s">
        <v>1283</v>
      </c>
      <c r="C460" s="1">
        <v>45529</v>
      </c>
      <c r="D460" s="2">
        <v>1516.13</v>
      </c>
      <c r="E460" t="s">
        <v>4694</v>
      </c>
      <c r="F460" s="2">
        <v>169.01</v>
      </c>
    </row>
    <row r="461" spans="1:6" x14ac:dyDescent="0.35">
      <c r="A461" t="s">
        <v>5154</v>
      </c>
      <c r="B461" t="s">
        <v>1286</v>
      </c>
      <c r="C461" s="1">
        <v>45355</v>
      </c>
      <c r="D461" s="2">
        <v>4919.8999999999996</v>
      </c>
      <c r="E461" t="s">
        <v>4694</v>
      </c>
      <c r="F461" s="2">
        <v>2103.88</v>
      </c>
    </row>
    <row r="462" spans="1:6" x14ac:dyDescent="0.35">
      <c r="A462" t="s">
        <v>5155</v>
      </c>
      <c r="B462" t="s">
        <v>1287</v>
      </c>
      <c r="C462" s="1">
        <v>45034</v>
      </c>
      <c r="D462" s="2">
        <v>238.34</v>
      </c>
      <c r="E462" t="s">
        <v>4694</v>
      </c>
      <c r="F462" s="2">
        <v>58.28</v>
      </c>
    </row>
    <row r="463" spans="1:6" x14ac:dyDescent="0.35">
      <c r="A463" t="s">
        <v>5156</v>
      </c>
      <c r="B463" t="s">
        <v>1288</v>
      </c>
      <c r="C463" s="1">
        <v>45079</v>
      </c>
      <c r="D463" s="2">
        <v>4004.22</v>
      </c>
      <c r="E463" t="s">
        <v>4697</v>
      </c>
      <c r="F463" s="2">
        <v>1158.3699999999999</v>
      </c>
    </row>
    <row r="464" spans="1:6" x14ac:dyDescent="0.35">
      <c r="A464" t="s">
        <v>5157</v>
      </c>
      <c r="B464" t="s">
        <v>1289</v>
      </c>
      <c r="C464" s="1">
        <v>45293</v>
      </c>
      <c r="D464" s="2">
        <v>202.16</v>
      </c>
      <c r="E464" t="s">
        <v>4694</v>
      </c>
      <c r="F464" s="2">
        <v>41.26</v>
      </c>
    </row>
    <row r="465" spans="1:6" x14ac:dyDescent="0.35">
      <c r="A465" t="s">
        <v>5158</v>
      </c>
      <c r="B465" t="s">
        <v>1290</v>
      </c>
      <c r="C465" s="1">
        <v>45335</v>
      </c>
      <c r="D465" s="2">
        <v>1361.38</v>
      </c>
      <c r="E465" t="s">
        <v>4694</v>
      </c>
      <c r="F465" s="2">
        <v>176.35</v>
      </c>
    </row>
    <row r="466" spans="1:6" x14ac:dyDescent="0.35">
      <c r="A466" t="s">
        <v>5159</v>
      </c>
      <c r="B466" t="s">
        <v>1291</v>
      </c>
      <c r="C466" s="1">
        <v>45602</v>
      </c>
      <c r="D466" s="2">
        <v>245.74</v>
      </c>
      <c r="E466" t="s">
        <v>4694</v>
      </c>
      <c r="F466" s="2">
        <v>61.47</v>
      </c>
    </row>
    <row r="467" spans="1:6" x14ac:dyDescent="0.35">
      <c r="A467" t="s">
        <v>5160</v>
      </c>
      <c r="B467" t="s">
        <v>1293</v>
      </c>
      <c r="C467" s="1">
        <v>45080</v>
      </c>
      <c r="D467" s="2">
        <v>789.46</v>
      </c>
      <c r="E467" t="s">
        <v>4697</v>
      </c>
      <c r="F467" s="2">
        <v>45.86</v>
      </c>
    </row>
    <row r="468" spans="1:6" x14ac:dyDescent="0.35">
      <c r="A468" t="s">
        <v>5161</v>
      </c>
      <c r="B468" t="s">
        <v>1294</v>
      </c>
      <c r="C468" s="1">
        <v>45174</v>
      </c>
      <c r="D468" s="2">
        <v>150.1</v>
      </c>
      <c r="E468" t="s">
        <v>4694</v>
      </c>
      <c r="F468" s="2">
        <v>57.74</v>
      </c>
    </row>
    <row r="469" spans="1:6" x14ac:dyDescent="0.35">
      <c r="A469" t="s">
        <v>5162</v>
      </c>
      <c r="B469" t="s">
        <v>1295</v>
      </c>
      <c r="C469" s="1">
        <v>45412</v>
      </c>
      <c r="D469" s="2">
        <v>1488.23</v>
      </c>
      <c r="E469" t="s">
        <v>4694</v>
      </c>
      <c r="F469" s="2">
        <v>416.3</v>
      </c>
    </row>
    <row r="470" spans="1:6" x14ac:dyDescent="0.35">
      <c r="A470" t="s">
        <v>5163</v>
      </c>
      <c r="B470" t="s">
        <v>1296</v>
      </c>
      <c r="C470" s="1">
        <v>45214</v>
      </c>
      <c r="D470" s="2">
        <v>132.03</v>
      </c>
      <c r="E470" t="s">
        <v>4694</v>
      </c>
      <c r="F470" s="2">
        <v>47.95</v>
      </c>
    </row>
    <row r="471" spans="1:6" x14ac:dyDescent="0.35">
      <c r="A471" t="s">
        <v>5164</v>
      </c>
      <c r="B471" t="s">
        <v>1297</v>
      </c>
      <c r="C471" s="1">
        <v>45172</v>
      </c>
      <c r="D471" s="2">
        <v>272.66000000000003</v>
      </c>
      <c r="E471" t="s">
        <v>4694</v>
      </c>
      <c r="F471" s="2">
        <v>157.99</v>
      </c>
    </row>
    <row r="472" spans="1:6" x14ac:dyDescent="0.35">
      <c r="A472" t="s">
        <v>5165</v>
      </c>
      <c r="B472" t="s">
        <v>1298</v>
      </c>
      <c r="C472" s="1">
        <v>45538</v>
      </c>
      <c r="D472" s="2">
        <v>112.93</v>
      </c>
      <c r="E472" t="s">
        <v>4694</v>
      </c>
      <c r="F472" s="2">
        <v>39.71</v>
      </c>
    </row>
    <row r="473" spans="1:6" x14ac:dyDescent="0.35">
      <c r="A473" t="s">
        <v>5166</v>
      </c>
      <c r="B473" t="s">
        <v>1300</v>
      </c>
      <c r="C473" s="1">
        <v>45676</v>
      </c>
      <c r="D473" s="2">
        <v>1591.23</v>
      </c>
      <c r="E473" t="s">
        <v>4694</v>
      </c>
      <c r="F473" s="2">
        <v>461.96</v>
      </c>
    </row>
    <row r="474" spans="1:6" x14ac:dyDescent="0.35">
      <c r="A474" t="s">
        <v>5167</v>
      </c>
      <c r="B474" t="s">
        <v>1301</v>
      </c>
      <c r="C474" s="1">
        <v>45324</v>
      </c>
      <c r="D474" s="2">
        <v>2948.65</v>
      </c>
      <c r="E474" t="s">
        <v>4694</v>
      </c>
      <c r="F474" s="2">
        <v>446.92</v>
      </c>
    </row>
    <row r="475" spans="1:6" x14ac:dyDescent="0.35">
      <c r="A475" t="s">
        <v>5168</v>
      </c>
      <c r="B475" t="s">
        <v>1303</v>
      </c>
      <c r="C475" s="1">
        <v>45505</v>
      </c>
      <c r="D475" s="2">
        <v>181.44</v>
      </c>
      <c r="E475" t="s">
        <v>4694</v>
      </c>
      <c r="F475" s="2">
        <v>110.21</v>
      </c>
    </row>
    <row r="476" spans="1:6" x14ac:dyDescent="0.35">
      <c r="A476" t="s">
        <v>5169</v>
      </c>
      <c r="B476" t="s">
        <v>1305</v>
      </c>
      <c r="C476" s="1">
        <v>45409</v>
      </c>
      <c r="D476" s="2">
        <v>309.89</v>
      </c>
      <c r="E476" t="s">
        <v>4694</v>
      </c>
      <c r="F476" s="2">
        <v>24.5</v>
      </c>
    </row>
    <row r="477" spans="1:6" x14ac:dyDescent="0.35">
      <c r="A477" t="s">
        <v>5170</v>
      </c>
      <c r="B477" t="s">
        <v>1306</v>
      </c>
      <c r="C477" s="1">
        <v>45605</v>
      </c>
      <c r="D477" s="2">
        <v>224.18</v>
      </c>
      <c r="E477" t="s">
        <v>4694</v>
      </c>
      <c r="F477" s="2">
        <v>93.66</v>
      </c>
    </row>
    <row r="478" spans="1:6" x14ac:dyDescent="0.35">
      <c r="A478" t="s">
        <v>5171</v>
      </c>
      <c r="B478" t="s">
        <v>1308</v>
      </c>
      <c r="C478" s="1">
        <v>45472</v>
      </c>
      <c r="D478" s="2">
        <v>549.83000000000004</v>
      </c>
      <c r="E478" t="s">
        <v>4697</v>
      </c>
      <c r="F478" s="2">
        <v>78.349999999999994</v>
      </c>
    </row>
    <row r="479" spans="1:6" x14ac:dyDescent="0.35">
      <c r="A479" t="s">
        <v>5172</v>
      </c>
      <c r="B479" t="s">
        <v>1313</v>
      </c>
      <c r="C479" s="1">
        <v>45244</v>
      </c>
      <c r="D479" s="2">
        <v>281.38</v>
      </c>
      <c r="E479" t="s">
        <v>4694</v>
      </c>
      <c r="F479" s="2">
        <v>134.21</v>
      </c>
    </row>
    <row r="480" spans="1:6" x14ac:dyDescent="0.35">
      <c r="A480" t="s">
        <v>5173</v>
      </c>
      <c r="B480" t="s">
        <v>1314</v>
      </c>
      <c r="C480" s="1">
        <v>45205</v>
      </c>
      <c r="D480" s="2">
        <v>284.83999999999997</v>
      </c>
      <c r="E480" t="s">
        <v>4694</v>
      </c>
      <c r="F480" s="2">
        <v>140.22</v>
      </c>
    </row>
    <row r="481" spans="1:6" x14ac:dyDescent="0.35">
      <c r="A481" t="s">
        <v>5174</v>
      </c>
      <c r="B481" t="s">
        <v>1315</v>
      </c>
      <c r="C481" s="1">
        <v>45051</v>
      </c>
      <c r="D481" s="2">
        <v>173.45</v>
      </c>
      <c r="E481" t="s">
        <v>4694</v>
      </c>
      <c r="F481" s="2">
        <v>40.26</v>
      </c>
    </row>
    <row r="482" spans="1:6" x14ac:dyDescent="0.35">
      <c r="A482" t="s">
        <v>5175</v>
      </c>
      <c r="B482" t="s">
        <v>1316</v>
      </c>
      <c r="C482" s="1">
        <v>45214</v>
      </c>
      <c r="D482" s="2">
        <v>155.18</v>
      </c>
      <c r="E482" t="s">
        <v>4694</v>
      </c>
      <c r="F482" s="2">
        <v>67.84</v>
      </c>
    </row>
    <row r="483" spans="1:6" x14ac:dyDescent="0.35">
      <c r="A483" t="s">
        <v>5176</v>
      </c>
      <c r="B483" t="s">
        <v>1318</v>
      </c>
      <c r="C483" s="1">
        <v>45182</v>
      </c>
      <c r="D483" s="2">
        <v>564.14</v>
      </c>
      <c r="E483" t="s">
        <v>4694</v>
      </c>
      <c r="F483" s="2">
        <v>25.96</v>
      </c>
    </row>
    <row r="484" spans="1:6" x14ac:dyDescent="0.35">
      <c r="A484" t="s">
        <v>5177</v>
      </c>
      <c r="B484" t="s">
        <v>1319</v>
      </c>
      <c r="C484" s="1">
        <v>45268</v>
      </c>
      <c r="D484" s="2">
        <v>2999.89</v>
      </c>
      <c r="E484" t="s">
        <v>4694</v>
      </c>
      <c r="F484" s="2">
        <v>1707.42</v>
      </c>
    </row>
    <row r="485" spans="1:6" x14ac:dyDescent="0.35">
      <c r="A485" t="s">
        <v>5178</v>
      </c>
      <c r="B485" t="s">
        <v>1320</v>
      </c>
      <c r="C485" s="1">
        <v>45315</v>
      </c>
      <c r="D485" s="2">
        <v>2716.85</v>
      </c>
      <c r="E485" t="s">
        <v>4694</v>
      </c>
      <c r="F485" s="2">
        <v>449.86</v>
      </c>
    </row>
    <row r="486" spans="1:6" x14ac:dyDescent="0.35">
      <c r="A486" t="s">
        <v>5179</v>
      </c>
      <c r="B486" t="s">
        <v>1321</v>
      </c>
      <c r="C486" s="1">
        <v>45177</v>
      </c>
      <c r="D486" s="2">
        <v>309.77</v>
      </c>
      <c r="E486" t="s">
        <v>4694</v>
      </c>
      <c r="F486" s="2">
        <v>92.68</v>
      </c>
    </row>
    <row r="487" spans="1:6" x14ac:dyDescent="0.35">
      <c r="A487" t="s">
        <v>5180</v>
      </c>
      <c r="B487" t="s">
        <v>1323</v>
      </c>
      <c r="C487" s="1">
        <v>45009</v>
      </c>
      <c r="D487" s="2">
        <v>3554.29</v>
      </c>
      <c r="E487" t="s">
        <v>4694</v>
      </c>
      <c r="F487" s="2">
        <v>1387.39</v>
      </c>
    </row>
    <row r="488" spans="1:6" x14ac:dyDescent="0.35">
      <c r="A488" t="s">
        <v>5181</v>
      </c>
      <c r="B488" t="s">
        <v>1324</v>
      </c>
      <c r="C488" s="1">
        <v>45074</v>
      </c>
      <c r="D488" s="2">
        <v>1048.3900000000001</v>
      </c>
      <c r="E488" t="s">
        <v>4697</v>
      </c>
      <c r="F488" s="2">
        <v>356.53</v>
      </c>
    </row>
    <row r="489" spans="1:6" x14ac:dyDescent="0.35">
      <c r="A489" t="s">
        <v>5182</v>
      </c>
      <c r="B489" t="s">
        <v>1326</v>
      </c>
      <c r="C489" s="1">
        <v>45237</v>
      </c>
      <c r="D489" s="2">
        <v>1876.06</v>
      </c>
      <c r="E489" t="s">
        <v>4697</v>
      </c>
      <c r="F489" s="2">
        <v>428.2</v>
      </c>
    </row>
    <row r="490" spans="1:6" x14ac:dyDescent="0.35">
      <c r="A490" t="s">
        <v>5183</v>
      </c>
      <c r="B490" t="s">
        <v>1327</v>
      </c>
      <c r="C490" s="1">
        <v>45365</v>
      </c>
      <c r="D490" s="2">
        <v>518.38</v>
      </c>
      <c r="E490" t="s">
        <v>4694</v>
      </c>
      <c r="F490" s="2">
        <v>107.83</v>
      </c>
    </row>
    <row r="491" spans="1:6" x14ac:dyDescent="0.35">
      <c r="A491" t="s">
        <v>5184</v>
      </c>
      <c r="B491" t="s">
        <v>1328</v>
      </c>
      <c r="C491" s="1">
        <v>45476</v>
      </c>
      <c r="D491" s="2">
        <v>3420.84</v>
      </c>
      <c r="E491" t="s">
        <v>4694</v>
      </c>
      <c r="F491" s="2">
        <v>1484.02</v>
      </c>
    </row>
    <row r="492" spans="1:6" x14ac:dyDescent="0.35">
      <c r="A492" t="s">
        <v>5185</v>
      </c>
      <c r="B492" t="s">
        <v>1329</v>
      </c>
      <c r="C492" s="1">
        <v>45257</v>
      </c>
      <c r="D492" s="2">
        <v>904.08</v>
      </c>
      <c r="E492" t="s">
        <v>4694</v>
      </c>
      <c r="F492" s="2">
        <v>422.74</v>
      </c>
    </row>
    <row r="493" spans="1:6" x14ac:dyDescent="0.35">
      <c r="A493" t="s">
        <v>5186</v>
      </c>
      <c r="B493" t="s">
        <v>1330</v>
      </c>
      <c r="C493" s="1">
        <v>45248</v>
      </c>
      <c r="D493" s="2">
        <v>80.95</v>
      </c>
      <c r="E493" t="s">
        <v>4697</v>
      </c>
      <c r="F493" s="2">
        <v>15.93</v>
      </c>
    </row>
    <row r="494" spans="1:6" x14ac:dyDescent="0.35">
      <c r="A494" t="s">
        <v>5187</v>
      </c>
      <c r="B494" t="s">
        <v>1332</v>
      </c>
      <c r="C494" s="1">
        <v>45076</v>
      </c>
      <c r="D494" s="2">
        <v>444.25</v>
      </c>
      <c r="E494" t="s">
        <v>4697</v>
      </c>
      <c r="F494" s="2">
        <v>88.89</v>
      </c>
    </row>
    <row r="495" spans="1:6" x14ac:dyDescent="0.35">
      <c r="A495" t="s">
        <v>5188</v>
      </c>
      <c r="B495" t="s">
        <v>1335</v>
      </c>
      <c r="C495" s="1">
        <v>45573</v>
      </c>
      <c r="D495" s="2">
        <v>171.21</v>
      </c>
      <c r="E495" t="s">
        <v>4694</v>
      </c>
      <c r="F495" s="2">
        <v>30.94</v>
      </c>
    </row>
    <row r="496" spans="1:6" x14ac:dyDescent="0.35">
      <c r="A496" t="s">
        <v>5189</v>
      </c>
      <c r="B496" t="s">
        <v>1336</v>
      </c>
      <c r="C496" s="1">
        <v>45371</v>
      </c>
      <c r="D496" s="2">
        <v>397.53</v>
      </c>
      <c r="E496" t="s">
        <v>4694</v>
      </c>
      <c r="F496" s="2">
        <v>160.74</v>
      </c>
    </row>
    <row r="497" spans="1:6" x14ac:dyDescent="0.35">
      <c r="A497" t="s">
        <v>5190</v>
      </c>
      <c r="B497" t="s">
        <v>1337</v>
      </c>
      <c r="C497" s="1">
        <v>45342</v>
      </c>
      <c r="D497" s="2">
        <v>2104.96</v>
      </c>
      <c r="E497" t="s">
        <v>4694</v>
      </c>
      <c r="F497" s="2">
        <v>1282.3399999999999</v>
      </c>
    </row>
    <row r="498" spans="1:6" x14ac:dyDescent="0.35">
      <c r="A498" t="s">
        <v>5191</v>
      </c>
      <c r="B498" t="s">
        <v>1338</v>
      </c>
      <c r="C498" s="1">
        <v>45016</v>
      </c>
      <c r="D498" s="2">
        <v>388.88</v>
      </c>
      <c r="E498" t="s">
        <v>4694</v>
      </c>
      <c r="F498" s="2">
        <v>70.59</v>
      </c>
    </row>
    <row r="499" spans="1:6" x14ac:dyDescent="0.35">
      <c r="A499" t="s">
        <v>5192</v>
      </c>
      <c r="B499" t="s">
        <v>1340</v>
      </c>
      <c r="C499" s="1">
        <v>44999</v>
      </c>
      <c r="D499" s="2">
        <v>295.11</v>
      </c>
      <c r="E499" t="s">
        <v>4694</v>
      </c>
      <c r="F499" s="2">
        <v>111.22</v>
      </c>
    </row>
    <row r="500" spans="1:6" x14ac:dyDescent="0.35">
      <c r="A500" t="s">
        <v>5193</v>
      </c>
      <c r="B500" t="s">
        <v>1341</v>
      </c>
      <c r="C500" s="1">
        <v>45160</v>
      </c>
      <c r="D500" s="2">
        <v>1682.49</v>
      </c>
      <c r="E500" t="s">
        <v>4694</v>
      </c>
      <c r="F500" s="2">
        <v>466.21</v>
      </c>
    </row>
    <row r="501" spans="1:6" x14ac:dyDescent="0.35">
      <c r="A501" t="s">
        <v>5194</v>
      </c>
      <c r="B501" t="s">
        <v>1342</v>
      </c>
      <c r="C501" s="1">
        <v>45329</v>
      </c>
      <c r="D501" s="2">
        <v>70.790000000000006</v>
      </c>
      <c r="E501" t="s">
        <v>4694</v>
      </c>
      <c r="F501" s="2">
        <v>20.329999999999998</v>
      </c>
    </row>
    <row r="502" spans="1:6" x14ac:dyDescent="0.35">
      <c r="A502" t="s">
        <v>5195</v>
      </c>
      <c r="B502" t="s">
        <v>1343</v>
      </c>
      <c r="C502" s="1">
        <v>45408</v>
      </c>
      <c r="D502" s="2">
        <v>207.4</v>
      </c>
      <c r="E502" t="s">
        <v>4694</v>
      </c>
      <c r="F502" s="2">
        <v>13.83</v>
      </c>
    </row>
    <row r="503" spans="1:6" x14ac:dyDescent="0.35">
      <c r="A503" t="s">
        <v>5196</v>
      </c>
      <c r="B503" t="s">
        <v>1344</v>
      </c>
      <c r="C503" s="1">
        <v>45160</v>
      </c>
      <c r="D503" s="2">
        <v>174.05</v>
      </c>
      <c r="E503" t="s">
        <v>4694</v>
      </c>
      <c r="F503" s="2">
        <v>7.78</v>
      </c>
    </row>
    <row r="504" spans="1:6" x14ac:dyDescent="0.35">
      <c r="A504" t="s">
        <v>5197</v>
      </c>
      <c r="B504" t="s">
        <v>1345</v>
      </c>
      <c r="C504" s="1">
        <v>45134</v>
      </c>
      <c r="D504" s="2">
        <v>127.45</v>
      </c>
      <c r="E504" t="s">
        <v>4694</v>
      </c>
      <c r="F504" s="2">
        <v>35.659999999999997</v>
      </c>
    </row>
    <row r="505" spans="1:6" x14ac:dyDescent="0.35">
      <c r="A505" t="s">
        <v>5198</v>
      </c>
      <c r="B505" t="s">
        <v>1346</v>
      </c>
      <c r="C505" s="1">
        <v>45133</v>
      </c>
      <c r="D505" s="2">
        <v>39.22</v>
      </c>
      <c r="E505" t="s">
        <v>4694</v>
      </c>
      <c r="F505" s="2">
        <v>15.29</v>
      </c>
    </row>
    <row r="506" spans="1:6" x14ac:dyDescent="0.35">
      <c r="A506" t="s">
        <v>5199</v>
      </c>
      <c r="B506" t="s">
        <v>1347</v>
      </c>
      <c r="C506" s="1">
        <v>45003</v>
      </c>
      <c r="D506" s="2">
        <v>3592.29</v>
      </c>
      <c r="E506" t="s">
        <v>4694</v>
      </c>
      <c r="F506" s="2">
        <v>1148.76</v>
      </c>
    </row>
    <row r="507" spans="1:6" x14ac:dyDescent="0.35">
      <c r="A507" t="s">
        <v>5200</v>
      </c>
      <c r="B507" t="s">
        <v>1348</v>
      </c>
      <c r="C507" s="1">
        <v>45034</v>
      </c>
      <c r="D507" s="2">
        <v>2734.88</v>
      </c>
      <c r="E507" t="s">
        <v>4694</v>
      </c>
      <c r="F507" s="2">
        <v>1614.08</v>
      </c>
    </row>
    <row r="508" spans="1:6" x14ac:dyDescent="0.35">
      <c r="A508" t="s">
        <v>5201</v>
      </c>
      <c r="B508" t="s">
        <v>1349</v>
      </c>
      <c r="C508" s="1">
        <v>44974</v>
      </c>
      <c r="D508" s="2">
        <v>585.45000000000005</v>
      </c>
      <c r="E508" t="s">
        <v>4694</v>
      </c>
      <c r="F508" s="2">
        <v>90.47</v>
      </c>
    </row>
    <row r="509" spans="1:6" x14ac:dyDescent="0.35">
      <c r="A509" t="s">
        <v>5202</v>
      </c>
      <c r="B509" t="s">
        <v>1350</v>
      </c>
      <c r="C509" s="1">
        <v>45314</v>
      </c>
      <c r="D509" s="2">
        <v>458.45</v>
      </c>
      <c r="E509" t="s">
        <v>4694</v>
      </c>
      <c r="F509" s="2">
        <v>90.95</v>
      </c>
    </row>
    <row r="510" spans="1:6" x14ac:dyDescent="0.35">
      <c r="A510" t="s">
        <v>5203</v>
      </c>
      <c r="B510" t="s">
        <v>1351</v>
      </c>
      <c r="C510" s="1">
        <v>45046</v>
      </c>
      <c r="D510" s="2">
        <v>3652.37</v>
      </c>
      <c r="E510" t="s">
        <v>4694</v>
      </c>
      <c r="F510" s="2">
        <v>942.21</v>
      </c>
    </row>
    <row r="511" spans="1:6" x14ac:dyDescent="0.35">
      <c r="A511" t="s">
        <v>5204</v>
      </c>
      <c r="B511" t="s">
        <v>1352</v>
      </c>
      <c r="C511" s="1">
        <v>45516</v>
      </c>
      <c r="D511" s="2">
        <v>245.82</v>
      </c>
      <c r="E511" t="s">
        <v>4694</v>
      </c>
      <c r="F511" s="2">
        <v>72.19</v>
      </c>
    </row>
    <row r="512" spans="1:6" x14ac:dyDescent="0.35">
      <c r="A512" t="s">
        <v>5205</v>
      </c>
      <c r="B512" t="s">
        <v>1353</v>
      </c>
      <c r="C512" s="1">
        <v>45626</v>
      </c>
      <c r="D512" s="2">
        <v>292.27999999999997</v>
      </c>
      <c r="E512" t="s">
        <v>4694</v>
      </c>
      <c r="F512" s="2">
        <v>144.66999999999999</v>
      </c>
    </row>
    <row r="513" spans="1:6" x14ac:dyDescent="0.35">
      <c r="A513" t="s">
        <v>5206</v>
      </c>
      <c r="B513" t="s">
        <v>1355</v>
      </c>
      <c r="C513" s="1">
        <v>45580</v>
      </c>
      <c r="D513" s="2">
        <v>287.02</v>
      </c>
      <c r="E513" t="s">
        <v>4694</v>
      </c>
      <c r="F513" s="2">
        <v>40.799999999999997</v>
      </c>
    </row>
    <row r="514" spans="1:6" x14ac:dyDescent="0.35">
      <c r="A514" t="s">
        <v>5207</v>
      </c>
      <c r="B514" t="s">
        <v>1359</v>
      </c>
      <c r="C514" s="1">
        <v>45390</v>
      </c>
      <c r="D514" s="2">
        <v>80.67</v>
      </c>
      <c r="E514" t="s">
        <v>4694</v>
      </c>
      <c r="F514" s="2">
        <v>40.630000000000003</v>
      </c>
    </row>
    <row r="515" spans="1:6" x14ac:dyDescent="0.35">
      <c r="A515" t="s">
        <v>5208</v>
      </c>
      <c r="B515" t="s">
        <v>1360</v>
      </c>
      <c r="C515" s="1">
        <v>45630</v>
      </c>
      <c r="D515" s="2">
        <v>131.27000000000001</v>
      </c>
      <c r="E515" t="s">
        <v>4694</v>
      </c>
      <c r="F515" s="2">
        <v>55.94</v>
      </c>
    </row>
    <row r="516" spans="1:6" x14ac:dyDescent="0.35">
      <c r="A516" t="s">
        <v>5209</v>
      </c>
      <c r="B516" t="s">
        <v>1361</v>
      </c>
      <c r="C516" s="1">
        <v>44976</v>
      </c>
      <c r="D516" s="2">
        <v>91.76</v>
      </c>
      <c r="E516" t="s">
        <v>4694</v>
      </c>
      <c r="F516" s="2">
        <v>22.56</v>
      </c>
    </row>
    <row r="517" spans="1:6" x14ac:dyDescent="0.35">
      <c r="A517" t="s">
        <v>5210</v>
      </c>
      <c r="B517" t="s">
        <v>1362</v>
      </c>
      <c r="C517" s="1">
        <v>45143</v>
      </c>
      <c r="D517" s="2">
        <v>145.91999999999999</v>
      </c>
      <c r="E517" t="s">
        <v>4694</v>
      </c>
      <c r="F517" s="2">
        <v>69.33</v>
      </c>
    </row>
    <row r="518" spans="1:6" x14ac:dyDescent="0.35">
      <c r="A518" t="s">
        <v>5211</v>
      </c>
      <c r="B518" t="s">
        <v>1364</v>
      </c>
      <c r="C518" s="1">
        <v>45525</v>
      </c>
      <c r="D518" s="2">
        <v>1543.64</v>
      </c>
      <c r="E518" t="s">
        <v>4694</v>
      </c>
      <c r="F518" s="2">
        <v>354.53</v>
      </c>
    </row>
    <row r="519" spans="1:6" x14ac:dyDescent="0.35">
      <c r="A519" t="s">
        <v>5212</v>
      </c>
      <c r="B519" t="s">
        <v>1365</v>
      </c>
      <c r="C519" s="1">
        <v>45141</v>
      </c>
      <c r="D519" s="2">
        <v>3477.45</v>
      </c>
      <c r="E519" t="s">
        <v>4694</v>
      </c>
      <c r="F519" s="2">
        <v>273.55</v>
      </c>
    </row>
    <row r="520" spans="1:6" x14ac:dyDescent="0.35">
      <c r="A520" t="s">
        <v>5213</v>
      </c>
      <c r="B520" t="s">
        <v>1366</v>
      </c>
      <c r="C520" s="1">
        <v>45525</v>
      </c>
      <c r="D520" s="2">
        <v>297.35000000000002</v>
      </c>
      <c r="E520" t="s">
        <v>4694</v>
      </c>
      <c r="F520" s="2">
        <v>61.77</v>
      </c>
    </row>
    <row r="521" spans="1:6" x14ac:dyDescent="0.35">
      <c r="A521" t="s">
        <v>5214</v>
      </c>
      <c r="B521" t="s">
        <v>1367</v>
      </c>
      <c r="C521" s="1">
        <v>45107</v>
      </c>
      <c r="D521" s="2">
        <v>112.12</v>
      </c>
      <c r="E521" t="s">
        <v>4694</v>
      </c>
      <c r="F521" s="2">
        <v>59.95</v>
      </c>
    </row>
    <row r="522" spans="1:6" x14ac:dyDescent="0.35">
      <c r="A522" t="s">
        <v>5215</v>
      </c>
      <c r="B522" t="s">
        <v>1370</v>
      </c>
      <c r="C522" s="1">
        <v>45421</v>
      </c>
      <c r="D522" s="2">
        <v>83.88</v>
      </c>
      <c r="E522" t="s">
        <v>4694</v>
      </c>
      <c r="F522" s="2">
        <v>37.090000000000003</v>
      </c>
    </row>
    <row r="523" spans="1:6" x14ac:dyDescent="0.35">
      <c r="A523" t="s">
        <v>5216</v>
      </c>
      <c r="B523" t="s">
        <v>1371</v>
      </c>
      <c r="C523" s="1">
        <v>45384</v>
      </c>
      <c r="D523" s="2">
        <v>713.53</v>
      </c>
      <c r="E523" t="s">
        <v>4694</v>
      </c>
      <c r="F523" s="2">
        <v>168.04</v>
      </c>
    </row>
    <row r="524" spans="1:6" x14ac:dyDescent="0.35">
      <c r="A524" t="s">
        <v>5217</v>
      </c>
      <c r="B524" t="s">
        <v>1372</v>
      </c>
      <c r="C524" s="1">
        <v>45389</v>
      </c>
      <c r="D524" s="2">
        <v>235.19</v>
      </c>
      <c r="E524" t="s">
        <v>4694</v>
      </c>
      <c r="F524" s="2">
        <v>58.03</v>
      </c>
    </row>
    <row r="525" spans="1:6" x14ac:dyDescent="0.35">
      <c r="A525" t="s">
        <v>5218</v>
      </c>
      <c r="B525" t="s">
        <v>1373</v>
      </c>
      <c r="C525" s="1">
        <v>45417</v>
      </c>
      <c r="D525" s="2">
        <v>3306.98</v>
      </c>
      <c r="E525" t="s">
        <v>4694</v>
      </c>
      <c r="F525" s="2">
        <v>868.63</v>
      </c>
    </row>
    <row r="526" spans="1:6" x14ac:dyDescent="0.35">
      <c r="A526" t="s">
        <v>5219</v>
      </c>
      <c r="B526" t="s">
        <v>1374</v>
      </c>
      <c r="C526" s="1">
        <v>45437</v>
      </c>
      <c r="D526" s="2">
        <v>607.70000000000005</v>
      </c>
      <c r="E526" t="s">
        <v>4694</v>
      </c>
      <c r="F526" s="2">
        <v>100.96</v>
      </c>
    </row>
    <row r="527" spans="1:6" x14ac:dyDescent="0.35">
      <c r="A527" t="s">
        <v>5220</v>
      </c>
      <c r="B527" t="s">
        <v>1376</v>
      </c>
      <c r="C527" s="1">
        <v>45360</v>
      </c>
      <c r="D527" s="2">
        <v>3662.63</v>
      </c>
      <c r="E527" t="s">
        <v>4694</v>
      </c>
      <c r="F527" s="2">
        <v>1575.75</v>
      </c>
    </row>
    <row r="528" spans="1:6" x14ac:dyDescent="0.35">
      <c r="A528" t="s">
        <v>5221</v>
      </c>
      <c r="B528" t="s">
        <v>1378</v>
      </c>
      <c r="C528" s="1">
        <v>45290</v>
      </c>
      <c r="D528" s="2">
        <v>86.5</v>
      </c>
      <c r="E528" t="s">
        <v>4694</v>
      </c>
      <c r="F528" s="2">
        <v>31.36</v>
      </c>
    </row>
    <row r="529" spans="1:6" x14ac:dyDescent="0.35">
      <c r="A529" t="s">
        <v>5222</v>
      </c>
      <c r="B529" t="s">
        <v>1379</v>
      </c>
      <c r="C529" s="1">
        <v>45336</v>
      </c>
      <c r="D529" s="2">
        <v>2023.63</v>
      </c>
      <c r="E529" t="s">
        <v>4694</v>
      </c>
      <c r="F529" s="2">
        <v>260.35000000000002</v>
      </c>
    </row>
    <row r="530" spans="1:6" x14ac:dyDescent="0.35">
      <c r="A530" t="s">
        <v>5223</v>
      </c>
      <c r="B530" t="s">
        <v>1380</v>
      </c>
      <c r="C530" s="1">
        <v>45642</v>
      </c>
      <c r="D530" s="2">
        <v>492.29</v>
      </c>
      <c r="E530" t="s">
        <v>4694</v>
      </c>
      <c r="F530" s="2">
        <v>97.46</v>
      </c>
    </row>
    <row r="531" spans="1:6" x14ac:dyDescent="0.35">
      <c r="A531" t="s">
        <v>5224</v>
      </c>
      <c r="B531" t="s">
        <v>1381</v>
      </c>
      <c r="C531" s="1">
        <v>45572</v>
      </c>
      <c r="D531" s="2">
        <v>318.44</v>
      </c>
      <c r="E531" t="s">
        <v>4694</v>
      </c>
      <c r="F531" s="2">
        <v>44.03</v>
      </c>
    </row>
    <row r="532" spans="1:6" x14ac:dyDescent="0.35">
      <c r="A532" t="s">
        <v>5225</v>
      </c>
      <c r="B532" t="s">
        <v>1383</v>
      </c>
      <c r="C532" s="1">
        <v>45166</v>
      </c>
      <c r="D532" s="2">
        <v>2015.28</v>
      </c>
      <c r="E532" t="s">
        <v>4694</v>
      </c>
      <c r="F532" s="2">
        <v>378.59</v>
      </c>
    </row>
    <row r="533" spans="1:6" x14ac:dyDescent="0.35">
      <c r="A533" t="s">
        <v>5226</v>
      </c>
      <c r="B533" t="s">
        <v>1384</v>
      </c>
      <c r="C533" s="1">
        <v>45436</v>
      </c>
      <c r="D533" s="2">
        <v>187.19</v>
      </c>
      <c r="E533" t="s">
        <v>4694</v>
      </c>
      <c r="F533" s="2">
        <v>87.99</v>
      </c>
    </row>
    <row r="534" spans="1:6" x14ac:dyDescent="0.35">
      <c r="A534" t="s">
        <v>5227</v>
      </c>
      <c r="B534" t="s">
        <v>1385</v>
      </c>
      <c r="C534" s="1">
        <v>44994</v>
      </c>
      <c r="D534" s="2">
        <v>4311.51</v>
      </c>
      <c r="E534" t="s">
        <v>4694</v>
      </c>
      <c r="F534" s="2">
        <v>1543.83</v>
      </c>
    </row>
    <row r="535" spans="1:6" x14ac:dyDescent="0.35">
      <c r="A535" t="s">
        <v>5228</v>
      </c>
      <c r="B535" t="s">
        <v>1387</v>
      </c>
      <c r="C535" s="1">
        <v>45600</v>
      </c>
      <c r="D535" s="2">
        <v>111.93</v>
      </c>
      <c r="E535" t="s">
        <v>4694</v>
      </c>
      <c r="F535" s="2">
        <v>24.65</v>
      </c>
    </row>
    <row r="536" spans="1:6" x14ac:dyDescent="0.35">
      <c r="A536" t="s">
        <v>5229</v>
      </c>
      <c r="B536" t="s">
        <v>1388</v>
      </c>
      <c r="C536" s="1">
        <v>45388</v>
      </c>
      <c r="D536" s="2">
        <v>315.20999999999998</v>
      </c>
      <c r="E536" t="s">
        <v>4694</v>
      </c>
      <c r="F536" s="2">
        <v>108.89</v>
      </c>
    </row>
    <row r="537" spans="1:6" x14ac:dyDescent="0.35">
      <c r="A537" t="s">
        <v>5230</v>
      </c>
      <c r="B537" t="s">
        <v>1389</v>
      </c>
      <c r="C537" s="1">
        <v>45341</v>
      </c>
      <c r="D537" s="2">
        <v>314.22000000000003</v>
      </c>
      <c r="E537" t="s">
        <v>4697</v>
      </c>
      <c r="F537" s="2">
        <v>108.7</v>
      </c>
    </row>
    <row r="538" spans="1:6" x14ac:dyDescent="0.35">
      <c r="A538" t="s">
        <v>5231</v>
      </c>
      <c r="B538" t="s">
        <v>1390</v>
      </c>
      <c r="C538" s="1">
        <v>45301</v>
      </c>
      <c r="D538" s="2">
        <v>810.85</v>
      </c>
      <c r="E538" t="s">
        <v>4694</v>
      </c>
      <c r="F538" s="2">
        <v>128.6</v>
      </c>
    </row>
    <row r="539" spans="1:6" x14ac:dyDescent="0.35">
      <c r="A539" t="s">
        <v>5232</v>
      </c>
      <c r="B539" t="s">
        <v>1391</v>
      </c>
      <c r="C539" s="1">
        <v>45389</v>
      </c>
      <c r="D539" s="2">
        <v>1003.97</v>
      </c>
      <c r="E539" t="s">
        <v>4694</v>
      </c>
      <c r="F539" s="2">
        <v>348.12</v>
      </c>
    </row>
    <row r="540" spans="1:6" x14ac:dyDescent="0.35">
      <c r="A540" t="s">
        <v>5233</v>
      </c>
      <c r="B540" t="s">
        <v>1393</v>
      </c>
      <c r="C540" s="1">
        <v>45028</v>
      </c>
      <c r="D540" s="2">
        <v>306.77</v>
      </c>
      <c r="E540" t="s">
        <v>4694</v>
      </c>
      <c r="F540" s="2">
        <v>126.34</v>
      </c>
    </row>
    <row r="541" spans="1:6" x14ac:dyDescent="0.35">
      <c r="A541" t="s">
        <v>5234</v>
      </c>
      <c r="B541" t="s">
        <v>1394</v>
      </c>
      <c r="C541" s="1">
        <v>45499</v>
      </c>
      <c r="D541" s="2">
        <v>231.63</v>
      </c>
      <c r="E541" t="s">
        <v>4694</v>
      </c>
      <c r="F541" s="2">
        <v>46.73</v>
      </c>
    </row>
    <row r="542" spans="1:6" x14ac:dyDescent="0.35">
      <c r="A542" t="s">
        <v>5235</v>
      </c>
      <c r="B542" t="s">
        <v>1395</v>
      </c>
      <c r="C542" s="1">
        <v>45606</v>
      </c>
      <c r="D542" s="2">
        <v>594.41999999999996</v>
      </c>
      <c r="E542" t="s">
        <v>4694</v>
      </c>
      <c r="F542" s="2">
        <v>143.06</v>
      </c>
    </row>
    <row r="543" spans="1:6" x14ac:dyDescent="0.35">
      <c r="A543" t="s">
        <v>5236</v>
      </c>
      <c r="B543" t="s">
        <v>1396</v>
      </c>
      <c r="C543" s="1">
        <v>45119</v>
      </c>
      <c r="D543" s="2">
        <v>521.46</v>
      </c>
      <c r="E543" t="s">
        <v>4694</v>
      </c>
      <c r="F543" s="2">
        <v>221.96</v>
      </c>
    </row>
    <row r="544" spans="1:6" x14ac:dyDescent="0.35">
      <c r="A544" t="s">
        <v>5237</v>
      </c>
      <c r="B544" t="s">
        <v>1397</v>
      </c>
      <c r="C544" s="1">
        <v>45387</v>
      </c>
      <c r="D544" s="2">
        <v>534.51</v>
      </c>
      <c r="E544" t="s">
        <v>4694</v>
      </c>
      <c r="F544" s="2">
        <v>124.76</v>
      </c>
    </row>
    <row r="545" spans="1:6" x14ac:dyDescent="0.35">
      <c r="A545" t="s">
        <v>5238</v>
      </c>
      <c r="B545" t="s">
        <v>1402</v>
      </c>
      <c r="C545" s="1">
        <v>45219</v>
      </c>
      <c r="D545" s="2">
        <v>839.96</v>
      </c>
      <c r="E545" t="s">
        <v>4694</v>
      </c>
      <c r="F545" s="2">
        <v>95.43</v>
      </c>
    </row>
    <row r="546" spans="1:6" x14ac:dyDescent="0.35">
      <c r="A546" t="s">
        <v>5239</v>
      </c>
      <c r="B546" t="s">
        <v>1403</v>
      </c>
      <c r="C546" s="1">
        <v>45096</v>
      </c>
      <c r="D546" s="2">
        <v>289.19</v>
      </c>
      <c r="E546" t="s">
        <v>4694</v>
      </c>
      <c r="F546" s="2">
        <v>98.91</v>
      </c>
    </row>
    <row r="547" spans="1:6" x14ac:dyDescent="0.35">
      <c r="A547" t="s">
        <v>5240</v>
      </c>
      <c r="B547" t="s">
        <v>1404</v>
      </c>
      <c r="C547" s="1">
        <v>45201</v>
      </c>
      <c r="D547" s="2">
        <v>1174.78</v>
      </c>
      <c r="E547" t="s">
        <v>4694</v>
      </c>
      <c r="F547" s="2">
        <v>657.66</v>
      </c>
    </row>
    <row r="548" spans="1:6" x14ac:dyDescent="0.35">
      <c r="A548" t="s">
        <v>5241</v>
      </c>
      <c r="B548" t="s">
        <v>1405</v>
      </c>
      <c r="C548" s="1">
        <v>45492</v>
      </c>
      <c r="D548" s="2">
        <v>2501.0100000000002</v>
      </c>
      <c r="E548" t="s">
        <v>4694</v>
      </c>
      <c r="F548" s="2">
        <v>970.56</v>
      </c>
    </row>
    <row r="549" spans="1:6" x14ac:dyDescent="0.35">
      <c r="A549" t="s">
        <v>5242</v>
      </c>
      <c r="B549" t="s">
        <v>1406</v>
      </c>
      <c r="C549" s="1">
        <v>45447</v>
      </c>
      <c r="D549" s="2">
        <v>83.96</v>
      </c>
      <c r="E549" t="s">
        <v>4694</v>
      </c>
      <c r="F549" s="2">
        <v>10.31</v>
      </c>
    </row>
    <row r="550" spans="1:6" x14ac:dyDescent="0.35">
      <c r="A550" t="s">
        <v>5243</v>
      </c>
      <c r="B550" t="s">
        <v>1407</v>
      </c>
      <c r="C550" s="1">
        <v>45079</v>
      </c>
      <c r="D550" s="2">
        <v>650.77</v>
      </c>
      <c r="E550" t="s">
        <v>4694</v>
      </c>
      <c r="F550" s="2">
        <v>211.96</v>
      </c>
    </row>
    <row r="551" spans="1:6" x14ac:dyDescent="0.35">
      <c r="A551" t="s">
        <v>5244</v>
      </c>
      <c r="B551" t="s">
        <v>1408</v>
      </c>
      <c r="C551" s="1">
        <v>45083</v>
      </c>
      <c r="D551" s="2">
        <v>97.69</v>
      </c>
      <c r="E551" t="s">
        <v>4694</v>
      </c>
      <c r="F551" s="2">
        <v>12.79</v>
      </c>
    </row>
    <row r="552" spans="1:6" x14ac:dyDescent="0.35">
      <c r="A552" t="s">
        <v>5245</v>
      </c>
      <c r="B552" t="s">
        <v>1412</v>
      </c>
      <c r="C552" s="1">
        <v>45004</v>
      </c>
      <c r="D552" s="2">
        <v>319.89999999999998</v>
      </c>
      <c r="E552" t="s">
        <v>4694</v>
      </c>
      <c r="F552" s="2">
        <v>73.62</v>
      </c>
    </row>
    <row r="553" spans="1:6" x14ac:dyDescent="0.35">
      <c r="A553" t="s">
        <v>5246</v>
      </c>
      <c r="B553" t="s">
        <v>1413</v>
      </c>
      <c r="C553" s="1">
        <v>45050</v>
      </c>
      <c r="D553" s="2">
        <v>753.77</v>
      </c>
      <c r="E553" t="s">
        <v>4694</v>
      </c>
      <c r="F553" s="2">
        <v>157.81</v>
      </c>
    </row>
    <row r="554" spans="1:6" x14ac:dyDescent="0.35">
      <c r="A554" t="s">
        <v>5247</v>
      </c>
      <c r="B554" t="s">
        <v>1414</v>
      </c>
      <c r="C554" s="1">
        <v>45608</v>
      </c>
      <c r="D554" s="2">
        <v>897.1</v>
      </c>
      <c r="E554" t="s">
        <v>4694</v>
      </c>
      <c r="F554" s="2">
        <v>443.22</v>
      </c>
    </row>
    <row r="555" spans="1:6" x14ac:dyDescent="0.35">
      <c r="A555" t="s">
        <v>5248</v>
      </c>
      <c r="B555" t="s">
        <v>1415</v>
      </c>
      <c r="C555" s="1">
        <v>45679</v>
      </c>
      <c r="D555" s="2">
        <v>91.15</v>
      </c>
      <c r="E555" t="s">
        <v>4694</v>
      </c>
      <c r="F555" s="2">
        <v>12.2</v>
      </c>
    </row>
    <row r="556" spans="1:6" x14ac:dyDescent="0.35">
      <c r="A556" t="s">
        <v>5249</v>
      </c>
      <c r="B556" t="s">
        <v>1416</v>
      </c>
      <c r="C556" s="1">
        <v>45181</v>
      </c>
      <c r="D556" s="2">
        <v>268.12</v>
      </c>
      <c r="E556" t="s">
        <v>4694</v>
      </c>
      <c r="F556" s="2">
        <v>64.14</v>
      </c>
    </row>
    <row r="557" spans="1:6" x14ac:dyDescent="0.35">
      <c r="A557" t="s">
        <v>5250</v>
      </c>
      <c r="B557" t="s">
        <v>1417</v>
      </c>
      <c r="C557" s="1">
        <v>45350</v>
      </c>
      <c r="D557" s="2">
        <v>82.76</v>
      </c>
      <c r="E557" t="s">
        <v>4694</v>
      </c>
      <c r="F557" s="2">
        <v>29.11</v>
      </c>
    </row>
    <row r="558" spans="1:6" x14ac:dyDescent="0.35">
      <c r="A558" t="s">
        <v>5251</v>
      </c>
      <c r="B558" t="s">
        <v>1418</v>
      </c>
      <c r="C558" s="1">
        <v>45033</v>
      </c>
      <c r="D558" s="2">
        <v>6212.93</v>
      </c>
      <c r="E558" t="s">
        <v>4694</v>
      </c>
      <c r="F558" s="2">
        <v>1295.25</v>
      </c>
    </row>
    <row r="559" spans="1:6" x14ac:dyDescent="0.35">
      <c r="A559" t="s">
        <v>5252</v>
      </c>
      <c r="B559" t="s">
        <v>1419</v>
      </c>
      <c r="C559" s="1">
        <v>45004</v>
      </c>
      <c r="D559" s="2">
        <v>340.35</v>
      </c>
      <c r="E559" t="s">
        <v>4694</v>
      </c>
      <c r="F559" s="2">
        <v>150.12</v>
      </c>
    </row>
    <row r="560" spans="1:6" x14ac:dyDescent="0.35">
      <c r="A560" t="s">
        <v>5253</v>
      </c>
      <c r="B560" t="s">
        <v>1420</v>
      </c>
      <c r="C560" s="1">
        <v>45396</v>
      </c>
      <c r="D560" s="2">
        <v>271.52999999999997</v>
      </c>
      <c r="E560" t="s">
        <v>4694</v>
      </c>
      <c r="F560" s="2">
        <v>127.51</v>
      </c>
    </row>
    <row r="561" spans="1:6" x14ac:dyDescent="0.35">
      <c r="A561" t="s">
        <v>5254</v>
      </c>
      <c r="B561" t="s">
        <v>1421</v>
      </c>
      <c r="C561" s="1">
        <v>45601</v>
      </c>
      <c r="D561" s="2">
        <v>138.61000000000001</v>
      </c>
      <c r="E561" t="s">
        <v>4694</v>
      </c>
      <c r="F561" s="2">
        <v>83.25</v>
      </c>
    </row>
    <row r="562" spans="1:6" x14ac:dyDescent="0.35">
      <c r="A562" t="s">
        <v>5255</v>
      </c>
      <c r="B562" t="s">
        <v>1422</v>
      </c>
      <c r="C562" s="1">
        <v>45460</v>
      </c>
      <c r="D562" s="2">
        <v>738.14</v>
      </c>
      <c r="E562" t="s">
        <v>4694</v>
      </c>
      <c r="F562" s="2">
        <v>91.79</v>
      </c>
    </row>
    <row r="563" spans="1:6" x14ac:dyDescent="0.35">
      <c r="A563" t="s">
        <v>5256</v>
      </c>
      <c r="B563" t="s">
        <v>1423</v>
      </c>
      <c r="C563" s="1">
        <v>45056</v>
      </c>
      <c r="D563" s="2">
        <v>822.73</v>
      </c>
      <c r="E563" t="s">
        <v>4694</v>
      </c>
      <c r="F563" s="2">
        <v>177.22</v>
      </c>
    </row>
    <row r="564" spans="1:6" x14ac:dyDescent="0.35">
      <c r="A564" t="s">
        <v>5257</v>
      </c>
      <c r="B564" t="s">
        <v>1424</v>
      </c>
      <c r="C564" s="1">
        <v>45226</v>
      </c>
      <c r="D564" s="2">
        <v>551.97</v>
      </c>
      <c r="E564" t="s">
        <v>4694</v>
      </c>
      <c r="F564" s="2">
        <v>92.03</v>
      </c>
    </row>
    <row r="565" spans="1:6" x14ac:dyDescent="0.35">
      <c r="A565" t="s">
        <v>5258</v>
      </c>
      <c r="B565" t="s">
        <v>1425</v>
      </c>
      <c r="C565" s="1">
        <v>45006</v>
      </c>
      <c r="D565" s="2">
        <v>152.49</v>
      </c>
      <c r="E565" t="s">
        <v>4694</v>
      </c>
      <c r="F565" s="2">
        <v>29.43</v>
      </c>
    </row>
    <row r="566" spans="1:6" x14ac:dyDescent="0.35">
      <c r="A566" t="s">
        <v>5259</v>
      </c>
      <c r="B566" t="s">
        <v>1426</v>
      </c>
      <c r="C566" s="1">
        <v>45044</v>
      </c>
      <c r="D566" s="2">
        <v>4575.0200000000004</v>
      </c>
      <c r="E566" t="s">
        <v>4694</v>
      </c>
      <c r="F566" s="2">
        <v>852.15</v>
      </c>
    </row>
    <row r="567" spans="1:6" x14ac:dyDescent="0.35">
      <c r="A567" t="s">
        <v>5260</v>
      </c>
      <c r="B567" t="s">
        <v>1429</v>
      </c>
      <c r="C567" s="1">
        <v>45253</v>
      </c>
      <c r="D567" s="2">
        <v>445.59</v>
      </c>
      <c r="E567" t="s">
        <v>4694</v>
      </c>
      <c r="F567" s="2">
        <v>125.98</v>
      </c>
    </row>
    <row r="568" spans="1:6" x14ac:dyDescent="0.35">
      <c r="A568" t="s">
        <v>5261</v>
      </c>
      <c r="B568" t="s">
        <v>1430</v>
      </c>
      <c r="C568" s="1">
        <v>45635</v>
      </c>
      <c r="D568" s="2">
        <v>223</v>
      </c>
      <c r="E568" t="s">
        <v>4694</v>
      </c>
      <c r="F568" s="2">
        <v>96.73</v>
      </c>
    </row>
    <row r="569" spans="1:6" x14ac:dyDescent="0.35">
      <c r="A569" t="s">
        <v>5262</v>
      </c>
      <c r="B569" t="s">
        <v>1431</v>
      </c>
      <c r="C569" s="1">
        <v>45323</v>
      </c>
      <c r="D569" s="2">
        <v>117.7</v>
      </c>
      <c r="E569" t="s">
        <v>4694</v>
      </c>
      <c r="F569" s="2">
        <v>27.21</v>
      </c>
    </row>
    <row r="570" spans="1:6" x14ac:dyDescent="0.35">
      <c r="A570" t="s">
        <v>5263</v>
      </c>
      <c r="B570" t="s">
        <v>1432</v>
      </c>
      <c r="C570" s="1">
        <v>45331</v>
      </c>
      <c r="D570" s="2">
        <v>110.32</v>
      </c>
      <c r="E570" t="s">
        <v>4694</v>
      </c>
      <c r="F570" s="2">
        <v>41.21</v>
      </c>
    </row>
    <row r="571" spans="1:6" x14ac:dyDescent="0.35">
      <c r="A571" t="s">
        <v>5264</v>
      </c>
      <c r="B571" t="s">
        <v>1433</v>
      </c>
      <c r="C571" s="1">
        <v>45292</v>
      </c>
      <c r="D571" s="2">
        <v>403.48</v>
      </c>
      <c r="E571" t="s">
        <v>4694</v>
      </c>
      <c r="F571" s="2">
        <v>21.83</v>
      </c>
    </row>
    <row r="572" spans="1:6" x14ac:dyDescent="0.35">
      <c r="A572" t="s">
        <v>5265</v>
      </c>
      <c r="B572" t="s">
        <v>1434</v>
      </c>
      <c r="C572" s="1">
        <v>45507</v>
      </c>
      <c r="D572" s="2">
        <v>1207.01</v>
      </c>
      <c r="E572" t="s">
        <v>4694</v>
      </c>
      <c r="F572" s="2">
        <v>708.12</v>
      </c>
    </row>
    <row r="573" spans="1:6" x14ac:dyDescent="0.35">
      <c r="A573" t="s">
        <v>5266</v>
      </c>
      <c r="B573" t="s">
        <v>1435</v>
      </c>
      <c r="C573" s="1">
        <v>45303</v>
      </c>
      <c r="D573" s="2">
        <v>76.47</v>
      </c>
      <c r="E573" t="s">
        <v>4694</v>
      </c>
      <c r="F573" s="2">
        <v>34.47</v>
      </c>
    </row>
    <row r="574" spans="1:6" x14ac:dyDescent="0.35">
      <c r="A574" t="s">
        <v>5267</v>
      </c>
      <c r="B574" t="s">
        <v>1436</v>
      </c>
      <c r="C574" s="1">
        <v>45389</v>
      </c>
      <c r="D574" s="2">
        <v>2100.8000000000002</v>
      </c>
      <c r="E574" t="s">
        <v>4694</v>
      </c>
      <c r="F574" s="2">
        <v>1087.1400000000001</v>
      </c>
    </row>
    <row r="575" spans="1:6" x14ac:dyDescent="0.35">
      <c r="A575" t="s">
        <v>5268</v>
      </c>
      <c r="B575" t="s">
        <v>1437</v>
      </c>
      <c r="C575" s="1">
        <v>45083</v>
      </c>
      <c r="D575" s="2">
        <v>268.13</v>
      </c>
      <c r="E575" t="s">
        <v>4694</v>
      </c>
      <c r="F575" s="2">
        <v>30.73</v>
      </c>
    </row>
    <row r="576" spans="1:6" x14ac:dyDescent="0.35">
      <c r="A576" t="s">
        <v>5269</v>
      </c>
      <c r="B576" t="s">
        <v>1438</v>
      </c>
      <c r="C576" s="1">
        <v>45521</v>
      </c>
      <c r="D576" s="2">
        <v>267.06</v>
      </c>
      <c r="E576" t="s">
        <v>4694</v>
      </c>
      <c r="F576" s="2">
        <v>143.11000000000001</v>
      </c>
    </row>
    <row r="577" spans="1:6" x14ac:dyDescent="0.35">
      <c r="A577" t="s">
        <v>5270</v>
      </c>
      <c r="B577" t="s">
        <v>1440</v>
      </c>
      <c r="C577" s="1">
        <v>45306</v>
      </c>
      <c r="D577" s="2">
        <v>125.97</v>
      </c>
      <c r="E577" t="s">
        <v>4694</v>
      </c>
      <c r="F577" s="2">
        <v>19.62</v>
      </c>
    </row>
    <row r="578" spans="1:6" x14ac:dyDescent="0.35">
      <c r="A578" t="s">
        <v>5271</v>
      </c>
      <c r="B578" t="s">
        <v>1441</v>
      </c>
      <c r="C578" s="1">
        <v>45332</v>
      </c>
      <c r="D578" s="2">
        <v>920.6</v>
      </c>
      <c r="E578" t="s">
        <v>4694</v>
      </c>
      <c r="F578" s="2">
        <v>198.94</v>
      </c>
    </row>
    <row r="579" spans="1:6" x14ac:dyDescent="0.35">
      <c r="A579" t="s">
        <v>5272</v>
      </c>
      <c r="B579" t="s">
        <v>1444</v>
      </c>
      <c r="C579" s="1">
        <v>45119</v>
      </c>
      <c r="D579" s="2">
        <v>1503.58</v>
      </c>
      <c r="E579" t="s">
        <v>4694</v>
      </c>
      <c r="F579" s="2">
        <v>200.29</v>
      </c>
    </row>
    <row r="580" spans="1:6" x14ac:dyDescent="0.35">
      <c r="A580" t="s">
        <v>5273</v>
      </c>
      <c r="B580" t="s">
        <v>1445</v>
      </c>
      <c r="C580" s="1">
        <v>45333</v>
      </c>
      <c r="D580" s="2">
        <v>887.75</v>
      </c>
      <c r="E580" t="s">
        <v>4694</v>
      </c>
      <c r="F580" s="2">
        <v>409.07</v>
      </c>
    </row>
    <row r="581" spans="1:6" x14ac:dyDescent="0.35">
      <c r="A581" t="s">
        <v>5274</v>
      </c>
      <c r="B581" t="s">
        <v>1446</v>
      </c>
      <c r="C581" s="1">
        <v>45464</v>
      </c>
      <c r="D581" s="2">
        <v>41.79</v>
      </c>
      <c r="E581" t="s">
        <v>4694</v>
      </c>
      <c r="F581" s="2">
        <v>5.9</v>
      </c>
    </row>
    <row r="582" spans="1:6" x14ac:dyDescent="0.35">
      <c r="A582" t="s">
        <v>5275</v>
      </c>
      <c r="B582" t="s">
        <v>1447</v>
      </c>
      <c r="C582" s="1">
        <v>45336</v>
      </c>
      <c r="D582" s="2">
        <v>867.49</v>
      </c>
      <c r="E582" t="s">
        <v>4694</v>
      </c>
      <c r="F582" s="2">
        <v>232.85</v>
      </c>
    </row>
    <row r="583" spans="1:6" x14ac:dyDescent="0.35">
      <c r="A583" t="s">
        <v>5276</v>
      </c>
      <c r="B583" t="s">
        <v>1450</v>
      </c>
      <c r="C583" s="1">
        <v>45596</v>
      </c>
      <c r="D583" s="2">
        <v>328.55</v>
      </c>
      <c r="E583" t="s">
        <v>4694</v>
      </c>
      <c r="F583" s="2">
        <v>15.91</v>
      </c>
    </row>
    <row r="584" spans="1:6" x14ac:dyDescent="0.35">
      <c r="A584" t="s">
        <v>5277</v>
      </c>
      <c r="B584" t="s">
        <v>1451</v>
      </c>
      <c r="C584" s="1">
        <v>45439</v>
      </c>
      <c r="D584" s="2">
        <v>191.39</v>
      </c>
      <c r="E584" t="s">
        <v>4697</v>
      </c>
      <c r="F584" s="2">
        <v>99.65</v>
      </c>
    </row>
    <row r="585" spans="1:6" x14ac:dyDescent="0.35">
      <c r="A585" t="s">
        <v>5278</v>
      </c>
      <c r="B585" t="s">
        <v>1452</v>
      </c>
      <c r="C585" s="1">
        <v>45074</v>
      </c>
      <c r="D585" s="2">
        <v>627.66</v>
      </c>
      <c r="E585" t="s">
        <v>4694</v>
      </c>
      <c r="F585" s="2">
        <v>102.73</v>
      </c>
    </row>
    <row r="586" spans="1:6" x14ac:dyDescent="0.35">
      <c r="A586" t="s">
        <v>5279</v>
      </c>
      <c r="B586" t="s">
        <v>1453</v>
      </c>
      <c r="C586" s="1">
        <v>45100</v>
      </c>
      <c r="D586" s="2">
        <v>97.39</v>
      </c>
      <c r="E586" t="s">
        <v>4694</v>
      </c>
      <c r="F586" s="2">
        <v>16.7</v>
      </c>
    </row>
    <row r="587" spans="1:6" x14ac:dyDescent="0.35">
      <c r="A587" t="s">
        <v>5280</v>
      </c>
      <c r="B587" t="s">
        <v>1456</v>
      </c>
      <c r="C587" s="1">
        <v>45229</v>
      </c>
      <c r="D587" s="2">
        <v>1394.08</v>
      </c>
      <c r="E587" t="s">
        <v>4694</v>
      </c>
      <c r="F587" s="2">
        <v>249.1</v>
      </c>
    </row>
    <row r="588" spans="1:6" x14ac:dyDescent="0.35">
      <c r="A588" t="s">
        <v>5281</v>
      </c>
      <c r="B588" t="s">
        <v>1457</v>
      </c>
      <c r="C588" s="1">
        <v>45065</v>
      </c>
      <c r="D588" s="2">
        <v>490.54</v>
      </c>
      <c r="E588" t="s">
        <v>4694</v>
      </c>
      <c r="F588" s="2">
        <v>155.37</v>
      </c>
    </row>
    <row r="589" spans="1:6" x14ac:dyDescent="0.35">
      <c r="A589" t="s">
        <v>5282</v>
      </c>
      <c r="B589" t="s">
        <v>1458</v>
      </c>
      <c r="C589" s="1">
        <v>45050</v>
      </c>
      <c r="D589" s="2">
        <v>1720.42</v>
      </c>
      <c r="E589" t="s">
        <v>4694</v>
      </c>
      <c r="F589" s="2">
        <v>608.59</v>
      </c>
    </row>
    <row r="590" spans="1:6" x14ac:dyDescent="0.35">
      <c r="A590" t="s">
        <v>5283</v>
      </c>
      <c r="B590" t="s">
        <v>1459</v>
      </c>
      <c r="C590" s="1">
        <v>45180</v>
      </c>
      <c r="D590" s="2">
        <v>1714.04</v>
      </c>
      <c r="E590" t="s">
        <v>4694</v>
      </c>
      <c r="F590" s="2">
        <v>405.04</v>
      </c>
    </row>
    <row r="591" spans="1:6" x14ac:dyDescent="0.35">
      <c r="A591" t="s">
        <v>5284</v>
      </c>
      <c r="B591" t="s">
        <v>1461</v>
      </c>
      <c r="C591" s="1">
        <v>45120</v>
      </c>
      <c r="D591" s="2">
        <v>271.12</v>
      </c>
      <c r="E591" t="s">
        <v>4697</v>
      </c>
      <c r="F591" s="2">
        <v>67.63</v>
      </c>
    </row>
    <row r="592" spans="1:6" x14ac:dyDescent="0.35">
      <c r="A592" t="s">
        <v>5285</v>
      </c>
      <c r="B592" t="s">
        <v>1462</v>
      </c>
      <c r="C592" s="1">
        <v>45467</v>
      </c>
      <c r="D592" s="2">
        <v>2536.33</v>
      </c>
      <c r="E592" t="s">
        <v>4694</v>
      </c>
      <c r="F592" s="2">
        <v>893.49</v>
      </c>
    </row>
    <row r="593" spans="1:6" x14ac:dyDescent="0.35">
      <c r="A593" t="s">
        <v>5286</v>
      </c>
      <c r="B593" t="s">
        <v>1463</v>
      </c>
      <c r="C593" s="1">
        <v>45227</v>
      </c>
      <c r="D593" s="2">
        <v>447.74</v>
      </c>
      <c r="E593" t="s">
        <v>4697</v>
      </c>
      <c r="F593" s="2">
        <v>249.39</v>
      </c>
    </row>
    <row r="594" spans="1:6" x14ac:dyDescent="0.35">
      <c r="A594" t="s">
        <v>5287</v>
      </c>
      <c r="B594" t="s">
        <v>1465</v>
      </c>
      <c r="C594" s="1">
        <v>45618</v>
      </c>
      <c r="D594" s="2">
        <v>982.92</v>
      </c>
      <c r="E594" t="s">
        <v>4694</v>
      </c>
      <c r="F594" s="2">
        <v>334.31</v>
      </c>
    </row>
    <row r="595" spans="1:6" x14ac:dyDescent="0.35">
      <c r="A595" t="s">
        <v>5288</v>
      </c>
      <c r="B595" t="s">
        <v>1469</v>
      </c>
      <c r="C595" s="1">
        <v>45015</v>
      </c>
      <c r="D595" s="2">
        <v>81.14</v>
      </c>
      <c r="E595" t="s">
        <v>4694</v>
      </c>
      <c r="F595" s="2">
        <v>40.659999999999997</v>
      </c>
    </row>
    <row r="596" spans="1:6" x14ac:dyDescent="0.35">
      <c r="A596" t="s">
        <v>5289</v>
      </c>
      <c r="B596" t="s">
        <v>1470</v>
      </c>
      <c r="C596" s="1">
        <v>45051</v>
      </c>
      <c r="D596" s="2">
        <v>451.95</v>
      </c>
      <c r="E596" t="s">
        <v>4697</v>
      </c>
      <c r="F596" s="2">
        <v>63.16</v>
      </c>
    </row>
    <row r="597" spans="1:6" x14ac:dyDescent="0.35">
      <c r="A597" t="s">
        <v>5290</v>
      </c>
      <c r="B597" t="s">
        <v>1471</v>
      </c>
      <c r="C597" s="1">
        <v>45081</v>
      </c>
      <c r="D597" s="2">
        <v>759.41</v>
      </c>
      <c r="E597" t="s">
        <v>4697</v>
      </c>
      <c r="F597" s="2">
        <v>162.27000000000001</v>
      </c>
    </row>
    <row r="598" spans="1:6" x14ac:dyDescent="0.35">
      <c r="A598" t="s">
        <v>5291</v>
      </c>
      <c r="B598" t="s">
        <v>1472</v>
      </c>
      <c r="C598" s="1">
        <v>45220</v>
      </c>
      <c r="D598" s="2">
        <v>443.17</v>
      </c>
      <c r="E598" t="s">
        <v>4694</v>
      </c>
      <c r="F598" s="2">
        <v>184.13</v>
      </c>
    </row>
    <row r="599" spans="1:6" x14ac:dyDescent="0.35">
      <c r="A599" t="s">
        <v>5292</v>
      </c>
      <c r="B599" t="s">
        <v>1473</v>
      </c>
      <c r="C599" s="1">
        <v>45640</v>
      </c>
      <c r="D599" s="2">
        <v>138.81</v>
      </c>
      <c r="E599" t="s">
        <v>4697</v>
      </c>
      <c r="F599" s="2">
        <v>29.22</v>
      </c>
    </row>
    <row r="600" spans="1:6" x14ac:dyDescent="0.35">
      <c r="A600" t="s">
        <v>5293</v>
      </c>
      <c r="B600" t="s">
        <v>1474</v>
      </c>
      <c r="C600" s="1">
        <v>45531</v>
      </c>
      <c r="D600" s="2">
        <v>1372.75</v>
      </c>
      <c r="E600" t="s">
        <v>4694</v>
      </c>
      <c r="F600" s="2">
        <v>339.31</v>
      </c>
    </row>
    <row r="601" spans="1:6" x14ac:dyDescent="0.35">
      <c r="A601" t="s">
        <v>5294</v>
      </c>
      <c r="B601" t="s">
        <v>1475</v>
      </c>
      <c r="C601" s="1">
        <v>45108</v>
      </c>
      <c r="D601" s="2">
        <v>5593.48</v>
      </c>
      <c r="E601" t="s">
        <v>4694</v>
      </c>
      <c r="F601" s="2">
        <v>1549.79</v>
      </c>
    </row>
    <row r="602" spans="1:6" x14ac:dyDescent="0.35">
      <c r="A602" t="s">
        <v>5295</v>
      </c>
      <c r="B602" t="s">
        <v>1477</v>
      </c>
      <c r="C602" s="1">
        <v>45617</v>
      </c>
      <c r="D602" s="2">
        <v>344.1</v>
      </c>
      <c r="E602" t="s">
        <v>4694</v>
      </c>
      <c r="F602" s="2">
        <v>180.05</v>
      </c>
    </row>
    <row r="603" spans="1:6" x14ac:dyDescent="0.35">
      <c r="A603" t="s">
        <v>5296</v>
      </c>
      <c r="B603" t="s">
        <v>1478</v>
      </c>
      <c r="C603" s="1">
        <v>45350</v>
      </c>
      <c r="D603" s="2">
        <v>229.71</v>
      </c>
      <c r="E603" t="s">
        <v>4694</v>
      </c>
      <c r="F603" s="2">
        <v>67.31</v>
      </c>
    </row>
    <row r="604" spans="1:6" x14ac:dyDescent="0.35">
      <c r="A604" t="s">
        <v>5297</v>
      </c>
      <c r="B604" t="s">
        <v>1482</v>
      </c>
      <c r="C604" s="1">
        <v>45151</v>
      </c>
      <c r="D604" s="2">
        <v>554.55999999999995</v>
      </c>
      <c r="E604" t="s">
        <v>4694</v>
      </c>
      <c r="F604" s="2">
        <v>26.71</v>
      </c>
    </row>
    <row r="605" spans="1:6" x14ac:dyDescent="0.35">
      <c r="A605" t="s">
        <v>5298</v>
      </c>
      <c r="B605" t="s">
        <v>1484</v>
      </c>
      <c r="C605" s="1">
        <v>45518</v>
      </c>
      <c r="D605" s="2">
        <v>127.78</v>
      </c>
      <c r="E605" t="s">
        <v>4694</v>
      </c>
      <c r="F605" s="2">
        <v>67.709999999999994</v>
      </c>
    </row>
    <row r="606" spans="1:6" x14ac:dyDescent="0.35">
      <c r="A606" t="s">
        <v>5299</v>
      </c>
      <c r="B606" t="s">
        <v>1485</v>
      </c>
      <c r="C606" s="1">
        <v>45481</v>
      </c>
      <c r="D606" s="2">
        <v>586.87</v>
      </c>
      <c r="E606" t="s">
        <v>4694</v>
      </c>
      <c r="F606" s="2">
        <v>38.47</v>
      </c>
    </row>
    <row r="607" spans="1:6" x14ac:dyDescent="0.35">
      <c r="A607" t="s">
        <v>5300</v>
      </c>
      <c r="B607" t="s">
        <v>1486</v>
      </c>
      <c r="C607" s="1">
        <v>45560</v>
      </c>
      <c r="D607" s="2">
        <v>3080.08</v>
      </c>
      <c r="E607" t="s">
        <v>4694</v>
      </c>
      <c r="F607" s="2">
        <v>1015.91</v>
      </c>
    </row>
    <row r="608" spans="1:6" x14ac:dyDescent="0.35">
      <c r="A608" t="s">
        <v>5301</v>
      </c>
      <c r="B608" t="s">
        <v>1487</v>
      </c>
      <c r="C608" s="1">
        <v>45489</v>
      </c>
      <c r="D608" s="2">
        <v>44.23</v>
      </c>
      <c r="E608" t="s">
        <v>4694</v>
      </c>
      <c r="F608" s="2">
        <v>9.0500000000000007</v>
      </c>
    </row>
    <row r="609" spans="1:6" x14ac:dyDescent="0.35">
      <c r="A609" t="s">
        <v>5302</v>
      </c>
      <c r="B609" t="s">
        <v>1488</v>
      </c>
      <c r="C609" s="1">
        <v>45106</v>
      </c>
      <c r="D609" s="2">
        <v>721.55</v>
      </c>
      <c r="E609" t="s">
        <v>4694</v>
      </c>
      <c r="F609" s="2">
        <v>115.6</v>
      </c>
    </row>
    <row r="610" spans="1:6" x14ac:dyDescent="0.35">
      <c r="A610" t="s">
        <v>5303</v>
      </c>
      <c r="B610" t="s">
        <v>1489</v>
      </c>
      <c r="C610" s="1">
        <v>45634</v>
      </c>
      <c r="D610" s="2">
        <v>298.76</v>
      </c>
      <c r="E610" t="s">
        <v>4697</v>
      </c>
      <c r="F610" s="2">
        <v>178.11</v>
      </c>
    </row>
    <row r="611" spans="1:6" x14ac:dyDescent="0.35">
      <c r="A611" t="s">
        <v>5304</v>
      </c>
      <c r="B611" t="s">
        <v>1490</v>
      </c>
      <c r="C611" s="1">
        <v>45274</v>
      </c>
      <c r="D611" s="2">
        <v>292.86</v>
      </c>
      <c r="E611" t="s">
        <v>4694</v>
      </c>
      <c r="F611" s="2">
        <v>131.66999999999999</v>
      </c>
    </row>
    <row r="612" spans="1:6" x14ac:dyDescent="0.35">
      <c r="A612" t="s">
        <v>5305</v>
      </c>
      <c r="B612" t="s">
        <v>1491</v>
      </c>
      <c r="C612" s="1">
        <v>45582</v>
      </c>
      <c r="D612" s="2">
        <v>461.74</v>
      </c>
      <c r="E612" t="s">
        <v>4694</v>
      </c>
      <c r="F612" s="2">
        <v>129.1</v>
      </c>
    </row>
    <row r="613" spans="1:6" x14ac:dyDescent="0.35">
      <c r="A613" t="s">
        <v>5306</v>
      </c>
      <c r="B613" t="s">
        <v>1492</v>
      </c>
      <c r="C613" s="1">
        <v>45538</v>
      </c>
      <c r="D613" s="2">
        <v>477.46</v>
      </c>
      <c r="E613" t="s">
        <v>4694</v>
      </c>
      <c r="F613" s="2">
        <v>239.32</v>
      </c>
    </row>
    <row r="614" spans="1:6" x14ac:dyDescent="0.35">
      <c r="A614" t="s">
        <v>5307</v>
      </c>
      <c r="B614" t="s">
        <v>1494</v>
      </c>
      <c r="C614" s="1">
        <v>45189</v>
      </c>
      <c r="D614" s="2">
        <v>342.6</v>
      </c>
      <c r="E614" t="s">
        <v>4694</v>
      </c>
      <c r="F614" s="2">
        <v>74.87</v>
      </c>
    </row>
    <row r="615" spans="1:6" x14ac:dyDescent="0.35">
      <c r="A615" t="s">
        <v>5308</v>
      </c>
      <c r="B615" t="s">
        <v>1496</v>
      </c>
      <c r="C615" s="1">
        <v>45554</v>
      </c>
      <c r="D615" s="2">
        <v>475.47</v>
      </c>
      <c r="E615" t="s">
        <v>4694</v>
      </c>
      <c r="F615" s="2">
        <v>97.7</v>
      </c>
    </row>
    <row r="616" spans="1:6" x14ac:dyDescent="0.35">
      <c r="A616" t="s">
        <v>5309</v>
      </c>
      <c r="B616" t="s">
        <v>1499</v>
      </c>
      <c r="C616" s="1">
        <v>45362</v>
      </c>
      <c r="D616" s="2">
        <v>653.91999999999996</v>
      </c>
      <c r="E616" t="s">
        <v>4697</v>
      </c>
      <c r="F616" s="2">
        <v>321.27999999999997</v>
      </c>
    </row>
    <row r="617" spans="1:6" x14ac:dyDescent="0.35">
      <c r="A617" t="s">
        <v>5310</v>
      </c>
      <c r="B617" t="s">
        <v>1501</v>
      </c>
      <c r="C617" s="1">
        <v>45671</v>
      </c>
      <c r="D617" s="2">
        <v>37.93</v>
      </c>
      <c r="E617" t="s">
        <v>4694</v>
      </c>
      <c r="F617" s="2">
        <v>13.26</v>
      </c>
    </row>
    <row r="618" spans="1:6" x14ac:dyDescent="0.35">
      <c r="A618" t="s">
        <v>5311</v>
      </c>
      <c r="B618" t="s">
        <v>1505</v>
      </c>
      <c r="C618" s="1">
        <v>45653</v>
      </c>
      <c r="D618" s="2">
        <v>374.86</v>
      </c>
      <c r="E618" t="s">
        <v>4694</v>
      </c>
      <c r="F618" s="2">
        <v>37.450000000000003</v>
      </c>
    </row>
    <row r="619" spans="1:6" x14ac:dyDescent="0.35">
      <c r="A619" t="s">
        <v>5312</v>
      </c>
      <c r="B619" t="s">
        <v>1506</v>
      </c>
      <c r="C619" s="1">
        <v>45681</v>
      </c>
      <c r="D619" s="2">
        <v>1092.08</v>
      </c>
      <c r="E619" t="s">
        <v>4697</v>
      </c>
      <c r="F619" s="2">
        <v>590.27</v>
      </c>
    </row>
    <row r="620" spans="1:6" x14ac:dyDescent="0.35">
      <c r="A620" t="s">
        <v>5313</v>
      </c>
      <c r="B620" t="s">
        <v>1508</v>
      </c>
      <c r="C620" s="1">
        <v>45554</v>
      </c>
      <c r="D620" s="2">
        <v>1072.03</v>
      </c>
      <c r="E620" t="s">
        <v>4694</v>
      </c>
      <c r="F620" s="2">
        <v>606.97</v>
      </c>
    </row>
    <row r="621" spans="1:6" x14ac:dyDescent="0.35">
      <c r="A621" t="s">
        <v>5314</v>
      </c>
      <c r="B621" t="s">
        <v>1509</v>
      </c>
      <c r="C621" s="1">
        <v>45648</v>
      </c>
      <c r="D621" s="2">
        <v>685.61</v>
      </c>
      <c r="E621" t="s">
        <v>4694</v>
      </c>
      <c r="F621" s="2">
        <v>80.34</v>
      </c>
    </row>
    <row r="622" spans="1:6" x14ac:dyDescent="0.35">
      <c r="A622" t="s">
        <v>5315</v>
      </c>
      <c r="B622" t="s">
        <v>1510</v>
      </c>
      <c r="C622" s="1">
        <v>45334</v>
      </c>
      <c r="D622" s="2">
        <v>4079.79</v>
      </c>
      <c r="E622" t="s">
        <v>4694</v>
      </c>
      <c r="F622" s="2">
        <v>1130.5899999999999</v>
      </c>
    </row>
    <row r="623" spans="1:6" x14ac:dyDescent="0.35">
      <c r="A623" t="s">
        <v>5316</v>
      </c>
      <c r="B623" t="s">
        <v>1512</v>
      </c>
      <c r="C623" s="1">
        <v>45011</v>
      </c>
      <c r="D623" s="2">
        <v>248.08</v>
      </c>
      <c r="E623" t="s">
        <v>4694</v>
      </c>
      <c r="F623" s="2">
        <v>99.78</v>
      </c>
    </row>
    <row r="624" spans="1:6" x14ac:dyDescent="0.35">
      <c r="A624" t="s">
        <v>5317</v>
      </c>
      <c r="B624" t="s">
        <v>1513</v>
      </c>
      <c r="C624" s="1">
        <v>45488</v>
      </c>
      <c r="D624" s="2">
        <v>3757.57</v>
      </c>
      <c r="E624" t="s">
        <v>4694</v>
      </c>
      <c r="F624" s="2">
        <v>814.14</v>
      </c>
    </row>
    <row r="625" spans="1:6" x14ac:dyDescent="0.35">
      <c r="A625" t="s">
        <v>5318</v>
      </c>
      <c r="B625" t="s">
        <v>1514</v>
      </c>
      <c r="C625" s="1">
        <v>45294</v>
      </c>
      <c r="D625" s="2">
        <v>539.08000000000004</v>
      </c>
      <c r="E625" t="s">
        <v>4694</v>
      </c>
      <c r="F625" s="2">
        <v>148.97999999999999</v>
      </c>
    </row>
    <row r="626" spans="1:6" x14ac:dyDescent="0.35">
      <c r="A626" t="s">
        <v>5319</v>
      </c>
      <c r="B626" t="s">
        <v>1515</v>
      </c>
      <c r="C626" s="1">
        <v>45078</v>
      </c>
      <c r="D626" s="2">
        <v>1271.21</v>
      </c>
      <c r="E626" t="s">
        <v>4694</v>
      </c>
      <c r="F626" s="2">
        <v>632.91</v>
      </c>
    </row>
    <row r="627" spans="1:6" x14ac:dyDescent="0.35">
      <c r="A627" t="s">
        <v>5320</v>
      </c>
      <c r="B627" t="s">
        <v>1516</v>
      </c>
      <c r="C627" s="1">
        <v>45297</v>
      </c>
      <c r="D627" s="2">
        <v>1459.21</v>
      </c>
      <c r="E627" t="s">
        <v>4694</v>
      </c>
      <c r="F627" s="2">
        <v>598.37</v>
      </c>
    </row>
    <row r="628" spans="1:6" x14ac:dyDescent="0.35">
      <c r="A628" t="s">
        <v>5321</v>
      </c>
      <c r="B628" t="s">
        <v>1517</v>
      </c>
      <c r="C628" s="1">
        <v>45098</v>
      </c>
      <c r="D628" s="2">
        <v>970.91</v>
      </c>
      <c r="E628" t="s">
        <v>4694</v>
      </c>
      <c r="F628" s="2">
        <v>61.96</v>
      </c>
    </row>
    <row r="629" spans="1:6" x14ac:dyDescent="0.35">
      <c r="A629" t="s">
        <v>5322</v>
      </c>
      <c r="B629" t="s">
        <v>1518</v>
      </c>
      <c r="C629" s="1">
        <v>45541</v>
      </c>
      <c r="D629" s="2">
        <v>525.19000000000005</v>
      </c>
      <c r="E629" t="s">
        <v>4694</v>
      </c>
      <c r="F629" s="2">
        <v>294.63</v>
      </c>
    </row>
    <row r="630" spans="1:6" x14ac:dyDescent="0.35">
      <c r="A630" t="s">
        <v>5323</v>
      </c>
      <c r="B630" t="s">
        <v>1522</v>
      </c>
      <c r="C630" s="1">
        <v>45453</v>
      </c>
      <c r="D630" s="2">
        <v>4124.26</v>
      </c>
      <c r="E630" t="s">
        <v>4694</v>
      </c>
      <c r="F630" s="2">
        <v>683.17</v>
      </c>
    </row>
    <row r="631" spans="1:6" x14ac:dyDescent="0.35">
      <c r="A631" t="s">
        <v>5324</v>
      </c>
      <c r="B631" t="s">
        <v>1524</v>
      </c>
      <c r="C631" s="1">
        <v>45256</v>
      </c>
      <c r="D631" s="2">
        <v>361.95</v>
      </c>
      <c r="E631" t="s">
        <v>4694</v>
      </c>
      <c r="F631" s="2">
        <v>37.96</v>
      </c>
    </row>
    <row r="632" spans="1:6" x14ac:dyDescent="0.35">
      <c r="A632" t="s">
        <v>5325</v>
      </c>
      <c r="B632" t="s">
        <v>1525</v>
      </c>
      <c r="C632" s="1">
        <v>45664</v>
      </c>
      <c r="D632" s="2">
        <v>145.49</v>
      </c>
      <c r="E632" t="s">
        <v>4694</v>
      </c>
      <c r="F632" s="2">
        <v>67</v>
      </c>
    </row>
    <row r="633" spans="1:6" x14ac:dyDescent="0.35">
      <c r="A633" t="s">
        <v>5326</v>
      </c>
      <c r="B633" t="s">
        <v>1526</v>
      </c>
      <c r="C633" s="1">
        <v>45067</v>
      </c>
      <c r="D633" s="2">
        <v>172.19</v>
      </c>
      <c r="E633" t="s">
        <v>4694</v>
      </c>
      <c r="F633" s="2">
        <v>14.86</v>
      </c>
    </row>
    <row r="634" spans="1:6" x14ac:dyDescent="0.35">
      <c r="A634" t="s">
        <v>5327</v>
      </c>
      <c r="B634" t="s">
        <v>1527</v>
      </c>
      <c r="C634" s="1">
        <v>45433</v>
      </c>
      <c r="D634" s="2">
        <v>482.6</v>
      </c>
      <c r="E634" t="s">
        <v>4694</v>
      </c>
      <c r="F634" s="2">
        <v>77.14</v>
      </c>
    </row>
    <row r="635" spans="1:6" x14ac:dyDescent="0.35">
      <c r="A635" t="s">
        <v>5328</v>
      </c>
      <c r="B635" t="s">
        <v>1528</v>
      </c>
      <c r="C635" s="1">
        <v>44977</v>
      </c>
      <c r="D635" s="2">
        <v>2882.86</v>
      </c>
      <c r="E635" t="s">
        <v>4694</v>
      </c>
      <c r="F635" s="2">
        <v>554.38</v>
      </c>
    </row>
    <row r="636" spans="1:6" x14ac:dyDescent="0.35">
      <c r="A636" t="s">
        <v>5329</v>
      </c>
      <c r="B636" t="s">
        <v>1529</v>
      </c>
      <c r="C636" s="1">
        <v>45302</v>
      </c>
      <c r="D636" s="2">
        <v>498.79</v>
      </c>
      <c r="E636" t="s">
        <v>4697</v>
      </c>
      <c r="F636" s="2">
        <v>248.97</v>
      </c>
    </row>
    <row r="637" spans="1:6" x14ac:dyDescent="0.35">
      <c r="A637" t="s">
        <v>5330</v>
      </c>
      <c r="B637" t="s">
        <v>1530</v>
      </c>
      <c r="C637" s="1">
        <v>45673</v>
      </c>
      <c r="D637" s="2">
        <v>141.75</v>
      </c>
      <c r="E637" t="s">
        <v>4694</v>
      </c>
      <c r="F637" s="2">
        <v>55.02</v>
      </c>
    </row>
    <row r="638" spans="1:6" x14ac:dyDescent="0.35">
      <c r="A638" t="s">
        <v>5331</v>
      </c>
      <c r="B638" t="s">
        <v>1531</v>
      </c>
      <c r="C638" s="1">
        <v>45647</v>
      </c>
      <c r="D638" s="2">
        <v>6448.47</v>
      </c>
      <c r="E638" t="s">
        <v>4697</v>
      </c>
      <c r="F638" s="2">
        <v>838.82</v>
      </c>
    </row>
    <row r="639" spans="1:6" x14ac:dyDescent="0.35">
      <c r="A639" t="s">
        <v>5332</v>
      </c>
      <c r="B639" t="s">
        <v>1532</v>
      </c>
      <c r="C639" s="1">
        <v>45530</v>
      </c>
      <c r="D639" s="2">
        <v>920.62</v>
      </c>
      <c r="E639" t="s">
        <v>4694</v>
      </c>
      <c r="F639" s="2">
        <v>267.37</v>
      </c>
    </row>
    <row r="640" spans="1:6" x14ac:dyDescent="0.35">
      <c r="A640" t="s">
        <v>5333</v>
      </c>
      <c r="B640" t="s">
        <v>1533</v>
      </c>
      <c r="C640" s="1">
        <v>45266</v>
      </c>
      <c r="D640" s="2">
        <v>728.12</v>
      </c>
      <c r="E640" t="s">
        <v>4694</v>
      </c>
      <c r="F640" s="2">
        <v>195.9</v>
      </c>
    </row>
    <row r="641" spans="1:6" x14ac:dyDescent="0.35">
      <c r="A641" t="s">
        <v>5334</v>
      </c>
      <c r="B641" t="s">
        <v>1534</v>
      </c>
      <c r="C641" s="1">
        <v>45102</v>
      </c>
      <c r="D641" s="2">
        <v>500.55</v>
      </c>
      <c r="E641" t="s">
        <v>4694</v>
      </c>
      <c r="F641" s="2">
        <v>171.04</v>
      </c>
    </row>
    <row r="642" spans="1:6" x14ac:dyDescent="0.35">
      <c r="A642" t="s">
        <v>5335</v>
      </c>
      <c r="B642" t="s">
        <v>1535</v>
      </c>
      <c r="C642" s="1">
        <v>45238</v>
      </c>
      <c r="D642" s="2">
        <v>6065.41</v>
      </c>
      <c r="E642" t="s">
        <v>4697</v>
      </c>
      <c r="F642" s="2">
        <v>1981.45</v>
      </c>
    </row>
    <row r="643" spans="1:6" x14ac:dyDescent="0.35">
      <c r="A643" t="s">
        <v>5336</v>
      </c>
      <c r="B643" t="s">
        <v>1536</v>
      </c>
      <c r="C643" s="1">
        <v>45180</v>
      </c>
      <c r="D643" s="2">
        <v>4151.4399999999996</v>
      </c>
      <c r="E643" t="s">
        <v>4694</v>
      </c>
      <c r="F643" s="2">
        <v>1732.36</v>
      </c>
    </row>
    <row r="644" spans="1:6" x14ac:dyDescent="0.35">
      <c r="A644" t="s">
        <v>5337</v>
      </c>
      <c r="B644" t="s">
        <v>1537</v>
      </c>
      <c r="C644" s="1">
        <v>45153</v>
      </c>
      <c r="D644" s="2">
        <v>109.6</v>
      </c>
      <c r="E644" t="s">
        <v>4694</v>
      </c>
      <c r="F644" s="2">
        <v>18.61</v>
      </c>
    </row>
    <row r="645" spans="1:6" x14ac:dyDescent="0.35">
      <c r="A645" t="s">
        <v>5338</v>
      </c>
      <c r="B645" t="s">
        <v>1538</v>
      </c>
      <c r="C645" s="1">
        <v>45636</v>
      </c>
      <c r="D645" s="2">
        <v>786.5</v>
      </c>
      <c r="E645" t="s">
        <v>4694</v>
      </c>
      <c r="F645" s="2">
        <v>128.51</v>
      </c>
    </row>
    <row r="646" spans="1:6" x14ac:dyDescent="0.35">
      <c r="A646" t="s">
        <v>5339</v>
      </c>
      <c r="B646" t="s">
        <v>1539</v>
      </c>
      <c r="C646" s="1">
        <v>45625</v>
      </c>
      <c r="D646" s="2">
        <v>68.73</v>
      </c>
      <c r="E646" t="s">
        <v>4694</v>
      </c>
      <c r="F646" s="2">
        <v>36.99</v>
      </c>
    </row>
    <row r="647" spans="1:6" x14ac:dyDescent="0.35">
      <c r="A647" t="s">
        <v>5340</v>
      </c>
      <c r="B647" t="s">
        <v>1543</v>
      </c>
      <c r="C647" s="1">
        <v>45019</v>
      </c>
      <c r="D647" s="2">
        <v>1487.46</v>
      </c>
      <c r="E647" t="s">
        <v>4694</v>
      </c>
      <c r="F647" s="2">
        <v>131.57</v>
      </c>
    </row>
    <row r="648" spans="1:6" x14ac:dyDescent="0.35">
      <c r="A648" t="s">
        <v>5341</v>
      </c>
      <c r="B648" t="s">
        <v>1544</v>
      </c>
      <c r="C648" s="1">
        <v>45249</v>
      </c>
      <c r="D648" s="2">
        <v>97.06</v>
      </c>
      <c r="E648" t="s">
        <v>4697</v>
      </c>
      <c r="F648" s="2">
        <v>16.95</v>
      </c>
    </row>
    <row r="649" spans="1:6" x14ac:dyDescent="0.35">
      <c r="A649" t="s">
        <v>5342</v>
      </c>
      <c r="B649" t="s">
        <v>1546</v>
      </c>
      <c r="C649" s="1">
        <v>44969</v>
      </c>
      <c r="D649" s="2">
        <v>425.07</v>
      </c>
      <c r="E649" t="s">
        <v>4694</v>
      </c>
      <c r="F649" s="2">
        <v>19.3</v>
      </c>
    </row>
    <row r="650" spans="1:6" x14ac:dyDescent="0.35">
      <c r="A650" t="s">
        <v>5343</v>
      </c>
      <c r="B650" t="s">
        <v>1547</v>
      </c>
      <c r="C650" s="1">
        <v>45316</v>
      </c>
      <c r="D650" s="2">
        <v>258.11</v>
      </c>
      <c r="E650" t="s">
        <v>4694</v>
      </c>
      <c r="F650" s="2">
        <v>131.56</v>
      </c>
    </row>
    <row r="651" spans="1:6" x14ac:dyDescent="0.35">
      <c r="A651" t="s">
        <v>5344</v>
      </c>
      <c r="B651" t="s">
        <v>1548</v>
      </c>
      <c r="C651" s="1">
        <v>45234</v>
      </c>
      <c r="D651" s="2">
        <v>243.39</v>
      </c>
      <c r="E651" t="s">
        <v>4694</v>
      </c>
      <c r="F651" s="2">
        <v>143.30000000000001</v>
      </c>
    </row>
    <row r="652" spans="1:6" x14ac:dyDescent="0.35">
      <c r="A652" t="s">
        <v>5345</v>
      </c>
      <c r="B652" t="s">
        <v>1549</v>
      </c>
      <c r="C652" s="1">
        <v>45074</v>
      </c>
      <c r="D652" s="2">
        <v>3420.77</v>
      </c>
      <c r="E652" t="s">
        <v>4694</v>
      </c>
      <c r="F652" s="2">
        <v>182.16</v>
      </c>
    </row>
    <row r="653" spans="1:6" x14ac:dyDescent="0.35">
      <c r="A653" t="s">
        <v>5346</v>
      </c>
      <c r="B653" t="s">
        <v>1551</v>
      </c>
      <c r="C653" s="1">
        <v>45296</v>
      </c>
      <c r="D653" s="2">
        <v>1354.94</v>
      </c>
      <c r="E653" t="s">
        <v>4694</v>
      </c>
      <c r="F653" s="2">
        <v>462.74</v>
      </c>
    </row>
    <row r="654" spans="1:6" x14ac:dyDescent="0.35">
      <c r="A654" t="s">
        <v>5347</v>
      </c>
      <c r="B654" t="s">
        <v>1552</v>
      </c>
      <c r="C654" s="1">
        <v>45501</v>
      </c>
      <c r="D654" s="2">
        <v>371.42</v>
      </c>
      <c r="E654" t="s">
        <v>4694</v>
      </c>
      <c r="F654" s="2">
        <v>55.92</v>
      </c>
    </row>
    <row r="655" spans="1:6" x14ac:dyDescent="0.35">
      <c r="A655" t="s">
        <v>5348</v>
      </c>
      <c r="B655" t="s">
        <v>1553</v>
      </c>
      <c r="C655" s="1">
        <v>45607</v>
      </c>
      <c r="D655" s="2">
        <v>656.48</v>
      </c>
      <c r="E655" t="s">
        <v>4697</v>
      </c>
      <c r="F655" s="2">
        <v>123.38</v>
      </c>
    </row>
    <row r="656" spans="1:6" x14ac:dyDescent="0.35">
      <c r="A656" t="s">
        <v>5349</v>
      </c>
      <c r="B656" t="s">
        <v>1554</v>
      </c>
      <c r="C656" s="1">
        <v>45552</v>
      </c>
      <c r="D656" s="2">
        <v>529.58000000000004</v>
      </c>
      <c r="E656" t="s">
        <v>4694</v>
      </c>
      <c r="F656" s="2">
        <v>32.58</v>
      </c>
    </row>
    <row r="657" spans="1:6" x14ac:dyDescent="0.35">
      <c r="A657" t="s">
        <v>5350</v>
      </c>
      <c r="B657" t="s">
        <v>1555</v>
      </c>
      <c r="C657" s="1">
        <v>45037</v>
      </c>
      <c r="D657" s="2">
        <v>202.81</v>
      </c>
      <c r="E657" t="s">
        <v>4694</v>
      </c>
      <c r="F657" s="2">
        <v>25</v>
      </c>
    </row>
    <row r="658" spans="1:6" x14ac:dyDescent="0.35">
      <c r="A658" t="s">
        <v>5351</v>
      </c>
      <c r="B658" t="s">
        <v>1556</v>
      </c>
      <c r="C658" s="1">
        <v>45243</v>
      </c>
      <c r="D658" s="2">
        <v>325.57</v>
      </c>
      <c r="E658" t="s">
        <v>4694</v>
      </c>
      <c r="F658" s="2">
        <v>70.37</v>
      </c>
    </row>
    <row r="659" spans="1:6" x14ac:dyDescent="0.35">
      <c r="A659" t="s">
        <v>5352</v>
      </c>
      <c r="B659" t="s">
        <v>1557</v>
      </c>
      <c r="C659" s="1">
        <v>44976</v>
      </c>
      <c r="D659" s="2">
        <v>4204.1499999999996</v>
      </c>
      <c r="E659" t="s">
        <v>4694</v>
      </c>
      <c r="F659" s="2">
        <v>1959.41</v>
      </c>
    </row>
    <row r="660" spans="1:6" x14ac:dyDescent="0.35">
      <c r="A660" t="s">
        <v>5353</v>
      </c>
      <c r="B660" t="s">
        <v>1558</v>
      </c>
      <c r="C660" s="1">
        <v>45524</v>
      </c>
      <c r="D660" s="2">
        <v>725.26</v>
      </c>
      <c r="E660" t="s">
        <v>4694</v>
      </c>
      <c r="F660" s="2">
        <v>83.51</v>
      </c>
    </row>
    <row r="661" spans="1:6" x14ac:dyDescent="0.35">
      <c r="A661" t="s">
        <v>5354</v>
      </c>
      <c r="B661" t="s">
        <v>1560</v>
      </c>
      <c r="C661" s="1">
        <v>45511</v>
      </c>
      <c r="D661" s="2">
        <v>1456.22</v>
      </c>
      <c r="E661" t="s">
        <v>4694</v>
      </c>
      <c r="F661" s="2">
        <v>237.06</v>
      </c>
    </row>
    <row r="662" spans="1:6" x14ac:dyDescent="0.35">
      <c r="A662" t="s">
        <v>5355</v>
      </c>
      <c r="B662" t="s">
        <v>1561</v>
      </c>
      <c r="C662" s="1">
        <v>45089</v>
      </c>
      <c r="D662" s="2">
        <v>338.15</v>
      </c>
      <c r="E662" t="s">
        <v>4694</v>
      </c>
      <c r="F662" s="2">
        <v>142.62</v>
      </c>
    </row>
    <row r="663" spans="1:6" x14ac:dyDescent="0.35">
      <c r="A663" t="s">
        <v>5356</v>
      </c>
      <c r="B663" t="s">
        <v>1562</v>
      </c>
      <c r="C663" s="1">
        <v>45601</v>
      </c>
      <c r="D663" s="2">
        <v>483.29</v>
      </c>
      <c r="E663" t="s">
        <v>4694</v>
      </c>
      <c r="F663" s="2">
        <v>149.81</v>
      </c>
    </row>
    <row r="664" spans="1:6" x14ac:dyDescent="0.35">
      <c r="A664" t="s">
        <v>5357</v>
      </c>
      <c r="B664" t="s">
        <v>1563</v>
      </c>
      <c r="C664" s="1">
        <v>45137</v>
      </c>
      <c r="D664" s="2">
        <v>247.04</v>
      </c>
      <c r="E664" t="s">
        <v>4694</v>
      </c>
      <c r="F664" s="2">
        <v>84.48</v>
      </c>
    </row>
    <row r="665" spans="1:6" x14ac:dyDescent="0.35">
      <c r="A665" t="s">
        <v>5358</v>
      </c>
      <c r="B665" t="s">
        <v>1566</v>
      </c>
      <c r="C665" s="1">
        <v>45097</v>
      </c>
      <c r="D665" s="2">
        <v>317.48</v>
      </c>
      <c r="E665" t="s">
        <v>4694</v>
      </c>
      <c r="F665" s="2">
        <v>108.42</v>
      </c>
    </row>
    <row r="666" spans="1:6" x14ac:dyDescent="0.35">
      <c r="A666" t="s">
        <v>5359</v>
      </c>
      <c r="B666" t="s">
        <v>1567</v>
      </c>
      <c r="C666" s="1">
        <v>45210</v>
      </c>
      <c r="D666" s="2">
        <v>377.26</v>
      </c>
      <c r="E666" t="s">
        <v>4694</v>
      </c>
      <c r="F666" s="2">
        <v>40.82</v>
      </c>
    </row>
    <row r="667" spans="1:6" x14ac:dyDescent="0.35">
      <c r="A667" t="s">
        <v>5360</v>
      </c>
      <c r="B667" t="s">
        <v>1568</v>
      </c>
      <c r="C667" s="1">
        <v>45644</v>
      </c>
      <c r="D667" s="2">
        <v>182.39</v>
      </c>
      <c r="E667" t="s">
        <v>4694</v>
      </c>
      <c r="F667" s="2">
        <v>10.98</v>
      </c>
    </row>
    <row r="668" spans="1:6" x14ac:dyDescent="0.35">
      <c r="A668" t="s">
        <v>5361</v>
      </c>
      <c r="B668" t="s">
        <v>1569</v>
      </c>
      <c r="C668" s="1">
        <v>45484</v>
      </c>
      <c r="D668" s="2">
        <v>334.4</v>
      </c>
      <c r="E668" t="s">
        <v>4697</v>
      </c>
      <c r="F668" s="2">
        <v>140.02000000000001</v>
      </c>
    </row>
    <row r="669" spans="1:6" x14ac:dyDescent="0.35">
      <c r="A669" t="s">
        <v>5362</v>
      </c>
      <c r="B669" t="s">
        <v>1570</v>
      </c>
      <c r="C669" s="1">
        <v>45152</v>
      </c>
      <c r="D669" s="2">
        <v>422.65</v>
      </c>
      <c r="E669" t="s">
        <v>4694</v>
      </c>
      <c r="F669" s="2">
        <v>19.22</v>
      </c>
    </row>
    <row r="670" spans="1:6" x14ac:dyDescent="0.35">
      <c r="A670" t="s">
        <v>5363</v>
      </c>
      <c r="B670" t="s">
        <v>1572</v>
      </c>
      <c r="C670" s="1">
        <v>45065</v>
      </c>
      <c r="D670" s="2">
        <v>160.38</v>
      </c>
      <c r="E670" t="s">
        <v>4694</v>
      </c>
      <c r="F670" s="2">
        <v>26.5</v>
      </c>
    </row>
    <row r="671" spans="1:6" x14ac:dyDescent="0.35">
      <c r="A671" t="s">
        <v>5364</v>
      </c>
      <c r="B671" t="s">
        <v>1574</v>
      </c>
      <c r="C671" s="1">
        <v>45207</v>
      </c>
      <c r="D671" s="2">
        <v>919.07</v>
      </c>
      <c r="E671" t="s">
        <v>4694</v>
      </c>
      <c r="F671" s="2">
        <v>180.84</v>
      </c>
    </row>
    <row r="672" spans="1:6" x14ac:dyDescent="0.35">
      <c r="A672" t="s">
        <v>5365</v>
      </c>
      <c r="B672" t="s">
        <v>1575</v>
      </c>
      <c r="C672" s="1">
        <v>45329</v>
      </c>
      <c r="D672" s="2">
        <v>4584.38</v>
      </c>
      <c r="E672" t="s">
        <v>4694</v>
      </c>
      <c r="F672" s="2">
        <v>1317.67</v>
      </c>
    </row>
    <row r="673" spans="1:6" x14ac:dyDescent="0.35">
      <c r="A673" t="s">
        <v>5366</v>
      </c>
      <c r="B673" t="s">
        <v>1576</v>
      </c>
      <c r="C673" s="1">
        <v>45232</v>
      </c>
      <c r="D673" s="2">
        <v>4306.8599999999997</v>
      </c>
      <c r="E673" t="s">
        <v>4694</v>
      </c>
      <c r="F673" s="2">
        <v>1250.81</v>
      </c>
    </row>
    <row r="674" spans="1:6" x14ac:dyDescent="0.35">
      <c r="A674" t="s">
        <v>5367</v>
      </c>
      <c r="B674" t="s">
        <v>1577</v>
      </c>
      <c r="C674" s="1">
        <v>45383</v>
      </c>
      <c r="D674" s="2">
        <v>189.3</v>
      </c>
      <c r="E674" t="s">
        <v>4694</v>
      </c>
      <c r="F674" s="2">
        <v>101.55</v>
      </c>
    </row>
    <row r="675" spans="1:6" x14ac:dyDescent="0.35">
      <c r="A675" t="s">
        <v>5368</v>
      </c>
      <c r="B675" t="s">
        <v>1578</v>
      </c>
      <c r="C675" s="1">
        <v>45310</v>
      </c>
      <c r="D675" s="2">
        <v>4055.32</v>
      </c>
      <c r="E675" t="s">
        <v>4694</v>
      </c>
      <c r="F675" s="2">
        <v>452.08</v>
      </c>
    </row>
    <row r="676" spans="1:6" x14ac:dyDescent="0.35">
      <c r="A676" t="s">
        <v>5369</v>
      </c>
      <c r="B676" t="s">
        <v>1579</v>
      </c>
      <c r="C676" s="1">
        <v>45045</v>
      </c>
      <c r="D676" s="2">
        <v>466.7</v>
      </c>
      <c r="E676" t="s">
        <v>4694</v>
      </c>
      <c r="F676" s="2">
        <v>229.19</v>
      </c>
    </row>
    <row r="677" spans="1:6" x14ac:dyDescent="0.35">
      <c r="A677" t="s">
        <v>5370</v>
      </c>
      <c r="B677" t="s">
        <v>1580</v>
      </c>
      <c r="C677" s="1">
        <v>45306</v>
      </c>
      <c r="D677" s="2">
        <v>7190.79</v>
      </c>
      <c r="E677" t="s">
        <v>4694</v>
      </c>
      <c r="F677" s="2">
        <v>411.9</v>
      </c>
    </row>
    <row r="678" spans="1:6" x14ac:dyDescent="0.35">
      <c r="A678" t="s">
        <v>5371</v>
      </c>
      <c r="B678" t="s">
        <v>1581</v>
      </c>
      <c r="C678" s="1">
        <v>45541</v>
      </c>
      <c r="D678" s="2">
        <v>1776.56</v>
      </c>
      <c r="E678" t="s">
        <v>4694</v>
      </c>
      <c r="F678" s="2">
        <v>158.19999999999999</v>
      </c>
    </row>
    <row r="679" spans="1:6" x14ac:dyDescent="0.35">
      <c r="A679" t="s">
        <v>5372</v>
      </c>
      <c r="B679" t="s">
        <v>1582</v>
      </c>
      <c r="C679" s="1">
        <v>45142</v>
      </c>
      <c r="D679" s="2">
        <v>269.95</v>
      </c>
      <c r="E679" t="s">
        <v>4694</v>
      </c>
      <c r="F679" s="2">
        <v>32.1</v>
      </c>
    </row>
    <row r="680" spans="1:6" x14ac:dyDescent="0.35">
      <c r="A680" t="s">
        <v>5373</v>
      </c>
      <c r="B680" t="s">
        <v>1583</v>
      </c>
      <c r="C680" s="1">
        <v>45656</v>
      </c>
      <c r="D680" s="2">
        <v>453.99</v>
      </c>
      <c r="E680" t="s">
        <v>4694</v>
      </c>
      <c r="F680" s="2">
        <v>104.37</v>
      </c>
    </row>
    <row r="681" spans="1:6" x14ac:dyDescent="0.35">
      <c r="A681" t="s">
        <v>5374</v>
      </c>
      <c r="B681" t="s">
        <v>1584</v>
      </c>
      <c r="C681" s="1">
        <v>45259</v>
      </c>
      <c r="D681" s="2">
        <v>368.97</v>
      </c>
      <c r="E681" t="s">
        <v>4694</v>
      </c>
      <c r="F681" s="2">
        <v>83.9</v>
      </c>
    </row>
    <row r="682" spans="1:6" x14ac:dyDescent="0.35">
      <c r="A682" t="s">
        <v>5375</v>
      </c>
      <c r="B682" t="s">
        <v>1585</v>
      </c>
      <c r="C682" s="1">
        <v>45018</v>
      </c>
      <c r="D682" s="2">
        <v>78.86</v>
      </c>
      <c r="E682" t="s">
        <v>4694</v>
      </c>
      <c r="F682" s="2">
        <v>25.43</v>
      </c>
    </row>
    <row r="683" spans="1:6" x14ac:dyDescent="0.35">
      <c r="A683" t="s">
        <v>5376</v>
      </c>
      <c r="B683" t="s">
        <v>1586</v>
      </c>
      <c r="C683" s="1">
        <v>45540</v>
      </c>
      <c r="D683" s="2">
        <v>185.36</v>
      </c>
      <c r="E683" t="s">
        <v>4697</v>
      </c>
      <c r="F683" s="2">
        <v>14.27</v>
      </c>
    </row>
    <row r="684" spans="1:6" x14ac:dyDescent="0.35">
      <c r="A684" t="s">
        <v>5377</v>
      </c>
      <c r="B684" t="s">
        <v>1587</v>
      </c>
      <c r="C684" s="1">
        <v>45041</v>
      </c>
      <c r="D684" s="2">
        <v>3870.55</v>
      </c>
      <c r="E684" t="s">
        <v>4694</v>
      </c>
      <c r="F684" s="2">
        <v>175.05</v>
      </c>
    </row>
    <row r="685" spans="1:6" x14ac:dyDescent="0.35">
      <c r="A685" t="s">
        <v>5378</v>
      </c>
      <c r="B685" t="s">
        <v>1588</v>
      </c>
      <c r="C685" s="1">
        <v>45094</v>
      </c>
      <c r="D685" s="2">
        <v>39.54</v>
      </c>
      <c r="E685" t="s">
        <v>4694</v>
      </c>
      <c r="F685" s="2">
        <v>9.6999999999999993</v>
      </c>
    </row>
    <row r="686" spans="1:6" x14ac:dyDescent="0.35">
      <c r="A686" t="s">
        <v>5379</v>
      </c>
      <c r="B686" t="s">
        <v>1589</v>
      </c>
      <c r="C686" s="1">
        <v>45320</v>
      </c>
      <c r="D686" s="2">
        <v>343.43</v>
      </c>
      <c r="E686" t="s">
        <v>4694</v>
      </c>
      <c r="F686" s="2">
        <v>88.61</v>
      </c>
    </row>
    <row r="687" spans="1:6" x14ac:dyDescent="0.35">
      <c r="A687" t="s">
        <v>5380</v>
      </c>
      <c r="B687" t="s">
        <v>1591</v>
      </c>
      <c r="C687" s="1">
        <v>45037</v>
      </c>
      <c r="D687" s="2">
        <v>3384.36</v>
      </c>
      <c r="E687" t="s">
        <v>4694</v>
      </c>
      <c r="F687" s="2">
        <v>821.92</v>
      </c>
    </row>
    <row r="688" spans="1:6" x14ac:dyDescent="0.35">
      <c r="A688" t="s">
        <v>5381</v>
      </c>
      <c r="B688" t="s">
        <v>1592</v>
      </c>
      <c r="C688" s="1">
        <v>45629</v>
      </c>
      <c r="D688" s="2">
        <v>36.93</v>
      </c>
      <c r="E688" t="s">
        <v>4694</v>
      </c>
      <c r="F688" s="2">
        <v>19.079999999999998</v>
      </c>
    </row>
    <row r="689" spans="1:6" x14ac:dyDescent="0.35">
      <c r="A689" t="s">
        <v>5382</v>
      </c>
      <c r="B689" t="s">
        <v>1595</v>
      </c>
      <c r="C689" s="1">
        <v>45322</v>
      </c>
      <c r="D689" s="2">
        <v>245.97</v>
      </c>
      <c r="E689" t="s">
        <v>4694</v>
      </c>
      <c r="F689" s="2">
        <v>53.78</v>
      </c>
    </row>
    <row r="690" spans="1:6" x14ac:dyDescent="0.35">
      <c r="A690" t="s">
        <v>5383</v>
      </c>
      <c r="B690" t="s">
        <v>1597</v>
      </c>
      <c r="C690" s="1">
        <v>45316</v>
      </c>
      <c r="D690" s="2">
        <v>37.07</v>
      </c>
      <c r="E690" t="s">
        <v>4694</v>
      </c>
      <c r="F690" s="2">
        <v>10.15</v>
      </c>
    </row>
    <row r="691" spans="1:6" x14ac:dyDescent="0.35">
      <c r="A691" t="s">
        <v>5384</v>
      </c>
      <c r="B691" t="s">
        <v>1599</v>
      </c>
      <c r="C691" s="1">
        <v>45275</v>
      </c>
      <c r="D691" s="2">
        <v>5313.36</v>
      </c>
      <c r="E691" t="s">
        <v>4694</v>
      </c>
      <c r="F691" s="2">
        <v>704.51</v>
      </c>
    </row>
    <row r="692" spans="1:6" x14ac:dyDescent="0.35">
      <c r="A692" t="s">
        <v>5385</v>
      </c>
      <c r="B692" t="s">
        <v>1602</v>
      </c>
      <c r="C692" s="1">
        <v>44974</v>
      </c>
      <c r="D692" s="2">
        <v>102.5</v>
      </c>
      <c r="E692" t="s">
        <v>4697</v>
      </c>
      <c r="F692" s="2">
        <v>8.8000000000000007</v>
      </c>
    </row>
    <row r="693" spans="1:6" x14ac:dyDescent="0.35">
      <c r="A693" t="s">
        <v>5386</v>
      </c>
      <c r="B693" t="s">
        <v>1603</v>
      </c>
      <c r="C693" s="1">
        <v>45145</v>
      </c>
      <c r="D693" s="2">
        <v>375.65</v>
      </c>
      <c r="E693" t="s">
        <v>4694</v>
      </c>
      <c r="F693" s="2">
        <v>182.27</v>
      </c>
    </row>
    <row r="694" spans="1:6" x14ac:dyDescent="0.35">
      <c r="A694" t="s">
        <v>5387</v>
      </c>
      <c r="B694" t="s">
        <v>1604</v>
      </c>
      <c r="C694" s="1">
        <v>45071</v>
      </c>
      <c r="D694" s="2">
        <v>2953.01</v>
      </c>
      <c r="E694" t="s">
        <v>4694</v>
      </c>
      <c r="F694" s="2">
        <v>1376.19</v>
      </c>
    </row>
    <row r="695" spans="1:6" x14ac:dyDescent="0.35">
      <c r="A695" t="s">
        <v>5388</v>
      </c>
      <c r="B695" t="s">
        <v>1605</v>
      </c>
      <c r="C695" s="1">
        <v>45456</v>
      </c>
      <c r="D695" s="2">
        <v>245.19</v>
      </c>
      <c r="E695" t="s">
        <v>4694</v>
      </c>
      <c r="F695" s="2">
        <v>96.36</v>
      </c>
    </row>
    <row r="696" spans="1:6" x14ac:dyDescent="0.35">
      <c r="A696" t="s">
        <v>5389</v>
      </c>
      <c r="B696" t="s">
        <v>1606</v>
      </c>
      <c r="C696" s="1">
        <v>45233</v>
      </c>
      <c r="D696" s="2">
        <v>207.04</v>
      </c>
      <c r="E696" t="s">
        <v>4697</v>
      </c>
      <c r="F696" s="2">
        <v>115.74</v>
      </c>
    </row>
    <row r="697" spans="1:6" x14ac:dyDescent="0.35">
      <c r="A697" t="s">
        <v>5390</v>
      </c>
      <c r="B697" t="s">
        <v>1607</v>
      </c>
      <c r="C697" s="1">
        <v>45254</v>
      </c>
      <c r="D697" s="2">
        <v>612.74</v>
      </c>
      <c r="E697" t="s">
        <v>4694</v>
      </c>
      <c r="F697" s="2">
        <v>114.34</v>
      </c>
    </row>
    <row r="698" spans="1:6" x14ac:dyDescent="0.35">
      <c r="A698" t="s">
        <v>5391</v>
      </c>
      <c r="B698" t="s">
        <v>1608</v>
      </c>
      <c r="C698" s="1">
        <v>45396</v>
      </c>
      <c r="D698" s="2">
        <v>3840.64</v>
      </c>
      <c r="E698" t="s">
        <v>4694</v>
      </c>
      <c r="F698" s="2">
        <v>490.04</v>
      </c>
    </row>
    <row r="699" spans="1:6" x14ac:dyDescent="0.35">
      <c r="A699" t="s">
        <v>5392</v>
      </c>
      <c r="B699" t="s">
        <v>1609</v>
      </c>
      <c r="C699" s="1">
        <v>45159</v>
      </c>
      <c r="D699" s="2">
        <v>6250.75</v>
      </c>
      <c r="E699" t="s">
        <v>4694</v>
      </c>
      <c r="F699" s="2">
        <v>825.43</v>
      </c>
    </row>
    <row r="700" spans="1:6" x14ac:dyDescent="0.35">
      <c r="A700" t="s">
        <v>5393</v>
      </c>
      <c r="B700" t="s">
        <v>1610</v>
      </c>
      <c r="C700" s="1">
        <v>45605</v>
      </c>
      <c r="D700" s="2">
        <v>368.38</v>
      </c>
      <c r="E700" t="s">
        <v>4694</v>
      </c>
      <c r="F700" s="2">
        <v>81.96</v>
      </c>
    </row>
    <row r="701" spans="1:6" x14ac:dyDescent="0.35">
      <c r="A701" t="s">
        <v>5394</v>
      </c>
      <c r="B701" t="s">
        <v>1611</v>
      </c>
      <c r="C701" s="1">
        <v>45543</v>
      </c>
      <c r="D701" s="2">
        <v>554.75</v>
      </c>
      <c r="E701" t="s">
        <v>4697</v>
      </c>
      <c r="F701" s="2">
        <v>293.14</v>
      </c>
    </row>
    <row r="702" spans="1:6" x14ac:dyDescent="0.35">
      <c r="A702" t="s">
        <v>5395</v>
      </c>
      <c r="B702" t="s">
        <v>1612</v>
      </c>
      <c r="C702" s="1">
        <v>44984</v>
      </c>
      <c r="D702" s="2">
        <v>144.97999999999999</v>
      </c>
      <c r="E702" t="s">
        <v>4694</v>
      </c>
      <c r="F702" s="2">
        <v>61.34</v>
      </c>
    </row>
    <row r="703" spans="1:6" x14ac:dyDescent="0.35">
      <c r="A703" t="s">
        <v>5396</v>
      </c>
      <c r="B703" t="s">
        <v>1614</v>
      </c>
      <c r="C703" s="1">
        <v>45185</v>
      </c>
      <c r="D703" s="2">
        <v>222.13</v>
      </c>
      <c r="E703" t="s">
        <v>4694</v>
      </c>
      <c r="F703" s="2">
        <v>87.13</v>
      </c>
    </row>
    <row r="704" spans="1:6" x14ac:dyDescent="0.35">
      <c r="A704" t="s">
        <v>5397</v>
      </c>
      <c r="B704" t="s">
        <v>1615</v>
      </c>
      <c r="C704" s="1">
        <v>45512</v>
      </c>
      <c r="D704" s="2">
        <v>54.43</v>
      </c>
      <c r="E704" t="s">
        <v>4694</v>
      </c>
      <c r="F704" s="2">
        <v>7.21</v>
      </c>
    </row>
    <row r="705" spans="1:6" x14ac:dyDescent="0.35">
      <c r="A705" t="s">
        <v>5398</v>
      </c>
      <c r="B705" t="s">
        <v>1618</v>
      </c>
      <c r="C705" s="1">
        <v>45644</v>
      </c>
      <c r="D705" s="2">
        <v>318.95999999999998</v>
      </c>
      <c r="E705" t="s">
        <v>4694</v>
      </c>
      <c r="F705" s="2">
        <v>169.99</v>
      </c>
    </row>
    <row r="706" spans="1:6" x14ac:dyDescent="0.35">
      <c r="A706" t="s">
        <v>5399</v>
      </c>
      <c r="B706" t="s">
        <v>1620</v>
      </c>
      <c r="C706" s="1">
        <v>45493</v>
      </c>
      <c r="D706" s="2">
        <v>303.95999999999998</v>
      </c>
      <c r="E706" t="s">
        <v>4694</v>
      </c>
      <c r="F706" s="2">
        <v>140.77000000000001</v>
      </c>
    </row>
    <row r="707" spans="1:6" x14ac:dyDescent="0.35">
      <c r="A707" t="s">
        <v>5400</v>
      </c>
      <c r="B707" t="s">
        <v>1622</v>
      </c>
      <c r="C707" s="1">
        <v>45023</v>
      </c>
      <c r="D707" s="2">
        <v>393.41</v>
      </c>
      <c r="E707" t="s">
        <v>4694</v>
      </c>
      <c r="F707" s="2">
        <v>141.34</v>
      </c>
    </row>
    <row r="708" spans="1:6" x14ac:dyDescent="0.35">
      <c r="A708" t="s">
        <v>5401</v>
      </c>
      <c r="B708" t="s">
        <v>1623</v>
      </c>
      <c r="C708" s="1">
        <v>45255</v>
      </c>
      <c r="D708" s="2">
        <v>4070.91</v>
      </c>
      <c r="E708" t="s">
        <v>4694</v>
      </c>
      <c r="F708" s="2">
        <v>2013.75</v>
      </c>
    </row>
    <row r="709" spans="1:6" x14ac:dyDescent="0.35">
      <c r="A709" t="s">
        <v>5402</v>
      </c>
      <c r="B709" t="s">
        <v>1624</v>
      </c>
      <c r="C709" s="1">
        <v>45234</v>
      </c>
      <c r="D709" s="2">
        <v>867.11</v>
      </c>
      <c r="E709" t="s">
        <v>4694</v>
      </c>
      <c r="F709" s="2">
        <v>239.94</v>
      </c>
    </row>
    <row r="710" spans="1:6" x14ac:dyDescent="0.35">
      <c r="A710" t="s">
        <v>5403</v>
      </c>
      <c r="B710" t="s">
        <v>1626</v>
      </c>
      <c r="C710" s="1">
        <v>44993</v>
      </c>
      <c r="D710" s="2">
        <v>1858.63</v>
      </c>
      <c r="E710" t="s">
        <v>4694</v>
      </c>
      <c r="F710" s="2">
        <v>260.93</v>
      </c>
    </row>
    <row r="711" spans="1:6" x14ac:dyDescent="0.35">
      <c r="A711" t="s">
        <v>5404</v>
      </c>
      <c r="B711" t="s">
        <v>1627</v>
      </c>
      <c r="C711" s="1">
        <v>45313</v>
      </c>
      <c r="D711" s="2">
        <v>396.71</v>
      </c>
      <c r="E711" t="s">
        <v>4694</v>
      </c>
      <c r="F711" s="2">
        <v>120.43</v>
      </c>
    </row>
    <row r="712" spans="1:6" x14ac:dyDescent="0.35">
      <c r="A712" t="s">
        <v>5405</v>
      </c>
      <c r="B712" t="s">
        <v>1628</v>
      </c>
      <c r="C712" s="1">
        <v>45148</v>
      </c>
      <c r="D712" s="2">
        <v>42.09</v>
      </c>
      <c r="E712" t="s">
        <v>4694</v>
      </c>
      <c r="F712" s="2">
        <v>9.65</v>
      </c>
    </row>
    <row r="713" spans="1:6" x14ac:dyDescent="0.35">
      <c r="A713" t="s">
        <v>5406</v>
      </c>
      <c r="B713" t="s">
        <v>1631</v>
      </c>
      <c r="C713" s="1">
        <v>45409</v>
      </c>
      <c r="D713" s="2">
        <v>845.77</v>
      </c>
      <c r="E713" t="s">
        <v>4694</v>
      </c>
      <c r="F713" s="2">
        <v>267.51</v>
      </c>
    </row>
    <row r="714" spans="1:6" x14ac:dyDescent="0.35">
      <c r="A714" t="s">
        <v>5407</v>
      </c>
      <c r="B714" t="s">
        <v>1633</v>
      </c>
      <c r="C714" s="1">
        <v>44973</v>
      </c>
      <c r="D714" s="2">
        <v>285.06</v>
      </c>
      <c r="E714" t="s">
        <v>4694</v>
      </c>
      <c r="F714" s="2">
        <v>29.11</v>
      </c>
    </row>
    <row r="715" spans="1:6" x14ac:dyDescent="0.35">
      <c r="A715" t="s">
        <v>5408</v>
      </c>
      <c r="B715" t="s">
        <v>1634</v>
      </c>
      <c r="C715" s="1">
        <v>45452</v>
      </c>
      <c r="D715" s="2">
        <v>301.76</v>
      </c>
      <c r="E715" t="s">
        <v>4694</v>
      </c>
      <c r="F715" s="2">
        <v>18.739999999999998</v>
      </c>
    </row>
    <row r="716" spans="1:6" x14ac:dyDescent="0.35">
      <c r="A716" t="s">
        <v>5409</v>
      </c>
      <c r="B716" t="s">
        <v>1636</v>
      </c>
      <c r="C716" s="1">
        <v>45523</v>
      </c>
      <c r="D716" s="2">
        <v>102.16</v>
      </c>
      <c r="E716" t="s">
        <v>4694</v>
      </c>
      <c r="F716" s="2">
        <v>51.91</v>
      </c>
    </row>
    <row r="717" spans="1:6" x14ac:dyDescent="0.35">
      <c r="A717" t="s">
        <v>5410</v>
      </c>
      <c r="B717" t="s">
        <v>1637</v>
      </c>
      <c r="C717" s="1">
        <v>45513</v>
      </c>
      <c r="D717" s="2">
        <v>263.74</v>
      </c>
      <c r="E717" t="s">
        <v>4694</v>
      </c>
      <c r="F717" s="2">
        <v>11.75</v>
      </c>
    </row>
    <row r="718" spans="1:6" x14ac:dyDescent="0.35">
      <c r="A718" t="s">
        <v>5411</v>
      </c>
      <c r="B718" t="s">
        <v>1638</v>
      </c>
      <c r="C718" s="1">
        <v>45641</v>
      </c>
      <c r="D718" s="2">
        <v>173.57</v>
      </c>
      <c r="E718" t="s">
        <v>4694</v>
      </c>
      <c r="F718" s="2">
        <v>54.42</v>
      </c>
    </row>
    <row r="719" spans="1:6" x14ac:dyDescent="0.35">
      <c r="A719" t="s">
        <v>5412</v>
      </c>
      <c r="B719" t="s">
        <v>1639</v>
      </c>
      <c r="C719" s="1">
        <v>45137</v>
      </c>
      <c r="D719" s="2">
        <v>159.5</v>
      </c>
      <c r="E719" t="s">
        <v>4694</v>
      </c>
      <c r="F719" s="2">
        <v>51.04</v>
      </c>
    </row>
    <row r="720" spans="1:6" x14ac:dyDescent="0.35">
      <c r="A720" t="s">
        <v>5413</v>
      </c>
      <c r="B720" t="s">
        <v>1640</v>
      </c>
      <c r="C720" s="1">
        <v>44976</v>
      </c>
      <c r="D720" s="2">
        <v>3926.35</v>
      </c>
      <c r="E720" t="s">
        <v>4694</v>
      </c>
      <c r="F720" s="2">
        <v>2366.81</v>
      </c>
    </row>
    <row r="721" spans="1:6" x14ac:dyDescent="0.35">
      <c r="A721" t="s">
        <v>5414</v>
      </c>
      <c r="B721" t="s">
        <v>1641</v>
      </c>
      <c r="C721" s="1">
        <v>45127</v>
      </c>
      <c r="D721" s="2">
        <v>956.68</v>
      </c>
      <c r="E721" t="s">
        <v>4694</v>
      </c>
      <c r="F721" s="2">
        <v>110.37</v>
      </c>
    </row>
    <row r="722" spans="1:6" x14ac:dyDescent="0.35">
      <c r="A722" t="s">
        <v>5415</v>
      </c>
      <c r="B722" t="s">
        <v>1642</v>
      </c>
      <c r="C722" s="1">
        <v>45378</v>
      </c>
      <c r="D722" s="2">
        <v>719.67</v>
      </c>
      <c r="E722" t="s">
        <v>4694</v>
      </c>
      <c r="F722" s="2">
        <v>166</v>
      </c>
    </row>
    <row r="723" spans="1:6" x14ac:dyDescent="0.35">
      <c r="A723" t="s">
        <v>5416</v>
      </c>
      <c r="B723" t="s">
        <v>1643</v>
      </c>
      <c r="C723" s="1">
        <v>44994</v>
      </c>
      <c r="D723" s="2">
        <v>1207.6600000000001</v>
      </c>
      <c r="E723" t="s">
        <v>4694</v>
      </c>
      <c r="F723" s="2">
        <v>718.77</v>
      </c>
    </row>
    <row r="724" spans="1:6" x14ac:dyDescent="0.35">
      <c r="A724" t="s">
        <v>5417</v>
      </c>
      <c r="B724" t="s">
        <v>1644</v>
      </c>
      <c r="C724" s="1">
        <v>45368</v>
      </c>
      <c r="D724" s="2">
        <v>1983.27</v>
      </c>
      <c r="E724" t="s">
        <v>4694</v>
      </c>
      <c r="F724" s="2">
        <v>226.54</v>
      </c>
    </row>
    <row r="725" spans="1:6" x14ac:dyDescent="0.35">
      <c r="A725" t="s">
        <v>5418</v>
      </c>
      <c r="B725" t="s">
        <v>1645</v>
      </c>
      <c r="C725" s="1">
        <v>44968</v>
      </c>
      <c r="D725" s="2">
        <v>172.84</v>
      </c>
      <c r="E725" t="s">
        <v>4694</v>
      </c>
      <c r="F725" s="2">
        <v>51.83</v>
      </c>
    </row>
    <row r="726" spans="1:6" x14ac:dyDescent="0.35">
      <c r="A726" t="s">
        <v>5419</v>
      </c>
      <c r="B726" t="s">
        <v>1646</v>
      </c>
      <c r="C726" s="1">
        <v>45012</v>
      </c>
      <c r="D726" s="2">
        <v>190.25</v>
      </c>
      <c r="E726" t="s">
        <v>4694</v>
      </c>
      <c r="F726" s="2">
        <v>9.92</v>
      </c>
    </row>
    <row r="727" spans="1:6" x14ac:dyDescent="0.35">
      <c r="A727" t="s">
        <v>5420</v>
      </c>
      <c r="B727" t="s">
        <v>1647</v>
      </c>
      <c r="C727" s="1">
        <v>45646</v>
      </c>
      <c r="D727" s="2">
        <v>2919.43</v>
      </c>
      <c r="E727" t="s">
        <v>4694</v>
      </c>
      <c r="F727" s="2">
        <v>1207.5</v>
      </c>
    </row>
    <row r="728" spans="1:6" x14ac:dyDescent="0.35">
      <c r="A728" t="s">
        <v>5421</v>
      </c>
      <c r="B728" t="s">
        <v>1648</v>
      </c>
      <c r="C728" s="1">
        <v>45197</v>
      </c>
      <c r="D728" s="2">
        <v>302.52</v>
      </c>
      <c r="E728" t="s">
        <v>4694</v>
      </c>
      <c r="F728" s="2">
        <v>44.18</v>
      </c>
    </row>
    <row r="729" spans="1:6" x14ac:dyDescent="0.35">
      <c r="A729" t="s">
        <v>5422</v>
      </c>
      <c r="B729" t="s">
        <v>1649</v>
      </c>
      <c r="C729" s="1">
        <v>45171</v>
      </c>
      <c r="D729" s="2">
        <v>1226.17</v>
      </c>
      <c r="E729" t="s">
        <v>4694</v>
      </c>
      <c r="F729" s="2">
        <v>53.59</v>
      </c>
    </row>
    <row r="730" spans="1:6" x14ac:dyDescent="0.35">
      <c r="A730" t="s">
        <v>5423</v>
      </c>
      <c r="B730" t="s">
        <v>1650</v>
      </c>
      <c r="C730" s="1">
        <v>45007</v>
      </c>
      <c r="D730" s="2">
        <v>133.78</v>
      </c>
      <c r="E730" t="s">
        <v>4694</v>
      </c>
      <c r="F730" s="2">
        <v>52.85</v>
      </c>
    </row>
    <row r="731" spans="1:6" x14ac:dyDescent="0.35">
      <c r="A731" t="s">
        <v>5424</v>
      </c>
      <c r="B731" t="s">
        <v>1651</v>
      </c>
      <c r="C731" s="1">
        <v>45426</v>
      </c>
      <c r="D731" s="2">
        <v>857.92</v>
      </c>
      <c r="E731" t="s">
        <v>4694</v>
      </c>
      <c r="F731" s="2">
        <v>405.41</v>
      </c>
    </row>
    <row r="732" spans="1:6" x14ac:dyDescent="0.35">
      <c r="A732" t="s">
        <v>5425</v>
      </c>
      <c r="B732" t="s">
        <v>1652</v>
      </c>
      <c r="C732" s="1">
        <v>45414</v>
      </c>
      <c r="D732" s="2">
        <v>1058.8800000000001</v>
      </c>
      <c r="E732" t="s">
        <v>4694</v>
      </c>
      <c r="F732" s="2">
        <v>85.36</v>
      </c>
    </row>
    <row r="733" spans="1:6" x14ac:dyDescent="0.35">
      <c r="A733" t="s">
        <v>5426</v>
      </c>
      <c r="B733" t="s">
        <v>1653</v>
      </c>
      <c r="C733" s="1">
        <v>44966</v>
      </c>
      <c r="D733" s="2">
        <v>658.57</v>
      </c>
      <c r="E733" t="s">
        <v>4694</v>
      </c>
      <c r="F733" s="2">
        <v>34.54</v>
      </c>
    </row>
    <row r="734" spans="1:6" x14ac:dyDescent="0.35">
      <c r="A734" t="s">
        <v>5427</v>
      </c>
      <c r="B734" t="s">
        <v>1654</v>
      </c>
      <c r="C734" s="1">
        <v>45581</v>
      </c>
      <c r="D734" s="2">
        <v>117.71</v>
      </c>
      <c r="E734" t="s">
        <v>4694</v>
      </c>
      <c r="F734" s="2">
        <v>69.569999999999993</v>
      </c>
    </row>
    <row r="735" spans="1:6" x14ac:dyDescent="0.35">
      <c r="A735" t="s">
        <v>5428</v>
      </c>
      <c r="B735" t="s">
        <v>1655</v>
      </c>
      <c r="C735" s="1">
        <v>45238</v>
      </c>
      <c r="D735" s="2">
        <v>746.38</v>
      </c>
      <c r="E735" t="s">
        <v>4694</v>
      </c>
      <c r="F735" s="2">
        <v>54.49</v>
      </c>
    </row>
    <row r="736" spans="1:6" x14ac:dyDescent="0.35">
      <c r="A736" t="s">
        <v>5429</v>
      </c>
      <c r="B736" t="s">
        <v>1656</v>
      </c>
      <c r="C736" s="1">
        <v>45316</v>
      </c>
      <c r="D736" s="2">
        <v>316.73</v>
      </c>
      <c r="E736" t="s">
        <v>4694</v>
      </c>
      <c r="F736" s="2">
        <v>16.559999999999999</v>
      </c>
    </row>
    <row r="737" spans="1:6" x14ac:dyDescent="0.35">
      <c r="A737" t="s">
        <v>5430</v>
      </c>
      <c r="B737" t="s">
        <v>1659</v>
      </c>
      <c r="C737" s="1">
        <v>45667</v>
      </c>
      <c r="D737" s="2">
        <v>3581.08</v>
      </c>
      <c r="E737" t="s">
        <v>4697</v>
      </c>
      <c r="F737" s="2">
        <v>1829.2</v>
      </c>
    </row>
    <row r="738" spans="1:6" x14ac:dyDescent="0.35">
      <c r="A738" t="s">
        <v>5431</v>
      </c>
      <c r="B738" t="s">
        <v>1660</v>
      </c>
      <c r="C738" s="1">
        <v>45510</v>
      </c>
      <c r="D738" s="2">
        <v>239.23</v>
      </c>
      <c r="E738" t="s">
        <v>4694</v>
      </c>
      <c r="F738" s="2">
        <v>69.08</v>
      </c>
    </row>
    <row r="739" spans="1:6" x14ac:dyDescent="0.35">
      <c r="A739" t="s">
        <v>5432</v>
      </c>
      <c r="B739" t="s">
        <v>1662</v>
      </c>
      <c r="C739" s="1">
        <v>45397</v>
      </c>
      <c r="D739" s="2">
        <v>245.24</v>
      </c>
      <c r="E739" t="s">
        <v>4694</v>
      </c>
      <c r="F739" s="2">
        <v>118.15</v>
      </c>
    </row>
    <row r="740" spans="1:6" x14ac:dyDescent="0.35">
      <c r="A740" t="s">
        <v>5433</v>
      </c>
      <c r="B740" t="s">
        <v>1663</v>
      </c>
      <c r="C740" s="1">
        <v>45213</v>
      </c>
      <c r="D740" s="2">
        <v>514.14</v>
      </c>
      <c r="E740" t="s">
        <v>4694</v>
      </c>
      <c r="F740" s="2">
        <v>45.35</v>
      </c>
    </row>
    <row r="741" spans="1:6" x14ac:dyDescent="0.35">
      <c r="A741" t="s">
        <v>5434</v>
      </c>
      <c r="B741" t="s">
        <v>1665</v>
      </c>
      <c r="C741" s="1">
        <v>45045</v>
      </c>
      <c r="D741" s="2">
        <v>36.72</v>
      </c>
      <c r="E741" t="s">
        <v>4694</v>
      </c>
      <c r="F741" s="2">
        <v>14.89</v>
      </c>
    </row>
    <row r="742" spans="1:6" x14ac:dyDescent="0.35">
      <c r="A742" t="s">
        <v>5435</v>
      </c>
      <c r="B742" t="s">
        <v>1667</v>
      </c>
      <c r="C742" s="1">
        <v>45240</v>
      </c>
      <c r="D742" s="2">
        <v>393.73</v>
      </c>
      <c r="E742" t="s">
        <v>4694</v>
      </c>
      <c r="F742" s="2">
        <v>231.65</v>
      </c>
    </row>
    <row r="743" spans="1:6" x14ac:dyDescent="0.35">
      <c r="A743" t="s">
        <v>5436</v>
      </c>
      <c r="B743" t="s">
        <v>1668</v>
      </c>
      <c r="C743" s="1">
        <v>45157</v>
      </c>
      <c r="D743" s="2">
        <v>272.94</v>
      </c>
      <c r="E743" t="s">
        <v>4694</v>
      </c>
      <c r="F743" s="2">
        <v>27.47</v>
      </c>
    </row>
    <row r="744" spans="1:6" x14ac:dyDescent="0.35">
      <c r="A744" t="s">
        <v>5437</v>
      </c>
      <c r="B744" t="s">
        <v>1669</v>
      </c>
      <c r="C744" s="1">
        <v>45299</v>
      </c>
      <c r="D744" s="2">
        <v>3856.34</v>
      </c>
      <c r="E744" t="s">
        <v>4694</v>
      </c>
      <c r="F744" s="2">
        <v>1653.76</v>
      </c>
    </row>
    <row r="745" spans="1:6" x14ac:dyDescent="0.35">
      <c r="A745" t="s">
        <v>5438</v>
      </c>
      <c r="B745" t="s">
        <v>1670</v>
      </c>
      <c r="C745" s="1">
        <v>45043</v>
      </c>
      <c r="D745" s="2">
        <v>3291.49</v>
      </c>
      <c r="E745" t="s">
        <v>4694</v>
      </c>
      <c r="F745" s="2">
        <v>1323.82</v>
      </c>
    </row>
    <row r="746" spans="1:6" x14ac:dyDescent="0.35">
      <c r="A746" t="s">
        <v>5439</v>
      </c>
      <c r="B746" t="s">
        <v>1671</v>
      </c>
      <c r="C746" s="1">
        <v>45345</v>
      </c>
      <c r="D746" s="2">
        <v>603.99</v>
      </c>
      <c r="E746" t="s">
        <v>4697</v>
      </c>
      <c r="F746" s="2">
        <v>266.27</v>
      </c>
    </row>
    <row r="747" spans="1:6" x14ac:dyDescent="0.35">
      <c r="A747" t="s">
        <v>5440</v>
      </c>
      <c r="B747" t="s">
        <v>1672</v>
      </c>
      <c r="C747" s="1">
        <v>45274</v>
      </c>
      <c r="D747" s="2">
        <v>1086.4000000000001</v>
      </c>
      <c r="E747" t="s">
        <v>4694</v>
      </c>
      <c r="F747" s="2">
        <v>373.23</v>
      </c>
    </row>
    <row r="748" spans="1:6" x14ac:dyDescent="0.35">
      <c r="A748" t="s">
        <v>5441</v>
      </c>
      <c r="B748" t="s">
        <v>1673</v>
      </c>
      <c r="C748" s="1">
        <v>45109</v>
      </c>
      <c r="D748" s="2">
        <v>586.6</v>
      </c>
      <c r="E748" t="s">
        <v>4694</v>
      </c>
      <c r="F748" s="2">
        <v>272.95</v>
      </c>
    </row>
    <row r="749" spans="1:6" x14ac:dyDescent="0.35">
      <c r="A749" t="s">
        <v>5442</v>
      </c>
      <c r="B749" t="s">
        <v>1674</v>
      </c>
      <c r="C749" s="1">
        <v>45619</v>
      </c>
      <c r="D749" s="2">
        <v>4043.1</v>
      </c>
      <c r="E749" t="s">
        <v>4694</v>
      </c>
      <c r="F749" s="2">
        <v>291.45999999999998</v>
      </c>
    </row>
    <row r="750" spans="1:6" x14ac:dyDescent="0.35">
      <c r="A750" t="s">
        <v>5443</v>
      </c>
      <c r="B750" t="s">
        <v>1675</v>
      </c>
      <c r="C750" s="1">
        <v>45608</v>
      </c>
      <c r="D750" s="2">
        <v>397.52</v>
      </c>
      <c r="E750" t="s">
        <v>4694</v>
      </c>
      <c r="F750" s="2">
        <v>225.31</v>
      </c>
    </row>
    <row r="751" spans="1:6" x14ac:dyDescent="0.35">
      <c r="A751" t="s">
        <v>5444</v>
      </c>
      <c r="B751" t="s">
        <v>1676</v>
      </c>
      <c r="C751" s="1">
        <v>45583</v>
      </c>
      <c r="D751" s="2">
        <v>204.79</v>
      </c>
      <c r="E751" t="s">
        <v>4694</v>
      </c>
      <c r="F751" s="2">
        <v>91.99</v>
      </c>
    </row>
    <row r="752" spans="1:6" x14ac:dyDescent="0.35">
      <c r="A752" t="s">
        <v>5445</v>
      </c>
      <c r="B752" t="s">
        <v>1678</v>
      </c>
      <c r="C752" s="1">
        <v>45559</v>
      </c>
      <c r="D752" s="2">
        <v>172.11</v>
      </c>
      <c r="E752" t="s">
        <v>4697</v>
      </c>
      <c r="F752" s="2">
        <v>104.04</v>
      </c>
    </row>
    <row r="753" spans="1:6" x14ac:dyDescent="0.35">
      <c r="A753" t="s">
        <v>5446</v>
      </c>
      <c r="B753" t="s">
        <v>1679</v>
      </c>
      <c r="C753" s="1">
        <v>45621</v>
      </c>
      <c r="D753" s="2">
        <v>551.02</v>
      </c>
      <c r="E753" t="s">
        <v>4694</v>
      </c>
      <c r="F753" s="2">
        <v>53.12</v>
      </c>
    </row>
    <row r="754" spans="1:6" x14ac:dyDescent="0.35">
      <c r="A754" t="s">
        <v>5447</v>
      </c>
      <c r="B754" t="s">
        <v>1680</v>
      </c>
      <c r="C754" s="1">
        <v>45080</v>
      </c>
      <c r="D754" s="2">
        <v>335.41</v>
      </c>
      <c r="E754" t="s">
        <v>4694</v>
      </c>
      <c r="F754" s="2">
        <v>94.42</v>
      </c>
    </row>
    <row r="755" spans="1:6" x14ac:dyDescent="0.35">
      <c r="A755" t="s">
        <v>5448</v>
      </c>
      <c r="B755" t="s">
        <v>1682</v>
      </c>
      <c r="C755" s="1">
        <v>45401</v>
      </c>
      <c r="D755" s="2">
        <v>214.26</v>
      </c>
      <c r="E755" t="s">
        <v>4694</v>
      </c>
      <c r="F755" s="2">
        <v>18.989999999999998</v>
      </c>
    </row>
    <row r="756" spans="1:6" x14ac:dyDescent="0.35">
      <c r="A756" t="s">
        <v>5449</v>
      </c>
      <c r="B756" t="s">
        <v>1683</v>
      </c>
      <c r="C756" s="1">
        <v>45415</v>
      </c>
      <c r="D756" s="2">
        <v>693.52</v>
      </c>
      <c r="E756" t="s">
        <v>4694</v>
      </c>
      <c r="F756" s="2">
        <v>30.91</v>
      </c>
    </row>
    <row r="757" spans="1:6" x14ac:dyDescent="0.35">
      <c r="A757" t="s">
        <v>5450</v>
      </c>
      <c r="B757" t="s">
        <v>1684</v>
      </c>
      <c r="C757" s="1">
        <v>45569</v>
      </c>
      <c r="D757" s="2">
        <v>409.07</v>
      </c>
      <c r="E757" t="s">
        <v>4697</v>
      </c>
      <c r="F757" s="2">
        <v>29.02</v>
      </c>
    </row>
    <row r="758" spans="1:6" x14ac:dyDescent="0.35">
      <c r="A758" t="s">
        <v>5451</v>
      </c>
      <c r="B758" t="s">
        <v>1687</v>
      </c>
      <c r="C758" s="1">
        <v>45126</v>
      </c>
      <c r="D758" s="2">
        <v>620.09</v>
      </c>
      <c r="E758" t="s">
        <v>4694</v>
      </c>
      <c r="F758" s="2">
        <v>147.80000000000001</v>
      </c>
    </row>
    <row r="759" spans="1:6" x14ac:dyDescent="0.35">
      <c r="A759" t="s">
        <v>5452</v>
      </c>
      <c r="B759" t="s">
        <v>1688</v>
      </c>
      <c r="C759" s="1">
        <v>45166</v>
      </c>
      <c r="D759" s="2">
        <v>525.54999999999995</v>
      </c>
      <c r="E759" t="s">
        <v>4697</v>
      </c>
      <c r="F759" s="2">
        <v>282.19</v>
      </c>
    </row>
    <row r="760" spans="1:6" x14ac:dyDescent="0.35">
      <c r="A760" t="s">
        <v>5453</v>
      </c>
      <c r="B760" t="s">
        <v>1689</v>
      </c>
      <c r="C760" s="1">
        <v>45591</v>
      </c>
      <c r="D760" s="2">
        <v>67.88</v>
      </c>
      <c r="E760" t="s">
        <v>4697</v>
      </c>
      <c r="F760" s="2">
        <v>32.450000000000003</v>
      </c>
    </row>
    <row r="761" spans="1:6" x14ac:dyDescent="0.35">
      <c r="A761" t="s">
        <v>5454</v>
      </c>
      <c r="B761" t="s">
        <v>1690</v>
      </c>
      <c r="C761" s="1">
        <v>45522</v>
      </c>
      <c r="D761" s="2">
        <v>631.19000000000005</v>
      </c>
      <c r="E761" t="s">
        <v>4694</v>
      </c>
      <c r="F761" s="2">
        <v>294.16000000000003</v>
      </c>
    </row>
    <row r="762" spans="1:6" x14ac:dyDescent="0.35">
      <c r="A762" t="s">
        <v>5455</v>
      </c>
      <c r="B762" t="s">
        <v>1691</v>
      </c>
      <c r="C762" s="1">
        <v>45661</v>
      </c>
      <c r="D762" s="2">
        <v>78.05</v>
      </c>
      <c r="E762" t="s">
        <v>4694</v>
      </c>
      <c r="F762" s="2">
        <v>42.44</v>
      </c>
    </row>
    <row r="763" spans="1:6" x14ac:dyDescent="0.35">
      <c r="A763" t="s">
        <v>5456</v>
      </c>
      <c r="B763" t="s">
        <v>1692</v>
      </c>
      <c r="C763" s="1">
        <v>45374</v>
      </c>
      <c r="D763" s="2">
        <v>293.37</v>
      </c>
      <c r="E763" t="s">
        <v>4697</v>
      </c>
      <c r="F763" s="2">
        <v>93.59</v>
      </c>
    </row>
    <row r="764" spans="1:6" x14ac:dyDescent="0.35">
      <c r="A764" t="s">
        <v>5457</v>
      </c>
      <c r="B764" t="s">
        <v>1694</v>
      </c>
      <c r="C764" s="1">
        <v>45648</v>
      </c>
      <c r="D764" s="2">
        <v>206.32</v>
      </c>
      <c r="E764" t="s">
        <v>4694</v>
      </c>
      <c r="F764" s="2">
        <v>12.24</v>
      </c>
    </row>
    <row r="765" spans="1:6" x14ac:dyDescent="0.35">
      <c r="A765" t="s">
        <v>5458</v>
      </c>
      <c r="B765" t="s">
        <v>1695</v>
      </c>
      <c r="C765" s="1">
        <v>45439</v>
      </c>
      <c r="D765" s="2">
        <v>261.24</v>
      </c>
      <c r="E765" t="s">
        <v>4694</v>
      </c>
      <c r="F765" s="2">
        <v>147.75</v>
      </c>
    </row>
    <row r="766" spans="1:6" x14ac:dyDescent="0.35">
      <c r="A766" t="s">
        <v>5459</v>
      </c>
      <c r="B766" t="s">
        <v>1696</v>
      </c>
      <c r="C766" s="1">
        <v>45178</v>
      </c>
      <c r="D766" s="2">
        <v>822.52</v>
      </c>
      <c r="E766" t="s">
        <v>4694</v>
      </c>
      <c r="F766" s="2">
        <v>489.03</v>
      </c>
    </row>
    <row r="767" spans="1:6" x14ac:dyDescent="0.35">
      <c r="A767" t="s">
        <v>5460</v>
      </c>
      <c r="B767" t="s">
        <v>1697</v>
      </c>
      <c r="C767" s="1">
        <v>45703</v>
      </c>
      <c r="D767" s="2">
        <v>221.28</v>
      </c>
      <c r="E767" t="s">
        <v>4694</v>
      </c>
      <c r="F767" s="2">
        <v>86.47</v>
      </c>
    </row>
    <row r="768" spans="1:6" x14ac:dyDescent="0.35">
      <c r="A768" t="s">
        <v>5461</v>
      </c>
      <c r="B768" t="s">
        <v>1699</v>
      </c>
      <c r="C768" s="1">
        <v>45138</v>
      </c>
      <c r="D768" s="2">
        <v>206.5</v>
      </c>
      <c r="E768" t="s">
        <v>4694</v>
      </c>
      <c r="F768" s="2">
        <v>14.75</v>
      </c>
    </row>
    <row r="769" spans="1:6" x14ac:dyDescent="0.35">
      <c r="A769" t="s">
        <v>5462</v>
      </c>
      <c r="B769" t="s">
        <v>1700</v>
      </c>
      <c r="C769" s="1">
        <v>44984</v>
      </c>
      <c r="D769" s="2">
        <v>39.74</v>
      </c>
      <c r="E769" t="s">
        <v>4694</v>
      </c>
      <c r="F769" s="2">
        <v>14.45</v>
      </c>
    </row>
    <row r="770" spans="1:6" x14ac:dyDescent="0.35">
      <c r="A770" t="s">
        <v>5463</v>
      </c>
      <c r="B770" t="s">
        <v>1701</v>
      </c>
      <c r="C770" s="1">
        <v>45695</v>
      </c>
      <c r="D770" s="2">
        <v>102.71</v>
      </c>
      <c r="E770" t="s">
        <v>4694</v>
      </c>
      <c r="F770" s="2">
        <v>13.82</v>
      </c>
    </row>
    <row r="771" spans="1:6" x14ac:dyDescent="0.35">
      <c r="A771" t="s">
        <v>5464</v>
      </c>
      <c r="B771" t="s">
        <v>1702</v>
      </c>
      <c r="C771" s="1">
        <v>45198</v>
      </c>
      <c r="D771" s="2">
        <v>547.08000000000004</v>
      </c>
      <c r="E771" t="s">
        <v>4697</v>
      </c>
      <c r="F771" s="2">
        <v>34.9</v>
      </c>
    </row>
    <row r="772" spans="1:6" x14ac:dyDescent="0.35">
      <c r="A772" t="s">
        <v>5465</v>
      </c>
      <c r="B772" t="s">
        <v>1704</v>
      </c>
      <c r="C772" s="1">
        <v>45075</v>
      </c>
      <c r="D772" s="2">
        <v>676.18</v>
      </c>
      <c r="E772" t="s">
        <v>4694</v>
      </c>
      <c r="F772" s="2">
        <v>153.81</v>
      </c>
    </row>
    <row r="773" spans="1:6" x14ac:dyDescent="0.35">
      <c r="A773" t="s">
        <v>5466</v>
      </c>
      <c r="B773" t="s">
        <v>1706</v>
      </c>
      <c r="C773" s="1">
        <v>45475</v>
      </c>
      <c r="D773" s="2">
        <v>729.63</v>
      </c>
      <c r="E773" t="s">
        <v>4694</v>
      </c>
      <c r="F773" s="2">
        <v>143.82</v>
      </c>
    </row>
    <row r="774" spans="1:6" x14ac:dyDescent="0.35">
      <c r="A774" t="s">
        <v>5467</v>
      </c>
      <c r="B774" t="s">
        <v>1707</v>
      </c>
      <c r="C774" s="1">
        <v>45413</v>
      </c>
      <c r="D774" s="2">
        <v>256.45</v>
      </c>
      <c r="E774" t="s">
        <v>4694</v>
      </c>
      <c r="F774" s="2">
        <v>144.63999999999999</v>
      </c>
    </row>
    <row r="775" spans="1:6" x14ac:dyDescent="0.35">
      <c r="A775" t="s">
        <v>5468</v>
      </c>
      <c r="B775" t="s">
        <v>1708</v>
      </c>
      <c r="C775" s="1">
        <v>45390</v>
      </c>
      <c r="D775" s="2">
        <v>3101.35</v>
      </c>
      <c r="E775" t="s">
        <v>4694</v>
      </c>
      <c r="F775" s="2">
        <v>1843.92</v>
      </c>
    </row>
    <row r="776" spans="1:6" x14ac:dyDescent="0.35">
      <c r="A776" t="s">
        <v>5469</v>
      </c>
      <c r="B776" t="s">
        <v>1710</v>
      </c>
      <c r="C776" s="1">
        <v>45677</v>
      </c>
      <c r="D776" s="2">
        <v>216.01</v>
      </c>
      <c r="E776" t="s">
        <v>4697</v>
      </c>
      <c r="F776" s="2">
        <v>70.02</v>
      </c>
    </row>
    <row r="777" spans="1:6" x14ac:dyDescent="0.35">
      <c r="A777" t="s">
        <v>5470</v>
      </c>
      <c r="B777" t="s">
        <v>1711</v>
      </c>
      <c r="C777" s="1">
        <v>45487</v>
      </c>
      <c r="D777" s="2">
        <v>3188.29</v>
      </c>
      <c r="E777" t="s">
        <v>4694</v>
      </c>
      <c r="F777" s="2">
        <v>1635.66</v>
      </c>
    </row>
    <row r="778" spans="1:6" x14ac:dyDescent="0.35">
      <c r="A778" t="s">
        <v>5471</v>
      </c>
      <c r="B778" t="s">
        <v>1712</v>
      </c>
      <c r="C778" s="1">
        <v>45694</v>
      </c>
      <c r="D778" s="2">
        <v>213.65</v>
      </c>
      <c r="E778" t="s">
        <v>4694</v>
      </c>
      <c r="F778" s="2">
        <v>127.47</v>
      </c>
    </row>
    <row r="779" spans="1:6" x14ac:dyDescent="0.35">
      <c r="A779" t="s">
        <v>5472</v>
      </c>
      <c r="B779" t="s">
        <v>1713</v>
      </c>
      <c r="C779" s="1">
        <v>45630</v>
      </c>
      <c r="D779" s="2">
        <v>459.44</v>
      </c>
      <c r="E779" t="s">
        <v>4694</v>
      </c>
      <c r="F779" s="2">
        <v>267.39999999999998</v>
      </c>
    </row>
    <row r="780" spans="1:6" x14ac:dyDescent="0.35">
      <c r="A780" t="s">
        <v>5473</v>
      </c>
      <c r="B780" t="s">
        <v>1714</v>
      </c>
      <c r="C780" s="1">
        <v>45238</v>
      </c>
      <c r="D780" s="2">
        <v>311.51</v>
      </c>
      <c r="E780" t="s">
        <v>4694</v>
      </c>
      <c r="F780" s="2">
        <v>106.13</v>
      </c>
    </row>
    <row r="781" spans="1:6" x14ac:dyDescent="0.35">
      <c r="A781" t="s">
        <v>5474</v>
      </c>
      <c r="B781" t="s">
        <v>1715</v>
      </c>
      <c r="C781" s="1">
        <v>45069</v>
      </c>
      <c r="D781" s="2">
        <v>1122.1300000000001</v>
      </c>
      <c r="E781" t="s">
        <v>4694</v>
      </c>
      <c r="F781" s="2">
        <v>97.71</v>
      </c>
    </row>
    <row r="782" spans="1:6" x14ac:dyDescent="0.35">
      <c r="A782" t="s">
        <v>5475</v>
      </c>
      <c r="B782" t="s">
        <v>1717</v>
      </c>
      <c r="C782" s="1">
        <v>45269</v>
      </c>
      <c r="D782" s="2">
        <v>5768.78</v>
      </c>
      <c r="E782" t="s">
        <v>4694</v>
      </c>
      <c r="F782" s="2">
        <v>572.92999999999995</v>
      </c>
    </row>
    <row r="783" spans="1:6" x14ac:dyDescent="0.35">
      <c r="A783" t="s">
        <v>5476</v>
      </c>
      <c r="B783" t="s">
        <v>1720</v>
      </c>
      <c r="C783" s="1">
        <v>45323</v>
      </c>
      <c r="D783" s="2">
        <v>86.11</v>
      </c>
      <c r="E783" t="s">
        <v>4694</v>
      </c>
      <c r="F783" s="2">
        <v>31.81</v>
      </c>
    </row>
    <row r="784" spans="1:6" x14ac:dyDescent="0.35">
      <c r="A784" t="s">
        <v>5477</v>
      </c>
      <c r="B784" t="s">
        <v>1721</v>
      </c>
      <c r="C784" s="1">
        <v>45252</v>
      </c>
      <c r="D784" s="2">
        <v>622.63</v>
      </c>
      <c r="E784" t="s">
        <v>4694</v>
      </c>
      <c r="F784" s="2">
        <v>355.38</v>
      </c>
    </row>
    <row r="785" spans="1:6" x14ac:dyDescent="0.35">
      <c r="A785" t="s">
        <v>5478</v>
      </c>
      <c r="B785" t="s">
        <v>1722</v>
      </c>
      <c r="C785" s="1">
        <v>45449</v>
      </c>
      <c r="D785" s="2">
        <v>2894.11</v>
      </c>
      <c r="E785" t="s">
        <v>4694</v>
      </c>
      <c r="F785" s="2">
        <v>1454.56</v>
      </c>
    </row>
    <row r="786" spans="1:6" x14ac:dyDescent="0.35">
      <c r="A786" t="s">
        <v>5479</v>
      </c>
      <c r="B786" t="s">
        <v>1723</v>
      </c>
      <c r="C786" s="1">
        <v>45630</v>
      </c>
      <c r="D786" s="2">
        <v>2576.41</v>
      </c>
      <c r="E786" t="s">
        <v>4694</v>
      </c>
      <c r="F786" s="2">
        <v>586.66</v>
      </c>
    </row>
    <row r="787" spans="1:6" x14ac:dyDescent="0.35">
      <c r="A787" t="s">
        <v>5480</v>
      </c>
      <c r="B787" t="s">
        <v>1724</v>
      </c>
      <c r="C787" s="1">
        <v>45190</v>
      </c>
      <c r="D787" s="2">
        <v>1573.62</v>
      </c>
      <c r="E787" t="s">
        <v>4694</v>
      </c>
      <c r="F787" s="2">
        <v>885.89</v>
      </c>
    </row>
    <row r="788" spans="1:6" x14ac:dyDescent="0.35">
      <c r="A788" t="s">
        <v>5481</v>
      </c>
      <c r="B788" t="s">
        <v>1726</v>
      </c>
      <c r="C788" s="1">
        <v>45434</v>
      </c>
      <c r="D788" s="2">
        <v>168.29</v>
      </c>
      <c r="E788" t="s">
        <v>4694</v>
      </c>
      <c r="F788" s="2">
        <v>47.88</v>
      </c>
    </row>
    <row r="789" spans="1:6" x14ac:dyDescent="0.35">
      <c r="A789" t="s">
        <v>5482</v>
      </c>
      <c r="B789" t="s">
        <v>1727</v>
      </c>
      <c r="C789" s="1">
        <v>44970</v>
      </c>
      <c r="D789" s="2">
        <v>226.73</v>
      </c>
      <c r="E789" t="s">
        <v>4694</v>
      </c>
      <c r="F789" s="2">
        <v>119.12</v>
      </c>
    </row>
    <row r="790" spans="1:6" x14ac:dyDescent="0.35">
      <c r="A790" t="s">
        <v>5483</v>
      </c>
      <c r="B790" t="s">
        <v>1728</v>
      </c>
      <c r="C790" s="1">
        <v>45162</v>
      </c>
      <c r="D790" s="2">
        <v>722.5</v>
      </c>
      <c r="E790" t="s">
        <v>4694</v>
      </c>
      <c r="F790" s="2">
        <v>147.85</v>
      </c>
    </row>
    <row r="791" spans="1:6" x14ac:dyDescent="0.35">
      <c r="A791" t="s">
        <v>5484</v>
      </c>
      <c r="B791" t="s">
        <v>1730</v>
      </c>
      <c r="C791" s="1">
        <v>45057</v>
      </c>
      <c r="D791" s="2">
        <v>651.79999999999995</v>
      </c>
      <c r="E791" t="s">
        <v>4694</v>
      </c>
      <c r="F791" s="2">
        <v>54.84</v>
      </c>
    </row>
    <row r="792" spans="1:6" x14ac:dyDescent="0.35">
      <c r="A792" t="s">
        <v>5485</v>
      </c>
      <c r="B792" t="s">
        <v>1731</v>
      </c>
      <c r="C792" s="1">
        <v>44988</v>
      </c>
      <c r="D792" s="2">
        <v>1061.25</v>
      </c>
      <c r="E792" t="s">
        <v>4694</v>
      </c>
      <c r="F792" s="2">
        <v>240.69</v>
      </c>
    </row>
    <row r="793" spans="1:6" x14ac:dyDescent="0.35">
      <c r="A793" t="s">
        <v>5486</v>
      </c>
      <c r="B793" t="s">
        <v>1733</v>
      </c>
      <c r="C793" s="1">
        <v>45606</v>
      </c>
      <c r="D793" s="2">
        <v>307.23</v>
      </c>
      <c r="E793" t="s">
        <v>4694</v>
      </c>
      <c r="F793" s="2">
        <v>42.4</v>
      </c>
    </row>
    <row r="794" spans="1:6" x14ac:dyDescent="0.35">
      <c r="A794" t="s">
        <v>5487</v>
      </c>
      <c r="B794" t="s">
        <v>1736</v>
      </c>
      <c r="C794" s="1">
        <v>45403</v>
      </c>
      <c r="D794" s="2">
        <v>1369.91</v>
      </c>
      <c r="E794" t="s">
        <v>4694</v>
      </c>
      <c r="F794" s="2">
        <v>258.88</v>
      </c>
    </row>
    <row r="795" spans="1:6" x14ac:dyDescent="0.35">
      <c r="A795" t="s">
        <v>5488</v>
      </c>
      <c r="B795" t="s">
        <v>1737</v>
      </c>
      <c r="C795" s="1">
        <v>45072</v>
      </c>
      <c r="D795" s="2">
        <v>1783.35</v>
      </c>
      <c r="E795" t="s">
        <v>4697</v>
      </c>
      <c r="F795" s="2">
        <v>250.63</v>
      </c>
    </row>
    <row r="796" spans="1:6" x14ac:dyDescent="0.35">
      <c r="A796" t="s">
        <v>5489</v>
      </c>
      <c r="B796" t="s">
        <v>1738</v>
      </c>
      <c r="C796" s="1">
        <v>45570</v>
      </c>
      <c r="D796" s="2">
        <v>1490.53</v>
      </c>
      <c r="E796" t="s">
        <v>4697</v>
      </c>
      <c r="F796" s="2">
        <v>770.59</v>
      </c>
    </row>
    <row r="797" spans="1:6" x14ac:dyDescent="0.35">
      <c r="A797" t="s">
        <v>5490</v>
      </c>
      <c r="B797" t="s">
        <v>1739</v>
      </c>
      <c r="C797" s="1">
        <v>45118</v>
      </c>
      <c r="D797" s="2">
        <v>705.38</v>
      </c>
      <c r="E797" t="s">
        <v>4694</v>
      </c>
      <c r="F797" s="2">
        <v>297.24</v>
      </c>
    </row>
    <row r="798" spans="1:6" x14ac:dyDescent="0.35">
      <c r="A798" t="s">
        <v>5491</v>
      </c>
      <c r="B798" t="s">
        <v>1740</v>
      </c>
      <c r="C798" s="1">
        <v>45123</v>
      </c>
      <c r="D798" s="2">
        <v>3641.68</v>
      </c>
      <c r="E798" t="s">
        <v>4694</v>
      </c>
      <c r="F798" s="2">
        <v>2076.37</v>
      </c>
    </row>
    <row r="799" spans="1:6" x14ac:dyDescent="0.35">
      <c r="A799" t="s">
        <v>5492</v>
      </c>
      <c r="B799" t="s">
        <v>1741</v>
      </c>
      <c r="C799" s="1">
        <v>45684</v>
      </c>
      <c r="D799" s="2">
        <v>263.70999999999998</v>
      </c>
      <c r="E799" t="s">
        <v>4694</v>
      </c>
      <c r="F799" s="2">
        <v>144.24</v>
      </c>
    </row>
    <row r="800" spans="1:6" x14ac:dyDescent="0.35">
      <c r="A800" t="s">
        <v>5493</v>
      </c>
      <c r="B800" t="s">
        <v>1742</v>
      </c>
      <c r="C800" s="1">
        <v>45224</v>
      </c>
      <c r="D800" s="2">
        <v>2514.69</v>
      </c>
      <c r="E800" t="s">
        <v>4694</v>
      </c>
      <c r="F800" s="2">
        <v>767.56</v>
      </c>
    </row>
    <row r="801" spans="1:6" x14ac:dyDescent="0.35">
      <c r="A801" t="s">
        <v>5494</v>
      </c>
      <c r="B801" t="s">
        <v>1744</v>
      </c>
      <c r="C801" s="1">
        <v>44970</v>
      </c>
      <c r="D801" s="2">
        <v>419.57</v>
      </c>
      <c r="E801" t="s">
        <v>4694</v>
      </c>
      <c r="F801" s="2">
        <v>244.11</v>
      </c>
    </row>
    <row r="802" spans="1:6" x14ac:dyDescent="0.35">
      <c r="A802" t="s">
        <v>5495</v>
      </c>
      <c r="B802" t="s">
        <v>1746</v>
      </c>
      <c r="C802" s="1">
        <v>45270</v>
      </c>
      <c r="D802" s="2">
        <v>302.52999999999997</v>
      </c>
      <c r="E802" t="s">
        <v>4694</v>
      </c>
      <c r="F802" s="2">
        <v>45.4</v>
      </c>
    </row>
    <row r="803" spans="1:6" x14ac:dyDescent="0.35">
      <c r="A803" t="s">
        <v>5496</v>
      </c>
      <c r="B803" t="s">
        <v>1747</v>
      </c>
      <c r="C803" s="1">
        <v>45116</v>
      </c>
      <c r="D803" s="2">
        <v>3049.91</v>
      </c>
      <c r="E803" t="s">
        <v>4694</v>
      </c>
      <c r="F803" s="2">
        <v>1479.4</v>
      </c>
    </row>
    <row r="804" spans="1:6" x14ac:dyDescent="0.35">
      <c r="A804" t="s">
        <v>5497</v>
      </c>
      <c r="B804" t="s">
        <v>1749</v>
      </c>
      <c r="C804" s="1">
        <v>45440</v>
      </c>
      <c r="D804" s="2">
        <v>719.48</v>
      </c>
      <c r="E804" t="s">
        <v>4694</v>
      </c>
      <c r="F804" s="2">
        <v>215.92</v>
      </c>
    </row>
    <row r="805" spans="1:6" x14ac:dyDescent="0.35">
      <c r="A805" t="s">
        <v>5498</v>
      </c>
      <c r="B805" t="s">
        <v>1750</v>
      </c>
      <c r="C805" s="1">
        <v>45405</v>
      </c>
      <c r="D805" s="2">
        <v>117.75</v>
      </c>
      <c r="E805" t="s">
        <v>4694</v>
      </c>
      <c r="F805" s="2">
        <v>64.099999999999994</v>
      </c>
    </row>
    <row r="806" spans="1:6" x14ac:dyDescent="0.35">
      <c r="A806" t="s">
        <v>5499</v>
      </c>
      <c r="B806" t="s">
        <v>1751</v>
      </c>
      <c r="C806" s="1">
        <v>45005</v>
      </c>
      <c r="D806" s="2">
        <v>625.88</v>
      </c>
      <c r="E806" t="s">
        <v>4694</v>
      </c>
      <c r="F806" s="2">
        <v>289.82</v>
      </c>
    </row>
    <row r="807" spans="1:6" x14ac:dyDescent="0.35">
      <c r="A807" t="s">
        <v>5500</v>
      </c>
      <c r="B807" t="s">
        <v>1752</v>
      </c>
      <c r="C807" s="1">
        <v>45311</v>
      </c>
      <c r="D807" s="2">
        <v>578.73</v>
      </c>
      <c r="E807" t="s">
        <v>4694</v>
      </c>
      <c r="F807" s="2">
        <v>352.48</v>
      </c>
    </row>
    <row r="808" spans="1:6" x14ac:dyDescent="0.35">
      <c r="A808" t="s">
        <v>5501</v>
      </c>
      <c r="B808" t="s">
        <v>1755</v>
      </c>
      <c r="C808" s="1">
        <v>45193</v>
      </c>
      <c r="D808" s="2">
        <v>279.17</v>
      </c>
      <c r="E808" t="s">
        <v>4694</v>
      </c>
      <c r="F808" s="2">
        <v>163.12</v>
      </c>
    </row>
    <row r="809" spans="1:6" x14ac:dyDescent="0.35">
      <c r="A809" t="s">
        <v>5502</v>
      </c>
      <c r="B809" t="s">
        <v>1756</v>
      </c>
      <c r="C809" s="1">
        <v>45174</v>
      </c>
      <c r="D809" s="2">
        <v>267.42</v>
      </c>
      <c r="E809" t="s">
        <v>4694</v>
      </c>
      <c r="F809" s="2">
        <v>91.55</v>
      </c>
    </row>
    <row r="810" spans="1:6" x14ac:dyDescent="0.35">
      <c r="A810" t="s">
        <v>5503</v>
      </c>
      <c r="B810" t="s">
        <v>1757</v>
      </c>
      <c r="C810" s="1">
        <v>45504</v>
      </c>
      <c r="D810" s="2">
        <v>109.76</v>
      </c>
      <c r="E810" t="s">
        <v>4697</v>
      </c>
      <c r="F810" s="2">
        <v>16.77</v>
      </c>
    </row>
    <row r="811" spans="1:6" x14ac:dyDescent="0.35">
      <c r="A811" t="s">
        <v>5504</v>
      </c>
      <c r="B811" t="s">
        <v>1758</v>
      </c>
      <c r="C811" s="1">
        <v>45267</v>
      </c>
      <c r="D811" s="2">
        <v>114.3</v>
      </c>
      <c r="E811" t="s">
        <v>4694</v>
      </c>
      <c r="F811" s="2">
        <v>48.83</v>
      </c>
    </row>
    <row r="812" spans="1:6" x14ac:dyDescent="0.35">
      <c r="A812" t="s">
        <v>5505</v>
      </c>
      <c r="B812" t="s">
        <v>1759</v>
      </c>
      <c r="C812" s="1">
        <v>45020</v>
      </c>
      <c r="D812" s="2">
        <v>5413.49</v>
      </c>
      <c r="E812" t="s">
        <v>4694</v>
      </c>
      <c r="F812" s="2">
        <v>606.02</v>
      </c>
    </row>
    <row r="813" spans="1:6" x14ac:dyDescent="0.35">
      <c r="A813" t="s">
        <v>5506</v>
      </c>
      <c r="B813" t="s">
        <v>1760</v>
      </c>
      <c r="C813" s="1">
        <v>45094</v>
      </c>
      <c r="D813" s="2">
        <v>268.14</v>
      </c>
      <c r="E813" t="s">
        <v>4694</v>
      </c>
      <c r="F813" s="2">
        <v>163.31</v>
      </c>
    </row>
    <row r="814" spans="1:6" x14ac:dyDescent="0.35">
      <c r="A814" t="s">
        <v>5507</v>
      </c>
      <c r="B814" t="s">
        <v>1761</v>
      </c>
      <c r="C814" s="1">
        <v>45006</v>
      </c>
      <c r="D814" s="2">
        <v>113.76</v>
      </c>
      <c r="E814" t="s">
        <v>4697</v>
      </c>
      <c r="F814" s="2">
        <v>10.17</v>
      </c>
    </row>
    <row r="815" spans="1:6" x14ac:dyDescent="0.35">
      <c r="A815" t="s">
        <v>5508</v>
      </c>
      <c r="B815" t="s">
        <v>1762</v>
      </c>
      <c r="C815" s="1">
        <v>45612</v>
      </c>
      <c r="D815" s="2">
        <v>762.32</v>
      </c>
      <c r="E815" t="s">
        <v>4694</v>
      </c>
      <c r="F815" s="2">
        <v>266.04000000000002</v>
      </c>
    </row>
    <row r="816" spans="1:6" x14ac:dyDescent="0.35">
      <c r="A816" t="s">
        <v>5509</v>
      </c>
      <c r="B816" t="s">
        <v>1763</v>
      </c>
      <c r="C816" s="1">
        <v>45536</v>
      </c>
      <c r="D816" s="2">
        <v>566.70000000000005</v>
      </c>
      <c r="E816" t="s">
        <v>4697</v>
      </c>
      <c r="F816" s="2">
        <v>265.64</v>
      </c>
    </row>
    <row r="817" spans="1:6" x14ac:dyDescent="0.35">
      <c r="A817" t="s">
        <v>5510</v>
      </c>
      <c r="B817" t="s">
        <v>1765</v>
      </c>
      <c r="C817" s="1">
        <v>45019</v>
      </c>
      <c r="D817" s="2">
        <v>1263.53</v>
      </c>
      <c r="E817" t="s">
        <v>4694</v>
      </c>
      <c r="F817" s="2">
        <v>140.43</v>
      </c>
    </row>
    <row r="818" spans="1:6" x14ac:dyDescent="0.35">
      <c r="A818" t="s">
        <v>5511</v>
      </c>
      <c r="B818" t="s">
        <v>1768</v>
      </c>
      <c r="C818" s="1">
        <v>45481</v>
      </c>
      <c r="D818" s="2">
        <v>635.91999999999996</v>
      </c>
      <c r="E818" t="s">
        <v>4694</v>
      </c>
      <c r="F818" s="2">
        <v>264.52</v>
      </c>
    </row>
    <row r="819" spans="1:6" x14ac:dyDescent="0.35">
      <c r="A819" t="s">
        <v>5512</v>
      </c>
      <c r="B819" t="s">
        <v>1769</v>
      </c>
      <c r="C819" s="1">
        <v>45634</v>
      </c>
      <c r="D819" s="2">
        <v>4196.3500000000004</v>
      </c>
      <c r="E819" t="s">
        <v>4694</v>
      </c>
      <c r="F819" s="2">
        <v>353.24</v>
      </c>
    </row>
    <row r="820" spans="1:6" x14ac:dyDescent="0.35">
      <c r="A820" t="s">
        <v>5513</v>
      </c>
      <c r="B820" t="s">
        <v>1773</v>
      </c>
      <c r="C820" s="1">
        <v>45639</v>
      </c>
      <c r="D820" s="2">
        <v>2907.56</v>
      </c>
      <c r="E820" t="s">
        <v>4694</v>
      </c>
      <c r="F820" s="2">
        <v>1110.57</v>
      </c>
    </row>
    <row r="821" spans="1:6" x14ac:dyDescent="0.35">
      <c r="A821" t="s">
        <v>5514</v>
      </c>
      <c r="B821" t="s">
        <v>1775</v>
      </c>
      <c r="C821" s="1">
        <v>45048</v>
      </c>
      <c r="D821" s="2">
        <v>591.79</v>
      </c>
      <c r="E821" t="s">
        <v>4694</v>
      </c>
      <c r="F821" s="2">
        <v>93.8</v>
      </c>
    </row>
    <row r="822" spans="1:6" x14ac:dyDescent="0.35">
      <c r="A822" t="s">
        <v>5515</v>
      </c>
      <c r="B822" t="s">
        <v>1778</v>
      </c>
      <c r="C822" s="1">
        <v>45133</v>
      </c>
      <c r="D822" s="2">
        <v>2064.35</v>
      </c>
      <c r="E822" t="s">
        <v>4694</v>
      </c>
      <c r="F822" s="2">
        <v>175.72</v>
      </c>
    </row>
    <row r="823" spans="1:6" x14ac:dyDescent="0.35">
      <c r="A823" t="s">
        <v>5516</v>
      </c>
      <c r="B823" t="s">
        <v>1780</v>
      </c>
      <c r="C823" s="1">
        <v>45500</v>
      </c>
      <c r="D823" s="2">
        <v>1232.58</v>
      </c>
      <c r="E823" t="s">
        <v>4694</v>
      </c>
      <c r="F823" s="2">
        <v>276.60000000000002</v>
      </c>
    </row>
    <row r="824" spans="1:6" x14ac:dyDescent="0.35">
      <c r="A824" t="s">
        <v>5517</v>
      </c>
      <c r="B824" t="s">
        <v>1782</v>
      </c>
      <c r="C824" s="1">
        <v>45357</v>
      </c>
      <c r="D824" s="2">
        <v>3311.58</v>
      </c>
      <c r="E824" t="s">
        <v>4694</v>
      </c>
      <c r="F824" s="2">
        <v>866.31</v>
      </c>
    </row>
    <row r="825" spans="1:6" x14ac:dyDescent="0.35">
      <c r="A825" t="s">
        <v>5518</v>
      </c>
      <c r="B825" t="s">
        <v>1784</v>
      </c>
      <c r="C825" s="1">
        <v>45158</v>
      </c>
      <c r="D825" s="2">
        <v>117.75</v>
      </c>
      <c r="E825" t="s">
        <v>4697</v>
      </c>
      <c r="F825" s="2">
        <v>49.02</v>
      </c>
    </row>
    <row r="826" spans="1:6" x14ac:dyDescent="0.35">
      <c r="A826" t="s">
        <v>5519</v>
      </c>
      <c r="B826" t="s">
        <v>1786</v>
      </c>
      <c r="C826" s="1">
        <v>45064</v>
      </c>
      <c r="D826" s="2">
        <v>312.68</v>
      </c>
      <c r="E826" t="s">
        <v>4694</v>
      </c>
      <c r="F826" s="2">
        <v>89.13</v>
      </c>
    </row>
    <row r="827" spans="1:6" x14ac:dyDescent="0.35">
      <c r="A827" t="s">
        <v>5520</v>
      </c>
      <c r="B827" t="s">
        <v>1787</v>
      </c>
      <c r="C827" s="1">
        <v>45117</v>
      </c>
      <c r="D827" s="2">
        <v>145.81</v>
      </c>
      <c r="E827" t="s">
        <v>4694</v>
      </c>
      <c r="F827" s="2">
        <v>34.700000000000003</v>
      </c>
    </row>
    <row r="828" spans="1:6" x14ac:dyDescent="0.35">
      <c r="A828" t="s">
        <v>5521</v>
      </c>
      <c r="B828" t="s">
        <v>1788</v>
      </c>
      <c r="C828" s="1">
        <v>45640</v>
      </c>
      <c r="D828" s="2">
        <v>640.91</v>
      </c>
      <c r="E828" t="s">
        <v>4697</v>
      </c>
      <c r="F828" s="2">
        <v>55.91</v>
      </c>
    </row>
    <row r="829" spans="1:6" x14ac:dyDescent="0.35">
      <c r="A829" t="s">
        <v>5522</v>
      </c>
      <c r="B829" t="s">
        <v>1789</v>
      </c>
      <c r="C829" s="1">
        <v>45413</v>
      </c>
      <c r="D829" s="2">
        <v>172.44</v>
      </c>
      <c r="E829" t="s">
        <v>4694</v>
      </c>
      <c r="F829" s="2">
        <v>7.59</v>
      </c>
    </row>
    <row r="830" spans="1:6" x14ac:dyDescent="0.35">
      <c r="A830" t="s">
        <v>5523</v>
      </c>
      <c r="B830" t="s">
        <v>1790</v>
      </c>
      <c r="C830" s="1">
        <v>45065</v>
      </c>
      <c r="D830" s="2">
        <v>1416.58</v>
      </c>
      <c r="E830" t="s">
        <v>4694</v>
      </c>
      <c r="F830" s="2">
        <v>515.26</v>
      </c>
    </row>
    <row r="831" spans="1:6" x14ac:dyDescent="0.35">
      <c r="A831" t="s">
        <v>5524</v>
      </c>
      <c r="B831" t="s">
        <v>1791</v>
      </c>
      <c r="C831" s="1">
        <v>45570</v>
      </c>
      <c r="D831" s="2">
        <v>44.34</v>
      </c>
      <c r="E831" t="s">
        <v>4694</v>
      </c>
      <c r="F831" s="2">
        <v>2.95</v>
      </c>
    </row>
    <row r="832" spans="1:6" x14ac:dyDescent="0.35">
      <c r="A832" t="s">
        <v>5525</v>
      </c>
      <c r="B832" t="s">
        <v>1792</v>
      </c>
      <c r="C832" s="1">
        <v>45667</v>
      </c>
      <c r="D832" s="2">
        <v>926.27</v>
      </c>
      <c r="E832" t="s">
        <v>4694</v>
      </c>
      <c r="F832" s="2">
        <v>103.04</v>
      </c>
    </row>
    <row r="833" spans="1:6" x14ac:dyDescent="0.35">
      <c r="A833" t="s">
        <v>5526</v>
      </c>
      <c r="B833" t="s">
        <v>1794</v>
      </c>
      <c r="C833" s="1">
        <v>45633</v>
      </c>
      <c r="D833" s="2">
        <v>1105.06</v>
      </c>
      <c r="E833" t="s">
        <v>4694</v>
      </c>
      <c r="F833" s="2">
        <v>160.26</v>
      </c>
    </row>
    <row r="834" spans="1:6" x14ac:dyDescent="0.35">
      <c r="A834" t="s">
        <v>5527</v>
      </c>
      <c r="B834" t="s">
        <v>1795</v>
      </c>
      <c r="C834" s="1">
        <v>45641</v>
      </c>
      <c r="D834" s="2">
        <v>1643.27</v>
      </c>
      <c r="E834" t="s">
        <v>4694</v>
      </c>
      <c r="F834" s="2">
        <v>386.78</v>
      </c>
    </row>
    <row r="835" spans="1:6" x14ac:dyDescent="0.35">
      <c r="A835" t="s">
        <v>5528</v>
      </c>
      <c r="B835" t="s">
        <v>1796</v>
      </c>
      <c r="C835" s="1">
        <v>45668</v>
      </c>
      <c r="D835" s="2">
        <v>693.31</v>
      </c>
      <c r="E835" t="s">
        <v>4694</v>
      </c>
      <c r="F835" s="2">
        <v>376.66</v>
      </c>
    </row>
    <row r="836" spans="1:6" x14ac:dyDescent="0.35">
      <c r="A836" t="s">
        <v>5529</v>
      </c>
      <c r="B836" t="s">
        <v>1797</v>
      </c>
      <c r="C836" s="1">
        <v>45131</v>
      </c>
      <c r="D836" s="2">
        <v>787.14</v>
      </c>
      <c r="E836" t="s">
        <v>4694</v>
      </c>
      <c r="F836" s="2">
        <v>345.76</v>
      </c>
    </row>
    <row r="837" spans="1:6" x14ac:dyDescent="0.35">
      <c r="A837" t="s">
        <v>5530</v>
      </c>
      <c r="B837" t="s">
        <v>1798</v>
      </c>
      <c r="C837" s="1">
        <v>45654</v>
      </c>
      <c r="D837" s="2">
        <v>423.49</v>
      </c>
      <c r="E837" t="s">
        <v>4694</v>
      </c>
      <c r="F837" s="2">
        <v>62.94</v>
      </c>
    </row>
    <row r="838" spans="1:6" x14ac:dyDescent="0.35">
      <c r="A838" t="s">
        <v>5531</v>
      </c>
      <c r="B838" t="s">
        <v>1799</v>
      </c>
      <c r="C838" s="1">
        <v>45364</v>
      </c>
      <c r="D838" s="2">
        <v>2224.59</v>
      </c>
      <c r="E838" t="s">
        <v>4697</v>
      </c>
      <c r="F838" s="2">
        <v>420.87</v>
      </c>
    </row>
    <row r="839" spans="1:6" x14ac:dyDescent="0.35">
      <c r="A839" t="s">
        <v>5532</v>
      </c>
      <c r="B839" t="s">
        <v>1802</v>
      </c>
      <c r="C839" s="1">
        <v>45455</v>
      </c>
      <c r="D839" s="2">
        <v>1340.66</v>
      </c>
      <c r="E839" t="s">
        <v>4694</v>
      </c>
      <c r="F839" s="2">
        <v>222.87</v>
      </c>
    </row>
    <row r="840" spans="1:6" x14ac:dyDescent="0.35">
      <c r="A840" t="s">
        <v>5533</v>
      </c>
      <c r="B840" t="s">
        <v>1803</v>
      </c>
      <c r="C840" s="1">
        <v>45628</v>
      </c>
      <c r="D840" s="2">
        <v>1945.99</v>
      </c>
      <c r="E840" t="s">
        <v>4694</v>
      </c>
      <c r="F840" s="2">
        <v>179.95</v>
      </c>
    </row>
    <row r="841" spans="1:6" x14ac:dyDescent="0.35">
      <c r="A841" t="s">
        <v>5534</v>
      </c>
      <c r="B841" t="s">
        <v>1804</v>
      </c>
      <c r="C841" s="1">
        <v>44991</v>
      </c>
      <c r="D841" s="2">
        <v>671.86</v>
      </c>
      <c r="E841" t="s">
        <v>4694</v>
      </c>
      <c r="F841" s="2">
        <v>274.16000000000003</v>
      </c>
    </row>
    <row r="842" spans="1:6" x14ac:dyDescent="0.35">
      <c r="A842" t="s">
        <v>5535</v>
      </c>
      <c r="B842" t="s">
        <v>1805</v>
      </c>
      <c r="C842" s="1">
        <v>45012</v>
      </c>
      <c r="D842" s="2">
        <v>90.13</v>
      </c>
      <c r="E842" t="s">
        <v>4694</v>
      </c>
      <c r="F842" s="2">
        <v>50.87</v>
      </c>
    </row>
    <row r="843" spans="1:6" x14ac:dyDescent="0.35">
      <c r="A843" t="s">
        <v>5536</v>
      </c>
      <c r="B843" t="s">
        <v>1807</v>
      </c>
      <c r="C843" s="1">
        <v>45584</v>
      </c>
      <c r="D843" s="2">
        <v>660.29</v>
      </c>
      <c r="E843" t="s">
        <v>4694</v>
      </c>
      <c r="F843" s="2">
        <v>261.70999999999998</v>
      </c>
    </row>
    <row r="844" spans="1:6" x14ac:dyDescent="0.35">
      <c r="A844" t="s">
        <v>5537</v>
      </c>
      <c r="B844" t="s">
        <v>1808</v>
      </c>
      <c r="C844" s="1">
        <v>44957</v>
      </c>
      <c r="D844" s="2">
        <v>722.92</v>
      </c>
      <c r="E844" t="s">
        <v>4694</v>
      </c>
      <c r="F844" s="2">
        <v>79.75</v>
      </c>
    </row>
    <row r="845" spans="1:6" x14ac:dyDescent="0.35">
      <c r="A845" t="s">
        <v>5538</v>
      </c>
      <c r="B845" t="s">
        <v>1809</v>
      </c>
      <c r="C845" s="1">
        <v>45491</v>
      </c>
      <c r="D845" s="2">
        <v>353</v>
      </c>
      <c r="E845" t="s">
        <v>4694</v>
      </c>
      <c r="F845" s="2">
        <v>124.86</v>
      </c>
    </row>
    <row r="846" spans="1:6" x14ac:dyDescent="0.35">
      <c r="A846" t="s">
        <v>5539</v>
      </c>
      <c r="B846" t="s">
        <v>1811</v>
      </c>
      <c r="C846" s="1">
        <v>45508</v>
      </c>
      <c r="D846" s="2">
        <v>795.96</v>
      </c>
      <c r="E846" t="s">
        <v>4694</v>
      </c>
      <c r="F846" s="2">
        <v>94.7</v>
      </c>
    </row>
    <row r="847" spans="1:6" x14ac:dyDescent="0.35">
      <c r="A847" t="s">
        <v>5540</v>
      </c>
      <c r="B847" t="s">
        <v>1812</v>
      </c>
      <c r="C847" s="1">
        <v>45347</v>
      </c>
      <c r="D847" s="2">
        <v>544.4</v>
      </c>
      <c r="E847" t="s">
        <v>4697</v>
      </c>
      <c r="F847" s="2">
        <v>276.14999999999998</v>
      </c>
    </row>
    <row r="848" spans="1:6" x14ac:dyDescent="0.35">
      <c r="A848" t="s">
        <v>5541</v>
      </c>
      <c r="B848" t="s">
        <v>1813</v>
      </c>
      <c r="C848" s="1">
        <v>45435</v>
      </c>
      <c r="D848" s="2">
        <v>1286.76</v>
      </c>
      <c r="E848" t="s">
        <v>4694</v>
      </c>
      <c r="F848" s="2">
        <v>61.34</v>
      </c>
    </row>
    <row r="849" spans="1:6" x14ac:dyDescent="0.35">
      <c r="A849" t="s">
        <v>5542</v>
      </c>
      <c r="B849" t="s">
        <v>1814</v>
      </c>
      <c r="C849" s="1">
        <v>45623</v>
      </c>
      <c r="D849" s="2">
        <v>150.51</v>
      </c>
      <c r="E849" t="s">
        <v>4694</v>
      </c>
      <c r="F849" s="2">
        <v>9.0500000000000007</v>
      </c>
    </row>
    <row r="850" spans="1:6" x14ac:dyDescent="0.35">
      <c r="A850" t="s">
        <v>5543</v>
      </c>
      <c r="B850" t="s">
        <v>1816</v>
      </c>
      <c r="C850" s="1">
        <v>45577</v>
      </c>
      <c r="D850" s="2">
        <v>37.58</v>
      </c>
      <c r="E850" t="s">
        <v>4694</v>
      </c>
      <c r="F850" s="2">
        <v>20.6</v>
      </c>
    </row>
    <row r="851" spans="1:6" x14ac:dyDescent="0.35">
      <c r="A851" t="s">
        <v>5544</v>
      </c>
      <c r="B851" t="s">
        <v>1817</v>
      </c>
      <c r="C851" s="1">
        <v>45257</v>
      </c>
      <c r="D851" s="2">
        <v>170.98</v>
      </c>
      <c r="E851" t="s">
        <v>4694</v>
      </c>
      <c r="F851" s="2">
        <v>42.12</v>
      </c>
    </row>
    <row r="852" spans="1:6" x14ac:dyDescent="0.35">
      <c r="A852" t="s">
        <v>5545</v>
      </c>
      <c r="B852" t="s">
        <v>1819</v>
      </c>
      <c r="C852" s="1">
        <v>45112</v>
      </c>
      <c r="D852" s="2">
        <v>44.24</v>
      </c>
      <c r="E852" t="s">
        <v>4694</v>
      </c>
      <c r="F852" s="2">
        <v>8.9499999999999993</v>
      </c>
    </row>
    <row r="853" spans="1:6" x14ac:dyDescent="0.35">
      <c r="A853" t="s">
        <v>5546</v>
      </c>
      <c r="B853" t="s">
        <v>1820</v>
      </c>
      <c r="C853" s="1">
        <v>45306</v>
      </c>
      <c r="D853" s="2">
        <v>2168.6</v>
      </c>
      <c r="E853" t="s">
        <v>4694</v>
      </c>
      <c r="F853" s="2">
        <v>309.3</v>
      </c>
    </row>
    <row r="854" spans="1:6" x14ac:dyDescent="0.35">
      <c r="A854" t="s">
        <v>5547</v>
      </c>
      <c r="B854" t="s">
        <v>1821</v>
      </c>
      <c r="C854" s="1">
        <v>45166</v>
      </c>
      <c r="D854" s="2">
        <v>424.33</v>
      </c>
      <c r="E854" t="s">
        <v>4694</v>
      </c>
      <c r="F854" s="2">
        <v>111.4</v>
      </c>
    </row>
    <row r="855" spans="1:6" x14ac:dyDescent="0.35">
      <c r="A855" t="s">
        <v>5548</v>
      </c>
      <c r="B855" t="s">
        <v>1822</v>
      </c>
      <c r="C855" s="1">
        <v>45682</v>
      </c>
      <c r="D855" s="2">
        <v>657.73</v>
      </c>
      <c r="E855" t="s">
        <v>4694</v>
      </c>
      <c r="F855" s="2">
        <v>167.79</v>
      </c>
    </row>
    <row r="856" spans="1:6" x14ac:dyDescent="0.35">
      <c r="A856" t="s">
        <v>5549</v>
      </c>
      <c r="B856" t="s">
        <v>1823</v>
      </c>
      <c r="C856" s="1">
        <v>45445</v>
      </c>
      <c r="D856" s="2">
        <v>1929.05</v>
      </c>
      <c r="E856" t="s">
        <v>4694</v>
      </c>
      <c r="F856" s="2">
        <v>227.99</v>
      </c>
    </row>
    <row r="857" spans="1:6" x14ac:dyDescent="0.35">
      <c r="A857" t="s">
        <v>5550</v>
      </c>
      <c r="B857" t="s">
        <v>1825</v>
      </c>
      <c r="C857" s="1">
        <v>45009</v>
      </c>
      <c r="D857" s="2">
        <v>1846.73</v>
      </c>
      <c r="E857" t="s">
        <v>4694</v>
      </c>
      <c r="F857" s="2">
        <v>285.2</v>
      </c>
    </row>
    <row r="858" spans="1:6" x14ac:dyDescent="0.35">
      <c r="A858" t="s">
        <v>5551</v>
      </c>
      <c r="B858" t="s">
        <v>1826</v>
      </c>
      <c r="C858" s="1">
        <v>45186</v>
      </c>
      <c r="D858" s="2">
        <v>165.42</v>
      </c>
      <c r="E858" t="s">
        <v>4694</v>
      </c>
      <c r="F858" s="2">
        <v>36.79</v>
      </c>
    </row>
    <row r="859" spans="1:6" x14ac:dyDescent="0.35">
      <c r="A859" t="s">
        <v>5552</v>
      </c>
      <c r="B859" t="s">
        <v>1828</v>
      </c>
      <c r="C859" s="1">
        <v>45608</v>
      </c>
      <c r="D859" s="2">
        <v>359.12</v>
      </c>
      <c r="E859" t="s">
        <v>4694</v>
      </c>
      <c r="F859" s="2">
        <v>75.2</v>
      </c>
    </row>
    <row r="860" spans="1:6" x14ac:dyDescent="0.35">
      <c r="A860" t="s">
        <v>5553</v>
      </c>
      <c r="B860" t="s">
        <v>1829</v>
      </c>
      <c r="C860" s="1">
        <v>45559</v>
      </c>
      <c r="D860" s="2">
        <v>146.13999999999999</v>
      </c>
      <c r="E860" t="s">
        <v>4697</v>
      </c>
      <c r="F860" s="2">
        <v>37.479999999999997</v>
      </c>
    </row>
    <row r="861" spans="1:6" x14ac:dyDescent="0.35">
      <c r="A861" t="s">
        <v>5554</v>
      </c>
      <c r="B861" t="s">
        <v>1830</v>
      </c>
      <c r="C861" s="1">
        <v>45170</v>
      </c>
      <c r="D861" s="2">
        <v>4837.5</v>
      </c>
      <c r="E861" t="s">
        <v>4694</v>
      </c>
      <c r="F861" s="2">
        <v>1373.17</v>
      </c>
    </row>
    <row r="862" spans="1:6" x14ac:dyDescent="0.35">
      <c r="A862" t="s">
        <v>5555</v>
      </c>
      <c r="B862" t="s">
        <v>1835</v>
      </c>
      <c r="C862" s="1">
        <v>45360</v>
      </c>
      <c r="D862" s="2">
        <v>671.89</v>
      </c>
      <c r="E862" t="s">
        <v>4694</v>
      </c>
      <c r="F862" s="2">
        <v>84.8</v>
      </c>
    </row>
    <row r="863" spans="1:6" x14ac:dyDescent="0.35">
      <c r="A863" t="s">
        <v>5556</v>
      </c>
      <c r="B863" t="s">
        <v>1836</v>
      </c>
      <c r="C863" s="1">
        <v>45170</v>
      </c>
      <c r="D863" s="2">
        <v>369.59</v>
      </c>
      <c r="E863" t="s">
        <v>4694</v>
      </c>
      <c r="F863" s="2">
        <v>97.32</v>
      </c>
    </row>
    <row r="864" spans="1:6" x14ac:dyDescent="0.35">
      <c r="A864" t="s">
        <v>5557</v>
      </c>
      <c r="B864" t="s">
        <v>1838</v>
      </c>
      <c r="C864" s="1">
        <v>45081</v>
      </c>
      <c r="D864" s="2">
        <v>2611.61</v>
      </c>
      <c r="E864" t="s">
        <v>4697</v>
      </c>
      <c r="F864" s="2">
        <v>1505.97</v>
      </c>
    </row>
    <row r="865" spans="1:6" x14ac:dyDescent="0.35">
      <c r="A865" t="s">
        <v>5558</v>
      </c>
      <c r="B865" t="s">
        <v>1839</v>
      </c>
      <c r="C865" s="1">
        <v>45409</v>
      </c>
      <c r="D865" s="2">
        <v>586.24</v>
      </c>
      <c r="E865" t="s">
        <v>4694</v>
      </c>
      <c r="F865" s="2">
        <v>27.79</v>
      </c>
    </row>
    <row r="866" spans="1:6" x14ac:dyDescent="0.35">
      <c r="A866" t="s">
        <v>5559</v>
      </c>
      <c r="B866" t="s">
        <v>1840</v>
      </c>
      <c r="C866" s="1">
        <v>45154</v>
      </c>
      <c r="D866" s="2">
        <v>953.9</v>
      </c>
      <c r="E866" t="s">
        <v>4694</v>
      </c>
      <c r="F866" s="2">
        <v>361.52</v>
      </c>
    </row>
    <row r="867" spans="1:6" x14ac:dyDescent="0.35">
      <c r="A867" t="s">
        <v>5560</v>
      </c>
      <c r="B867" t="s">
        <v>1841</v>
      </c>
      <c r="C867" s="1">
        <v>45488</v>
      </c>
      <c r="D867" s="2">
        <v>564.77</v>
      </c>
      <c r="E867" t="s">
        <v>4694</v>
      </c>
      <c r="F867" s="2">
        <v>151.27000000000001</v>
      </c>
    </row>
    <row r="868" spans="1:6" x14ac:dyDescent="0.35">
      <c r="A868" t="s">
        <v>5561</v>
      </c>
      <c r="B868" t="s">
        <v>1843</v>
      </c>
      <c r="C868" s="1">
        <v>45077</v>
      </c>
      <c r="D868" s="2">
        <v>179.79</v>
      </c>
      <c r="E868" t="s">
        <v>4694</v>
      </c>
      <c r="F868" s="2">
        <v>27.99</v>
      </c>
    </row>
    <row r="869" spans="1:6" x14ac:dyDescent="0.35">
      <c r="A869" t="s">
        <v>5562</v>
      </c>
      <c r="B869" t="s">
        <v>1844</v>
      </c>
      <c r="C869" s="1">
        <v>45369</v>
      </c>
      <c r="D869" s="2">
        <v>309.44</v>
      </c>
      <c r="E869" t="s">
        <v>4694</v>
      </c>
      <c r="F869" s="2">
        <v>154.66</v>
      </c>
    </row>
    <row r="870" spans="1:6" x14ac:dyDescent="0.35">
      <c r="A870" t="s">
        <v>5563</v>
      </c>
      <c r="B870" t="s">
        <v>1846</v>
      </c>
      <c r="C870" s="1">
        <v>45619</v>
      </c>
      <c r="D870" s="2">
        <v>4809.76</v>
      </c>
      <c r="E870" t="s">
        <v>4694</v>
      </c>
      <c r="F870" s="2">
        <v>369.47</v>
      </c>
    </row>
    <row r="871" spans="1:6" x14ac:dyDescent="0.35">
      <c r="A871" t="s">
        <v>5564</v>
      </c>
      <c r="B871" t="s">
        <v>1847</v>
      </c>
      <c r="C871" s="1">
        <v>45566</v>
      </c>
      <c r="D871" s="2">
        <v>269.17</v>
      </c>
      <c r="E871" t="s">
        <v>4694</v>
      </c>
      <c r="F871" s="2">
        <v>18.760000000000002</v>
      </c>
    </row>
    <row r="872" spans="1:6" x14ac:dyDescent="0.35">
      <c r="A872" t="s">
        <v>5565</v>
      </c>
      <c r="B872" t="s">
        <v>1848</v>
      </c>
      <c r="C872" s="1">
        <v>45393</v>
      </c>
      <c r="D872" s="2">
        <v>1345.5</v>
      </c>
      <c r="E872" t="s">
        <v>4694</v>
      </c>
      <c r="F872" s="2">
        <v>809.16</v>
      </c>
    </row>
    <row r="873" spans="1:6" x14ac:dyDescent="0.35">
      <c r="A873" t="s">
        <v>5566</v>
      </c>
      <c r="B873" t="s">
        <v>1850</v>
      </c>
      <c r="C873" s="1">
        <v>45098</v>
      </c>
      <c r="D873" s="2">
        <v>533.38</v>
      </c>
      <c r="E873" t="s">
        <v>4694</v>
      </c>
      <c r="F873" s="2">
        <v>95.54</v>
      </c>
    </row>
    <row r="874" spans="1:6" x14ac:dyDescent="0.35">
      <c r="A874" t="s">
        <v>5567</v>
      </c>
      <c r="B874" t="s">
        <v>1852</v>
      </c>
      <c r="C874" s="1">
        <v>45251</v>
      </c>
      <c r="D874" s="2">
        <v>85.06</v>
      </c>
      <c r="E874" t="s">
        <v>4694</v>
      </c>
      <c r="F874" s="2">
        <v>10.91</v>
      </c>
    </row>
    <row r="875" spans="1:6" x14ac:dyDescent="0.35">
      <c r="A875" t="s">
        <v>5568</v>
      </c>
      <c r="B875" t="s">
        <v>1853</v>
      </c>
      <c r="C875" s="1">
        <v>45190</v>
      </c>
      <c r="D875" s="2">
        <v>429.12</v>
      </c>
      <c r="E875" t="s">
        <v>4694</v>
      </c>
      <c r="F875" s="2">
        <v>23.69</v>
      </c>
    </row>
    <row r="876" spans="1:6" x14ac:dyDescent="0.35">
      <c r="A876" t="s">
        <v>5569</v>
      </c>
      <c r="B876" t="s">
        <v>1856</v>
      </c>
      <c r="C876" s="1">
        <v>45054</v>
      </c>
      <c r="D876" s="2">
        <v>406.21</v>
      </c>
      <c r="E876" t="s">
        <v>4694</v>
      </c>
      <c r="F876" s="2">
        <v>183.41</v>
      </c>
    </row>
    <row r="877" spans="1:6" x14ac:dyDescent="0.35">
      <c r="A877" t="s">
        <v>5570</v>
      </c>
      <c r="B877" t="s">
        <v>1857</v>
      </c>
      <c r="C877" s="1">
        <v>45446</v>
      </c>
      <c r="D877" s="2">
        <v>39.89</v>
      </c>
      <c r="E877" t="s">
        <v>4694</v>
      </c>
      <c r="F877" s="2">
        <v>22.18</v>
      </c>
    </row>
    <row r="878" spans="1:6" x14ac:dyDescent="0.35">
      <c r="A878" t="s">
        <v>5571</v>
      </c>
      <c r="B878" t="s">
        <v>1862</v>
      </c>
      <c r="C878" s="1">
        <v>44990</v>
      </c>
      <c r="D878" s="2">
        <v>211.23</v>
      </c>
      <c r="E878" t="s">
        <v>4694</v>
      </c>
      <c r="F878" s="2">
        <v>114.75</v>
      </c>
    </row>
    <row r="879" spans="1:6" x14ac:dyDescent="0.35">
      <c r="A879" t="s">
        <v>5572</v>
      </c>
      <c r="B879" t="s">
        <v>1863</v>
      </c>
      <c r="C879" s="1">
        <v>45341</v>
      </c>
      <c r="D879" s="2">
        <v>2441.7399999999998</v>
      </c>
      <c r="E879" t="s">
        <v>4694</v>
      </c>
      <c r="F879" s="2">
        <v>276.87</v>
      </c>
    </row>
    <row r="880" spans="1:6" x14ac:dyDescent="0.35">
      <c r="A880" t="s">
        <v>5573</v>
      </c>
      <c r="B880" t="s">
        <v>1864</v>
      </c>
      <c r="C880" s="1">
        <v>45463</v>
      </c>
      <c r="D880" s="2">
        <v>6315.01</v>
      </c>
      <c r="E880" t="s">
        <v>4694</v>
      </c>
      <c r="F880" s="2">
        <v>1163.1199999999999</v>
      </c>
    </row>
    <row r="881" spans="1:6" x14ac:dyDescent="0.35">
      <c r="A881" t="s">
        <v>5574</v>
      </c>
      <c r="B881" t="s">
        <v>1865</v>
      </c>
      <c r="C881" s="1">
        <v>45268</v>
      </c>
      <c r="D881" s="2">
        <v>1315.93</v>
      </c>
      <c r="E881" t="s">
        <v>4694</v>
      </c>
      <c r="F881" s="2">
        <v>95.1</v>
      </c>
    </row>
    <row r="882" spans="1:6" x14ac:dyDescent="0.35">
      <c r="A882" t="s">
        <v>5575</v>
      </c>
      <c r="B882" t="s">
        <v>1867</v>
      </c>
      <c r="C882" s="1">
        <v>45238</v>
      </c>
      <c r="D882" s="2">
        <v>238.08</v>
      </c>
      <c r="E882" t="s">
        <v>4694</v>
      </c>
      <c r="F882" s="2">
        <v>93.84</v>
      </c>
    </row>
    <row r="883" spans="1:6" x14ac:dyDescent="0.35">
      <c r="A883" t="s">
        <v>5576</v>
      </c>
      <c r="B883" t="s">
        <v>1868</v>
      </c>
      <c r="C883" s="1">
        <v>45419</v>
      </c>
      <c r="D883" s="2">
        <v>251.8</v>
      </c>
      <c r="E883" t="s">
        <v>4694</v>
      </c>
      <c r="F883" s="2">
        <v>118.31</v>
      </c>
    </row>
    <row r="884" spans="1:6" x14ac:dyDescent="0.35">
      <c r="A884" t="s">
        <v>5577</v>
      </c>
      <c r="B884" t="s">
        <v>1869</v>
      </c>
      <c r="C884" s="1">
        <v>45628</v>
      </c>
      <c r="D884" s="2">
        <v>614.51</v>
      </c>
      <c r="E884" t="s">
        <v>4694</v>
      </c>
      <c r="F884" s="2">
        <v>45.73</v>
      </c>
    </row>
    <row r="885" spans="1:6" x14ac:dyDescent="0.35">
      <c r="A885" t="s">
        <v>5578</v>
      </c>
      <c r="B885" t="s">
        <v>1870</v>
      </c>
      <c r="C885" s="1">
        <v>45413</v>
      </c>
      <c r="D885" s="2">
        <v>528.49</v>
      </c>
      <c r="E885" t="s">
        <v>4694</v>
      </c>
      <c r="F885" s="2">
        <v>27.21</v>
      </c>
    </row>
    <row r="886" spans="1:6" x14ac:dyDescent="0.35">
      <c r="A886" t="s">
        <v>5579</v>
      </c>
      <c r="B886" t="s">
        <v>1871</v>
      </c>
      <c r="C886" s="1">
        <v>45332</v>
      </c>
      <c r="D886" s="2">
        <v>1704.91</v>
      </c>
      <c r="E886" t="s">
        <v>4694</v>
      </c>
      <c r="F886" s="2">
        <v>229.48</v>
      </c>
    </row>
    <row r="887" spans="1:6" x14ac:dyDescent="0.35">
      <c r="A887" t="s">
        <v>5580</v>
      </c>
      <c r="B887" t="s">
        <v>1872</v>
      </c>
      <c r="C887" s="1">
        <v>45009</v>
      </c>
      <c r="D887" s="2">
        <v>2562.39</v>
      </c>
      <c r="E887" t="s">
        <v>4694</v>
      </c>
      <c r="F887" s="2">
        <v>134.88999999999999</v>
      </c>
    </row>
    <row r="888" spans="1:6" x14ac:dyDescent="0.35">
      <c r="A888" t="s">
        <v>5581</v>
      </c>
      <c r="B888" t="s">
        <v>1873</v>
      </c>
      <c r="C888" s="1">
        <v>45366</v>
      </c>
      <c r="D888" s="2">
        <v>1028.3599999999999</v>
      </c>
      <c r="E888" t="s">
        <v>4694</v>
      </c>
      <c r="F888" s="2">
        <v>296.64</v>
      </c>
    </row>
    <row r="889" spans="1:6" x14ac:dyDescent="0.35">
      <c r="A889" t="s">
        <v>5582</v>
      </c>
      <c r="B889" t="s">
        <v>1874</v>
      </c>
      <c r="C889" s="1">
        <v>45445</v>
      </c>
      <c r="D889" s="2">
        <v>967.72</v>
      </c>
      <c r="E889" t="s">
        <v>4694</v>
      </c>
      <c r="F889" s="2">
        <v>556.09</v>
      </c>
    </row>
    <row r="890" spans="1:6" x14ac:dyDescent="0.35">
      <c r="A890" t="s">
        <v>5583</v>
      </c>
      <c r="B890" t="s">
        <v>1876</v>
      </c>
      <c r="C890" s="1">
        <v>45634</v>
      </c>
      <c r="D890" s="2">
        <v>1302.42</v>
      </c>
      <c r="E890" t="s">
        <v>4694</v>
      </c>
      <c r="F890" s="2">
        <v>449.43</v>
      </c>
    </row>
    <row r="891" spans="1:6" x14ac:dyDescent="0.35">
      <c r="A891" t="s">
        <v>5584</v>
      </c>
      <c r="B891" t="s">
        <v>1877</v>
      </c>
      <c r="C891" s="1">
        <v>45518</v>
      </c>
      <c r="D891" s="2">
        <v>639.77</v>
      </c>
      <c r="E891" t="s">
        <v>4694</v>
      </c>
      <c r="F891" s="2">
        <v>81.27</v>
      </c>
    </row>
    <row r="892" spans="1:6" x14ac:dyDescent="0.35">
      <c r="A892" t="s">
        <v>5585</v>
      </c>
      <c r="B892" t="s">
        <v>1878</v>
      </c>
      <c r="C892" s="1">
        <v>45060</v>
      </c>
      <c r="D892" s="2">
        <v>3073.18</v>
      </c>
      <c r="E892" t="s">
        <v>4694</v>
      </c>
      <c r="F892" s="2">
        <v>372.67</v>
      </c>
    </row>
    <row r="893" spans="1:6" x14ac:dyDescent="0.35">
      <c r="A893" t="s">
        <v>5586</v>
      </c>
      <c r="B893" t="s">
        <v>1879</v>
      </c>
      <c r="C893" s="1">
        <v>45163</v>
      </c>
      <c r="D893" s="2">
        <v>94.58</v>
      </c>
      <c r="E893" t="s">
        <v>4694</v>
      </c>
      <c r="F893" s="2">
        <v>34.83</v>
      </c>
    </row>
    <row r="894" spans="1:6" x14ac:dyDescent="0.35">
      <c r="A894" t="s">
        <v>5587</v>
      </c>
      <c r="B894" t="s">
        <v>1880</v>
      </c>
      <c r="C894" s="1">
        <v>45379</v>
      </c>
      <c r="D894" s="2">
        <v>1215.58</v>
      </c>
      <c r="E894" t="s">
        <v>4694</v>
      </c>
      <c r="F894" s="2">
        <v>643.79</v>
      </c>
    </row>
    <row r="895" spans="1:6" x14ac:dyDescent="0.35">
      <c r="A895" t="s">
        <v>5588</v>
      </c>
      <c r="B895" t="s">
        <v>1883</v>
      </c>
      <c r="C895" s="1">
        <v>45529</v>
      </c>
      <c r="D895" s="2">
        <v>167.13</v>
      </c>
      <c r="E895" t="s">
        <v>4694</v>
      </c>
      <c r="F895" s="2">
        <v>37.39</v>
      </c>
    </row>
    <row r="896" spans="1:6" x14ac:dyDescent="0.35">
      <c r="A896" t="s">
        <v>5589</v>
      </c>
      <c r="B896" t="s">
        <v>1884</v>
      </c>
      <c r="C896" s="1">
        <v>45109</v>
      </c>
      <c r="D896" s="2">
        <v>287.23</v>
      </c>
      <c r="E896" t="s">
        <v>4694</v>
      </c>
      <c r="F896" s="2">
        <v>136.08000000000001</v>
      </c>
    </row>
    <row r="897" spans="1:6" x14ac:dyDescent="0.35">
      <c r="A897" t="s">
        <v>5590</v>
      </c>
      <c r="B897" t="s">
        <v>1888</v>
      </c>
      <c r="C897" s="1">
        <v>44981</v>
      </c>
      <c r="D897" s="2">
        <v>388.5</v>
      </c>
      <c r="E897" t="s">
        <v>4694</v>
      </c>
      <c r="F897" s="2">
        <v>51.4</v>
      </c>
    </row>
    <row r="898" spans="1:6" x14ac:dyDescent="0.35">
      <c r="A898" t="s">
        <v>5591</v>
      </c>
      <c r="B898" t="s">
        <v>1889</v>
      </c>
      <c r="C898" s="1">
        <v>45550</v>
      </c>
      <c r="D898" s="2">
        <v>365.42</v>
      </c>
      <c r="E898" t="s">
        <v>4694</v>
      </c>
      <c r="F898" s="2">
        <v>159.38999999999999</v>
      </c>
    </row>
    <row r="899" spans="1:6" x14ac:dyDescent="0.35">
      <c r="A899" t="s">
        <v>5592</v>
      </c>
      <c r="B899" t="s">
        <v>1890</v>
      </c>
      <c r="C899" s="1">
        <v>45336</v>
      </c>
      <c r="D899" s="2">
        <v>373.73</v>
      </c>
      <c r="E899" t="s">
        <v>4694</v>
      </c>
      <c r="F899" s="2">
        <v>54.87</v>
      </c>
    </row>
    <row r="900" spans="1:6" x14ac:dyDescent="0.35">
      <c r="A900" t="s">
        <v>5593</v>
      </c>
      <c r="B900" t="s">
        <v>1891</v>
      </c>
      <c r="C900" s="1">
        <v>45410</v>
      </c>
      <c r="D900" s="2">
        <v>1093.1500000000001</v>
      </c>
      <c r="E900" t="s">
        <v>4694</v>
      </c>
      <c r="F900" s="2">
        <v>447.05</v>
      </c>
    </row>
    <row r="901" spans="1:6" x14ac:dyDescent="0.35">
      <c r="A901" t="s">
        <v>5594</v>
      </c>
      <c r="B901" t="s">
        <v>1892</v>
      </c>
      <c r="C901" s="1">
        <v>45204</v>
      </c>
      <c r="D901" s="2">
        <v>99.41</v>
      </c>
      <c r="E901" t="s">
        <v>4694</v>
      </c>
      <c r="F901" s="2">
        <v>48.91</v>
      </c>
    </row>
    <row r="902" spans="1:6" x14ac:dyDescent="0.35">
      <c r="A902" t="s">
        <v>5595</v>
      </c>
      <c r="B902" t="s">
        <v>1893</v>
      </c>
      <c r="C902" s="1">
        <v>45512</v>
      </c>
      <c r="D902" s="2">
        <v>476.51</v>
      </c>
      <c r="E902" t="s">
        <v>4694</v>
      </c>
      <c r="F902" s="2">
        <v>62.39</v>
      </c>
    </row>
    <row r="903" spans="1:6" x14ac:dyDescent="0.35">
      <c r="A903" t="s">
        <v>5596</v>
      </c>
      <c r="B903" t="s">
        <v>1894</v>
      </c>
      <c r="C903" s="1">
        <v>45634</v>
      </c>
      <c r="D903" s="2">
        <v>38.159999999999997</v>
      </c>
      <c r="E903" t="s">
        <v>4694</v>
      </c>
      <c r="F903" s="2">
        <v>7.04</v>
      </c>
    </row>
    <row r="904" spans="1:6" x14ac:dyDescent="0.35">
      <c r="A904" t="s">
        <v>5597</v>
      </c>
      <c r="B904" t="s">
        <v>1897</v>
      </c>
      <c r="C904" s="1">
        <v>45537</v>
      </c>
      <c r="D904" s="2">
        <v>120.8</v>
      </c>
      <c r="E904" t="s">
        <v>4697</v>
      </c>
      <c r="F904" s="2">
        <v>67.38</v>
      </c>
    </row>
    <row r="905" spans="1:6" x14ac:dyDescent="0.35">
      <c r="A905" t="s">
        <v>5598</v>
      </c>
      <c r="B905" t="s">
        <v>1899</v>
      </c>
      <c r="C905" s="1">
        <v>45229</v>
      </c>
      <c r="D905" s="2">
        <v>1221.8</v>
      </c>
      <c r="E905" t="s">
        <v>4694</v>
      </c>
      <c r="F905" s="2">
        <v>189.43</v>
      </c>
    </row>
    <row r="906" spans="1:6" x14ac:dyDescent="0.35">
      <c r="A906" t="s">
        <v>5599</v>
      </c>
      <c r="B906" t="s">
        <v>1901</v>
      </c>
      <c r="C906" s="1">
        <v>45411</v>
      </c>
      <c r="D906" s="2">
        <v>5688.74</v>
      </c>
      <c r="E906" t="s">
        <v>4694</v>
      </c>
      <c r="F906" s="2">
        <v>614.16999999999996</v>
      </c>
    </row>
    <row r="907" spans="1:6" x14ac:dyDescent="0.35">
      <c r="A907" t="s">
        <v>5600</v>
      </c>
      <c r="B907" t="s">
        <v>1902</v>
      </c>
      <c r="C907" s="1">
        <v>45359</v>
      </c>
      <c r="D907" s="2">
        <v>4328.8</v>
      </c>
      <c r="E907" t="s">
        <v>4694</v>
      </c>
      <c r="F907" s="2">
        <v>1199.68</v>
      </c>
    </row>
    <row r="908" spans="1:6" x14ac:dyDescent="0.35">
      <c r="A908" t="s">
        <v>5601</v>
      </c>
      <c r="B908" t="s">
        <v>1903</v>
      </c>
      <c r="C908" s="1">
        <v>45255</v>
      </c>
      <c r="D908" s="2">
        <v>134.55000000000001</v>
      </c>
      <c r="E908" t="s">
        <v>4694</v>
      </c>
      <c r="F908" s="2">
        <v>31.48</v>
      </c>
    </row>
    <row r="909" spans="1:6" x14ac:dyDescent="0.35">
      <c r="A909" t="s">
        <v>5602</v>
      </c>
      <c r="B909" t="s">
        <v>1904</v>
      </c>
      <c r="C909" s="1">
        <v>45519</v>
      </c>
      <c r="D909" s="2">
        <v>3431.59</v>
      </c>
      <c r="E909" t="s">
        <v>4694</v>
      </c>
      <c r="F909" s="2">
        <v>1616.19</v>
      </c>
    </row>
    <row r="910" spans="1:6" x14ac:dyDescent="0.35">
      <c r="A910" t="s">
        <v>5603</v>
      </c>
      <c r="B910" t="s">
        <v>1906</v>
      </c>
      <c r="C910" s="1">
        <v>45400</v>
      </c>
      <c r="D910" s="2">
        <v>131.36000000000001</v>
      </c>
      <c r="E910" t="s">
        <v>4694</v>
      </c>
      <c r="F910" s="2">
        <v>16.59</v>
      </c>
    </row>
    <row r="911" spans="1:6" x14ac:dyDescent="0.35">
      <c r="A911" t="s">
        <v>5604</v>
      </c>
      <c r="B911" t="s">
        <v>1907</v>
      </c>
      <c r="C911" s="1">
        <v>45163</v>
      </c>
      <c r="D911" s="2">
        <v>103.19</v>
      </c>
      <c r="E911" t="s">
        <v>4694</v>
      </c>
      <c r="F911" s="2">
        <v>55.44</v>
      </c>
    </row>
    <row r="912" spans="1:6" x14ac:dyDescent="0.35">
      <c r="A912" t="s">
        <v>5605</v>
      </c>
      <c r="B912" t="s">
        <v>1908</v>
      </c>
      <c r="C912" s="1">
        <v>45545</v>
      </c>
      <c r="D912" s="2">
        <v>338.8</v>
      </c>
      <c r="E912" t="s">
        <v>4694</v>
      </c>
      <c r="F912" s="2">
        <v>160.46</v>
      </c>
    </row>
    <row r="913" spans="1:6" x14ac:dyDescent="0.35">
      <c r="A913" t="s">
        <v>5606</v>
      </c>
      <c r="B913" t="s">
        <v>1909</v>
      </c>
      <c r="C913" s="1">
        <v>45661</v>
      </c>
      <c r="D913" s="2">
        <v>747.03</v>
      </c>
      <c r="E913" t="s">
        <v>4694</v>
      </c>
      <c r="F913" s="2">
        <v>96.16</v>
      </c>
    </row>
    <row r="914" spans="1:6" x14ac:dyDescent="0.35">
      <c r="A914" t="s">
        <v>5607</v>
      </c>
      <c r="B914" t="s">
        <v>1910</v>
      </c>
      <c r="C914" s="1">
        <v>45244</v>
      </c>
      <c r="D914" s="2">
        <v>2945.69</v>
      </c>
      <c r="E914" t="s">
        <v>4694</v>
      </c>
      <c r="F914" s="2">
        <v>711.37</v>
      </c>
    </row>
    <row r="915" spans="1:6" x14ac:dyDescent="0.35">
      <c r="A915" t="s">
        <v>5608</v>
      </c>
      <c r="B915" t="s">
        <v>1911</v>
      </c>
      <c r="C915" s="1">
        <v>45186</v>
      </c>
      <c r="D915" s="2">
        <v>1136.01</v>
      </c>
      <c r="E915" t="s">
        <v>4697</v>
      </c>
      <c r="F915" s="2">
        <v>654.13</v>
      </c>
    </row>
    <row r="916" spans="1:6" x14ac:dyDescent="0.35">
      <c r="A916" t="s">
        <v>5609</v>
      </c>
      <c r="B916" t="s">
        <v>1915</v>
      </c>
      <c r="C916" s="1">
        <v>45463</v>
      </c>
      <c r="D916" s="2">
        <v>577.66999999999996</v>
      </c>
      <c r="E916" t="s">
        <v>4694</v>
      </c>
      <c r="F916" s="2">
        <v>288.92</v>
      </c>
    </row>
    <row r="917" spans="1:6" x14ac:dyDescent="0.35">
      <c r="A917" t="s">
        <v>5610</v>
      </c>
      <c r="B917" t="s">
        <v>1916</v>
      </c>
      <c r="C917" s="1">
        <v>45387</v>
      </c>
      <c r="D917" s="2">
        <v>5798.39</v>
      </c>
      <c r="E917" t="s">
        <v>4694</v>
      </c>
      <c r="F917" s="2">
        <v>1619.33</v>
      </c>
    </row>
    <row r="918" spans="1:6" x14ac:dyDescent="0.35">
      <c r="A918" t="s">
        <v>5611</v>
      </c>
      <c r="B918" t="s">
        <v>1917</v>
      </c>
      <c r="C918" s="1">
        <v>45426</v>
      </c>
      <c r="D918" s="2">
        <v>83.14</v>
      </c>
      <c r="E918" t="s">
        <v>4697</v>
      </c>
      <c r="F918" s="2">
        <v>26.64</v>
      </c>
    </row>
    <row r="919" spans="1:6" x14ac:dyDescent="0.35">
      <c r="A919" t="s">
        <v>5612</v>
      </c>
      <c r="B919" t="s">
        <v>1918</v>
      </c>
      <c r="C919" s="1">
        <v>45177</v>
      </c>
      <c r="D919" s="2">
        <v>129.9</v>
      </c>
      <c r="E919" t="s">
        <v>4694</v>
      </c>
      <c r="F919" s="2">
        <v>14.16</v>
      </c>
    </row>
    <row r="920" spans="1:6" x14ac:dyDescent="0.35">
      <c r="A920" t="s">
        <v>5613</v>
      </c>
      <c r="B920" t="s">
        <v>1919</v>
      </c>
      <c r="C920" s="1">
        <v>45583</v>
      </c>
      <c r="D920" s="2">
        <v>342.25</v>
      </c>
      <c r="E920" t="s">
        <v>4694</v>
      </c>
      <c r="F920" s="2">
        <v>81.25</v>
      </c>
    </row>
    <row r="921" spans="1:6" x14ac:dyDescent="0.35">
      <c r="A921" t="s">
        <v>5614</v>
      </c>
      <c r="B921" t="s">
        <v>1921</v>
      </c>
      <c r="C921" s="1">
        <v>45663</v>
      </c>
      <c r="D921" s="2">
        <v>307.93</v>
      </c>
      <c r="E921" t="s">
        <v>4694</v>
      </c>
      <c r="F921" s="2">
        <v>32.79</v>
      </c>
    </row>
    <row r="922" spans="1:6" x14ac:dyDescent="0.35">
      <c r="A922" t="s">
        <v>5615</v>
      </c>
      <c r="B922" t="s">
        <v>1926</v>
      </c>
      <c r="C922" s="1">
        <v>45636</v>
      </c>
      <c r="D922" s="2">
        <v>404.05</v>
      </c>
      <c r="E922" t="s">
        <v>4694</v>
      </c>
      <c r="F922" s="2">
        <v>23.25</v>
      </c>
    </row>
    <row r="923" spans="1:6" x14ac:dyDescent="0.35">
      <c r="A923" t="s">
        <v>5616</v>
      </c>
      <c r="B923" t="s">
        <v>1927</v>
      </c>
      <c r="C923" s="1">
        <v>45458</v>
      </c>
      <c r="D923" s="2">
        <v>6115.3</v>
      </c>
      <c r="E923" t="s">
        <v>4694</v>
      </c>
      <c r="F923" s="2">
        <v>1197.1500000000001</v>
      </c>
    </row>
    <row r="924" spans="1:6" x14ac:dyDescent="0.35">
      <c r="A924" t="s">
        <v>5617</v>
      </c>
      <c r="B924" t="s">
        <v>1928</v>
      </c>
      <c r="C924" s="1">
        <v>45546</v>
      </c>
      <c r="D924" s="2">
        <v>420.65</v>
      </c>
      <c r="E924" t="s">
        <v>4694</v>
      </c>
      <c r="F924" s="2">
        <v>147.88</v>
      </c>
    </row>
    <row r="925" spans="1:6" x14ac:dyDescent="0.35">
      <c r="A925" t="s">
        <v>5618</v>
      </c>
      <c r="B925" t="s">
        <v>1929</v>
      </c>
      <c r="C925" s="1">
        <v>45636</v>
      </c>
      <c r="D925" s="2">
        <v>312.14</v>
      </c>
      <c r="E925" t="s">
        <v>4694</v>
      </c>
      <c r="F925" s="2">
        <v>58.33</v>
      </c>
    </row>
    <row r="926" spans="1:6" x14ac:dyDescent="0.35">
      <c r="A926" t="s">
        <v>5619</v>
      </c>
      <c r="B926" t="s">
        <v>1930</v>
      </c>
      <c r="C926" s="1">
        <v>45230</v>
      </c>
      <c r="D926" s="2">
        <v>282.56</v>
      </c>
      <c r="E926" t="s">
        <v>4694</v>
      </c>
      <c r="F926" s="2">
        <v>72.86</v>
      </c>
    </row>
    <row r="927" spans="1:6" x14ac:dyDescent="0.35">
      <c r="A927" t="s">
        <v>5620</v>
      </c>
      <c r="B927" t="s">
        <v>1931</v>
      </c>
      <c r="C927" s="1">
        <v>45544</v>
      </c>
      <c r="D927" s="2">
        <v>505.78</v>
      </c>
      <c r="E927" t="s">
        <v>4694</v>
      </c>
      <c r="F927" s="2">
        <v>174.44</v>
      </c>
    </row>
    <row r="928" spans="1:6" x14ac:dyDescent="0.35">
      <c r="A928" t="s">
        <v>5621</v>
      </c>
      <c r="B928" t="s">
        <v>1932</v>
      </c>
      <c r="C928" s="1">
        <v>45211</v>
      </c>
      <c r="D928" s="2">
        <v>143.78</v>
      </c>
      <c r="E928" t="s">
        <v>4694</v>
      </c>
      <c r="F928" s="2">
        <v>75.010000000000005</v>
      </c>
    </row>
    <row r="929" spans="1:6" x14ac:dyDescent="0.35">
      <c r="A929" t="s">
        <v>5622</v>
      </c>
      <c r="B929" t="s">
        <v>1935</v>
      </c>
      <c r="C929" s="1">
        <v>45666</v>
      </c>
      <c r="D929" s="2">
        <v>95.72</v>
      </c>
      <c r="E929" t="s">
        <v>4694</v>
      </c>
      <c r="F929" s="2">
        <v>54.1</v>
      </c>
    </row>
    <row r="930" spans="1:6" x14ac:dyDescent="0.35">
      <c r="A930" t="s">
        <v>5623</v>
      </c>
      <c r="B930" t="s">
        <v>1936</v>
      </c>
      <c r="C930" s="1">
        <v>45029</v>
      </c>
      <c r="D930" s="2">
        <v>933.36</v>
      </c>
      <c r="E930" t="s">
        <v>4694</v>
      </c>
      <c r="F930" s="2">
        <v>450.44</v>
      </c>
    </row>
    <row r="931" spans="1:6" x14ac:dyDescent="0.35">
      <c r="A931" t="s">
        <v>5624</v>
      </c>
      <c r="B931" t="s">
        <v>1937</v>
      </c>
      <c r="C931" s="1">
        <v>45415</v>
      </c>
      <c r="D931" s="2">
        <v>558.34</v>
      </c>
      <c r="E931" t="s">
        <v>4694</v>
      </c>
      <c r="F931" s="2">
        <v>231.31</v>
      </c>
    </row>
    <row r="932" spans="1:6" x14ac:dyDescent="0.35">
      <c r="A932" t="s">
        <v>5625</v>
      </c>
      <c r="B932" t="s">
        <v>1938</v>
      </c>
      <c r="C932" s="1">
        <v>45278</v>
      </c>
      <c r="D932" s="2">
        <v>1683.92</v>
      </c>
      <c r="E932" t="s">
        <v>4694</v>
      </c>
      <c r="F932" s="2">
        <v>696.62</v>
      </c>
    </row>
    <row r="933" spans="1:6" x14ac:dyDescent="0.35">
      <c r="A933" t="s">
        <v>5626</v>
      </c>
      <c r="B933" t="s">
        <v>1940</v>
      </c>
      <c r="C933" s="1">
        <v>45318</v>
      </c>
      <c r="D933" s="2">
        <v>1105.56</v>
      </c>
      <c r="E933" t="s">
        <v>4694</v>
      </c>
      <c r="F933" s="2">
        <v>524.05999999999995</v>
      </c>
    </row>
    <row r="934" spans="1:6" x14ac:dyDescent="0.35">
      <c r="A934" t="s">
        <v>5627</v>
      </c>
      <c r="B934" t="s">
        <v>1941</v>
      </c>
      <c r="C934" s="1">
        <v>45556</v>
      </c>
      <c r="D934" s="2">
        <v>329.72</v>
      </c>
      <c r="E934" t="s">
        <v>4694</v>
      </c>
      <c r="F934" s="2">
        <v>61.1</v>
      </c>
    </row>
    <row r="935" spans="1:6" x14ac:dyDescent="0.35">
      <c r="A935" t="s">
        <v>5628</v>
      </c>
      <c r="B935" t="s">
        <v>1944</v>
      </c>
      <c r="C935" s="1">
        <v>45273</v>
      </c>
      <c r="D935" s="2">
        <v>251.42</v>
      </c>
      <c r="E935" t="s">
        <v>4694</v>
      </c>
      <c r="F935" s="2">
        <v>36.549999999999997</v>
      </c>
    </row>
    <row r="936" spans="1:6" x14ac:dyDescent="0.35">
      <c r="A936" t="s">
        <v>5629</v>
      </c>
      <c r="B936" t="s">
        <v>1945</v>
      </c>
      <c r="C936" s="1">
        <v>45138</v>
      </c>
      <c r="D936" s="2">
        <v>5705.06</v>
      </c>
      <c r="E936" t="s">
        <v>4694</v>
      </c>
      <c r="F936" s="2">
        <v>323.14</v>
      </c>
    </row>
    <row r="937" spans="1:6" x14ac:dyDescent="0.35">
      <c r="A937" t="s">
        <v>5630</v>
      </c>
      <c r="B937" t="s">
        <v>1946</v>
      </c>
      <c r="C937" s="1">
        <v>45366</v>
      </c>
      <c r="D937" s="2">
        <v>3615.17</v>
      </c>
      <c r="E937" t="s">
        <v>4694</v>
      </c>
      <c r="F937" s="2">
        <v>1201.05</v>
      </c>
    </row>
    <row r="938" spans="1:6" x14ac:dyDescent="0.35">
      <c r="A938" t="s">
        <v>5631</v>
      </c>
      <c r="B938" t="s">
        <v>1947</v>
      </c>
      <c r="C938" s="1">
        <v>45214</v>
      </c>
      <c r="D938" s="2">
        <v>239.56</v>
      </c>
      <c r="E938" t="s">
        <v>4694</v>
      </c>
      <c r="F938" s="2">
        <v>39.39</v>
      </c>
    </row>
    <row r="939" spans="1:6" x14ac:dyDescent="0.35">
      <c r="A939" t="s">
        <v>5632</v>
      </c>
      <c r="B939" t="s">
        <v>1948</v>
      </c>
      <c r="C939" s="1">
        <v>45586</v>
      </c>
      <c r="D939" s="2">
        <v>4172.03</v>
      </c>
      <c r="E939" t="s">
        <v>4694</v>
      </c>
      <c r="F939" s="2">
        <v>563.61</v>
      </c>
    </row>
    <row r="940" spans="1:6" x14ac:dyDescent="0.35">
      <c r="A940" t="s">
        <v>5633</v>
      </c>
      <c r="B940" t="s">
        <v>1949</v>
      </c>
      <c r="C940" s="1">
        <v>45539</v>
      </c>
      <c r="D940" s="2">
        <v>741.07</v>
      </c>
      <c r="E940" t="s">
        <v>4697</v>
      </c>
      <c r="F940" s="2">
        <v>105.51</v>
      </c>
    </row>
    <row r="941" spans="1:6" x14ac:dyDescent="0.35">
      <c r="A941" t="s">
        <v>5634</v>
      </c>
      <c r="B941" t="s">
        <v>1950</v>
      </c>
      <c r="C941" s="1">
        <v>45063</v>
      </c>
      <c r="D941" s="2">
        <v>350.94</v>
      </c>
      <c r="E941" t="s">
        <v>4694</v>
      </c>
      <c r="F941" s="2">
        <v>142.93</v>
      </c>
    </row>
    <row r="942" spans="1:6" x14ac:dyDescent="0.35">
      <c r="A942" t="s">
        <v>5635</v>
      </c>
      <c r="B942" t="s">
        <v>1951</v>
      </c>
      <c r="C942" s="1">
        <v>45321</v>
      </c>
      <c r="D942" s="2">
        <v>39.76</v>
      </c>
      <c r="E942" t="s">
        <v>4694</v>
      </c>
      <c r="F942" s="2">
        <v>5.29</v>
      </c>
    </row>
    <row r="943" spans="1:6" x14ac:dyDescent="0.35">
      <c r="A943" t="s">
        <v>5636</v>
      </c>
      <c r="B943" t="s">
        <v>1952</v>
      </c>
      <c r="C943" s="1">
        <v>45232</v>
      </c>
      <c r="D943" s="2">
        <v>84.23</v>
      </c>
      <c r="E943" t="s">
        <v>4697</v>
      </c>
      <c r="F943" s="2">
        <v>14.45</v>
      </c>
    </row>
    <row r="944" spans="1:6" x14ac:dyDescent="0.35">
      <c r="A944" t="s">
        <v>5637</v>
      </c>
      <c r="B944" t="s">
        <v>1953</v>
      </c>
      <c r="C944" s="1">
        <v>45592</v>
      </c>
      <c r="D944" s="2">
        <v>160.22999999999999</v>
      </c>
      <c r="E944" t="s">
        <v>4694</v>
      </c>
      <c r="F944" s="2">
        <v>84.72</v>
      </c>
    </row>
    <row r="945" spans="1:6" x14ac:dyDescent="0.35">
      <c r="A945" t="s">
        <v>5638</v>
      </c>
      <c r="B945" t="s">
        <v>1954</v>
      </c>
      <c r="C945" s="1">
        <v>45201</v>
      </c>
      <c r="D945" s="2">
        <v>6759.36</v>
      </c>
      <c r="E945" t="s">
        <v>4694</v>
      </c>
      <c r="F945" s="2">
        <v>1211.24</v>
      </c>
    </row>
    <row r="946" spans="1:6" x14ac:dyDescent="0.35">
      <c r="A946" t="s">
        <v>5639</v>
      </c>
      <c r="B946" t="s">
        <v>1955</v>
      </c>
      <c r="C946" s="1">
        <v>45414</v>
      </c>
      <c r="D946" s="2">
        <v>142.91999999999999</v>
      </c>
      <c r="E946" t="s">
        <v>4694</v>
      </c>
      <c r="F946" s="2">
        <v>29.91</v>
      </c>
    </row>
    <row r="947" spans="1:6" x14ac:dyDescent="0.35">
      <c r="A947" t="s">
        <v>5640</v>
      </c>
      <c r="B947" t="s">
        <v>1957</v>
      </c>
      <c r="C947" s="1">
        <v>45466</v>
      </c>
      <c r="D947" s="2">
        <v>244.99</v>
      </c>
      <c r="E947" t="s">
        <v>4694</v>
      </c>
      <c r="F947" s="2">
        <v>34.619999999999997</v>
      </c>
    </row>
    <row r="948" spans="1:6" x14ac:dyDescent="0.35">
      <c r="A948" t="s">
        <v>5641</v>
      </c>
      <c r="B948" t="s">
        <v>1959</v>
      </c>
      <c r="C948" s="1">
        <v>45310</v>
      </c>
      <c r="D948" s="2">
        <v>1483.77</v>
      </c>
      <c r="E948" t="s">
        <v>4694</v>
      </c>
      <c r="F948" s="2">
        <v>282.13</v>
      </c>
    </row>
    <row r="949" spans="1:6" x14ac:dyDescent="0.35">
      <c r="A949" t="s">
        <v>5642</v>
      </c>
      <c r="B949" t="s">
        <v>1960</v>
      </c>
      <c r="C949" s="1">
        <v>44960</v>
      </c>
      <c r="D949" s="2">
        <v>128.33000000000001</v>
      </c>
      <c r="E949" t="s">
        <v>4694</v>
      </c>
      <c r="F949" s="2">
        <v>64.36</v>
      </c>
    </row>
    <row r="950" spans="1:6" x14ac:dyDescent="0.35">
      <c r="A950" t="s">
        <v>5643</v>
      </c>
      <c r="B950" t="s">
        <v>1961</v>
      </c>
      <c r="C950" s="1">
        <v>45438</v>
      </c>
      <c r="D950" s="2">
        <v>2037.33</v>
      </c>
      <c r="E950" t="s">
        <v>4694</v>
      </c>
      <c r="F950" s="2">
        <v>93.16</v>
      </c>
    </row>
    <row r="951" spans="1:6" x14ac:dyDescent="0.35">
      <c r="A951" t="s">
        <v>5644</v>
      </c>
      <c r="B951" t="s">
        <v>1962</v>
      </c>
      <c r="C951" s="1">
        <v>45305</v>
      </c>
      <c r="D951" s="2">
        <v>560.44000000000005</v>
      </c>
      <c r="E951" t="s">
        <v>4694</v>
      </c>
      <c r="F951" s="2">
        <v>102.64</v>
      </c>
    </row>
    <row r="952" spans="1:6" x14ac:dyDescent="0.35">
      <c r="A952" t="s">
        <v>5645</v>
      </c>
      <c r="B952" t="s">
        <v>1963</v>
      </c>
      <c r="C952" s="1">
        <v>45451</v>
      </c>
      <c r="D952" s="2">
        <v>127.01</v>
      </c>
      <c r="E952" t="s">
        <v>4697</v>
      </c>
      <c r="F952" s="2">
        <v>32.590000000000003</v>
      </c>
    </row>
    <row r="953" spans="1:6" x14ac:dyDescent="0.35">
      <c r="A953" t="s">
        <v>5646</v>
      </c>
      <c r="B953" t="s">
        <v>1964</v>
      </c>
      <c r="C953" s="1">
        <v>45566</v>
      </c>
      <c r="D953" s="2">
        <v>118.18</v>
      </c>
      <c r="E953" t="s">
        <v>4694</v>
      </c>
      <c r="F953" s="2">
        <v>29.24</v>
      </c>
    </row>
    <row r="954" spans="1:6" x14ac:dyDescent="0.35">
      <c r="A954" t="s">
        <v>5647</v>
      </c>
      <c r="B954" t="s">
        <v>1965</v>
      </c>
      <c r="C954" s="1">
        <v>45374</v>
      </c>
      <c r="D954" s="2">
        <v>79.86</v>
      </c>
      <c r="E954" t="s">
        <v>4694</v>
      </c>
      <c r="F954" s="2">
        <v>35.94</v>
      </c>
    </row>
    <row r="955" spans="1:6" x14ac:dyDescent="0.35">
      <c r="A955" t="s">
        <v>5648</v>
      </c>
      <c r="B955" t="s">
        <v>1966</v>
      </c>
      <c r="C955" s="1">
        <v>44993</v>
      </c>
      <c r="D955" s="2">
        <v>1297.44</v>
      </c>
      <c r="E955" t="s">
        <v>4694</v>
      </c>
      <c r="F955" s="2">
        <v>193.32</v>
      </c>
    </row>
    <row r="956" spans="1:6" x14ac:dyDescent="0.35">
      <c r="A956" t="s">
        <v>5649</v>
      </c>
      <c r="B956" t="s">
        <v>1967</v>
      </c>
      <c r="C956" s="1">
        <v>45556</v>
      </c>
      <c r="D956" s="2">
        <v>353.91</v>
      </c>
      <c r="E956" t="s">
        <v>4694</v>
      </c>
      <c r="F956" s="2">
        <v>20.49</v>
      </c>
    </row>
    <row r="957" spans="1:6" x14ac:dyDescent="0.35">
      <c r="A957" t="s">
        <v>5650</v>
      </c>
      <c r="B957" t="s">
        <v>1968</v>
      </c>
      <c r="C957" s="1">
        <v>45136</v>
      </c>
      <c r="D957" s="2">
        <v>216.38</v>
      </c>
      <c r="E957" t="s">
        <v>4694</v>
      </c>
      <c r="F957" s="2">
        <v>111.96</v>
      </c>
    </row>
    <row r="958" spans="1:6" x14ac:dyDescent="0.35">
      <c r="A958" t="s">
        <v>5651</v>
      </c>
      <c r="B958" t="s">
        <v>1969</v>
      </c>
      <c r="C958" s="1">
        <v>45559</v>
      </c>
      <c r="D958" s="2">
        <v>104.36</v>
      </c>
      <c r="E958" t="s">
        <v>4694</v>
      </c>
      <c r="F958" s="2">
        <v>39.57</v>
      </c>
    </row>
    <row r="959" spans="1:6" x14ac:dyDescent="0.35">
      <c r="A959" t="s">
        <v>5652</v>
      </c>
      <c r="B959" t="s">
        <v>1970</v>
      </c>
      <c r="C959" s="1">
        <v>45549</v>
      </c>
      <c r="D959" s="2">
        <v>346.43</v>
      </c>
      <c r="E959" t="s">
        <v>4694</v>
      </c>
      <c r="F959" s="2">
        <v>209.42</v>
      </c>
    </row>
    <row r="960" spans="1:6" x14ac:dyDescent="0.35">
      <c r="A960" t="s">
        <v>5653</v>
      </c>
      <c r="B960" t="s">
        <v>1971</v>
      </c>
      <c r="C960" s="1">
        <v>45058</v>
      </c>
      <c r="D960" s="2">
        <v>106.27</v>
      </c>
      <c r="E960" t="s">
        <v>4694</v>
      </c>
      <c r="F960" s="2">
        <v>51.02</v>
      </c>
    </row>
    <row r="961" spans="1:6" x14ac:dyDescent="0.35">
      <c r="A961" t="s">
        <v>5654</v>
      </c>
      <c r="B961" t="s">
        <v>1972</v>
      </c>
      <c r="C961" s="1">
        <v>45061</v>
      </c>
      <c r="D961" s="2">
        <v>386.47</v>
      </c>
      <c r="E961" t="s">
        <v>4694</v>
      </c>
      <c r="F961" s="2">
        <v>218.49</v>
      </c>
    </row>
    <row r="962" spans="1:6" x14ac:dyDescent="0.35">
      <c r="A962" t="s">
        <v>5655</v>
      </c>
      <c r="B962" t="s">
        <v>1973</v>
      </c>
      <c r="C962" s="1">
        <v>45007</v>
      </c>
      <c r="D962" s="2">
        <v>325.43</v>
      </c>
      <c r="E962" t="s">
        <v>4694</v>
      </c>
      <c r="F962" s="2">
        <v>123.77</v>
      </c>
    </row>
    <row r="963" spans="1:6" x14ac:dyDescent="0.35">
      <c r="A963" t="s">
        <v>5656</v>
      </c>
      <c r="B963" t="s">
        <v>1974</v>
      </c>
      <c r="C963" s="1">
        <v>45095</v>
      </c>
      <c r="D963" s="2">
        <v>411.84</v>
      </c>
      <c r="E963" t="s">
        <v>4694</v>
      </c>
      <c r="F963" s="2">
        <v>84.27</v>
      </c>
    </row>
    <row r="964" spans="1:6" x14ac:dyDescent="0.35">
      <c r="A964" t="s">
        <v>5657</v>
      </c>
      <c r="B964" t="s">
        <v>1976</v>
      </c>
      <c r="C964" s="1">
        <v>45017</v>
      </c>
      <c r="D964" s="2">
        <v>2625.07</v>
      </c>
      <c r="E964" t="s">
        <v>4694</v>
      </c>
      <c r="F964" s="2">
        <v>1423.26</v>
      </c>
    </row>
    <row r="965" spans="1:6" x14ac:dyDescent="0.35">
      <c r="A965" t="s">
        <v>5658</v>
      </c>
      <c r="B965" t="s">
        <v>1977</v>
      </c>
      <c r="C965" s="1">
        <v>45492</v>
      </c>
      <c r="D965" s="2">
        <v>237.67</v>
      </c>
      <c r="E965" t="s">
        <v>4694</v>
      </c>
      <c r="F965" s="2">
        <v>32.369999999999997</v>
      </c>
    </row>
    <row r="966" spans="1:6" x14ac:dyDescent="0.35">
      <c r="A966" t="s">
        <v>5659</v>
      </c>
      <c r="B966" t="s">
        <v>1978</v>
      </c>
      <c r="C966" s="1">
        <v>45556</v>
      </c>
      <c r="D966" s="2">
        <v>150.09</v>
      </c>
      <c r="E966" t="s">
        <v>4694</v>
      </c>
      <c r="F966" s="2">
        <v>16.21</v>
      </c>
    </row>
    <row r="967" spans="1:6" x14ac:dyDescent="0.35">
      <c r="A967" t="s">
        <v>5660</v>
      </c>
      <c r="B967" t="s">
        <v>1979</v>
      </c>
      <c r="C967" s="1">
        <v>45481</v>
      </c>
      <c r="D967" s="2">
        <v>966.42</v>
      </c>
      <c r="E967" t="s">
        <v>4694</v>
      </c>
      <c r="F967" s="2">
        <v>132.1</v>
      </c>
    </row>
    <row r="968" spans="1:6" x14ac:dyDescent="0.35">
      <c r="A968" t="s">
        <v>5661</v>
      </c>
      <c r="B968" t="s">
        <v>1980</v>
      </c>
      <c r="C968" s="1">
        <v>45110</v>
      </c>
      <c r="D968" s="2">
        <v>552.94000000000005</v>
      </c>
      <c r="E968" t="s">
        <v>4694</v>
      </c>
      <c r="F968" s="2">
        <v>47.53</v>
      </c>
    </row>
    <row r="969" spans="1:6" x14ac:dyDescent="0.35">
      <c r="A969" t="s">
        <v>5662</v>
      </c>
      <c r="B969" t="s">
        <v>1981</v>
      </c>
      <c r="C969" s="1">
        <v>45227</v>
      </c>
      <c r="D969" s="2">
        <v>36.380000000000003</v>
      </c>
      <c r="E969" t="s">
        <v>4694</v>
      </c>
      <c r="F969" s="2">
        <v>11.87</v>
      </c>
    </row>
    <row r="970" spans="1:6" x14ac:dyDescent="0.35">
      <c r="A970" t="s">
        <v>5663</v>
      </c>
      <c r="B970" t="s">
        <v>1982</v>
      </c>
      <c r="C970" s="1">
        <v>45118</v>
      </c>
      <c r="D970" s="2">
        <v>126.48</v>
      </c>
      <c r="E970" t="s">
        <v>4694</v>
      </c>
      <c r="F970" s="2">
        <v>42.73</v>
      </c>
    </row>
    <row r="971" spans="1:6" x14ac:dyDescent="0.35">
      <c r="A971" t="s">
        <v>5664</v>
      </c>
      <c r="B971" t="s">
        <v>1983</v>
      </c>
      <c r="C971" s="1">
        <v>45680</v>
      </c>
      <c r="D971" s="2">
        <v>358.15</v>
      </c>
      <c r="E971" t="s">
        <v>4694</v>
      </c>
      <c r="F971" s="2">
        <v>44.14</v>
      </c>
    </row>
    <row r="972" spans="1:6" x14ac:dyDescent="0.35">
      <c r="A972" t="s">
        <v>5665</v>
      </c>
      <c r="B972" t="s">
        <v>1984</v>
      </c>
      <c r="C972" s="1">
        <v>45124</v>
      </c>
      <c r="D972" s="2">
        <v>200.85</v>
      </c>
      <c r="E972" t="s">
        <v>4694</v>
      </c>
      <c r="F972" s="2">
        <v>27.31</v>
      </c>
    </row>
    <row r="973" spans="1:6" x14ac:dyDescent="0.35">
      <c r="A973" t="s">
        <v>5666</v>
      </c>
      <c r="B973" t="s">
        <v>1985</v>
      </c>
      <c r="C973" s="1">
        <v>45281</v>
      </c>
      <c r="D973" s="2">
        <v>4889.8100000000004</v>
      </c>
      <c r="E973" t="s">
        <v>4694</v>
      </c>
      <c r="F973" s="2">
        <v>1686.64</v>
      </c>
    </row>
    <row r="974" spans="1:6" x14ac:dyDescent="0.35">
      <c r="A974" t="s">
        <v>5667</v>
      </c>
      <c r="B974" t="s">
        <v>1986</v>
      </c>
      <c r="C974" s="1">
        <v>45538</v>
      </c>
      <c r="D974" s="2">
        <v>786.72</v>
      </c>
      <c r="E974" t="s">
        <v>4694</v>
      </c>
      <c r="F974" s="2">
        <v>102.72</v>
      </c>
    </row>
    <row r="975" spans="1:6" x14ac:dyDescent="0.35">
      <c r="A975" t="s">
        <v>5668</v>
      </c>
      <c r="B975" t="s">
        <v>1987</v>
      </c>
      <c r="C975" s="1">
        <v>45399</v>
      </c>
      <c r="D975" s="2">
        <v>252.73</v>
      </c>
      <c r="E975" t="s">
        <v>4694</v>
      </c>
      <c r="F975" s="2">
        <v>117.64</v>
      </c>
    </row>
    <row r="976" spans="1:6" x14ac:dyDescent="0.35">
      <c r="A976" t="s">
        <v>5669</v>
      </c>
      <c r="B976" t="s">
        <v>1988</v>
      </c>
      <c r="C976" s="1">
        <v>45549</v>
      </c>
      <c r="D976" s="2">
        <v>52.84</v>
      </c>
      <c r="E976" t="s">
        <v>4694</v>
      </c>
      <c r="F976" s="2">
        <v>8.32</v>
      </c>
    </row>
    <row r="977" spans="1:6" x14ac:dyDescent="0.35">
      <c r="A977" t="s">
        <v>5670</v>
      </c>
      <c r="B977" t="s">
        <v>1989</v>
      </c>
      <c r="C977" s="1">
        <v>45574</v>
      </c>
      <c r="D977" s="2">
        <v>125.91</v>
      </c>
      <c r="E977" t="s">
        <v>4694</v>
      </c>
      <c r="F977" s="2">
        <v>33.1</v>
      </c>
    </row>
    <row r="978" spans="1:6" x14ac:dyDescent="0.35">
      <c r="A978" t="s">
        <v>5671</v>
      </c>
      <c r="B978" t="s">
        <v>1991</v>
      </c>
      <c r="C978" s="1">
        <v>45293</v>
      </c>
      <c r="D978" s="2">
        <v>4090.31</v>
      </c>
      <c r="E978" t="s">
        <v>4694</v>
      </c>
      <c r="F978" s="2">
        <v>1201.26</v>
      </c>
    </row>
    <row r="979" spans="1:6" x14ac:dyDescent="0.35">
      <c r="A979" t="s">
        <v>5672</v>
      </c>
      <c r="B979" t="s">
        <v>1992</v>
      </c>
      <c r="C979" s="1">
        <v>45424</v>
      </c>
      <c r="D979" s="2">
        <v>4319.66</v>
      </c>
      <c r="E979" t="s">
        <v>4694</v>
      </c>
      <c r="F979" s="2">
        <v>923.02</v>
      </c>
    </row>
    <row r="980" spans="1:6" x14ac:dyDescent="0.35">
      <c r="A980" t="s">
        <v>5673</v>
      </c>
      <c r="B980" t="s">
        <v>1994</v>
      </c>
      <c r="C980" s="1">
        <v>45109</v>
      </c>
      <c r="D980" s="2">
        <v>115.36</v>
      </c>
      <c r="E980" t="s">
        <v>4694</v>
      </c>
      <c r="F980" s="2">
        <v>10.55</v>
      </c>
    </row>
    <row r="981" spans="1:6" x14ac:dyDescent="0.35">
      <c r="A981" t="s">
        <v>5674</v>
      </c>
      <c r="B981" t="s">
        <v>1995</v>
      </c>
      <c r="C981" s="1">
        <v>44952</v>
      </c>
      <c r="D981" s="2">
        <v>165.47</v>
      </c>
      <c r="E981" t="s">
        <v>4694</v>
      </c>
      <c r="F981" s="2">
        <v>30.39</v>
      </c>
    </row>
    <row r="982" spans="1:6" x14ac:dyDescent="0.35">
      <c r="A982" t="s">
        <v>5675</v>
      </c>
      <c r="B982" t="s">
        <v>1997</v>
      </c>
      <c r="C982" s="1">
        <v>45413</v>
      </c>
      <c r="D982" s="2">
        <v>90.34</v>
      </c>
      <c r="E982" t="s">
        <v>4694</v>
      </c>
      <c r="F982" s="2">
        <v>15.2</v>
      </c>
    </row>
    <row r="983" spans="1:6" x14ac:dyDescent="0.35">
      <c r="A983" t="s">
        <v>5676</v>
      </c>
      <c r="B983" t="s">
        <v>1998</v>
      </c>
      <c r="C983" s="1">
        <v>45195</v>
      </c>
      <c r="D983" s="2">
        <v>681.62</v>
      </c>
      <c r="E983" t="s">
        <v>4694</v>
      </c>
      <c r="F983" s="2">
        <v>139.81</v>
      </c>
    </row>
    <row r="984" spans="1:6" x14ac:dyDescent="0.35">
      <c r="A984" t="s">
        <v>5677</v>
      </c>
      <c r="B984" t="s">
        <v>2000</v>
      </c>
      <c r="C984" s="1">
        <v>45504</v>
      </c>
      <c r="D984" s="2">
        <v>81.63</v>
      </c>
      <c r="E984" t="s">
        <v>4694</v>
      </c>
      <c r="F984" s="2">
        <v>30.6</v>
      </c>
    </row>
    <row r="985" spans="1:6" x14ac:dyDescent="0.35">
      <c r="A985" t="s">
        <v>5678</v>
      </c>
      <c r="B985" t="s">
        <v>2001</v>
      </c>
      <c r="C985" s="1">
        <v>45459</v>
      </c>
      <c r="D985" s="2">
        <v>440.21</v>
      </c>
      <c r="E985" t="s">
        <v>4694</v>
      </c>
      <c r="F985" s="2">
        <v>229.88</v>
      </c>
    </row>
    <row r="986" spans="1:6" x14ac:dyDescent="0.35">
      <c r="A986" t="s">
        <v>5679</v>
      </c>
      <c r="B986" t="s">
        <v>2004</v>
      </c>
      <c r="C986" s="1">
        <v>45557</v>
      </c>
      <c r="D986" s="2">
        <v>6081.94</v>
      </c>
      <c r="E986" t="s">
        <v>4694</v>
      </c>
      <c r="F986" s="2">
        <v>1559.28</v>
      </c>
    </row>
    <row r="987" spans="1:6" x14ac:dyDescent="0.35">
      <c r="A987" t="s">
        <v>5680</v>
      </c>
      <c r="B987" t="s">
        <v>2005</v>
      </c>
      <c r="C987" s="1">
        <v>45543</v>
      </c>
      <c r="D987" s="2">
        <v>163.89</v>
      </c>
      <c r="E987" t="s">
        <v>4694</v>
      </c>
      <c r="F987" s="2">
        <v>32.21</v>
      </c>
    </row>
    <row r="988" spans="1:6" x14ac:dyDescent="0.35">
      <c r="A988" t="s">
        <v>5681</v>
      </c>
      <c r="B988" t="s">
        <v>2006</v>
      </c>
      <c r="C988" s="1">
        <v>45267</v>
      </c>
      <c r="D988" s="2">
        <v>744.13</v>
      </c>
      <c r="E988" t="s">
        <v>4694</v>
      </c>
      <c r="F988" s="2">
        <v>167.9</v>
      </c>
    </row>
    <row r="989" spans="1:6" x14ac:dyDescent="0.35">
      <c r="A989" t="s">
        <v>5682</v>
      </c>
      <c r="B989" t="s">
        <v>2007</v>
      </c>
      <c r="C989" s="1">
        <v>45383</v>
      </c>
      <c r="D989" s="2">
        <v>1421.99</v>
      </c>
      <c r="E989" t="s">
        <v>4694</v>
      </c>
      <c r="F989" s="2">
        <v>283.85000000000002</v>
      </c>
    </row>
    <row r="990" spans="1:6" x14ac:dyDescent="0.35">
      <c r="A990" t="s">
        <v>5683</v>
      </c>
      <c r="B990" t="s">
        <v>2008</v>
      </c>
      <c r="C990" s="1">
        <v>45600</v>
      </c>
      <c r="D990" s="2">
        <v>274.18</v>
      </c>
      <c r="E990" t="s">
        <v>4697</v>
      </c>
      <c r="F990" s="2">
        <v>89.01</v>
      </c>
    </row>
    <row r="991" spans="1:6" x14ac:dyDescent="0.35">
      <c r="A991" t="s">
        <v>5684</v>
      </c>
      <c r="B991" t="s">
        <v>2009</v>
      </c>
      <c r="C991" s="1">
        <v>45563</v>
      </c>
      <c r="D991" s="2">
        <v>674.07</v>
      </c>
      <c r="E991" t="s">
        <v>4694</v>
      </c>
      <c r="F991" s="2">
        <v>124.51</v>
      </c>
    </row>
    <row r="992" spans="1:6" x14ac:dyDescent="0.35">
      <c r="A992" t="s">
        <v>5685</v>
      </c>
      <c r="B992" t="s">
        <v>2010</v>
      </c>
      <c r="C992" s="1">
        <v>45617</v>
      </c>
      <c r="D992" s="2">
        <v>1946.21</v>
      </c>
      <c r="E992" t="s">
        <v>4694</v>
      </c>
      <c r="F992" s="2">
        <v>227</v>
      </c>
    </row>
    <row r="993" spans="1:6" x14ac:dyDescent="0.35">
      <c r="A993" t="s">
        <v>5686</v>
      </c>
      <c r="B993" t="s">
        <v>2011</v>
      </c>
      <c r="C993" s="1">
        <v>45566</v>
      </c>
      <c r="D993" s="2">
        <v>1756.66</v>
      </c>
      <c r="E993" t="s">
        <v>4694</v>
      </c>
      <c r="F993" s="2">
        <v>232.43</v>
      </c>
    </row>
    <row r="994" spans="1:6" x14ac:dyDescent="0.35">
      <c r="A994" t="s">
        <v>5687</v>
      </c>
      <c r="B994" t="s">
        <v>2012</v>
      </c>
      <c r="C994" s="1">
        <v>45580</v>
      </c>
      <c r="D994" s="2">
        <v>490.33</v>
      </c>
      <c r="E994" t="s">
        <v>4694</v>
      </c>
      <c r="F994" s="2">
        <v>20.86</v>
      </c>
    </row>
    <row r="995" spans="1:6" x14ac:dyDescent="0.35">
      <c r="A995" t="s">
        <v>5688</v>
      </c>
      <c r="B995" t="s">
        <v>2014</v>
      </c>
      <c r="C995" s="1">
        <v>45560</v>
      </c>
      <c r="D995" s="2">
        <v>189.95</v>
      </c>
      <c r="E995" t="s">
        <v>4694</v>
      </c>
      <c r="F995" s="2">
        <v>36.19</v>
      </c>
    </row>
    <row r="996" spans="1:6" x14ac:dyDescent="0.35">
      <c r="A996" t="s">
        <v>5689</v>
      </c>
      <c r="B996" t="s">
        <v>2016</v>
      </c>
      <c r="C996" s="1">
        <v>44982</v>
      </c>
      <c r="D996" s="2">
        <v>485.33</v>
      </c>
      <c r="E996" t="s">
        <v>4694</v>
      </c>
      <c r="F996" s="2">
        <v>270.51</v>
      </c>
    </row>
    <row r="997" spans="1:6" x14ac:dyDescent="0.35">
      <c r="A997" t="s">
        <v>5690</v>
      </c>
      <c r="B997" t="s">
        <v>2019</v>
      </c>
      <c r="C997" s="1">
        <v>45074</v>
      </c>
      <c r="D997" s="2">
        <v>3439.95</v>
      </c>
      <c r="E997" t="s">
        <v>4694</v>
      </c>
      <c r="F997" s="2">
        <v>1739.26</v>
      </c>
    </row>
    <row r="998" spans="1:6" x14ac:dyDescent="0.35">
      <c r="A998" t="s">
        <v>5691</v>
      </c>
      <c r="B998" t="s">
        <v>2020</v>
      </c>
      <c r="C998" s="1">
        <v>45648</v>
      </c>
      <c r="D998" s="2">
        <v>899.24</v>
      </c>
      <c r="E998" t="s">
        <v>4694</v>
      </c>
      <c r="F998" s="2">
        <v>407.65</v>
      </c>
    </row>
    <row r="999" spans="1:6" x14ac:dyDescent="0.35">
      <c r="A999" t="s">
        <v>5692</v>
      </c>
      <c r="B999" t="s">
        <v>2021</v>
      </c>
      <c r="C999" s="1">
        <v>45068</v>
      </c>
      <c r="D999" s="2">
        <v>2003.58</v>
      </c>
      <c r="E999" t="s">
        <v>4694</v>
      </c>
      <c r="F999" s="2">
        <v>192.61</v>
      </c>
    </row>
    <row r="1000" spans="1:6" x14ac:dyDescent="0.35">
      <c r="A1000" t="s">
        <v>5693</v>
      </c>
      <c r="B1000" t="s">
        <v>2022</v>
      </c>
      <c r="C1000" s="1">
        <v>45051</v>
      </c>
      <c r="D1000" s="2">
        <v>450.87</v>
      </c>
      <c r="E1000" t="s">
        <v>4694</v>
      </c>
      <c r="F1000" s="2">
        <v>108.25</v>
      </c>
    </row>
    <row r="1001" spans="1:6" x14ac:dyDescent="0.35">
      <c r="A1001" t="s">
        <v>5694</v>
      </c>
      <c r="B1001" t="s">
        <v>2023</v>
      </c>
      <c r="C1001" s="1">
        <v>45284</v>
      </c>
      <c r="D1001" s="2">
        <v>143.38999999999999</v>
      </c>
      <c r="E1001" t="s">
        <v>4694</v>
      </c>
      <c r="F1001" s="2">
        <v>25.64</v>
      </c>
    </row>
    <row r="1002" spans="1:6" x14ac:dyDescent="0.35">
      <c r="A1002" t="s">
        <v>5695</v>
      </c>
      <c r="B1002" t="s">
        <v>2024</v>
      </c>
      <c r="C1002" s="1">
        <v>45065</v>
      </c>
      <c r="D1002" s="2">
        <v>40.590000000000003</v>
      </c>
      <c r="E1002" t="s">
        <v>4694</v>
      </c>
      <c r="F1002" s="2">
        <v>11.64</v>
      </c>
    </row>
    <row r="1003" spans="1:6" x14ac:dyDescent="0.35">
      <c r="A1003" t="s">
        <v>5696</v>
      </c>
      <c r="B1003" t="s">
        <v>2025</v>
      </c>
      <c r="C1003" s="1">
        <v>45007</v>
      </c>
      <c r="D1003" s="2">
        <v>749.76</v>
      </c>
      <c r="E1003" t="s">
        <v>4697</v>
      </c>
      <c r="F1003" s="2">
        <v>83.81</v>
      </c>
    </row>
    <row r="1004" spans="1:6" x14ac:dyDescent="0.35">
      <c r="A1004" t="s">
        <v>5697</v>
      </c>
      <c r="B1004" t="s">
        <v>2026</v>
      </c>
      <c r="C1004" s="1">
        <v>45112</v>
      </c>
      <c r="D1004" s="2">
        <v>87.4</v>
      </c>
      <c r="E1004" t="s">
        <v>4694</v>
      </c>
      <c r="F1004" s="2">
        <v>26.38</v>
      </c>
    </row>
    <row r="1005" spans="1:6" x14ac:dyDescent="0.35">
      <c r="A1005" t="s">
        <v>5698</v>
      </c>
      <c r="B1005" t="s">
        <v>2027</v>
      </c>
      <c r="C1005" s="1">
        <v>45345</v>
      </c>
      <c r="D1005" s="2">
        <v>136.05000000000001</v>
      </c>
      <c r="E1005" t="s">
        <v>4694</v>
      </c>
      <c r="F1005" s="2">
        <v>48.65</v>
      </c>
    </row>
    <row r="1006" spans="1:6" x14ac:dyDescent="0.35">
      <c r="A1006" t="s">
        <v>5699</v>
      </c>
      <c r="B1006" t="s">
        <v>2029</v>
      </c>
      <c r="C1006" s="1">
        <v>45247</v>
      </c>
      <c r="D1006" s="2">
        <v>408.87</v>
      </c>
      <c r="E1006" t="s">
        <v>4694</v>
      </c>
      <c r="F1006" s="2">
        <v>117.73</v>
      </c>
    </row>
    <row r="1007" spans="1:6" x14ac:dyDescent="0.35">
      <c r="A1007" t="s">
        <v>5700</v>
      </c>
      <c r="B1007" t="s">
        <v>2031</v>
      </c>
      <c r="C1007" s="1">
        <v>45681</v>
      </c>
      <c r="D1007" s="2">
        <v>473.26</v>
      </c>
      <c r="E1007" t="s">
        <v>4694</v>
      </c>
      <c r="F1007" s="2">
        <v>54.57</v>
      </c>
    </row>
    <row r="1008" spans="1:6" x14ac:dyDescent="0.35">
      <c r="A1008" t="s">
        <v>5701</v>
      </c>
      <c r="B1008" t="s">
        <v>2033</v>
      </c>
      <c r="C1008" s="1">
        <v>45069</v>
      </c>
      <c r="D1008" s="2">
        <v>154.75</v>
      </c>
      <c r="E1008" t="s">
        <v>4694</v>
      </c>
      <c r="F1008" s="2">
        <v>71.180000000000007</v>
      </c>
    </row>
    <row r="1009" spans="1:6" x14ac:dyDescent="0.35">
      <c r="A1009" t="s">
        <v>5702</v>
      </c>
      <c r="B1009" t="s">
        <v>2034</v>
      </c>
      <c r="C1009" s="1">
        <v>45140</v>
      </c>
      <c r="D1009" s="2">
        <v>3218.55</v>
      </c>
      <c r="E1009" t="s">
        <v>4694</v>
      </c>
      <c r="F1009" s="2">
        <v>1857.78</v>
      </c>
    </row>
    <row r="1010" spans="1:6" x14ac:dyDescent="0.35">
      <c r="A1010" t="s">
        <v>5703</v>
      </c>
      <c r="B1010" t="s">
        <v>2035</v>
      </c>
      <c r="C1010" s="1">
        <v>45352</v>
      </c>
      <c r="D1010" s="2">
        <v>165.81</v>
      </c>
      <c r="E1010" t="s">
        <v>4697</v>
      </c>
      <c r="F1010" s="2">
        <v>48.16</v>
      </c>
    </row>
    <row r="1011" spans="1:6" x14ac:dyDescent="0.35">
      <c r="A1011" t="s">
        <v>5704</v>
      </c>
      <c r="B1011" t="s">
        <v>2036</v>
      </c>
      <c r="C1011" s="1">
        <v>45239</v>
      </c>
      <c r="D1011" s="2">
        <v>224.36</v>
      </c>
      <c r="E1011" t="s">
        <v>4694</v>
      </c>
      <c r="F1011" s="2">
        <v>102.55</v>
      </c>
    </row>
    <row r="1012" spans="1:6" x14ac:dyDescent="0.35">
      <c r="A1012" t="s">
        <v>5705</v>
      </c>
      <c r="B1012" t="s">
        <v>2038</v>
      </c>
      <c r="C1012" s="1">
        <v>45534</v>
      </c>
      <c r="D1012" s="2">
        <v>134.74</v>
      </c>
      <c r="E1012" t="s">
        <v>4694</v>
      </c>
      <c r="F1012" s="2">
        <v>11.06</v>
      </c>
    </row>
    <row r="1013" spans="1:6" x14ac:dyDescent="0.35">
      <c r="A1013" t="s">
        <v>5706</v>
      </c>
      <c r="B1013" t="s">
        <v>2040</v>
      </c>
      <c r="C1013" s="1">
        <v>45216</v>
      </c>
      <c r="D1013" s="2">
        <v>434.6</v>
      </c>
      <c r="E1013" t="s">
        <v>4697</v>
      </c>
      <c r="F1013" s="2">
        <v>163.03</v>
      </c>
    </row>
    <row r="1014" spans="1:6" x14ac:dyDescent="0.35">
      <c r="A1014" t="s">
        <v>5707</v>
      </c>
      <c r="B1014" t="s">
        <v>2041</v>
      </c>
      <c r="C1014" s="1">
        <v>45597</v>
      </c>
      <c r="D1014" s="2">
        <v>81.92</v>
      </c>
      <c r="E1014" t="s">
        <v>4694</v>
      </c>
      <c r="F1014" s="2">
        <v>21.84</v>
      </c>
    </row>
    <row r="1015" spans="1:6" x14ac:dyDescent="0.35">
      <c r="A1015" t="s">
        <v>5708</v>
      </c>
      <c r="B1015" t="s">
        <v>2043</v>
      </c>
      <c r="C1015" s="1">
        <v>45072</v>
      </c>
      <c r="D1015" s="2">
        <v>1568</v>
      </c>
      <c r="E1015" t="s">
        <v>4694</v>
      </c>
      <c r="F1015" s="2">
        <v>632.89</v>
      </c>
    </row>
    <row r="1016" spans="1:6" x14ac:dyDescent="0.35">
      <c r="A1016" t="s">
        <v>5709</v>
      </c>
      <c r="B1016" t="s">
        <v>2044</v>
      </c>
      <c r="C1016" s="1">
        <v>45553</v>
      </c>
      <c r="D1016" s="2">
        <v>267.47000000000003</v>
      </c>
      <c r="E1016" t="s">
        <v>4694</v>
      </c>
      <c r="F1016" s="2">
        <v>80.430000000000007</v>
      </c>
    </row>
    <row r="1017" spans="1:6" x14ac:dyDescent="0.35">
      <c r="A1017" t="s">
        <v>5710</v>
      </c>
      <c r="B1017" t="s">
        <v>2049</v>
      </c>
      <c r="C1017" s="1">
        <v>45143</v>
      </c>
      <c r="D1017" s="2">
        <v>1537.71</v>
      </c>
      <c r="E1017" t="s">
        <v>4694</v>
      </c>
      <c r="F1017" s="2">
        <v>707.56</v>
      </c>
    </row>
    <row r="1018" spans="1:6" x14ac:dyDescent="0.35">
      <c r="A1018" t="s">
        <v>5711</v>
      </c>
      <c r="B1018" t="s">
        <v>2051</v>
      </c>
      <c r="C1018" s="1">
        <v>45284</v>
      </c>
      <c r="D1018" s="2">
        <v>945.36</v>
      </c>
      <c r="E1018" t="s">
        <v>4694</v>
      </c>
      <c r="F1018" s="2">
        <v>248.03</v>
      </c>
    </row>
    <row r="1019" spans="1:6" x14ac:dyDescent="0.35">
      <c r="A1019" t="s">
        <v>5712</v>
      </c>
      <c r="B1019" t="s">
        <v>2053</v>
      </c>
      <c r="C1019" s="1">
        <v>45506</v>
      </c>
      <c r="D1019" s="2">
        <v>134.99</v>
      </c>
      <c r="E1019" t="s">
        <v>4694</v>
      </c>
      <c r="F1019" s="2">
        <v>10.18</v>
      </c>
    </row>
    <row r="1020" spans="1:6" x14ac:dyDescent="0.35">
      <c r="A1020" t="s">
        <v>5713</v>
      </c>
      <c r="B1020" t="s">
        <v>2054</v>
      </c>
      <c r="C1020" s="1">
        <v>45611</v>
      </c>
      <c r="D1020" s="2">
        <v>120.34</v>
      </c>
      <c r="E1020" t="s">
        <v>4697</v>
      </c>
      <c r="F1020" s="2">
        <v>26.29</v>
      </c>
    </row>
    <row r="1021" spans="1:6" x14ac:dyDescent="0.35">
      <c r="A1021" t="s">
        <v>5714</v>
      </c>
      <c r="B1021" t="s">
        <v>2055</v>
      </c>
      <c r="C1021" s="1">
        <v>45382</v>
      </c>
      <c r="D1021" s="2">
        <v>1692.67</v>
      </c>
      <c r="E1021" t="s">
        <v>4694</v>
      </c>
      <c r="F1021" s="2">
        <v>219.37</v>
      </c>
    </row>
    <row r="1022" spans="1:6" x14ac:dyDescent="0.35">
      <c r="A1022" t="s">
        <v>5715</v>
      </c>
      <c r="B1022" t="s">
        <v>2056</v>
      </c>
      <c r="C1022" s="1">
        <v>45425</v>
      </c>
      <c r="D1022" s="2">
        <v>168.65</v>
      </c>
      <c r="E1022" t="s">
        <v>4694</v>
      </c>
      <c r="F1022" s="2">
        <v>22.98</v>
      </c>
    </row>
    <row r="1023" spans="1:6" x14ac:dyDescent="0.35">
      <c r="A1023" t="s">
        <v>5716</v>
      </c>
      <c r="B1023" t="s">
        <v>2057</v>
      </c>
      <c r="C1023" s="1">
        <v>45095</v>
      </c>
      <c r="D1023" s="2">
        <v>776.18</v>
      </c>
      <c r="E1023" t="s">
        <v>4694</v>
      </c>
      <c r="F1023" s="2">
        <v>67.849999999999994</v>
      </c>
    </row>
    <row r="1024" spans="1:6" x14ac:dyDescent="0.35">
      <c r="A1024" t="s">
        <v>5717</v>
      </c>
      <c r="B1024" t="s">
        <v>2060</v>
      </c>
      <c r="C1024" s="1">
        <v>45569</v>
      </c>
      <c r="D1024" s="2">
        <v>257.39999999999998</v>
      </c>
      <c r="E1024" t="s">
        <v>4694</v>
      </c>
      <c r="F1024" s="2">
        <v>83.03</v>
      </c>
    </row>
    <row r="1025" spans="1:6" x14ac:dyDescent="0.35">
      <c r="A1025" t="s">
        <v>5718</v>
      </c>
      <c r="B1025" t="s">
        <v>2062</v>
      </c>
      <c r="C1025" s="1">
        <v>45171</v>
      </c>
      <c r="D1025" s="2">
        <v>212.15</v>
      </c>
      <c r="E1025" t="s">
        <v>4694</v>
      </c>
      <c r="F1025" s="2">
        <v>104.02</v>
      </c>
    </row>
    <row r="1026" spans="1:6" x14ac:dyDescent="0.35">
      <c r="A1026" t="s">
        <v>5719</v>
      </c>
      <c r="B1026" t="s">
        <v>2063</v>
      </c>
      <c r="C1026" s="1">
        <v>45524</v>
      </c>
      <c r="D1026" s="2">
        <v>1984.42</v>
      </c>
      <c r="E1026" t="s">
        <v>4694</v>
      </c>
      <c r="F1026" s="2">
        <v>305.81</v>
      </c>
    </row>
    <row r="1027" spans="1:6" x14ac:dyDescent="0.35">
      <c r="A1027" t="s">
        <v>5720</v>
      </c>
      <c r="B1027" t="s">
        <v>2064</v>
      </c>
      <c r="C1027" s="1">
        <v>45318</v>
      </c>
      <c r="D1027" s="2">
        <v>1347.79</v>
      </c>
      <c r="E1027" t="s">
        <v>4694</v>
      </c>
      <c r="F1027" s="2">
        <v>356.76</v>
      </c>
    </row>
    <row r="1028" spans="1:6" x14ac:dyDescent="0.35">
      <c r="A1028" t="s">
        <v>5721</v>
      </c>
      <c r="B1028" t="s">
        <v>2066</v>
      </c>
      <c r="C1028" s="1">
        <v>45063</v>
      </c>
      <c r="D1028" s="2">
        <v>108.89</v>
      </c>
      <c r="E1028" t="s">
        <v>4694</v>
      </c>
      <c r="F1028" s="2">
        <v>54.61</v>
      </c>
    </row>
    <row r="1029" spans="1:6" x14ac:dyDescent="0.35">
      <c r="A1029" t="s">
        <v>5722</v>
      </c>
      <c r="B1029" t="s">
        <v>2067</v>
      </c>
      <c r="C1029" s="1">
        <v>45580</v>
      </c>
      <c r="D1029" s="2">
        <v>49.31</v>
      </c>
      <c r="E1029" t="s">
        <v>4694</v>
      </c>
      <c r="F1029" s="2">
        <v>4.96</v>
      </c>
    </row>
    <row r="1030" spans="1:6" x14ac:dyDescent="0.35">
      <c r="A1030" t="s">
        <v>5723</v>
      </c>
      <c r="B1030" t="s">
        <v>2068</v>
      </c>
      <c r="C1030" s="1">
        <v>45530</v>
      </c>
      <c r="D1030" s="2">
        <v>276.45</v>
      </c>
      <c r="E1030" t="s">
        <v>4694</v>
      </c>
      <c r="F1030" s="2">
        <v>30.07</v>
      </c>
    </row>
    <row r="1031" spans="1:6" x14ac:dyDescent="0.35">
      <c r="A1031" t="s">
        <v>5724</v>
      </c>
      <c r="B1031" t="s">
        <v>2069</v>
      </c>
      <c r="C1031" s="1">
        <v>45457</v>
      </c>
      <c r="D1031" s="2">
        <v>153.91999999999999</v>
      </c>
      <c r="E1031" t="s">
        <v>4694</v>
      </c>
      <c r="F1031" s="2">
        <v>62.52</v>
      </c>
    </row>
    <row r="1032" spans="1:6" x14ac:dyDescent="0.35">
      <c r="A1032" t="s">
        <v>5725</v>
      </c>
      <c r="B1032" t="s">
        <v>2070</v>
      </c>
      <c r="C1032" s="1">
        <v>45459</v>
      </c>
      <c r="D1032" s="2">
        <v>4937.45</v>
      </c>
      <c r="E1032" t="s">
        <v>4694</v>
      </c>
      <c r="F1032" s="2">
        <v>709.47</v>
      </c>
    </row>
    <row r="1033" spans="1:6" x14ac:dyDescent="0.35">
      <c r="A1033" t="s">
        <v>5726</v>
      </c>
      <c r="B1033" t="s">
        <v>2071</v>
      </c>
      <c r="C1033" s="1">
        <v>45437</v>
      </c>
      <c r="D1033" s="2">
        <v>5013.3</v>
      </c>
      <c r="E1033" t="s">
        <v>4694</v>
      </c>
      <c r="F1033" s="2">
        <v>218.84</v>
      </c>
    </row>
    <row r="1034" spans="1:6" x14ac:dyDescent="0.35">
      <c r="A1034" t="s">
        <v>5727</v>
      </c>
      <c r="B1034" t="s">
        <v>2072</v>
      </c>
      <c r="C1034" s="1">
        <v>45229</v>
      </c>
      <c r="D1034" s="2">
        <v>562.79999999999995</v>
      </c>
      <c r="E1034" t="s">
        <v>4694</v>
      </c>
      <c r="F1034" s="2">
        <v>69.67</v>
      </c>
    </row>
    <row r="1035" spans="1:6" x14ac:dyDescent="0.35">
      <c r="A1035" t="s">
        <v>5728</v>
      </c>
      <c r="B1035" t="s">
        <v>2073</v>
      </c>
      <c r="C1035" s="1">
        <v>45389</v>
      </c>
      <c r="D1035" s="2">
        <v>234.45</v>
      </c>
      <c r="E1035" t="s">
        <v>4694</v>
      </c>
      <c r="F1035" s="2">
        <v>125.98</v>
      </c>
    </row>
    <row r="1036" spans="1:6" x14ac:dyDescent="0.35">
      <c r="A1036" t="s">
        <v>5729</v>
      </c>
      <c r="B1036" t="s">
        <v>2075</v>
      </c>
      <c r="C1036" s="1">
        <v>45337</v>
      </c>
      <c r="D1036" s="2">
        <v>113.46</v>
      </c>
      <c r="E1036" t="s">
        <v>4694</v>
      </c>
      <c r="F1036" s="2">
        <v>45.25</v>
      </c>
    </row>
    <row r="1037" spans="1:6" x14ac:dyDescent="0.35">
      <c r="A1037" t="s">
        <v>5730</v>
      </c>
      <c r="B1037" t="s">
        <v>2076</v>
      </c>
      <c r="C1037" s="1">
        <v>45241</v>
      </c>
      <c r="D1037" s="2">
        <v>462.22</v>
      </c>
      <c r="E1037" t="s">
        <v>4694</v>
      </c>
      <c r="F1037" s="2">
        <v>111.32</v>
      </c>
    </row>
    <row r="1038" spans="1:6" x14ac:dyDescent="0.35">
      <c r="A1038" t="s">
        <v>5731</v>
      </c>
      <c r="B1038" t="s">
        <v>2077</v>
      </c>
      <c r="C1038" s="1">
        <v>45233</v>
      </c>
      <c r="D1038" s="2">
        <v>514.44000000000005</v>
      </c>
      <c r="E1038" t="s">
        <v>4694</v>
      </c>
      <c r="F1038" s="2">
        <v>169.93</v>
      </c>
    </row>
    <row r="1039" spans="1:6" x14ac:dyDescent="0.35">
      <c r="A1039" t="s">
        <v>5732</v>
      </c>
      <c r="B1039" t="s">
        <v>2079</v>
      </c>
      <c r="C1039" s="1">
        <v>45126</v>
      </c>
      <c r="D1039" s="2">
        <v>1828.23</v>
      </c>
      <c r="E1039" t="s">
        <v>4694</v>
      </c>
      <c r="F1039" s="2">
        <v>195.13</v>
      </c>
    </row>
    <row r="1040" spans="1:6" x14ac:dyDescent="0.35">
      <c r="A1040" t="s">
        <v>5733</v>
      </c>
      <c r="B1040" t="s">
        <v>2081</v>
      </c>
      <c r="C1040" s="1">
        <v>45501</v>
      </c>
      <c r="D1040" s="2">
        <v>1886.89</v>
      </c>
      <c r="E1040" t="s">
        <v>4697</v>
      </c>
      <c r="F1040" s="2">
        <v>415.07</v>
      </c>
    </row>
    <row r="1041" spans="1:6" x14ac:dyDescent="0.35">
      <c r="A1041" t="s">
        <v>5734</v>
      </c>
      <c r="B1041" t="s">
        <v>2082</v>
      </c>
      <c r="C1041" s="1">
        <v>45507</v>
      </c>
      <c r="D1041" s="2">
        <v>1515.2</v>
      </c>
      <c r="E1041" t="s">
        <v>4694</v>
      </c>
      <c r="F1041" s="2">
        <v>678.74</v>
      </c>
    </row>
    <row r="1042" spans="1:6" x14ac:dyDescent="0.35">
      <c r="A1042" t="s">
        <v>5735</v>
      </c>
      <c r="B1042" t="s">
        <v>2083</v>
      </c>
      <c r="C1042" s="1">
        <v>44967</v>
      </c>
      <c r="D1042" s="2">
        <v>485.07</v>
      </c>
      <c r="E1042" t="s">
        <v>4694</v>
      </c>
      <c r="F1042" s="2">
        <v>201.11</v>
      </c>
    </row>
    <row r="1043" spans="1:6" x14ac:dyDescent="0.35">
      <c r="A1043" t="s">
        <v>5736</v>
      </c>
      <c r="B1043" t="s">
        <v>2084</v>
      </c>
      <c r="C1043" s="1">
        <v>45262</v>
      </c>
      <c r="D1043" s="2">
        <v>549.83000000000004</v>
      </c>
      <c r="E1043" t="s">
        <v>4694</v>
      </c>
      <c r="F1043" s="2">
        <v>293.58999999999997</v>
      </c>
    </row>
    <row r="1044" spans="1:6" x14ac:dyDescent="0.35">
      <c r="A1044" t="s">
        <v>5737</v>
      </c>
      <c r="B1044" t="s">
        <v>2085</v>
      </c>
      <c r="C1044" s="1">
        <v>45384</v>
      </c>
      <c r="D1044" s="2">
        <v>511.49</v>
      </c>
      <c r="E1044" t="s">
        <v>4694</v>
      </c>
      <c r="F1044" s="2">
        <v>224.69</v>
      </c>
    </row>
    <row r="1045" spans="1:6" x14ac:dyDescent="0.35">
      <c r="A1045" t="s">
        <v>5738</v>
      </c>
      <c r="B1045" t="s">
        <v>2086</v>
      </c>
      <c r="C1045" s="1">
        <v>45423</v>
      </c>
      <c r="D1045" s="2">
        <v>39.15</v>
      </c>
      <c r="E1045" t="s">
        <v>4694</v>
      </c>
      <c r="F1045" s="2">
        <v>22.48</v>
      </c>
    </row>
    <row r="1046" spans="1:6" x14ac:dyDescent="0.35">
      <c r="A1046" t="s">
        <v>5739</v>
      </c>
      <c r="B1046" t="s">
        <v>2089</v>
      </c>
      <c r="C1046" s="1">
        <v>45578</v>
      </c>
      <c r="D1046" s="2">
        <v>61.11</v>
      </c>
      <c r="E1046" t="s">
        <v>4694</v>
      </c>
      <c r="F1046" s="2">
        <v>29.41</v>
      </c>
    </row>
    <row r="1047" spans="1:6" x14ac:dyDescent="0.35">
      <c r="A1047" t="s">
        <v>5740</v>
      </c>
      <c r="B1047" t="s">
        <v>2090</v>
      </c>
      <c r="C1047" s="1">
        <v>45234</v>
      </c>
      <c r="D1047" s="2">
        <v>2316.7800000000002</v>
      </c>
      <c r="E1047" t="s">
        <v>4694</v>
      </c>
      <c r="F1047" s="2">
        <v>1030.57</v>
      </c>
    </row>
    <row r="1048" spans="1:6" x14ac:dyDescent="0.35">
      <c r="A1048" t="s">
        <v>5741</v>
      </c>
      <c r="B1048" t="s">
        <v>2091</v>
      </c>
      <c r="C1048" s="1">
        <v>45532</v>
      </c>
      <c r="D1048" s="2">
        <v>163.35</v>
      </c>
      <c r="E1048" t="s">
        <v>4694</v>
      </c>
      <c r="F1048" s="2">
        <v>86.37</v>
      </c>
    </row>
    <row r="1049" spans="1:6" x14ac:dyDescent="0.35">
      <c r="A1049" t="s">
        <v>5742</v>
      </c>
      <c r="B1049" t="s">
        <v>2092</v>
      </c>
      <c r="C1049" s="1">
        <v>45206</v>
      </c>
      <c r="D1049" s="2">
        <v>581.59</v>
      </c>
      <c r="E1049" t="s">
        <v>4694</v>
      </c>
      <c r="F1049" s="2">
        <v>92.51</v>
      </c>
    </row>
    <row r="1050" spans="1:6" x14ac:dyDescent="0.35">
      <c r="A1050" t="s">
        <v>5743</v>
      </c>
      <c r="B1050" t="s">
        <v>2093</v>
      </c>
      <c r="C1050" s="1">
        <v>45126</v>
      </c>
      <c r="D1050" s="2">
        <v>161.38</v>
      </c>
      <c r="E1050" t="s">
        <v>4694</v>
      </c>
      <c r="F1050" s="2">
        <v>32.28</v>
      </c>
    </row>
    <row r="1051" spans="1:6" x14ac:dyDescent="0.35">
      <c r="A1051" t="s">
        <v>5744</v>
      </c>
      <c r="B1051" t="s">
        <v>2096</v>
      </c>
      <c r="C1051" s="1">
        <v>45656</v>
      </c>
      <c r="D1051" s="2">
        <v>3706.71</v>
      </c>
      <c r="E1051" t="s">
        <v>4694</v>
      </c>
      <c r="F1051" s="2">
        <v>961.89</v>
      </c>
    </row>
    <row r="1052" spans="1:6" x14ac:dyDescent="0.35">
      <c r="A1052" t="s">
        <v>5745</v>
      </c>
      <c r="B1052" t="s">
        <v>2098</v>
      </c>
      <c r="C1052" s="1">
        <v>45286</v>
      </c>
      <c r="D1052" s="2">
        <v>661.19</v>
      </c>
      <c r="E1052" t="s">
        <v>4694</v>
      </c>
      <c r="F1052" s="2">
        <v>180.08</v>
      </c>
    </row>
    <row r="1053" spans="1:6" x14ac:dyDescent="0.35">
      <c r="A1053" t="s">
        <v>5746</v>
      </c>
      <c r="B1053" t="s">
        <v>2099</v>
      </c>
      <c r="C1053" s="1">
        <v>45308</v>
      </c>
      <c r="D1053" s="2">
        <v>3254.17</v>
      </c>
      <c r="E1053" t="s">
        <v>4694</v>
      </c>
      <c r="F1053" s="2">
        <v>243.07</v>
      </c>
    </row>
    <row r="1054" spans="1:6" x14ac:dyDescent="0.35">
      <c r="A1054" t="s">
        <v>5747</v>
      </c>
      <c r="B1054" t="s">
        <v>2100</v>
      </c>
      <c r="C1054" s="1">
        <v>45601</v>
      </c>
      <c r="D1054" s="2">
        <v>162.68</v>
      </c>
      <c r="E1054" t="s">
        <v>4694</v>
      </c>
      <c r="F1054" s="2">
        <v>42.59</v>
      </c>
    </row>
    <row r="1055" spans="1:6" x14ac:dyDescent="0.35">
      <c r="A1055" t="s">
        <v>5748</v>
      </c>
      <c r="B1055" t="s">
        <v>2101</v>
      </c>
      <c r="C1055" s="1">
        <v>45656</v>
      </c>
      <c r="D1055" s="2">
        <v>1855.88</v>
      </c>
      <c r="E1055" t="s">
        <v>4694</v>
      </c>
      <c r="F1055" s="2">
        <v>188.88</v>
      </c>
    </row>
    <row r="1056" spans="1:6" x14ac:dyDescent="0.35">
      <c r="A1056" t="s">
        <v>5749</v>
      </c>
      <c r="B1056" t="s">
        <v>2102</v>
      </c>
      <c r="C1056" s="1">
        <v>45333</v>
      </c>
      <c r="D1056" s="2">
        <v>679.42</v>
      </c>
      <c r="E1056" t="s">
        <v>4694</v>
      </c>
      <c r="F1056" s="2">
        <v>102.6</v>
      </c>
    </row>
    <row r="1057" spans="1:6" x14ac:dyDescent="0.35">
      <c r="A1057" t="s">
        <v>5750</v>
      </c>
      <c r="B1057" t="s">
        <v>2103</v>
      </c>
      <c r="C1057" s="1">
        <v>45575</v>
      </c>
      <c r="D1057" s="2">
        <v>227.69</v>
      </c>
      <c r="E1057" t="s">
        <v>4694</v>
      </c>
      <c r="F1057" s="2">
        <v>45.96</v>
      </c>
    </row>
    <row r="1058" spans="1:6" x14ac:dyDescent="0.35">
      <c r="A1058" t="s">
        <v>5751</v>
      </c>
      <c r="B1058" t="s">
        <v>2104</v>
      </c>
      <c r="C1058" s="1">
        <v>45053</v>
      </c>
      <c r="D1058" s="2">
        <v>644.4</v>
      </c>
      <c r="E1058" t="s">
        <v>4694</v>
      </c>
      <c r="F1058" s="2">
        <v>138.03</v>
      </c>
    </row>
    <row r="1059" spans="1:6" x14ac:dyDescent="0.35">
      <c r="A1059" t="s">
        <v>5752</v>
      </c>
      <c r="B1059" t="s">
        <v>2105</v>
      </c>
      <c r="C1059" s="1">
        <v>45271</v>
      </c>
      <c r="D1059" s="2">
        <v>5900.02</v>
      </c>
      <c r="E1059" t="s">
        <v>4694</v>
      </c>
      <c r="F1059" s="2">
        <v>607.89</v>
      </c>
    </row>
    <row r="1060" spans="1:6" x14ac:dyDescent="0.35">
      <c r="A1060" t="s">
        <v>5753</v>
      </c>
      <c r="B1060" t="s">
        <v>2107</v>
      </c>
      <c r="C1060" s="1">
        <v>45460</v>
      </c>
      <c r="D1060" s="2">
        <v>669.22</v>
      </c>
      <c r="E1060" t="s">
        <v>4694</v>
      </c>
      <c r="F1060" s="2">
        <v>392.89</v>
      </c>
    </row>
    <row r="1061" spans="1:6" x14ac:dyDescent="0.35">
      <c r="A1061" t="s">
        <v>5754</v>
      </c>
      <c r="B1061" t="s">
        <v>2108</v>
      </c>
      <c r="C1061" s="1">
        <v>45353</v>
      </c>
      <c r="D1061" s="2">
        <v>1930.38</v>
      </c>
      <c r="E1061" t="s">
        <v>4694</v>
      </c>
      <c r="F1061" s="2">
        <v>401.53</v>
      </c>
    </row>
    <row r="1062" spans="1:6" x14ac:dyDescent="0.35">
      <c r="A1062" t="s">
        <v>5755</v>
      </c>
      <c r="B1062" t="s">
        <v>2109</v>
      </c>
      <c r="C1062" s="1">
        <v>45666</v>
      </c>
      <c r="D1062" s="2">
        <v>688.39</v>
      </c>
      <c r="E1062" t="s">
        <v>4694</v>
      </c>
      <c r="F1062" s="2">
        <v>90.21</v>
      </c>
    </row>
    <row r="1063" spans="1:6" x14ac:dyDescent="0.35">
      <c r="A1063" t="s">
        <v>5756</v>
      </c>
      <c r="B1063" t="s">
        <v>2110</v>
      </c>
      <c r="C1063" s="1">
        <v>45315</v>
      </c>
      <c r="D1063" s="2">
        <v>2340.21</v>
      </c>
      <c r="E1063" t="s">
        <v>4694</v>
      </c>
      <c r="F1063" s="2">
        <v>105.07</v>
      </c>
    </row>
    <row r="1064" spans="1:6" x14ac:dyDescent="0.35">
      <c r="A1064" t="s">
        <v>5757</v>
      </c>
      <c r="B1064" t="s">
        <v>2111</v>
      </c>
      <c r="C1064" s="1">
        <v>44999</v>
      </c>
      <c r="D1064" s="2">
        <v>1190.49</v>
      </c>
      <c r="E1064" t="s">
        <v>4694</v>
      </c>
      <c r="F1064" s="2">
        <v>474.82</v>
      </c>
    </row>
    <row r="1065" spans="1:6" x14ac:dyDescent="0.35">
      <c r="A1065" t="s">
        <v>5758</v>
      </c>
      <c r="B1065" t="s">
        <v>2113</v>
      </c>
      <c r="C1065" s="1">
        <v>45383</v>
      </c>
      <c r="D1065" s="2">
        <v>613.32000000000005</v>
      </c>
      <c r="E1065" t="s">
        <v>4694</v>
      </c>
      <c r="F1065" s="2">
        <v>84.16</v>
      </c>
    </row>
    <row r="1066" spans="1:6" x14ac:dyDescent="0.35">
      <c r="A1066" t="s">
        <v>5759</v>
      </c>
      <c r="B1066" t="s">
        <v>2115</v>
      </c>
      <c r="C1066" s="1">
        <v>45314</v>
      </c>
      <c r="D1066" s="2">
        <v>290.82</v>
      </c>
      <c r="E1066" t="s">
        <v>4694</v>
      </c>
      <c r="F1066" s="2">
        <v>35.479999999999997</v>
      </c>
    </row>
    <row r="1067" spans="1:6" x14ac:dyDescent="0.35">
      <c r="A1067" t="s">
        <v>5760</v>
      </c>
      <c r="B1067" t="s">
        <v>2116</v>
      </c>
      <c r="C1067" s="1">
        <v>45273</v>
      </c>
      <c r="D1067" s="2">
        <v>735.18</v>
      </c>
      <c r="E1067" t="s">
        <v>4694</v>
      </c>
      <c r="F1067" s="2">
        <v>57.72</v>
      </c>
    </row>
    <row r="1068" spans="1:6" x14ac:dyDescent="0.35">
      <c r="A1068" t="s">
        <v>5761</v>
      </c>
      <c r="B1068" t="s">
        <v>2120</v>
      </c>
      <c r="C1068" s="1">
        <v>45078</v>
      </c>
      <c r="D1068" s="2">
        <v>513.51</v>
      </c>
      <c r="E1068" t="s">
        <v>4694</v>
      </c>
      <c r="F1068" s="2">
        <v>266.33999999999997</v>
      </c>
    </row>
    <row r="1069" spans="1:6" x14ac:dyDescent="0.35">
      <c r="A1069" t="s">
        <v>5762</v>
      </c>
      <c r="B1069" t="s">
        <v>2124</v>
      </c>
      <c r="C1069" s="1">
        <v>45332</v>
      </c>
      <c r="D1069" s="2">
        <v>3689.54</v>
      </c>
      <c r="E1069" t="s">
        <v>4694</v>
      </c>
      <c r="F1069" s="2">
        <v>1832.21</v>
      </c>
    </row>
    <row r="1070" spans="1:6" x14ac:dyDescent="0.35">
      <c r="A1070" t="s">
        <v>5763</v>
      </c>
      <c r="B1070" t="s">
        <v>2125</v>
      </c>
      <c r="C1070" s="1">
        <v>45463</v>
      </c>
      <c r="D1070" s="2">
        <v>865.42</v>
      </c>
      <c r="E1070" t="s">
        <v>4694</v>
      </c>
      <c r="F1070" s="2">
        <v>61.59</v>
      </c>
    </row>
    <row r="1071" spans="1:6" x14ac:dyDescent="0.35">
      <c r="A1071" t="s">
        <v>5764</v>
      </c>
      <c r="B1071" t="s">
        <v>2127</v>
      </c>
      <c r="C1071" s="1">
        <v>45016</v>
      </c>
      <c r="D1071" s="2">
        <v>4639.3100000000004</v>
      </c>
      <c r="E1071" t="s">
        <v>4694</v>
      </c>
      <c r="F1071" s="2">
        <v>800.74</v>
      </c>
    </row>
    <row r="1072" spans="1:6" x14ac:dyDescent="0.35">
      <c r="A1072" t="s">
        <v>5765</v>
      </c>
      <c r="B1072" t="s">
        <v>2128</v>
      </c>
      <c r="C1072" s="1">
        <v>45513</v>
      </c>
      <c r="D1072" s="2">
        <v>102.66</v>
      </c>
      <c r="E1072" t="s">
        <v>4694</v>
      </c>
      <c r="F1072" s="2">
        <v>13.89</v>
      </c>
    </row>
    <row r="1073" spans="1:6" x14ac:dyDescent="0.35">
      <c r="A1073" t="s">
        <v>5766</v>
      </c>
      <c r="B1073" t="s">
        <v>2129</v>
      </c>
      <c r="C1073" s="1">
        <v>45465</v>
      </c>
      <c r="D1073" s="2">
        <v>77.180000000000007</v>
      </c>
      <c r="E1073" t="s">
        <v>4694</v>
      </c>
      <c r="F1073" s="2">
        <v>18.27</v>
      </c>
    </row>
    <row r="1074" spans="1:6" x14ac:dyDescent="0.35">
      <c r="A1074" t="s">
        <v>5767</v>
      </c>
      <c r="B1074" t="s">
        <v>2130</v>
      </c>
      <c r="C1074" s="1">
        <v>45469</v>
      </c>
      <c r="D1074" s="2">
        <v>419.58</v>
      </c>
      <c r="E1074" t="s">
        <v>4694</v>
      </c>
      <c r="F1074" s="2">
        <v>124.09</v>
      </c>
    </row>
    <row r="1075" spans="1:6" x14ac:dyDescent="0.35">
      <c r="A1075" t="s">
        <v>5768</v>
      </c>
      <c r="B1075" t="s">
        <v>2131</v>
      </c>
      <c r="C1075" s="1">
        <v>44969</v>
      </c>
      <c r="D1075" s="2">
        <v>295.3</v>
      </c>
      <c r="E1075" t="s">
        <v>4694</v>
      </c>
      <c r="F1075" s="2">
        <v>72.83</v>
      </c>
    </row>
    <row r="1076" spans="1:6" x14ac:dyDescent="0.35">
      <c r="A1076" t="s">
        <v>5769</v>
      </c>
      <c r="B1076" t="s">
        <v>2132</v>
      </c>
      <c r="C1076" s="1">
        <v>45180</v>
      </c>
      <c r="D1076" s="2">
        <v>5000.3500000000004</v>
      </c>
      <c r="E1076" t="s">
        <v>4694</v>
      </c>
      <c r="F1076" s="2">
        <v>1787.16</v>
      </c>
    </row>
    <row r="1077" spans="1:6" x14ac:dyDescent="0.35">
      <c r="A1077" t="s">
        <v>5770</v>
      </c>
      <c r="B1077" t="s">
        <v>2134</v>
      </c>
      <c r="C1077" s="1">
        <v>45629</v>
      </c>
      <c r="D1077" s="2">
        <v>339.93</v>
      </c>
      <c r="E1077" t="s">
        <v>4694</v>
      </c>
      <c r="F1077" s="2">
        <v>36.07</v>
      </c>
    </row>
    <row r="1078" spans="1:6" x14ac:dyDescent="0.35">
      <c r="A1078" t="s">
        <v>5771</v>
      </c>
      <c r="B1078" t="s">
        <v>2135</v>
      </c>
      <c r="C1078" s="1">
        <v>45250</v>
      </c>
      <c r="D1078" s="2">
        <v>934.26</v>
      </c>
      <c r="E1078" t="s">
        <v>4697</v>
      </c>
      <c r="F1078" s="2">
        <v>50.3</v>
      </c>
    </row>
    <row r="1079" spans="1:6" x14ac:dyDescent="0.35">
      <c r="A1079" t="s">
        <v>5772</v>
      </c>
      <c r="B1079" t="s">
        <v>2136</v>
      </c>
      <c r="C1079" s="1">
        <v>45534</v>
      </c>
      <c r="D1079" s="2">
        <v>2300.36</v>
      </c>
      <c r="E1079" t="s">
        <v>4694</v>
      </c>
      <c r="F1079" s="2">
        <v>109.95</v>
      </c>
    </row>
    <row r="1080" spans="1:6" x14ac:dyDescent="0.35">
      <c r="A1080" t="s">
        <v>5773</v>
      </c>
      <c r="B1080" t="s">
        <v>2137</v>
      </c>
      <c r="C1080" s="1">
        <v>45171</v>
      </c>
      <c r="D1080" s="2">
        <v>84.92</v>
      </c>
      <c r="E1080" t="s">
        <v>4697</v>
      </c>
      <c r="F1080" s="2">
        <v>29.83</v>
      </c>
    </row>
    <row r="1081" spans="1:6" x14ac:dyDescent="0.35">
      <c r="A1081" t="s">
        <v>5774</v>
      </c>
      <c r="B1081" t="s">
        <v>2138</v>
      </c>
      <c r="C1081" s="1">
        <v>44980</v>
      </c>
      <c r="D1081" s="2">
        <v>269.83999999999997</v>
      </c>
      <c r="E1081" t="s">
        <v>4697</v>
      </c>
      <c r="F1081" s="2">
        <v>18.8</v>
      </c>
    </row>
    <row r="1082" spans="1:6" x14ac:dyDescent="0.35">
      <c r="A1082" t="s">
        <v>5775</v>
      </c>
      <c r="B1082" t="s">
        <v>2139</v>
      </c>
      <c r="C1082" s="1">
        <v>45400</v>
      </c>
      <c r="D1082" s="2">
        <v>159.07</v>
      </c>
      <c r="E1082" t="s">
        <v>4694</v>
      </c>
      <c r="F1082" s="2">
        <v>18.82</v>
      </c>
    </row>
    <row r="1083" spans="1:6" x14ac:dyDescent="0.35">
      <c r="A1083" t="s">
        <v>5776</v>
      </c>
      <c r="B1083" t="s">
        <v>2140</v>
      </c>
      <c r="C1083" s="1">
        <v>45126</v>
      </c>
      <c r="D1083" s="2">
        <v>1787.88</v>
      </c>
      <c r="E1083" t="s">
        <v>4694</v>
      </c>
      <c r="F1083" s="2">
        <v>816.38</v>
      </c>
    </row>
    <row r="1084" spans="1:6" x14ac:dyDescent="0.35">
      <c r="A1084" t="s">
        <v>5777</v>
      </c>
      <c r="B1084" t="s">
        <v>2142</v>
      </c>
      <c r="C1084" s="1">
        <v>45488</v>
      </c>
      <c r="D1084" s="2">
        <v>263.2</v>
      </c>
      <c r="E1084" t="s">
        <v>4694</v>
      </c>
      <c r="F1084" s="2">
        <v>115.83</v>
      </c>
    </row>
    <row r="1085" spans="1:6" x14ac:dyDescent="0.35">
      <c r="A1085" t="s">
        <v>5778</v>
      </c>
      <c r="B1085" t="s">
        <v>2143</v>
      </c>
      <c r="C1085" s="1">
        <v>45613</v>
      </c>
      <c r="D1085" s="2">
        <v>491.43</v>
      </c>
      <c r="E1085" t="s">
        <v>4697</v>
      </c>
      <c r="F1085" s="2">
        <v>99.37</v>
      </c>
    </row>
    <row r="1086" spans="1:6" x14ac:dyDescent="0.35">
      <c r="A1086" t="s">
        <v>5779</v>
      </c>
      <c r="B1086" t="s">
        <v>2144</v>
      </c>
      <c r="C1086" s="1">
        <v>45458</v>
      </c>
      <c r="D1086" s="2">
        <v>231.07</v>
      </c>
      <c r="E1086" t="s">
        <v>4694</v>
      </c>
      <c r="F1086" s="2">
        <v>61.42</v>
      </c>
    </row>
    <row r="1087" spans="1:6" x14ac:dyDescent="0.35">
      <c r="A1087" t="s">
        <v>5780</v>
      </c>
      <c r="B1087" t="s">
        <v>2145</v>
      </c>
      <c r="C1087" s="1">
        <v>44960</v>
      </c>
      <c r="D1087" s="2">
        <v>5577.06</v>
      </c>
      <c r="E1087" t="s">
        <v>4694</v>
      </c>
      <c r="F1087" s="2">
        <v>409.61</v>
      </c>
    </row>
    <row r="1088" spans="1:6" x14ac:dyDescent="0.35">
      <c r="A1088" t="s">
        <v>5781</v>
      </c>
      <c r="B1088" t="s">
        <v>2148</v>
      </c>
      <c r="C1088" s="1">
        <v>45512</v>
      </c>
      <c r="D1088" s="2">
        <v>5034.28</v>
      </c>
      <c r="E1088" t="s">
        <v>4694</v>
      </c>
      <c r="F1088" s="2">
        <v>708.1</v>
      </c>
    </row>
    <row r="1089" spans="1:6" x14ac:dyDescent="0.35">
      <c r="A1089" t="s">
        <v>5782</v>
      </c>
      <c r="B1089" t="s">
        <v>2149</v>
      </c>
      <c r="C1089" s="1">
        <v>45390</v>
      </c>
      <c r="D1089" s="2">
        <v>624.9</v>
      </c>
      <c r="E1089" t="s">
        <v>4694</v>
      </c>
      <c r="F1089" s="2">
        <v>27.18</v>
      </c>
    </row>
    <row r="1090" spans="1:6" x14ac:dyDescent="0.35">
      <c r="A1090" t="s">
        <v>5783</v>
      </c>
      <c r="B1090" t="s">
        <v>2150</v>
      </c>
      <c r="C1090" s="1">
        <v>45073</v>
      </c>
      <c r="D1090" s="2">
        <v>106.05</v>
      </c>
      <c r="E1090" t="s">
        <v>4694</v>
      </c>
      <c r="F1090" s="2">
        <v>7.99</v>
      </c>
    </row>
    <row r="1091" spans="1:6" x14ac:dyDescent="0.35">
      <c r="A1091" t="s">
        <v>5784</v>
      </c>
      <c r="B1091" t="s">
        <v>2151</v>
      </c>
      <c r="C1091" s="1">
        <v>45100</v>
      </c>
      <c r="D1091" s="2">
        <v>2952.46</v>
      </c>
      <c r="E1091" t="s">
        <v>4694</v>
      </c>
      <c r="F1091" s="2">
        <v>841.13</v>
      </c>
    </row>
    <row r="1092" spans="1:6" x14ac:dyDescent="0.35">
      <c r="A1092" t="s">
        <v>5785</v>
      </c>
      <c r="B1092" t="s">
        <v>2153</v>
      </c>
      <c r="C1092" s="1">
        <v>45071</v>
      </c>
      <c r="D1092" s="2">
        <v>38.86</v>
      </c>
      <c r="E1092" t="s">
        <v>4694</v>
      </c>
      <c r="F1092" s="2">
        <v>9.2200000000000006</v>
      </c>
    </row>
    <row r="1093" spans="1:6" x14ac:dyDescent="0.35">
      <c r="A1093" t="s">
        <v>5786</v>
      </c>
      <c r="B1093" t="s">
        <v>2154</v>
      </c>
      <c r="C1093" s="1">
        <v>45156</v>
      </c>
      <c r="D1093" s="2">
        <v>36.44</v>
      </c>
      <c r="E1093" t="s">
        <v>4694</v>
      </c>
      <c r="F1093" s="2">
        <v>19.170000000000002</v>
      </c>
    </row>
    <row r="1094" spans="1:6" x14ac:dyDescent="0.35">
      <c r="A1094" t="s">
        <v>5787</v>
      </c>
      <c r="B1094" t="s">
        <v>2155</v>
      </c>
      <c r="C1094" s="1">
        <v>45691</v>
      </c>
      <c r="D1094" s="2">
        <v>70.849999999999994</v>
      </c>
      <c r="E1094" t="s">
        <v>4694</v>
      </c>
      <c r="F1094" s="2">
        <v>30.94</v>
      </c>
    </row>
    <row r="1095" spans="1:6" x14ac:dyDescent="0.35">
      <c r="A1095" t="s">
        <v>5788</v>
      </c>
      <c r="B1095" t="s">
        <v>2156</v>
      </c>
      <c r="C1095" s="1">
        <v>45532</v>
      </c>
      <c r="D1095" s="2">
        <v>153.86000000000001</v>
      </c>
      <c r="E1095" t="s">
        <v>4694</v>
      </c>
      <c r="F1095" s="2">
        <v>11.88</v>
      </c>
    </row>
    <row r="1096" spans="1:6" x14ac:dyDescent="0.35">
      <c r="A1096" t="s">
        <v>5789</v>
      </c>
      <c r="B1096" t="s">
        <v>2157</v>
      </c>
      <c r="C1096" s="1">
        <v>45032</v>
      </c>
      <c r="D1096" s="2">
        <v>2676.57</v>
      </c>
      <c r="E1096" t="s">
        <v>4694</v>
      </c>
      <c r="F1096" s="2">
        <v>1567.44</v>
      </c>
    </row>
    <row r="1097" spans="1:6" x14ac:dyDescent="0.35">
      <c r="A1097" t="s">
        <v>5790</v>
      </c>
      <c r="B1097" t="s">
        <v>2158</v>
      </c>
      <c r="C1097" s="1">
        <v>45444</v>
      </c>
      <c r="D1097" s="2">
        <v>1027.8800000000001</v>
      </c>
      <c r="E1097" t="s">
        <v>4694</v>
      </c>
      <c r="F1097" s="2">
        <v>88.63</v>
      </c>
    </row>
    <row r="1098" spans="1:6" x14ac:dyDescent="0.35">
      <c r="A1098" t="s">
        <v>5791</v>
      </c>
      <c r="B1098" t="s">
        <v>2160</v>
      </c>
      <c r="C1098" s="1">
        <v>45156</v>
      </c>
      <c r="D1098" s="2">
        <v>3490.16</v>
      </c>
      <c r="E1098" t="s">
        <v>4694</v>
      </c>
      <c r="F1098" s="2">
        <v>566.29</v>
      </c>
    </row>
    <row r="1099" spans="1:6" x14ac:dyDescent="0.35">
      <c r="A1099" t="s">
        <v>5792</v>
      </c>
      <c r="B1099" t="s">
        <v>2161</v>
      </c>
      <c r="C1099" s="1">
        <v>45060</v>
      </c>
      <c r="D1099" s="2">
        <v>666.4</v>
      </c>
      <c r="E1099" t="s">
        <v>4694</v>
      </c>
      <c r="F1099" s="2">
        <v>68.459999999999994</v>
      </c>
    </row>
    <row r="1100" spans="1:6" x14ac:dyDescent="0.35">
      <c r="A1100" t="s">
        <v>5793</v>
      </c>
      <c r="B1100" t="s">
        <v>2162</v>
      </c>
      <c r="C1100" s="1">
        <v>45047</v>
      </c>
      <c r="D1100" s="2">
        <v>552.46</v>
      </c>
      <c r="E1100" t="s">
        <v>4694</v>
      </c>
      <c r="F1100" s="2">
        <v>69.260000000000005</v>
      </c>
    </row>
    <row r="1101" spans="1:6" x14ac:dyDescent="0.35">
      <c r="A1101" t="s">
        <v>5794</v>
      </c>
      <c r="B1101" t="s">
        <v>2164</v>
      </c>
      <c r="C1101" s="1">
        <v>45163</v>
      </c>
      <c r="D1101" s="2">
        <v>118.19</v>
      </c>
      <c r="E1101" t="s">
        <v>4694</v>
      </c>
      <c r="F1101" s="2">
        <v>44.57</v>
      </c>
    </row>
    <row r="1102" spans="1:6" x14ac:dyDescent="0.35">
      <c r="A1102" t="s">
        <v>5795</v>
      </c>
      <c r="B1102" t="s">
        <v>2168</v>
      </c>
      <c r="C1102" s="1">
        <v>45129</v>
      </c>
      <c r="D1102" s="2">
        <v>770.06</v>
      </c>
      <c r="E1102" t="s">
        <v>4694</v>
      </c>
      <c r="F1102" s="2">
        <v>225.62</v>
      </c>
    </row>
    <row r="1103" spans="1:6" x14ac:dyDescent="0.35">
      <c r="A1103" t="s">
        <v>5796</v>
      </c>
      <c r="B1103" t="s">
        <v>2169</v>
      </c>
      <c r="C1103" s="1">
        <v>45455</v>
      </c>
      <c r="D1103" s="2">
        <v>526.85</v>
      </c>
      <c r="E1103" t="s">
        <v>4694</v>
      </c>
      <c r="F1103" s="2">
        <v>58.85</v>
      </c>
    </row>
    <row r="1104" spans="1:6" x14ac:dyDescent="0.35">
      <c r="A1104" t="s">
        <v>5797</v>
      </c>
      <c r="B1104" t="s">
        <v>2170</v>
      </c>
      <c r="C1104" s="1">
        <v>45594</v>
      </c>
      <c r="D1104" s="2">
        <v>145.32</v>
      </c>
      <c r="E1104" t="s">
        <v>4694</v>
      </c>
      <c r="F1104" s="2">
        <v>52.8</v>
      </c>
    </row>
    <row r="1105" spans="1:6" x14ac:dyDescent="0.35">
      <c r="A1105" t="s">
        <v>5798</v>
      </c>
      <c r="B1105" t="s">
        <v>2171</v>
      </c>
      <c r="C1105" s="1">
        <v>45271</v>
      </c>
      <c r="D1105" s="2">
        <v>338.52</v>
      </c>
      <c r="E1105" t="s">
        <v>4694</v>
      </c>
      <c r="F1105" s="2">
        <v>28.91</v>
      </c>
    </row>
    <row r="1106" spans="1:6" x14ac:dyDescent="0.35">
      <c r="A1106" t="s">
        <v>5799</v>
      </c>
      <c r="B1106" t="s">
        <v>2172</v>
      </c>
      <c r="C1106" s="1">
        <v>45563</v>
      </c>
      <c r="D1106" s="2">
        <v>157.62</v>
      </c>
      <c r="E1106" t="s">
        <v>4697</v>
      </c>
      <c r="F1106" s="2">
        <v>20.87</v>
      </c>
    </row>
    <row r="1107" spans="1:6" x14ac:dyDescent="0.35">
      <c r="A1107" t="s">
        <v>5800</v>
      </c>
      <c r="B1107" t="s">
        <v>2173</v>
      </c>
      <c r="C1107" s="1">
        <v>45373</v>
      </c>
      <c r="D1107" s="2">
        <v>155.47</v>
      </c>
      <c r="E1107" t="s">
        <v>4694</v>
      </c>
      <c r="F1107" s="2">
        <v>47.14</v>
      </c>
    </row>
    <row r="1108" spans="1:6" x14ac:dyDescent="0.35">
      <c r="A1108" t="s">
        <v>5801</v>
      </c>
      <c r="B1108" t="s">
        <v>2175</v>
      </c>
      <c r="C1108" s="1">
        <v>45438</v>
      </c>
      <c r="D1108" s="2">
        <v>1162.49</v>
      </c>
      <c r="E1108" t="s">
        <v>4697</v>
      </c>
      <c r="F1108" s="2">
        <v>622.97</v>
      </c>
    </row>
    <row r="1109" spans="1:6" x14ac:dyDescent="0.35">
      <c r="A1109" t="s">
        <v>5802</v>
      </c>
      <c r="B1109" t="s">
        <v>2176</v>
      </c>
      <c r="C1109" s="1">
        <v>45014</v>
      </c>
      <c r="D1109" s="2">
        <v>425.71</v>
      </c>
      <c r="E1109" t="s">
        <v>4694</v>
      </c>
      <c r="F1109" s="2">
        <v>220.22</v>
      </c>
    </row>
    <row r="1110" spans="1:6" x14ac:dyDescent="0.35">
      <c r="A1110" t="s">
        <v>5803</v>
      </c>
      <c r="B1110" t="s">
        <v>2177</v>
      </c>
      <c r="C1110" s="1">
        <v>45088</v>
      </c>
      <c r="D1110" s="2">
        <v>3755.78</v>
      </c>
      <c r="E1110" t="s">
        <v>4694</v>
      </c>
      <c r="F1110" s="2">
        <v>2046.31</v>
      </c>
    </row>
    <row r="1111" spans="1:6" x14ac:dyDescent="0.35">
      <c r="A1111" t="s">
        <v>5804</v>
      </c>
      <c r="B1111" t="s">
        <v>2178</v>
      </c>
      <c r="C1111" s="1">
        <v>45557</v>
      </c>
      <c r="D1111" s="2">
        <v>921.93</v>
      </c>
      <c r="E1111" t="s">
        <v>4694</v>
      </c>
      <c r="F1111" s="2">
        <v>369.42</v>
      </c>
    </row>
    <row r="1112" spans="1:6" x14ac:dyDescent="0.35">
      <c r="A1112" t="s">
        <v>5805</v>
      </c>
      <c r="B1112" t="s">
        <v>2179</v>
      </c>
      <c r="C1112" s="1">
        <v>45207</v>
      </c>
      <c r="D1112" s="2">
        <v>1272.43</v>
      </c>
      <c r="E1112" t="s">
        <v>4694</v>
      </c>
      <c r="F1112" s="2">
        <v>390.28</v>
      </c>
    </row>
    <row r="1113" spans="1:6" x14ac:dyDescent="0.35">
      <c r="A1113" t="s">
        <v>5806</v>
      </c>
      <c r="B1113" t="s">
        <v>2180</v>
      </c>
      <c r="C1113" s="1">
        <v>45286</v>
      </c>
      <c r="D1113" s="2">
        <v>126.83</v>
      </c>
      <c r="E1113" t="s">
        <v>4697</v>
      </c>
      <c r="F1113" s="2">
        <v>11.56</v>
      </c>
    </row>
    <row r="1114" spans="1:6" x14ac:dyDescent="0.35">
      <c r="A1114" t="s">
        <v>5807</v>
      </c>
      <c r="B1114" t="s">
        <v>2181</v>
      </c>
      <c r="C1114" s="1">
        <v>45283</v>
      </c>
      <c r="D1114" s="2">
        <v>1839.03</v>
      </c>
      <c r="E1114" t="s">
        <v>4694</v>
      </c>
      <c r="F1114" s="2">
        <v>761.57</v>
      </c>
    </row>
    <row r="1115" spans="1:6" x14ac:dyDescent="0.35">
      <c r="A1115" t="s">
        <v>5808</v>
      </c>
      <c r="B1115" t="s">
        <v>2182</v>
      </c>
      <c r="C1115" s="1">
        <v>45212</v>
      </c>
      <c r="D1115" s="2">
        <v>507</v>
      </c>
      <c r="E1115" t="s">
        <v>4697</v>
      </c>
      <c r="F1115" s="2">
        <v>294.06</v>
      </c>
    </row>
    <row r="1116" spans="1:6" x14ac:dyDescent="0.35">
      <c r="A1116" t="s">
        <v>5809</v>
      </c>
      <c r="B1116" t="s">
        <v>2186</v>
      </c>
      <c r="C1116" s="1">
        <v>45497</v>
      </c>
      <c r="D1116" s="2">
        <v>295.39</v>
      </c>
      <c r="E1116" t="s">
        <v>4694</v>
      </c>
      <c r="F1116" s="2">
        <v>123.15</v>
      </c>
    </row>
    <row r="1117" spans="1:6" x14ac:dyDescent="0.35">
      <c r="A1117" t="s">
        <v>5810</v>
      </c>
      <c r="B1117" t="s">
        <v>2187</v>
      </c>
      <c r="C1117" s="1">
        <v>45014</v>
      </c>
      <c r="D1117" s="2">
        <v>82.85</v>
      </c>
      <c r="E1117" t="s">
        <v>4694</v>
      </c>
      <c r="F1117" s="2">
        <v>25.54</v>
      </c>
    </row>
    <row r="1118" spans="1:6" x14ac:dyDescent="0.35">
      <c r="A1118" t="s">
        <v>5811</v>
      </c>
      <c r="B1118" t="s">
        <v>2188</v>
      </c>
      <c r="C1118" s="1">
        <v>45144</v>
      </c>
      <c r="D1118" s="2">
        <v>908.37</v>
      </c>
      <c r="E1118" t="s">
        <v>4694</v>
      </c>
      <c r="F1118" s="2">
        <v>462.06</v>
      </c>
    </row>
    <row r="1119" spans="1:6" x14ac:dyDescent="0.35">
      <c r="A1119" t="s">
        <v>5812</v>
      </c>
      <c r="B1119" t="s">
        <v>2189</v>
      </c>
      <c r="C1119" s="1">
        <v>45059</v>
      </c>
      <c r="D1119" s="2">
        <v>57.09</v>
      </c>
      <c r="E1119" t="s">
        <v>4694</v>
      </c>
      <c r="F1119" s="2">
        <v>3.37</v>
      </c>
    </row>
    <row r="1120" spans="1:6" x14ac:dyDescent="0.35">
      <c r="A1120" t="s">
        <v>5813</v>
      </c>
      <c r="B1120" t="s">
        <v>2190</v>
      </c>
      <c r="C1120" s="1">
        <v>45135</v>
      </c>
      <c r="D1120" s="2">
        <v>1830.9</v>
      </c>
      <c r="E1120" t="s">
        <v>4694</v>
      </c>
      <c r="F1120" s="2">
        <v>530.79999999999995</v>
      </c>
    </row>
    <row r="1121" spans="1:6" x14ac:dyDescent="0.35">
      <c r="A1121" t="s">
        <v>5814</v>
      </c>
      <c r="B1121" t="s">
        <v>2191</v>
      </c>
      <c r="C1121" s="1">
        <v>45137</v>
      </c>
      <c r="D1121" s="2">
        <v>125.72</v>
      </c>
      <c r="E1121" t="s">
        <v>4694</v>
      </c>
      <c r="F1121" s="2">
        <v>25.73</v>
      </c>
    </row>
    <row r="1122" spans="1:6" x14ac:dyDescent="0.35">
      <c r="A1122" t="s">
        <v>5815</v>
      </c>
      <c r="B1122" t="s">
        <v>2192</v>
      </c>
      <c r="C1122" s="1">
        <v>45007</v>
      </c>
      <c r="D1122" s="2">
        <v>991.45</v>
      </c>
      <c r="E1122" t="s">
        <v>4694</v>
      </c>
      <c r="F1122" s="2">
        <v>405.09</v>
      </c>
    </row>
    <row r="1123" spans="1:6" x14ac:dyDescent="0.35">
      <c r="A1123" t="s">
        <v>5816</v>
      </c>
      <c r="B1123" t="s">
        <v>2193</v>
      </c>
      <c r="C1123" s="1">
        <v>45426</v>
      </c>
      <c r="D1123" s="2">
        <v>676.06</v>
      </c>
      <c r="E1123" t="s">
        <v>4694</v>
      </c>
      <c r="F1123" s="2">
        <v>56.71</v>
      </c>
    </row>
    <row r="1124" spans="1:6" x14ac:dyDescent="0.35">
      <c r="A1124" t="s">
        <v>5817</v>
      </c>
      <c r="B1124" t="s">
        <v>2195</v>
      </c>
      <c r="C1124" s="1">
        <v>45513</v>
      </c>
      <c r="D1124" s="2">
        <v>132.69999999999999</v>
      </c>
      <c r="E1124" t="s">
        <v>4694</v>
      </c>
      <c r="F1124" s="2">
        <v>11.66</v>
      </c>
    </row>
    <row r="1125" spans="1:6" x14ac:dyDescent="0.35">
      <c r="A1125" t="s">
        <v>5818</v>
      </c>
      <c r="B1125" t="s">
        <v>2196</v>
      </c>
      <c r="C1125" s="1">
        <v>45080</v>
      </c>
      <c r="D1125" s="2">
        <v>653.32000000000005</v>
      </c>
      <c r="E1125" t="s">
        <v>4694</v>
      </c>
      <c r="F1125" s="2">
        <v>269.52</v>
      </c>
    </row>
    <row r="1126" spans="1:6" x14ac:dyDescent="0.35">
      <c r="A1126" t="s">
        <v>5819</v>
      </c>
      <c r="B1126" t="s">
        <v>2197</v>
      </c>
      <c r="C1126" s="1">
        <v>45414</v>
      </c>
      <c r="D1126" s="2">
        <v>49.06</v>
      </c>
      <c r="E1126" t="s">
        <v>4694</v>
      </c>
      <c r="F1126" s="2">
        <v>3.01</v>
      </c>
    </row>
    <row r="1127" spans="1:6" x14ac:dyDescent="0.35">
      <c r="A1127" t="s">
        <v>5820</v>
      </c>
      <c r="B1127" t="s">
        <v>2198</v>
      </c>
      <c r="C1127" s="1">
        <v>45331</v>
      </c>
      <c r="D1127" s="2">
        <v>301.31</v>
      </c>
      <c r="E1127" t="s">
        <v>4694</v>
      </c>
      <c r="F1127" s="2">
        <v>40</v>
      </c>
    </row>
    <row r="1128" spans="1:6" x14ac:dyDescent="0.35">
      <c r="A1128" t="s">
        <v>5821</v>
      </c>
      <c r="B1128" t="s">
        <v>2199</v>
      </c>
      <c r="C1128" s="1">
        <v>44985</v>
      </c>
      <c r="D1128" s="2">
        <v>457.38</v>
      </c>
      <c r="E1128" t="s">
        <v>4694</v>
      </c>
      <c r="F1128" s="2">
        <v>106.14</v>
      </c>
    </row>
    <row r="1129" spans="1:6" x14ac:dyDescent="0.35">
      <c r="A1129" t="s">
        <v>5822</v>
      </c>
      <c r="B1129" t="s">
        <v>2200</v>
      </c>
      <c r="C1129" s="1">
        <v>45379</v>
      </c>
      <c r="D1129" s="2">
        <v>158.15</v>
      </c>
      <c r="E1129" t="s">
        <v>4694</v>
      </c>
      <c r="F1129" s="2">
        <v>21.75</v>
      </c>
    </row>
    <row r="1130" spans="1:6" x14ac:dyDescent="0.35">
      <c r="A1130" t="s">
        <v>5823</v>
      </c>
      <c r="B1130" t="s">
        <v>2201</v>
      </c>
      <c r="C1130" s="1">
        <v>45451</v>
      </c>
      <c r="D1130" s="2">
        <v>1651.26</v>
      </c>
      <c r="E1130" t="s">
        <v>4694</v>
      </c>
      <c r="F1130" s="2">
        <v>79.680000000000007</v>
      </c>
    </row>
    <row r="1131" spans="1:6" x14ac:dyDescent="0.35">
      <c r="A1131" t="s">
        <v>5824</v>
      </c>
      <c r="B1131" t="s">
        <v>2203</v>
      </c>
      <c r="C1131" s="1">
        <v>45228</v>
      </c>
      <c r="D1131" s="2">
        <v>257.52</v>
      </c>
      <c r="E1131" t="s">
        <v>4694</v>
      </c>
      <c r="F1131" s="2">
        <v>38.950000000000003</v>
      </c>
    </row>
    <row r="1132" spans="1:6" x14ac:dyDescent="0.35">
      <c r="A1132" t="s">
        <v>5825</v>
      </c>
      <c r="B1132" t="s">
        <v>2204</v>
      </c>
      <c r="C1132" s="1">
        <v>45610</v>
      </c>
      <c r="D1132" s="2">
        <v>5324.15</v>
      </c>
      <c r="E1132" t="s">
        <v>4694</v>
      </c>
      <c r="F1132" s="2">
        <v>1559.08</v>
      </c>
    </row>
    <row r="1133" spans="1:6" x14ac:dyDescent="0.35">
      <c r="A1133" t="s">
        <v>5826</v>
      </c>
      <c r="B1133" t="s">
        <v>2205</v>
      </c>
      <c r="C1133" s="1">
        <v>45652</v>
      </c>
      <c r="D1133" s="2">
        <v>117.63</v>
      </c>
      <c r="E1133" t="s">
        <v>4697</v>
      </c>
      <c r="F1133" s="2">
        <v>68.680000000000007</v>
      </c>
    </row>
    <row r="1134" spans="1:6" x14ac:dyDescent="0.35">
      <c r="A1134" t="s">
        <v>5827</v>
      </c>
      <c r="B1134" t="s">
        <v>2206</v>
      </c>
      <c r="C1134" s="1">
        <v>45676</v>
      </c>
      <c r="D1134" s="2">
        <v>162.78</v>
      </c>
      <c r="E1134" t="s">
        <v>4694</v>
      </c>
      <c r="F1134" s="2">
        <v>61.09</v>
      </c>
    </row>
    <row r="1135" spans="1:6" x14ac:dyDescent="0.35">
      <c r="A1135" t="s">
        <v>5828</v>
      </c>
      <c r="B1135" t="s">
        <v>2208</v>
      </c>
      <c r="C1135" s="1">
        <v>45126</v>
      </c>
      <c r="D1135" s="2">
        <v>909.78</v>
      </c>
      <c r="E1135" t="s">
        <v>4694</v>
      </c>
      <c r="F1135" s="2">
        <v>203.81</v>
      </c>
    </row>
    <row r="1136" spans="1:6" x14ac:dyDescent="0.35">
      <c r="A1136" t="s">
        <v>5829</v>
      </c>
      <c r="B1136" t="s">
        <v>2209</v>
      </c>
      <c r="C1136" s="1">
        <v>45308</v>
      </c>
      <c r="D1136" s="2">
        <v>2847.88</v>
      </c>
      <c r="E1136" t="s">
        <v>4694</v>
      </c>
      <c r="F1136" s="2">
        <v>412.16</v>
      </c>
    </row>
    <row r="1137" spans="1:6" x14ac:dyDescent="0.35">
      <c r="A1137" t="s">
        <v>5830</v>
      </c>
      <c r="B1137" t="s">
        <v>2210</v>
      </c>
      <c r="C1137" s="1">
        <v>45158</v>
      </c>
      <c r="D1137" s="2">
        <v>501.4</v>
      </c>
      <c r="E1137" t="s">
        <v>4694</v>
      </c>
      <c r="F1137" s="2">
        <v>107.32</v>
      </c>
    </row>
    <row r="1138" spans="1:6" x14ac:dyDescent="0.35">
      <c r="A1138" t="s">
        <v>5831</v>
      </c>
      <c r="B1138" t="s">
        <v>2211</v>
      </c>
      <c r="C1138" s="1">
        <v>45404</v>
      </c>
      <c r="D1138" s="2">
        <v>298.58999999999997</v>
      </c>
      <c r="E1138" t="s">
        <v>4694</v>
      </c>
      <c r="F1138" s="2">
        <v>89.83</v>
      </c>
    </row>
    <row r="1139" spans="1:6" x14ac:dyDescent="0.35">
      <c r="A1139" t="s">
        <v>5832</v>
      </c>
      <c r="B1139" t="s">
        <v>2212</v>
      </c>
      <c r="C1139" s="1">
        <v>45237</v>
      </c>
      <c r="D1139" s="2">
        <v>3582.46</v>
      </c>
      <c r="E1139" t="s">
        <v>4694</v>
      </c>
      <c r="F1139" s="2">
        <v>1650.37</v>
      </c>
    </row>
    <row r="1140" spans="1:6" x14ac:dyDescent="0.35">
      <c r="A1140" t="s">
        <v>5833</v>
      </c>
      <c r="B1140" t="s">
        <v>2213</v>
      </c>
      <c r="C1140" s="1">
        <v>45310</v>
      </c>
      <c r="D1140" s="2">
        <v>339.22</v>
      </c>
      <c r="E1140" t="s">
        <v>4694</v>
      </c>
      <c r="F1140" s="2">
        <v>28.68</v>
      </c>
    </row>
    <row r="1141" spans="1:6" x14ac:dyDescent="0.35">
      <c r="A1141" t="s">
        <v>5834</v>
      </c>
      <c r="B1141" t="s">
        <v>2214</v>
      </c>
      <c r="C1141" s="1">
        <v>45359</v>
      </c>
      <c r="D1141" s="2">
        <v>608.51</v>
      </c>
      <c r="E1141" t="s">
        <v>4694</v>
      </c>
      <c r="F1141" s="2">
        <v>126.59</v>
      </c>
    </row>
    <row r="1142" spans="1:6" x14ac:dyDescent="0.35">
      <c r="A1142" t="s">
        <v>5835</v>
      </c>
      <c r="B1142" t="s">
        <v>2215</v>
      </c>
      <c r="C1142" s="1">
        <v>45483</v>
      </c>
      <c r="D1142" s="2">
        <v>4556.47</v>
      </c>
      <c r="E1142" t="s">
        <v>4694</v>
      </c>
      <c r="F1142" s="2">
        <v>2468.67</v>
      </c>
    </row>
    <row r="1143" spans="1:6" x14ac:dyDescent="0.35">
      <c r="A1143" t="s">
        <v>5836</v>
      </c>
      <c r="B1143" t="s">
        <v>2216</v>
      </c>
      <c r="C1143" s="1">
        <v>45202</v>
      </c>
      <c r="D1143" s="2">
        <v>134.71</v>
      </c>
      <c r="E1143" t="s">
        <v>4694</v>
      </c>
      <c r="F1143" s="2">
        <v>26.79</v>
      </c>
    </row>
    <row r="1144" spans="1:6" x14ac:dyDescent="0.35">
      <c r="A1144" t="s">
        <v>5837</v>
      </c>
      <c r="B1144" t="s">
        <v>2219</v>
      </c>
      <c r="C1144" s="1">
        <v>45674</v>
      </c>
      <c r="D1144" s="2">
        <v>249.74</v>
      </c>
      <c r="E1144" t="s">
        <v>4694</v>
      </c>
      <c r="F1144" s="2">
        <v>33.24</v>
      </c>
    </row>
    <row r="1145" spans="1:6" x14ac:dyDescent="0.35">
      <c r="A1145" t="s">
        <v>5838</v>
      </c>
      <c r="B1145" t="s">
        <v>2220</v>
      </c>
      <c r="C1145" s="1">
        <v>45548</v>
      </c>
      <c r="D1145" s="2">
        <v>1789.59</v>
      </c>
      <c r="E1145" t="s">
        <v>4694</v>
      </c>
      <c r="F1145" s="2">
        <v>268.2</v>
      </c>
    </row>
    <row r="1146" spans="1:6" x14ac:dyDescent="0.35">
      <c r="A1146" t="s">
        <v>5839</v>
      </c>
      <c r="B1146" t="s">
        <v>2221</v>
      </c>
      <c r="C1146" s="1">
        <v>45520</v>
      </c>
      <c r="D1146" s="2">
        <v>1128.6600000000001</v>
      </c>
      <c r="E1146" t="s">
        <v>4694</v>
      </c>
      <c r="F1146" s="2">
        <v>430.1</v>
      </c>
    </row>
    <row r="1147" spans="1:6" x14ac:dyDescent="0.35">
      <c r="A1147" t="s">
        <v>5840</v>
      </c>
      <c r="B1147" t="s">
        <v>2222</v>
      </c>
      <c r="C1147" s="1">
        <v>45414</v>
      </c>
      <c r="D1147" s="2">
        <v>923.8</v>
      </c>
      <c r="E1147" t="s">
        <v>4694</v>
      </c>
      <c r="F1147" s="2">
        <v>238.72</v>
      </c>
    </row>
    <row r="1148" spans="1:6" x14ac:dyDescent="0.35">
      <c r="A1148" t="s">
        <v>5841</v>
      </c>
      <c r="B1148" t="s">
        <v>2223</v>
      </c>
      <c r="C1148" s="1">
        <v>45040</v>
      </c>
      <c r="D1148" s="2">
        <v>585.69000000000005</v>
      </c>
      <c r="E1148" t="s">
        <v>4694</v>
      </c>
      <c r="F1148" s="2">
        <v>105.91</v>
      </c>
    </row>
    <row r="1149" spans="1:6" x14ac:dyDescent="0.35">
      <c r="A1149" t="s">
        <v>5842</v>
      </c>
      <c r="B1149" t="s">
        <v>2224</v>
      </c>
      <c r="C1149" s="1">
        <v>45636</v>
      </c>
      <c r="D1149" s="2">
        <v>75.94</v>
      </c>
      <c r="E1149" t="s">
        <v>4694</v>
      </c>
      <c r="F1149" s="2">
        <v>39.35</v>
      </c>
    </row>
    <row r="1150" spans="1:6" x14ac:dyDescent="0.35">
      <c r="A1150" t="s">
        <v>5843</v>
      </c>
      <c r="B1150" t="s">
        <v>2225</v>
      </c>
      <c r="C1150" s="1">
        <v>45070</v>
      </c>
      <c r="D1150" s="2">
        <v>777.76</v>
      </c>
      <c r="E1150" t="s">
        <v>4697</v>
      </c>
      <c r="F1150" s="2">
        <v>210.43</v>
      </c>
    </row>
    <row r="1151" spans="1:6" x14ac:dyDescent="0.35">
      <c r="A1151" t="s">
        <v>5844</v>
      </c>
      <c r="B1151" t="s">
        <v>2226</v>
      </c>
      <c r="C1151" s="1">
        <v>45405</v>
      </c>
      <c r="D1151" s="2">
        <v>2066.61</v>
      </c>
      <c r="E1151" t="s">
        <v>4697</v>
      </c>
      <c r="F1151" s="2">
        <v>571.45000000000005</v>
      </c>
    </row>
    <row r="1152" spans="1:6" x14ac:dyDescent="0.35">
      <c r="A1152" t="s">
        <v>5845</v>
      </c>
      <c r="B1152" t="s">
        <v>2227</v>
      </c>
      <c r="C1152" s="1">
        <v>45396</v>
      </c>
      <c r="D1152" s="2">
        <v>950.91</v>
      </c>
      <c r="E1152" t="s">
        <v>4694</v>
      </c>
      <c r="F1152" s="2">
        <v>422.03</v>
      </c>
    </row>
    <row r="1153" spans="1:6" x14ac:dyDescent="0.35">
      <c r="A1153" t="s">
        <v>5846</v>
      </c>
      <c r="B1153" t="s">
        <v>2228</v>
      </c>
      <c r="C1153" s="1">
        <v>45113</v>
      </c>
      <c r="D1153" s="2">
        <v>128.75</v>
      </c>
      <c r="E1153" t="s">
        <v>4694</v>
      </c>
      <c r="F1153" s="2">
        <v>53.89</v>
      </c>
    </row>
    <row r="1154" spans="1:6" x14ac:dyDescent="0.35">
      <c r="A1154" t="s">
        <v>5847</v>
      </c>
      <c r="B1154" t="s">
        <v>2229</v>
      </c>
      <c r="C1154" s="1">
        <v>45460</v>
      </c>
      <c r="D1154" s="2">
        <v>4237.79</v>
      </c>
      <c r="E1154" t="s">
        <v>4694</v>
      </c>
      <c r="F1154" s="2">
        <v>629.52</v>
      </c>
    </row>
    <row r="1155" spans="1:6" x14ac:dyDescent="0.35">
      <c r="A1155" t="s">
        <v>5848</v>
      </c>
      <c r="B1155" t="s">
        <v>2230</v>
      </c>
      <c r="C1155" s="1">
        <v>45339</v>
      </c>
      <c r="D1155" s="2">
        <v>2953.61</v>
      </c>
      <c r="E1155" t="s">
        <v>4694</v>
      </c>
      <c r="F1155" s="2">
        <v>798.94</v>
      </c>
    </row>
    <row r="1156" spans="1:6" x14ac:dyDescent="0.35">
      <c r="A1156" t="s">
        <v>5849</v>
      </c>
      <c r="B1156" t="s">
        <v>2231</v>
      </c>
      <c r="C1156" s="1">
        <v>44999</v>
      </c>
      <c r="D1156" s="2">
        <v>106.01</v>
      </c>
      <c r="E1156" t="s">
        <v>4694</v>
      </c>
      <c r="F1156" s="2">
        <v>57.23</v>
      </c>
    </row>
    <row r="1157" spans="1:6" x14ac:dyDescent="0.35">
      <c r="A1157" t="s">
        <v>5850</v>
      </c>
      <c r="B1157" t="s">
        <v>2232</v>
      </c>
      <c r="C1157" s="1">
        <v>45263</v>
      </c>
      <c r="D1157" s="2">
        <v>656.93</v>
      </c>
      <c r="E1157" t="s">
        <v>4694</v>
      </c>
      <c r="F1157" s="2">
        <v>364.55</v>
      </c>
    </row>
    <row r="1158" spans="1:6" x14ac:dyDescent="0.35">
      <c r="A1158" t="s">
        <v>5851</v>
      </c>
      <c r="B1158" t="s">
        <v>2233</v>
      </c>
      <c r="C1158" s="1">
        <v>45460</v>
      </c>
      <c r="D1158" s="2">
        <v>91.65</v>
      </c>
      <c r="E1158" t="s">
        <v>4694</v>
      </c>
      <c r="F1158" s="2">
        <v>38.32</v>
      </c>
    </row>
    <row r="1159" spans="1:6" x14ac:dyDescent="0.35">
      <c r="A1159" t="s">
        <v>5852</v>
      </c>
      <c r="B1159" t="s">
        <v>2234</v>
      </c>
      <c r="C1159" s="1">
        <v>45175</v>
      </c>
      <c r="D1159" s="2">
        <v>3727.26</v>
      </c>
      <c r="E1159" t="s">
        <v>4694</v>
      </c>
      <c r="F1159" s="2">
        <v>523.57000000000005</v>
      </c>
    </row>
    <row r="1160" spans="1:6" x14ac:dyDescent="0.35">
      <c r="A1160" t="s">
        <v>5853</v>
      </c>
      <c r="B1160" t="s">
        <v>2235</v>
      </c>
      <c r="C1160" s="1">
        <v>45337</v>
      </c>
      <c r="D1160" s="2">
        <v>79.45</v>
      </c>
      <c r="E1160" t="s">
        <v>4694</v>
      </c>
      <c r="F1160" s="2">
        <v>16.3</v>
      </c>
    </row>
    <row r="1161" spans="1:6" x14ac:dyDescent="0.35">
      <c r="A1161" t="s">
        <v>5854</v>
      </c>
      <c r="B1161" t="s">
        <v>2236</v>
      </c>
      <c r="C1161" s="1">
        <v>45406</v>
      </c>
      <c r="D1161" s="2">
        <v>94.13</v>
      </c>
      <c r="E1161" t="s">
        <v>4694</v>
      </c>
      <c r="F1161" s="2">
        <v>24.01</v>
      </c>
    </row>
    <row r="1162" spans="1:6" x14ac:dyDescent="0.35">
      <c r="A1162" t="s">
        <v>5855</v>
      </c>
      <c r="B1162" t="s">
        <v>2237</v>
      </c>
      <c r="C1162" s="1">
        <v>45572</v>
      </c>
      <c r="D1162" s="2">
        <v>572.22</v>
      </c>
      <c r="E1162" t="s">
        <v>4694</v>
      </c>
      <c r="F1162" s="2">
        <v>251.81</v>
      </c>
    </row>
    <row r="1163" spans="1:6" x14ac:dyDescent="0.35">
      <c r="A1163" t="s">
        <v>5856</v>
      </c>
      <c r="B1163" t="s">
        <v>2238</v>
      </c>
      <c r="C1163" s="1">
        <v>45554</v>
      </c>
      <c r="D1163" s="2">
        <v>1162.72</v>
      </c>
      <c r="E1163" t="s">
        <v>4694</v>
      </c>
      <c r="F1163" s="2">
        <v>159.6</v>
      </c>
    </row>
    <row r="1164" spans="1:6" x14ac:dyDescent="0.35">
      <c r="A1164" t="s">
        <v>5857</v>
      </c>
      <c r="B1164" t="s">
        <v>2239</v>
      </c>
      <c r="C1164" s="1">
        <v>45148</v>
      </c>
      <c r="D1164" s="2">
        <v>1123.7</v>
      </c>
      <c r="E1164" t="s">
        <v>4694</v>
      </c>
      <c r="F1164" s="2">
        <v>331.59</v>
      </c>
    </row>
    <row r="1165" spans="1:6" x14ac:dyDescent="0.35">
      <c r="A1165" t="s">
        <v>5858</v>
      </c>
      <c r="B1165" t="s">
        <v>2240</v>
      </c>
      <c r="C1165" s="1">
        <v>45182</v>
      </c>
      <c r="D1165" s="2">
        <v>3719.09</v>
      </c>
      <c r="E1165" t="s">
        <v>4697</v>
      </c>
      <c r="F1165" s="2">
        <v>1078.68</v>
      </c>
    </row>
    <row r="1166" spans="1:6" x14ac:dyDescent="0.35">
      <c r="A1166" t="s">
        <v>5859</v>
      </c>
      <c r="B1166" t="s">
        <v>2241</v>
      </c>
      <c r="C1166" s="1">
        <v>45476</v>
      </c>
      <c r="D1166" s="2">
        <v>1671.74</v>
      </c>
      <c r="E1166" t="s">
        <v>4694</v>
      </c>
      <c r="F1166" s="2">
        <v>504.39</v>
      </c>
    </row>
    <row r="1167" spans="1:6" x14ac:dyDescent="0.35">
      <c r="A1167" t="s">
        <v>5860</v>
      </c>
      <c r="B1167" t="s">
        <v>2242</v>
      </c>
      <c r="C1167" s="1">
        <v>45416</v>
      </c>
      <c r="D1167" s="2">
        <v>3489.95</v>
      </c>
      <c r="E1167" t="s">
        <v>4694</v>
      </c>
      <c r="F1167" s="2">
        <v>677.02</v>
      </c>
    </row>
    <row r="1168" spans="1:6" x14ac:dyDescent="0.35">
      <c r="A1168" t="s">
        <v>5861</v>
      </c>
      <c r="B1168" t="s">
        <v>2243</v>
      </c>
      <c r="C1168" s="1">
        <v>45080</v>
      </c>
      <c r="D1168" s="2">
        <v>129.75</v>
      </c>
      <c r="E1168" t="s">
        <v>4694</v>
      </c>
      <c r="F1168" s="2">
        <v>34.450000000000003</v>
      </c>
    </row>
    <row r="1169" spans="1:6" x14ac:dyDescent="0.35">
      <c r="A1169" t="s">
        <v>5862</v>
      </c>
      <c r="B1169" t="s">
        <v>2244</v>
      </c>
      <c r="C1169" s="1">
        <v>45076</v>
      </c>
      <c r="D1169" s="2">
        <v>3570.41</v>
      </c>
      <c r="E1169" t="s">
        <v>4694</v>
      </c>
      <c r="F1169" s="2">
        <v>1649.56</v>
      </c>
    </row>
    <row r="1170" spans="1:6" x14ac:dyDescent="0.35">
      <c r="A1170" t="s">
        <v>5863</v>
      </c>
      <c r="B1170" t="s">
        <v>2245</v>
      </c>
      <c r="C1170" s="1">
        <v>44965</v>
      </c>
      <c r="D1170" s="2">
        <v>2869.89</v>
      </c>
      <c r="E1170" t="s">
        <v>4694</v>
      </c>
      <c r="F1170" s="2">
        <v>1441.08</v>
      </c>
    </row>
    <row r="1171" spans="1:6" x14ac:dyDescent="0.35">
      <c r="A1171" t="s">
        <v>5864</v>
      </c>
      <c r="B1171" t="s">
        <v>2246</v>
      </c>
      <c r="C1171" s="1">
        <v>45081</v>
      </c>
      <c r="D1171" s="2">
        <v>106.53</v>
      </c>
      <c r="E1171" t="s">
        <v>4694</v>
      </c>
      <c r="F1171" s="2">
        <v>35.1</v>
      </c>
    </row>
    <row r="1172" spans="1:6" x14ac:dyDescent="0.35">
      <c r="A1172" t="s">
        <v>5865</v>
      </c>
      <c r="B1172" t="s">
        <v>2247</v>
      </c>
      <c r="C1172" s="1">
        <v>45524</v>
      </c>
      <c r="D1172" s="2">
        <v>4748.33</v>
      </c>
      <c r="E1172" t="s">
        <v>4694</v>
      </c>
      <c r="F1172" s="2">
        <v>463</v>
      </c>
    </row>
    <row r="1173" spans="1:6" x14ac:dyDescent="0.35">
      <c r="A1173" t="s">
        <v>5866</v>
      </c>
      <c r="B1173" t="s">
        <v>2248</v>
      </c>
      <c r="C1173" s="1">
        <v>45275</v>
      </c>
      <c r="D1173" s="2">
        <v>67.180000000000007</v>
      </c>
      <c r="E1173" t="s">
        <v>4694</v>
      </c>
      <c r="F1173" s="2">
        <v>30.89</v>
      </c>
    </row>
    <row r="1174" spans="1:6" x14ac:dyDescent="0.35">
      <c r="A1174" t="s">
        <v>5867</v>
      </c>
      <c r="B1174" t="s">
        <v>2250</v>
      </c>
      <c r="C1174" s="1">
        <v>45087</v>
      </c>
      <c r="D1174" s="2">
        <v>1390.37</v>
      </c>
      <c r="E1174" t="s">
        <v>4694</v>
      </c>
      <c r="F1174" s="2">
        <v>443.18</v>
      </c>
    </row>
    <row r="1175" spans="1:6" x14ac:dyDescent="0.35">
      <c r="A1175" t="s">
        <v>5868</v>
      </c>
      <c r="B1175" t="s">
        <v>2252</v>
      </c>
      <c r="C1175" s="1">
        <v>45068</v>
      </c>
      <c r="D1175" s="2">
        <v>433.37</v>
      </c>
      <c r="E1175" t="s">
        <v>4697</v>
      </c>
      <c r="F1175" s="2">
        <v>106.75</v>
      </c>
    </row>
    <row r="1176" spans="1:6" x14ac:dyDescent="0.35">
      <c r="A1176" t="s">
        <v>5869</v>
      </c>
      <c r="B1176" t="s">
        <v>2254</v>
      </c>
      <c r="C1176" s="1">
        <v>45528</v>
      </c>
      <c r="D1176" s="2">
        <v>397.47</v>
      </c>
      <c r="E1176" t="s">
        <v>4694</v>
      </c>
      <c r="F1176" s="2">
        <v>54.77</v>
      </c>
    </row>
    <row r="1177" spans="1:6" x14ac:dyDescent="0.35">
      <c r="A1177" t="s">
        <v>5870</v>
      </c>
      <c r="B1177" t="s">
        <v>2255</v>
      </c>
      <c r="C1177" s="1">
        <v>45046</v>
      </c>
      <c r="D1177" s="2">
        <v>6135.32</v>
      </c>
      <c r="E1177" t="s">
        <v>4694</v>
      </c>
      <c r="F1177" s="2">
        <v>1003.34</v>
      </c>
    </row>
    <row r="1178" spans="1:6" x14ac:dyDescent="0.35">
      <c r="A1178" t="s">
        <v>5871</v>
      </c>
      <c r="B1178" t="s">
        <v>2256</v>
      </c>
      <c r="C1178" s="1">
        <v>45058</v>
      </c>
      <c r="D1178" s="2">
        <v>321.51</v>
      </c>
      <c r="E1178" t="s">
        <v>4694</v>
      </c>
      <c r="F1178" s="2">
        <v>51.28</v>
      </c>
    </row>
    <row r="1179" spans="1:6" x14ac:dyDescent="0.35">
      <c r="A1179" t="s">
        <v>5872</v>
      </c>
      <c r="B1179" t="s">
        <v>2257</v>
      </c>
      <c r="C1179" s="1">
        <v>45022</v>
      </c>
      <c r="D1179" s="2">
        <v>4122.12</v>
      </c>
      <c r="E1179" t="s">
        <v>4694</v>
      </c>
      <c r="F1179" s="2">
        <v>386.73</v>
      </c>
    </row>
    <row r="1180" spans="1:6" x14ac:dyDescent="0.35">
      <c r="A1180" t="s">
        <v>5873</v>
      </c>
      <c r="B1180" t="s">
        <v>2258</v>
      </c>
      <c r="C1180" s="1">
        <v>44984</v>
      </c>
      <c r="D1180" s="2">
        <v>3541.22</v>
      </c>
      <c r="E1180" t="s">
        <v>4694</v>
      </c>
      <c r="F1180" s="2">
        <v>1315.17</v>
      </c>
    </row>
    <row r="1181" spans="1:6" x14ac:dyDescent="0.35">
      <c r="A1181" t="s">
        <v>5874</v>
      </c>
      <c r="B1181" t="s">
        <v>2260</v>
      </c>
      <c r="C1181" s="1">
        <v>45007</v>
      </c>
      <c r="D1181" s="2">
        <v>47.72</v>
      </c>
      <c r="E1181" t="s">
        <v>4694</v>
      </c>
      <c r="F1181" s="2">
        <v>8.9700000000000006</v>
      </c>
    </row>
    <row r="1182" spans="1:6" x14ac:dyDescent="0.35">
      <c r="A1182" t="s">
        <v>5875</v>
      </c>
      <c r="B1182" t="s">
        <v>2262</v>
      </c>
      <c r="C1182" s="1">
        <v>44982</v>
      </c>
      <c r="D1182" s="2">
        <v>479.93</v>
      </c>
      <c r="E1182" t="s">
        <v>4694</v>
      </c>
      <c r="F1182" s="2">
        <v>26.19</v>
      </c>
    </row>
    <row r="1183" spans="1:6" x14ac:dyDescent="0.35">
      <c r="A1183" t="s">
        <v>5876</v>
      </c>
      <c r="B1183" t="s">
        <v>2264</v>
      </c>
      <c r="C1183" s="1">
        <v>45152</v>
      </c>
      <c r="D1183" s="2">
        <v>129.88999999999999</v>
      </c>
      <c r="E1183" t="s">
        <v>4694</v>
      </c>
      <c r="F1183" s="2">
        <v>42.73</v>
      </c>
    </row>
    <row r="1184" spans="1:6" x14ac:dyDescent="0.35">
      <c r="A1184" t="s">
        <v>5877</v>
      </c>
      <c r="B1184" t="s">
        <v>2265</v>
      </c>
      <c r="C1184" s="1">
        <v>45407</v>
      </c>
      <c r="D1184" s="2">
        <v>196.65</v>
      </c>
      <c r="E1184" t="s">
        <v>4694</v>
      </c>
      <c r="F1184" s="2">
        <v>13.96</v>
      </c>
    </row>
    <row r="1185" spans="1:6" x14ac:dyDescent="0.35">
      <c r="A1185" t="s">
        <v>5878</v>
      </c>
      <c r="B1185" t="s">
        <v>2266</v>
      </c>
      <c r="C1185" s="1">
        <v>45514</v>
      </c>
      <c r="D1185" s="2">
        <v>533.41999999999996</v>
      </c>
      <c r="E1185" t="s">
        <v>4694</v>
      </c>
      <c r="F1185" s="2">
        <v>299.57</v>
      </c>
    </row>
    <row r="1186" spans="1:6" x14ac:dyDescent="0.35">
      <c r="A1186" t="s">
        <v>5879</v>
      </c>
      <c r="B1186" t="s">
        <v>2267</v>
      </c>
      <c r="C1186" s="1">
        <v>45640</v>
      </c>
      <c r="D1186" s="2">
        <v>86.08</v>
      </c>
      <c r="E1186" t="s">
        <v>4694</v>
      </c>
      <c r="F1186" s="2">
        <v>8.7100000000000009</v>
      </c>
    </row>
    <row r="1187" spans="1:6" x14ac:dyDescent="0.35">
      <c r="A1187" t="s">
        <v>5880</v>
      </c>
      <c r="B1187" t="s">
        <v>2268</v>
      </c>
      <c r="C1187" s="1">
        <v>45391</v>
      </c>
      <c r="D1187" s="2">
        <v>1040.1099999999999</v>
      </c>
      <c r="E1187" t="s">
        <v>4694</v>
      </c>
      <c r="F1187" s="2">
        <v>468.21</v>
      </c>
    </row>
    <row r="1188" spans="1:6" x14ac:dyDescent="0.35">
      <c r="A1188" t="s">
        <v>5881</v>
      </c>
      <c r="B1188" t="s">
        <v>2270</v>
      </c>
      <c r="C1188" s="1">
        <v>45099</v>
      </c>
      <c r="D1188" s="2">
        <v>194.57</v>
      </c>
      <c r="E1188" t="s">
        <v>4694</v>
      </c>
      <c r="F1188" s="2">
        <v>18.79</v>
      </c>
    </row>
    <row r="1189" spans="1:6" x14ac:dyDescent="0.35">
      <c r="A1189" t="s">
        <v>5882</v>
      </c>
      <c r="B1189" t="s">
        <v>2271</v>
      </c>
      <c r="C1189" s="1">
        <v>45041</v>
      </c>
      <c r="D1189" s="2">
        <v>354.16</v>
      </c>
      <c r="E1189" t="s">
        <v>4694</v>
      </c>
      <c r="F1189" s="2">
        <v>54.38</v>
      </c>
    </row>
    <row r="1190" spans="1:6" x14ac:dyDescent="0.35">
      <c r="A1190" t="s">
        <v>5883</v>
      </c>
      <c r="B1190" t="s">
        <v>2273</v>
      </c>
      <c r="C1190" s="1">
        <v>45339</v>
      </c>
      <c r="D1190" s="2">
        <v>2894.6</v>
      </c>
      <c r="E1190" t="s">
        <v>4694</v>
      </c>
      <c r="F1190" s="2">
        <v>1592.16</v>
      </c>
    </row>
    <row r="1191" spans="1:6" x14ac:dyDescent="0.35">
      <c r="A1191" t="s">
        <v>5884</v>
      </c>
      <c r="B1191" t="s">
        <v>2276</v>
      </c>
      <c r="C1191" s="1">
        <v>45489</v>
      </c>
      <c r="D1191" s="2">
        <v>99.65</v>
      </c>
      <c r="E1191" t="s">
        <v>4694</v>
      </c>
      <c r="F1191" s="2">
        <v>19.8</v>
      </c>
    </row>
    <row r="1192" spans="1:6" x14ac:dyDescent="0.35">
      <c r="A1192" t="s">
        <v>5885</v>
      </c>
      <c r="B1192" t="s">
        <v>2277</v>
      </c>
      <c r="C1192" s="1">
        <v>45189</v>
      </c>
      <c r="D1192" s="2">
        <v>32.619999999999997</v>
      </c>
      <c r="E1192" t="s">
        <v>4694</v>
      </c>
      <c r="F1192" s="2">
        <v>19.64</v>
      </c>
    </row>
    <row r="1193" spans="1:6" x14ac:dyDescent="0.35">
      <c r="A1193" t="s">
        <v>5886</v>
      </c>
      <c r="B1193" t="s">
        <v>2278</v>
      </c>
      <c r="C1193" s="1">
        <v>45349</v>
      </c>
      <c r="D1193" s="2">
        <v>338.16</v>
      </c>
      <c r="E1193" t="s">
        <v>4694</v>
      </c>
      <c r="F1193" s="2">
        <v>70.900000000000006</v>
      </c>
    </row>
    <row r="1194" spans="1:6" x14ac:dyDescent="0.35">
      <c r="A1194" t="s">
        <v>5887</v>
      </c>
      <c r="B1194" t="s">
        <v>2279</v>
      </c>
      <c r="C1194" s="1">
        <v>45086</v>
      </c>
      <c r="D1194" s="2">
        <v>1358.78</v>
      </c>
      <c r="E1194" t="s">
        <v>4694</v>
      </c>
      <c r="F1194" s="2">
        <v>652.41</v>
      </c>
    </row>
    <row r="1195" spans="1:6" x14ac:dyDescent="0.35">
      <c r="A1195" t="s">
        <v>5888</v>
      </c>
      <c r="B1195" t="s">
        <v>2280</v>
      </c>
      <c r="C1195" s="1">
        <v>45436</v>
      </c>
      <c r="D1195" s="2">
        <v>139.03</v>
      </c>
      <c r="E1195" t="s">
        <v>4694</v>
      </c>
      <c r="F1195" s="2">
        <v>30.71</v>
      </c>
    </row>
    <row r="1196" spans="1:6" x14ac:dyDescent="0.35">
      <c r="A1196" t="s">
        <v>5889</v>
      </c>
      <c r="B1196" t="s">
        <v>2281</v>
      </c>
      <c r="C1196" s="1">
        <v>45375</v>
      </c>
      <c r="D1196" s="2">
        <v>1298.77</v>
      </c>
      <c r="E1196" t="s">
        <v>4694</v>
      </c>
      <c r="F1196" s="2">
        <v>60.73</v>
      </c>
    </row>
    <row r="1197" spans="1:6" x14ac:dyDescent="0.35">
      <c r="A1197" t="s">
        <v>5890</v>
      </c>
      <c r="B1197" t="s">
        <v>2282</v>
      </c>
      <c r="C1197" s="1">
        <v>44967</v>
      </c>
      <c r="D1197" s="2">
        <v>1036.81</v>
      </c>
      <c r="E1197" t="s">
        <v>4694</v>
      </c>
      <c r="F1197" s="2">
        <v>212.01</v>
      </c>
    </row>
    <row r="1198" spans="1:6" x14ac:dyDescent="0.35">
      <c r="A1198" t="s">
        <v>5891</v>
      </c>
      <c r="B1198" t="s">
        <v>2283</v>
      </c>
      <c r="C1198" s="1">
        <v>45301</v>
      </c>
      <c r="D1198" s="2">
        <v>3539</v>
      </c>
      <c r="E1198" t="s">
        <v>4694</v>
      </c>
      <c r="F1198" s="2">
        <v>647.04</v>
      </c>
    </row>
    <row r="1199" spans="1:6" x14ac:dyDescent="0.35">
      <c r="A1199" t="s">
        <v>5892</v>
      </c>
      <c r="B1199" t="s">
        <v>2285</v>
      </c>
      <c r="C1199" s="1">
        <v>45312</v>
      </c>
      <c r="D1199" s="2">
        <v>105.59</v>
      </c>
      <c r="E1199" t="s">
        <v>4694</v>
      </c>
      <c r="F1199" s="2">
        <v>7.32</v>
      </c>
    </row>
    <row r="1200" spans="1:6" x14ac:dyDescent="0.35">
      <c r="A1200" t="s">
        <v>5893</v>
      </c>
      <c r="B1200" t="s">
        <v>2286</v>
      </c>
      <c r="C1200" s="1">
        <v>45546</v>
      </c>
      <c r="D1200" s="2">
        <v>717.25</v>
      </c>
      <c r="E1200" t="s">
        <v>4694</v>
      </c>
      <c r="F1200" s="2">
        <v>201.36</v>
      </c>
    </row>
    <row r="1201" spans="1:6" x14ac:dyDescent="0.35">
      <c r="A1201" t="s">
        <v>5894</v>
      </c>
      <c r="B1201" t="s">
        <v>2288</v>
      </c>
      <c r="C1201" s="1">
        <v>45177</v>
      </c>
      <c r="D1201" s="2">
        <v>582.9</v>
      </c>
      <c r="E1201" t="s">
        <v>4694</v>
      </c>
      <c r="F1201" s="2">
        <v>134.62</v>
      </c>
    </row>
    <row r="1202" spans="1:6" x14ac:dyDescent="0.35">
      <c r="A1202" t="s">
        <v>5895</v>
      </c>
      <c r="B1202" t="s">
        <v>2289</v>
      </c>
      <c r="C1202" s="1">
        <v>45517</v>
      </c>
      <c r="D1202" s="2">
        <v>363.48</v>
      </c>
      <c r="E1202" t="s">
        <v>4697</v>
      </c>
      <c r="F1202" s="2">
        <v>22.21</v>
      </c>
    </row>
    <row r="1203" spans="1:6" x14ac:dyDescent="0.35">
      <c r="A1203" t="s">
        <v>5896</v>
      </c>
      <c r="B1203" t="s">
        <v>2290</v>
      </c>
      <c r="C1203" s="1">
        <v>45622</v>
      </c>
      <c r="D1203" s="2">
        <v>1586.44</v>
      </c>
      <c r="E1203" t="s">
        <v>4694</v>
      </c>
      <c r="F1203" s="2">
        <v>657.1</v>
      </c>
    </row>
    <row r="1204" spans="1:6" x14ac:dyDescent="0.35">
      <c r="A1204" t="s">
        <v>5897</v>
      </c>
      <c r="B1204" t="s">
        <v>2291</v>
      </c>
      <c r="C1204" s="1">
        <v>45166</v>
      </c>
      <c r="D1204" s="2">
        <v>216.82</v>
      </c>
      <c r="E1204" t="s">
        <v>4697</v>
      </c>
      <c r="F1204" s="2">
        <v>108.45</v>
      </c>
    </row>
    <row r="1205" spans="1:6" x14ac:dyDescent="0.35">
      <c r="A1205" t="s">
        <v>5898</v>
      </c>
      <c r="B1205" t="s">
        <v>2292</v>
      </c>
      <c r="C1205" s="1">
        <v>44965</v>
      </c>
      <c r="D1205" s="2">
        <v>7709.76</v>
      </c>
      <c r="E1205" t="s">
        <v>4694</v>
      </c>
      <c r="F1205" s="2">
        <v>398.87</v>
      </c>
    </row>
    <row r="1206" spans="1:6" x14ac:dyDescent="0.35">
      <c r="A1206" t="s">
        <v>5899</v>
      </c>
      <c r="B1206" t="s">
        <v>2294</v>
      </c>
      <c r="C1206" s="1">
        <v>45477</v>
      </c>
      <c r="D1206" s="2">
        <v>124.08</v>
      </c>
      <c r="E1206" t="s">
        <v>4697</v>
      </c>
      <c r="F1206" s="2">
        <v>60.98</v>
      </c>
    </row>
    <row r="1207" spans="1:6" x14ac:dyDescent="0.35">
      <c r="A1207" t="s">
        <v>5900</v>
      </c>
      <c r="B1207" t="s">
        <v>2296</v>
      </c>
      <c r="C1207" s="1">
        <v>45283</v>
      </c>
      <c r="D1207" s="2">
        <v>76.44</v>
      </c>
      <c r="E1207" t="s">
        <v>4694</v>
      </c>
      <c r="F1207" s="2">
        <v>44.24</v>
      </c>
    </row>
    <row r="1208" spans="1:6" x14ac:dyDescent="0.35">
      <c r="A1208" t="s">
        <v>5901</v>
      </c>
      <c r="B1208" t="s">
        <v>2297</v>
      </c>
      <c r="C1208" s="1">
        <v>45357</v>
      </c>
      <c r="D1208" s="2">
        <v>544.13</v>
      </c>
      <c r="E1208" t="s">
        <v>4694</v>
      </c>
      <c r="F1208" s="2">
        <v>301.57</v>
      </c>
    </row>
    <row r="1209" spans="1:6" x14ac:dyDescent="0.35">
      <c r="A1209" t="s">
        <v>5902</v>
      </c>
      <c r="B1209" t="s">
        <v>2300</v>
      </c>
      <c r="C1209" s="1">
        <v>45062</v>
      </c>
      <c r="D1209" s="2">
        <v>127.05</v>
      </c>
      <c r="E1209" t="s">
        <v>4694</v>
      </c>
      <c r="F1209" s="2">
        <v>71.3</v>
      </c>
    </row>
    <row r="1210" spans="1:6" x14ac:dyDescent="0.35">
      <c r="A1210" t="s">
        <v>5903</v>
      </c>
      <c r="B1210" t="s">
        <v>2301</v>
      </c>
      <c r="C1210" s="1">
        <v>45439</v>
      </c>
      <c r="D1210" s="2">
        <v>3964.71</v>
      </c>
      <c r="E1210" t="s">
        <v>4694</v>
      </c>
      <c r="F1210" s="2">
        <v>319.56</v>
      </c>
    </row>
    <row r="1211" spans="1:6" x14ac:dyDescent="0.35">
      <c r="A1211" t="s">
        <v>5904</v>
      </c>
      <c r="B1211" t="s">
        <v>2302</v>
      </c>
      <c r="C1211" s="1">
        <v>45432</v>
      </c>
      <c r="D1211" s="2">
        <v>118.95</v>
      </c>
      <c r="E1211" t="s">
        <v>4694</v>
      </c>
      <c r="F1211" s="2">
        <v>6.3</v>
      </c>
    </row>
    <row r="1212" spans="1:6" x14ac:dyDescent="0.35">
      <c r="A1212" t="s">
        <v>5905</v>
      </c>
      <c r="B1212" t="s">
        <v>2303</v>
      </c>
      <c r="C1212" s="1">
        <v>45388</v>
      </c>
      <c r="D1212" s="2">
        <v>369.53</v>
      </c>
      <c r="E1212" t="s">
        <v>4694</v>
      </c>
      <c r="F1212" s="2">
        <v>148.94</v>
      </c>
    </row>
    <row r="1213" spans="1:6" x14ac:dyDescent="0.35">
      <c r="A1213" t="s">
        <v>5906</v>
      </c>
      <c r="B1213" t="s">
        <v>2304</v>
      </c>
      <c r="C1213" s="1">
        <v>45677</v>
      </c>
      <c r="D1213" s="2">
        <v>87.62</v>
      </c>
      <c r="E1213" t="s">
        <v>4694</v>
      </c>
      <c r="F1213" s="2">
        <v>41.86</v>
      </c>
    </row>
    <row r="1214" spans="1:6" x14ac:dyDescent="0.35">
      <c r="A1214" t="s">
        <v>5907</v>
      </c>
      <c r="B1214" t="s">
        <v>2305</v>
      </c>
      <c r="C1214" s="1">
        <v>45641</v>
      </c>
      <c r="D1214" s="2">
        <v>1122.17</v>
      </c>
      <c r="E1214" t="s">
        <v>4694</v>
      </c>
      <c r="F1214" s="2">
        <v>600.17999999999995</v>
      </c>
    </row>
    <row r="1215" spans="1:6" x14ac:dyDescent="0.35">
      <c r="A1215" t="s">
        <v>5908</v>
      </c>
      <c r="B1215" t="s">
        <v>2307</v>
      </c>
      <c r="C1215" s="1">
        <v>45554</v>
      </c>
      <c r="D1215" s="2">
        <v>722.37</v>
      </c>
      <c r="E1215" t="s">
        <v>4697</v>
      </c>
      <c r="F1215" s="2">
        <v>138.49</v>
      </c>
    </row>
    <row r="1216" spans="1:6" x14ac:dyDescent="0.35">
      <c r="A1216" t="s">
        <v>5909</v>
      </c>
      <c r="B1216" t="s">
        <v>2309</v>
      </c>
      <c r="C1216" s="1">
        <v>45056</v>
      </c>
      <c r="D1216" s="2">
        <v>751.81</v>
      </c>
      <c r="E1216" t="s">
        <v>4694</v>
      </c>
      <c r="F1216" s="2">
        <v>225.85</v>
      </c>
    </row>
    <row r="1217" spans="1:6" x14ac:dyDescent="0.35">
      <c r="A1217" t="s">
        <v>5910</v>
      </c>
      <c r="B1217" t="s">
        <v>2310</v>
      </c>
      <c r="C1217" s="1">
        <v>45298</v>
      </c>
      <c r="D1217" s="2">
        <v>290.63</v>
      </c>
      <c r="E1217" t="s">
        <v>4694</v>
      </c>
      <c r="F1217" s="2">
        <v>76.25</v>
      </c>
    </row>
    <row r="1218" spans="1:6" x14ac:dyDescent="0.35">
      <c r="A1218" t="s">
        <v>5911</v>
      </c>
      <c r="B1218" t="s">
        <v>2312</v>
      </c>
      <c r="C1218" s="1">
        <v>45466</v>
      </c>
      <c r="D1218" s="2">
        <v>594.58000000000004</v>
      </c>
      <c r="E1218" t="s">
        <v>4694</v>
      </c>
      <c r="F1218" s="2">
        <v>64.739999999999995</v>
      </c>
    </row>
    <row r="1219" spans="1:6" x14ac:dyDescent="0.35">
      <c r="A1219" t="s">
        <v>5912</v>
      </c>
      <c r="B1219" t="s">
        <v>2314</v>
      </c>
      <c r="C1219" s="1">
        <v>45543</v>
      </c>
      <c r="D1219" s="2">
        <v>2282.36</v>
      </c>
      <c r="E1219" t="s">
        <v>4694</v>
      </c>
      <c r="F1219" s="2">
        <v>372.39</v>
      </c>
    </row>
    <row r="1220" spans="1:6" x14ac:dyDescent="0.35">
      <c r="A1220" t="s">
        <v>5913</v>
      </c>
      <c r="B1220" t="s">
        <v>2315</v>
      </c>
      <c r="C1220" s="1">
        <v>45122</v>
      </c>
      <c r="D1220" s="2">
        <v>238.08</v>
      </c>
      <c r="E1220" t="s">
        <v>4694</v>
      </c>
      <c r="F1220" s="2">
        <v>33.92</v>
      </c>
    </row>
    <row r="1221" spans="1:6" x14ac:dyDescent="0.35">
      <c r="A1221" t="s">
        <v>5914</v>
      </c>
      <c r="B1221" t="s">
        <v>2317</v>
      </c>
      <c r="C1221" s="1">
        <v>45124</v>
      </c>
      <c r="D1221" s="2">
        <v>624.04</v>
      </c>
      <c r="E1221" t="s">
        <v>4694</v>
      </c>
      <c r="F1221" s="2">
        <v>50.58</v>
      </c>
    </row>
    <row r="1222" spans="1:6" x14ac:dyDescent="0.35">
      <c r="A1222" t="s">
        <v>5915</v>
      </c>
      <c r="B1222" t="s">
        <v>2320</v>
      </c>
      <c r="C1222" s="1">
        <v>45190</v>
      </c>
      <c r="D1222" s="2">
        <v>4268.6899999999996</v>
      </c>
      <c r="E1222" t="s">
        <v>4694</v>
      </c>
      <c r="F1222" s="2">
        <v>1683.41</v>
      </c>
    </row>
    <row r="1223" spans="1:6" x14ac:dyDescent="0.35">
      <c r="A1223" t="s">
        <v>5916</v>
      </c>
      <c r="B1223" t="s">
        <v>2321</v>
      </c>
      <c r="C1223" s="1">
        <v>45638</v>
      </c>
      <c r="D1223" s="2">
        <v>50.51</v>
      </c>
      <c r="E1223" t="s">
        <v>4694</v>
      </c>
      <c r="F1223" s="2">
        <v>10.59</v>
      </c>
    </row>
    <row r="1224" spans="1:6" x14ac:dyDescent="0.35">
      <c r="A1224" t="s">
        <v>5917</v>
      </c>
      <c r="B1224" t="s">
        <v>2322</v>
      </c>
      <c r="C1224" s="1">
        <v>45455</v>
      </c>
      <c r="D1224" s="2">
        <v>444.18</v>
      </c>
      <c r="E1224" t="s">
        <v>4694</v>
      </c>
      <c r="F1224" s="2">
        <v>141.35</v>
      </c>
    </row>
    <row r="1225" spans="1:6" x14ac:dyDescent="0.35">
      <c r="A1225" t="s">
        <v>5918</v>
      </c>
      <c r="B1225" t="s">
        <v>2323</v>
      </c>
      <c r="C1225" s="1">
        <v>45187</v>
      </c>
      <c r="D1225" s="2">
        <v>1048.68</v>
      </c>
      <c r="E1225" t="s">
        <v>4694</v>
      </c>
      <c r="F1225" s="2">
        <v>225.53</v>
      </c>
    </row>
    <row r="1226" spans="1:6" x14ac:dyDescent="0.35">
      <c r="A1226" t="s">
        <v>5919</v>
      </c>
      <c r="B1226" t="s">
        <v>2325</v>
      </c>
      <c r="C1226" s="1">
        <v>45496</v>
      </c>
      <c r="D1226" s="2">
        <v>138.03</v>
      </c>
      <c r="E1226" t="s">
        <v>4694</v>
      </c>
      <c r="F1226" s="2">
        <v>54.33</v>
      </c>
    </row>
    <row r="1227" spans="1:6" x14ac:dyDescent="0.35">
      <c r="A1227" t="s">
        <v>5920</v>
      </c>
      <c r="B1227" t="s">
        <v>2326</v>
      </c>
      <c r="C1227" s="1">
        <v>45109</v>
      </c>
      <c r="D1227" s="2">
        <v>197.75</v>
      </c>
      <c r="E1227" t="s">
        <v>4694</v>
      </c>
      <c r="F1227" s="2">
        <v>85.31</v>
      </c>
    </row>
    <row r="1228" spans="1:6" x14ac:dyDescent="0.35">
      <c r="A1228" t="s">
        <v>5921</v>
      </c>
      <c r="B1228" t="s">
        <v>2327</v>
      </c>
      <c r="C1228" s="1">
        <v>45068</v>
      </c>
      <c r="D1228" s="2">
        <v>616.39</v>
      </c>
      <c r="E1228" t="s">
        <v>4694</v>
      </c>
      <c r="F1228" s="2">
        <v>163.61000000000001</v>
      </c>
    </row>
    <row r="1229" spans="1:6" x14ac:dyDescent="0.35">
      <c r="A1229" t="s">
        <v>5922</v>
      </c>
      <c r="B1229" t="s">
        <v>2328</v>
      </c>
      <c r="C1229" s="1">
        <v>45345</v>
      </c>
      <c r="D1229" s="2">
        <v>124.68</v>
      </c>
      <c r="E1229" t="s">
        <v>4694</v>
      </c>
      <c r="F1229" s="2">
        <v>13.71</v>
      </c>
    </row>
    <row r="1230" spans="1:6" x14ac:dyDescent="0.35">
      <c r="A1230" t="s">
        <v>5923</v>
      </c>
      <c r="B1230" t="s">
        <v>2330</v>
      </c>
      <c r="C1230" s="1">
        <v>45433</v>
      </c>
      <c r="D1230" s="2">
        <v>292.64</v>
      </c>
      <c r="E1230" t="s">
        <v>4694</v>
      </c>
      <c r="F1230" s="2">
        <v>42.67</v>
      </c>
    </row>
    <row r="1231" spans="1:6" x14ac:dyDescent="0.35">
      <c r="A1231" t="s">
        <v>5924</v>
      </c>
      <c r="B1231" t="s">
        <v>2332</v>
      </c>
      <c r="C1231" s="1">
        <v>45371</v>
      </c>
      <c r="D1231" s="2">
        <v>287.93</v>
      </c>
      <c r="E1231" t="s">
        <v>4694</v>
      </c>
      <c r="F1231" s="2">
        <v>67.87</v>
      </c>
    </row>
    <row r="1232" spans="1:6" x14ac:dyDescent="0.35">
      <c r="A1232" t="s">
        <v>5925</v>
      </c>
      <c r="B1232" t="s">
        <v>2333</v>
      </c>
      <c r="C1232" s="1">
        <v>45266</v>
      </c>
      <c r="D1232" s="2">
        <v>640.21</v>
      </c>
      <c r="E1232" t="s">
        <v>4694</v>
      </c>
      <c r="F1232" s="2">
        <v>80.599999999999994</v>
      </c>
    </row>
    <row r="1233" spans="1:6" x14ac:dyDescent="0.35">
      <c r="A1233" t="s">
        <v>5926</v>
      </c>
      <c r="B1233" t="s">
        <v>2334</v>
      </c>
      <c r="C1233" s="1">
        <v>45102</v>
      </c>
      <c r="D1233" s="2">
        <v>318.95</v>
      </c>
      <c r="E1233" t="s">
        <v>4694</v>
      </c>
      <c r="F1233" s="2">
        <v>15.69</v>
      </c>
    </row>
    <row r="1234" spans="1:6" x14ac:dyDescent="0.35">
      <c r="A1234" t="s">
        <v>5927</v>
      </c>
      <c r="B1234" t="s">
        <v>2335</v>
      </c>
      <c r="C1234" s="1">
        <v>45672</v>
      </c>
      <c r="D1234" s="2">
        <v>150.58000000000001</v>
      </c>
      <c r="E1234" t="s">
        <v>4694</v>
      </c>
      <c r="F1234" s="2">
        <v>12.22</v>
      </c>
    </row>
    <row r="1235" spans="1:6" x14ac:dyDescent="0.35">
      <c r="A1235" t="s">
        <v>5928</v>
      </c>
      <c r="B1235" t="s">
        <v>2337</v>
      </c>
      <c r="C1235" s="1">
        <v>45037</v>
      </c>
      <c r="D1235" s="2">
        <v>549.16999999999996</v>
      </c>
      <c r="E1235" t="s">
        <v>4694</v>
      </c>
      <c r="F1235" s="2">
        <v>26.29</v>
      </c>
    </row>
    <row r="1236" spans="1:6" x14ac:dyDescent="0.35">
      <c r="A1236" t="s">
        <v>5929</v>
      </c>
      <c r="B1236" t="s">
        <v>2339</v>
      </c>
      <c r="C1236" s="1">
        <v>45304</v>
      </c>
      <c r="D1236" s="2">
        <v>4102.7299999999996</v>
      </c>
      <c r="E1236" t="s">
        <v>4694</v>
      </c>
      <c r="F1236" s="2">
        <v>631.41999999999996</v>
      </c>
    </row>
    <row r="1237" spans="1:6" x14ac:dyDescent="0.35">
      <c r="A1237" t="s">
        <v>5930</v>
      </c>
      <c r="B1237" t="s">
        <v>2340</v>
      </c>
      <c r="C1237" s="1">
        <v>45528</v>
      </c>
      <c r="D1237" s="2">
        <v>1192.49</v>
      </c>
      <c r="E1237" t="s">
        <v>4694</v>
      </c>
      <c r="F1237" s="2">
        <v>239.13</v>
      </c>
    </row>
    <row r="1238" spans="1:6" x14ac:dyDescent="0.35">
      <c r="A1238" t="s">
        <v>5931</v>
      </c>
      <c r="B1238" t="s">
        <v>2341</v>
      </c>
      <c r="C1238" s="1">
        <v>45290</v>
      </c>
      <c r="D1238" s="2">
        <v>116.87</v>
      </c>
      <c r="E1238" t="s">
        <v>4694</v>
      </c>
      <c r="F1238" s="2">
        <v>29.65</v>
      </c>
    </row>
    <row r="1239" spans="1:6" x14ac:dyDescent="0.35">
      <c r="A1239" t="s">
        <v>5932</v>
      </c>
      <c r="B1239" t="s">
        <v>2343</v>
      </c>
      <c r="C1239" s="1">
        <v>45067</v>
      </c>
      <c r="D1239" s="2">
        <v>580.65</v>
      </c>
      <c r="E1239" t="s">
        <v>4694</v>
      </c>
      <c r="F1239" s="2">
        <v>43.62</v>
      </c>
    </row>
    <row r="1240" spans="1:6" x14ac:dyDescent="0.35">
      <c r="A1240" t="s">
        <v>5933</v>
      </c>
      <c r="B1240" t="s">
        <v>2344</v>
      </c>
      <c r="C1240" s="1">
        <v>45004</v>
      </c>
      <c r="D1240" s="2">
        <v>1017.22</v>
      </c>
      <c r="E1240" t="s">
        <v>4694</v>
      </c>
      <c r="F1240" s="2">
        <v>64.61</v>
      </c>
    </row>
    <row r="1241" spans="1:6" x14ac:dyDescent="0.35">
      <c r="A1241" t="s">
        <v>5934</v>
      </c>
      <c r="B1241" t="s">
        <v>2346</v>
      </c>
      <c r="C1241" s="1">
        <v>45221</v>
      </c>
      <c r="D1241" s="2">
        <v>322.17</v>
      </c>
      <c r="E1241" t="s">
        <v>4694</v>
      </c>
      <c r="F1241" s="2">
        <v>194.49</v>
      </c>
    </row>
    <row r="1242" spans="1:6" x14ac:dyDescent="0.35">
      <c r="A1242" t="s">
        <v>5935</v>
      </c>
      <c r="B1242" t="s">
        <v>2347</v>
      </c>
      <c r="C1242" s="1">
        <v>45377</v>
      </c>
      <c r="D1242" s="2">
        <v>536.35</v>
      </c>
      <c r="E1242" t="s">
        <v>4694</v>
      </c>
      <c r="F1242" s="2">
        <v>210.22</v>
      </c>
    </row>
    <row r="1243" spans="1:6" x14ac:dyDescent="0.35">
      <c r="A1243" t="s">
        <v>5936</v>
      </c>
      <c r="B1243" t="s">
        <v>2348</v>
      </c>
      <c r="C1243" s="1">
        <v>45432</v>
      </c>
      <c r="D1243" s="2">
        <v>4197.6400000000003</v>
      </c>
      <c r="E1243" t="s">
        <v>4694</v>
      </c>
      <c r="F1243" s="2">
        <v>885.12</v>
      </c>
    </row>
    <row r="1244" spans="1:6" x14ac:dyDescent="0.35">
      <c r="A1244" t="s">
        <v>5937</v>
      </c>
      <c r="B1244" t="s">
        <v>2349</v>
      </c>
      <c r="C1244" s="1">
        <v>45015</v>
      </c>
      <c r="D1244" s="2">
        <v>667.38</v>
      </c>
      <c r="E1244" t="s">
        <v>4694</v>
      </c>
      <c r="F1244" s="2">
        <v>105.68</v>
      </c>
    </row>
    <row r="1245" spans="1:6" x14ac:dyDescent="0.35">
      <c r="A1245" t="s">
        <v>5938</v>
      </c>
      <c r="B1245" t="s">
        <v>2351</v>
      </c>
      <c r="C1245" s="1">
        <v>45120</v>
      </c>
      <c r="D1245" s="2">
        <v>140.63999999999999</v>
      </c>
      <c r="E1245" t="s">
        <v>4694</v>
      </c>
      <c r="F1245" s="2">
        <v>25.08</v>
      </c>
    </row>
    <row r="1246" spans="1:6" x14ac:dyDescent="0.35">
      <c r="A1246" t="s">
        <v>5939</v>
      </c>
      <c r="B1246" t="s">
        <v>2352</v>
      </c>
      <c r="C1246" s="1">
        <v>45214</v>
      </c>
      <c r="D1246" s="2">
        <v>570.35</v>
      </c>
      <c r="E1246" t="s">
        <v>4694</v>
      </c>
      <c r="F1246" s="2">
        <v>220.91</v>
      </c>
    </row>
    <row r="1247" spans="1:6" x14ac:dyDescent="0.35">
      <c r="A1247" t="s">
        <v>5940</v>
      </c>
      <c r="B1247" t="s">
        <v>2353</v>
      </c>
      <c r="C1247" s="1">
        <v>45038</v>
      </c>
      <c r="D1247" s="2">
        <v>716.49</v>
      </c>
      <c r="E1247" t="s">
        <v>4694</v>
      </c>
      <c r="F1247" s="2">
        <v>377.86</v>
      </c>
    </row>
    <row r="1248" spans="1:6" x14ac:dyDescent="0.35">
      <c r="A1248" t="s">
        <v>5941</v>
      </c>
      <c r="B1248" t="s">
        <v>2354</v>
      </c>
      <c r="C1248" s="1">
        <v>45271</v>
      </c>
      <c r="D1248" s="2">
        <v>1411.25</v>
      </c>
      <c r="E1248" t="s">
        <v>4694</v>
      </c>
      <c r="F1248" s="2">
        <v>410.13</v>
      </c>
    </row>
    <row r="1249" spans="1:6" x14ac:dyDescent="0.35">
      <c r="A1249" t="s">
        <v>5942</v>
      </c>
      <c r="B1249" t="s">
        <v>2355</v>
      </c>
      <c r="C1249" s="1">
        <v>45618</v>
      </c>
      <c r="D1249" s="2">
        <v>299.69</v>
      </c>
      <c r="E1249" t="s">
        <v>4694</v>
      </c>
      <c r="F1249" s="2">
        <v>114.59</v>
      </c>
    </row>
    <row r="1250" spans="1:6" x14ac:dyDescent="0.35">
      <c r="A1250" t="s">
        <v>5943</v>
      </c>
      <c r="B1250" t="s">
        <v>2357</v>
      </c>
      <c r="C1250" s="1">
        <v>45209</v>
      </c>
      <c r="D1250" s="2">
        <v>86.85</v>
      </c>
      <c r="E1250" t="s">
        <v>4694</v>
      </c>
      <c r="F1250" s="2">
        <v>51.59</v>
      </c>
    </row>
    <row r="1251" spans="1:6" x14ac:dyDescent="0.35">
      <c r="A1251" t="s">
        <v>5944</v>
      </c>
      <c r="B1251" t="s">
        <v>2358</v>
      </c>
      <c r="C1251" s="1">
        <v>45545</v>
      </c>
      <c r="D1251" s="2">
        <v>215.81</v>
      </c>
      <c r="E1251" t="s">
        <v>4694</v>
      </c>
      <c r="F1251" s="2">
        <v>13.06</v>
      </c>
    </row>
    <row r="1252" spans="1:6" x14ac:dyDescent="0.35">
      <c r="A1252" t="s">
        <v>5945</v>
      </c>
      <c r="B1252" t="s">
        <v>2360</v>
      </c>
      <c r="C1252" s="1">
        <v>44991</v>
      </c>
      <c r="D1252" s="2">
        <v>1905.93</v>
      </c>
      <c r="E1252" t="s">
        <v>4694</v>
      </c>
      <c r="F1252" s="2">
        <v>150.81</v>
      </c>
    </row>
    <row r="1253" spans="1:6" x14ac:dyDescent="0.35">
      <c r="A1253" t="s">
        <v>5946</v>
      </c>
      <c r="B1253" t="s">
        <v>2362</v>
      </c>
      <c r="C1253" s="1">
        <v>45422</v>
      </c>
      <c r="D1253" s="2">
        <v>310.14</v>
      </c>
      <c r="E1253" t="s">
        <v>4694</v>
      </c>
      <c r="F1253" s="2">
        <v>47.2</v>
      </c>
    </row>
    <row r="1254" spans="1:6" x14ac:dyDescent="0.35">
      <c r="A1254" t="s">
        <v>5947</v>
      </c>
      <c r="B1254" t="s">
        <v>2364</v>
      </c>
      <c r="C1254" s="1">
        <v>45028</v>
      </c>
      <c r="D1254" s="2">
        <v>5956.33</v>
      </c>
      <c r="E1254" t="s">
        <v>4694</v>
      </c>
      <c r="F1254" s="2">
        <v>1017.17</v>
      </c>
    </row>
    <row r="1255" spans="1:6" x14ac:dyDescent="0.35">
      <c r="A1255" t="s">
        <v>5948</v>
      </c>
      <c r="B1255" t="s">
        <v>2365</v>
      </c>
      <c r="C1255" s="1">
        <v>44966</v>
      </c>
      <c r="D1255" s="2">
        <v>218.1</v>
      </c>
      <c r="E1255" t="s">
        <v>4694</v>
      </c>
      <c r="F1255" s="2">
        <v>52.92</v>
      </c>
    </row>
    <row r="1256" spans="1:6" x14ac:dyDescent="0.35">
      <c r="A1256" t="s">
        <v>5949</v>
      </c>
      <c r="B1256" t="s">
        <v>2366</v>
      </c>
      <c r="C1256" s="1">
        <v>45092</v>
      </c>
      <c r="D1256" s="2">
        <v>285</v>
      </c>
      <c r="E1256" t="s">
        <v>4697</v>
      </c>
      <c r="F1256" s="2">
        <v>94.61</v>
      </c>
    </row>
    <row r="1257" spans="1:6" x14ac:dyDescent="0.35">
      <c r="A1257" t="s">
        <v>5950</v>
      </c>
      <c r="B1257" t="s">
        <v>2367</v>
      </c>
      <c r="C1257" s="1">
        <v>45143</v>
      </c>
      <c r="D1257" s="2">
        <v>113.33</v>
      </c>
      <c r="E1257" t="s">
        <v>4694</v>
      </c>
      <c r="F1257" s="2">
        <v>8.1999999999999993</v>
      </c>
    </row>
    <row r="1258" spans="1:6" x14ac:dyDescent="0.35">
      <c r="A1258" t="s">
        <v>5951</v>
      </c>
      <c r="B1258" t="s">
        <v>2368</v>
      </c>
      <c r="C1258" s="1">
        <v>45034</v>
      </c>
      <c r="D1258" s="2">
        <v>829.17</v>
      </c>
      <c r="E1258" t="s">
        <v>4694</v>
      </c>
      <c r="F1258" s="2">
        <v>493.84</v>
      </c>
    </row>
    <row r="1259" spans="1:6" x14ac:dyDescent="0.35">
      <c r="A1259" t="s">
        <v>5952</v>
      </c>
      <c r="B1259" t="s">
        <v>2369</v>
      </c>
      <c r="C1259" s="1">
        <v>45610</v>
      </c>
      <c r="D1259" s="2">
        <v>94.5</v>
      </c>
      <c r="E1259" t="s">
        <v>4694</v>
      </c>
      <c r="F1259" s="2">
        <v>16.649999999999999</v>
      </c>
    </row>
    <row r="1260" spans="1:6" x14ac:dyDescent="0.35">
      <c r="A1260" t="s">
        <v>5953</v>
      </c>
      <c r="B1260" t="s">
        <v>2370</v>
      </c>
      <c r="C1260" s="1">
        <v>45367</v>
      </c>
      <c r="D1260" s="2">
        <v>320.62</v>
      </c>
      <c r="E1260" t="s">
        <v>4694</v>
      </c>
      <c r="F1260" s="2">
        <v>48.43</v>
      </c>
    </row>
    <row r="1261" spans="1:6" x14ac:dyDescent="0.35">
      <c r="A1261" t="s">
        <v>5954</v>
      </c>
      <c r="B1261" t="s">
        <v>2371</v>
      </c>
      <c r="C1261" s="1">
        <v>45042</v>
      </c>
      <c r="D1261" s="2">
        <v>500.57</v>
      </c>
      <c r="E1261" t="s">
        <v>4694</v>
      </c>
      <c r="F1261" s="2">
        <v>116.1</v>
      </c>
    </row>
    <row r="1262" spans="1:6" x14ac:dyDescent="0.35">
      <c r="A1262" t="s">
        <v>5955</v>
      </c>
      <c r="B1262" t="s">
        <v>2372</v>
      </c>
      <c r="C1262" s="1">
        <v>45189</v>
      </c>
      <c r="D1262" s="2">
        <v>3119.16</v>
      </c>
      <c r="E1262" t="s">
        <v>4694</v>
      </c>
      <c r="F1262" s="2">
        <v>1148.76</v>
      </c>
    </row>
    <row r="1263" spans="1:6" x14ac:dyDescent="0.35">
      <c r="A1263" t="s">
        <v>5956</v>
      </c>
      <c r="B1263" t="s">
        <v>2374</v>
      </c>
      <c r="C1263" s="1">
        <v>45588</v>
      </c>
      <c r="D1263" s="2">
        <v>219.22</v>
      </c>
      <c r="E1263" t="s">
        <v>4694</v>
      </c>
      <c r="F1263" s="2">
        <v>130.1</v>
      </c>
    </row>
    <row r="1264" spans="1:6" x14ac:dyDescent="0.35">
      <c r="A1264" t="s">
        <v>5957</v>
      </c>
      <c r="B1264" t="s">
        <v>2375</v>
      </c>
      <c r="C1264" s="1">
        <v>45214</v>
      </c>
      <c r="D1264" s="2">
        <v>1215.6300000000001</v>
      </c>
      <c r="E1264" t="s">
        <v>4694</v>
      </c>
      <c r="F1264" s="2">
        <v>119.19</v>
      </c>
    </row>
    <row r="1265" spans="1:6" x14ac:dyDescent="0.35">
      <c r="A1265" t="s">
        <v>5958</v>
      </c>
      <c r="B1265" t="s">
        <v>2376</v>
      </c>
      <c r="C1265" s="1">
        <v>45126</v>
      </c>
      <c r="D1265" s="2">
        <v>147.62</v>
      </c>
      <c r="E1265" t="s">
        <v>4694</v>
      </c>
      <c r="F1265" s="2">
        <v>20.29</v>
      </c>
    </row>
    <row r="1266" spans="1:6" x14ac:dyDescent="0.35">
      <c r="A1266" t="s">
        <v>5959</v>
      </c>
      <c r="B1266" t="s">
        <v>2377</v>
      </c>
      <c r="C1266" s="1">
        <v>45119</v>
      </c>
      <c r="D1266" s="2">
        <v>107.58</v>
      </c>
      <c r="E1266" t="s">
        <v>4697</v>
      </c>
      <c r="F1266" s="2">
        <v>60.92</v>
      </c>
    </row>
    <row r="1267" spans="1:6" x14ac:dyDescent="0.35">
      <c r="A1267" t="s">
        <v>5960</v>
      </c>
      <c r="B1267" t="s">
        <v>2378</v>
      </c>
      <c r="C1267" s="1">
        <v>45600</v>
      </c>
      <c r="D1267" s="2">
        <v>318.56</v>
      </c>
      <c r="E1267" t="s">
        <v>4694</v>
      </c>
      <c r="F1267" s="2">
        <v>185.46</v>
      </c>
    </row>
    <row r="1268" spans="1:6" x14ac:dyDescent="0.35">
      <c r="A1268" t="s">
        <v>5961</v>
      </c>
      <c r="B1268" t="s">
        <v>2380</v>
      </c>
      <c r="C1268" s="1">
        <v>45017</v>
      </c>
      <c r="D1268" s="2">
        <v>526.62</v>
      </c>
      <c r="E1268" t="s">
        <v>4694</v>
      </c>
      <c r="F1268" s="2">
        <v>220.53</v>
      </c>
    </row>
    <row r="1269" spans="1:6" x14ac:dyDescent="0.35">
      <c r="A1269" t="s">
        <v>5962</v>
      </c>
      <c r="B1269" t="s">
        <v>2381</v>
      </c>
      <c r="C1269" s="1">
        <v>45643</v>
      </c>
      <c r="D1269" s="2">
        <v>635.74</v>
      </c>
      <c r="E1269" t="s">
        <v>4694</v>
      </c>
      <c r="F1269" s="2">
        <v>58.04</v>
      </c>
    </row>
    <row r="1270" spans="1:6" x14ac:dyDescent="0.35">
      <c r="A1270" t="s">
        <v>5963</v>
      </c>
      <c r="B1270" t="s">
        <v>2382</v>
      </c>
      <c r="C1270" s="1">
        <v>45382</v>
      </c>
      <c r="D1270" s="2">
        <v>634.92999999999995</v>
      </c>
      <c r="E1270" t="s">
        <v>4694</v>
      </c>
      <c r="F1270" s="2">
        <v>185.42</v>
      </c>
    </row>
    <row r="1271" spans="1:6" x14ac:dyDescent="0.35">
      <c r="A1271" t="s">
        <v>5964</v>
      </c>
      <c r="B1271" t="s">
        <v>2383</v>
      </c>
      <c r="C1271" s="1">
        <v>45453</v>
      </c>
      <c r="D1271" s="2">
        <v>115.39</v>
      </c>
      <c r="E1271" t="s">
        <v>4694</v>
      </c>
      <c r="F1271" s="2">
        <v>5.15</v>
      </c>
    </row>
    <row r="1272" spans="1:6" x14ac:dyDescent="0.35">
      <c r="A1272" t="s">
        <v>5965</v>
      </c>
      <c r="B1272" t="s">
        <v>2386</v>
      </c>
      <c r="C1272" s="1">
        <v>45358</v>
      </c>
      <c r="D1272" s="2">
        <v>6105.97</v>
      </c>
      <c r="E1272" t="s">
        <v>4694</v>
      </c>
      <c r="F1272" s="2">
        <v>842.61</v>
      </c>
    </row>
    <row r="1273" spans="1:6" x14ac:dyDescent="0.35">
      <c r="A1273" t="s">
        <v>5966</v>
      </c>
      <c r="B1273" t="s">
        <v>2387</v>
      </c>
      <c r="C1273" s="1">
        <v>45321</v>
      </c>
      <c r="D1273" s="2">
        <v>1195.98</v>
      </c>
      <c r="E1273" t="s">
        <v>4697</v>
      </c>
      <c r="F1273" s="2">
        <v>315.92</v>
      </c>
    </row>
    <row r="1274" spans="1:6" x14ac:dyDescent="0.35">
      <c r="A1274" t="s">
        <v>5967</v>
      </c>
      <c r="B1274" t="s">
        <v>2388</v>
      </c>
      <c r="C1274" s="1">
        <v>45228</v>
      </c>
      <c r="D1274" s="2">
        <v>342.99</v>
      </c>
      <c r="E1274" t="s">
        <v>4694</v>
      </c>
      <c r="F1274" s="2">
        <v>73.58</v>
      </c>
    </row>
    <row r="1275" spans="1:6" x14ac:dyDescent="0.35">
      <c r="A1275" t="s">
        <v>5968</v>
      </c>
      <c r="B1275" t="s">
        <v>2389</v>
      </c>
      <c r="C1275" s="1">
        <v>45581</v>
      </c>
      <c r="D1275" s="2">
        <v>649.04999999999995</v>
      </c>
      <c r="E1275" t="s">
        <v>4697</v>
      </c>
      <c r="F1275" s="2">
        <v>300.74</v>
      </c>
    </row>
    <row r="1276" spans="1:6" x14ac:dyDescent="0.35">
      <c r="A1276" t="s">
        <v>5969</v>
      </c>
      <c r="B1276" t="s">
        <v>2390</v>
      </c>
      <c r="C1276" s="1">
        <v>45585</v>
      </c>
      <c r="D1276" s="2">
        <v>3470.04</v>
      </c>
      <c r="E1276" t="s">
        <v>4694</v>
      </c>
      <c r="F1276" s="2">
        <v>2028.95</v>
      </c>
    </row>
    <row r="1277" spans="1:6" x14ac:dyDescent="0.35">
      <c r="A1277" t="s">
        <v>5970</v>
      </c>
      <c r="B1277" t="s">
        <v>2391</v>
      </c>
      <c r="C1277" s="1">
        <v>45324</v>
      </c>
      <c r="D1277" s="2">
        <v>173.23</v>
      </c>
      <c r="E1277" t="s">
        <v>4694</v>
      </c>
      <c r="F1277" s="2">
        <v>43.66</v>
      </c>
    </row>
    <row r="1278" spans="1:6" x14ac:dyDescent="0.35">
      <c r="A1278" t="s">
        <v>5971</v>
      </c>
      <c r="B1278" t="s">
        <v>2392</v>
      </c>
      <c r="C1278" s="1">
        <v>45025</v>
      </c>
      <c r="D1278" s="2">
        <v>596.27</v>
      </c>
      <c r="E1278" t="s">
        <v>4694</v>
      </c>
      <c r="F1278" s="2">
        <v>88.76</v>
      </c>
    </row>
    <row r="1279" spans="1:6" x14ac:dyDescent="0.35">
      <c r="A1279" t="s">
        <v>5972</v>
      </c>
      <c r="B1279" t="s">
        <v>2393</v>
      </c>
      <c r="C1279" s="1">
        <v>45197</v>
      </c>
      <c r="D1279" s="2">
        <v>4538.22</v>
      </c>
      <c r="E1279" t="s">
        <v>4694</v>
      </c>
      <c r="F1279" s="2">
        <v>2711.39</v>
      </c>
    </row>
    <row r="1280" spans="1:6" x14ac:dyDescent="0.35">
      <c r="A1280" t="s">
        <v>5973</v>
      </c>
      <c r="B1280" t="s">
        <v>2394</v>
      </c>
      <c r="C1280" s="1">
        <v>45000</v>
      </c>
      <c r="D1280" s="2">
        <v>168.36</v>
      </c>
      <c r="E1280" t="s">
        <v>4694</v>
      </c>
      <c r="F1280" s="2">
        <v>10.11</v>
      </c>
    </row>
    <row r="1281" spans="1:6" x14ac:dyDescent="0.35">
      <c r="A1281" t="s">
        <v>5974</v>
      </c>
      <c r="B1281" t="s">
        <v>2395</v>
      </c>
      <c r="C1281" s="1">
        <v>45353</v>
      </c>
      <c r="D1281" s="2">
        <v>2574.21</v>
      </c>
      <c r="E1281" t="s">
        <v>4694</v>
      </c>
      <c r="F1281" s="2">
        <v>1437.32</v>
      </c>
    </row>
    <row r="1282" spans="1:6" x14ac:dyDescent="0.35">
      <c r="A1282" t="s">
        <v>5975</v>
      </c>
      <c r="B1282" t="s">
        <v>2396</v>
      </c>
      <c r="C1282" s="1">
        <v>45005</v>
      </c>
      <c r="D1282" s="2">
        <v>166.13</v>
      </c>
      <c r="E1282" t="s">
        <v>4694</v>
      </c>
      <c r="F1282" s="2">
        <v>33.31</v>
      </c>
    </row>
    <row r="1283" spans="1:6" x14ac:dyDescent="0.35">
      <c r="A1283" t="s">
        <v>5976</v>
      </c>
      <c r="B1283" t="s">
        <v>2398</v>
      </c>
      <c r="C1283" s="1">
        <v>45154</v>
      </c>
      <c r="D1283" s="2">
        <v>2930.31</v>
      </c>
      <c r="E1283" t="s">
        <v>4694</v>
      </c>
      <c r="F1283" s="2">
        <v>1091.04</v>
      </c>
    </row>
    <row r="1284" spans="1:6" x14ac:dyDescent="0.35">
      <c r="A1284" t="s">
        <v>5977</v>
      </c>
      <c r="B1284" t="s">
        <v>2399</v>
      </c>
      <c r="C1284" s="1">
        <v>45452</v>
      </c>
      <c r="D1284" s="2">
        <v>86.79</v>
      </c>
      <c r="E1284" t="s">
        <v>4694</v>
      </c>
      <c r="F1284" s="2">
        <v>26.4</v>
      </c>
    </row>
    <row r="1285" spans="1:6" x14ac:dyDescent="0.35">
      <c r="A1285" t="s">
        <v>5978</v>
      </c>
      <c r="B1285" t="s">
        <v>2402</v>
      </c>
      <c r="C1285" s="1">
        <v>45329</v>
      </c>
      <c r="D1285" s="2">
        <v>495.99</v>
      </c>
      <c r="E1285" t="s">
        <v>4694</v>
      </c>
      <c r="F1285" s="2">
        <v>287.69</v>
      </c>
    </row>
    <row r="1286" spans="1:6" x14ac:dyDescent="0.35">
      <c r="A1286" t="s">
        <v>5979</v>
      </c>
      <c r="B1286" t="s">
        <v>2403</v>
      </c>
      <c r="C1286" s="1">
        <v>45104</v>
      </c>
      <c r="D1286" s="2">
        <v>4092.52</v>
      </c>
      <c r="E1286" t="s">
        <v>4694</v>
      </c>
      <c r="F1286" s="2">
        <v>707.3</v>
      </c>
    </row>
    <row r="1287" spans="1:6" x14ac:dyDescent="0.35">
      <c r="A1287" t="s">
        <v>5980</v>
      </c>
      <c r="B1287" t="s">
        <v>2405</v>
      </c>
      <c r="C1287" s="1">
        <v>45447</v>
      </c>
      <c r="D1287" s="2">
        <v>380.97</v>
      </c>
      <c r="E1287" t="s">
        <v>4694</v>
      </c>
      <c r="F1287" s="2">
        <v>64.349999999999994</v>
      </c>
    </row>
    <row r="1288" spans="1:6" x14ac:dyDescent="0.35">
      <c r="A1288" t="s">
        <v>5981</v>
      </c>
      <c r="B1288" t="s">
        <v>2406</v>
      </c>
      <c r="C1288" s="1">
        <v>45394</v>
      </c>
      <c r="D1288" s="2">
        <v>3891.53</v>
      </c>
      <c r="E1288" t="s">
        <v>4694</v>
      </c>
      <c r="F1288" s="2">
        <v>1734.69</v>
      </c>
    </row>
    <row r="1289" spans="1:6" x14ac:dyDescent="0.35">
      <c r="A1289" t="s">
        <v>5982</v>
      </c>
      <c r="B1289" t="s">
        <v>2408</v>
      </c>
      <c r="C1289" s="1">
        <v>45544</v>
      </c>
      <c r="D1289" s="2">
        <v>160.27000000000001</v>
      </c>
      <c r="E1289" t="s">
        <v>4697</v>
      </c>
      <c r="F1289" s="2">
        <v>21.64</v>
      </c>
    </row>
    <row r="1290" spans="1:6" x14ac:dyDescent="0.35">
      <c r="A1290" t="s">
        <v>5983</v>
      </c>
      <c r="B1290" t="s">
        <v>2409</v>
      </c>
      <c r="C1290" s="1">
        <v>45328</v>
      </c>
      <c r="D1290" s="2">
        <v>1338.17</v>
      </c>
      <c r="E1290" t="s">
        <v>4694</v>
      </c>
      <c r="F1290" s="2">
        <v>527.07000000000005</v>
      </c>
    </row>
    <row r="1291" spans="1:6" x14ac:dyDescent="0.35">
      <c r="A1291" t="s">
        <v>5984</v>
      </c>
      <c r="B1291" t="s">
        <v>2410</v>
      </c>
      <c r="C1291" s="1">
        <v>45040</v>
      </c>
      <c r="D1291" s="2">
        <v>3810.66</v>
      </c>
      <c r="E1291" t="s">
        <v>4694</v>
      </c>
      <c r="F1291" s="2">
        <v>1237.74</v>
      </c>
    </row>
    <row r="1292" spans="1:6" x14ac:dyDescent="0.35">
      <c r="A1292" t="s">
        <v>5985</v>
      </c>
      <c r="B1292" t="s">
        <v>2411</v>
      </c>
      <c r="C1292" s="1">
        <v>45266</v>
      </c>
      <c r="D1292" s="2">
        <v>1145.8699999999999</v>
      </c>
      <c r="E1292" t="s">
        <v>4694</v>
      </c>
      <c r="F1292" s="2">
        <v>340.69</v>
      </c>
    </row>
    <row r="1293" spans="1:6" x14ac:dyDescent="0.35">
      <c r="A1293" t="s">
        <v>5986</v>
      </c>
      <c r="B1293" t="s">
        <v>2412</v>
      </c>
      <c r="C1293" s="1">
        <v>45249</v>
      </c>
      <c r="D1293" s="2">
        <v>117.96</v>
      </c>
      <c r="E1293" t="s">
        <v>4694</v>
      </c>
      <c r="F1293" s="2">
        <v>37.520000000000003</v>
      </c>
    </row>
    <row r="1294" spans="1:6" x14ac:dyDescent="0.35">
      <c r="A1294" t="s">
        <v>5987</v>
      </c>
      <c r="B1294" t="s">
        <v>2413</v>
      </c>
      <c r="C1294" s="1">
        <v>45162</v>
      </c>
      <c r="D1294" s="2">
        <v>3408.29</v>
      </c>
      <c r="E1294" t="s">
        <v>4694</v>
      </c>
      <c r="F1294" s="2">
        <v>1641.17</v>
      </c>
    </row>
    <row r="1295" spans="1:6" x14ac:dyDescent="0.35">
      <c r="A1295" t="s">
        <v>5988</v>
      </c>
      <c r="B1295" t="s">
        <v>2414</v>
      </c>
      <c r="C1295" s="1">
        <v>45006</v>
      </c>
      <c r="D1295" s="2">
        <v>3698.72</v>
      </c>
      <c r="E1295" t="s">
        <v>4694</v>
      </c>
      <c r="F1295" s="2">
        <v>589.62</v>
      </c>
    </row>
    <row r="1296" spans="1:6" x14ac:dyDescent="0.35">
      <c r="A1296" t="s">
        <v>5989</v>
      </c>
      <c r="B1296" t="s">
        <v>2415</v>
      </c>
      <c r="C1296" s="1">
        <v>45295</v>
      </c>
      <c r="D1296" s="2">
        <v>1550.99</v>
      </c>
      <c r="E1296" t="s">
        <v>4694</v>
      </c>
      <c r="F1296" s="2">
        <v>662.67</v>
      </c>
    </row>
    <row r="1297" spans="1:6" x14ac:dyDescent="0.35">
      <c r="A1297" t="s">
        <v>5990</v>
      </c>
      <c r="B1297" t="s">
        <v>2416</v>
      </c>
      <c r="C1297" s="1">
        <v>45102</v>
      </c>
      <c r="D1297" s="2">
        <v>4011.33</v>
      </c>
      <c r="E1297" t="s">
        <v>4694</v>
      </c>
      <c r="F1297" s="2">
        <v>196.99</v>
      </c>
    </row>
    <row r="1298" spans="1:6" x14ac:dyDescent="0.35">
      <c r="A1298" t="s">
        <v>5991</v>
      </c>
      <c r="B1298" t="s">
        <v>2417</v>
      </c>
      <c r="C1298" s="1">
        <v>45289</v>
      </c>
      <c r="D1298" s="2">
        <v>695.17</v>
      </c>
      <c r="E1298" t="s">
        <v>4694</v>
      </c>
      <c r="F1298" s="2">
        <v>184.98</v>
      </c>
    </row>
    <row r="1299" spans="1:6" x14ac:dyDescent="0.35">
      <c r="A1299" t="s">
        <v>5992</v>
      </c>
      <c r="B1299" t="s">
        <v>2419</v>
      </c>
      <c r="C1299" s="1">
        <v>45307</v>
      </c>
      <c r="D1299" s="2">
        <v>82.4</v>
      </c>
      <c r="E1299" t="s">
        <v>4694</v>
      </c>
      <c r="F1299" s="2">
        <v>16.2</v>
      </c>
    </row>
    <row r="1300" spans="1:6" x14ac:dyDescent="0.35">
      <c r="A1300" t="s">
        <v>5993</v>
      </c>
      <c r="B1300" t="s">
        <v>2421</v>
      </c>
      <c r="C1300" s="1">
        <v>45259</v>
      </c>
      <c r="D1300" s="2">
        <v>1193.25</v>
      </c>
      <c r="E1300" t="s">
        <v>4694</v>
      </c>
      <c r="F1300" s="2">
        <v>201.28</v>
      </c>
    </row>
    <row r="1301" spans="1:6" x14ac:dyDescent="0.35">
      <c r="A1301" t="s">
        <v>5994</v>
      </c>
      <c r="B1301" t="s">
        <v>2422</v>
      </c>
      <c r="C1301" s="1">
        <v>45469</v>
      </c>
      <c r="D1301" s="2">
        <v>255.09</v>
      </c>
      <c r="E1301" t="s">
        <v>4694</v>
      </c>
      <c r="F1301" s="2">
        <v>101.44</v>
      </c>
    </row>
    <row r="1302" spans="1:6" x14ac:dyDescent="0.35">
      <c r="A1302" t="s">
        <v>5995</v>
      </c>
      <c r="B1302" t="s">
        <v>2423</v>
      </c>
      <c r="C1302" s="1">
        <v>45606</v>
      </c>
      <c r="D1302" s="2">
        <v>2548.8200000000002</v>
      </c>
      <c r="E1302" t="s">
        <v>4697</v>
      </c>
      <c r="F1302" s="2">
        <v>607.70000000000005</v>
      </c>
    </row>
    <row r="1303" spans="1:6" x14ac:dyDescent="0.35">
      <c r="A1303" t="s">
        <v>5996</v>
      </c>
      <c r="B1303" t="s">
        <v>2424</v>
      </c>
      <c r="C1303" s="1">
        <v>45305</v>
      </c>
      <c r="D1303" s="2">
        <v>720.69</v>
      </c>
      <c r="E1303" t="s">
        <v>4694</v>
      </c>
      <c r="F1303" s="2">
        <v>47.69</v>
      </c>
    </row>
    <row r="1304" spans="1:6" x14ac:dyDescent="0.35">
      <c r="A1304" t="s">
        <v>5997</v>
      </c>
      <c r="B1304" t="s">
        <v>2427</v>
      </c>
      <c r="C1304" s="1">
        <v>45246</v>
      </c>
      <c r="D1304" s="2">
        <v>152.05000000000001</v>
      </c>
      <c r="E1304" t="s">
        <v>4694</v>
      </c>
      <c r="F1304" s="2">
        <v>16.809999999999999</v>
      </c>
    </row>
    <row r="1305" spans="1:6" x14ac:dyDescent="0.35">
      <c r="A1305" t="s">
        <v>5998</v>
      </c>
      <c r="B1305" t="s">
        <v>2428</v>
      </c>
      <c r="C1305" s="1">
        <v>45123</v>
      </c>
      <c r="D1305" s="2">
        <v>855.68</v>
      </c>
      <c r="E1305" t="s">
        <v>4694</v>
      </c>
      <c r="F1305" s="2">
        <v>42.83</v>
      </c>
    </row>
    <row r="1306" spans="1:6" x14ac:dyDescent="0.35">
      <c r="A1306" t="s">
        <v>5999</v>
      </c>
      <c r="B1306" t="s">
        <v>2429</v>
      </c>
      <c r="C1306" s="1">
        <v>45399</v>
      </c>
      <c r="D1306" s="2">
        <v>317.54000000000002</v>
      </c>
      <c r="E1306" t="s">
        <v>4694</v>
      </c>
      <c r="F1306" s="2">
        <v>16.43</v>
      </c>
    </row>
    <row r="1307" spans="1:6" x14ac:dyDescent="0.35">
      <c r="A1307" t="s">
        <v>6000</v>
      </c>
      <c r="B1307" t="s">
        <v>2431</v>
      </c>
      <c r="C1307" s="1">
        <v>45568</v>
      </c>
      <c r="D1307" s="2">
        <v>945.28</v>
      </c>
      <c r="E1307" t="s">
        <v>4694</v>
      </c>
      <c r="F1307" s="2">
        <v>444.37</v>
      </c>
    </row>
    <row r="1308" spans="1:6" x14ac:dyDescent="0.35">
      <c r="A1308" t="s">
        <v>6001</v>
      </c>
      <c r="B1308" t="s">
        <v>2432</v>
      </c>
      <c r="C1308" s="1">
        <v>45442</v>
      </c>
      <c r="D1308" s="2">
        <v>251.31</v>
      </c>
      <c r="E1308" t="s">
        <v>4694</v>
      </c>
      <c r="F1308" s="2">
        <v>127.33</v>
      </c>
    </row>
    <row r="1309" spans="1:6" x14ac:dyDescent="0.35">
      <c r="A1309" t="s">
        <v>6002</v>
      </c>
      <c r="B1309" t="s">
        <v>2433</v>
      </c>
      <c r="C1309" s="1">
        <v>45637</v>
      </c>
      <c r="D1309" s="2">
        <v>589.16</v>
      </c>
      <c r="E1309" t="s">
        <v>4694</v>
      </c>
      <c r="F1309" s="2">
        <v>256.99</v>
      </c>
    </row>
    <row r="1310" spans="1:6" x14ac:dyDescent="0.35">
      <c r="A1310" t="s">
        <v>6003</v>
      </c>
      <c r="B1310" t="s">
        <v>2434</v>
      </c>
      <c r="C1310" s="1">
        <v>45348</v>
      </c>
      <c r="D1310" s="2">
        <v>165.35</v>
      </c>
      <c r="E1310" t="s">
        <v>4694</v>
      </c>
      <c r="F1310" s="2">
        <v>15.47</v>
      </c>
    </row>
    <row r="1311" spans="1:6" x14ac:dyDescent="0.35">
      <c r="A1311" t="s">
        <v>6004</v>
      </c>
      <c r="B1311" t="s">
        <v>2436</v>
      </c>
      <c r="C1311" s="1">
        <v>45636</v>
      </c>
      <c r="D1311" s="2">
        <v>243.52</v>
      </c>
      <c r="E1311" t="s">
        <v>4694</v>
      </c>
      <c r="F1311" s="2">
        <v>95.94</v>
      </c>
    </row>
    <row r="1312" spans="1:6" x14ac:dyDescent="0.35">
      <c r="A1312" t="s">
        <v>6005</v>
      </c>
      <c r="B1312" t="s">
        <v>2437</v>
      </c>
      <c r="C1312" s="1">
        <v>45462</v>
      </c>
      <c r="D1312" s="2">
        <v>169.42</v>
      </c>
      <c r="E1312" t="s">
        <v>4694</v>
      </c>
      <c r="F1312" s="2">
        <v>29.87</v>
      </c>
    </row>
    <row r="1313" spans="1:6" x14ac:dyDescent="0.35">
      <c r="A1313" t="s">
        <v>6006</v>
      </c>
      <c r="B1313" t="s">
        <v>2438</v>
      </c>
      <c r="C1313" s="1">
        <v>45442</v>
      </c>
      <c r="D1313" s="2">
        <v>296.62</v>
      </c>
      <c r="E1313" t="s">
        <v>4694</v>
      </c>
      <c r="F1313" s="2">
        <v>50.69</v>
      </c>
    </row>
    <row r="1314" spans="1:6" x14ac:dyDescent="0.35">
      <c r="A1314" t="s">
        <v>6007</v>
      </c>
      <c r="B1314" t="s">
        <v>2439</v>
      </c>
      <c r="C1314" s="1">
        <v>45668</v>
      </c>
      <c r="D1314" s="2">
        <v>247.22</v>
      </c>
      <c r="E1314" t="s">
        <v>4694</v>
      </c>
      <c r="F1314" s="2">
        <v>82.77</v>
      </c>
    </row>
    <row r="1315" spans="1:6" x14ac:dyDescent="0.35">
      <c r="A1315" t="s">
        <v>6008</v>
      </c>
      <c r="B1315" t="s">
        <v>2440</v>
      </c>
      <c r="C1315" s="1">
        <v>45023</v>
      </c>
      <c r="D1315" s="2">
        <v>114.15</v>
      </c>
      <c r="E1315" t="s">
        <v>4694</v>
      </c>
      <c r="F1315" s="2">
        <v>24.35</v>
      </c>
    </row>
    <row r="1316" spans="1:6" x14ac:dyDescent="0.35">
      <c r="A1316" t="s">
        <v>6009</v>
      </c>
      <c r="B1316" t="s">
        <v>2441</v>
      </c>
      <c r="C1316" s="1">
        <v>45471</v>
      </c>
      <c r="D1316" s="2">
        <v>1007.49</v>
      </c>
      <c r="E1316" t="s">
        <v>4694</v>
      </c>
      <c r="F1316" s="2">
        <v>121.42</v>
      </c>
    </row>
    <row r="1317" spans="1:6" x14ac:dyDescent="0.35">
      <c r="A1317" t="s">
        <v>6010</v>
      </c>
      <c r="B1317" t="s">
        <v>2443</v>
      </c>
      <c r="C1317" s="1">
        <v>45601</v>
      </c>
      <c r="D1317" s="2">
        <v>403.73</v>
      </c>
      <c r="E1317" t="s">
        <v>4694</v>
      </c>
      <c r="F1317" s="2">
        <v>194.02</v>
      </c>
    </row>
    <row r="1318" spans="1:6" x14ac:dyDescent="0.35">
      <c r="A1318" t="s">
        <v>6011</v>
      </c>
      <c r="B1318" t="s">
        <v>2444</v>
      </c>
      <c r="C1318" s="1">
        <v>45247</v>
      </c>
      <c r="D1318" s="2">
        <v>118.35</v>
      </c>
      <c r="E1318" t="s">
        <v>4694</v>
      </c>
      <c r="F1318" s="2">
        <v>20.83</v>
      </c>
    </row>
    <row r="1319" spans="1:6" x14ac:dyDescent="0.35">
      <c r="A1319" t="s">
        <v>6012</v>
      </c>
      <c r="B1319" t="s">
        <v>2445</v>
      </c>
      <c r="C1319" s="1">
        <v>45330</v>
      </c>
      <c r="D1319" s="2">
        <v>376.1</v>
      </c>
      <c r="E1319" t="s">
        <v>4694</v>
      </c>
      <c r="F1319" s="2">
        <v>201.6</v>
      </c>
    </row>
    <row r="1320" spans="1:6" x14ac:dyDescent="0.35">
      <c r="A1320" t="s">
        <v>6013</v>
      </c>
      <c r="B1320" t="s">
        <v>2446</v>
      </c>
      <c r="C1320" s="1">
        <v>45644</v>
      </c>
      <c r="D1320" s="2">
        <v>722.38</v>
      </c>
      <c r="E1320" t="s">
        <v>4694</v>
      </c>
      <c r="F1320" s="2">
        <v>98.13</v>
      </c>
    </row>
    <row r="1321" spans="1:6" x14ac:dyDescent="0.35">
      <c r="A1321" t="s">
        <v>6014</v>
      </c>
      <c r="B1321" t="s">
        <v>2449</v>
      </c>
      <c r="C1321" s="1">
        <v>45524</v>
      </c>
      <c r="D1321" s="2">
        <v>48.99</v>
      </c>
      <c r="E1321" t="s">
        <v>4694</v>
      </c>
      <c r="F1321" s="2">
        <v>7.28</v>
      </c>
    </row>
    <row r="1322" spans="1:6" x14ac:dyDescent="0.35">
      <c r="A1322" t="s">
        <v>6015</v>
      </c>
      <c r="B1322" t="s">
        <v>2450</v>
      </c>
      <c r="C1322" s="1">
        <v>45131</v>
      </c>
      <c r="D1322" s="2">
        <v>550.79999999999995</v>
      </c>
      <c r="E1322" t="s">
        <v>4694</v>
      </c>
      <c r="F1322" s="2">
        <v>262.39</v>
      </c>
    </row>
    <row r="1323" spans="1:6" x14ac:dyDescent="0.35">
      <c r="A1323" t="s">
        <v>6016</v>
      </c>
      <c r="B1323" t="s">
        <v>2451</v>
      </c>
      <c r="C1323" s="1">
        <v>45412</v>
      </c>
      <c r="D1323" s="2">
        <v>847.28</v>
      </c>
      <c r="E1323" t="s">
        <v>4694</v>
      </c>
      <c r="F1323" s="2">
        <v>84.08</v>
      </c>
    </row>
    <row r="1324" spans="1:6" x14ac:dyDescent="0.35">
      <c r="A1324" t="s">
        <v>6017</v>
      </c>
      <c r="B1324" t="s">
        <v>2452</v>
      </c>
      <c r="C1324" s="1">
        <v>45545</v>
      </c>
      <c r="D1324" s="2">
        <v>148.86000000000001</v>
      </c>
      <c r="E1324" t="s">
        <v>4694</v>
      </c>
      <c r="F1324" s="2">
        <v>76.55</v>
      </c>
    </row>
    <row r="1325" spans="1:6" x14ac:dyDescent="0.35">
      <c r="A1325" t="s">
        <v>6018</v>
      </c>
      <c r="B1325" t="s">
        <v>2454</v>
      </c>
      <c r="C1325" s="1">
        <v>45072</v>
      </c>
      <c r="D1325" s="2">
        <v>103.44</v>
      </c>
      <c r="E1325" t="s">
        <v>4694</v>
      </c>
      <c r="F1325" s="2">
        <v>5.93</v>
      </c>
    </row>
    <row r="1326" spans="1:6" x14ac:dyDescent="0.35">
      <c r="A1326" t="s">
        <v>6019</v>
      </c>
      <c r="B1326" t="s">
        <v>2455</v>
      </c>
      <c r="C1326" s="1">
        <v>45132</v>
      </c>
      <c r="D1326" s="2">
        <v>78.680000000000007</v>
      </c>
      <c r="E1326" t="s">
        <v>4694</v>
      </c>
      <c r="F1326" s="2">
        <v>29.8</v>
      </c>
    </row>
    <row r="1327" spans="1:6" x14ac:dyDescent="0.35">
      <c r="A1327" t="s">
        <v>6020</v>
      </c>
      <c r="B1327" t="s">
        <v>2456</v>
      </c>
      <c r="C1327" s="1">
        <v>45644</v>
      </c>
      <c r="D1327" s="2">
        <v>100.54</v>
      </c>
      <c r="E1327" t="s">
        <v>4694</v>
      </c>
      <c r="F1327" s="2">
        <v>36.71</v>
      </c>
    </row>
    <row r="1328" spans="1:6" x14ac:dyDescent="0.35">
      <c r="A1328" t="s">
        <v>6021</v>
      </c>
      <c r="B1328" t="s">
        <v>2457</v>
      </c>
      <c r="C1328" s="1">
        <v>45386</v>
      </c>
      <c r="D1328" s="2">
        <v>2895.12</v>
      </c>
      <c r="E1328" t="s">
        <v>4694</v>
      </c>
      <c r="F1328" s="2">
        <v>715.53</v>
      </c>
    </row>
    <row r="1329" spans="1:6" x14ac:dyDescent="0.35">
      <c r="A1329" t="s">
        <v>6022</v>
      </c>
      <c r="B1329" t="s">
        <v>2458</v>
      </c>
      <c r="C1329" s="1">
        <v>45593</v>
      </c>
      <c r="D1329" s="2">
        <v>107.67</v>
      </c>
      <c r="E1329" t="s">
        <v>4694</v>
      </c>
      <c r="F1329" s="2">
        <v>15.32</v>
      </c>
    </row>
    <row r="1330" spans="1:6" x14ac:dyDescent="0.35">
      <c r="A1330" t="s">
        <v>6023</v>
      </c>
      <c r="B1330" t="s">
        <v>2460</v>
      </c>
      <c r="C1330" s="1">
        <v>45564</v>
      </c>
      <c r="D1330" s="2">
        <v>362.81</v>
      </c>
      <c r="E1330" t="s">
        <v>4694</v>
      </c>
      <c r="F1330" s="2">
        <v>79.47</v>
      </c>
    </row>
    <row r="1331" spans="1:6" x14ac:dyDescent="0.35">
      <c r="A1331" t="s">
        <v>6024</v>
      </c>
      <c r="B1331" t="s">
        <v>2461</v>
      </c>
      <c r="C1331" s="1">
        <v>45511</v>
      </c>
      <c r="D1331" s="2">
        <v>73.72</v>
      </c>
      <c r="E1331" t="s">
        <v>4694</v>
      </c>
      <c r="F1331" s="2">
        <v>44.87</v>
      </c>
    </row>
    <row r="1332" spans="1:6" x14ac:dyDescent="0.35">
      <c r="A1332" t="s">
        <v>6025</v>
      </c>
      <c r="B1332" t="s">
        <v>2462</v>
      </c>
      <c r="C1332" s="1">
        <v>45275</v>
      </c>
      <c r="D1332" s="2">
        <v>536.23</v>
      </c>
      <c r="E1332" t="s">
        <v>4694</v>
      </c>
      <c r="F1332" s="2">
        <v>46.55</v>
      </c>
    </row>
    <row r="1333" spans="1:6" x14ac:dyDescent="0.35">
      <c r="A1333" t="s">
        <v>6026</v>
      </c>
      <c r="B1333" t="s">
        <v>2464</v>
      </c>
      <c r="C1333" s="1">
        <v>45482</v>
      </c>
      <c r="D1333" s="2">
        <v>5054.04</v>
      </c>
      <c r="E1333" t="s">
        <v>4694</v>
      </c>
      <c r="F1333" s="2">
        <v>1880.15</v>
      </c>
    </row>
    <row r="1334" spans="1:6" x14ac:dyDescent="0.35">
      <c r="A1334" t="s">
        <v>6027</v>
      </c>
      <c r="B1334" t="s">
        <v>2466</v>
      </c>
      <c r="C1334" s="1">
        <v>45616</v>
      </c>
      <c r="D1334" s="2">
        <v>49.92</v>
      </c>
      <c r="E1334" t="s">
        <v>4694</v>
      </c>
      <c r="F1334" s="2">
        <v>4.09</v>
      </c>
    </row>
    <row r="1335" spans="1:6" x14ac:dyDescent="0.35">
      <c r="A1335" t="s">
        <v>6028</v>
      </c>
      <c r="B1335" t="s">
        <v>2468</v>
      </c>
      <c r="C1335" s="1">
        <v>45083</v>
      </c>
      <c r="D1335" s="2">
        <v>2001.12</v>
      </c>
      <c r="E1335" t="s">
        <v>4697</v>
      </c>
      <c r="F1335" s="2">
        <v>234.84</v>
      </c>
    </row>
    <row r="1336" spans="1:6" x14ac:dyDescent="0.35">
      <c r="A1336" t="s">
        <v>6029</v>
      </c>
      <c r="B1336" t="s">
        <v>2469</v>
      </c>
      <c r="C1336" s="1">
        <v>45650</v>
      </c>
      <c r="D1336" s="2">
        <v>925.57</v>
      </c>
      <c r="E1336" t="s">
        <v>4694</v>
      </c>
      <c r="F1336" s="2">
        <v>199.76</v>
      </c>
    </row>
    <row r="1337" spans="1:6" x14ac:dyDescent="0.35">
      <c r="A1337" t="s">
        <v>6030</v>
      </c>
      <c r="B1337" t="s">
        <v>2470</v>
      </c>
      <c r="C1337" s="1">
        <v>45139</v>
      </c>
      <c r="D1337" s="2">
        <v>543.77</v>
      </c>
      <c r="E1337" t="s">
        <v>4694</v>
      </c>
      <c r="F1337" s="2">
        <v>191.94</v>
      </c>
    </row>
    <row r="1338" spans="1:6" x14ac:dyDescent="0.35">
      <c r="A1338" t="s">
        <v>6031</v>
      </c>
      <c r="B1338" t="s">
        <v>2471</v>
      </c>
      <c r="C1338" s="1">
        <v>45156</v>
      </c>
      <c r="D1338" s="2">
        <v>337.26</v>
      </c>
      <c r="E1338" t="s">
        <v>4694</v>
      </c>
      <c r="F1338" s="2">
        <v>89.65</v>
      </c>
    </row>
    <row r="1339" spans="1:6" x14ac:dyDescent="0.35">
      <c r="A1339" t="s">
        <v>6032</v>
      </c>
      <c r="B1339" t="s">
        <v>2472</v>
      </c>
      <c r="C1339" s="1">
        <v>45167</v>
      </c>
      <c r="D1339" s="2">
        <v>151.53</v>
      </c>
      <c r="E1339" t="s">
        <v>4694</v>
      </c>
      <c r="F1339" s="2">
        <v>43.57</v>
      </c>
    </row>
    <row r="1340" spans="1:6" x14ac:dyDescent="0.35">
      <c r="A1340" t="s">
        <v>6033</v>
      </c>
      <c r="B1340" t="s">
        <v>2473</v>
      </c>
      <c r="C1340" s="1">
        <v>45202</v>
      </c>
      <c r="D1340" s="2">
        <v>463.73</v>
      </c>
      <c r="E1340" t="s">
        <v>4694</v>
      </c>
      <c r="F1340" s="2">
        <v>228.5</v>
      </c>
    </row>
    <row r="1341" spans="1:6" x14ac:dyDescent="0.35">
      <c r="A1341" t="s">
        <v>6034</v>
      </c>
      <c r="B1341" t="s">
        <v>2474</v>
      </c>
      <c r="C1341" s="1">
        <v>45083</v>
      </c>
      <c r="D1341" s="2">
        <v>4814.17</v>
      </c>
      <c r="E1341" t="s">
        <v>4694</v>
      </c>
      <c r="F1341" s="2">
        <v>448.91</v>
      </c>
    </row>
    <row r="1342" spans="1:6" x14ac:dyDescent="0.35">
      <c r="A1342" t="s">
        <v>6035</v>
      </c>
      <c r="B1342" t="s">
        <v>2475</v>
      </c>
      <c r="C1342" s="1">
        <v>45541</v>
      </c>
      <c r="D1342" s="2">
        <v>572.07000000000005</v>
      </c>
      <c r="E1342" t="s">
        <v>4694</v>
      </c>
      <c r="F1342" s="2">
        <v>324.33999999999997</v>
      </c>
    </row>
    <row r="1343" spans="1:6" x14ac:dyDescent="0.35">
      <c r="A1343" t="s">
        <v>6036</v>
      </c>
      <c r="B1343" t="s">
        <v>2477</v>
      </c>
      <c r="C1343" s="1">
        <v>45155</v>
      </c>
      <c r="D1343" s="2">
        <v>1212.77</v>
      </c>
      <c r="E1343" t="s">
        <v>4694</v>
      </c>
      <c r="F1343" s="2">
        <v>596.96</v>
      </c>
    </row>
    <row r="1344" spans="1:6" x14ac:dyDescent="0.35">
      <c r="A1344" t="s">
        <v>6037</v>
      </c>
      <c r="B1344" t="s">
        <v>2479</v>
      </c>
      <c r="C1344" s="1">
        <v>44943</v>
      </c>
      <c r="D1344" s="2">
        <v>3849.58</v>
      </c>
      <c r="E1344" t="s">
        <v>4697</v>
      </c>
      <c r="F1344" s="2">
        <v>1522.15</v>
      </c>
    </row>
    <row r="1345" spans="1:6" x14ac:dyDescent="0.35">
      <c r="A1345" t="s">
        <v>6038</v>
      </c>
      <c r="B1345" t="s">
        <v>2480</v>
      </c>
      <c r="C1345" s="1">
        <v>45085</v>
      </c>
      <c r="D1345" s="2">
        <v>208.74</v>
      </c>
      <c r="E1345" t="s">
        <v>4697</v>
      </c>
      <c r="F1345" s="2">
        <v>11.83</v>
      </c>
    </row>
    <row r="1346" spans="1:6" x14ac:dyDescent="0.35">
      <c r="A1346" t="s">
        <v>6039</v>
      </c>
      <c r="B1346" t="s">
        <v>2481</v>
      </c>
      <c r="C1346" s="1">
        <v>45321</v>
      </c>
      <c r="D1346" s="2">
        <v>281.2</v>
      </c>
      <c r="E1346" t="s">
        <v>4694</v>
      </c>
      <c r="F1346" s="2">
        <v>68.92</v>
      </c>
    </row>
    <row r="1347" spans="1:6" x14ac:dyDescent="0.35">
      <c r="A1347" t="s">
        <v>6040</v>
      </c>
      <c r="B1347" t="s">
        <v>2482</v>
      </c>
      <c r="C1347" s="1">
        <v>45582</v>
      </c>
      <c r="D1347" s="2">
        <v>317.74</v>
      </c>
      <c r="E1347" t="s">
        <v>4694</v>
      </c>
      <c r="F1347" s="2">
        <v>42.21</v>
      </c>
    </row>
    <row r="1348" spans="1:6" x14ac:dyDescent="0.35">
      <c r="A1348" t="s">
        <v>6041</v>
      </c>
      <c r="B1348" t="s">
        <v>2484</v>
      </c>
      <c r="C1348" s="1">
        <v>45293</v>
      </c>
      <c r="D1348" s="2">
        <v>343.13</v>
      </c>
      <c r="E1348" t="s">
        <v>4694</v>
      </c>
      <c r="F1348" s="2">
        <v>207.85</v>
      </c>
    </row>
    <row r="1349" spans="1:6" x14ac:dyDescent="0.35">
      <c r="A1349" t="s">
        <v>6042</v>
      </c>
      <c r="B1349" t="s">
        <v>2487</v>
      </c>
      <c r="C1349" s="1">
        <v>44963</v>
      </c>
      <c r="D1349" s="2">
        <v>3061.34</v>
      </c>
      <c r="E1349" t="s">
        <v>4697</v>
      </c>
      <c r="F1349" s="2">
        <v>871.21</v>
      </c>
    </row>
    <row r="1350" spans="1:6" x14ac:dyDescent="0.35">
      <c r="A1350" t="s">
        <v>6043</v>
      </c>
      <c r="B1350" t="s">
        <v>2489</v>
      </c>
      <c r="C1350" s="1">
        <v>45430</v>
      </c>
      <c r="D1350" s="2">
        <v>3855.05</v>
      </c>
      <c r="E1350" t="s">
        <v>4694</v>
      </c>
      <c r="F1350" s="2">
        <v>2083.39</v>
      </c>
    </row>
    <row r="1351" spans="1:6" x14ac:dyDescent="0.35">
      <c r="A1351" t="s">
        <v>6044</v>
      </c>
      <c r="B1351" t="s">
        <v>2492</v>
      </c>
      <c r="C1351" s="1">
        <v>45556</v>
      </c>
      <c r="D1351" s="2">
        <v>321.45999999999998</v>
      </c>
      <c r="E1351" t="s">
        <v>4694</v>
      </c>
      <c r="F1351" s="2">
        <v>160.56</v>
      </c>
    </row>
    <row r="1352" spans="1:6" x14ac:dyDescent="0.35">
      <c r="A1352" t="s">
        <v>6045</v>
      </c>
      <c r="B1352" t="s">
        <v>2494</v>
      </c>
      <c r="C1352" s="1">
        <v>45033</v>
      </c>
      <c r="D1352" s="2">
        <v>507.79</v>
      </c>
      <c r="E1352" t="s">
        <v>4694</v>
      </c>
      <c r="F1352" s="2">
        <v>46.03</v>
      </c>
    </row>
    <row r="1353" spans="1:6" x14ac:dyDescent="0.35">
      <c r="A1353" t="s">
        <v>6046</v>
      </c>
      <c r="B1353" t="s">
        <v>2495</v>
      </c>
      <c r="C1353" s="1">
        <v>45082</v>
      </c>
      <c r="D1353" s="2">
        <v>119.47</v>
      </c>
      <c r="E1353" t="s">
        <v>4697</v>
      </c>
      <c r="F1353" s="2">
        <v>10.27</v>
      </c>
    </row>
    <row r="1354" spans="1:6" x14ac:dyDescent="0.35">
      <c r="A1354" t="s">
        <v>6047</v>
      </c>
      <c r="B1354" t="s">
        <v>2496</v>
      </c>
      <c r="C1354" s="1">
        <v>45146</v>
      </c>
      <c r="D1354" s="2">
        <v>1472.31</v>
      </c>
      <c r="E1354" t="s">
        <v>4694</v>
      </c>
      <c r="F1354" s="2">
        <v>388.32</v>
      </c>
    </row>
    <row r="1355" spans="1:6" x14ac:dyDescent="0.35">
      <c r="A1355" t="s">
        <v>6048</v>
      </c>
      <c r="B1355" t="s">
        <v>2497</v>
      </c>
      <c r="C1355" s="1">
        <v>45096</v>
      </c>
      <c r="D1355" s="2">
        <v>115.23</v>
      </c>
      <c r="E1355" t="s">
        <v>4694</v>
      </c>
      <c r="F1355" s="2">
        <v>49.4</v>
      </c>
    </row>
    <row r="1356" spans="1:6" x14ac:dyDescent="0.35">
      <c r="A1356" t="s">
        <v>6049</v>
      </c>
      <c r="B1356" t="s">
        <v>2498</v>
      </c>
      <c r="C1356" s="1">
        <v>45411</v>
      </c>
      <c r="D1356" s="2">
        <v>125.91</v>
      </c>
      <c r="E1356" t="s">
        <v>4694</v>
      </c>
      <c r="F1356" s="2">
        <v>15.1</v>
      </c>
    </row>
    <row r="1357" spans="1:6" x14ac:dyDescent="0.35">
      <c r="A1357" t="s">
        <v>6050</v>
      </c>
      <c r="B1357" t="s">
        <v>2500</v>
      </c>
      <c r="C1357" s="1">
        <v>45271</v>
      </c>
      <c r="D1357" s="2">
        <v>155.53</v>
      </c>
      <c r="E1357" t="s">
        <v>4694</v>
      </c>
      <c r="F1357" s="2">
        <v>54.26</v>
      </c>
    </row>
    <row r="1358" spans="1:6" x14ac:dyDescent="0.35">
      <c r="A1358" t="s">
        <v>6051</v>
      </c>
      <c r="B1358" t="s">
        <v>2501</v>
      </c>
      <c r="C1358" s="1">
        <v>45485</v>
      </c>
      <c r="D1358" s="2">
        <v>275.26</v>
      </c>
      <c r="E1358" t="s">
        <v>4694</v>
      </c>
      <c r="F1358" s="2">
        <v>82.4</v>
      </c>
    </row>
    <row r="1359" spans="1:6" x14ac:dyDescent="0.35">
      <c r="A1359" t="s">
        <v>6052</v>
      </c>
      <c r="B1359" t="s">
        <v>2502</v>
      </c>
      <c r="C1359" s="1">
        <v>45599</v>
      </c>
      <c r="D1359" s="2">
        <v>2822.95</v>
      </c>
      <c r="E1359" t="s">
        <v>4697</v>
      </c>
      <c r="F1359" s="2">
        <v>1197.06</v>
      </c>
    </row>
    <row r="1360" spans="1:6" x14ac:dyDescent="0.35">
      <c r="A1360" t="s">
        <v>6053</v>
      </c>
      <c r="B1360" t="s">
        <v>2503</v>
      </c>
      <c r="C1360" s="1">
        <v>45245</v>
      </c>
      <c r="D1360" s="2">
        <v>1691.11</v>
      </c>
      <c r="E1360" t="s">
        <v>4694</v>
      </c>
      <c r="F1360" s="2">
        <v>158.15</v>
      </c>
    </row>
    <row r="1361" spans="1:6" x14ac:dyDescent="0.35">
      <c r="A1361" t="s">
        <v>6054</v>
      </c>
      <c r="B1361" t="s">
        <v>2507</v>
      </c>
      <c r="C1361" s="1">
        <v>45112</v>
      </c>
      <c r="D1361" s="2">
        <v>619.69000000000005</v>
      </c>
      <c r="E1361" t="s">
        <v>4694</v>
      </c>
      <c r="F1361" s="2">
        <v>224.16</v>
      </c>
    </row>
    <row r="1362" spans="1:6" x14ac:dyDescent="0.35">
      <c r="A1362" t="s">
        <v>6055</v>
      </c>
      <c r="B1362" t="s">
        <v>2508</v>
      </c>
      <c r="C1362" s="1">
        <v>45259</v>
      </c>
      <c r="D1362" s="2">
        <v>425.78</v>
      </c>
      <c r="E1362" t="s">
        <v>4694</v>
      </c>
      <c r="F1362" s="2">
        <v>112.48</v>
      </c>
    </row>
    <row r="1363" spans="1:6" x14ac:dyDescent="0.35">
      <c r="A1363" t="s">
        <v>6056</v>
      </c>
      <c r="B1363" t="s">
        <v>2510</v>
      </c>
      <c r="C1363" s="1">
        <v>45517</v>
      </c>
      <c r="D1363" s="2">
        <v>807.36</v>
      </c>
      <c r="E1363" t="s">
        <v>4694</v>
      </c>
      <c r="F1363" s="2">
        <v>69.33</v>
      </c>
    </row>
    <row r="1364" spans="1:6" x14ac:dyDescent="0.35">
      <c r="A1364" t="s">
        <v>6057</v>
      </c>
      <c r="B1364" t="s">
        <v>2511</v>
      </c>
      <c r="C1364" s="1">
        <v>45332</v>
      </c>
      <c r="D1364" s="2">
        <v>126.37</v>
      </c>
      <c r="E1364" t="s">
        <v>4694</v>
      </c>
      <c r="F1364" s="2">
        <v>44.78</v>
      </c>
    </row>
    <row r="1365" spans="1:6" x14ac:dyDescent="0.35">
      <c r="A1365" t="s">
        <v>6058</v>
      </c>
      <c r="B1365" t="s">
        <v>2512</v>
      </c>
      <c r="C1365" s="1">
        <v>45496</v>
      </c>
      <c r="D1365" s="2">
        <v>3366.48</v>
      </c>
      <c r="E1365" t="s">
        <v>4694</v>
      </c>
      <c r="F1365" s="2">
        <v>170.98</v>
      </c>
    </row>
    <row r="1366" spans="1:6" x14ac:dyDescent="0.35">
      <c r="A1366" t="s">
        <v>6059</v>
      </c>
      <c r="B1366" t="s">
        <v>2514</v>
      </c>
      <c r="C1366" s="1">
        <v>45122</v>
      </c>
      <c r="D1366" s="2">
        <v>611.04</v>
      </c>
      <c r="E1366" t="s">
        <v>4694</v>
      </c>
      <c r="F1366" s="2">
        <v>180.87</v>
      </c>
    </row>
    <row r="1367" spans="1:6" x14ac:dyDescent="0.35">
      <c r="A1367" t="s">
        <v>6060</v>
      </c>
      <c r="B1367" t="s">
        <v>2515</v>
      </c>
      <c r="C1367" s="1">
        <v>45314</v>
      </c>
      <c r="D1367" s="2">
        <v>2491.4299999999998</v>
      </c>
      <c r="E1367" t="s">
        <v>4697</v>
      </c>
      <c r="F1367" s="2">
        <v>1217.33</v>
      </c>
    </row>
    <row r="1368" spans="1:6" x14ac:dyDescent="0.35">
      <c r="A1368" t="s">
        <v>6061</v>
      </c>
      <c r="B1368" t="s">
        <v>2516</v>
      </c>
      <c r="C1368" s="1">
        <v>45268</v>
      </c>
      <c r="D1368" s="2">
        <v>484.08</v>
      </c>
      <c r="E1368" t="s">
        <v>4694</v>
      </c>
      <c r="F1368" s="2">
        <v>62.22</v>
      </c>
    </row>
    <row r="1369" spans="1:6" x14ac:dyDescent="0.35">
      <c r="A1369" t="s">
        <v>6062</v>
      </c>
      <c r="B1369" t="s">
        <v>2517</v>
      </c>
      <c r="C1369" s="1">
        <v>45064</v>
      </c>
      <c r="D1369" s="2">
        <v>1238.21</v>
      </c>
      <c r="E1369" t="s">
        <v>4697</v>
      </c>
      <c r="F1369" s="2">
        <v>632.04</v>
      </c>
    </row>
    <row r="1370" spans="1:6" x14ac:dyDescent="0.35">
      <c r="A1370" t="s">
        <v>6063</v>
      </c>
      <c r="B1370" t="s">
        <v>2518</v>
      </c>
      <c r="C1370" s="1">
        <v>45150</v>
      </c>
      <c r="D1370" s="2">
        <v>403.63</v>
      </c>
      <c r="E1370" t="s">
        <v>4694</v>
      </c>
      <c r="F1370" s="2">
        <v>201.35</v>
      </c>
    </row>
    <row r="1371" spans="1:6" x14ac:dyDescent="0.35">
      <c r="A1371" t="s">
        <v>6064</v>
      </c>
      <c r="B1371" t="s">
        <v>2519</v>
      </c>
      <c r="C1371" s="1">
        <v>45094</v>
      </c>
      <c r="D1371" s="2">
        <v>1416.65</v>
      </c>
      <c r="E1371" t="s">
        <v>4694</v>
      </c>
      <c r="F1371" s="2">
        <v>310.38</v>
      </c>
    </row>
    <row r="1372" spans="1:6" x14ac:dyDescent="0.35">
      <c r="A1372" t="s">
        <v>6065</v>
      </c>
      <c r="B1372" t="s">
        <v>2520</v>
      </c>
      <c r="C1372" s="1">
        <v>44961</v>
      </c>
      <c r="D1372" s="2">
        <v>121.53</v>
      </c>
      <c r="E1372" t="s">
        <v>4694</v>
      </c>
      <c r="F1372" s="2">
        <v>8.17</v>
      </c>
    </row>
    <row r="1373" spans="1:6" x14ac:dyDescent="0.35">
      <c r="A1373" t="s">
        <v>6066</v>
      </c>
      <c r="B1373" t="s">
        <v>2521</v>
      </c>
      <c r="C1373" s="1">
        <v>45045</v>
      </c>
      <c r="D1373" s="2">
        <v>434.5</v>
      </c>
      <c r="E1373" t="s">
        <v>4694</v>
      </c>
      <c r="F1373" s="2">
        <v>99.51</v>
      </c>
    </row>
    <row r="1374" spans="1:6" x14ac:dyDescent="0.35">
      <c r="A1374" t="s">
        <v>6067</v>
      </c>
      <c r="B1374" t="s">
        <v>2522</v>
      </c>
      <c r="C1374" s="1">
        <v>45503</v>
      </c>
      <c r="D1374" s="2">
        <v>151.09</v>
      </c>
      <c r="E1374" t="s">
        <v>4694</v>
      </c>
      <c r="F1374" s="2">
        <v>12.63</v>
      </c>
    </row>
    <row r="1375" spans="1:6" x14ac:dyDescent="0.35">
      <c r="A1375" t="s">
        <v>6068</v>
      </c>
      <c r="B1375" t="s">
        <v>2526</v>
      </c>
      <c r="C1375" s="1">
        <v>45595</v>
      </c>
      <c r="D1375" s="2">
        <v>459.45</v>
      </c>
      <c r="E1375" t="s">
        <v>4694</v>
      </c>
      <c r="F1375" s="2">
        <v>95.27</v>
      </c>
    </row>
    <row r="1376" spans="1:6" x14ac:dyDescent="0.35">
      <c r="A1376" t="s">
        <v>6069</v>
      </c>
      <c r="B1376" t="s">
        <v>2527</v>
      </c>
      <c r="C1376" s="1">
        <v>45215</v>
      </c>
      <c r="D1376" s="2">
        <v>276.60000000000002</v>
      </c>
      <c r="E1376" t="s">
        <v>4694</v>
      </c>
      <c r="F1376" s="2">
        <v>83.61</v>
      </c>
    </row>
    <row r="1377" spans="1:6" x14ac:dyDescent="0.35">
      <c r="A1377" t="s">
        <v>6070</v>
      </c>
      <c r="B1377" t="s">
        <v>2529</v>
      </c>
      <c r="C1377" s="1">
        <v>45032</v>
      </c>
      <c r="D1377" s="2">
        <v>869.47</v>
      </c>
      <c r="E1377" t="s">
        <v>4694</v>
      </c>
      <c r="F1377" s="2">
        <v>302.98</v>
      </c>
    </row>
    <row r="1378" spans="1:6" x14ac:dyDescent="0.35">
      <c r="A1378" t="s">
        <v>6071</v>
      </c>
      <c r="B1378" t="s">
        <v>2530</v>
      </c>
      <c r="C1378" s="1">
        <v>45420</v>
      </c>
      <c r="D1378" s="2">
        <v>538.70000000000005</v>
      </c>
      <c r="E1378" t="s">
        <v>4694</v>
      </c>
      <c r="F1378" s="2">
        <v>189.11</v>
      </c>
    </row>
    <row r="1379" spans="1:6" x14ac:dyDescent="0.35">
      <c r="A1379" t="s">
        <v>6072</v>
      </c>
      <c r="B1379" t="s">
        <v>2532</v>
      </c>
      <c r="C1379" s="1">
        <v>45433</v>
      </c>
      <c r="D1379" s="2">
        <v>95</v>
      </c>
      <c r="E1379" t="s">
        <v>4694</v>
      </c>
      <c r="F1379" s="2">
        <v>48.81</v>
      </c>
    </row>
    <row r="1380" spans="1:6" x14ac:dyDescent="0.35">
      <c r="A1380" t="s">
        <v>6073</v>
      </c>
      <c r="B1380" t="s">
        <v>2535</v>
      </c>
      <c r="C1380" s="1">
        <v>45408</v>
      </c>
      <c r="D1380" s="2">
        <v>309.95999999999998</v>
      </c>
      <c r="E1380" t="s">
        <v>4694</v>
      </c>
      <c r="F1380" s="2">
        <v>13</v>
      </c>
    </row>
    <row r="1381" spans="1:6" x14ac:dyDescent="0.35">
      <c r="A1381" t="s">
        <v>6074</v>
      </c>
      <c r="B1381" t="s">
        <v>2536</v>
      </c>
      <c r="C1381" s="1">
        <v>45235</v>
      </c>
      <c r="D1381" s="2">
        <v>362.12</v>
      </c>
      <c r="E1381" t="s">
        <v>4694</v>
      </c>
      <c r="F1381" s="2">
        <v>62.89</v>
      </c>
    </row>
    <row r="1382" spans="1:6" x14ac:dyDescent="0.35">
      <c r="A1382" t="s">
        <v>6075</v>
      </c>
      <c r="B1382" t="s">
        <v>2537</v>
      </c>
      <c r="C1382" s="1">
        <v>45176</v>
      </c>
      <c r="D1382" s="2">
        <v>2366.67</v>
      </c>
      <c r="E1382" t="s">
        <v>4694</v>
      </c>
      <c r="F1382" s="2">
        <v>1093.74</v>
      </c>
    </row>
    <row r="1383" spans="1:6" x14ac:dyDescent="0.35">
      <c r="A1383" t="s">
        <v>6076</v>
      </c>
      <c r="B1383" t="s">
        <v>2538</v>
      </c>
      <c r="C1383" s="1">
        <v>45633</v>
      </c>
      <c r="D1383" s="2">
        <v>4976.51</v>
      </c>
      <c r="E1383" t="s">
        <v>4694</v>
      </c>
      <c r="F1383" s="2">
        <v>407.29</v>
      </c>
    </row>
    <row r="1384" spans="1:6" x14ac:dyDescent="0.35">
      <c r="A1384" t="s">
        <v>6077</v>
      </c>
      <c r="B1384" t="s">
        <v>2539</v>
      </c>
      <c r="C1384" s="1">
        <v>45550</v>
      </c>
      <c r="D1384" s="2">
        <v>93.47</v>
      </c>
      <c r="E1384" t="s">
        <v>4694</v>
      </c>
      <c r="F1384" s="2">
        <v>15.81</v>
      </c>
    </row>
    <row r="1385" spans="1:6" x14ac:dyDescent="0.35">
      <c r="A1385" t="s">
        <v>6078</v>
      </c>
      <c r="B1385" t="s">
        <v>2540</v>
      </c>
      <c r="C1385" s="1">
        <v>45609</v>
      </c>
      <c r="D1385" s="2">
        <v>123.76</v>
      </c>
      <c r="E1385" t="s">
        <v>4694</v>
      </c>
      <c r="F1385" s="2">
        <v>18.16</v>
      </c>
    </row>
    <row r="1386" spans="1:6" x14ac:dyDescent="0.35">
      <c r="A1386" t="s">
        <v>6079</v>
      </c>
      <c r="B1386" t="s">
        <v>2541</v>
      </c>
      <c r="C1386" s="1">
        <v>45635</v>
      </c>
      <c r="D1386" s="2">
        <v>478.65</v>
      </c>
      <c r="E1386" t="s">
        <v>4694</v>
      </c>
      <c r="F1386" s="2">
        <v>65.989999999999995</v>
      </c>
    </row>
    <row r="1387" spans="1:6" x14ac:dyDescent="0.35">
      <c r="A1387" t="s">
        <v>6080</v>
      </c>
      <c r="B1387" t="s">
        <v>2543</v>
      </c>
      <c r="C1387" s="1">
        <v>45346</v>
      </c>
      <c r="D1387" s="2">
        <v>558.86</v>
      </c>
      <c r="E1387" t="s">
        <v>4694</v>
      </c>
      <c r="F1387" s="2">
        <v>69.94</v>
      </c>
    </row>
    <row r="1388" spans="1:6" x14ac:dyDescent="0.35">
      <c r="A1388" t="s">
        <v>6081</v>
      </c>
      <c r="B1388" t="s">
        <v>2544</v>
      </c>
      <c r="C1388" s="1">
        <v>45458</v>
      </c>
      <c r="D1388" s="2">
        <v>4164.99</v>
      </c>
      <c r="E1388" t="s">
        <v>4694</v>
      </c>
      <c r="F1388" s="2">
        <v>375.22</v>
      </c>
    </row>
    <row r="1389" spans="1:6" x14ac:dyDescent="0.35">
      <c r="A1389" t="s">
        <v>6082</v>
      </c>
      <c r="B1389" t="s">
        <v>2545</v>
      </c>
      <c r="C1389" s="1">
        <v>45582</v>
      </c>
      <c r="D1389" s="2">
        <v>145.24</v>
      </c>
      <c r="E1389" t="s">
        <v>4694</v>
      </c>
      <c r="F1389" s="2">
        <v>40.07</v>
      </c>
    </row>
    <row r="1390" spans="1:6" x14ac:dyDescent="0.35">
      <c r="A1390" t="s">
        <v>6083</v>
      </c>
      <c r="B1390" t="s">
        <v>2546</v>
      </c>
      <c r="C1390" s="1">
        <v>45008</v>
      </c>
      <c r="D1390" s="2">
        <v>2817.84</v>
      </c>
      <c r="E1390" t="s">
        <v>4694</v>
      </c>
      <c r="F1390" s="2">
        <v>1239.6199999999999</v>
      </c>
    </row>
    <row r="1391" spans="1:6" x14ac:dyDescent="0.35">
      <c r="A1391" t="s">
        <v>6084</v>
      </c>
      <c r="B1391" t="s">
        <v>2547</v>
      </c>
      <c r="C1391" s="1">
        <v>45369</v>
      </c>
      <c r="D1391" s="2">
        <v>523.82000000000005</v>
      </c>
      <c r="E1391" t="s">
        <v>4694</v>
      </c>
      <c r="F1391" s="2">
        <v>122.14</v>
      </c>
    </row>
    <row r="1392" spans="1:6" x14ac:dyDescent="0.35">
      <c r="A1392" t="s">
        <v>6085</v>
      </c>
      <c r="B1392" t="s">
        <v>2548</v>
      </c>
      <c r="C1392" s="1">
        <v>45199</v>
      </c>
      <c r="D1392" s="2">
        <v>448</v>
      </c>
      <c r="E1392" t="s">
        <v>4694</v>
      </c>
      <c r="F1392" s="2">
        <v>18.86</v>
      </c>
    </row>
    <row r="1393" spans="1:6" x14ac:dyDescent="0.35">
      <c r="A1393" t="s">
        <v>6086</v>
      </c>
      <c r="B1393" t="s">
        <v>2549</v>
      </c>
      <c r="C1393" s="1">
        <v>45567</v>
      </c>
      <c r="D1393" s="2">
        <v>4986.47</v>
      </c>
      <c r="E1393" t="s">
        <v>4694</v>
      </c>
      <c r="F1393" s="2">
        <v>2507.4699999999998</v>
      </c>
    </row>
    <row r="1394" spans="1:6" x14ac:dyDescent="0.35">
      <c r="A1394" t="s">
        <v>6087</v>
      </c>
      <c r="B1394" t="s">
        <v>2552</v>
      </c>
      <c r="C1394" s="1">
        <v>45449</v>
      </c>
      <c r="D1394" s="2">
        <v>513.29999999999995</v>
      </c>
      <c r="E1394" t="s">
        <v>4694</v>
      </c>
      <c r="F1394" s="2">
        <v>72.150000000000006</v>
      </c>
    </row>
    <row r="1395" spans="1:6" x14ac:dyDescent="0.35">
      <c r="A1395" t="s">
        <v>6088</v>
      </c>
      <c r="B1395" t="s">
        <v>2553</v>
      </c>
      <c r="C1395" s="1">
        <v>45608</v>
      </c>
      <c r="D1395" s="2">
        <v>309.62</v>
      </c>
      <c r="E1395" t="s">
        <v>4694</v>
      </c>
      <c r="F1395" s="2">
        <v>45.9</v>
      </c>
    </row>
    <row r="1396" spans="1:6" x14ac:dyDescent="0.35">
      <c r="A1396" t="s">
        <v>6089</v>
      </c>
      <c r="B1396" t="s">
        <v>2554</v>
      </c>
      <c r="C1396" s="1">
        <v>45569</v>
      </c>
      <c r="D1396" s="2">
        <v>327.17</v>
      </c>
      <c r="E1396" t="s">
        <v>4694</v>
      </c>
      <c r="F1396" s="2">
        <v>22.1</v>
      </c>
    </row>
    <row r="1397" spans="1:6" x14ac:dyDescent="0.35">
      <c r="A1397" t="s">
        <v>6090</v>
      </c>
      <c r="B1397" t="s">
        <v>2555</v>
      </c>
      <c r="C1397" s="1">
        <v>44994</v>
      </c>
      <c r="D1397" s="2">
        <v>642.99</v>
      </c>
      <c r="E1397" t="s">
        <v>4694</v>
      </c>
      <c r="F1397" s="2">
        <v>118.47</v>
      </c>
    </row>
    <row r="1398" spans="1:6" x14ac:dyDescent="0.35">
      <c r="A1398" t="s">
        <v>6091</v>
      </c>
      <c r="B1398" t="s">
        <v>2556</v>
      </c>
      <c r="C1398" s="1">
        <v>45552</v>
      </c>
      <c r="D1398" s="2">
        <v>1533.36</v>
      </c>
      <c r="E1398" t="s">
        <v>4694</v>
      </c>
      <c r="F1398" s="2">
        <v>553.08000000000004</v>
      </c>
    </row>
    <row r="1399" spans="1:6" x14ac:dyDescent="0.35">
      <c r="A1399" t="s">
        <v>6092</v>
      </c>
      <c r="B1399" t="s">
        <v>2558</v>
      </c>
      <c r="C1399" s="1">
        <v>45264</v>
      </c>
      <c r="D1399" s="2">
        <v>516.20000000000005</v>
      </c>
      <c r="E1399" t="s">
        <v>4694</v>
      </c>
      <c r="F1399" s="2">
        <v>43.14</v>
      </c>
    </row>
    <row r="1400" spans="1:6" x14ac:dyDescent="0.35">
      <c r="A1400" t="s">
        <v>6093</v>
      </c>
      <c r="B1400" t="s">
        <v>2559</v>
      </c>
      <c r="C1400" s="1">
        <v>45363</v>
      </c>
      <c r="D1400" s="2">
        <v>537.20000000000005</v>
      </c>
      <c r="E1400" t="s">
        <v>4694</v>
      </c>
      <c r="F1400" s="2">
        <v>197.09</v>
      </c>
    </row>
    <row r="1401" spans="1:6" x14ac:dyDescent="0.35">
      <c r="A1401" t="s">
        <v>6094</v>
      </c>
      <c r="B1401" t="s">
        <v>2560</v>
      </c>
      <c r="C1401" s="1">
        <v>45684</v>
      </c>
      <c r="D1401" s="2">
        <v>157.63</v>
      </c>
      <c r="E1401" t="s">
        <v>4694</v>
      </c>
      <c r="F1401" s="2">
        <v>42.94</v>
      </c>
    </row>
    <row r="1402" spans="1:6" x14ac:dyDescent="0.35">
      <c r="A1402" t="s">
        <v>6095</v>
      </c>
      <c r="B1402" t="s">
        <v>2563</v>
      </c>
      <c r="C1402" s="1">
        <v>45376</v>
      </c>
      <c r="D1402" s="2">
        <v>527.42999999999995</v>
      </c>
      <c r="E1402" t="s">
        <v>4694</v>
      </c>
      <c r="F1402" s="2">
        <v>115.02</v>
      </c>
    </row>
    <row r="1403" spans="1:6" x14ac:dyDescent="0.35">
      <c r="A1403" t="s">
        <v>6096</v>
      </c>
      <c r="B1403" t="s">
        <v>2564</v>
      </c>
      <c r="C1403" s="1">
        <v>45466</v>
      </c>
      <c r="D1403" s="2">
        <v>544.91999999999996</v>
      </c>
      <c r="E1403" t="s">
        <v>4694</v>
      </c>
      <c r="F1403" s="2">
        <v>85.25</v>
      </c>
    </row>
    <row r="1404" spans="1:6" x14ac:dyDescent="0.35">
      <c r="A1404" t="s">
        <v>6097</v>
      </c>
      <c r="B1404" t="s">
        <v>2565</v>
      </c>
      <c r="C1404" s="1">
        <v>45604</v>
      </c>
      <c r="D1404" s="2">
        <v>1717.03</v>
      </c>
      <c r="E1404" t="s">
        <v>4694</v>
      </c>
      <c r="F1404" s="2">
        <v>226.3</v>
      </c>
    </row>
    <row r="1405" spans="1:6" x14ac:dyDescent="0.35">
      <c r="A1405" t="s">
        <v>6098</v>
      </c>
      <c r="B1405" t="s">
        <v>2566</v>
      </c>
      <c r="C1405" s="1">
        <v>45600</v>
      </c>
      <c r="D1405" s="2">
        <v>1855.25</v>
      </c>
      <c r="E1405" t="s">
        <v>4694</v>
      </c>
      <c r="F1405" s="2">
        <v>796.27</v>
      </c>
    </row>
    <row r="1406" spans="1:6" x14ac:dyDescent="0.35">
      <c r="A1406" t="s">
        <v>6099</v>
      </c>
      <c r="B1406" t="s">
        <v>2567</v>
      </c>
      <c r="C1406" s="1">
        <v>45094</v>
      </c>
      <c r="D1406" s="2">
        <v>209.27</v>
      </c>
      <c r="E1406" t="s">
        <v>4694</v>
      </c>
      <c r="F1406" s="2">
        <v>91.07</v>
      </c>
    </row>
    <row r="1407" spans="1:6" x14ac:dyDescent="0.35">
      <c r="A1407" t="s">
        <v>6100</v>
      </c>
      <c r="B1407" t="s">
        <v>2569</v>
      </c>
      <c r="C1407" s="1">
        <v>45673</v>
      </c>
      <c r="D1407" s="2">
        <v>119.74</v>
      </c>
      <c r="E1407" t="s">
        <v>4694</v>
      </c>
      <c r="F1407" s="2">
        <v>64.430000000000007</v>
      </c>
    </row>
    <row r="1408" spans="1:6" x14ac:dyDescent="0.35">
      <c r="A1408" t="s">
        <v>6101</v>
      </c>
      <c r="B1408" t="s">
        <v>2571</v>
      </c>
      <c r="C1408" s="1">
        <v>45510</v>
      </c>
      <c r="D1408" s="2">
        <v>107.32</v>
      </c>
      <c r="E1408" t="s">
        <v>4694</v>
      </c>
      <c r="F1408" s="2">
        <v>57.94</v>
      </c>
    </row>
    <row r="1409" spans="1:6" x14ac:dyDescent="0.35">
      <c r="A1409" t="s">
        <v>6102</v>
      </c>
      <c r="B1409" t="s">
        <v>2573</v>
      </c>
      <c r="C1409" s="1">
        <v>45156</v>
      </c>
      <c r="D1409" s="2">
        <v>1049.94</v>
      </c>
      <c r="E1409" t="s">
        <v>4694</v>
      </c>
      <c r="F1409" s="2">
        <v>166.27</v>
      </c>
    </row>
    <row r="1410" spans="1:6" x14ac:dyDescent="0.35">
      <c r="A1410" t="s">
        <v>6103</v>
      </c>
      <c r="B1410" t="s">
        <v>2574</v>
      </c>
      <c r="C1410" s="1">
        <v>45640</v>
      </c>
      <c r="D1410" s="2">
        <v>1209.8699999999999</v>
      </c>
      <c r="E1410" t="s">
        <v>4694</v>
      </c>
      <c r="F1410" s="2">
        <v>170.92</v>
      </c>
    </row>
    <row r="1411" spans="1:6" x14ac:dyDescent="0.35">
      <c r="A1411" t="s">
        <v>6104</v>
      </c>
      <c r="B1411" t="s">
        <v>2575</v>
      </c>
      <c r="C1411" s="1">
        <v>45213</v>
      </c>
      <c r="D1411" s="2">
        <v>175.25</v>
      </c>
      <c r="E1411" t="s">
        <v>4694</v>
      </c>
      <c r="F1411" s="2">
        <v>14.23</v>
      </c>
    </row>
    <row r="1412" spans="1:6" x14ac:dyDescent="0.35">
      <c r="A1412" t="s">
        <v>6105</v>
      </c>
      <c r="B1412" t="s">
        <v>2576</v>
      </c>
      <c r="C1412" s="1">
        <v>45521</v>
      </c>
      <c r="D1412" s="2">
        <v>511.14</v>
      </c>
      <c r="E1412" t="s">
        <v>4694</v>
      </c>
      <c r="F1412" s="2">
        <v>190.23</v>
      </c>
    </row>
    <row r="1413" spans="1:6" x14ac:dyDescent="0.35">
      <c r="A1413" t="s">
        <v>6106</v>
      </c>
      <c r="B1413" t="s">
        <v>2577</v>
      </c>
      <c r="C1413" s="1">
        <v>45084</v>
      </c>
      <c r="D1413" s="2">
        <v>1084.3399999999999</v>
      </c>
      <c r="E1413" t="s">
        <v>4694</v>
      </c>
      <c r="F1413" s="2">
        <v>246.57</v>
      </c>
    </row>
    <row r="1414" spans="1:6" x14ac:dyDescent="0.35">
      <c r="A1414" t="s">
        <v>6107</v>
      </c>
      <c r="B1414" t="s">
        <v>2578</v>
      </c>
      <c r="C1414" s="1">
        <v>45101</v>
      </c>
      <c r="D1414" s="2">
        <v>50.66</v>
      </c>
      <c r="E1414" t="s">
        <v>4694</v>
      </c>
      <c r="F1414" s="2">
        <v>8.5399999999999991</v>
      </c>
    </row>
    <row r="1415" spans="1:6" x14ac:dyDescent="0.35">
      <c r="A1415" t="s">
        <v>6108</v>
      </c>
      <c r="B1415" t="s">
        <v>2579</v>
      </c>
      <c r="C1415" s="1">
        <v>45073</v>
      </c>
      <c r="D1415" s="2">
        <v>275.58999999999997</v>
      </c>
      <c r="E1415" t="s">
        <v>4694</v>
      </c>
      <c r="F1415" s="2">
        <v>17.79</v>
      </c>
    </row>
    <row r="1416" spans="1:6" x14ac:dyDescent="0.35">
      <c r="A1416" t="s">
        <v>6109</v>
      </c>
      <c r="B1416" t="s">
        <v>2580</v>
      </c>
      <c r="C1416" s="1">
        <v>45315</v>
      </c>
      <c r="D1416" s="2">
        <v>1325.24</v>
      </c>
      <c r="E1416" t="s">
        <v>4694</v>
      </c>
      <c r="F1416" s="2">
        <v>56.07</v>
      </c>
    </row>
    <row r="1417" spans="1:6" x14ac:dyDescent="0.35">
      <c r="A1417" t="s">
        <v>6110</v>
      </c>
      <c r="B1417" t="s">
        <v>2582</v>
      </c>
      <c r="C1417" s="1">
        <v>45599</v>
      </c>
      <c r="D1417" s="2">
        <v>325.36</v>
      </c>
      <c r="E1417" t="s">
        <v>4694</v>
      </c>
      <c r="F1417" s="2">
        <v>108.53</v>
      </c>
    </row>
    <row r="1418" spans="1:6" x14ac:dyDescent="0.35">
      <c r="A1418" t="s">
        <v>6111</v>
      </c>
      <c r="B1418" t="s">
        <v>2583</v>
      </c>
      <c r="C1418" s="1">
        <v>45535</v>
      </c>
      <c r="D1418" s="2">
        <v>642.11</v>
      </c>
      <c r="E1418" t="s">
        <v>4694</v>
      </c>
      <c r="F1418" s="2">
        <v>338</v>
      </c>
    </row>
    <row r="1419" spans="1:6" x14ac:dyDescent="0.35">
      <c r="A1419" t="s">
        <v>6112</v>
      </c>
      <c r="B1419" t="s">
        <v>2584</v>
      </c>
      <c r="C1419" s="1">
        <v>45319</v>
      </c>
      <c r="D1419" s="2">
        <v>2795.26</v>
      </c>
      <c r="E1419" t="s">
        <v>4694</v>
      </c>
      <c r="F1419" s="2">
        <v>1662.46</v>
      </c>
    </row>
    <row r="1420" spans="1:6" x14ac:dyDescent="0.35">
      <c r="A1420" t="s">
        <v>6113</v>
      </c>
      <c r="B1420" t="s">
        <v>2585</v>
      </c>
      <c r="C1420" s="1">
        <v>45468</v>
      </c>
      <c r="D1420" s="2">
        <v>481.79</v>
      </c>
      <c r="E1420" t="s">
        <v>4694</v>
      </c>
      <c r="F1420" s="2">
        <v>228.05</v>
      </c>
    </row>
    <row r="1421" spans="1:6" x14ac:dyDescent="0.35">
      <c r="A1421" t="s">
        <v>6114</v>
      </c>
      <c r="B1421" t="s">
        <v>2588</v>
      </c>
      <c r="C1421" s="1">
        <v>45246</v>
      </c>
      <c r="D1421" s="2">
        <v>6170.84</v>
      </c>
      <c r="E1421" t="s">
        <v>4694</v>
      </c>
      <c r="F1421" s="2">
        <v>1922.29</v>
      </c>
    </row>
    <row r="1422" spans="1:6" x14ac:dyDescent="0.35">
      <c r="A1422" t="s">
        <v>6115</v>
      </c>
      <c r="B1422" t="s">
        <v>2590</v>
      </c>
      <c r="C1422" s="1">
        <v>44963</v>
      </c>
      <c r="D1422" s="2">
        <v>652.28</v>
      </c>
      <c r="E1422" t="s">
        <v>4694</v>
      </c>
      <c r="F1422" s="2">
        <v>188.95</v>
      </c>
    </row>
    <row r="1423" spans="1:6" x14ac:dyDescent="0.35">
      <c r="A1423" t="s">
        <v>6116</v>
      </c>
      <c r="B1423" t="s">
        <v>2591</v>
      </c>
      <c r="C1423" s="1">
        <v>45169</v>
      </c>
      <c r="D1423" s="2">
        <v>596.35</v>
      </c>
      <c r="E1423" t="s">
        <v>4694</v>
      </c>
      <c r="F1423" s="2">
        <v>69.81</v>
      </c>
    </row>
    <row r="1424" spans="1:6" x14ac:dyDescent="0.35">
      <c r="A1424" t="s">
        <v>6117</v>
      </c>
      <c r="B1424" t="s">
        <v>2592</v>
      </c>
      <c r="C1424" s="1">
        <v>45292</v>
      </c>
      <c r="D1424" s="2">
        <v>36.44</v>
      </c>
      <c r="E1424" t="s">
        <v>4694</v>
      </c>
      <c r="F1424" s="2">
        <v>16.75</v>
      </c>
    </row>
    <row r="1425" spans="1:6" x14ac:dyDescent="0.35">
      <c r="A1425" t="s">
        <v>6118</v>
      </c>
      <c r="B1425" t="s">
        <v>2593</v>
      </c>
      <c r="C1425" s="1">
        <v>45132</v>
      </c>
      <c r="D1425" s="2">
        <v>117.7</v>
      </c>
      <c r="E1425" t="s">
        <v>4694</v>
      </c>
      <c r="F1425" s="2">
        <v>17.91</v>
      </c>
    </row>
    <row r="1426" spans="1:6" x14ac:dyDescent="0.35">
      <c r="A1426" t="s">
        <v>6119</v>
      </c>
      <c r="B1426" t="s">
        <v>2594</v>
      </c>
      <c r="C1426" s="1">
        <v>45410</v>
      </c>
      <c r="D1426" s="2">
        <v>902.48</v>
      </c>
      <c r="E1426" t="s">
        <v>4694</v>
      </c>
      <c r="F1426" s="2">
        <v>68.14</v>
      </c>
    </row>
    <row r="1427" spans="1:6" x14ac:dyDescent="0.35">
      <c r="A1427" t="s">
        <v>6120</v>
      </c>
      <c r="B1427" t="s">
        <v>2595</v>
      </c>
      <c r="C1427" s="1">
        <v>45297</v>
      </c>
      <c r="D1427" s="2">
        <v>5531.4</v>
      </c>
      <c r="E1427" t="s">
        <v>4694</v>
      </c>
      <c r="F1427" s="2">
        <v>1212.56</v>
      </c>
    </row>
    <row r="1428" spans="1:6" x14ac:dyDescent="0.35">
      <c r="A1428" t="s">
        <v>6121</v>
      </c>
      <c r="B1428" t="s">
        <v>2596</v>
      </c>
      <c r="C1428" s="1">
        <v>45436</v>
      </c>
      <c r="D1428" s="2">
        <v>1896.92</v>
      </c>
      <c r="E1428" t="s">
        <v>4694</v>
      </c>
      <c r="F1428" s="2">
        <v>823.64</v>
      </c>
    </row>
    <row r="1429" spans="1:6" x14ac:dyDescent="0.35">
      <c r="A1429" t="s">
        <v>6122</v>
      </c>
      <c r="B1429" t="s">
        <v>2598</v>
      </c>
      <c r="C1429" s="1">
        <v>45055</v>
      </c>
      <c r="D1429" s="2">
        <v>654.77</v>
      </c>
      <c r="E1429" t="s">
        <v>4694</v>
      </c>
      <c r="F1429" s="2">
        <v>344.57</v>
      </c>
    </row>
    <row r="1430" spans="1:6" x14ac:dyDescent="0.35">
      <c r="A1430" t="s">
        <v>6123</v>
      </c>
      <c r="B1430" t="s">
        <v>2599</v>
      </c>
      <c r="C1430" s="1">
        <v>45195</v>
      </c>
      <c r="D1430" s="2">
        <v>1373.74</v>
      </c>
      <c r="E1430" t="s">
        <v>4694</v>
      </c>
      <c r="F1430" s="2">
        <v>234.06</v>
      </c>
    </row>
    <row r="1431" spans="1:6" x14ac:dyDescent="0.35">
      <c r="A1431" t="s">
        <v>6124</v>
      </c>
      <c r="B1431" t="s">
        <v>2602</v>
      </c>
      <c r="C1431" s="1">
        <v>45388</v>
      </c>
      <c r="D1431" s="2">
        <v>1233.43</v>
      </c>
      <c r="E1431" t="s">
        <v>4694</v>
      </c>
      <c r="F1431" s="2">
        <v>392.17</v>
      </c>
    </row>
    <row r="1432" spans="1:6" x14ac:dyDescent="0.35">
      <c r="A1432" t="s">
        <v>6125</v>
      </c>
      <c r="B1432" t="s">
        <v>2603</v>
      </c>
      <c r="C1432" s="1">
        <v>45208</v>
      </c>
      <c r="D1432" s="2">
        <v>36.24</v>
      </c>
      <c r="E1432" t="s">
        <v>4694</v>
      </c>
      <c r="F1432" s="2">
        <v>17.87</v>
      </c>
    </row>
    <row r="1433" spans="1:6" x14ac:dyDescent="0.35">
      <c r="A1433" t="s">
        <v>6126</v>
      </c>
      <c r="B1433" t="s">
        <v>2604</v>
      </c>
      <c r="C1433" s="1">
        <v>45275</v>
      </c>
      <c r="D1433" s="2">
        <v>674.12</v>
      </c>
      <c r="E1433" t="s">
        <v>4694</v>
      </c>
      <c r="F1433" s="2">
        <v>220.48</v>
      </c>
    </row>
    <row r="1434" spans="1:6" x14ac:dyDescent="0.35">
      <c r="A1434" t="s">
        <v>6127</v>
      </c>
      <c r="B1434" t="s">
        <v>2605</v>
      </c>
      <c r="C1434" s="1">
        <v>45259</v>
      </c>
      <c r="D1434" s="2">
        <v>654.66999999999996</v>
      </c>
      <c r="E1434" t="s">
        <v>4694</v>
      </c>
      <c r="F1434" s="2">
        <v>224.19</v>
      </c>
    </row>
    <row r="1435" spans="1:6" x14ac:dyDescent="0.35">
      <c r="A1435" t="s">
        <v>6128</v>
      </c>
      <c r="B1435" t="s">
        <v>2606</v>
      </c>
      <c r="C1435" s="1">
        <v>45595</v>
      </c>
      <c r="D1435" s="2">
        <v>599.17999999999995</v>
      </c>
      <c r="E1435" t="s">
        <v>4694</v>
      </c>
      <c r="F1435" s="2">
        <v>56.79</v>
      </c>
    </row>
    <row r="1436" spans="1:6" x14ac:dyDescent="0.35">
      <c r="A1436" t="s">
        <v>6129</v>
      </c>
      <c r="B1436" t="s">
        <v>2607</v>
      </c>
      <c r="C1436" s="1">
        <v>45259</v>
      </c>
      <c r="D1436" s="2">
        <v>6991.88</v>
      </c>
      <c r="E1436" t="s">
        <v>4694</v>
      </c>
      <c r="F1436" s="2">
        <v>361.84</v>
      </c>
    </row>
    <row r="1437" spans="1:6" x14ac:dyDescent="0.35">
      <c r="A1437" t="s">
        <v>6130</v>
      </c>
      <c r="B1437" t="s">
        <v>2613</v>
      </c>
      <c r="C1437" s="1">
        <v>45405</v>
      </c>
      <c r="D1437" s="2">
        <v>388.99</v>
      </c>
      <c r="E1437" t="s">
        <v>4694</v>
      </c>
      <c r="F1437" s="2">
        <v>105.64</v>
      </c>
    </row>
    <row r="1438" spans="1:6" x14ac:dyDescent="0.35">
      <c r="A1438" t="s">
        <v>6131</v>
      </c>
      <c r="B1438" t="s">
        <v>2615</v>
      </c>
      <c r="C1438" s="1">
        <v>45270</v>
      </c>
      <c r="D1438" s="2">
        <v>1990.26</v>
      </c>
      <c r="E1438" t="s">
        <v>4694</v>
      </c>
      <c r="F1438" s="2">
        <v>554.86</v>
      </c>
    </row>
    <row r="1439" spans="1:6" x14ac:dyDescent="0.35">
      <c r="A1439" t="s">
        <v>6132</v>
      </c>
      <c r="B1439" t="s">
        <v>2616</v>
      </c>
      <c r="C1439" s="1">
        <v>45056</v>
      </c>
      <c r="D1439" s="2">
        <v>2270.16</v>
      </c>
      <c r="E1439" t="s">
        <v>4694</v>
      </c>
      <c r="F1439" s="2">
        <v>1383.37</v>
      </c>
    </row>
    <row r="1440" spans="1:6" x14ac:dyDescent="0.35">
      <c r="A1440" t="s">
        <v>6133</v>
      </c>
      <c r="B1440" t="s">
        <v>2617</v>
      </c>
      <c r="C1440" s="1">
        <v>45161</v>
      </c>
      <c r="D1440" s="2">
        <v>5653.41</v>
      </c>
      <c r="E1440" t="s">
        <v>4694</v>
      </c>
      <c r="F1440" s="2">
        <v>1004.51</v>
      </c>
    </row>
    <row r="1441" spans="1:6" x14ac:dyDescent="0.35">
      <c r="A1441" t="s">
        <v>6134</v>
      </c>
      <c r="B1441" t="s">
        <v>2618</v>
      </c>
      <c r="C1441" s="1">
        <v>45519</v>
      </c>
      <c r="D1441" s="2">
        <v>4869.67</v>
      </c>
      <c r="E1441" t="s">
        <v>4694</v>
      </c>
      <c r="F1441" s="2">
        <v>1906.63</v>
      </c>
    </row>
    <row r="1442" spans="1:6" x14ac:dyDescent="0.35">
      <c r="A1442" t="s">
        <v>6135</v>
      </c>
      <c r="B1442" t="s">
        <v>2621</v>
      </c>
      <c r="C1442" s="1">
        <v>45498</v>
      </c>
      <c r="D1442" s="2">
        <v>373.56</v>
      </c>
      <c r="E1442" t="s">
        <v>4694</v>
      </c>
      <c r="F1442" s="2">
        <v>62.53</v>
      </c>
    </row>
    <row r="1443" spans="1:6" x14ac:dyDescent="0.35">
      <c r="A1443" t="s">
        <v>6136</v>
      </c>
      <c r="B1443" t="s">
        <v>2622</v>
      </c>
      <c r="C1443" s="1">
        <v>45204</v>
      </c>
      <c r="D1443" s="2">
        <v>3137.73</v>
      </c>
      <c r="E1443" t="s">
        <v>4694</v>
      </c>
      <c r="F1443" s="2">
        <v>1373.09</v>
      </c>
    </row>
    <row r="1444" spans="1:6" x14ac:dyDescent="0.35">
      <c r="A1444" t="s">
        <v>6137</v>
      </c>
      <c r="B1444" t="s">
        <v>2623</v>
      </c>
      <c r="C1444" s="1">
        <v>45353</v>
      </c>
      <c r="D1444" s="2">
        <v>628.62</v>
      </c>
      <c r="E1444" t="s">
        <v>4694</v>
      </c>
      <c r="F1444" s="2">
        <v>129.12</v>
      </c>
    </row>
    <row r="1445" spans="1:6" x14ac:dyDescent="0.35">
      <c r="A1445" t="s">
        <v>6138</v>
      </c>
      <c r="B1445" t="s">
        <v>2624</v>
      </c>
      <c r="C1445" s="1">
        <v>45187</v>
      </c>
      <c r="D1445" s="2">
        <v>398.97</v>
      </c>
      <c r="E1445" t="s">
        <v>4694</v>
      </c>
      <c r="F1445" s="2">
        <v>30.48</v>
      </c>
    </row>
    <row r="1446" spans="1:6" x14ac:dyDescent="0.35">
      <c r="A1446" t="s">
        <v>6139</v>
      </c>
      <c r="B1446" t="s">
        <v>2626</v>
      </c>
      <c r="C1446" s="1">
        <v>45590</v>
      </c>
      <c r="D1446" s="2">
        <v>2509.6799999999998</v>
      </c>
      <c r="E1446" t="s">
        <v>4694</v>
      </c>
      <c r="F1446" s="2">
        <v>794.84</v>
      </c>
    </row>
    <row r="1447" spans="1:6" x14ac:dyDescent="0.35">
      <c r="A1447" t="s">
        <v>6140</v>
      </c>
      <c r="B1447" t="s">
        <v>2628</v>
      </c>
      <c r="C1447" s="1">
        <v>45341</v>
      </c>
      <c r="D1447" s="2">
        <v>1284.01</v>
      </c>
      <c r="E1447" t="s">
        <v>4694</v>
      </c>
      <c r="F1447" s="2">
        <v>717.11</v>
      </c>
    </row>
    <row r="1448" spans="1:6" x14ac:dyDescent="0.35">
      <c r="A1448" t="s">
        <v>6141</v>
      </c>
      <c r="B1448" t="s">
        <v>2629</v>
      </c>
      <c r="C1448" s="1">
        <v>45093</v>
      </c>
      <c r="D1448" s="2">
        <v>376.19</v>
      </c>
      <c r="E1448" t="s">
        <v>4694</v>
      </c>
      <c r="F1448" s="2">
        <v>19.600000000000001</v>
      </c>
    </row>
    <row r="1449" spans="1:6" x14ac:dyDescent="0.35">
      <c r="A1449" t="s">
        <v>6142</v>
      </c>
      <c r="B1449" t="s">
        <v>2630</v>
      </c>
      <c r="C1449" s="1">
        <v>44995</v>
      </c>
      <c r="D1449" s="2">
        <v>4964.7299999999996</v>
      </c>
      <c r="E1449" t="s">
        <v>4694</v>
      </c>
      <c r="F1449" s="2">
        <v>238.41</v>
      </c>
    </row>
    <row r="1450" spans="1:6" x14ac:dyDescent="0.35">
      <c r="A1450" t="s">
        <v>6143</v>
      </c>
      <c r="B1450" t="s">
        <v>2631</v>
      </c>
      <c r="C1450" s="1">
        <v>45642</v>
      </c>
      <c r="D1450" s="2">
        <v>3029.18</v>
      </c>
      <c r="E1450" t="s">
        <v>4694</v>
      </c>
      <c r="F1450" s="2">
        <v>1234.32</v>
      </c>
    </row>
    <row r="1451" spans="1:6" x14ac:dyDescent="0.35">
      <c r="A1451" t="s">
        <v>6144</v>
      </c>
      <c r="B1451" t="s">
        <v>2632</v>
      </c>
      <c r="C1451" s="1">
        <v>45025</v>
      </c>
      <c r="D1451" s="2">
        <v>3673.48</v>
      </c>
      <c r="E1451" t="s">
        <v>4694</v>
      </c>
      <c r="F1451" s="2">
        <v>1044.28</v>
      </c>
    </row>
    <row r="1452" spans="1:6" x14ac:dyDescent="0.35">
      <c r="A1452" t="s">
        <v>6145</v>
      </c>
      <c r="B1452" t="s">
        <v>2635</v>
      </c>
      <c r="C1452" s="1">
        <v>45475</v>
      </c>
      <c r="D1452" s="2">
        <v>353.18</v>
      </c>
      <c r="E1452" t="s">
        <v>4694</v>
      </c>
      <c r="F1452" s="2">
        <v>17.62</v>
      </c>
    </row>
    <row r="1453" spans="1:6" x14ac:dyDescent="0.35">
      <c r="A1453" t="s">
        <v>6146</v>
      </c>
      <c r="B1453" t="s">
        <v>2636</v>
      </c>
      <c r="C1453" s="1">
        <v>45581</v>
      </c>
      <c r="D1453" s="2">
        <v>1174.47</v>
      </c>
      <c r="E1453" t="s">
        <v>4694</v>
      </c>
      <c r="F1453" s="2">
        <v>250.12</v>
      </c>
    </row>
    <row r="1454" spans="1:6" x14ac:dyDescent="0.35">
      <c r="A1454" t="s">
        <v>6147</v>
      </c>
      <c r="B1454" t="s">
        <v>2637</v>
      </c>
      <c r="C1454" s="1">
        <v>45311</v>
      </c>
      <c r="D1454" s="2">
        <v>116.26</v>
      </c>
      <c r="E1454" t="s">
        <v>4694</v>
      </c>
      <c r="F1454" s="2">
        <v>27.61</v>
      </c>
    </row>
    <row r="1455" spans="1:6" x14ac:dyDescent="0.35">
      <c r="A1455" t="s">
        <v>6148</v>
      </c>
      <c r="B1455" t="s">
        <v>2638</v>
      </c>
      <c r="C1455" s="1">
        <v>45366</v>
      </c>
      <c r="D1455" s="2">
        <v>36.1</v>
      </c>
      <c r="E1455" t="s">
        <v>4694</v>
      </c>
      <c r="F1455" s="2">
        <v>11.91</v>
      </c>
    </row>
    <row r="1456" spans="1:6" x14ac:dyDescent="0.35">
      <c r="A1456" t="s">
        <v>6149</v>
      </c>
      <c r="B1456" t="s">
        <v>2639</v>
      </c>
      <c r="C1456" s="1">
        <v>45442</v>
      </c>
      <c r="D1456" s="2">
        <v>225.81</v>
      </c>
      <c r="E1456" t="s">
        <v>4694</v>
      </c>
      <c r="F1456" s="2">
        <v>72.64</v>
      </c>
    </row>
    <row r="1457" spans="1:6" x14ac:dyDescent="0.35">
      <c r="A1457" t="s">
        <v>6150</v>
      </c>
      <c r="B1457" t="s">
        <v>2640</v>
      </c>
      <c r="C1457" s="1">
        <v>45327</v>
      </c>
      <c r="D1457" s="2">
        <v>232.64</v>
      </c>
      <c r="E1457" t="s">
        <v>4694</v>
      </c>
      <c r="F1457" s="2">
        <v>67.349999999999994</v>
      </c>
    </row>
    <row r="1458" spans="1:6" x14ac:dyDescent="0.35">
      <c r="A1458" t="s">
        <v>6151</v>
      </c>
      <c r="B1458" t="s">
        <v>2646</v>
      </c>
      <c r="C1458" s="1">
        <v>45627</v>
      </c>
      <c r="D1458" s="2">
        <v>502.4</v>
      </c>
      <c r="E1458" t="s">
        <v>4694</v>
      </c>
      <c r="F1458" s="2">
        <v>225.07</v>
      </c>
    </row>
    <row r="1459" spans="1:6" x14ac:dyDescent="0.35">
      <c r="A1459" t="s">
        <v>6152</v>
      </c>
      <c r="B1459" t="s">
        <v>2647</v>
      </c>
      <c r="C1459" s="1">
        <v>45390</v>
      </c>
      <c r="D1459" s="2">
        <v>394.97</v>
      </c>
      <c r="E1459" t="s">
        <v>4694</v>
      </c>
      <c r="F1459" s="2">
        <v>144.66</v>
      </c>
    </row>
    <row r="1460" spans="1:6" x14ac:dyDescent="0.35">
      <c r="A1460" t="s">
        <v>6153</v>
      </c>
      <c r="B1460" t="s">
        <v>2649</v>
      </c>
      <c r="C1460" s="1">
        <v>45646</v>
      </c>
      <c r="D1460" s="2">
        <v>78.06</v>
      </c>
      <c r="E1460" t="s">
        <v>4697</v>
      </c>
      <c r="F1460" s="2">
        <v>31.65</v>
      </c>
    </row>
    <row r="1461" spans="1:6" x14ac:dyDescent="0.35">
      <c r="A1461" t="s">
        <v>6154</v>
      </c>
      <c r="B1461" t="s">
        <v>2650</v>
      </c>
      <c r="C1461" s="1">
        <v>45497</v>
      </c>
      <c r="D1461" s="2">
        <v>275.47000000000003</v>
      </c>
      <c r="E1461" t="s">
        <v>4694</v>
      </c>
      <c r="F1461" s="2">
        <v>130.44</v>
      </c>
    </row>
    <row r="1462" spans="1:6" x14ac:dyDescent="0.35">
      <c r="A1462" t="s">
        <v>6155</v>
      </c>
      <c r="B1462" t="s">
        <v>2651</v>
      </c>
      <c r="C1462" s="1">
        <v>45027</v>
      </c>
      <c r="D1462" s="2">
        <v>1123.0999999999999</v>
      </c>
      <c r="E1462" t="s">
        <v>4694</v>
      </c>
      <c r="F1462" s="2">
        <v>137.22</v>
      </c>
    </row>
    <row r="1463" spans="1:6" x14ac:dyDescent="0.35">
      <c r="A1463" t="s">
        <v>6156</v>
      </c>
      <c r="B1463" t="s">
        <v>2653</v>
      </c>
      <c r="C1463" s="1">
        <v>45637</v>
      </c>
      <c r="D1463" s="2">
        <v>3291.8</v>
      </c>
      <c r="E1463" t="s">
        <v>4694</v>
      </c>
      <c r="F1463" s="2">
        <v>1407.6</v>
      </c>
    </row>
    <row r="1464" spans="1:6" x14ac:dyDescent="0.35">
      <c r="A1464" t="s">
        <v>6157</v>
      </c>
      <c r="B1464" t="s">
        <v>2654</v>
      </c>
      <c r="C1464" s="1">
        <v>45412</v>
      </c>
      <c r="D1464" s="2">
        <v>134.68</v>
      </c>
      <c r="E1464" t="s">
        <v>4694</v>
      </c>
      <c r="F1464" s="2">
        <v>35.82</v>
      </c>
    </row>
    <row r="1465" spans="1:6" x14ac:dyDescent="0.35">
      <c r="A1465" t="s">
        <v>6158</v>
      </c>
      <c r="B1465" t="s">
        <v>2655</v>
      </c>
      <c r="C1465" s="1">
        <v>45345</v>
      </c>
      <c r="D1465" s="2">
        <v>282.55</v>
      </c>
      <c r="E1465" t="s">
        <v>4694</v>
      </c>
      <c r="F1465" s="2">
        <v>61.17</v>
      </c>
    </row>
    <row r="1466" spans="1:6" x14ac:dyDescent="0.35">
      <c r="A1466" t="s">
        <v>6159</v>
      </c>
      <c r="B1466" t="s">
        <v>2657</v>
      </c>
      <c r="C1466" s="1">
        <v>45164</v>
      </c>
      <c r="D1466" s="2">
        <v>105.42</v>
      </c>
      <c r="E1466" t="s">
        <v>4694</v>
      </c>
      <c r="F1466" s="2">
        <v>33.18</v>
      </c>
    </row>
    <row r="1467" spans="1:6" x14ac:dyDescent="0.35">
      <c r="A1467" t="s">
        <v>6160</v>
      </c>
      <c r="B1467" t="s">
        <v>2658</v>
      </c>
      <c r="C1467" s="1">
        <v>45590</v>
      </c>
      <c r="D1467" s="2">
        <v>129.44999999999999</v>
      </c>
      <c r="E1467" t="s">
        <v>4694</v>
      </c>
      <c r="F1467" s="2">
        <v>32.549999999999997</v>
      </c>
    </row>
    <row r="1468" spans="1:6" x14ac:dyDescent="0.35">
      <c r="A1468" t="s">
        <v>6161</v>
      </c>
      <c r="B1468" t="s">
        <v>2659</v>
      </c>
      <c r="C1468" s="1">
        <v>45505</v>
      </c>
      <c r="D1468" s="2">
        <v>731.07</v>
      </c>
      <c r="E1468" t="s">
        <v>4694</v>
      </c>
      <c r="F1468" s="2">
        <v>379.42</v>
      </c>
    </row>
    <row r="1469" spans="1:6" x14ac:dyDescent="0.35">
      <c r="A1469" t="s">
        <v>6162</v>
      </c>
      <c r="B1469" t="s">
        <v>2660</v>
      </c>
      <c r="C1469" s="1">
        <v>45462</v>
      </c>
      <c r="D1469" s="2">
        <v>844.42</v>
      </c>
      <c r="E1469" t="s">
        <v>4697</v>
      </c>
      <c r="F1469" s="2">
        <v>44.31</v>
      </c>
    </row>
    <row r="1470" spans="1:6" x14ac:dyDescent="0.35">
      <c r="A1470" t="s">
        <v>6163</v>
      </c>
      <c r="B1470" t="s">
        <v>2661</v>
      </c>
      <c r="C1470" s="1">
        <v>45652</v>
      </c>
      <c r="D1470" s="2">
        <v>5865.34</v>
      </c>
      <c r="E1470" t="s">
        <v>4694</v>
      </c>
      <c r="F1470" s="2">
        <v>2041.22</v>
      </c>
    </row>
    <row r="1471" spans="1:6" x14ac:dyDescent="0.35">
      <c r="A1471" t="s">
        <v>6164</v>
      </c>
      <c r="B1471" t="s">
        <v>2662</v>
      </c>
      <c r="C1471" s="1">
        <v>45147</v>
      </c>
      <c r="D1471" s="2">
        <v>295.87</v>
      </c>
      <c r="E1471" t="s">
        <v>4694</v>
      </c>
      <c r="F1471" s="2">
        <v>66.319999999999993</v>
      </c>
    </row>
    <row r="1472" spans="1:6" x14ac:dyDescent="0.35">
      <c r="A1472" t="s">
        <v>6165</v>
      </c>
      <c r="B1472" t="s">
        <v>2663</v>
      </c>
      <c r="C1472" s="1">
        <v>45245</v>
      </c>
      <c r="D1472" s="2">
        <v>106.84</v>
      </c>
      <c r="E1472" t="s">
        <v>4694</v>
      </c>
      <c r="F1472" s="2">
        <v>40.380000000000003</v>
      </c>
    </row>
    <row r="1473" spans="1:6" x14ac:dyDescent="0.35">
      <c r="A1473" t="s">
        <v>6166</v>
      </c>
      <c r="B1473" t="s">
        <v>2665</v>
      </c>
      <c r="C1473" s="1">
        <v>45068</v>
      </c>
      <c r="D1473" s="2">
        <v>1642.56</v>
      </c>
      <c r="E1473" t="s">
        <v>4697</v>
      </c>
      <c r="F1473" s="2">
        <v>504.89</v>
      </c>
    </row>
    <row r="1474" spans="1:6" x14ac:dyDescent="0.35">
      <c r="A1474" t="s">
        <v>6167</v>
      </c>
      <c r="B1474" t="s">
        <v>2666</v>
      </c>
      <c r="C1474" s="1">
        <v>44996</v>
      </c>
      <c r="D1474" s="2">
        <v>776.41</v>
      </c>
      <c r="E1474" t="s">
        <v>4694</v>
      </c>
      <c r="F1474" s="2">
        <v>62.98</v>
      </c>
    </row>
    <row r="1475" spans="1:6" x14ac:dyDescent="0.35">
      <c r="A1475" t="s">
        <v>6168</v>
      </c>
      <c r="B1475" t="s">
        <v>2668</v>
      </c>
      <c r="C1475" s="1">
        <v>45056</v>
      </c>
      <c r="D1475" s="2">
        <v>332.25</v>
      </c>
      <c r="E1475" t="s">
        <v>4694</v>
      </c>
      <c r="F1475" s="2">
        <v>100.34</v>
      </c>
    </row>
    <row r="1476" spans="1:6" x14ac:dyDescent="0.35">
      <c r="A1476" t="s">
        <v>6169</v>
      </c>
      <c r="B1476" t="s">
        <v>2669</v>
      </c>
      <c r="C1476" s="1">
        <v>45273</v>
      </c>
      <c r="D1476" s="2">
        <v>120.62</v>
      </c>
      <c r="E1476" t="s">
        <v>4694</v>
      </c>
      <c r="F1476" s="2">
        <v>50</v>
      </c>
    </row>
    <row r="1477" spans="1:6" x14ac:dyDescent="0.35">
      <c r="A1477" t="s">
        <v>6170</v>
      </c>
      <c r="B1477" t="s">
        <v>2671</v>
      </c>
      <c r="C1477" s="1">
        <v>45317</v>
      </c>
      <c r="D1477" s="2">
        <v>339.43</v>
      </c>
      <c r="E1477" t="s">
        <v>4694</v>
      </c>
      <c r="F1477" s="2">
        <v>29.86</v>
      </c>
    </row>
    <row r="1478" spans="1:6" x14ac:dyDescent="0.35">
      <c r="A1478" t="s">
        <v>6171</v>
      </c>
      <c r="B1478" t="s">
        <v>2672</v>
      </c>
      <c r="C1478" s="1">
        <v>45474</v>
      </c>
      <c r="D1478" s="2">
        <v>428.37</v>
      </c>
      <c r="E1478" t="s">
        <v>4694</v>
      </c>
      <c r="F1478" s="2">
        <v>204.65</v>
      </c>
    </row>
    <row r="1479" spans="1:6" x14ac:dyDescent="0.35">
      <c r="A1479" t="s">
        <v>6172</v>
      </c>
      <c r="B1479" t="s">
        <v>2673</v>
      </c>
      <c r="C1479" s="1">
        <v>45182</v>
      </c>
      <c r="D1479" s="2">
        <v>409.64</v>
      </c>
      <c r="E1479" t="s">
        <v>4694</v>
      </c>
      <c r="F1479" s="2">
        <v>89.75</v>
      </c>
    </row>
    <row r="1480" spans="1:6" x14ac:dyDescent="0.35">
      <c r="A1480" t="s">
        <v>6173</v>
      </c>
      <c r="B1480" t="s">
        <v>2674</v>
      </c>
      <c r="C1480" s="1">
        <v>45599</v>
      </c>
      <c r="D1480" s="2">
        <v>5766.83</v>
      </c>
      <c r="E1480" t="s">
        <v>4694</v>
      </c>
      <c r="F1480" s="2">
        <v>1166.8399999999999</v>
      </c>
    </row>
    <row r="1481" spans="1:6" x14ac:dyDescent="0.35">
      <c r="A1481" t="s">
        <v>6174</v>
      </c>
      <c r="B1481" t="s">
        <v>2677</v>
      </c>
      <c r="C1481" s="1">
        <v>45665</v>
      </c>
      <c r="D1481" s="2">
        <v>350.4</v>
      </c>
      <c r="E1481" t="s">
        <v>4694</v>
      </c>
      <c r="F1481" s="2">
        <v>79.760000000000005</v>
      </c>
    </row>
    <row r="1482" spans="1:6" x14ac:dyDescent="0.35">
      <c r="A1482" t="s">
        <v>6175</v>
      </c>
      <c r="B1482" t="s">
        <v>2678</v>
      </c>
      <c r="C1482" s="1">
        <v>45170</v>
      </c>
      <c r="D1482" s="2">
        <v>38.979999999999997</v>
      </c>
      <c r="E1482" t="s">
        <v>4694</v>
      </c>
      <c r="F1482" s="2">
        <v>18.04</v>
      </c>
    </row>
    <row r="1483" spans="1:6" x14ac:dyDescent="0.35">
      <c r="A1483" t="s">
        <v>6176</v>
      </c>
      <c r="B1483" t="s">
        <v>2679</v>
      </c>
      <c r="C1483" s="1">
        <v>44983</v>
      </c>
      <c r="D1483" s="2">
        <v>326.85000000000002</v>
      </c>
      <c r="E1483" t="s">
        <v>4694</v>
      </c>
      <c r="F1483" s="2">
        <v>26.3</v>
      </c>
    </row>
    <row r="1484" spans="1:6" x14ac:dyDescent="0.35">
      <c r="A1484" t="s">
        <v>6177</v>
      </c>
      <c r="B1484" t="s">
        <v>2680</v>
      </c>
      <c r="C1484" s="1">
        <v>45008</v>
      </c>
      <c r="D1484" s="2">
        <v>448.44</v>
      </c>
      <c r="E1484" t="s">
        <v>4694</v>
      </c>
      <c r="F1484" s="2">
        <v>213.99</v>
      </c>
    </row>
    <row r="1485" spans="1:6" x14ac:dyDescent="0.35">
      <c r="A1485" t="s">
        <v>6178</v>
      </c>
      <c r="B1485" t="s">
        <v>2681</v>
      </c>
      <c r="C1485" s="1">
        <v>45546</v>
      </c>
      <c r="D1485" s="2">
        <v>78.02</v>
      </c>
      <c r="E1485" t="s">
        <v>4694</v>
      </c>
      <c r="F1485" s="2">
        <v>43.79</v>
      </c>
    </row>
    <row r="1486" spans="1:6" x14ac:dyDescent="0.35">
      <c r="A1486" t="s">
        <v>6179</v>
      </c>
      <c r="B1486" t="s">
        <v>2683</v>
      </c>
      <c r="C1486" s="1">
        <v>45455</v>
      </c>
      <c r="D1486" s="2">
        <v>145.05000000000001</v>
      </c>
      <c r="E1486" t="s">
        <v>4694</v>
      </c>
      <c r="F1486" s="2">
        <v>21</v>
      </c>
    </row>
    <row r="1487" spans="1:6" x14ac:dyDescent="0.35">
      <c r="A1487" t="s">
        <v>6180</v>
      </c>
      <c r="B1487" t="s">
        <v>2684</v>
      </c>
      <c r="C1487" s="1">
        <v>45528</v>
      </c>
      <c r="D1487" s="2">
        <v>855.42</v>
      </c>
      <c r="E1487" t="s">
        <v>4694</v>
      </c>
      <c r="F1487" s="2">
        <v>81.33</v>
      </c>
    </row>
  </sheetData>
  <conditionalFormatting sqref="A1:A1487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044E-0769-4A95-8FE0-BA8A9A857A9B}">
  <dimension ref="A1:E318"/>
  <sheetViews>
    <sheetView workbookViewId="0">
      <selection activeCell="E4" sqref="E4"/>
    </sheetView>
  </sheetViews>
  <sheetFormatPr defaultRowHeight="14.5" x14ac:dyDescent="0.35"/>
  <cols>
    <col min="1" max="1" width="10.81640625" bestFit="1" customWidth="1"/>
    <col min="2" max="2" width="10.26953125" bestFit="1" customWidth="1"/>
    <col min="3" max="3" width="20" bestFit="1" customWidth="1"/>
    <col min="4" max="4" width="12.90625" bestFit="1" customWidth="1"/>
    <col min="5" max="5" width="14.08984375" style="2" bestFit="1" customWidth="1"/>
  </cols>
  <sheetData>
    <row r="1" spans="1:5" x14ac:dyDescent="0.35">
      <c r="A1" t="s">
        <v>6181</v>
      </c>
      <c r="B1" t="s">
        <v>675</v>
      </c>
      <c r="C1" t="s">
        <v>6182</v>
      </c>
      <c r="D1" t="s">
        <v>6183</v>
      </c>
      <c r="E1" s="2" t="s">
        <v>6184</v>
      </c>
    </row>
    <row r="2" spans="1:5" x14ac:dyDescent="0.35">
      <c r="A2" t="s">
        <v>6185</v>
      </c>
      <c r="B2" t="s">
        <v>686</v>
      </c>
      <c r="C2" t="s">
        <v>6186</v>
      </c>
      <c r="D2" s="1">
        <v>45379</v>
      </c>
      <c r="E2" s="2">
        <v>101.52</v>
      </c>
    </row>
    <row r="3" spans="1:5" x14ac:dyDescent="0.35">
      <c r="A3" t="s">
        <v>6187</v>
      </c>
      <c r="B3" t="s">
        <v>696</v>
      </c>
      <c r="C3" t="s">
        <v>6188</v>
      </c>
      <c r="D3" s="1">
        <v>45065</v>
      </c>
      <c r="E3" s="2">
        <v>25.1</v>
      </c>
    </row>
    <row r="4" spans="1:5" x14ac:dyDescent="0.35">
      <c r="A4" t="s">
        <v>6189</v>
      </c>
      <c r="B4" t="s">
        <v>698</v>
      </c>
      <c r="C4" t="s">
        <v>6188</v>
      </c>
      <c r="D4" s="1">
        <v>45314</v>
      </c>
      <c r="E4" s="2">
        <v>270.43</v>
      </c>
    </row>
    <row r="5" spans="1:5" x14ac:dyDescent="0.35">
      <c r="A5" t="s">
        <v>6190</v>
      </c>
      <c r="B5" t="s">
        <v>703</v>
      </c>
      <c r="C5" t="s">
        <v>6191</v>
      </c>
      <c r="D5" s="1">
        <v>45113</v>
      </c>
      <c r="E5" s="2">
        <v>652.24</v>
      </c>
    </row>
    <row r="6" spans="1:5" x14ac:dyDescent="0.35">
      <c r="A6" t="s">
        <v>6192</v>
      </c>
      <c r="B6" t="s">
        <v>716</v>
      </c>
      <c r="C6" t="s">
        <v>6186</v>
      </c>
      <c r="D6" s="1">
        <v>45480</v>
      </c>
      <c r="E6" s="2">
        <v>244.78</v>
      </c>
    </row>
    <row r="7" spans="1:5" x14ac:dyDescent="0.35">
      <c r="A7" t="s">
        <v>6193</v>
      </c>
      <c r="B7" t="s">
        <v>729</v>
      </c>
      <c r="C7" t="s">
        <v>6186</v>
      </c>
      <c r="D7" s="1">
        <v>44994</v>
      </c>
      <c r="E7" s="2">
        <v>2832.29</v>
      </c>
    </row>
    <row r="8" spans="1:5" x14ac:dyDescent="0.35">
      <c r="A8" t="s">
        <v>6194</v>
      </c>
      <c r="B8" t="s">
        <v>752</v>
      </c>
      <c r="C8" t="s">
        <v>6188</v>
      </c>
      <c r="D8" s="1">
        <v>45255</v>
      </c>
      <c r="E8" s="2">
        <v>227.15</v>
      </c>
    </row>
    <row r="9" spans="1:5" x14ac:dyDescent="0.35">
      <c r="A9" t="s">
        <v>6195</v>
      </c>
      <c r="B9" t="s">
        <v>755</v>
      </c>
      <c r="C9" t="s">
        <v>6196</v>
      </c>
      <c r="D9" s="1">
        <v>45353</v>
      </c>
      <c r="E9" s="2">
        <v>58.1</v>
      </c>
    </row>
    <row r="10" spans="1:5" x14ac:dyDescent="0.35">
      <c r="A10" t="s">
        <v>6197</v>
      </c>
      <c r="B10" t="s">
        <v>765</v>
      </c>
      <c r="C10" t="s">
        <v>6191</v>
      </c>
      <c r="D10" s="1">
        <v>45008</v>
      </c>
      <c r="E10" s="2">
        <v>276.38</v>
      </c>
    </row>
    <row r="11" spans="1:5" x14ac:dyDescent="0.35">
      <c r="A11" t="s">
        <v>6198</v>
      </c>
      <c r="B11" t="s">
        <v>766</v>
      </c>
      <c r="C11" t="s">
        <v>6199</v>
      </c>
      <c r="D11" s="1">
        <v>45093</v>
      </c>
      <c r="E11" s="2">
        <v>1150.0899999999999</v>
      </c>
    </row>
    <row r="12" spans="1:5" x14ac:dyDescent="0.35">
      <c r="A12" t="s">
        <v>6200</v>
      </c>
      <c r="B12" t="s">
        <v>767</v>
      </c>
      <c r="C12" t="s">
        <v>6186</v>
      </c>
      <c r="D12" s="1">
        <v>45560</v>
      </c>
      <c r="E12" s="2">
        <v>479.23</v>
      </c>
    </row>
    <row r="13" spans="1:5" x14ac:dyDescent="0.35">
      <c r="A13" t="s">
        <v>6201</v>
      </c>
      <c r="B13" t="s">
        <v>769</v>
      </c>
      <c r="C13" t="s">
        <v>6202</v>
      </c>
      <c r="D13" s="1">
        <v>45448</v>
      </c>
      <c r="E13" s="2">
        <v>533.45000000000005</v>
      </c>
    </row>
    <row r="14" spans="1:5" x14ac:dyDescent="0.35">
      <c r="A14" t="s">
        <v>6203</v>
      </c>
      <c r="B14" t="s">
        <v>773</v>
      </c>
      <c r="C14" t="s">
        <v>6199</v>
      </c>
      <c r="D14" s="1">
        <v>45003</v>
      </c>
      <c r="E14" s="2">
        <v>608.99</v>
      </c>
    </row>
    <row r="15" spans="1:5" x14ac:dyDescent="0.35">
      <c r="A15" t="s">
        <v>6204</v>
      </c>
      <c r="B15" t="s">
        <v>792</v>
      </c>
      <c r="C15" t="s">
        <v>6202</v>
      </c>
      <c r="D15" s="1">
        <v>45218</v>
      </c>
      <c r="E15" s="2">
        <v>222.29</v>
      </c>
    </row>
    <row r="16" spans="1:5" x14ac:dyDescent="0.35">
      <c r="A16" t="s">
        <v>6205</v>
      </c>
      <c r="B16" t="s">
        <v>796</v>
      </c>
      <c r="C16" t="s">
        <v>6188</v>
      </c>
      <c r="D16" s="1">
        <v>45268</v>
      </c>
      <c r="E16" s="2">
        <v>46.76</v>
      </c>
    </row>
    <row r="17" spans="1:5" x14ac:dyDescent="0.35">
      <c r="A17" t="s">
        <v>6206</v>
      </c>
      <c r="B17" t="s">
        <v>808</v>
      </c>
      <c r="C17" t="s">
        <v>6191</v>
      </c>
      <c r="D17" s="1">
        <v>45369</v>
      </c>
      <c r="E17" s="2">
        <v>535.76</v>
      </c>
    </row>
    <row r="18" spans="1:5" x14ac:dyDescent="0.35">
      <c r="A18" t="s">
        <v>6207</v>
      </c>
      <c r="B18" t="s">
        <v>816</v>
      </c>
      <c r="C18" t="s">
        <v>6191</v>
      </c>
      <c r="D18" s="1">
        <v>45591</v>
      </c>
      <c r="E18" s="2">
        <v>1543.57</v>
      </c>
    </row>
    <row r="19" spans="1:5" x14ac:dyDescent="0.35">
      <c r="A19" t="s">
        <v>6208</v>
      </c>
      <c r="B19" t="s">
        <v>817</v>
      </c>
      <c r="C19" t="s">
        <v>6199</v>
      </c>
      <c r="D19" s="1">
        <v>45332</v>
      </c>
      <c r="E19" s="2">
        <v>134.26</v>
      </c>
    </row>
    <row r="20" spans="1:5" x14ac:dyDescent="0.35">
      <c r="A20" t="s">
        <v>6209</v>
      </c>
      <c r="B20" t="s">
        <v>818</v>
      </c>
      <c r="C20" t="s">
        <v>6199</v>
      </c>
      <c r="D20" s="1">
        <v>45128</v>
      </c>
      <c r="E20" s="2">
        <v>162.72999999999999</v>
      </c>
    </row>
    <row r="21" spans="1:5" x14ac:dyDescent="0.35">
      <c r="A21" t="s">
        <v>6210</v>
      </c>
      <c r="B21" t="s">
        <v>820</v>
      </c>
      <c r="C21" t="s">
        <v>6196</v>
      </c>
      <c r="D21" s="1">
        <v>45672</v>
      </c>
      <c r="E21" s="2">
        <v>377.87</v>
      </c>
    </row>
    <row r="22" spans="1:5" x14ac:dyDescent="0.35">
      <c r="A22" t="s">
        <v>6211</v>
      </c>
      <c r="B22" t="s">
        <v>839</v>
      </c>
      <c r="C22" t="s">
        <v>6199</v>
      </c>
      <c r="D22" s="1">
        <v>45104</v>
      </c>
      <c r="E22" s="2">
        <v>215.56</v>
      </c>
    </row>
    <row r="23" spans="1:5" x14ac:dyDescent="0.35">
      <c r="A23" t="s">
        <v>6212</v>
      </c>
      <c r="B23" t="s">
        <v>844</v>
      </c>
      <c r="C23" t="s">
        <v>6191</v>
      </c>
      <c r="D23" s="1">
        <v>45603</v>
      </c>
      <c r="E23" s="2">
        <v>2203.27</v>
      </c>
    </row>
    <row r="24" spans="1:5" x14ac:dyDescent="0.35">
      <c r="A24" t="s">
        <v>6213</v>
      </c>
      <c r="B24" t="s">
        <v>849</v>
      </c>
      <c r="C24" t="s">
        <v>6186</v>
      </c>
      <c r="D24" s="1">
        <v>45256</v>
      </c>
      <c r="E24" s="2">
        <v>525.11</v>
      </c>
    </row>
    <row r="25" spans="1:5" x14ac:dyDescent="0.35">
      <c r="A25" t="s">
        <v>6214</v>
      </c>
      <c r="B25" t="s">
        <v>856</v>
      </c>
      <c r="C25" t="s">
        <v>6188</v>
      </c>
      <c r="D25" s="1">
        <v>45239</v>
      </c>
      <c r="E25" s="2">
        <v>263.64999999999998</v>
      </c>
    </row>
    <row r="26" spans="1:5" x14ac:dyDescent="0.35">
      <c r="A26" t="s">
        <v>6215</v>
      </c>
      <c r="B26" t="s">
        <v>857</v>
      </c>
      <c r="C26" t="s">
        <v>6199</v>
      </c>
      <c r="D26" s="1">
        <v>45328</v>
      </c>
      <c r="E26" s="2">
        <v>485.8</v>
      </c>
    </row>
    <row r="27" spans="1:5" x14ac:dyDescent="0.35">
      <c r="A27" t="s">
        <v>6216</v>
      </c>
      <c r="B27" t="s">
        <v>861</v>
      </c>
      <c r="C27" t="s">
        <v>6188</v>
      </c>
      <c r="D27" s="1">
        <v>45098</v>
      </c>
      <c r="E27" s="2">
        <v>708.09</v>
      </c>
    </row>
    <row r="28" spans="1:5" x14ac:dyDescent="0.35">
      <c r="A28" t="s">
        <v>6217</v>
      </c>
      <c r="B28" t="s">
        <v>862</v>
      </c>
      <c r="C28" t="s">
        <v>6186</v>
      </c>
      <c r="D28" s="1">
        <v>45115</v>
      </c>
      <c r="E28" s="2">
        <v>121.5</v>
      </c>
    </row>
    <row r="29" spans="1:5" x14ac:dyDescent="0.35">
      <c r="A29" t="s">
        <v>6218</v>
      </c>
      <c r="B29" t="s">
        <v>891</v>
      </c>
      <c r="C29" t="s">
        <v>6186</v>
      </c>
      <c r="D29" s="1">
        <v>45023</v>
      </c>
      <c r="E29" s="2">
        <v>809.2</v>
      </c>
    </row>
    <row r="30" spans="1:5" x14ac:dyDescent="0.35">
      <c r="A30" t="s">
        <v>6219</v>
      </c>
      <c r="B30" t="s">
        <v>895</v>
      </c>
      <c r="C30" t="s">
        <v>6188</v>
      </c>
      <c r="D30" s="1">
        <v>45596</v>
      </c>
      <c r="E30" s="2">
        <v>68.27</v>
      </c>
    </row>
    <row r="31" spans="1:5" x14ac:dyDescent="0.35">
      <c r="A31" t="s">
        <v>6220</v>
      </c>
      <c r="B31" t="s">
        <v>898</v>
      </c>
      <c r="C31" t="s">
        <v>6188</v>
      </c>
      <c r="D31" s="1">
        <v>45530</v>
      </c>
      <c r="E31" s="2">
        <v>148.13</v>
      </c>
    </row>
    <row r="32" spans="1:5" x14ac:dyDescent="0.35">
      <c r="A32" t="s">
        <v>6221</v>
      </c>
      <c r="B32" t="s">
        <v>901</v>
      </c>
      <c r="C32" t="s">
        <v>6196</v>
      </c>
      <c r="D32" s="1">
        <v>45511</v>
      </c>
      <c r="E32" s="2">
        <v>51.64</v>
      </c>
    </row>
    <row r="33" spans="1:5" x14ac:dyDescent="0.35">
      <c r="A33" t="s">
        <v>6222</v>
      </c>
      <c r="B33" t="s">
        <v>917</v>
      </c>
      <c r="C33" t="s">
        <v>6202</v>
      </c>
      <c r="D33" s="1">
        <v>45164</v>
      </c>
      <c r="E33" s="2">
        <v>46.14</v>
      </c>
    </row>
    <row r="34" spans="1:5" x14ac:dyDescent="0.35">
      <c r="A34" t="s">
        <v>6223</v>
      </c>
      <c r="B34" t="s">
        <v>925</v>
      </c>
      <c r="C34" t="s">
        <v>6191</v>
      </c>
      <c r="D34" s="1">
        <v>44959</v>
      </c>
      <c r="E34" s="2">
        <v>170.38</v>
      </c>
    </row>
    <row r="35" spans="1:5" x14ac:dyDescent="0.35">
      <c r="A35" t="s">
        <v>6224</v>
      </c>
      <c r="B35" t="s">
        <v>933</v>
      </c>
      <c r="C35" t="s">
        <v>6186</v>
      </c>
      <c r="D35" s="1">
        <v>45636</v>
      </c>
      <c r="E35" s="2">
        <v>44.65</v>
      </c>
    </row>
    <row r="36" spans="1:5" x14ac:dyDescent="0.35">
      <c r="A36" t="s">
        <v>6225</v>
      </c>
      <c r="B36" t="s">
        <v>936</v>
      </c>
      <c r="C36" t="s">
        <v>6191</v>
      </c>
      <c r="D36" s="1">
        <v>45336</v>
      </c>
      <c r="E36" s="2">
        <v>436.5</v>
      </c>
    </row>
    <row r="37" spans="1:5" x14ac:dyDescent="0.35">
      <c r="A37" t="s">
        <v>6226</v>
      </c>
      <c r="B37" t="s">
        <v>937</v>
      </c>
      <c r="C37" t="s">
        <v>6188</v>
      </c>
      <c r="D37" s="1">
        <v>45126</v>
      </c>
      <c r="E37" s="2">
        <v>525.54</v>
      </c>
    </row>
    <row r="38" spans="1:5" x14ac:dyDescent="0.35">
      <c r="A38" t="s">
        <v>6227</v>
      </c>
      <c r="B38" t="s">
        <v>938</v>
      </c>
      <c r="C38" t="s">
        <v>6196</v>
      </c>
      <c r="D38" s="1">
        <v>45381</v>
      </c>
      <c r="E38" s="2">
        <v>186.06</v>
      </c>
    </row>
    <row r="39" spans="1:5" x14ac:dyDescent="0.35">
      <c r="A39" t="s">
        <v>6228</v>
      </c>
      <c r="B39" t="s">
        <v>943</v>
      </c>
      <c r="C39" t="s">
        <v>6186</v>
      </c>
      <c r="D39" s="1">
        <v>45525</v>
      </c>
      <c r="E39" s="2">
        <v>244.95</v>
      </c>
    </row>
    <row r="40" spans="1:5" x14ac:dyDescent="0.35">
      <c r="A40" t="s">
        <v>6229</v>
      </c>
      <c r="B40" t="s">
        <v>945</v>
      </c>
      <c r="C40" t="s">
        <v>6196</v>
      </c>
      <c r="D40" s="1">
        <v>45456</v>
      </c>
      <c r="E40" s="2">
        <v>2939.64</v>
      </c>
    </row>
    <row r="41" spans="1:5" x14ac:dyDescent="0.35">
      <c r="A41" t="s">
        <v>6230</v>
      </c>
      <c r="B41" t="s">
        <v>947</v>
      </c>
      <c r="C41" t="s">
        <v>6202</v>
      </c>
      <c r="D41" s="1">
        <v>45244</v>
      </c>
      <c r="E41" s="2">
        <v>323.81</v>
      </c>
    </row>
    <row r="42" spans="1:5" x14ac:dyDescent="0.35">
      <c r="A42" t="s">
        <v>6231</v>
      </c>
      <c r="B42" t="s">
        <v>948</v>
      </c>
      <c r="C42" t="s">
        <v>6186</v>
      </c>
      <c r="D42" s="1">
        <v>45117</v>
      </c>
      <c r="E42" s="2">
        <v>1348.57</v>
      </c>
    </row>
    <row r="43" spans="1:5" x14ac:dyDescent="0.35">
      <c r="A43" t="s">
        <v>6232</v>
      </c>
      <c r="B43" t="s">
        <v>954</v>
      </c>
      <c r="C43" t="s">
        <v>6188</v>
      </c>
      <c r="D43" s="1">
        <v>45181</v>
      </c>
      <c r="E43" s="2">
        <v>685.43</v>
      </c>
    </row>
    <row r="44" spans="1:5" x14ac:dyDescent="0.35">
      <c r="A44" t="s">
        <v>6233</v>
      </c>
      <c r="B44" t="s">
        <v>955</v>
      </c>
      <c r="C44" t="s">
        <v>6199</v>
      </c>
      <c r="D44" s="1">
        <v>45039</v>
      </c>
      <c r="E44" s="2">
        <v>245.73</v>
      </c>
    </row>
    <row r="45" spans="1:5" x14ac:dyDescent="0.35">
      <c r="A45" t="s">
        <v>6234</v>
      </c>
      <c r="B45" t="s">
        <v>969</v>
      </c>
      <c r="C45" t="s">
        <v>6199</v>
      </c>
      <c r="D45" s="1">
        <v>45081</v>
      </c>
      <c r="E45" s="2">
        <v>41.46</v>
      </c>
    </row>
    <row r="46" spans="1:5" x14ac:dyDescent="0.35">
      <c r="A46" t="s">
        <v>6235</v>
      </c>
      <c r="B46" t="s">
        <v>974</v>
      </c>
      <c r="C46" t="s">
        <v>6202</v>
      </c>
      <c r="D46" s="1">
        <v>45564</v>
      </c>
      <c r="E46" s="2">
        <v>928.85</v>
      </c>
    </row>
    <row r="47" spans="1:5" x14ac:dyDescent="0.35">
      <c r="A47" t="s">
        <v>6236</v>
      </c>
      <c r="B47" t="s">
        <v>993</v>
      </c>
      <c r="C47" t="s">
        <v>6196</v>
      </c>
      <c r="D47" s="1">
        <v>45594</v>
      </c>
      <c r="E47" s="2">
        <v>670.53</v>
      </c>
    </row>
    <row r="48" spans="1:5" x14ac:dyDescent="0.35">
      <c r="A48" t="s">
        <v>6237</v>
      </c>
      <c r="B48" t="s">
        <v>997</v>
      </c>
      <c r="C48" t="s">
        <v>6191</v>
      </c>
      <c r="D48" s="1">
        <v>45130</v>
      </c>
      <c r="E48" s="2">
        <v>1918.13</v>
      </c>
    </row>
    <row r="49" spans="1:5" x14ac:dyDescent="0.35">
      <c r="A49" t="s">
        <v>6238</v>
      </c>
      <c r="B49" t="s">
        <v>999</v>
      </c>
      <c r="C49" t="s">
        <v>6202</v>
      </c>
      <c r="D49" s="1">
        <v>45328</v>
      </c>
      <c r="E49" s="2">
        <v>312.77</v>
      </c>
    </row>
    <row r="50" spans="1:5" x14ac:dyDescent="0.35">
      <c r="A50" t="s">
        <v>6239</v>
      </c>
      <c r="B50" t="s">
        <v>1000</v>
      </c>
      <c r="C50" t="s">
        <v>6186</v>
      </c>
      <c r="D50" s="1">
        <v>45603</v>
      </c>
      <c r="E50" s="2">
        <v>343.19</v>
      </c>
    </row>
    <row r="51" spans="1:5" x14ac:dyDescent="0.35">
      <c r="A51" t="s">
        <v>6240</v>
      </c>
      <c r="B51" t="s">
        <v>1002</v>
      </c>
      <c r="C51" t="s">
        <v>6199</v>
      </c>
      <c r="D51" s="1">
        <v>45648</v>
      </c>
      <c r="E51" s="2">
        <v>485.26</v>
      </c>
    </row>
    <row r="52" spans="1:5" x14ac:dyDescent="0.35">
      <c r="A52" t="s">
        <v>6241</v>
      </c>
      <c r="B52" t="s">
        <v>1020</v>
      </c>
      <c r="C52" t="s">
        <v>6188</v>
      </c>
      <c r="D52" s="1">
        <v>45064</v>
      </c>
      <c r="E52" s="2">
        <v>710.15</v>
      </c>
    </row>
    <row r="53" spans="1:5" x14ac:dyDescent="0.35">
      <c r="A53" t="s">
        <v>6242</v>
      </c>
      <c r="B53" t="s">
        <v>1022</v>
      </c>
      <c r="C53" t="s">
        <v>6196</v>
      </c>
      <c r="D53" s="1">
        <v>45427</v>
      </c>
      <c r="E53" s="2">
        <v>96.69</v>
      </c>
    </row>
    <row r="54" spans="1:5" x14ac:dyDescent="0.35">
      <c r="A54" t="s">
        <v>6243</v>
      </c>
      <c r="B54" t="s">
        <v>1023</v>
      </c>
      <c r="C54" t="s">
        <v>6244</v>
      </c>
      <c r="D54" s="1">
        <v>45217</v>
      </c>
      <c r="E54" s="2">
        <v>3730.22</v>
      </c>
    </row>
    <row r="55" spans="1:5" x14ac:dyDescent="0.35">
      <c r="A55" t="s">
        <v>6245</v>
      </c>
      <c r="B55" t="s">
        <v>1026</v>
      </c>
      <c r="C55" t="s">
        <v>6199</v>
      </c>
      <c r="D55" s="1">
        <v>45149</v>
      </c>
      <c r="E55" s="2">
        <v>277.52999999999997</v>
      </c>
    </row>
    <row r="56" spans="1:5" x14ac:dyDescent="0.35">
      <c r="A56" t="s">
        <v>6246</v>
      </c>
      <c r="B56" t="s">
        <v>1038</v>
      </c>
      <c r="C56" t="s">
        <v>6186</v>
      </c>
      <c r="D56" s="1">
        <v>45614</v>
      </c>
      <c r="E56" s="2">
        <v>2740.86</v>
      </c>
    </row>
    <row r="57" spans="1:5" x14ac:dyDescent="0.35">
      <c r="A57" t="s">
        <v>6247</v>
      </c>
      <c r="B57" t="s">
        <v>1040</v>
      </c>
      <c r="C57" t="s">
        <v>6244</v>
      </c>
      <c r="D57" s="1">
        <v>45554</v>
      </c>
      <c r="E57" s="2">
        <v>84.92</v>
      </c>
    </row>
    <row r="58" spans="1:5" x14ac:dyDescent="0.35">
      <c r="A58" t="s">
        <v>6248</v>
      </c>
      <c r="B58" t="s">
        <v>1055</v>
      </c>
      <c r="C58" t="s">
        <v>6199</v>
      </c>
      <c r="D58" s="1">
        <v>45581</v>
      </c>
      <c r="E58" s="2">
        <v>1662.63</v>
      </c>
    </row>
    <row r="59" spans="1:5" x14ac:dyDescent="0.35">
      <c r="A59" t="s">
        <v>6249</v>
      </c>
      <c r="B59" t="s">
        <v>1076</v>
      </c>
      <c r="C59" t="s">
        <v>6199</v>
      </c>
      <c r="D59" s="1">
        <v>45189</v>
      </c>
      <c r="E59" s="2">
        <v>140.72</v>
      </c>
    </row>
    <row r="60" spans="1:5" x14ac:dyDescent="0.35">
      <c r="A60" t="s">
        <v>6250</v>
      </c>
      <c r="B60" t="s">
        <v>1083</v>
      </c>
      <c r="C60" t="s">
        <v>6188</v>
      </c>
      <c r="D60" s="1">
        <v>45483</v>
      </c>
      <c r="E60" s="2">
        <v>357.67</v>
      </c>
    </row>
    <row r="61" spans="1:5" x14ac:dyDescent="0.35">
      <c r="A61" t="s">
        <v>6251</v>
      </c>
      <c r="B61" t="s">
        <v>1085</v>
      </c>
      <c r="C61" t="s">
        <v>6186</v>
      </c>
      <c r="D61" s="1">
        <v>45549</v>
      </c>
      <c r="E61" s="2">
        <v>143.38999999999999</v>
      </c>
    </row>
    <row r="62" spans="1:5" x14ac:dyDescent="0.35">
      <c r="A62" t="s">
        <v>6252</v>
      </c>
      <c r="B62" t="s">
        <v>1088</v>
      </c>
      <c r="C62" t="s">
        <v>6196</v>
      </c>
      <c r="D62" s="1">
        <v>45497</v>
      </c>
      <c r="E62" s="2">
        <v>2037.57</v>
      </c>
    </row>
    <row r="63" spans="1:5" x14ac:dyDescent="0.35">
      <c r="A63" t="s">
        <v>6253</v>
      </c>
      <c r="B63" t="s">
        <v>1098</v>
      </c>
      <c r="C63" t="s">
        <v>6186</v>
      </c>
      <c r="D63" s="1">
        <v>45665</v>
      </c>
      <c r="E63" s="2">
        <v>491.73</v>
      </c>
    </row>
    <row r="64" spans="1:5" x14ac:dyDescent="0.35">
      <c r="A64" t="s">
        <v>6254</v>
      </c>
      <c r="B64" t="s">
        <v>1107</v>
      </c>
      <c r="C64" t="s">
        <v>6199</v>
      </c>
      <c r="D64" s="1">
        <v>45274</v>
      </c>
      <c r="E64" s="2">
        <v>115.79</v>
      </c>
    </row>
    <row r="65" spans="1:5" x14ac:dyDescent="0.35">
      <c r="A65" t="s">
        <v>6255</v>
      </c>
      <c r="B65" t="s">
        <v>1127</v>
      </c>
      <c r="C65" t="s">
        <v>6202</v>
      </c>
      <c r="D65" s="1">
        <v>45143</v>
      </c>
      <c r="E65" s="2">
        <v>264.81</v>
      </c>
    </row>
    <row r="66" spans="1:5" x14ac:dyDescent="0.35">
      <c r="A66" t="s">
        <v>6256</v>
      </c>
      <c r="B66" t="s">
        <v>1147</v>
      </c>
      <c r="C66" t="s">
        <v>6191</v>
      </c>
      <c r="D66" s="1">
        <v>44992</v>
      </c>
      <c r="E66" s="2">
        <v>6380.61</v>
      </c>
    </row>
    <row r="67" spans="1:5" x14ac:dyDescent="0.35">
      <c r="A67" t="s">
        <v>6257</v>
      </c>
      <c r="B67" t="s">
        <v>1154</v>
      </c>
      <c r="C67" t="s">
        <v>6186</v>
      </c>
      <c r="D67" s="1">
        <v>45239</v>
      </c>
      <c r="E67" s="2">
        <v>532.36</v>
      </c>
    </row>
    <row r="68" spans="1:5" x14ac:dyDescent="0.35">
      <c r="A68" t="s">
        <v>6258</v>
      </c>
      <c r="B68" t="s">
        <v>1160</v>
      </c>
      <c r="C68" t="s">
        <v>6186</v>
      </c>
      <c r="D68" s="1">
        <v>44974</v>
      </c>
      <c r="E68" s="2">
        <v>76.760000000000005</v>
      </c>
    </row>
    <row r="69" spans="1:5" x14ac:dyDescent="0.35">
      <c r="A69" t="s">
        <v>6259</v>
      </c>
      <c r="B69" t="s">
        <v>1161</v>
      </c>
      <c r="C69" t="s">
        <v>6191</v>
      </c>
      <c r="D69" s="1">
        <v>45433</v>
      </c>
      <c r="E69" s="2">
        <v>77.3</v>
      </c>
    </row>
    <row r="70" spans="1:5" x14ac:dyDescent="0.35">
      <c r="A70" t="s">
        <v>6260</v>
      </c>
      <c r="B70" t="s">
        <v>1170</v>
      </c>
      <c r="C70" t="s">
        <v>6196</v>
      </c>
      <c r="D70" s="1">
        <v>45278</v>
      </c>
      <c r="E70" s="2">
        <v>253.76</v>
      </c>
    </row>
    <row r="71" spans="1:5" x14ac:dyDescent="0.35">
      <c r="A71" t="s">
        <v>6261</v>
      </c>
      <c r="B71" t="s">
        <v>1171</v>
      </c>
      <c r="C71" t="s">
        <v>6188</v>
      </c>
      <c r="D71" s="1">
        <v>45385</v>
      </c>
      <c r="E71" s="2">
        <v>2719.65</v>
      </c>
    </row>
    <row r="72" spans="1:5" x14ac:dyDescent="0.35">
      <c r="A72" t="s">
        <v>6262</v>
      </c>
      <c r="B72" t="s">
        <v>1196</v>
      </c>
      <c r="C72" t="s">
        <v>6199</v>
      </c>
      <c r="D72" s="1">
        <v>45300</v>
      </c>
      <c r="E72" s="2">
        <v>84.86</v>
      </c>
    </row>
    <row r="73" spans="1:5" x14ac:dyDescent="0.35">
      <c r="A73" t="s">
        <v>6263</v>
      </c>
      <c r="B73" t="s">
        <v>1220</v>
      </c>
      <c r="C73" t="s">
        <v>6199</v>
      </c>
      <c r="D73" s="1">
        <v>45621</v>
      </c>
      <c r="E73" s="2">
        <v>78.78</v>
      </c>
    </row>
    <row r="74" spans="1:5" x14ac:dyDescent="0.35">
      <c r="A74" t="s">
        <v>6264</v>
      </c>
      <c r="B74" t="s">
        <v>1228</v>
      </c>
      <c r="C74" t="s">
        <v>6186</v>
      </c>
      <c r="D74" s="1">
        <v>45350</v>
      </c>
      <c r="E74" s="2">
        <v>179.85</v>
      </c>
    </row>
    <row r="75" spans="1:5" x14ac:dyDescent="0.35">
      <c r="A75" t="s">
        <v>6265</v>
      </c>
      <c r="B75" t="s">
        <v>1231</v>
      </c>
      <c r="C75" t="s">
        <v>6196</v>
      </c>
      <c r="D75" s="1">
        <v>45647</v>
      </c>
      <c r="E75" s="2">
        <v>133.91999999999999</v>
      </c>
    </row>
    <row r="76" spans="1:5" x14ac:dyDescent="0.35">
      <c r="A76" t="s">
        <v>6266</v>
      </c>
      <c r="B76" t="s">
        <v>1233</v>
      </c>
      <c r="C76" t="s">
        <v>6191</v>
      </c>
      <c r="D76" s="1">
        <v>45551</v>
      </c>
      <c r="E76" s="2">
        <v>17.53</v>
      </c>
    </row>
    <row r="77" spans="1:5" x14ac:dyDescent="0.35">
      <c r="A77" t="s">
        <v>6267</v>
      </c>
      <c r="B77" t="s">
        <v>1234</v>
      </c>
      <c r="C77" t="s">
        <v>6188</v>
      </c>
      <c r="D77" s="1">
        <v>45309</v>
      </c>
      <c r="E77" s="2">
        <v>121.84</v>
      </c>
    </row>
    <row r="78" spans="1:5" x14ac:dyDescent="0.35">
      <c r="A78" t="s">
        <v>6268</v>
      </c>
      <c r="B78" t="s">
        <v>1235</v>
      </c>
      <c r="C78" t="s">
        <v>6186</v>
      </c>
      <c r="D78" s="1">
        <v>45323</v>
      </c>
      <c r="E78" s="2">
        <v>288.85000000000002</v>
      </c>
    </row>
    <row r="79" spans="1:5" x14ac:dyDescent="0.35">
      <c r="A79" t="s">
        <v>6269</v>
      </c>
      <c r="B79" t="s">
        <v>1239</v>
      </c>
      <c r="C79" t="s">
        <v>6191</v>
      </c>
      <c r="D79" s="1">
        <v>45498</v>
      </c>
      <c r="E79" s="2">
        <v>268.36</v>
      </c>
    </row>
    <row r="80" spans="1:5" x14ac:dyDescent="0.35">
      <c r="A80" t="s">
        <v>6270</v>
      </c>
      <c r="B80" t="s">
        <v>1241</v>
      </c>
      <c r="C80" t="s">
        <v>6188</v>
      </c>
      <c r="D80" s="1">
        <v>45514</v>
      </c>
      <c r="E80" s="2">
        <v>598.91</v>
      </c>
    </row>
    <row r="81" spans="1:5" x14ac:dyDescent="0.35">
      <c r="A81" t="s">
        <v>6271</v>
      </c>
      <c r="B81" t="s">
        <v>1248</v>
      </c>
      <c r="C81" t="s">
        <v>6244</v>
      </c>
      <c r="D81" s="1">
        <v>45598</v>
      </c>
      <c r="E81" s="2">
        <v>347.6</v>
      </c>
    </row>
    <row r="82" spans="1:5" x14ac:dyDescent="0.35">
      <c r="A82" t="s">
        <v>6272</v>
      </c>
      <c r="B82" t="s">
        <v>1254</v>
      </c>
      <c r="C82" t="s">
        <v>6196</v>
      </c>
      <c r="D82" s="1">
        <v>45115</v>
      </c>
      <c r="E82" s="2">
        <v>27.36</v>
      </c>
    </row>
    <row r="83" spans="1:5" x14ac:dyDescent="0.35">
      <c r="A83" t="s">
        <v>6273</v>
      </c>
      <c r="B83" t="s">
        <v>1267</v>
      </c>
      <c r="C83" t="s">
        <v>6186</v>
      </c>
      <c r="D83" s="1">
        <v>45184</v>
      </c>
      <c r="E83" s="2">
        <v>63.73</v>
      </c>
    </row>
    <row r="84" spans="1:5" x14ac:dyDescent="0.35">
      <c r="A84" t="s">
        <v>6274</v>
      </c>
      <c r="B84" t="s">
        <v>1270</v>
      </c>
      <c r="C84" t="s">
        <v>6244</v>
      </c>
      <c r="D84" s="1">
        <v>45086</v>
      </c>
      <c r="E84" s="2">
        <v>120.84</v>
      </c>
    </row>
    <row r="85" spans="1:5" x14ac:dyDescent="0.35">
      <c r="A85" t="s">
        <v>6275</v>
      </c>
      <c r="B85" t="s">
        <v>1271</v>
      </c>
      <c r="C85" t="s">
        <v>6199</v>
      </c>
      <c r="D85" s="1">
        <v>45126</v>
      </c>
      <c r="E85" s="2">
        <v>36.840000000000003</v>
      </c>
    </row>
    <row r="86" spans="1:5" x14ac:dyDescent="0.35">
      <c r="A86" t="s">
        <v>6276</v>
      </c>
      <c r="B86" t="s">
        <v>1279</v>
      </c>
      <c r="C86" t="s">
        <v>6202</v>
      </c>
      <c r="D86" s="1">
        <v>45270</v>
      </c>
      <c r="E86" s="2">
        <v>2018.73</v>
      </c>
    </row>
    <row r="87" spans="1:5" x14ac:dyDescent="0.35">
      <c r="A87" t="s">
        <v>6277</v>
      </c>
      <c r="B87" t="s">
        <v>1282</v>
      </c>
      <c r="C87" t="s">
        <v>6199</v>
      </c>
      <c r="D87" s="1">
        <v>45364</v>
      </c>
      <c r="E87" s="2">
        <v>222.86</v>
      </c>
    </row>
    <row r="88" spans="1:5" x14ac:dyDescent="0.35">
      <c r="A88" t="s">
        <v>6278</v>
      </c>
      <c r="B88" t="s">
        <v>1285</v>
      </c>
      <c r="C88" t="s">
        <v>6196</v>
      </c>
      <c r="D88" s="1">
        <v>45597</v>
      </c>
      <c r="E88" s="2">
        <v>141.04</v>
      </c>
    </row>
    <row r="89" spans="1:5" x14ac:dyDescent="0.35">
      <c r="A89" t="s">
        <v>6279</v>
      </c>
      <c r="B89" t="s">
        <v>1302</v>
      </c>
      <c r="C89" t="s">
        <v>6188</v>
      </c>
      <c r="D89" s="1">
        <v>45486</v>
      </c>
      <c r="E89" s="2">
        <v>1604.71</v>
      </c>
    </row>
    <row r="90" spans="1:5" x14ac:dyDescent="0.35">
      <c r="A90" t="s">
        <v>6280</v>
      </c>
      <c r="B90" t="s">
        <v>1304</v>
      </c>
      <c r="C90" t="s">
        <v>6202</v>
      </c>
      <c r="D90" s="1">
        <v>45022</v>
      </c>
      <c r="E90" s="2">
        <v>124.84</v>
      </c>
    </row>
    <row r="91" spans="1:5" x14ac:dyDescent="0.35">
      <c r="A91" t="s">
        <v>6281</v>
      </c>
      <c r="B91" t="s">
        <v>1307</v>
      </c>
      <c r="C91" t="s">
        <v>6199</v>
      </c>
      <c r="D91" s="1">
        <v>45569</v>
      </c>
      <c r="E91" s="2">
        <v>857.34</v>
      </c>
    </row>
    <row r="92" spans="1:5" x14ac:dyDescent="0.35">
      <c r="A92" t="s">
        <v>6282</v>
      </c>
      <c r="B92" t="s">
        <v>1311</v>
      </c>
      <c r="C92" t="s">
        <v>6188</v>
      </c>
      <c r="D92" s="1">
        <v>45338</v>
      </c>
      <c r="E92" s="2">
        <v>567.30999999999995</v>
      </c>
    </row>
    <row r="93" spans="1:5" x14ac:dyDescent="0.35">
      <c r="A93" t="s">
        <v>6283</v>
      </c>
      <c r="B93" t="s">
        <v>1312</v>
      </c>
      <c r="C93" t="s">
        <v>6199</v>
      </c>
      <c r="D93" s="1">
        <v>45309</v>
      </c>
      <c r="E93" s="2">
        <v>626.14</v>
      </c>
    </row>
    <row r="94" spans="1:5" x14ac:dyDescent="0.35">
      <c r="A94" t="s">
        <v>6284</v>
      </c>
      <c r="B94" t="s">
        <v>1317</v>
      </c>
      <c r="C94" t="s">
        <v>6196</v>
      </c>
      <c r="D94" s="1">
        <v>45371</v>
      </c>
      <c r="E94" s="2">
        <v>344.67</v>
      </c>
    </row>
    <row r="95" spans="1:5" x14ac:dyDescent="0.35">
      <c r="A95" t="s">
        <v>6285</v>
      </c>
      <c r="B95" t="s">
        <v>1322</v>
      </c>
      <c r="C95" t="s">
        <v>6202</v>
      </c>
      <c r="D95" s="1">
        <v>45526</v>
      </c>
      <c r="E95" s="2">
        <v>722.28</v>
      </c>
    </row>
    <row r="96" spans="1:5" x14ac:dyDescent="0.35">
      <c r="A96" t="s">
        <v>6286</v>
      </c>
      <c r="B96" t="s">
        <v>1333</v>
      </c>
      <c r="C96" t="s">
        <v>6199</v>
      </c>
      <c r="D96" s="1">
        <v>45606</v>
      </c>
      <c r="E96" s="2">
        <v>1380.03</v>
      </c>
    </row>
    <row r="97" spans="1:5" x14ac:dyDescent="0.35">
      <c r="A97" t="s">
        <v>6287</v>
      </c>
      <c r="B97" t="s">
        <v>1334</v>
      </c>
      <c r="C97" t="s">
        <v>6191</v>
      </c>
      <c r="D97" s="1">
        <v>45379</v>
      </c>
      <c r="E97" s="2">
        <v>167.68</v>
      </c>
    </row>
    <row r="98" spans="1:5" x14ac:dyDescent="0.35">
      <c r="A98" t="s">
        <v>6288</v>
      </c>
      <c r="B98" t="s">
        <v>1339</v>
      </c>
      <c r="C98" t="s">
        <v>6191</v>
      </c>
      <c r="D98" s="1">
        <v>45579</v>
      </c>
      <c r="E98" s="2">
        <v>176.92</v>
      </c>
    </row>
    <row r="99" spans="1:5" x14ac:dyDescent="0.35">
      <c r="A99" t="s">
        <v>6289</v>
      </c>
      <c r="B99" t="s">
        <v>1354</v>
      </c>
      <c r="C99" t="s">
        <v>6186</v>
      </c>
      <c r="D99" s="1">
        <v>45052</v>
      </c>
      <c r="E99" s="2">
        <v>1495.77</v>
      </c>
    </row>
    <row r="100" spans="1:5" x14ac:dyDescent="0.35">
      <c r="A100" t="s">
        <v>6290</v>
      </c>
      <c r="B100" t="s">
        <v>1369</v>
      </c>
      <c r="C100" t="s">
        <v>6244</v>
      </c>
      <c r="D100" s="1">
        <v>45136</v>
      </c>
      <c r="E100" s="2">
        <v>105.21</v>
      </c>
    </row>
    <row r="101" spans="1:5" x14ac:dyDescent="0.35">
      <c r="A101" t="s">
        <v>6291</v>
      </c>
      <c r="B101" t="s">
        <v>1375</v>
      </c>
      <c r="C101" t="s">
        <v>6186</v>
      </c>
      <c r="D101" s="1">
        <v>45063</v>
      </c>
      <c r="E101" s="2">
        <v>575.55999999999995</v>
      </c>
    </row>
    <row r="102" spans="1:5" x14ac:dyDescent="0.35">
      <c r="A102" t="s">
        <v>6292</v>
      </c>
      <c r="B102" t="s">
        <v>1377</v>
      </c>
      <c r="C102" t="s">
        <v>6196</v>
      </c>
      <c r="D102" s="1">
        <v>45522</v>
      </c>
      <c r="E102" s="2">
        <v>225.45</v>
      </c>
    </row>
    <row r="103" spans="1:5" x14ac:dyDescent="0.35">
      <c r="A103" t="s">
        <v>6293</v>
      </c>
      <c r="B103" t="s">
        <v>1382</v>
      </c>
      <c r="C103" t="s">
        <v>6186</v>
      </c>
      <c r="D103" s="1">
        <v>45378</v>
      </c>
      <c r="E103" s="2">
        <v>1397.44</v>
      </c>
    </row>
    <row r="104" spans="1:5" x14ac:dyDescent="0.35">
      <c r="A104" t="s">
        <v>6294</v>
      </c>
      <c r="B104" t="s">
        <v>1386</v>
      </c>
      <c r="C104" t="s">
        <v>6188</v>
      </c>
      <c r="D104" s="1">
        <v>45319</v>
      </c>
      <c r="E104" s="2">
        <v>889.38</v>
      </c>
    </row>
    <row r="105" spans="1:5" x14ac:dyDescent="0.35">
      <c r="A105" t="s">
        <v>6295</v>
      </c>
      <c r="B105" t="s">
        <v>1392</v>
      </c>
      <c r="C105" t="s">
        <v>6196</v>
      </c>
      <c r="D105" s="1">
        <v>45529</v>
      </c>
      <c r="E105" s="2">
        <v>3186.57</v>
      </c>
    </row>
    <row r="106" spans="1:5" x14ac:dyDescent="0.35">
      <c r="A106" t="s">
        <v>6296</v>
      </c>
      <c r="B106" t="s">
        <v>1398</v>
      </c>
      <c r="C106" t="s">
        <v>6196</v>
      </c>
      <c r="D106" s="1">
        <v>45312</v>
      </c>
      <c r="E106" s="2">
        <v>86.03</v>
      </c>
    </row>
    <row r="107" spans="1:5" x14ac:dyDescent="0.35">
      <c r="A107" t="s">
        <v>6297</v>
      </c>
      <c r="B107" t="s">
        <v>1399</v>
      </c>
      <c r="C107" t="s">
        <v>6196</v>
      </c>
      <c r="D107" s="1">
        <v>45400</v>
      </c>
      <c r="E107" s="2">
        <v>206.81</v>
      </c>
    </row>
    <row r="108" spans="1:5" x14ac:dyDescent="0.35">
      <c r="A108" t="s">
        <v>6298</v>
      </c>
      <c r="B108" t="s">
        <v>1400</v>
      </c>
      <c r="C108" t="s">
        <v>6186</v>
      </c>
      <c r="D108" s="1">
        <v>45172</v>
      </c>
      <c r="E108" s="2">
        <v>512.11</v>
      </c>
    </row>
    <row r="109" spans="1:5" x14ac:dyDescent="0.35">
      <c r="A109" t="s">
        <v>6299</v>
      </c>
      <c r="B109" t="s">
        <v>1401</v>
      </c>
      <c r="C109" t="s">
        <v>6191</v>
      </c>
      <c r="D109" s="1">
        <v>45493</v>
      </c>
      <c r="E109" s="2">
        <v>197.71</v>
      </c>
    </row>
    <row r="110" spans="1:5" x14ac:dyDescent="0.35">
      <c r="A110" t="s">
        <v>6300</v>
      </c>
      <c r="B110" t="s">
        <v>1409</v>
      </c>
      <c r="C110" t="s">
        <v>6199</v>
      </c>
      <c r="D110" s="1">
        <v>45493</v>
      </c>
      <c r="E110" s="2">
        <v>69.010000000000005</v>
      </c>
    </row>
    <row r="111" spans="1:5" x14ac:dyDescent="0.35">
      <c r="A111" t="s">
        <v>6301</v>
      </c>
      <c r="B111" t="s">
        <v>1411</v>
      </c>
      <c r="C111" t="s">
        <v>6186</v>
      </c>
      <c r="D111" s="1">
        <v>45076</v>
      </c>
      <c r="E111" s="2">
        <v>1601.25</v>
      </c>
    </row>
    <row r="112" spans="1:5" x14ac:dyDescent="0.35">
      <c r="A112" t="s">
        <v>6302</v>
      </c>
      <c r="B112" t="s">
        <v>1427</v>
      </c>
      <c r="C112" t="s">
        <v>6196</v>
      </c>
      <c r="D112" s="1">
        <v>45118</v>
      </c>
      <c r="E112" s="2">
        <v>3462.07</v>
      </c>
    </row>
    <row r="113" spans="1:5" x14ac:dyDescent="0.35">
      <c r="A113" t="s">
        <v>6303</v>
      </c>
      <c r="B113" t="s">
        <v>1439</v>
      </c>
      <c r="C113" t="s">
        <v>6202</v>
      </c>
      <c r="D113" s="1">
        <v>45437</v>
      </c>
      <c r="E113" s="2">
        <v>370.13</v>
      </c>
    </row>
    <row r="114" spans="1:5" x14ac:dyDescent="0.35">
      <c r="A114" t="s">
        <v>6304</v>
      </c>
      <c r="B114" t="s">
        <v>1442</v>
      </c>
      <c r="C114" t="s">
        <v>6186</v>
      </c>
      <c r="D114" s="1">
        <v>45476</v>
      </c>
      <c r="E114" s="2">
        <v>2257.56</v>
      </c>
    </row>
    <row r="115" spans="1:5" x14ac:dyDescent="0.35">
      <c r="A115" t="s">
        <v>6305</v>
      </c>
      <c r="B115" t="s">
        <v>1443</v>
      </c>
      <c r="C115" t="s">
        <v>6186</v>
      </c>
      <c r="D115" s="1">
        <v>45241</v>
      </c>
      <c r="E115" s="2">
        <v>731.19</v>
      </c>
    </row>
    <row r="116" spans="1:5" x14ac:dyDescent="0.35">
      <c r="A116" t="s">
        <v>6306</v>
      </c>
      <c r="B116" t="s">
        <v>1449</v>
      </c>
      <c r="C116" t="s">
        <v>6199</v>
      </c>
      <c r="D116" s="1">
        <v>45217</v>
      </c>
      <c r="E116" s="2">
        <v>434.08</v>
      </c>
    </row>
    <row r="117" spans="1:5" x14ac:dyDescent="0.35">
      <c r="A117" t="s">
        <v>6307</v>
      </c>
      <c r="B117" t="s">
        <v>1454</v>
      </c>
      <c r="C117" t="s">
        <v>6188</v>
      </c>
      <c r="D117" s="1">
        <v>45383</v>
      </c>
      <c r="E117" s="2">
        <v>78.53</v>
      </c>
    </row>
    <row r="118" spans="1:5" x14ac:dyDescent="0.35">
      <c r="A118" t="s">
        <v>6308</v>
      </c>
      <c r="B118" t="s">
        <v>1466</v>
      </c>
      <c r="C118" t="s">
        <v>6188</v>
      </c>
      <c r="D118" s="1">
        <v>45569</v>
      </c>
      <c r="E118" s="2">
        <v>98.98</v>
      </c>
    </row>
    <row r="119" spans="1:5" x14ac:dyDescent="0.35">
      <c r="A119" t="s">
        <v>6309</v>
      </c>
      <c r="B119" t="s">
        <v>1467</v>
      </c>
      <c r="C119" t="s">
        <v>6196</v>
      </c>
      <c r="D119" s="1">
        <v>45105</v>
      </c>
      <c r="E119" s="2">
        <v>416.29</v>
      </c>
    </row>
    <row r="120" spans="1:5" x14ac:dyDescent="0.35">
      <c r="A120" t="s">
        <v>6310</v>
      </c>
      <c r="B120" t="s">
        <v>1468</v>
      </c>
      <c r="C120" t="s">
        <v>6186</v>
      </c>
      <c r="D120" s="1">
        <v>45593</v>
      </c>
      <c r="E120" s="2">
        <v>102.36</v>
      </c>
    </row>
    <row r="121" spans="1:5" x14ac:dyDescent="0.35">
      <c r="A121" t="s">
        <v>6311</v>
      </c>
      <c r="B121" t="s">
        <v>1476</v>
      </c>
      <c r="C121" t="s">
        <v>6188</v>
      </c>
      <c r="D121" s="1">
        <v>45195</v>
      </c>
      <c r="E121" s="2">
        <v>237.95</v>
      </c>
    </row>
    <row r="122" spans="1:5" x14ac:dyDescent="0.35">
      <c r="A122" t="s">
        <v>6312</v>
      </c>
      <c r="B122" t="s">
        <v>1479</v>
      </c>
      <c r="C122" t="s">
        <v>6199</v>
      </c>
      <c r="D122" s="1">
        <v>45434</v>
      </c>
      <c r="E122" s="2">
        <v>771.06</v>
      </c>
    </row>
    <row r="123" spans="1:5" x14ac:dyDescent="0.35">
      <c r="A123" t="s">
        <v>6313</v>
      </c>
      <c r="B123" t="s">
        <v>1481</v>
      </c>
      <c r="C123" t="s">
        <v>6186</v>
      </c>
      <c r="D123" s="1">
        <v>45460</v>
      </c>
      <c r="E123" s="2">
        <v>1521.09</v>
      </c>
    </row>
    <row r="124" spans="1:5" x14ac:dyDescent="0.35">
      <c r="A124" t="s">
        <v>6314</v>
      </c>
      <c r="B124" t="s">
        <v>1483</v>
      </c>
      <c r="C124" t="s">
        <v>6191</v>
      </c>
      <c r="D124" s="1">
        <v>44955</v>
      </c>
      <c r="E124" s="2">
        <v>90.02</v>
      </c>
    </row>
    <row r="125" spans="1:5" x14ac:dyDescent="0.35">
      <c r="A125" t="s">
        <v>6315</v>
      </c>
      <c r="B125" t="s">
        <v>1493</v>
      </c>
      <c r="C125" t="s">
        <v>6199</v>
      </c>
      <c r="D125" s="1">
        <v>45651</v>
      </c>
      <c r="E125" s="2">
        <v>782.91</v>
      </c>
    </row>
    <row r="126" spans="1:5" x14ac:dyDescent="0.35">
      <c r="A126" t="s">
        <v>6316</v>
      </c>
      <c r="B126" t="s">
        <v>1497</v>
      </c>
      <c r="C126" t="s">
        <v>6199</v>
      </c>
      <c r="D126" s="1">
        <v>45354</v>
      </c>
      <c r="E126" s="2">
        <v>240.26</v>
      </c>
    </row>
    <row r="127" spans="1:5" x14ac:dyDescent="0.35">
      <c r="A127" t="s">
        <v>6317</v>
      </c>
      <c r="B127" t="s">
        <v>1498</v>
      </c>
      <c r="C127" t="s">
        <v>6196</v>
      </c>
      <c r="D127" s="1">
        <v>45156</v>
      </c>
      <c r="E127" s="2">
        <v>896.52</v>
      </c>
    </row>
    <row r="128" spans="1:5" x14ac:dyDescent="0.35">
      <c r="A128" t="s">
        <v>6318</v>
      </c>
      <c r="B128" t="s">
        <v>1502</v>
      </c>
      <c r="C128" t="s">
        <v>6244</v>
      </c>
      <c r="D128" s="1">
        <v>45648</v>
      </c>
      <c r="E128" s="2">
        <v>303.94</v>
      </c>
    </row>
    <row r="129" spans="1:5" x14ac:dyDescent="0.35">
      <c r="A129" t="s">
        <v>6319</v>
      </c>
      <c r="B129" t="s">
        <v>1503</v>
      </c>
      <c r="C129" t="s">
        <v>6196</v>
      </c>
      <c r="D129" s="1">
        <v>45447</v>
      </c>
      <c r="E129" s="2">
        <v>2871.33</v>
      </c>
    </row>
    <row r="130" spans="1:5" x14ac:dyDescent="0.35">
      <c r="A130" t="s">
        <v>6320</v>
      </c>
      <c r="B130" t="s">
        <v>1504</v>
      </c>
      <c r="C130" t="s">
        <v>6202</v>
      </c>
      <c r="D130" s="1">
        <v>45400</v>
      </c>
      <c r="E130" s="2">
        <v>2898.21</v>
      </c>
    </row>
    <row r="131" spans="1:5" x14ac:dyDescent="0.35">
      <c r="A131" t="s">
        <v>6321</v>
      </c>
      <c r="B131" t="s">
        <v>1511</v>
      </c>
      <c r="C131" t="s">
        <v>6191</v>
      </c>
      <c r="D131" s="1">
        <v>45101</v>
      </c>
      <c r="E131" s="2">
        <v>1638.72</v>
      </c>
    </row>
    <row r="132" spans="1:5" x14ac:dyDescent="0.35">
      <c r="A132" t="s">
        <v>6322</v>
      </c>
      <c r="B132" t="s">
        <v>1520</v>
      </c>
      <c r="C132" t="s">
        <v>6196</v>
      </c>
      <c r="D132" s="1">
        <v>45392</v>
      </c>
      <c r="E132" s="2">
        <v>34.01</v>
      </c>
    </row>
    <row r="133" spans="1:5" x14ac:dyDescent="0.35">
      <c r="A133" t="s">
        <v>6323</v>
      </c>
      <c r="B133" t="s">
        <v>1523</v>
      </c>
      <c r="C133" t="s">
        <v>6199</v>
      </c>
      <c r="D133" s="1">
        <v>45634</v>
      </c>
      <c r="E133" s="2">
        <v>120.62</v>
      </c>
    </row>
    <row r="134" spans="1:5" x14ac:dyDescent="0.35">
      <c r="A134" t="s">
        <v>6324</v>
      </c>
      <c r="B134" t="s">
        <v>1540</v>
      </c>
      <c r="C134" t="s">
        <v>6202</v>
      </c>
      <c r="D134" s="1">
        <v>45506</v>
      </c>
      <c r="E134" s="2">
        <v>93.07</v>
      </c>
    </row>
    <row r="135" spans="1:5" x14ac:dyDescent="0.35">
      <c r="A135" t="s">
        <v>6325</v>
      </c>
      <c r="B135" t="s">
        <v>1541</v>
      </c>
      <c r="C135" t="s">
        <v>6196</v>
      </c>
      <c r="D135" s="1">
        <v>45632</v>
      </c>
      <c r="E135" s="2">
        <v>65.400000000000006</v>
      </c>
    </row>
    <row r="136" spans="1:5" x14ac:dyDescent="0.35">
      <c r="A136" t="s">
        <v>6326</v>
      </c>
      <c r="B136" t="s">
        <v>1545</v>
      </c>
      <c r="C136" t="s">
        <v>6186</v>
      </c>
      <c r="D136" s="1">
        <v>45104</v>
      </c>
      <c r="E136" s="2">
        <v>1611.97</v>
      </c>
    </row>
    <row r="137" spans="1:5" x14ac:dyDescent="0.35">
      <c r="A137" t="s">
        <v>6327</v>
      </c>
      <c r="B137" t="s">
        <v>1550</v>
      </c>
      <c r="C137" t="s">
        <v>6196</v>
      </c>
      <c r="D137" s="1">
        <v>45426</v>
      </c>
      <c r="E137" s="2">
        <v>3698.91</v>
      </c>
    </row>
    <row r="138" spans="1:5" x14ac:dyDescent="0.35">
      <c r="A138" t="s">
        <v>6328</v>
      </c>
      <c r="B138" t="s">
        <v>1559</v>
      </c>
      <c r="C138" t="s">
        <v>6186</v>
      </c>
      <c r="D138" s="1">
        <v>44946</v>
      </c>
      <c r="E138" s="2">
        <v>121.8</v>
      </c>
    </row>
    <row r="139" spans="1:5" x14ac:dyDescent="0.35">
      <c r="A139" t="s">
        <v>6329</v>
      </c>
      <c r="B139" t="s">
        <v>1564</v>
      </c>
      <c r="C139" t="s">
        <v>6196</v>
      </c>
      <c r="D139" s="1">
        <v>45074</v>
      </c>
      <c r="E139" s="2">
        <v>152.15</v>
      </c>
    </row>
    <row r="140" spans="1:5" x14ac:dyDescent="0.35">
      <c r="A140" t="s">
        <v>6330</v>
      </c>
      <c r="B140" t="s">
        <v>1571</v>
      </c>
      <c r="C140" t="s">
        <v>6186</v>
      </c>
      <c r="D140" s="1">
        <v>45635</v>
      </c>
      <c r="E140" s="2">
        <v>1022.89</v>
      </c>
    </row>
    <row r="141" spans="1:5" x14ac:dyDescent="0.35">
      <c r="A141" t="s">
        <v>6331</v>
      </c>
      <c r="B141" t="s">
        <v>1573</v>
      </c>
      <c r="C141" t="s">
        <v>6196</v>
      </c>
      <c r="D141" s="1">
        <v>45483</v>
      </c>
      <c r="E141" s="2">
        <v>1580.63</v>
      </c>
    </row>
    <row r="142" spans="1:5" x14ac:dyDescent="0.35">
      <c r="A142" t="s">
        <v>6332</v>
      </c>
      <c r="B142" t="s">
        <v>1593</v>
      </c>
      <c r="C142" t="s">
        <v>6188</v>
      </c>
      <c r="D142" s="1">
        <v>45332</v>
      </c>
      <c r="E142" s="2">
        <v>371.68</v>
      </c>
    </row>
    <row r="143" spans="1:5" x14ac:dyDescent="0.35">
      <c r="A143" t="s">
        <v>6333</v>
      </c>
      <c r="B143" t="s">
        <v>1601</v>
      </c>
      <c r="C143" t="s">
        <v>6191</v>
      </c>
      <c r="D143" s="1">
        <v>45420</v>
      </c>
      <c r="E143" s="2">
        <v>27.34</v>
      </c>
    </row>
    <row r="144" spans="1:5" x14ac:dyDescent="0.35">
      <c r="A144" t="s">
        <v>6334</v>
      </c>
      <c r="B144" t="s">
        <v>1613</v>
      </c>
      <c r="C144" t="s">
        <v>6188</v>
      </c>
      <c r="D144" s="1">
        <v>45577</v>
      </c>
      <c r="E144" s="2">
        <v>1798.69</v>
      </c>
    </row>
    <row r="145" spans="1:5" x14ac:dyDescent="0.35">
      <c r="A145" t="s">
        <v>6335</v>
      </c>
      <c r="B145" t="s">
        <v>1616</v>
      </c>
      <c r="C145" t="s">
        <v>6186</v>
      </c>
      <c r="D145" s="1">
        <v>45253</v>
      </c>
      <c r="E145" s="2">
        <v>59.69</v>
      </c>
    </row>
    <row r="146" spans="1:5" x14ac:dyDescent="0.35">
      <c r="A146" t="s">
        <v>6336</v>
      </c>
      <c r="B146" t="s">
        <v>1629</v>
      </c>
      <c r="C146" t="s">
        <v>6199</v>
      </c>
      <c r="D146" s="1">
        <v>44972</v>
      </c>
      <c r="E146" s="2">
        <v>4173.05</v>
      </c>
    </row>
    <row r="147" spans="1:5" x14ac:dyDescent="0.35">
      <c r="A147" t="s">
        <v>6337</v>
      </c>
      <c r="B147" t="s">
        <v>1635</v>
      </c>
      <c r="C147" t="s">
        <v>6202</v>
      </c>
      <c r="D147" s="1">
        <v>45399</v>
      </c>
      <c r="E147" s="2">
        <v>402.11</v>
      </c>
    </row>
    <row r="148" spans="1:5" x14ac:dyDescent="0.35">
      <c r="A148" t="s">
        <v>6338</v>
      </c>
      <c r="B148" t="s">
        <v>1657</v>
      </c>
      <c r="C148" t="s">
        <v>6186</v>
      </c>
      <c r="D148" s="1">
        <v>45577</v>
      </c>
      <c r="E148" s="2">
        <v>383.61</v>
      </c>
    </row>
    <row r="149" spans="1:5" x14ac:dyDescent="0.35">
      <c r="A149" t="s">
        <v>6339</v>
      </c>
      <c r="B149" t="s">
        <v>1658</v>
      </c>
      <c r="C149" t="s">
        <v>6186</v>
      </c>
      <c r="D149" s="1">
        <v>45014</v>
      </c>
      <c r="E149" s="2">
        <v>659.25</v>
      </c>
    </row>
    <row r="150" spans="1:5" x14ac:dyDescent="0.35">
      <c r="A150" t="s">
        <v>6340</v>
      </c>
      <c r="B150" t="s">
        <v>1666</v>
      </c>
      <c r="C150" t="s">
        <v>6186</v>
      </c>
      <c r="D150" s="1">
        <v>45679</v>
      </c>
      <c r="E150" s="2">
        <v>524.72</v>
      </c>
    </row>
    <row r="151" spans="1:5" x14ac:dyDescent="0.35">
      <c r="A151" t="s">
        <v>6341</v>
      </c>
      <c r="B151" t="s">
        <v>1681</v>
      </c>
      <c r="C151" t="s">
        <v>6202</v>
      </c>
      <c r="D151" s="1">
        <v>45615</v>
      </c>
      <c r="E151" s="2">
        <v>355.84</v>
      </c>
    </row>
    <row r="152" spans="1:5" x14ac:dyDescent="0.35">
      <c r="A152" t="s">
        <v>6342</v>
      </c>
      <c r="B152" t="s">
        <v>1685</v>
      </c>
      <c r="C152" t="s">
        <v>6191</v>
      </c>
      <c r="D152" s="1">
        <v>45084</v>
      </c>
      <c r="E152" s="2">
        <v>3425.49</v>
      </c>
    </row>
    <row r="153" spans="1:5" x14ac:dyDescent="0.35">
      <c r="A153" t="s">
        <v>6343</v>
      </c>
      <c r="B153" t="s">
        <v>1686</v>
      </c>
      <c r="C153" t="s">
        <v>6188</v>
      </c>
      <c r="D153" s="1">
        <v>45032</v>
      </c>
      <c r="E153" s="2">
        <v>241.96</v>
      </c>
    </row>
    <row r="154" spans="1:5" x14ac:dyDescent="0.35">
      <c r="A154" t="s">
        <v>6344</v>
      </c>
      <c r="B154" t="s">
        <v>1693</v>
      </c>
      <c r="C154" t="s">
        <v>6196</v>
      </c>
      <c r="D154" s="1">
        <v>45333</v>
      </c>
      <c r="E154" s="2">
        <v>1078.83</v>
      </c>
    </row>
    <row r="155" spans="1:5" x14ac:dyDescent="0.35">
      <c r="A155" t="s">
        <v>6345</v>
      </c>
      <c r="B155" t="s">
        <v>1705</v>
      </c>
      <c r="C155" t="s">
        <v>6191</v>
      </c>
      <c r="D155" s="1">
        <v>45472</v>
      </c>
      <c r="E155" s="2">
        <v>320.52</v>
      </c>
    </row>
    <row r="156" spans="1:5" x14ac:dyDescent="0.35">
      <c r="A156" t="s">
        <v>6346</v>
      </c>
      <c r="B156" t="s">
        <v>1716</v>
      </c>
      <c r="C156" t="s">
        <v>6191</v>
      </c>
      <c r="D156" s="1">
        <v>45459</v>
      </c>
      <c r="E156" s="2">
        <v>121.35</v>
      </c>
    </row>
    <row r="157" spans="1:5" x14ac:dyDescent="0.35">
      <c r="A157" t="s">
        <v>6347</v>
      </c>
      <c r="B157" t="s">
        <v>1719</v>
      </c>
      <c r="C157" t="s">
        <v>6199</v>
      </c>
      <c r="D157" s="1">
        <v>45485</v>
      </c>
      <c r="E157" s="2">
        <v>478.54</v>
      </c>
    </row>
    <row r="158" spans="1:5" x14ac:dyDescent="0.35">
      <c r="A158" t="s">
        <v>6348</v>
      </c>
      <c r="B158" t="s">
        <v>1725</v>
      </c>
      <c r="C158" t="s">
        <v>6196</v>
      </c>
      <c r="D158" s="1">
        <v>45174</v>
      </c>
      <c r="E158" s="2">
        <v>323.93</v>
      </c>
    </row>
    <row r="159" spans="1:5" x14ac:dyDescent="0.35">
      <c r="A159" t="s">
        <v>6349</v>
      </c>
      <c r="B159" t="s">
        <v>1734</v>
      </c>
      <c r="C159" t="s">
        <v>6186</v>
      </c>
      <c r="D159" s="1">
        <v>45264</v>
      </c>
      <c r="E159" s="2">
        <v>144.49</v>
      </c>
    </row>
    <row r="160" spans="1:5" x14ac:dyDescent="0.35">
      <c r="A160" t="s">
        <v>6350</v>
      </c>
      <c r="B160" t="s">
        <v>1735</v>
      </c>
      <c r="C160" t="s">
        <v>6186</v>
      </c>
      <c r="D160" s="1">
        <v>45097</v>
      </c>
      <c r="E160" s="2">
        <v>44.76</v>
      </c>
    </row>
    <row r="161" spans="1:5" x14ac:dyDescent="0.35">
      <c r="A161" t="s">
        <v>6351</v>
      </c>
      <c r="B161" t="s">
        <v>1743</v>
      </c>
      <c r="C161" t="s">
        <v>6202</v>
      </c>
      <c r="D161" s="1">
        <v>45221</v>
      </c>
      <c r="E161" s="2">
        <v>1168.01</v>
      </c>
    </row>
    <row r="162" spans="1:5" x14ac:dyDescent="0.35">
      <c r="A162" t="s">
        <v>6352</v>
      </c>
      <c r="B162" t="s">
        <v>1745</v>
      </c>
      <c r="C162" t="s">
        <v>6199</v>
      </c>
      <c r="D162" s="1">
        <v>44960</v>
      </c>
      <c r="E162" s="2">
        <v>545.46</v>
      </c>
    </row>
    <row r="163" spans="1:5" x14ac:dyDescent="0.35">
      <c r="A163" t="s">
        <v>6353</v>
      </c>
      <c r="B163" t="s">
        <v>1753</v>
      </c>
      <c r="C163" t="s">
        <v>6186</v>
      </c>
      <c r="D163" s="1">
        <v>45473</v>
      </c>
      <c r="E163" s="2">
        <v>550.11</v>
      </c>
    </row>
    <row r="164" spans="1:5" x14ac:dyDescent="0.35">
      <c r="A164" t="s">
        <v>6354</v>
      </c>
      <c r="B164" t="s">
        <v>1766</v>
      </c>
      <c r="C164" t="s">
        <v>6199</v>
      </c>
      <c r="D164" s="1">
        <v>45529</v>
      </c>
      <c r="E164" s="2">
        <v>1319.34</v>
      </c>
    </row>
    <row r="165" spans="1:5" x14ac:dyDescent="0.35">
      <c r="A165" t="s">
        <v>6355</v>
      </c>
      <c r="B165" t="s">
        <v>1767</v>
      </c>
      <c r="C165" t="s">
        <v>6188</v>
      </c>
      <c r="D165" s="1">
        <v>45518</v>
      </c>
      <c r="E165" s="2">
        <v>145.19</v>
      </c>
    </row>
    <row r="166" spans="1:5" x14ac:dyDescent="0.35">
      <c r="A166" t="s">
        <v>6356</v>
      </c>
      <c r="B166" t="s">
        <v>1771</v>
      </c>
      <c r="C166" t="s">
        <v>6202</v>
      </c>
      <c r="D166" s="1">
        <v>45329</v>
      </c>
      <c r="E166" s="2">
        <v>918.86</v>
      </c>
    </row>
    <row r="167" spans="1:5" x14ac:dyDescent="0.35">
      <c r="A167" t="s">
        <v>6357</v>
      </c>
      <c r="B167" t="s">
        <v>1772</v>
      </c>
      <c r="C167" t="s">
        <v>6191</v>
      </c>
      <c r="D167" s="1">
        <v>45092</v>
      </c>
      <c r="E167" s="2">
        <v>816.22</v>
      </c>
    </row>
    <row r="168" spans="1:5" x14ac:dyDescent="0.35">
      <c r="A168" t="s">
        <v>6358</v>
      </c>
      <c r="B168" t="s">
        <v>1774</v>
      </c>
      <c r="C168" t="s">
        <v>6199</v>
      </c>
      <c r="D168" s="1">
        <v>45323</v>
      </c>
      <c r="E168" s="2">
        <v>995.44</v>
      </c>
    </row>
    <row r="169" spans="1:5" x14ac:dyDescent="0.35">
      <c r="A169" t="s">
        <v>6359</v>
      </c>
      <c r="B169" t="s">
        <v>1777</v>
      </c>
      <c r="C169" t="s">
        <v>6202</v>
      </c>
      <c r="D169" s="1">
        <v>44962</v>
      </c>
      <c r="E169" s="2">
        <v>254.92</v>
      </c>
    </row>
    <row r="170" spans="1:5" x14ac:dyDescent="0.35">
      <c r="A170" t="s">
        <v>6360</v>
      </c>
      <c r="B170" t="s">
        <v>1779</v>
      </c>
      <c r="C170" t="s">
        <v>6244</v>
      </c>
      <c r="D170" s="1">
        <v>45481</v>
      </c>
      <c r="E170" s="2">
        <v>4654.1099999999997</v>
      </c>
    </row>
    <row r="171" spans="1:5" x14ac:dyDescent="0.35">
      <c r="A171" t="s">
        <v>6361</v>
      </c>
      <c r="B171" t="s">
        <v>1781</v>
      </c>
      <c r="C171" t="s">
        <v>6188</v>
      </c>
      <c r="D171" s="1">
        <v>45111</v>
      </c>
      <c r="E171" s="2">
        <v>175.04</v>
      </c>
    </row>
    <row r="172" spans="1:5" x14ac:dyDescent="0.35">
      <c r="A172" t="s">
        <v>6362</v>
      </c>
      <c r="B172" t="s">
        <v>1783</v>
      </c>
      <c r="C172" t="s">
        <v>6244</v>
      </c>
      <c r="D172" s="1">
        <v>45324</v>
      </c>
      <c r="E172" s="2">
        <v>547.71</v>
      </c>
    </row>
    <row r="173" spans="1:5" x14ac:dyDescent="0.35">
      <c r="A173" t="s">
        <v>6363</v>
      </c>
      <c r="B173" t="s">
        <v>1793</v>
      </c>
      <c r="C173" t="s">
        <v>6196</v>
      </c>
      <c r="D173" s="1">
        <v>45462</v>
      </c>
      <c r="E173" s="2">
        <v>93.25</v>
      </c>
    </row>
    <row r="174" spans="1:5" x14ac:dyDescent="0.35">
      <c r="A174" t="s">
        <v>6364</v>
      </c>
      <c r="B174" t="s">
        <v>1800</v>
      </c>
      <c r="C174" t="s">
        <v>6186</v>
      </c>
      <c r="D174" s="1">
        <v>45088</v>
      </c>
      <c r="E174" s="2">
        <v>84.49</v>
      </c>
    </row>
    <row r="175" spans="1:5" x14ac:dyDescent="0.35">
      <c r="A175" t="s">
        <v>6365</v>
      </c>
      <c r="B175" t="s">
        <v>1815</v>
      </c>
      <c r="C175" t="s">
        <v>6186</v>
      </c>
      <c r="D175" s="1">
        <v>45172</v>
      </c>
      <c r="E175" s="2">
        <v>161.27000000000001</v>
      </c>
    </row>
    <row r="176" spans="1:5" x14ac:dyDescent="0.35">
      <c r="A176" t="s">
        <v>6366</v>
      </c>
      <c r="B176" t="s">
        <v>1818</v>
      </c>
      <c r="C176" t="s">
        <v>6202</v>
      </c>
      <c r="D176" s="1">
        <v>45389</v>
      </c>
      <c r="E176" s="2">
        <v>849.57</v>
      </c>
    </row>
    <row r="177" spans="1:5" x14ac:dyDescent="0.35">
      <c r="A177" t="s">
        <v>6367</v>
      </c>
      <c r="B177" t="s">
        <v>1827</v>
      </c>
      <c r="C177" t="s">
        <v>6199</v>
      </c>
      <c r="D177" s="1">
        <v>45015</v>
      </c>
      <c r="E177" s="2">
        <v>25.04</v>
      </c>
    </row>
    <row r="178" spans="1:5" x14ac:dyDescent="0.35">
      <c r="A178" t="s">
        <v>6368</v>
      </c>
      <c r="B178" t="s">
        <v>1831</v>
      </c>
      <c r="C178" t="s">
        <v>6244</v>
      </c>
      <c r="D178" s="1">
        <v>45430</v>
      </c>
      <c r="E178" s="2">
        <v>47.99</v>
      </c>
    </row>
    <row r="179" spans="1:5" x14ac:dyDescent="0.35">
      <c r="A179" t="s">
        <v>6369</v>
      </c>
      <c r="B179" t="s">
        <v>1833</v>
      </c>
      <c r="C179" t="s">
        <v>6186</v>
      </c>
      <c r="D179" s="1">
        <v>45562</v>
      </c>
      <c r="E179" s="2">
        <v>1218.8800000000001</v>
      </c>
    </row>
    <row r="180" spans="1:5" x14ac:dyDescent="0.35">
      <c r="A180" t="s">
        <v>6370</v>
      </c>
      <c r="B180" t="s">
        <v>1834</v>
      </c>
      <c r="C180" t="s">
        <v>6199</v>
      </c>
      <c r="D180" s="1">
        <v>45176</v>
      </c>
      <c r="E180" s="2">
        <v>445.93</v>
      </c>
    </row>
    <row r="181" spans="1:5" x14ac:dyDescent="0.35">
      <c r="A181" t="s">
        <v>6371</v>
      </c>
      <c r="B181" t="s">
        <v>1842</v>
      </c>
      <c r="C181" t="s">
        <v>6196</v>
      </c>
      <c r="D181" s="1">
        <v>45536</v>
      </c>
      <c r="E181" s="2">
        <v>177.44</v>
      </c>
    </row>
    <row r="182" spans="1:5" x14ac:dyDescent="0.35">
      <c r="A182" t="s">
        <v>6372</v>
      </c>
      <c r="B182" t="s">
        <v>1845</v>
      </c>
      <c r="C182" t="s">
        <v>6202</v>
      </c>
      <c r="D182" s="1">
        <v>45582</v>
      </c>
      <c r="E182" s="2">
        <v>382.28</v>
      </c>
    </row>
    <row r="183" spans="1:5" x14ac:dyDescent="0.35">
      <c r="A183" t="s">
        <v>6373</v>
      </c>
      <c r="B183" t="s">
        <v>1851</v>
      </c>
      <c r="C183" t="s">
        <v>6196</v>
      </c>
      <c r="D183" s="1">
        <v>45471</v>
      </c>
      <c r="E183" s="2">
        <v>2295.2800000000002</v>
      </c>
    </row>
    <row r="184" spans="1:5" x14ac:dyDescent="0.35">
      <c r="A184" t="s">
        <v>6374</v>
      </c>
      <c r="B184" t="s">
        <v>1854</v>
      </c>
      <c r="C184" t="s">
        <v>6188</v>
      </c>
      <c r="D184" s="1">
        <v>45472</v>
      </c>
      <c r="E184" s="2">
        <v>3072.99</v>
      </c>
    </row>
    <row r="185" spans="1:5" x14ac:dyDescent="0.35">
      <c r="A185" t="s">
        <v>6375</v>
      </c>
      <c r="B185" t="s">
        <v>1858</v>
      </c>
      <c r="C185" t="s">
        <v>6199</v>
      </c>
      <c r="D185" s="1">
        <v>45153</v>
      </c>
      <c r="E185" s="2">
        <v>56.07</v>
      </c>
    </row>
    <row r="186" spans="1:5" x14ac:dyDescent="0.35">
      <c r="A186" t="s">
        <v>6376</v>
      </c>
      <c r="B186" t="s">
        <v>1859</v>
      </c>
      <c r="C186" t="s">
        <v>6186</v>
      </c>
      <c r="D186" s="1">
        <v>45300</v>
      </c>
      <c r="E186" s="2">
        <v>643.32000000000005</v>
      </c>
    </row>
    <row r="187" spans="1:5" x14ac:dyDescent="0.35">
      <c r="A187" t="s">
        <v>6377</v>
      </c>
      <c r="B187" t="s">
        <v>1860</v>
      </c>
      <c r="C187" t="s">
        <v>6196</v>
      </c>
      <c r="D187" s="1">
        <v>45396</v>
      </c>
      <c r="E187" s="2">
        <v>394.48</v>
      </c>
    </row>
    <row r="188" spans="1:5" x14ac:dyDescent="0.35">
      <c r="A188" t="s">
        <v>6378</v>
      </c>
      <c r="B188" t="s">
        <v>1861</v>
      </c>
      <c r="C188" t="s">
        <v>6244</v>
      </c>
      <c r="D188" s="1">
        <v>44971</v>
      </c>
      <c r="E188" s="2">
        <v>63.88</v>
      </c>
    </row>
    <row r="189" spans="1:5" x14ac:dyDescent="0.35">
      <c r="A189" t="s">
        <v>6379</v>
      </c>
      <c r="B189" t="s">
        <v>1875</v>
      </c>
      <c r="C189" t="s">
        <v>6188</v>
      </c>
      <c r="D189" s="1">
        <v>44988</v>
      </c>
      <c r="E189" s="2">
        <v>1199.72</v>
      </c>
    </row>
    <row r="190" spans="1:5" x14ac:dyDescent="0.35">
      <c r="A190" t="s">
        <v>6380</v>
      </c>
      <c r="B190" t="s">
        <v>1882</v>
      </c>
      <c r="C190" t="s">
        <v>6186</v>
      </c>
      <c r="D190" s="1">
        <v>45528</v>
      </c>
      <c r="E190" s="2">
        <v>3199.83</v>
      </c>
    </row>
    <row r="191" spans="1:5" x14ac:dyDescent="0.35">
      <c r="A191" t="s">
        <v>6381</v>
      </c>
      <c r="B191" t="s">
        <v>1885</v>
      </c>
      <c r="C191" t="s">
        <v>6202</v>
      </c>
      <c r="D191" s="1">
        <v>45430</v>
      </c>
      <c r="E191" s="2">
        <v>1029.17</v>
      </c>
    </row>
    <row r="192" spans="1:5" x14ac:dyDescent="0.35">
      <c r="A192" t="s">
        <v>6382</v>
      </c>
      <c r="B192" t="s">
        <v>1898</v>
      </c>
      <c r="C192" t="s">
        <v>6188</v>
      </c>
      <c r="D192" s="1">
        <v>45073</v>
      </c>
      <c r="E192" s="2">
        <v>97.13</v>
      </c>
    </row>
    <row r="193" spans="1:5" x14ac:dyDescent="0.35">
      <c r="A193" t="s">
        <v>6383</v>
      </c>
      <c r="B193" t="s">
        <v>1905</v>
      </c>
      <c r="C193" t="s">
        <v>6202</v>
      </c>
      <c r="D193" s="1">
        <v>45542</v>
      </c>
      <c r="E193" s="2">
        <v>3020.64</v>
      </c>
    </row>
    <row r="194" spans="1:5" x14ac:dyDescent="0.35">
      <c r="A194" t="s">
        <v>6384</v>
      </c>
      <c r="B194" t="s">
        <v>1914</v>
      </c>
      <c r="C194" t="s">
        <v>6191</v>
      </c>
      <c r="D194" s="1">
        <v>45037</v>
      </c>
      <c r="E194" s="2">
        <v>70.739999999999995</v>
      </c>
    </row>
    <row r="195" spans="1:5" x14ac:dyDescent="0.35">
      <c r="A195" t="s">
        <v>6385</v>
      </c>
      <c r="B195" t="s">
        <v>1920</v>
      </c>
      <c r="C195" t="s">
        <v>6188</v>
      </c>
      <c r="D195" s="1">
        <v>45112</v>
      </c>
      <c r="E195" s="2">
        <v>40.36</v>
      </c>
    </row>
    <row r="196" spans="1:5" x14ac:dyDescent="0.35">
      <c r="A196" t="s">
        <v>6386</v>
      </c>
      <c r="B196" t="s">
        <v>1922</v>
      </c>
      <c r="C196" t="s">
        <v>6191</v>
      </c>
      <c r="D196" s="1">
        <v>45266</v>
      </c>
      <c r="E196" s="2">
        <v>68.489999999999995</v>
      </c>
    </row>
    <row r="197" spans="1:5" x14ac:dyDescent="0.35">
      <c r="A197" t="s">
        <v>6387</v>
      </c>
      <c r="B197" t="s">
        <v>1924</v>
      </c>
      <c r="C197" t="s">
        <v>6188</v>
      </c>
      <c r="D197" s="1">
        <v>44984</v>
      </c>
      <c r="E197" s="2">
        <v>1829.03</v>
      </c>
    </row>
    <row r="198" spans="1:5" x14ac:dyDescent="0.35">
      <c r="A198" t="s">
        <v>6388</v>
      </c>
      <c r="B198" t="s">
        <v>1933</v>
      </c>
      <c r="C198" t="s">
        <v>6188</v>
      </c>
      <c r="D198" s="1">
        <v>45491</v>
      </c>
      <c r="E198" s="2">
        <v>78.849999999999994</v>
      </c>
    </row>
    <row r="199" spans="1:5" x14ac:dyDescent="0.35">
      <c r="A199" t="s">
        <v>6389</v>
      </c>
      <c r="B199" t="s">
        <v>1934</v>
      </c>
      <c r="C199" t="s">
        <v>6199</v>
      </c>
      <c r="D199" s="1">
        <v>45637</v>
      </c>
      <c r="E199" s="2">
        <v>47.64</v>
      </c>
    </row>
    <row r="200" spans="1:5" x14ac:dyDescent="0.35">
      <c r="A200" t="s">
        <v>6390</v>
      </c>
      <c r="B200" t="s">
        <v>1943</v>
      </c>
      <c r="C200" t="s">
        <v>6191</v>
      </c>
      <c r="D200" s="1">
        <v>44959</v>
      </c>
      <c r="E200" s="2">
        <v>2148.88</v>
      </c>
    </row>
    <row r="201" spans="1:5" x14ac:dyDescent="0.35">
      <c r="A201" t="s">
        <v>6391</v>
      </c>
      <c r="B201" t="s">
        <v>1956</v>
      </c>
      <c r="C201" t="s">
        <v>6244</v>
      </c>
      <c r="D201" s="1">
        <v>45182</v>
      </c>
      <c r="E201" s="2">
        <v>1173.28</v>
      </c>
    </row>
    <row r="202" spans="1:5" x14ac:dyDescent="0.35">
      <c r="A202" t="s">
        <v>6392</v>
      </c>
      <c r="B202" t="s">
        <v>1958</v>
      </c>
      <c r="C202" t="s">
        <v>6188</v>
      </c>
      <c r="D202" s="1">
        <v>45076</v>
      </c>
      <c r="E202" s="2">
        <v>288.94</v>
      </c>
    </row>
    <row r="203" spans="1:5" x14ac:dyDescent="0.35">
      <c r="A203" t="s">
        <v>6393</v>
      </c>
      <c r="B203" t="s">
        <v>1993</v>
      </c>
      <c r="C203" t="s">
        <v>6202</v>
      </c>
      <c r="D203" s="1">
        <v>45598</v>
      </c>
      <c r="E203" s="2">
        <v>443.49</v>
      </c>
    </row>
    <row r="204" spans="1:5" x14ac:dyDescent="0.35">
      <c r="A204" t="s">
        <v>6394</v>
      </c>
      <c r="B204" t="s">
        <v>1996</v>
      </c>
      <c r="C204" t="s">
        <v>6188</v>
      </c>
      <c r="D204" s="1">
        <v>45222</v>
      </c>
      <c r="E204" s="2">
        <v>3345.28</v>
      </c>
    </row>
    <row r="205" spans="1:5" x14ac:dyDescent="0.35">
      <c r="A205" t="s">
        <v>6395</v>
      </c>
      <c r="B205" t="s">
        <v>2002</v>
      </c>
      <c r="C205" t="s">
        <v>6199</v>
      </c>
      <c r="D205" s="1">
        <v>45064</v>
      </c>
      <c r="E205" s="2">
        <v>2604.11</v>
      </c>
    </row>
    <row r="206" spans="1:5" x14ac:dyDescent="0.35">
      <c r="A206" t="s">
        <v>6396</v>
      </c>
      <c r="B206" t="s">
        <v>2003</v>
      </c>
      <c r="C206" t="s">
        <v>6188</v>
      </c>
      <c r="D206" s="1">
        <v>45604</v>
      </c>
      <c r="E206" s="2">
        <v>70.33</v>
      </c>
    </row>
    <row r="207" spans="1:5" x14ac:dyDescent="0.35">
      <c r="A207" t="s">
        <v>6397</v>
      </c>
      <c r="B207" t="s">
        <v>2013</v>
      </c>
      <c r="C207" t="s">
        <v>6186</v>
      </c>
      <c r="D207" s="1">
        <v>45306</v>
      </c>
      <c r="E207" s="2">
        <v>399.8</v>
      </c>
    </row>
    <row r="208" spans="1:5" x14ac:dyDescent="0.35">
      <c r="A208" t="s">
        <v>6398</v>
      </c>
      <c r="B208" t="s">
        <v>2015</v>
      </c>
      <c r="C208" t="s">
        <v>6188</v>
      </c>
      <c r="D208" s="1">
        <v>45667</v>
      </c>
      <c r="E208" s="2">
        <v>242.75</v>
      </c>
    </row>
    <row r="209" spans="1:5" x14ac:dyDescent="0.35">
      <c r="A209" t="s">
        <v>6399</v>
      </c>
      <c r="B209" t="s">
        <v>2017</v>
      </c>
      <c r="C209" t="s">
        <v>6191</v>
      </c>
      <c r="D209" s="1">
        <v>45220</v>
      </c>
      <c r="E209" s="2">
        <v>102.4</v>
      </c>
    </row>
    <row r="210" spans="1:5" x14ac:dyDescent="0.35">
      <c r="A210" t="s">
        <v>6400</v>
      </c>
      <c r="B210" t="s">
        <v>2028</v>
      </c>
      <c r="C210" t="s">
        <v>6186</v>
      </c>
      <c r="D210" s="1">
        <v>45586</v>
      </c>
      <c r="E210" s="2">
        <v>34.82</v>
      </c>
    </row>
    <row r="211" spans="1:5" x14ac:dyDescent="0.35">
      <c r="A211" t="s">
        <v>6401</v>
      </c>
      <c r="B211" t="s">
        <v>2030</v>
      </c>
      <c r="C211" t="s">
        <v>6196</v>
      </c>
      <c r="D211" s="1">
        <v>45250</v>
      </c>
      <c r="E211" s="2">
        <v>704.7</v>
      </c>
    </row>
    <row r="212" spans="1:5" x14ac:dyDescent="0.35">
      <c r="A212" t="s">
        <v>6402</v>
      </c>
      <c r="B212" t="s">
        <v>2032</v>
      </c>
      <c r="C212" t="s">
        <v>6186</v>
      </c>
      <c r="D212" s="1">
        <v>44992</v>
      </c>
      <c r="E212" s="2">
        <v>1438.78</v>
      </c>
    </row>
    <row r="213" spans="1:5" x14ac:dyDescent="0.35">
      <c r="A213" t="s">
        <v>6403</v>
      </c>
      <c r="B213" t="s">
        <v>2039</v>
      </c>
      <c r="C213" t="s">
        <v>6186</v>
      </c>
      <c r="D213" s="1">
        <v>45651</v>
      </c>
      <c r="E213" s="2">
        <v>308.35000000000002</v>
      </c>
    </row>
    <row r="214" spans="1:5" x14ac:dyDescent="0.35">
      <c r="A214" t="s">
        <v>6404</v>
      </c>
      <c r="B214" t="s">
        <v>2045</v>
      </c>
      <c r="C214" t="s">
        <v>6199</v>
      </c>
      <c r="D214" s="1">
        <v>45219</v>
      </c>
      <c r="E214" s="2">
        <v>283.61</v>
      </c>
    </row>
    <row r="215" spans="1:5" x14ac:dyDescent="0.35">
      <c r="A215" t="s">
        <v>6405</v>
      </c>
      <c r="B215" t="s">
        <v>2046</v>
      </c>
      <c r="C215" t="s">
        <v>6186</v>
      </c>
      <c r="D215" s="1">
        <v>45352</v>
      </c>
      <c r="E215" s="2">
        <v>36.31</v>
      </c>
    </row>
    <row r="216" spans="1:5" x14ac:dyDescent="0.35">
      <c r="A216" t="s">
        <v>6406</v>
      </c>
      <c r="B216" t="s">
        <v>2047</v>
      </c>
      <c r="C216" t="s">
        <v>6186</v>
      </c>
      <c r="D216" s="1">
        <v>45070</v>
      </c>
      <c r="E216" s="2">
        <v>2393.92</v>
      </c>
    </row>
    <row r="217" spans="1:5" x14ac:dyDescent="0.35">
      <c r="A217" t="s">
        <v>6407</v>
      </c>
      <c r="B217" t="s">
        <v>2048</v>
      </c>
      <c r="C217" t="s">
        <v>6199</v>
      </c>
      <c r="D217" s="1">
        <v>45649</v>
      </c>
      <c r="E217" s="2">
        <v>610.39</v>
      </c>
    </row>
    <row r="218" spans="1:5" x14ac:dyDescent="0.35">
      <c r="A218" t="s">
        <v>6408</v>
      </c>
      <c r="B218" t="s">
        <v>2052</v>
      </c>
      <c r="C218" t="s">
        <v>6191</v>
      </c>
      <c r="D218" s="1">
        <v>45111</v>
      </c>
      <c r="E218" s="2">
        <v>201.22</v>
      </c>
    </row>
    <row r="219" spans="1:5" x14ac:dyDescent="0.35">
      <c r="A219" t="s">
        <v>6409</v>
      </c>
      <c r="B219" t="s">
        <v>2074</v>
      </c>
      <c r="C219" t="s">
        <v>6199</v>
      </c>
      <c r="D219" s="1">
        <v>45643</v>
      </c>
      <c r="E219" s="2">
        <v>861.95</v>
      </c>
    </row>
    <row r="220" spans="1:5" x14ac:dyDescent="0.35">
      <c r="A220" t="s">
        <v>6410</v>
      </c>
      <c r="B220" t="s">
        <v>2078</v>
      </c>
      <c r="C220" t="s">
        <v>6202</v>
      </c>
      <c r="D220" s="1">
        <v>44992</v>
      </c>
      <c r="E220" s="2">
        <v>2265.86</v>
      </c>
    </row>
    <row r="221" spans="1:5" x14ac:dyDescent="0.35">
      <c r="A221" t="s">
        <v>6411</v>
      </c>
      <c r="B221" t="s">
        <v>2087</v>
      </c>
      <c r="C221" t="s">
        <v>6202</v>
      </c>
      <c r="D221" s="1">
        <v>45134</v>
      </c>
      <c r="E221" s="2">
        <v>30.82</v>
      </c>
    </row>
    <row r="222" spans="1:5" x14ac:dyDescent="0.35">
      <c r="A222" t="s">
        <v>6412</v>
      </c>
      <c r="B222" t="s">
        <v>2094</v>
      </c>
      <c r="C222" t="s">
        <v>6186</v>
      </c>
      <c r="D222" s="1">
        <v>45635</v>
      </c>
      <c r="E222" s="2">
        <v>43.9</v>
      </c>
    </row>
    <row r="223" spans="1:5" x14ac:dyDescent="0.35">
      <c r="A223" t="s">
        <v>6413</v>
      </c>
      <c r="B223" t="s">
        <v>2095</v>
      </c>
      <c r="C223" t="s">
        <v>6196</v>
      </c>
      <c r="D223" s="1">
        <v>45445</v>
      </c>
      <c r="E223" s="2">
        <v>350.31</v>
      </c>
    </row>
    <row r="224" spans="1:5" x14ac:dyDescent="0.35">
      <c r="A224" t="s">
        <v>6414</v>
      </c>
      <c r="B224" t="s">
        <v>2097</v>
      </c>
      <c r="C224" t="s">
        <v>6186</v>
      </c>
      <c r="D224" s="1">
        <v>45526</v>
      </c>
      <c r="E224" s="2">
        <v>52.64</v>
      </c>
    </row>
    <row r="225" spans="1:5" x14ac:dyDescent="0.35">
      <c r="A225" t="s">
        <v>6415</v>
      </c>
      <c r="B225" t="s">
        <v>2106</v>
      </c>
      <c r="C225" t="s">
        <v>6188</v>
      </c>
      <c r="D225" s="1">
        <v>45173</v>
      </c>
      <c r="E225" s="2">
        <v>46.7</v>
      </c>
    </row>
    <row r="226" spans="1:5" x14ac:dyDescent="0.35">
      <c r="A226" t="s">
        <v>6416</v>
      </c>
      <c r="B226" t="s">
        <v>2112</v>
      </c>
      <c r="C226" t="s">
        <v>6186</v>
      </c>
      <c r="D226" s="1">
        <v>45454</v>
      </c>
      <c r="E226" s="2">
        <v>1242.5</v>
      </c>
    </row>
    <row r="227" spans="1:5" x14ac:dyDescent="0.35">
      <c r="A227" t="s">
        <v>6417</v>
      </c>
      <c r="B227" t="s">
        <v>2114</v>
      </c>
      <c r="C227" t="s">
        <v>6199</v>
      </c>
      <c r="D227" s="1">
        <v>45123</v>
      </c>
      <c r="E227" s="2">
        <v>293.33999999999997</v>
      </c>
    </row>
    <row r="228" spans="1:5" x14ac:dyDescent="0.35">
      <c r="A228" t="s">
        <v>6418</v>
      </c>
      <c r="B228" t="s">
        <v>2117</v>
      </c>
      <c r="C228" t="s">
        <v>6196</v>
      </c>
      <c r="D228" s="1">
        <v>45496</v>
      </c>
      <c r="E228" s="2">
        <v>1526.76</v>
      </c>
    </row>
    <row r="229" spans="1:5" x14ac:dyDescent="0.35">
      <c r="A229" t="s">
        <v>6419</v>
      </c>
      <c r="B229" t="s">
        <v>2118</v>
      </c>
      <c r="C229" t="s">
        <v>6196</v>
      </c>
      <c r="D229" s="1">
        <v>45654</v>
      </c>
      <c r="E229" s="2">
        <v>19.350000000000001</v>
      </c>
    </row>
    <row r="230" spans="1:5" x14ac:dyDescent="0.35">
      <c r="A230" t="s">
        <v>6420</v>
      </c>
      <c r="B230" t="s">
        <v>2119</v>
      </c>
      <c r="C230" t="s">
        <v>6202</v>
      </c>
      <c r="D230" s="1">
        <v>45492</v>
      </c>
      <c r="E230" s="2">
        <v>100.49</v>
      </c>
    </row>
    <row r="231" spans="1:5" x14ac:dyDescent="0.35">
      <c r="A231" t="s">
        <v>6421</v>
      </c>
      <c r="B231" t="s">
        <v>2121</v>
      </c>
      <c r="C231" t="s">
        <v>6199</v>
      </c>
      <c r="D231" s="1">
        <v>45352</v>
      </c>
      <c r="E231" s="2">
        <v>4050.11</v>
      </c>
    </row>
    <row r="232" spans="1:5" x14ac:dyDescent="0.35">
      <c r="A232" t="s">
        <v>6422</v>
      </c>
      <c r="B232" t="s">
        <v>2122</v>
      </c>
      <c r="C232" t="s">
        <v>6196</v>
      </c>
      <c r="D232" s="1">
        <v>45159</v>
      </c>
      <c r="E232" s="2">
        <v>1195.69</v>
      </c>
    </row>
    <row r="233" spans="1:5" x14ac:dyDescent="0.35">
      <c r="A233" t="s">
        <v>6423</v>
      </c>
      <c r="B233" t="s">
        <v>2123</v>
      </c>
      <c r="C233" t="s">
        <v>6202</v>
      </c>
      <c r="D233" s="1">
        <v>45121</v>
      </c>
      <c r="E233" s="2">
        <v>386.92</v>
      </c>
    </row>
    <row r="234" spans="1:5" x14ac:dyDescent="0.35">
      <c r="A234" t="s">
        <v>6424</v>
      </c>
      <c r="B234" t="s">
        <v>2126</v>
      </c>
      <c r="C234" t="s">
        <v>6202</v>
      </c>
      <c r="D234" s="1">
        <v>45315</v>
      </c>
      <c r="E234" s="2">
        <v>534.08000000000004</v>
      </c>
    </row>
    <row r="235" spans="1:5" x14ac:dyDescent="0.35">
      <c r="A235" t="s">
        <v>6425</v>
      </c>
      <c r="B235" t="s">
        <v>2133</v>
      </c>
      <c r="C235" t="s">
        <v>6199</v>
      </c>
      <c r="D235" s="1">
        <v>45255</v>
      </c>
      <c r="E235" s="2">
        <v>3534.85</v>
      </c>
    </row>
    <row r="236" spans="1:5" x14ac:dyDescent="0.35">
      <c r="A236" t="s">
        <v>6426</v>
      </c>
      <c r="B236" t="s">
        <v>2141</v>
      </c>
      <c r="C236" t="s">
        <v>6186</v>
      </c>
      <c r="D236" s="1">
        <v>45211</v>
      </c>
      <c r="E236" s="2">
        <v>221.46</v>
      </c>
    </row>
    <row r="237" spans="1:5" x14ac:dyDescent="0.35">
      <c r="A237" t="s">
        <v>6427</v>
      </c>
      <c r="B237" t="s">
        <v>2152</v>
      </c>
      <c r="C237" t="s">
        <v>6191</v>
      </c>
      <c r="D237" s="1">
        <v>45581</v>
      </c>
      <c r="E237" s="2">
        <v>241.29</v>
      </c>
    </row>
    <row r="238" spans="1:5" x14ac:dyDescent="0.35">
      <c r="A238" t="s">
        <v>6428</v>
      </c>
      <c r="B238" t="s">
        <v>2159</v>
      </c>
      <c r="C238" t="s">
        <v>6186</v>
      </c>
      <c r="D238" s="1">
        <v>45039</v>
      </c>
      <c r="E238" s="2">
        <v>78.44</v>
      </c>
    </row>
    <row r="239" spans="1:5" x14ac:dyDescent="0.35">
      <c r="A239" t="s">
        <v>6429</v>
      </c>
      <c r="B239" t="s">
        <v>2163</v>
      </c>
      <c r="C239" t="s">
        <v>6186</v>
      </c>
      <c r="D239" s="1">
        <v>45356</v>
      </c>
      <c r="E239" s="2">
        <v>40.01</v>
      </c>
    </row>
    <row r="240" spans="1:5" x14ac:dyDescent="0.35">
      <c r="A240" t="s">
        <v>6430</v>
      </c>
      <c r="B240" t="s">
        <v>2167</v>
      </c>
      <c r="C240" t="s">
        <v>6186</v>
      </c>
      <c r="D240" s="1">
        <v>45312</v>
      </c>
      <c r="E240" s="2">
        <v>41.76</v>
      </c>
    </row>
    <row r="241" spans="1:5" x14ac:dyDescent="0.35">
      <c r="A241" t="s">
        <v>6431</v>
      </c>
      <c r="B241" t="s">
        <v>2174</v>
      </c>
      <c r="C241" t="s">
        <v>6196</v>
      </c>
      <c r="D241" s="1">
        <v>45616</v>
      </c>
      <c r="E241" s="2">
        <v>82.18</v>
      </c>
    </row>
    <row r="242" spans="1:5" x14ac:dyDescent="0.35">
      <c r="A242" t="s">
        <v>6432</v>
      </c>
      <c r="B242" t="s">
        <v>2183</v>
      </c>
      <c r="C242" t="s">
        <v>6199</v>
      </c>
      <c r="D242" s="1">
        <v>45450</v>
      </c>
      <c r="E242" s="2">
        <v>522.41</v>
      </c>
    </row>
    <row r="243" spans="1:5" x14ac:dyDescent="0.35">
      <c r="A243" t="s">
        <v>6433</v>
      </c>
      <c r="B243" t="s">
        <v>2185</v>
      </c>
      <c r="C243" t="s">
        <v>6191</v>
      </c>
      <c r="D243" s="1">
        <v>45517</v>
      </c>
      <c r="E243" s="2">
        <v>3789.86</v>
      </c>
    </row>
    <row r="244" spans="1:5" x14ac:dyDescent="0.35">
      <c r="A244" t="s">
        <v>6434</v>
      </c>
      <c r="B244" t="s">
        <v>2194</v>
      </c>
      <c r="C244" t="s">
        <v>6196</v>
      </c>
      <c r="D244" s="1">
        <v>45041</v>
      </c>
      <c r="E244" s="2">
        <v>1069.49</v>
      </c>
    </row>
    <row r="245" spans="1:5" x14ac:dyDescent="0.35">
      <c r="A245" t="s">
        <v>6435</v>
      </c>
      <c r="B245" t="s">
        <v>2207</v>
      </c>
      <c r="C245" t="s">
        <v>6186</v>
      </c>
      <c r="D245" s="1">
        <v>45257</v>
      </c>
      <c r="E245" s="2">
        <v>391.21</v>
      </c>
    </row>
    <row r="246" spans="1:5" x14ac:dyDescent="0.35">
      <c r="A246" t="s">
        <v>6436</v>
      </c>
      <c r="B246" t="s">
        <v>2218</v>
      </c>
      <c r="C246" t="s">
        <v>6202</v>
      </c>
      <c r="D246" s="1">
        <v>45619</v>
      </c>
      <c r="E246" s="2">
        <v>2602.63</v>
      </c>
    </row>
    <row r="247" spans="1:5" x14ac:dyDescent="0.35">
      <c r="A247" t="s">
        <v>6437</v>
      </c>
      <c r="B247" t="s">
        <v>2251</v>
      </c>
      <c r="C247" t="s">
        <v>6196</v>
      </c>
      <c r="D247" s="1">
        <v>45353</v>
      </c>
      <c r="E247" s="2">
        <v>2569.13</v>
      </c>
    </row>
    <row r="248" spans="1:5" x14ac:dyDescent="0.35">
      <c r="A248" t="s">
        <v>6438</v>
      </c>
      <c r="B248" t="s">
        <v>2253</v>
      </c>
      <c r="C248" t="s">
        <v>6199</v>
      </c>
      <c r="D248" s="1">
        <v>45465</v>
      </c>
      <c r="E248" s="2">
        <v>2592.58</v>
      </c>
    </row>
    <row r="249" spans="1:5" x14ac:dyDescent="0.35">
      <c r="A249" t="s">
        <v>6439</v>
      </c>
      <c r="B249" t="s">
        <v>2259</v>
      </c>
      <c r="C249" t="s">
        <v>6196</v>
      </c>
      <c r="D249" s="1">
        <v>45257</v>
      </c>
      <c r="E249" s="2">
        <v>549.52</v>
      </c>
    </row>
    <row r="250" spans="1:5" x14ac:dyDescent="0.35">
      <c r="A250" t="s">
        <v>6440</v>
      </c>
      <c r="B250" t="s">
        <v>2274</v>
      </c>
      <c r="C250" t="s">
        <v>6188</v>
      </c>
      <c r="D250" s="1">
        <v>45543</v>
      </c>
      <c r="E250" s="2">
        <v>66.91</v>
      </c>
    </row>
    <row r="251" spans="1:5" x14ac:dyDescent="0.35">
      <c r="A251" t="s">
        <v>6441</v>
      </c>
      <c r="B251" t="s">
        <v>2275</v>
      </c>
      <c r="C251" t="s">
        <v>6199</v>
      </c>
      <c r="D251" s="1">
        <v>45148</v>
      </c>
      <c r="E251" s="2">
        <v>30.26</v>
      </c>
    </row>
    <row r="252" spans="1:5" x14ac:dyDescent="0.35">
      <c r="A252" t="s">
        <v>6442</v>
      </c>
      <c r="B252" t="s">
        <v>2287</v>
      </c>
      <c r="C252" t="s">
        <v>6188</v>
      </c>
      <c r="D252" s="1">
        <v>45349</v>
      </c>
      <c r="E252" s="2">
        <v>98.62</v>
      </c>
    </row>
    <row r="253" spans="1:5" x14ac:dyDescent="0.35">
      <c r="A253" t="s">
        <v>6443</v>
      </c>
      <c r="B253" t="s">
        <v>2293</v>
      </c>
      <c r="C253" t="s">
        <v>6191</v>
      </c>
      <c r="D253" s="1">
        <v>45271</v>
      </c>
      <c r="E253" s="2">
        <v>432.91</v>
      </c>
    </row>
    <row r="254" spans="1:5" x14ac:dyDescent="0.35">
      <c r="A254" t="s">
        <v>6444</v>
      </c>
      <c r="B254" t="s">
        <v>2298</v>
      </c>
      <c r="C254" t="s">
        <v>6196</v>
      </c>
      <c r="D254" s="1">
        <v>45273</v>
      </c>
      <c r="E254" s="2">
        <v>342.88</v>
      </c>
    </row>
    <row r="255" spans="1:5" x14ac:dyDescent="0.35">
      <c r="A255" t="s">
        <v>6445</v>
      </c>
      <c r="B255" t="s">
        <v>2299</v>
      </c>
      <c r="C255" t="s">
        <v>6244</v>
      </c>
      <c r="D255" s="1">
        <v>45642</v>
      </c>
      <c r="E255" s="2">
        <v>448.53</v>
      </c>
    </row>
    <row r="256" spans="1:5" x14ac:dyDescent="0.35">
      <c r="A256" t="s">
        <v>6446</v>
      </c>
      <c r="B256" t="s">
        <v>2306</v>
      </c>
      <c r="C256" t="s">
        <v>6202</v>
      </c>
      <c r="D256" s="1">
        <v>45153</v>
      </c>
      <c r="E256" s="2">
        <v>1226.8800000000001</v>
      </c>
    </row>
    <row r="257" spans="1:5" x14ac:dyDescent="0.35">
      <c r="A257" t="s">
        <v>6447</v>
      </c>
      <c r="B257" t="s">
        <v>2316</v>
      </c>
      <c r="C257" t="s">
        <v>6199</v>
      </c>
      <c r="D257" s="1">
        <v>44965</v>
      </c>
      <c r="E257" s="2">
        <v>934.09</v>
      </c>
    </row>
    <row r="258" spans="1:5" x14ac:dyDescent="0.35">
      <c r="A258" t="s">
        <v>6448</v>
      </c>
      <c r="B258" t="s">
        <v>2318</v>
      </c>
      <c r="C258" t="s">
        <v>6199</v>
      </c>
      <c r="D258" s="1">
        <v>45383</v>
      </c>
      <c r="E258" s="2">
        <v>153.03</v>
      </c>
    </row>
    <row r="259" spans="1:5" x14ac:dyDescent="0.35">
      <c r="A259" t="s">
        <v>6449</v>
      </c>
      <c r="B259" t="s">
        <v>2319</v>
      </c>
      <c r="C259" t="s">
        <v>6199</v>
      </c>
      <c r="D259" s="1">
        <v>45229</v>
      </c>
      <c r="E259" s="2">
        <v>261.68</v>
      </c>
    </row>
    <row r="260" spans="1:5" x14ac:dyDescent="0.35">
      <c r="A260" t="s">
        <v>6450</v>
      </c>
      <c r="B260" t="s">
        <v>2331</v>
      </c>
      <c r="C260" t="s">
        <v>6196</v>
      </c>
      <c r="D260" s="1">
        <v>45308</v>
      </c>
      <c r="E260" s="2">
        <v>278.14999999999998</v>
      </c>
    </row>
    <row r="261" spans="1:5" x14ac:dyDescent="0.35">
      <c r="A261" t="s">
        <v>6451</v>
      </c>
      <c r="B261" t="s">
        <v>2336</v>
      </c>
      <c r="C261" t="s">
        <v>6199</v>
      </c>
      <c r="D261" s="1">
        <v>45228</v>
      </c>
      <c r="E261" s="2">
        <v>74.39</v>
      </c>
    </row>
    <row r="262" spans="1:5" x14ac:dyDescent="0.35">
      <c r="A262" t="s">
        <v>6452</v>
      </c>
      <c r="B262" t="s">
        <v>2345</v>
      </c>
      <c r="C262" t="s">
        <v>6199</v>
      </c>
      <c r="D262" s="1">
        <v>45453</v>
      </c>
      <c r="E262" s="2">
        <v>635.41</v>
      </c>
    </row>
    <row r="263" spans="1:5" x14ac:dyDescent="0.35">
      <c r="A263" t="s">
        <v>6453</v>
      </c>
      <c r="B263" t="s">
        <v>2350</v>
      </c>
      <c r="C263" t="s">
        <v>6196</v>
      </c>
      <c r="D263" s="1">
        <v>45535</v>
      </c>
      <c r="E263" s="2">
        <v>64.78</v>
      </c>
    </row>
    <row r="264" spans="1:5" x14ac:dyDescent="0.35">
      <c r="A264" t="s">
        <v>6454</v>
      </c>
      <c r="B264" t="s">
        <v>2359</v>
      </c>
      <c r="C264" t="s">
        <v>6186</v>
      </c>
      <c r="D264" s="1">
        <v>45363</v>
      </c>
      <c r="E264" s="2">
        <v>178.07</v>
      </c>
    </row>
    <row r="265" spans="1:5" x14ac:dyDescent="0.35">
      <c r="A265" t="s">
        <v>6455</v>
      </c>
      <c r="B265" t="s">
        <v>2361</v>
      </c>
      <c r="C265" t="s">
        <v>6199</v>
      </c>
      <c r="D265" s="1">
        <v>45241</v>
      </c>
      <c r="E265" s="2">
        <v>152.93</v>
      </c>
    </row>
    <row r="266" spans="1:5" x14ac:dyDescent="0.35">
      <c r="A266" t="s">
        <v>6456</v>
      </c>
      <c r="B266" t="s">
        <v>2363</v>
      </c>
      <c r="C266" t="s">
        <v>6199</v>
      </c>
      <c r="D266" s="1">
        <v>45254</v>
      </c>
      <c r="E266" s="2">
        <v>299.49</v>
      </c>
    </row>
    <row r="267" spans="1:5" x14ac:dyDescent="0.35">
      <c r="A267" t="s">
        <v>6457</v>
      </c>
      <c r="B267" t="s">
        <v>2384</v>
      </c>
      <c r="C267" t="s">
        <v>6202</v>
      </c>
      <c r="D267" s="1">
        <v>45276</v>
      </c>
      <c r="E267" s="2">
        <v>106.39</v>
      </c>
    </row>
    <row r="268" spans="1:5" x14ac:dyDescent="0.35">
      <c r="A268" t="s">
        <v>6458</v>
      </c>
      <c r="B268" t="s">
        <v>2385</v>
      </c>
      <c r="C268" t="s">
        <v>6196</v>
      </c>
      <c r="D268" s="1">
        <v>45075</v>
      </c>
      <c r="E268" s="2">
        <v>2171.42</v>
      </c>
    </row>
    <row r="269" spans="1:5" x14ac:dyDescent="0.35">
      <c r="A269" t="s">
        <v>6459</v>
      </c>
      <c r="B269" t="s">
        <v>2400</v>
      </c>
      <c r="C269" t="s">
        <v>6186</v>
      </c>
      <c r="D269" s="1">
        <v>45634</v>
      </c>
      <c r="E269" s="2">
        <v>1288.99</v>
      </c>
    </row>
    <row r="270" spans="1:5" x14ac:dyDescent="0.35">
      <c r="A270" t="s">
        <v>6460</v>
      </c>
      <c r="B270" t="s">
        <v>2407</v>
      </c>
      <c r="C270" t="s">
        <v>6191</v>
      </c>
      <c r="D270" s="1">
        <v>44994</v>
      </c>
      <c r="E270" s="2">
        <v>3039.09</v>
      </c>
    </row>
    <row r="271" spans="1:5" x14ac:dyDescent="0.35">
      <c r="A271" t="s">
        <v>6461</v>
      </c>
      <c r="B271" t="s">
        <v>2418</v>
      </c>
      <c r="C271" t="s">
        <v>6188</v>
      </c>
      <c r="D271" s="1">
        <v>45487</v>
      </c>
      <c r="E271" s="2">
        <v>1643.51</v>
      </c>
    </row>
    <row r="272" spans="1:5" x14ac:dyDescent="0.35">
      <c r="A272" t="s">
        <v>6462</v>
      </c>
      <c r="B272" t="s">
        <v>2420</v>
      </c>
      <c r="C272" t="s">
        <v>6202</v>
      </c>
      <c r="D272" s="1">
        <v>45556</v>
      </c>
      <c r="E272" s="2">
        <v>281.01</v>
      </c>
    </row>
    <row r="273" spans="1:5" x14ac:dyDescent="0.35">
      <c r="A273" t="s">
        <v>6463</v>
      </c>
      <c r="B273" t="s">
        <v>2425</v>
      </c>
      <c r="C273" t="s">
        <v>6186</v>
      </c>
      <c r="D273" s="1">
        <v>45497</v>
      </c>
      <c r="E273" s="2">
        <v>220.26</v>
      </c>
    </row>
    <row r="274" spans="1:5" x14ac:dyDescent="0.35">
      <c r="A274" t="s">
        <v>6464</v>
      </c>
      <c r="B274" t="s">
        <v>2435</v>
      </c>
      <c r="C274" t="s">
        <v>6186</v>
      </c>
      <c r="D274" s="1">
        <v>45550</v>
      </c>
      <c r="E274" s="2">
        <v>244.89</v>
      </c>
    </row>
    <row r="275" spans="1:5" x14ac:dyDescent="0.35">
      <c r="A275" t="s">
        <v>6465</v>
      </c>
      <c r="B275" t="s">
        <v>2442</v>
      </c>
      <c r="C275" t="s">
        <v>6186</v>
      </c>
      <c r="D275" s="1">
        <v>45343</v>
      </c>
      <c r="E275" s="2">
        <v>2484.31</v>
      </c>
    </row>
    <row r="276" spans="1:5" x14ac:dyDescent="0.35">
      <c r="A276" t="s">
        <v>6466</v>
      </c>
      <c r="B276" t="s">
        <v>2447</v>
      </c>
      <c r="C276" t="s">
        <v>6186</v>
      </c>
      <c r="D276" s="1">
        <v>45496</v>
      </c>
      <c r="E276" s="2">
        <v>87.46</v>
      </c>
    </row>
    <row r="277" spans="1:5" x14ac:dyDescent="0.35">
      <c r="A277" t="s">
        <v>6467</v>
      </c>
      <c r="B277" t="s">
        <v>2463</v>
      </c>
      <c r="C277" t="s">
        <v>6191</v>
      </c>
      <c r="D277" s="1">
        <v>45047</v>
      </c>
      <c r="E277" s="2">
        <v>36.729999999999997</v>
      </c>
    </row>
    <row r="278" spans="1:5" x14ac:dyDescent="0.35">
      <c r="A278" t="s">
        <v>6468</v>
      </c>
      <c r="B278" t="s">
        <v>2467</v>
      </c>
      <c r="C278" t="s">
        <v>6188</v>
      </c>
      <c r="D278" s="1">
        <v>45444</v>
      </c>
      <c r="E278" s="2">
        <v>19.22</v>
      </c>
    </row>
    <row r="279" spans="1:5" x14ac:dyDescent="0.35">
      <c r="A279" t="s">
        <v>6469</v>
      </c>
      <c r="B279" t="s">
        <v>2476</v>
      </c>
      <c r="C279" t="s">
        <v>6199</v>
      </c>
      <c r="D279" s="1">
        <v>45047</v>
      </c>
      <c r="E279" s="2">
        <v>583.74</v>
      </c>
    </row>
    <row r="280" spans="1:5" x14ac:dyDescent="0.35">
      <c r="A280" t="s">
        <v>6470</v>
      </c>
      <c r="B280" t="s">
        <v>2478</v>
      </c>
      <c r="C280" t="s">
        <v>6186</v>
      </c>
      <c r="D280" s="1">
        <v>45079</v>
      </c>
      <c r="E280" s="2">
        <v>141.32</v>
      </c>
    </row>
    <row r="281" spans="1:5" x14ac:dyDescent="0.35">
      <c r="A281" t="s">
        <v>6471</v>
      </c>
      <c r="B281" t="s">
        <v>2483</v>
      </c>
      <c r="C281" t="s">
        <v>6199</v>
      </c>
      <c r="D281" s="1">
        <v>44974</v>
      </c>
      <c r="E281" s="2">
        <v>156.41999999999999</v>
      </c>
    </row>
    <row r="282" spans="1:5" x14ac:dyDescent="0.35">
      <c r="A282" t="s">
        <v>6472</v>
      </c>
      <c r="B282" t="s">
        <v>2485</v>
      </c>
      <c r="C282" t="s">
        <v>6188</v>
      </c>
      <c r="D282" s="1">
        <v>45589</v>
      </c>
      <c r="E282" s="2">
        <v>1192.23</v>
      </c>
    </row>
    <row r="283" spans="1:5" x14ac:dyDescent="0.35">
      <c r="A283" t="s">
        <v>6473</v>
      </c>
      <c r="B283" t="s">
        <v>2486</v>
      </c>
      <c r="C283" t="s">
        <v>6191</v>
      </c>
      <c r="D283" s="1">
        <v>45662</v>
      </c>
      <c r="E283" s="2">
        <v>37.32</v>
      </c>
    </row>
    <row r="284" spans="1:5" x14ac:dyDescent="0.35">
      <c r="A284" t="s">
        <v>6474</v>
      </c>
      <c r="B284" t="s">
        <v>2488</v>
      </c>
      <c r="C284" t="s">
        <v>6191</v>
      </c>
      <c r="D284" s="1">
        <v>45193</v>
      </c>
      <c r="E284" s="2">
        <v>50.9</v>
      </c>
    </row>
    <row r="285" spans="1:5" x14ac:dyDescent="0.35">
      <c r="A285" t="s">
        <v>6475</v>
      </c>
      <c r="B285" t="s">
        <v>2490</v>
      </c>
      <c r="C285" t="s">
        <v>6199</v>
      </c>
      <c r="D285" s="1">
        <v>45552</v>
      </c>
      <c r="E285" s="2">
        <v>211.08</v>
      </c>
    </row>
    <row r="286" spans="1:5" x14ac:dyDescent="0.35">
      <c r="A286" t="s">
        <v>6476</v>
      </c>
      <c r="B286" t="s">
        <v>2493</v>
      </c>
      <c r="C286" t="s">
        <v>6186</v>
      </c>
      <c r="D286" s="1">
        <v>45544</v>
      </c>
      <c r="E286" s="2">
        <v>1116.03</v>
      </c>
    </row>
    <row r="287" spans="1:5" x14ac:dyDescent="0.35">
      <c r="A287" t="s">
        <v>6477</v>
      </c>
      <c r="B287" t="s">
        <v>2505</v>
      </c>
      <c r="C287" t="s">
        <v>6196</v>
      </c>
      <c r="D287" s="1">
        <v>45275</v>
      </c>
      <c r="E287" s="2">
        <v>339.07</v>
      </c>
    </row>
    <row r="288" spans="1:5" x14ac:dyDescent="0.35">
      <c r="A288" t="s">
        <v>6478</v>
      </c>
      <c r="B288" t="s">
        <v>2506</v>
      </c>
      <c r="C288" t="s">
        <v>6186</v>
      </c>
      <c r="D288" s="1">
        <v>45008</v>
      </c>
      <c r="E288" s="2">
        <v>64.97</v>
      </c>
    </row>
    <row r="289" spans="1:5" x14ac:dyDescent="0.35">
      <c r="A289" t="s">
        <v>6479</v>
      </c>
      <c r="B289" t="s">
        <v>2509</v>
      </c>
      <c r="C289" t="s">
        <v>6188</v>
      </c>
      <c r="D289" s="1">
        <v>45478</v>
      </c>
      <c r="E289" s="2">
        <v>250.42</v>
      </c>
    </row>
    <row r="290" spans="1:5" x14ac:dyDescent="0.35">
      <c r="A290" t="s">
        <v>6480</v>
      </c>
      <c r="B290" t="s">
        <v>2513</v>
      </c>
      <c r="C290" t="s">
        <v>6196</v>
      </c>
      <c r="D290" s="1">
        <v>45563</v>
      </c>
      <c r="E290" s="2">
        <v>252.19</v>
      </c>
    </row>
    <row r="291" spans="1:5" x14ac:dyDescent="0.35">
      <c r="A291" t="s">
        <v>6481</v>
      </c>
      <c r="B291" t="s">
        <v>2525</v>
      </c>
      <c r="C291" t="s">
        <v>6188</v>
      </c>
      <c r="D291" s="1">
        <v>45356</v>
      </c>
      <c r="E291" s="2">
        <v>46.6</v>
      </c>
    </row>
    <row r="292" spans="1:5" x14ac:dyDescent="0.35">
      <c r="A292" t="s">
        <v>6482</v>
      </c>
      <c r="B292" t="s">
        <v>2528</v>
      </c>
      <c r="C292" t="s">
        <v>6202</v>
      </c>
      <c r="D292" s="1">
        <v>45374</v>
      </c>
      <c r="E292" s="2">
        <v>284.52999999999997</v>
      </c>
    </row>
    <row r="293" spans="1:5" x14ac:dyDescent="0.35">
      <c r="A293" t="s">
        <v>6483</v>
      </c>
      <c r="B293" t="s">
        <v>2534</v>
      </c>
      <c r="C293" t="s">
        <v>6186</v>
      </c>
      <c r="D293" s="1">
        <v>45679</v>
      </c>
      <c r="E293" s="2">
        <v>402.28</v>
      </c>
    </row>
    <row r="294" spans="1:5" x14ac:dyDescent="0.35">
      <c r="A294" t="s">
        <v>6484</v>
      </c>
      <c r="B294" t="s">
        <v>2542</v>
      </c>
      <c r="C294" t="s">
        <v>6199</v>
      </c>
      <c r="D294" s="1">
        <v>45512</v>
      </c>
      <c r="E294" s="2">
        <v>766.81</v>
      </c>
    </row>
    <row r="295" spans="1:5" x14ac:dyDescent="0.35">
      <c r="A295" t="s">
        <v>6485</v>
      </c>
      <c r="B295" t="s">
        <v>2551</v>
      </c>
      <c r="C295" t="s">
        <v>6196</v>
      </c>
      <c r="D295" s="1">
        <v>45396</v>
      </c>
      <c r="E295" s="2">
        <v>81.52</v>
      </c>
    </row>
    <row r="296" spans="1:5" x14ac:dyDescent="0.35">
      <c r="A296" t="s">
        <v>6486</v>
      </c>
      <c r="B296" t="s">
        <v>2557</v>
      </c>
      <c r="C296" t="s">
        <v>6199</v>
      </c>
      <c r="D296" s="1">
        <v>45612</v>
      </c>
      <c r="E296" s="2">
        <v>487.78</v>
      </c>
    </row>
    <row r="297" spans="1:5" x14ac:dyDescent="0.35">
      <c r="A297" t="s">
        <v>6487</v>
      </c>
      <c r="B297" t="s">
        <v>2561</v>
      </c>
      <c r="C297" t="s">
        <v>6196</v>
      </c>
      <c r="D297" s="1">
        <v>45581</v>
      </c>
      <c r="E297" s="2">
        <v>481.73</v>
      </c>
    </row>
    <row r="298" spans="1:5" x14ac:dyDescent="0.35">
      <c r="A298" t="s">
        <v>6488</v>
      </c>
      <c r="B298" t="s">
        <v>2570</v>
      </c>
      <c r="C298" t="s">
        <v>6186</v>
      </c>
      <c r="D298" s="1">
        <v>45182</v>
      </c>
      <c r="E298" s="2">
        <v>185.35</v>
      </c>
    </row>
    <row r="299" spans="1:5" x14ac:dyDescent="0.35">
      <c r="A299" t="s">
        <v>6489</v>
      </c>
      <c r="B299" t="s">
        <v>2586</v>
      </c>
      <c r="C299" t="s">
        <v>6202</v>
      </c>
      <c r="D299" s="1">
        <v>45084</v>
      </c>
      <c r="E299" s="2">
        <v>167.64</v>
      </c>
    </row>
    <row r="300" spans="1:5" x14ac:dyDescent="0.35">
      <c r="A300" t="s">
        <v>6490</v>
      </c>
      <c r="B300" t="s">
        <v>2587</v>
      </c>
      <c r="C300" t="s">
        <v>6186</v>
      </c>
      <c r="D300" s="1">
        <v>45130</v>
      </c>
      <c r="E300" s="2">
        <v>615.26</v>
      </c>
    </row>
    <row r="301" spans="1:5" x14ac:dyDescent="0.35">
      <c r="A301" t="s">
        <v>6491</v>
      </c>
      <c r="B301" t="s">
        <v>2589</v>
      </c>
      <c r="C301" t="s">
        <v>6191</v>
      </c>
      <c r="D301" s="1">
        <v>45425</v>
      </c>
      <c r="E301" s="2">
        <v>138.99</v>
      </c>
    </row>
    <row r="302" spans="1:5" x14ac:dyDescent="0.35">
      <c r="A302" t="s">
        <v>6492</v>
      </c>
      <c r="B302" t="s">
        <v>2597</v>
      </c>
      <c r="C302" t="s">
        <v>6196</v>
      </c>
      <c r="D302" s="1">
        <v>45084</v>
      </c>
      <c r="E302" s="2">
        <v>48.58</v>
      </c>
    </row>
    <row r="303" spans="1:5" x14ac:dyDescent="0.35">
      <c r="A303" t="s">
        <v>6493</v>
      </c>
      <c r="B303" t="s">
        <v>2600</v>
      </c>
      <c r="C303" t="s">
        <v>6244</v>
      </c>
      <c r="D303" s="1">
        <v>45154</v>
      </c>
      <c r="E303" s="2">
        <v>140.41</v>
      </c>
    </row>
    <row r="304" spans="1:5" x14ac:dyDescent="0.35">
      <c r="A304" t="s">
        <v>6494</v>
      </c>
      <c r="B304" t="s">
        <v>2601</v>
      </c>
      <c r="C304" t="s">
        <v>6186</v>
      </c>
      <c r="D304" s="1">
        <v>45496</v>
      </c>
      <c r="E304" s="2">
        <v>181.25</v>
      </c>
    </row>
    <row r="305" spans="1:5" x14ac:dyDescent="0.35">
      <c r="A305" t="s">
        <v>6495</v>
      </c>
      <c r="B305" t="s">
        <v>2608</v>
      </c>
      <c r="C305" t="s">
        <v>6186</v>
      </c>
      <c r="D305" s="1">
        <v>44975</v>
      </c>
      <c r="E305" s="2">
        <v>73.69</v>
      </c>
    </row>
    <row r="306" spans="1:5" x14ac:dyDescent="0.35">
      <c r="A306" t="s">
        <v>6496</v>
      </c>
      <c r="B306" t="s">
        <v>2610</v>
      </c>
      <c r="C306" t="s">
        <v>6196</v>
      </c>
      <c r="D306" s="1">
        <v>45226</v>
      </c>
      <c r="E306" s="2">
        <v>207.4</v>
      </c>
    </row>
    <row r="307" spans="1:5" x14ac:dyDescent="0.35">
      <c r="A307" t="s">
        <v>6497</v>
      </c>
      <c r="B307" t="s">
        <v>2611</v>
      </c>
      <c r="C307" t="s">
        <v>6196</v>
      </c>
      <c r="D307" s="1">
        <v>45259</v>
      </c>
      <c r="E307" s="2">
        <v>383.56</v>
      </c>
    </row>
    <row r="308" spans="1:5" x14ac:dyDescent="0.35">
      <c r="A308" t="s">
        <v>6498</v>
      </c>
      <c r="B308" t="s">
        <v>2612</v>
      </c>
      <c r="C308" t="s">
        <v>6196</v>
      </c>
      <c r="D308" s="1">
        <v>45246</v>
      </c>
      <c r="E308" s="2">
        <v>375.15</v>
      </c>
    </row>
    <row r="309" spans="1:5" x14ac:dyDescent="0.35">
      <c r="A309" t="s">
        <v>6499</v>
      </c>
      <c r="B309" t="s">
        <v>2627</v>
      </c>
      <c r="C309" t="s">
        <v>6191</v>
      </c>
      <c r="D309" s="1">
        <v>45363</v>
      </c>
      <c r="E309" s="2">
        <v>2077.86</v>
      </c>
    </row>
    <row r="310" spans="1:5" x14ac:dyDescent="0.35">
      <c r="A310" t="s">
        <v>6500</v>
      </c>
      <c r="B310" t="s">
        <v>2634</v>
      </c>
      <c r="C310" t="s">
        <v>6199</v>
      </c>
      <c r="D310" s="1">
        <v>45027</v>
      </c>
      <c r="E310" s="2">
        <v>1021.59</v>
      </c>
    </row>
    <row r="311" spans="1:5" x14ac:dyDescent="0.35">
      <c r="A311" t="s">
        <v>6501</v>
      </c>
      <c r="B311" t="s">
        <v>2643</v>
      </c>
      <c r="C311" t="s">
        <v>6188</v>
      </c>
      <c r="D311" s="1">
        <v>45679</v>
      </c>
      <c r="E311" s="2">
        <v>87.17</v>
      </c>
    </row>
    <row r="312" spans="1:5" x14ac:dyDescent="0.35">
      <c r="A312" t="s">
        <v>6502</v>
      </c>
      <c r="B312" t="s">
        <v>2645</v>
      </c>
      <c r="C312" t="s">
        <v>6188</v>
      </c>
      <c r="D312" s="1">
        <v>45277</v>
      </c>
      <c r="E312" s="2">
        <v>266.70999999999998</v>
      </c>
    </row>
    <row r="313" spans="1:5" x14ac:dyDescent="0.35">
      <c r="A313" t="s">
        <v>6503</v>
      </c>
      <c r="B313" t="s">
        <v>2648</v>
      </c>
      <c r="C313" t="s">
        <v>6186</v>
      </c>
      <c r="D313" s="1">
        <v>45087</v>
      </c>
      <c r="E313" s="2">
        <v>176.81</v>
      </c>
    </row>
    <row r="314" spans="1:5" x14ac:dyDescent="0.35">
      <c r="A314" t="s">
        <v>6504</v>
      </c>
      <c r="B314" t="s">
        <v>2652</v>
      </c>
      <c r="C314" t="s">
        <v>6188</v>
      </c>
      <c r="D314" s="1">
        <v>45177</v>
      </c>
      <c r="E314" s="2">
        <v>324.63</v>
      </c>
    </row>
    <row r="315" spans="1:5" x14ac:dyDescent="0.35">
      <c r="A315" t="s">
        <v>6505</v>
      </c>
      <c r="B315" t="s">
        <v>2656</v>
      </c>
      <c r="C315" t="s">
        <v>6196</v>
      </c>
      <c r="D315" s="1">
        <v>45517</v>
      </c>
      <c r="E315" s="2">
        <v>6027.94</v>
      </c>
    </row>
    <row r="316" spans="1:5" x14ac:dyDescent="0.35">
      <c r="A316" t="s">
        <v>6506</v>
      </c>
      <c r="B316" t="s">
        <v>2670</v>
      </c>
      <c r="C316" t="s">
        <v>6188</v>
      </c>
      <c r="D316" s="1">
        <v>45494</v>
      </c>
      <c r="E316" s="2">
        <v>5805.06</v>
      </c>
    </row>
    <row r="317" spans="1:5" x14ac:dyDescent="0.35">
      <c r="A317" t="s">
        <v>6507</v>
      </c>
      <c r="B317" t="s">
        <v>2675</v>
      </c>
      <c r="C317" t="s">
        <v>6186</v>
      </c>
      <c r="D317" s="1">
        <v>45269</v>
      </c>
      <c r="E317" s="2">
        <v>1158.19</v>
      </c>
    </row>
    <row r="318" spans="1:5" x14ac:dyDescent="0.35">
      <c r="A318" t="s">
        <v>6508</v>
      </c>
      <c r="B318" t="s">
        <v>2676</v>
      </c>
      <c r="C318" t="s">
        <v>6199</v>
      </c>
      <c r="D318" s="1">
        <v>44951</v>
      </c>
      <c r="E318" s="2">
        <v>209.06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2076-3278-4967-8A7B-D2AE89869822}">
  <dimension ref="A1:E9"/>
  <sheetViews>
    <sheetView workbookViewId="0">
      <selection activeCell="C11" sqref="C11"/>
    </sheetView>
  </sheetViews>
  <sheetFormatPr defaultRowHeight="14.5" x14ac:dyDescent="0.35"/>
  <cols>
    <col min="1" max="1" width="10.1796875" bestFit="1" customWidth="1"/>
    <col min="2" max="2" width="19.6328125" bestFit="1" customWidth="1"/>
    <col min="3" max="3" width="16" bestFit="1" customWidth="1"/>
    <col min="4" max="4" width="15.81640625" bestFit="1" customWidth="1"/>
    <col min="5" max="5" width="23.453125" style="2" bestFit="1" customWidth="1"/>
  </cols>
  <sheetData>
    <row r="1" spans="1:5" x14ac:dyDescent="0.35">
      <c r="A1" t="s">
        <v>6509</v>
      </c>
      <c r="B1" t="s">
        <v>6510</v>
      </c>
      <c r="C1" t="s">
        <v>4</v>
      </c>
      <c r="D1" t="s">
        <v>6511</v>
      </c>
      <c r="E1" s="2" t="s">
        <v>6512</v>
      </c>
    </row>
    <row r="2" spans="1:5" x14ac:dyDescent="0.35">
      <c r="A2" t="s">
        <v>6513</v>
      </c>
      <c r="B2" t="s">
        <v>6514</v>
      </c>
      <c r="C2" t="s">
        <v>11</v>
      </c>
      <c r="D2" t="s">
        <v>6515</v>
      </c>
      <c r="E2" s="2">
        <v>0.91</v>
      </c>
    </row>
    <row r="3" spans="1:5" x14ac:dyDescent="0.35">
      <c r="A3" t="s">
        <v>6516</v>
      </c>
      <c r="B3" t="s">
        <v>6517</v>
      </c>
      <c r="C3" t="s">
        <v>8</v>
      </c>
      <c r="D3" t="s">
        <v>6515</v>
      </c>
      <c r="E3" s="2">
        <v>0.88</v>
      </c>
    </row>
    <row r="4" spans="1:5" x14ac:dyDescent="0.35">
      <c r="A4" t="s">
        <v>6518</v>
      </c>
      <c r="B4" t="s">
        <v>6519</v>
      </c>
      <c r="C4" t="s">
        <v>20</v>
      </c>
      <c r="D4" t="s">
        <v>6520</v>
      </c>
      <c r="E4" s="2">
        <v>0.84</v>
      </c>
    </row>
    <row r="5" spans="1:5" x14ac:dyDescent="0.35">
      <c r="A5" t="s">
        <v>6521</v>
      </c>
      <c r="B5" t="s">
        <v>6522</v>
      </c>
      <c r="C5" t="s">
        <v>13</v>
      </c>
      <c r="D5" t="s">
        <v>6520</v>
      </c>
      <c r="E5" s="2">
        <v>0.76</v>
      </c>
    </row>
    <row r="6" spans="1:5" x14ac:dyDescent="0.35">
      <c r="A6" t="s">
        <v>6523</v>
      </c>
      <c r="B6" t="s">
        <v>6524</v>
      </c>
      <c r="C6" t="s">
        <v>11</v>
      </c>
      <c r="D6" t="s">
        <v>6525</v>
      </c>
      <c r="E6" s="2">
        <v>0.9</v>
      </c>
    </row>
    <row r="7" spans="1:5" x14ac:dyDescent="0.35">
      <c r="A7" t="s">
        <v>6526</v>
      </c>
      <c r="B7" t="s">
        <v>6527</v>
      </c>
      <c r="C7" t="s">
        <v>8</v>
      </c>
      <c r="D7" t="s">
        <v>6525</v>
      </c>
      <c r="E7" s="2">
        <v>0.87</v>
      </c>
    </row>
    <row r="8" spans="1:5" x14ac:dyDescent="0.35">
      <c r="A8" t="s">
        <v>6528</v>
      </c>
      <c r="B8" t="s">
        <v>6529</v>
      </c>
      <c r="C8" t="s">
        <v>20</v>
      </c>
      <c r="D8" t="s">
        <v>6525</v>
      </c>
      <c r="E8" s="2">
        <v>0.83</v>
      </c>
    </row>
    <row r="9" spans="1:5" x14ac:dyDescent="0.35">
      <c r="A9" t="s">
        <v>6530</v>
      </c>
      <c r="B9" t="s">
        <v>6531</v>
      </c>
      <c r="C9" t="s">
        <v>25</v>
      </c>
      <c r="D9" t="s">
        <v>4697</v>
      </c>
      <c r="E9" s="2">
        <v>0.7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5DBF-3C76-4EE2-8111-54B8F5754FAC}">
  <dimension ref="A1:E2001"/>
  <sheetViews>
    <sheetView topLeftCell="A13" workbookViewId="0">
      <selection activeCell="E6" sqref="E6"/>
    </sheetView>
  </sheetViews>
  <sheetFormatPr defaultRowHeight="14.5" x14ac:dyDescent="0.35"/>
  <cols>
    <col min="1" max="1" width="14.26953125" bestFit="1" customWidth="1"/>
    <col min="2" max="2" width="10.26953125" bestFit="1" customWidth="1"/>
    <col min="3" max="3" width="11.54296875" bestFit="1" customWidth="1"/>
    <col min="4" max="4" width="7.36328125" style="3" bestFit="1" customWidth="1"/>
    <col min="5" max="5" width="12.7265625" style="2" bestFit="1" customWidth="1"/>
  </cols>
  <sheetData>
    <row r="1" spans="1:5" x14ac:dyDescent="0.35">
      <c r="A1" t="s">
        <v>2685</v>
      </c>
      <c r="B1" t="s">
        <v>675</v>
      </c>
      <c r="C1" t="s">
        <v>613</v>
      </c>
      <c r="D1" s="3" t="s">
        <v>2686</v>
      </c>
      <c r="E1" s="2" t="s">
        <v>2687</v>
      </c>
    </row>
    <row r="2" spans="1:5" x14ac:dyDescent="0.35">
      <c r="A2" t="s">
        <v>2688</v>
      </c>
      <c r="B2" t="s">
        <v>682</v>
      </c>
      <c r="C2" t="s">
        <v>623</v>
      </c>
      <c r="D2" s="3">
        <v>1</v>
      </c>
      <c r="E2" s="2">
        <v>1200</v>
      </c>
    </row>
    <row r="3" spans="1:5" x14ac:dyDescent="0.35">
      <c r="A3" t="s">
        <v>2689</v>
      </c>
      <c r="B3" t="s">
        <v>684</v>
      </c>
      <c r="C3" t="s">
        <v>654</v>
      </c>
      <c r="D3" s="3">
        <v>1</v>
      </c>
      <c r="E3" s="2">
        <v>100</v>
      </c>
    </row>
    <row r="4" spans="1:5" x14ac:dyDescent="0.35">
      <c r="A4" t="s">
        <v>2690</v>
      </c>
      <c r="B4" t="s">
        <v>685</v>
      </c>
      <c r="C4" t="s">
        <v>667</v>
      </c>
      <c r="D4" s="3">
        <v>1</v>
      </c>
      <c r="E4" s="2">
        <v>550</v>
      </c>
    </row>
    <row r="5" spans="1:5" x14ac:dyDescent="0.35">
      <c r="A5" t="s">
        <v>2691</v>
      </c>
      <c r="B5" t="s">
        <v>686</v>
      </c>
      <c r="C5" t="s">
        <v>651</v>
      </c>
      <c r="D5" s="3">
        <v>1</v>
      </c>
      <c r="E5" s="2">
        <v>120</v>
      </c>
    </row>
    <row r="6" spans="1:5" x14ac:dyDescent="0.35">
      <c r="A6" t="s">
        <v>2692</v>
      </c>
      <c r="B6" t="s">
        <v>688</v>
      </c>
      <c r="C6" t="s">
        <v>641</v>
      </c>
      <c r="D6" s="3">
        <v>1</v>
      </c>
      <c r="E6" s="2">
        <v>1800</v>
      </c>
    </row>
    <row r="7" spans="1:5" x14ac:dyDescent="0.35">
      <c r="A7" t="s">
        <v>2693</v>
      </c>
      <c r="B7" t="s">
        <v>690</v>
      </c>
      <c r="C7" t="s">
        <v>638</v>
      </c>
      <c r="D7" s="3">
        <v>1</v>
      </c>
      <c r="E7" s="2">
        <v>150</v>
      </c>
    </row>
    <row r="8" spans="1:5" x14ac:dyDescent="0.35">
      <c r="A8" t="s">
        <v>2694</v>
      </c>
      <c r="B8" t="s">
        <v>691</v>
      </c>
      <c r="C8" t="s">
        <v>643</v>
      </c>
      <c r="D8" s="3">
        <v>1</v>
      </c>
      <c r="E8" s="2">
        <v>2200</v>
      </c>
    </row>
    <row r="9" spans="1:5" x14ac:dyDescent="0.35">
      <c r="A9" t="s">
        <v>2695</v>
      </c>
      <c r="B9" t="s">
        <v>692</v>
      </c>
      <c r="C9" t="s">
        <v>654</v>
      </c>
      <c r="D9" s="3">
        <v>1</v>
      </c>
      <c r="E9" s="2">
        <v>100</v>
      </c>
    </row>
    <row r="10" spans="1:5" x14ac:dyDescent="0.35">
      <c r="A10" t="s">
        <v>2696</v>
      </c>
      <c r="B10" t="s">
        <v>693</v>
      </c>
      <c r="C10" t="s">
        <v>641</v>
      </c>
      <c r="D10" s="3">
        <v>1</v>
      </c>
      <c r="E10" s="2">
        <v>1800</v>
      </c>
    </row>
    <row r="11" spans="1:5" x14ac:dyDescent="0.35">
      <c r="A11" t="s">
        <v>2697</v>
      </c>
      <c r="B11" t="s">
        <v>694</v>
      </c>
      <c r="C11" t="s">
        <v>656</v>
      </c>
      <c r="D11" s="3">
        <v>2</v>
      </c>
      <c r="E11" s="2">
        <v>700</v>
      </c>
    </row>
    <row r="12" spans="1:5" x14ac:dyDescent="0.35">
      <c r="A12" t="s">
        <v>2698</v>
      </c>
      <c r="B12" t="s">
        <v>695</v>
      </c>
      <c r="C12" t="s">
        <v>660</v>
      </c>
      <c r="D12" s="3">
        <v>1</v>
      </c>
      <c r="E12" s="2">
        <v>6500</v>
      </c>
    </row>
    <row r="13" spans="1:5" x14ac:dyDescent="0.35">
      <c r="A13" t="s">
        <v>2699</v>
      </c>
      <c r="B13" t="s">
        <v>696</v>
      </c>
      <c r="C13" t="s">
        <v>620</v>
      </c>
      <c r="D13" s="3">
        <v>1</v>
      </c>
      <c r="E13" s="2">
        <v>50</v>
      </c>
    </row>
    <row r="14" spans="1:5" x14ac:dyDescent="0.35">
      <c r="A14" t="s">
        <v>2700</v>
      </c>
      <c r="B14" t="s">
        <v>697</v>
      </c>
      <c r="C14" t="s">
        <v>671</v>
      </c>
      <c r="D14" s="3">
        <v>1</v>
      </c>
      <c r="E14" s="2">
        <v>400</v>
      </c>
    </row>
    <row r="15" spans="1:5" x14ac:dyDescent="0.35">
      <c r="A15" t="s">
        <v>2701</v>
      </c>
      <c r="B15" t="s">
        <v>698</v>
      </c>
      <c r="C15" t="s">
        <v>669</v>
      </c>
      <c r="D15" s="3">
        <v>1</v>
      </c>
      <c r="E15" s="2">
        <v>600</v>
      </c>
    </row>
    <row r="16" spans="1:5" x14ac:dyDescent="0.35">
      <c r="A16" t="s">
        <v>2702</v>
      </c>
      <c r="B16" t="s">
        <v>699</v>
      </c>
      <c r="C16" t="s">
        <v>620</v>
      </c>
      <c r="D16" s="3">
        <v>1</v>
      </c>
      <c r="E16" s="2">
        <v>50</v>
      </c>
    </row>
    <row r="17" spans="1:5" x14ac:dyDescent="0.35">
      <c r="A17" t="s">
        <v>2703</v>
      </c>
      <c r="B17" t="s">
        <v>700</v>
      </c>
      <c r="C17" t="s">
        <v>631</v>
      </c>
      <c r="D17" s="3">
        <v>2</v>
      </c>
      <c r="E17" s="2">
        <v>1800</v>
      </c>
    </row>
    <row r="18" spans="1:5" x14ac:dyDescent="0.35">
      <c r="A18" t="s">
        <v>2704</v>
      </c>
      <c r="B18" t="s">
        <v>701</v>
      </c>
      <c r="C18" t="s">
        <v>660</v>
      </c>
      <c r="D18" s="3">
        <v>1</v>
      </c>
      <c r="E18" s="2">
        <v>6500</v>
      </c>
    </row>
    <row r="19" spans="1:5" x14ac:dyDescent="0.35">
      <c r="A19" t="s">
        <v>2705</v>
      </c>
      <c r="B19" t="s">
        <v>702</v>
      </c>
      <c r="C19" t="s">
        <v>635</v>
      </c>
      <c r="D19" s="3">
        <v>1</v>
      </c>
      <c r="E19" s="2">
        <v>180</v>
      </c>
    </row>
    <row r="20" spans="1:5" x14ac:dyDescent="0.35">
      <c r="A20" t="s">
        <v>2706</v>
      </c>
      <c r="B20" t="s">
        <v>703</v>
      </c>
      <c r="C20" t="s">
        <v>623</v>
      </c>
      <c r="D20" s="3">
        <v>1</v>
      </c>
      <c r="E20" s="2">
        <v>1200</v>
      </c>
    </row>
    <row r="21" spans="1:5" x14ac:dyDescent="0.35">
      <c r="A21" t="s">
        <v>2707</v>
      </c>
      <c r="B21" t="s">
        <v>704</v>
      </c>
      <c r="C21" t="s">
        <v>649</v>
      </c>
      <c r="D21" s="3">
        <v>1</v>
      </c>
      <c r="E21" s="2">
        <v>800</v>
      </c>
    </row>
    <row r="22" spans="1:5" x14ac:dyDescent="0.35">
      <c r="A22" t="s">
        <v>2708</v>
      </c>
      <c r="B22" t="s">
        <v>705</v>
      </c>
      <c r="C22" t="s">
        <v>673</v>
      </c>
      <c r="D22" s="3">
        <v>1</v>
      </c>
      <c r="E22" s="2">
        <v>300</v>
      </c>
    </row>
    <row r="23" spans="1:5" x14ac:dyDescent="0.35">
      <c r="A23" t="s">
        <v>2709</v>
      </c>
      <c r="B23" t="s">
        <v>706</v>
      </c>
      <c r="C23" t="s">
        <v>654</v>
      </c>
      <c r="D23" s="3">
        <v>1</v>
      </c>
      <c r="E23" s="2">
        <v>100</v>
      </c>
    </row>
    <row r="24" spans="1:5" x14ac:dyDescent="0.35">
      <c r="A24" t="s">
        <v>2710</v>
      </c>
      <c r="B24" t="s">
        <v>707</v>
      </c>
      <c r="C24" t="s">
        <v>617</v>
      </c>
      <c r="D24" s="3">
        <v>1</v>
      </c>
      <c r="E24" s="2">
        <v>200</v>
      </c>
    </row>
    <row r="25" spans="1:5" x14ac:dyDescent="0.35">
      <c r="A25" t="s">
        <v>2711</v>
      </c>
      <c r="B25" t="s">
        <v>708</v>
      </c>
      <c r="C25" t="s">
        <v>665</v>
      </c>
      <c r="D25" s="3">
        <v>1</v>
      </c>
      <c r="E25" s="2">
        <v>700</v>
      </c>
    </row>
    <row r="26" spans="1:5" x14ac:dyDescent="0.35">
      <c r="A26" t="s">
        <v>2712</v>
      </c>
      <c r="B26" t="s">
        <v>709</v>
      </c>
      <c r="C26" t="s">
        <v>623</v>
      </c>
      <c r="D26" s="3">
        <v>2</v>
      </c>
      <c r="E26" s="2">
        <v>2400</v>
      </c>
    </row>
    <row r="27" spans="1:5" x14ac:dyDescent="0.35">
      <c r="A27" t="s">
        <v>2713</v>
      </c>
      <c r="B27" t="s">
        <v>710</v>
      </c>
      <c r="C27" t="s">
        <v>667</v>
      </c>
      <c r="D27" s="3">
        <v>1</v>
      </c>
      <c r="E27" s="2">
        <v>550</v>
      </c>
    </row>
    <row r="28" spans="1:5" x14ac:dyDescent="0.35">
      <c r="A28" t="s">
        <v>2714</v>
      </c>
      <c r="B28" t="s">
        <v>711</v>
      </c>
      <c r="C28" t="s">
        <v>658</v>
      </c>
      <c r="D28" s="3">
        <v>1</v>
      </c>
      <c r="E28" s="2">
        <v>750</v>
      </c>
    </row>
    <row r="29" spans="1:5" x14ac:dyDescent="0.35">
      <c r="A29" t="s">
        <v>2715</v>
      </c>
      <c r="B29" t="s">
        <v>712</v>
      </c>
      <c r="C29" t="s">
        <v>638</v>
      </c>
      <c r="D29" s="3">
        <v>1</v>
      </c>
      <c r="E29" s="2">
        <v>150</v>
      </c>
    </row>
    <row r="30" spans="1:5" x14ac:dyDescent="0.35">
      <c r="A30" t="s">
        <v>2716</v>
      </c>
      <c r="B30" t="s">
        <v>713</v>
      </c>
      <c r="C30" t="s">
        <v>631</v>
      </c>
      <c r="D30" s="3">
        <v>1</v>
      </c>
      <c r="E30" s="2">
        <v>900</v>
      </c>
    </row>
    <row r="31" spans="1:5" x14ac:dyDescent="0.35">
      <c r="A31" t="s">
        <v>2717</v>
      </c>
      <c r="B31" t="s">
        <v>714</v>
      </c>
      <c r="C31" t="s">
        <v>669</v>
      </c>
      <c r="D31" s="3">
        <v>1</v>
      </c>
      <c r="E31" s="2">
        <v>600</v>
      </c>
    </row>
    <row r="32" spans="1:5" x14ac:dyDescent="0.35">
      <c r="A32" t="s">
        <v>2718</v>
      </c>
      <c r="B32" t="s">
        <v>715</v>
      </c>
      <c r="C32" t="s">
        <v>665</v>
      </c>
      <c r="D32" s="3">
        <v>1</v>
      </c>
      <c r="E32" s="2">
        <v>700</v>
      </c>
    </row>
    <row r="33" spans="1:5" x14ac:dyDescent="0.35">
      <c r="A33" t="s">
        <v>2719</v>
      </c>
      <c r="B33" t="s">
        <v>716</v>
      </c>
      <c r="C33" t="s">
        <v>673</v>
      </c>
      <c r="D33" s="3">
        <v>1</v>
      </c>
      <c r="E33" s="2">
        <v>300</v>
      </c>
    </row>
    <row r="34" spans="1:5" x14ac:dyDescent="0.35">
      <c r="A34" t="s">
        <v>2720</v>
      </c>
      <c r="B34" t="s">
        <v>717</v>
      </c>
      <c r="C34" t="s">
        <v>617</v>
      </c>
      <c r="D34" s="3">
        <v>1</v>
      </c>
      <c r="E34" s="2">
        <v>200</v>
      </c>
    </row>
    <row r="35" spans="1:5" x14ac:dyDescent="0.35">
      <c r="A35" t="s">
        <v>2721</v>
      </c>
      <c r="B35" t="s">
        <v>718</v>
      </c>
      <c r="C35" t="s">
        <v>665</v>
      </c>
      <c r="D35" s="3">
        <v>1</v>
      </c>
      <c r="E35" s="2">
        <v>700</v>
      </c>
    </row>
    <row r="36" spans="1:5" x14ac:dyDescent="0.35">
      <c r="A36" t="s">
        <v>2722</v>
      </c>
      <c r="B36" t="s">
        <v>719</v>
      </c>
      <c r="C36" t="s">
        <v>641</v>
      </c>
      <c r="D36" s="3">
        <v>1</v>
      </c>
      <c r="E36" s="2">
        <v>1800</v>
      </c>
    </row>
    <row r="37" spans="1:5" x14ac:dyDescent="0.35">
      <c r="A37" t="s">
        <v>2723</v>
      </c>
      <c r="B37" t="s">
        <v>720</v>
      </c>
      <c r="C37" t="s">
        <v>631</v>
      </c>
      <c r="D37" s="3">
        <v>1</v>
      </c>
      <c r="E37" s="2">
        <v>900</v>
      </c>
    </row>
    <row r="38" spans="1:5" x14ac:dyDescent="0.35">
      <c r="A38" t="s">
        <v>2724</v>
      </c>
      <c r="B38" t="s">
        <v>721</v>
      </c>
      <c r="C38" t="s">
        <v>669</v>
      </c>
      <c r="D38" s="3">
        <v>1</v>
      </c>
      <c r="E38" s="2">
        <v>600</v>
      </c>
    </row>
    <row r="39" spans="1:5" x14ac:dyDescent="0.35">
      <c r="A39" t="s">
        <v>2725</v>
      </c>
      <c r="B39" t="s">
        <v>722</v>
      </c>
      <c r="C39" t="s">
        <v>645</v>
      </c>
      <c r="D39" s="3">
        <v>1</v>
      </c>
      <c r="E39" s="2">
        <v>3500</v>
      </c>
    </row>
    <row r="40" spans="1:5" x14ac:dyDescent="0.35">
      <c r="A40" t="s">
        <v>2726</v>
      </c>
      <c r="B40" t="s">
        <v>723</v>
      </c>
      <c r="C40" t="s">
        <v>626</v>
      </c>
      <c r="D40" s="3">
        <v>1</v>
      </c>
      <c r="E40" s="2">
        <v>5000</v>
      </c>
    </row>
    <row r="41" spans="1:5" x14ac:dyDescent="0.35">
      <c r="A41" t="s">
        <v>2727</v>
      </c>
      <c r="B41" t="s">
        <v>724</v>
      </c>
      <c r="C41" t="s">
        <v>647</v>
      </c>
      <c r="D41" s="3">
        <v>1</v>
      </c>
      <c r="E41" s="2">
        <v>4200</v>
      </c>
    </row>
    <row r="42" spans="1:5" x14ac:dyDescent="0.35">
      <c r="A42" t="s">
        <v>2728</v>
      </c>
      <c r="B42" t="s">
        <v>725</v>
      </c>
      <c r="C42" t="s">
        <v>656</v>
      </c>
      <c r="D42" s="3">
        <v>1</v>
      </c>
      <c r="E42" s="2">
        <v>350</v>
      </c>
    </row>
    <row r="43" spans="1:5" x14ac:dyDescent="0.35">
      <c r="A43" t="s">
        <v>2729</v>
      </c>
      <c r="B43" t="s">
        <v>726</v>
      </c>
      <c r="C43" t="s">
        <v>635</v>
      </c>
      <c r="D43" s="3">
        <v>2</v>
      </c>
      <c r="E43" s="2">
        <v>360</v>
      </c>
    </row>
    <row r="44" spans="1:5" x14ac:dyDescent="0.35">
      <c r="A44" t="s">
        <v>2730</v>
      </c>
      <c r="B44" t="s">
        <v>727</v>
      </c>
      <c r="C44" t="s">
        <v>663</v>
      </c>
      <c r="D44" s="3">
        <v>1</v>
      </c>
      <c r="E44" s="2">
        <v>1400</v>
      </c>
    </row>
    <row r="45" spans="1:5" x14ac:dyDescent="0.35">
      <c r="A45" t="s">
        <v>2731</v>
      </c>
      <c r="B45" t="s">
        <v>728</v>
      </c>
      <c r="C45" t="s">
        <v>623</v>
      </c>
      <c r="D45" s="3">
        <v>1</v>
      </c>
      <c r="E45" s="2">
        <v>1200</v>
      </c>
    </row>
    <row r="46" spans="1:5" x14ac:dyDescent="0.35">
      <c r="A46" t="s">
        <v>2732</v>
      </c>
      <c r="B46" t="s">
        <v>729</v>
      </c>
      <c r="C46" t="s">
        <v>645</v>
      </c>
      <c r="D46" s="3">
        <v>1</v>
      </c>
      <c r="E46" s="2">
        <v>3500</v>
      </c>
    </row>
    <row r="47" spans="1:5" x14ac:dyDescent="0.35">
      <c r="A47" t="s">
        <v>2733</v>
      </c>
      <c r="B47" t="s">
        <v>730</v>
      </c>
      <c r="C47" t="s">
        <v>633</v>
      </c>
      <c r="D47" s="3">
        <v>1</v>
      </c>
      <c r="E47" s="2">
        <v>450</v>
      </c>
    </row>
    <row r="48" spans="1:5" x14ac:dyDescent="0.35">
      <c r="A48" t="s">
        <v>2734</v>
      </c>
      <c r="B48" t="s">
        <v>731</v>
      </c>
      <c r="C48" t="s">
        <v>645</v>
      </c>
      <c r="D48" s="3">
        <v>1</v>
      </c>
      <c r="E48" s="2">
        <v>3500</v>
      </c>
    </row>
    <row r="49" spans="1:5" x14ac:dyDescent="0.35">
      <c r="A49" t="s">
        <v>2735</v>
      </c>
      <c r="B49" t="s">
        <v>732</v>
      </c>
      <c r="C49" t="s">
        <v>620</v>
      </c>
      <c r="D49" s="3">
        <v>1</v>
      </c>
      <c r="E49" s="2">
        <v>50</v>
      </c>
    </row>
    <row r="50" spans="1:5" x14ac:dyDescent="0.35">
      <c r="A50" t="s">
        <v>2736</v>
      </c>
      <c r="B50" t="s">
        <v>733</v>
      </c>
      <c r="C50" t="s">
        <v>671</v>
      </c>
      <c r="D50" s="3">
        <v>1</v>
      </c>
      <c r="E50" s="2">
        <v>400</v>
      </c>
    </row>
    <row r="51" spans="1:5" x14ac:dyDescent="0.35">
      <c r="A51" t="s">
        <v>2737</v>
      </c>
      <c r="B51" t="s">
        <v>734</v>
      </c>
      <c r="C51" t="s">
        <v>649</v>
      </c>
      <c r="D51" s="3">
        <v>1</v>
      </c>
      <c r="E51" s="2">
        <v>800</v>
      </c>
    </row>
    <row r="52" spans="1:5" x14ac:dyDescent="0.35">
      <c r="A52" t="s">
        <v>2738</v>
      </c>
      <c r="B52" t="s">
        <v>735</v>
      </c>
      <c r="C52" t="s">
        <v>667</v>
      </c>
      <c r="D52" s="3">
        <v>1</v>
      </c>
      <c r="E52" s="2">
        <v>550</v>
      </c>
    </row>
    <row r="53" spans="1:5" x14ac:dyDescent="0.35">
      <c r="A53" t="s">
        <v>2739</v>
      </c>
      <c r="B53" t="s">
        <v>736</v>
      </c>
      <c r="C53" t="s">
        <v>669</v>
      </c>
      <c r="D53" s="3">
        <v>1</v>
      </c>
      <c r="E53" s="2">
        <v>600</v>
      </c>
    </row>
    <row r="54" spans="1:5" x14ac:dyDescent="0.35">
      <c r="A54" t="s">
        <v>2740</v>
      </c>
      <c r="B54" t="s">
        <v>737</v>
      </c>
      <c r="C54" t="s">
        <v>629</v>
      </c>
      <c r="D54" s="3">
        <v>1</v>
      </c>
      <c r="E54" s="2">
        <v>300</v>
      </c>
    </row>
    <row r="55" spans="1:5" x14ac:dyDescent="0.35">
      <c r="A55" t="s">
        <v>2741</v>
      </c>
      <c r="B55" t="s">
        <v>738</v>
      </c>
      <c r="C55" t="s">
        <v>638</v>
      </c>
      <c r="D55" s="3">
        <v>1</v>
      </c>
      <c r="E55" s="2">
        <v>150</v>
      </c>
    </row>
    <row r="56" spans="1:5" x14ac:dyDescent="0.35">
      <c r="A56" t="s">
        <v>2742</v>
      </c>
      <c r="B56" t="s">
        <v>739</v>
      </c>
      <c r="C56" t="s">
        <v>665</v>
      </c>
      <c r="D56" s="3">
        <v>1</v>
      </c>
      <c r="E56" s="2">
        <v>700</v>
      </c>
    </row>
    <row r="57" spans="1:5" x14ac:dyDescent="0.35">
      <c r="A57" t="s">
        <v>2743</v>
      </c>
      <c r="B57" t="s">
        <v>740</v>
      </c>
      <c r="C57" t="s">
        <v>643</v>
      </c>
      <c r="D57" s="3">
        <v>1</v>
      </c>
      <c r="E57" s="2">
        <v>2200</v>
      </c>
    </row>
    <row r="58" spans="1:5" x14ac:dyDescent="0.35">
      <c r="A58" t="s">
        <v>2744</v>
      </c>
      <c r="B58" t="s">
        <v>741</v>
      </c>
      <c r="C58" t="s">
        <v>629</v>
      </c>
      <c r="D58" s="3">
        <v>1</v>
      </c>
      <c r="E58" s="2">
        <v>300</v>
      </c>
    </row>
    <row r="59" spans="1:5" x14ac:dyDescent="0.35">
      <c r="A59" t="s">
        <v>2745</v>
      </c>
      <c r="B59" t="s">
        <v>742</v>
      </c>
      <c r="C59" t="s">
        <v>623</v>
      </c>
      <c r="D59" s="3">
        <v>1</v>
      </c>
      <c r="E59" s="2">
        <v>1200</v>
      </c>
    </row>
    <row r="60" spans="1:5" x14ac:dyDescent="0.35">
      <c r="A60" t="s">
        <v>2746</v>
      </c>
      <c r="B60" t="s">
        <v>743</v>
      </c>
      <c r="C60" t="s">
        <v>656</v>
      </c>
      <c r="D60" s="3">
        <v>1</v>
      </c>
      <c r="E60" s="2">
        <v>350</v>
      </c>
    </row>
    <row r="61" spans="1:5" x14ac:dyDescent="0.35">
      <c r="A61" t="s">
        <v>2747</v>
      </c>
      <c r="B61" t="s">
        <v>744</v>
      </c>
      <c r="C61" t="s">
        <v>620</v>
      </c>
      <c r="D61" s="3">
        <v>1</v>
      </c>
      <c r="E61" s="2">
        <v>50</v>
      </c>
    </row>
    <row r="62" spans="1:5" x14ac:dyDescent="0.35">
      <c r="A62" t="s">
        <v>2748</v>
      </c>
      <c r="B62" t="s">
        <v>745</v>
      </c>
      <c r="C62" t="s">
        <v>671</v>
      </c>
      <c r="D62" s="3">
        <v>1</v>
      </c>
      <c r="E62" s="2">
        <v>400</v>
      </c>
    </row>
    <row r="63" spans="1:5" x14ac:dyDescent="0.35">
      <c r="A63" t="s">
        <v>2749</v>
      </c>
      <c r="B63" t="s">
        <v>746</v>
      </c>
      <c r="C63" t="s">
        <v>617</v>
      </c>
      <c r="D63" s="3">
        <v>1</v>
      </c>
      <c r="E63" s="2">
        <v>200</v>
      </c>
    </row>
    <row r="64" spans="1:5" x14ac:dyDescent="0.35">
      <c r="A64" t="s">
        <v>2750</v>
      </c>
      <c r="B64" t="s">
        <v>747</v>
      </c>
      <c r="C64" t="s">
        <v>633</v>
      </c>
      <c r="D64" s="3">
        <v>1</v>
      </c>
      <c r="E64" s="2">
        <v>450</v>
      </c>
    </row>
    <row r="65" spans="1:5" x14ac:dyDescent="0.35">
      <c r="A65" t="s">
        <v>2751</v>
      </c>
      <c r="B65" t="s">
        <v>748</v>
      </c>
      <c r="C65" t="s">
        <v>649</v>
      </c>
      <c r="D65" s="3">
        <v>1</v>
      </c>
      <c r="E65" s="2">
        <v>800</v>
      </c>
    </row>
    <row r="66" spans="1:5" x14ac:dyDescent="0.35">
      <c r="A66" t="s">
        <v>2752</v>
      </c>
      <c r="B66" t="s">
        <v>749</v>
      </c>
      <c r="C66" t="s">
        <v>629</v>
      </c>
      <c r="D66" s="3">
        <v>1</v>
      </c>
      <c r="E66" s="2">
        <v>300</v>
      </c>
    </row>
    <row r="67" spans="1:5" x14ac:dyDescent="0.35">
      <c r="A67" t="s">
        <v>2753</v>
      </c>
      <c r="B67" t="s">
        <v>750</v>
      </c>
      <c r="C67" t="s">
        <v>660</v>
      </c>
      <c r="D67" s="3">
        <v>1</v>
      </c>
      <c r="E67" s="2">
        <v>6500</v>
      </c>
    </row>
    <row r="68" spans="1:5" x14ac:dyDescent="0.35">
      <c r="A68" t="s">
        <v>2754</v>
      </c>
      <c r="B68" t="s">
        <v>751</v>
      </c>
      <c r="C68" t="s">
        <v>643</v>
      </c>
      <c r="D68" s="3">
        <v>2</v>
      </c>
      <c r="E68" s="2">
        <v>4400</v>
      </c>
    </row>
    <row r="69" spans="1:5" x14ac:dyDescent="0.35">
      <c r="A69" t="s">
        <v>2755</v>
      </c>
      <c r="B69" t="s">
        <v>752</v>
      </c>
      <c r="C69" t="s">
        <v>669</v>
      </c>
      <c r="D69" s="3">
        <v>1</v>
      </c>
      <c r="E69" s="2">
        <v>600</v>
      </c>
    </row>
    <row r="70" spans="1:5" x14ac:dyDescent="0.35">
      <c r="A70" t="s">
        <v>2756</v>
      </c>
      <c r="B70" t="s">
        <v>753</v>
      </c>
      <c r="C70" t="s">
        <v>673</v>
      </c>
      <c r="D70" s="3">
        <v>1</v>
      </c>
      <c r="E70" s="2">
        <v>300</v>
      </c>
    </row>
    <row r="71" spans="1:5" x14ac:dyDescent="0.35">
      <c r="A71" t="s">
        <v>2757</v>
      </c>
      <c r="B71" t="s">
        <v>754</v>
      </c>
      <c r="C71" t="s">
        <v>620</v>
      </c>
      <c r="D71" s="3">
        <v>1</v>
      </c>
      <c r="E71" s="2">
        <v>50</v>
      </c>
    </row>
    <row r="72" spans="1:5" x14ac:dyDescent="0.35">
      <c r="A72" t="s">
        <v>2758</v>
      </c>
      <c r="B72" t="s">
        <v>755</v>
      </c>
      <c r="C72" t="s">
        <v>635</v>
      </c>
      <c r="D72" s="3">
        <v>1</v>
      </c>
      <c r="E72" s="2">
        <v>180</v>
      </c>
    </row>
    <row r="73" spans="1:5" x14ac:dyDescent="0.35">
      <c r="A73" t="s">
        <v>2759</v>
      </c>
      <c r="B73" t="s">
        <v>756</v>
      </c>
      <c r="C73" t="s">
        <v>638</v>
      </c>
      <c r="D73" s="3">
        <v>1</v>
      </c>
      <c r="E73" s="2">
        <v>150</v>
      </c>
    </row>
    <row r="74" spans="1:5" x14ac:dyDescent="0.35">
      <c r="A74" t="s">
        <v>2760</v>
      </c>
      <c r="B74" t="s">
        <v>757</v>
      </c>
      <c r="C74" t="s">
        <v>623</v>
      </c>
      <c r="D74" s="3">
        <v>1</v>
      </c>
      <c r="E74" s="2">
        <v>1200</v>
      </c>
    </row>
    <row r="75" spans="1:5" x14ac:dyDescent="0.35">
      <c r="A75" t="s">
        <v>2761</v>
      </c>
      <c r="B75" t="s">
        <v>758</v>
      </c>
      <c r="C75" t="s">
        <v>620</v>
      </c>
      <c r="D75" s="3">
        <v>3</v>
      </c>
      <c r="E75" s="2">
        <v>150</v>
      </c>
    </row>
    <row r="76" spans="1:5" x14ac:dyDescent="0.35">
      <c r="A76" t="s">
        <v>2762</v>
      </c>
      <c r="B76" t="s">
        <v>759</v>
      </c>
      <c r="C76" t="s">
        <v>633</v>
      </c>
      <c r="D76" s="3">
        <v>1</v>
      </c>
      <c r="E76" s="2">
        <v>450</v>
      </c>
    </row>
    <row r="77" spans="1:5" x14ac:dyDescent="0.35">
      <c r="A77" t="s">
        <v>2763</v>
      </c>
      <c r="B77" t="s">
        <v>760</v>
      </c>
      <c r="C77" t="s">
        <v>629</v>
      </c>
      <c r="D77" s="3">
        <v>1</v>
      </c>
      <c r="E77" s="2">
        <v>300</v>
      </c>
    </row>
    <row r="78" spans="1:5" x14ac:dyDescent="0.35">
      <c r="A78" t="s">
        <v>2764</v>
      </c>
      <c r="B78" t="s">
        <v>761</v>
      </c>
      <c r="C78" t="s">
        <v>665</v>
      </c>
      <c r="D78" s="3">
        <v>1</v>
      </c>
      <c r="E78" s="2">
        <v>700</v>
      </c>
    </row>
    <row r="79" spans="1:5" x14ac:dyDescent="0.35">
      <c r="A79" t="s">
        <v>2765</v>
      </c>
      <c r="B79" t="s">
        <v>762</v>
      </c>
      <c r="C79" t="s">
        <v>629</v>
      </c>
      <c r="D79" s="3">
        <v>1</v>
      </c>
      <c r="E79" s="2">
        <v>300</v>
      </c>
    </row>
    <row r="80" spans="1:5" x14ac:dyDescent="0.35">
      <c r="A80" t="s">
        <v>2766</v>
      </c>
      <c r="B80" t="s">
        <v>763</v>
      </c>
      <c r="C80" t="s">
        <v>663</v>
      </c>
      <c r="D80" s="3">
        <v>1</v>
      </c>
      <c r="E80" s="2">
        <v>1400</v>
      </c>
    </row>
    <row r="81" spans="1:5" x14ac:dyDescent="0.35">
      <c r="A81" t="s">
        <v>2767</v>
      </c>
      <c r="B81" t="s">
        <v>764</v>
      </c>
      <c r="C81" t="s">
        <v>647</v>
      </c>
      <c r="D81" s="3">
        <v>1</v>
      </c>
      <c r="E81" s="2">
        <v>4200</v>
      </c>
    </row>
    <row r="82" spans="1:5" x14ac:dyDescent="0.35">
      <c r="A82" t="s">
        <v>2768</v>
      </c>
      <c r="B82" t="s">
        <v>765</v>
      </c>
      <c r="C82" t="s">
        <v>665</v>
      </c>
      <c r="D82" s="3">
        <v>1</v>
      </c>
      <c r="E82" s="2">
        <v>700</v>
      </c>
    </row>
    <row r="83" spans="1:5" x14ac:dyDescent="0.35">
      <c r="A83" t="s">
        <v>2769</v>
      </c>
      <c r="B83" t="s">
        <v>766</v>
      </c>
      <c r="C83" t="s">
        <v>663</v>
      </c>
      <c r="D83" s="3">
        <v>1</v>
      </c>
      <c r="E83" s="2">
        <v>1400</v>
      </c>
    </row>
    <row r="84" spans="1:5" x14ac:dyDescent="0.35">
      <c r="A84" t="s">
        <v>2770</v>
      </c>
      <c r="B84" t="s">
        <v>767</v>
      </c>
      <c r="C84" t="s">
        <v>631</v>
      </c>
      <c r="D84" s="3">
        <v>2</v>
      </c>
      <c r="E84" s="2">
        <v>1800</v>
      </c>
    </row>
    <row r="85" spans="1:5" x14ac:dyDescent="0.35">
      <c r="A85" t="s">
        <v>2771</v>
      </c>
      <c r="B85" t="s">
        <v>768</v>
      </c>
      <c r="C85" t="s">
        <v>663</v>
      </c>
      <c r="D85" s="3">
        <v>1</v>
      </c>
      <c r="E85" s="2">
        <v>1400</v>
      </c>
    </row>
    <row r="86" spans="1:5" x14ac:dyDescent="0.35">
      <c r="A86" t="s">
        <v>2772</v>
      </c>
      <c r="B86" t="s">
        <v>769</v>
      </c>
      <c r="C86" t="s">
        <v>658</v>
      </c>
      <c r="D86" s="3">
        <v>1</v>
      </c>
      <c r="E86" s="2">
        <v>750</v>
      </c>
    </row>
    <row r="87" spans="1:5" x14ac:dyDescent="0.35">
      <c r="A87" t="s">
        <v>2773</v>
      </c>
      <c r="B87" t="s">
        <v>770</v>
      </c>
      <c r="C87" t="s">
        <v>673</v>
      </c>
      <c r="D87" s="3">
        <v>1</v>
      </c>
      <c r="E87" s="2">
        <v>300</v>
      </c>
    </row>
    <row r="88" spans="1:5" x14ac:dyDescent="0.35">
      <c r="A88" t="s">
        <v>2774</v>
      </c>
      <c r="B88" t="s">
        <v>771</v>
      </c>
      <c r="C88" t="s">
        <v>620</v>
      </c>
      <c r="D88" s="3">
        <v>2</v>
      </c>
      <c r="E88" s="2">
        <v>100</v>
      </c>
    </row>
    <row r="89" spans="1:5" x14ac:dyDescent="0.35">
      <c r="A89" t="s">
        <v>2775</v>
      </c>
      <c r="B89" t="s">
        <v>772</v>
      </c>
      <c r="C89" t="s">
        <v>673</v>
      </c>
      <c r="D89" s="3">
        <v>1</v>
      </c>
      <c r="E89" s="2">
        <v>300</v>
      </c>
    </row>
    <row r="90" spans="1:5" x14ac:dyDescent="0.35">
      <c r="A90" t="s">
        <v>2776</v>
      </c>
      <c r="B90" t="s">
        <v>773</v>
      </c>
      <c r="C90" t="s">
        <v>631</v>
      </c>
      <c r="D90" s="3">
        <v>1</v>
      </c>
      <c r="E90" s="2">
        <v>900</v>
      </c>
    </row>
    <row r="91" spans="1:5" x14ac:dyDescent="0.35">
      <c r="A91" t="s">
        <v>2777</v>
      </c>
      <c r="B91" t="s">
        <v>774</v>
      </c>
      <c r="C91" t="s">
        <v>638</v>
      </c>
      <c r="D91" s="3">
        <v>2</v>
      </c>
      <c r="E91" s="2">
        <v>300</v>
      </c>
    </row>
    <row r="92" spans="1:5" x14ac:dyDescent="0.35">
      <c r="A92" t="s">
        <v>2778</v>
      </c>
      <c r="B92" t="s">
        <v>775</v>
      </c>
      <c r="C92" t="s">
        <v>673</v>
      </c>
      <c r="D92" s="3">
        <v>1</v>
      </c>
      <c r="E92" s="2">
        <v>300</v>
      </c>
    </row>
    <row r="93" spans="1:5" x14ac:dyDescent="0.35">
      <c r="A93" t="s">
        <v>2779</v>
      </c>
      <c r="B93" t="s">
        <v>776</v>
      </c>
      <c r="C93" t="s">
        <v>623</v>
      </c>
      <c r="D93" s="3">
        <v>1</v>
      </c>
      <c r="E93" s="2">
        <v>1200</v>
      </c>
    </row>
    <row r="94" spans="1:5" x14ac:dyDescent="0.35">
      <c r="A94" t="s">
        <v>2780</v>
      </c>
      <c r="B94" t="s">
        <v>777</v>
      </c>
      <c r="C94" t="s">
        <v>617</v>
      </c>
      <c r="D94" s="3">
        <v>1</v>
      </c>
      <c r="E94" s="2">
        <v>200</v>
      </c>
    </row>
    <row r="95" spans="1:5" x14ac:dyDescent="0.35">
      <c r="A95" t="s">
        <v>2781</v>
      </c>
      <c r="B95" t="s">
        <v>778</v>
      </c>
      <c r="C95" t="s">
        <v>617</v>
      </c>
      <c r="D95" s="3">
        <v>1</v>
      </c>
      <c r="E95" s="2">
        <v>200</v>
      </c>
    </row>
    <row r="96" spans="1:5" x14ac:dyDescent="0.35">
      <c r="A96" t="s">
        <v>2782</v>
      </c>
      <c r="B96" t="s">
        <v>779</v>
      </c>
      <c r="C96" t="s">
        <v>660</v>
      </c>
      <c r="D96" s="3">
        <v>3</v>
      </c>
      <c r="E96" s="2">
        <v>19500</v>
      </c>
    </row>
    <row r="97" spans="1:5" x14ac:dyDescent="0.35">
      <c r="A97" t="s">
        <v>2783</v>
      </c>
      <c r="B97" t="s">
        <v>780</v>
      </c>
      <c r="C97" t="s">
        <v>629</v>
      </c>
      <c r="D97" s="3">
        <v>1</v>
      </c>
      <c r="E97" s="2">
        <v>300</v>
      </c>
    </row>
    <row r="98" spans="1:5" x14ac:dyDescent="0.35">
      <c r="A98" t="s">
        <v>2784</v>
      </c>
      <c r="B98" t="s">
        <v>781</v>
      </c>
      <c r="C98" t="s">
        <v>647</v>
      </c>
      <c r="D98" s="3">
        <v>1</v>
      </c>
      <c r="E98" s="2">
        <v>4200</v>
      </c>
    </row>
    <row r="99" spans="1:5" x14ac:dyDescent="0.35">
      <c r="A99" t="s">
        <v>2785</v>
      </c>
      <c r="B99" t="s">
        <v>782</v>
      </c>
      <c r="C99" t="s">
        <v>660</v>
      </c>
      <c r="D99" s="3">
        <v>2</v>
      </c>
      <c r="E99" s="2">
        <v>13000</v>
      </c>
    </row>
    <row r="100" spans="1:5" x14ac:dyDescent="0.35">
      <c r="A100" t="s">
        <v>2786</v>
      </c>
      <c r="B100" t="s">
        <v>783</v>
      </c>
      <c r="C100" t="s">
        <v>645</v>
      </c>
      <c r="D100" s="3">
        <v>1</v>
      </c>
      <c r="E100" s="2">
        <v>3500</v>
      </c>
    </row>
    <row r="101" spans="1:5" x14ac:dyDescent="0.35">
      <c r="A101" t="s">
        <v>2787</v>
      </c>
      <c r="B101" t="s">
        <v>784</v>
      </c>
      <c r="C101" t="s">
        <v>654</v>
      </c>
      <c r="D101" s="3">
        <v>1</v>
      </c>
      <c r="E101" s="2">
        <v>100</v>
      </c>
    </row>
    <row r="102" spans="1:5" x14ac:dyDescent="0.35">
      <c r="A102" t="s">
        <v>2788</v>
      </c>
      <c r="B102" t="s">
        <v>785</v>
      </c>
      <c r="C102" t="s">
        <v>673</v>
      </c>
      <c r="D102" s="3">
        <v>1</v>
      </c>
      <c r="E102" s="2">
        <v>300</v>
      </c>
    </row>
    <row r="103" spans="1:5" x14ac:dyDescent="0.35">
      <c r="A103" t="s">
        <v>2789</v>
      </c>
      <c r="B103" t="s">
        <v>786</v>
      </c>
      <c r="C103" t="s">
        <v>673</v>
      </c>
      <c r="D103" s="3">
        <v>1</v>
      </c>
      <c r="E103" s="2">
        <v>300</v>
      </c>
    </row>
    <row r="104" spans="1:5" x14ac:dyDescent="0.35">
      <c r="A104" t="s">
        <v>2790</v>
      </c>
      <c r="B104" t="s">
        <v>787</v>
      </c>
      <c r="C104" t="s">
        <v>660</v>
      </c>
      <c r="D104" s="3">
        <v>1</v>
      </c>
      <c r="E104" s="2">
        <v>6500</v>
      </c>
    </row>
    <row r="105" spans="1:5" x14ac:dyDescent="0.35">
      <c r="A105" t="s">
        <v>2791</v>
      </c>
      <c r="B105" t="s">
        <v>788</v>
      </c>
      <c r="C105" t="s">
        <v>623</v>
      </c>
      <c r="D105" s="3">
        <v>2</v>
      </c>
      <c r="E105" s="2">
        <v>2400</v>
      </c>
    </row>
    <row r="106" spans="1:5" x14ac:dyDescent="0.35">
      <c r="A106" t="s">
        <v>2792</v>
      </c>
      <c r="B106" t="s">
        <v>789</v>
      </c>
      <c r="C106" t="s">
        <v>645</v>
      </c>
      <c r="D106" s="3">
        <v>1</v>
      </c>
      <c r="E106" s="2">
        <v>3500</v>
      </c>
    </row>
    <row r="107" spans="1:5" x14ac:dyDescent="0.35">
      <c r="A107" t="s">
        <v>2793</v>
      </c>
      <c r="B107" t="s">
        <v>790</v>
      </c>
      <c r="C107" t="s">
        <v>629</v>
      </c>
      <c r="D107" s="3">
        <v>1</v>
      </c>
      <c r="E107" s="2">
        <v>300</v>
      </c>
    </row>
    <row r="108" spans="1:5" x14ac:dyDescent="0.35">
      <c r="A108" t="s">
        <v>2794</v>
      </c>
      <c r="B108" t="s">
        <v>791</v>
      </c>
      <c r="C108" t="s">
        <v>620</v>
      </c>
      <c r="D108" s="3">
        <v>1</v>
      </c>
      <c r="E108" s="2">
        <v>50</v>
      </c>
    </row>
    <row r="109" spans="1:5" x14ac:dyDescent="0.35">
      <c r="A109" t="s">
        <v>2795</v>
      </c>
      <c r="B109" t="s">
        <v>792</v>
      </c>
      <c r="C109" t="s">
        <v>667</v>
      </c>
      <c r="D109" s="3">
        <v>1</v>
      </c>
      <c r="E109" s="2">
        <v>550</v>
      </c>
    </row>
    <row r="110" spans="1:5" x14ac:dyDescent="0.35">
      <c r="A110" t="s">
        <v>2796</v>
      </c>
      <c r="B110" t="s">
        <v>793</v>
      </c>
      <c r="C110" t="s">
        <v>633</v>
      </c>
      <c r="D110" s="3">
        <v>1</v>
      </c>
      <c r="E110" s="2">
        <v>450</v>
      </c>
    </row>
    <row r="111" spans="1:5" x14ac:dyDescent="0.35">
      <c r="A111" t="s">
        <v>2797</v>
      </c>
      <c r="B111" t="s">
        <v>794</v>
      </c>
      <c r="C111" t="s">
        <v>647</v>
      </c>
      <c r="D111" s="3">
        <v>1</v>
      </c>
      <c r="E111" s="2">
        <v>4200</v>
      </c>
    </row>
    <row r="112" spans="1:5" x14ac:dyDescent="0.35">
      <c r="A112" t="s">
        <v>2798</v>
      </c>
      <c r="B112" t="s">
        <v>795</v>
      </c>
      <c r="C112" t="s">
        <v>673</v>
      </c>
      <c r="D112" s="3">
        <v>3</v>
      </c>
      <c r="E112" s="2">
        <v>900</v>
      </c>
    </row>
    <row r="113" spans="1:5" x14ac:dyDescent="0.35">
      <c r="A113" t="s">
        <v>2799</v>
      </c>
      <c r="B113" t="s">
        <v>796</v>
      </c>
      <c r="C113" t="s">
        <v>651</v>
      </c>
      <c r="D113" s="3">
        <v>1</v>
      </c>
      <c r="E113" s="2">
        <v>120</v>
      </c>
    </row>
    <row r="114" spans="1:5" x14ac:dyDescent="0.35">
      <c r="A114" t="s">
        <v>2800</v>
      </c>
      <c r="B114" t="s">
        <v>797</v>
      </c>
      <c r="C114" t="s">
        <v>667</v>
      </c>
      <c r="D114" s="3">
        <v>1</v>
      </c>
      <c r="E114" s="2">
        <v>550</v>
      </c>
    </row>
    <row r="115" spans="1:5" x14ac:dyDescent="0.35">
      <c r="A115" t="s">
        <v>2801</v>
      </c>
      <c r="B115" t="s">
        <v>798</v>
      </c>
      <c r="C115" t="s">
        <v>623</v>
      </c>
      <c r="D115" s="3">
        <v>1</v>
      </c>
      <c r="E115" s="2">
        <v>1200</v>
      </c>
    </row>
    <row r="116" spans="1:5" x14ac:dyDescent="0.35">
      <c r="A116" t="s">
        <v>2802</v>
      </c>
      <c r="B116" t="s">
        <v>799</v>
      </c>
      <c r="C116" t="s">
        <v>665</v>
      </c>
      <c r="D116" s="3">
        <v>1</v>
      </c>
      <c r="E116" s="2">
        <v>700</v>
      </c>
    </row>
    <row r="117" spans="1:5" x14ac:dyDescent="0.35">
      <c r="A117" t="s">
        <v>2803</v>
      </c>
      <c r="B117" t="s">
        <v>800</v>
      </c>
      <c r="C117" t="s">
        <v>663</v>
      </c>
      <c r="D117" s="3">
        <v>1</v>
      </c>
      <c r="E117" s="2">
        <v>1400</v>
      </c>
    </row>
    <row r="118" spans="1:5" x14ac:dyDescent="0.35">
      <c r="A118" t="s">
        <v>2804</v>
      </c>
      <c r="B118" t="s">
        <v>801</v>
      </c>
      <c r="C118" t="s">
        <v>629</v>
      </c>
      <c r="D118" s="3">
        <v>1</v>
      </c>
      <c r="E118" s="2">
        <v>300</v>
      </c>
    </row>
    <row r="119" spans="1:5" x14ac:dyDescent="0.35">
      <c r="A119" t="s">
        <v>2805</v>
      </c>
      <c r="B119" t="s">
        <v>802</v>
      </c>
      <c r="C119" t="s">
        <v>671</v>
      </c>
      <c r="D119" s="3">
        <v>1</v>
      </c>
      <c r="E119" s="2">
        <v>400</v>
      </c>
    </row>
    <row r="120" spans="1:5" x14ac:dyDescent="0.35">
      <c r="A120" t="s">
        <v>2806</v>
      </c>
      <c r="B120" t="s">
        <v>803</v>
      </c>
      <c r="C120" t="s">
        <v>635</v>
      </c>
      <c r="D120" s="3">
        <v>2</v>
      </c>
      <c r="E120" s="2">
        <v>360</v>
      </c>
    </row>
    <row r="121" spans="1:5" x14ac:dyDescent="0.35">
      <c r="A121" t="s">
        <v>2807</v>
      </c>
      <c r="B121" t="s">
        <v>804</v>
      </c>
      <c r="C121" t="s">
        <v>667</v>
      </c>
      <c r="D121" s="3">
        <v>1</v>
      </c>
      <c r="E121" s="2">
        <v>550</v>
      </c>
    </row>
    <row r="122" spans="1:5" x14ac:dyDescent="0.35">
      <c r="A122" t="s">
        <v>2808</v>
      </c>
      <c r="B122" t="s">
        <v>805</v>
      </c>
      <c r="C122" t="s">
        <v>617</v>
      </c>
      <c r="D122" s="3">
        <v>1</v>
      </c>
      <c r="E122" s="2">
        <v>200</v>
      </c>
    </row>
    <row r="123" spans="1:5" x14ac:dyDescent="0.35">
      <c r="A123" t="s">
        <v>2809</v>
      </c>
      <c r="B123" t="s">
        <v>806</v>
      </c>
      <c r="C123" t="s">
        <v>635</v>
      </c>
      <c r="D123" s="3">
        <v>1</v>
      </c>
      <c r="E123" s="2">
        <v>180</v>
      </c>
    </row>
    <row r="124" spans="1:5" x14ac:dyDescent="0.35">
      <c r="A124" t="s">
        <v>2810</v>
      </c>
      <c r="B124" t="s">
        <v>807</v>
      </c>
      <c r="C124" t="s">
        <v>671</v>
      </c>
      <c r="D124" s="3">
        <v>1</v>
      </c>
      <c r="E124" s="2">
        <v>400</v>
      </c>
    </row>
    <row r="125" spans="1:5" x14ac:dyDescent="0.35">
      <c r="A125" t="s">
        <v>2811</v>
      </c>
      <c r="B125" t="s">
        <v>808</v>
      </c>
      <c r="C125" t="s">
        <v>658</v>
      </c>
      <c r="D125" s="3">
        <v>1</v>
      </c>
      <c r="E125" s="2">
        <v>750</v>
      </c>
    </row>
    <row r="126" spans="1:5" x14ac:dyDescent="0.35">
      <c r="A126" t="s">
        <v>2812</v>
      </c>
      <c r="B126" t="s">
        <v>809</v>
      </c>
      <c r="C126" t="s">
        <v>663</v>
      </c>
      <c r="D126" s="3">
        <v>1</v>
      </c>
      <c r="E126" s="2">
        <v>1400</v>
      </c>
    </row>
    <row r="127" spans="1:5" x14ac:dyDescent="0.35">
      <c r="A127" t="s">
        <v>2813</v>
      </c>
      <c r="B127" t="s">
        <v>810</v>
      </c>
      <c r="C127" t="s">
        <v>654</v>
      </c>
      <c r="D127" s="3">
        <v>1</v>
      </c>
      <c r="E127" s="2">
        <v>100</v>
      </c>
    </row>
    <row r="128" spans="1:5" x14ac:dyDescent="0.35">
      <c r="A128" t="s">
        <v>2814</v>
      </c>
      <c r="B128" t="s">
        <v>811</v>
      </c>
      <c r="C128" t="s">
        <v>658</v>
      </c>
      <c r="D128" s="3">
        <v>1</v>
      </c>
      <c r="E128" s="2">
        <v>750</v>
      </c>
    </row>
    <row r="129" spans="1:5" x14ac:dyDescent="0.35">
      <c r="A129" t="s">
        <v>2815</v>
      </c>
      <c r="B129" t="s">
        <v>812</v>
      </c>
      <c r="C129" t="s">
        <v>663</v>
      </c>
      <c r="D129" s="3">
        <v>1</v>
      </c>
      <c r="E129" s="2">
        <v>1400</v>
      </c>
    </row>
    <row r="130" spans="1:5" x14ac:dyDescent="0.35">
      <c r="A130" t="s">
        <v>2816</v>
      </c>
      <c r="B130" t="s">
        <v>813</v>
      </c>
      <c r="C130" t="s">
        <v>645</v>
      </c>
      <c r="D130" s="3">
        <v>1</v>
      </c>
      <c r="E130" s="2">
        <v>3500</v>
      </c>
    </row>
    <row r="131" spans="1:5" x14ac:dyDescent="0.35">
      <c r="A131" t="s">
        <v>2817</v>
      </c>
      <c r="B131" t="s">
        <v>814</v>
      </c>
      <c r="C131" t="s">
        <v>647</v>
      </c>
      <c r="D131" s="3">
        <v>1</v>
      </c>
      <c r="E131" s="2">
        <v>4200</v>
      </c>
    </row>
    <row r="132" spans="1:5" x14ac:dyDescent="0.35">
      <c r="A132" t="s">
        <v>2818</v>
      </c>
      <c r="B132" t="s">
        <v>815</v>
      </c>
      <c r="C132" t="s">
        <v>647</v>
      </c>
      <c r="D132" s="3">
        <v>1</v>
      </c>
      <c r="E132" s="2">
        <v>4200</v>
      </c>
    </row>
    <row r="133" spans="1:5" x14ac:dyDescent="0.35">
      <c r="A133" t="s">
        <v>2819</v>
      </c>
      <c r="B133" t="s">
        <v>816</v>
      </c>
      <c r="C133" t="s">
        <v>641</v>
      </c>
      <c r="D133" s="3">
        <v>1</v>
      </c>
      <c r="E133" s="2">
        <v>1800</v>
      </c>
    </row>
    <row r="134" spans="1:5" x14ac:dyDescent="0.35">
      <c r="A134" t="s">
        <v>2820</v>
      </c>
      <c r="B134" t="s">
        <v>817</v>
      </c>
      <c r="C134" t="s">
        <v>633</v>
      </c>
      <c r="D134" s="3">
        <v>1</v>
      </c>
      <c r="E134" s="2">
        <v>450</v>
      </c>
    </row>
    <row r="135" spans="1:5" x14ac:dyDescent="0.35">
      <c r="A135" t="s">
        <v>2821</v>
      </c>
      <c r="B135" t="s">
        <v>818</v>
      </c>
      <c r="C135" t="s">
        <v>673</v>
      </c>
      <c r="D135" s="3">
        <v>1</v>
      </c>
      <c r="E135" s="2">
        <v>300</v>
      </c>
    </row>
    <row r="136" spans="1:5" x14ac:dyDescent="0.35">
      <c r="A136" t="s">
        <v>2822</v>
      </c>
      <c r="B136" t="s">
        <v>819</v>
      </c>
      <c r="C136" t="s">
        <v>649</v>
      </c>
      <c r="D136" s="3">
        <v>1</v>
      </c>
      <c r="E136" s="2">
        <v>800</v>
      </c>
    </row>
    <row r="137" spans="1:5" x14ac:dyDescent="0.35">
      <c r="A137" t="s">
        <v>2823</v>
      </c>
      <c r="B137" t="s">
        <v>820</v>
      </c>
      <c r="C137" t="s">
        <v>671</v>
      </c>
      <c r="D137" s="3">
        <v>1</v>
      </c>
      <c r="E137" s="2">
        <v>400</v>
      </c>
    </row>
    <row r="138" spans="1:5" x14ac:dyDescent="0.35">
      <c r="A138" t="s">
        <v>2824</v>
      </c>
      <c r="B138" t="s">
        <v>821</v>
      </c>
      <c r="C138" t="s">
        <v>654</v>
      </c>
      <c r="D138" s="3">
        <v>1</v>
      </c>
      <c r="E138" s="2">
        <v>100</v>
      </c>
    </row>
    <row r="139" spans="1:5" x14ac:dyDescent="0.35">
      <c r="A139" t="s">
        <v>2825</v>
      </c>
      <c r="B139" t="s">
        <v>822</v>
      </c>
      <c r="C139" t="s">
        <v>651</v>
      </c>
      <c r="D139" s="3">
        <v>1</v>
      </c>
      <c r="E139" s="2">
        <v>120</v>
      </c>
    </row>
    <row r="140" spans="1:5" x14ac:dyDescent="0.35">
      <c r="A140" t="s">
        <v>2826</v>
      </c>
      <c r="B140" t="s">
        <v>823</v>
      </c>
      <c r="C140" t="s">
        <v>645</v>
      </c>
      <c r="D140" s="3">
        <v>1</v>
      </c>
      <c r="E140" s="2">
        <v>3500</v>
      </c>
    </row>
    <row r="141" spans="1:5" x14ac:dyDescent="0.35">
      <c r="A141" t="s">
        <v>2827</v>
      </c>
      <c r="B141" t="s">
        <v>824</v>
      </c>
      <c r="C141" t="s">
        <v>638</v>
      </c>
      <c r="D141" s="3">
        <v>1</v>
      </c>
      <c r="E141" s="2">
        <v>150</v>
      </c>
    </row>
    <row r="142" spans="1:5" x14ac:dyDescent="0.35">
      <c r="A142" t="s">
        <v>2828</v>
      </c>
      <c r="B142" t="s">
        <v>825</v>
      </c>
      <c r="C142" t="s">
        <v>635</v>
      </c>
      <c r="D142" s="3">
        <v>1</v>
      </c>
      <c r="E142" s="2">
        <v>180</v>
      </c>
    </row>
    <row r="143" spans="1:5" x14ac:dyDescent="0.35">
      <c r="A143" t="s">
        <v>2829</v>
      </c>
      <c r="B143" t="s">
        <v>826</v>
      </c>
      <c r="C143" t="s">
        <v>658</v>
      </c>
      <c r="D143" s="3">
        <v>1</v>
      </c>
      <c r="E143" s="2">
        <v>750</v>
      </c>
    </row>
    <row r="144" spans="1:5" x14ac:dyDescent="0.35">
      <c r="A144" t="s">
        <v>2830</v>
      </c>
      <c r="B144" t="s">
        <v>827</v>
      </c>
      <c r="C144" t="s">
        <v>669</v>
      </c>
      <c r="D144" s="3">
        <v>1</v>
      </c>
      <c r="E144" s="2">
        <v>600</v>
      </c>
    </row>
    <row r="145" spans="1:5" x14ac:dyDescent="0.35">
      <c r="A145" t="s">
        <v>2831</v>
      </c>
      <c r="B145" t="s">
        <v>828</v>
      </c>
      <c r="C145" t="s">
        <v>658</v>
      </c>
      <c r="D145" s="3">
        <v>1</v>
      </c>
      <c r="E145" s="2">
        <v>750</v>
      </c>
    </row>
    <row r="146" spans="1:5" x14ac:dyDescent="0.35">
      <c r="A146" t="s">
        <v>2832</v>
      </c>
      <c r="B146" t="s">
        <v>829</v>
      </c>
      <c r="C146" t="s">
        <v>647</v>
      </c>
      <c r="D146" s="3">
        <v>1</v>
      </c>
      <c r="E146" s="2">
        <v>4200</v>
      </c>
    </row>
    <row r="147" spans="1:5" x14ac:dyDescent="0.35">
      <c r="A147" t="s">
        <v>2833</v>
      </c>
      <c r="B147" t="s">
        <v>830</v>
      </c>
      <c r="C147" t="s">
        <v>658</v>
      </c>
      <c r="D147" s="3">
        <v>1</v>
      </c>
      <c r="E147" s="2">
        <v>750</v>
      </c>
    </row>
    <row r="148" spans="1:5" x14ac:dyDescent="0.35">
      <c r="A148" t="s">
        <v>2834</v>
      </c>
      <c r="B148" t="s">
        <v>831</v>
      </c>
      <c r="C148" t="s">
        <v>651</v>
      </c>
      <c r="D148" s="3">
        <v>1</v>
      </c>
      <c r="E148" s="2">
        <v>120</v>
      </c>
    </row>
    <row r="149" spans="1:5" x14ac:dyDescent="0.35">
      <c r="A149" t="s">
        <v>2835</v>
      </c>
      <c r="B149" t="s">
        <v>832</v>
      </c>
      <c r="C149" t="s">
        <v>626</v>
      </c>
      <c r="D149" s="3">
        <v>2</v>
      </c>
      <c r="E149" s="2">
        <v>10000</v>
      </c>
    </row>
    <row r="150" spans="1:5" x14ac:dyDescent="0.35">
      <c r="A150" t="s">
        <v>2836</v>
      </c>
      <c r="B150" t="s">
        <v>833</v>
      </c>
      <c r="C150" t="s">
        <v>656</v>
      </c>
      <c r="D150" s="3">
        <v>1</v>
      </c>
      <c r="E150" s="2">
        <v>350</v>
      </c>
    </row>
    <row r="151" spans="1:5" x14ac:dyDescent="0.35">
      <c r="A151" t="s">
        <v>2837</v>
      </c>
      <c r="B151" t="s">
        <v>834</v>
      </c>
      <c r="C151" t="s">
        <v>629</v>
      </c>
      <c r="D151" s="3">
        <v>1</v>
      </c>
      <c r="E151" s="2">
        <v>300</v>
      </c>
    </row>
    <row r="152" spans="1:5" x14ac:dyDescent="0.35">
      <c r="A152" t="s">
        <v>2838</v>
      </c>
      <c r="B152" t="s">
        <v>835</v>
      </c>
      <c r="C152" t="s">
        <v>667</v>
      </c>
      <c r="D152" s="3">
        <v>1</v>
      </c>
      <c r="E152" s="2">
        <v>550</v>
      </c>
    </row>
    <row r="153" spans="1:5" x14ac:dyDescent="0.35">
      <c r="A153" t="s">
        <v>2839</v>
      </c>
      <c r="B153" t="s">
        <v>836</v>
      </c>
      <c r="C153" t="s">
        <v>654</v>
      </c>
      <c r="D153" s="3">
        <v>1</v>
      </c>
      <c r="E153" s="2">
        <v>100</v>
      </c>
    </row>
    <row r="154" spans="1:5" x14ac:dyDescent="0.35">
      <c r="A154" t="s">
        <v>2840</v>
      </c>
      <c r="B154" t="s">
        <v>837</v>
      </c>
      <c r="C154" t="s">
        <v>638</v>
      </c>
      <c r="D154" s="3">
        <v>1</v>
      </c>
      <c r="E154" s="2">
        <v>150</v>
      </c>
    </row>
    <row r="155" spans="1:5" x14ac:dyDescent="0.35">
      <c r="A155" t="s">
        <v>2841</v>
      </c>
      <c r="B155" t="s">
        <v>838</v>
      </c>
      <c r="C155" t="s">
        <v>641</v>
      </c>
      <c r="D155" s="3">
        <v>1</v>
      </c>
      <c r="E155" s="2">
        <v>1800</v>
      </c>
    </row>
    <row r="156" spans="1:5" x14ac:dyDescent="0.35">
      <c r="A156" t="s">
        <v>2842</v>
      </c>
      <c r="B156" t="s">
        <v>839</v>
      </c>
      <c r="C156" t="s">
        <v>671</v>
      </c>
      <c r="D156" s="3">
        <v>3</v>
      </c>
      <c r="E156" s="2">
        <v>1200</v>
      </c>
    </row>
    <row r="157" spans="1:5" x14ac:dyDescent="0.35">
      <c r="A157" t="s">
        <v>2843</v>
      </c>
      <c r="B157" t="s">
        <v>840</v>
      </c>
      <c r="C157" t="s">
        <v>658</v>
      </c>
      <c r="D157" s="3">
        <v>1</v>
      </c>
      <c r="E157" s="2">
        <v>750</v>
      </c>
    </row>
    <row r="158" spans="1:5" x14ac:dyDescent="0.35">
      <c r="A158" t="s">
        <v>2844</v>
      </c>
      <c r="B158" t="s">
        <v>841</v>
      </c>
      <c r="C158" t="s">
        <v>656</v>
      </c>
      <c r="D158" s="3">
        <v>1</v>
      </c>
      <c r="E158" s="2">
        <v>350</v>
      </c>
    </row>
    <row r="159" spans="1:5" x14ac:dyDescent="0.35">
      <c r="A159" t="s">
        <v>2845</v>
      </c>
      <c r="B159" t="s">
        <v>842</v>
      </c>
      <c r="C159" t="s">
        <v>658</v>
      </c>
      <c r="D159" s="3">
        <v>3</v>
      </c>
      <c r="E159" s="2">
        <v>2250</v>
      </c>
    </row>
    <row r="160" spans="1:5" x14ac:dyDescent="0.35">
      <c r="A160" t="s">
        <v>2846</v>
      </c>
      <c r="B160" t="s">
        <v>843</v>
      </c>
      <c r="C160" t="s">
        <v>633</v>
      </c>
      <c r="D160" s="3">
        <v>2</v>
      </c>
      <c r="E160" s="2">
        <v>900</v>
      </c>
    </row>
    <row r="161" spans="1:5" x14ac:dyDescent="0.35">
      <c r="A161" t="s">
        <v>2847</v>
      </c>
      <c r="B161" t="s">
        <v>844</v>
      </c>
      <c r="C161" t="s">
        <v>626</v>
      </c>
      <c r="D161" s="3">
        <v>1</v>
      </c>
      <c r="E161" s="2">
        <v>5000</v>
      </c>
    </row>
    <row r="162" spans="1:5" x14ac:dyDescent="0.35">
      <c r="A162" t="s">
        <v>2848</v>
      </c>
      <c r="B162" t="s">
        <v>845</v>
      </c>
      <c r="C162" t="s">
        <v>629</v>
      </c>
      <c r="D162" s="3">
        <v>1</v>
      </c>
      <c r="E162" s="2">
        <v>300</v>
      </c>
    </row>
    <row r="163" spans="1:5" x14ac:dyDescent="0.35">
      <c r="A163" t="s">
        <v>2849</v>
      </c>
      <c r="B163" t="s">
        <v>846</v>
      </c>
      <c r="C163" t="s">
        <v>669</v>
      </c>
      <c r="D163" s="3">
        <v>1</v>
      </c>
      <c r="E163" s="2">
        <v>600</v>
      </c>
    </row>
    <row r="164" spans="1:5" x14ac:dyDescent="0.35">
      <c r="A164" t="s">
        <v>2850</v>
      </c>
      <c r="B164" t="s">
        <v>847</v>
      </c>
      <c r="C164" t="s">
        <v>654</v>
      </c>
      <c r="D164" s="3">
        <v>1</v>
      </c>
      <c r="E164" s="2">
        <v>100</v>
      </c>
    </row>
    <row r="165" spans="1:5" x14ac:dyDescent="0.35">
      <c r="A165" t="s">
        <v>2851</v>
      </c>
      <c r="B165" t="s">
        <v>848</v>
      </c>
      <c r="C165" t="s">
        <v>623</v>
      </c>
      <c r="D165" s="3">
        <v>1</v>
      </c>
      <c r="E165" s="2">
        <v>1200</v>
      </c>
    </row>
    <row r="166" spans="1:5" x14ac:dyDescent="0.35">
      <c r="A166" t="s">
        <v>2852</v>
      </c>
      <c r="B166" t="s">
        <v>849</v>
      </c>
      <c r="C166" t="s">
        <v>658</v>
      </c>
      <c r="D166" s="3">
        <v>1</v>
      </c>
      <c r="E166" s="2">
        <v>750</v>
      </c>
    </row>
    <row r="167" spans="1:5" x14ac:dyDescent="0.35">
      <c r="A167" t="s">
        <v>2853</v>
      </c>
      <c r="B167" t="s">
        <v>850</v>
      </c>
      <c r="C167" t="s">
        <v>669</v>
      </c>
      <c r="D167" s="3">
        <v>3</v>
      </c>
      <c r="E167" s="2">
        <v>1800</v>
      </c>
    </row>
    <row r="168" spans="1:5" x14ac:dyDescent="0.35">
      <c r="A168" t="s">
        <v>2854</v>
      </c>
      <c r="B168" t="s">
        <v>851</v>
      </c>
      <c r="C168" t="s">
        <v>665</v>
      </c>
      <c r="D168" s="3">
        <v>1</v>
      </c>
      <c r="E168" s="2">
        <v>700</v>
      </c>
    </row>
    <row r="169" spans="1:5" x14ac:dyDescent="0.35">
      <c r="A169" t="s">
        <v>2855</v>
      </c>
      <c r="B169" t="s">
        <v>852</v>
      </c>
      <c r="C169" t="s">
        <v>649</v>
      </c>
      <c r="D169" s="3">
        <v>1</v>
      </c>
      <c r="E169" s="2">
        <v>800</v>
      </c>
    </row>
    <row r="170" spans="1:5" x14ac:dyDescent="0.35">
      <c r="A170" t="s">
        <v>2856</v>
      </c>
      <c r="B170" t="s">
        <v>853</v>
      </c>
      <c r="C170" t="s">
        <v>651</v>
      </c>
      <c r="D170" s="3">
        <v>1</v>
      </c>
      <c r="E170" s="2">
        <v>120</v>
      </c>
    </row>
    <row r="171" spans="1:5" x14ac:dyDescent="0.35">
      <c r="A171" t="s">
        <v>2857</v>
      </c>
      <c r="B171" t="s">
        <v>854</v>
      </c>
      <c r="C171" t="s">
        <v>656</v>
      </c>
      <c r="D171" s="3">
        <v>1</v>
      </c>
      <c r="E171" s="2">
        <v>350</v>
      </c>
    </row>
    <row r="172" spans="1:5" x14ac:dyDescent="0.35">
      <c r="A172" t="s">
        <v>2858</v>
      </c>
      <c r="B172" t="s">
        <v>855</v>
      </c>
      <c r="C172" t="s">
        <v>617</v>
      </c>
      <c r="D172" s="3">
        <v>1</v>
      </c>
      <c r="E172" s="2">
        <v>200</v>
      </c>
    </row>
    <row r="173" spans="1:5" x14ac:dyDescent="0.35">
      <c r="A173" t="s">
        <v>2859</v>
      </c>
      <c r="B173" t="s">
        <v>856</v>
      </c>
      <c r="C173" t="s">
        <v>673</v>
      </c>
      <c r="D173" s="3">
        <v>1</v>
      </c>
      <c r="E173" s="2">
        <v>300</v>
      </c>
    </row>
    <row r="174" spans="1:5" x14ac:dyDescent="0.35">
      <c r="A174" t="s">
        <v>2860</v>
      </c>
      <c r="B174" t="s">
        <v>857</v>
      </c>
      <c r="C174" t="s">
        <v>665</v>
      </c>
      <c r="D174" s="3">
        <v>1</v>
      </c>
      <c r="E174" s="2">
        <v>700</v>
      </c>
    </row>
    <row r="175" spans="1:5" x14ac:dyDescent="0.35">
      <c r="A175" t="s">
        <v>2861</v>
      </c>
      <c r="B175" t="s">
        <v>858</v>
      </c>
      <c r="C175" t="s">
        <v>656</v>
      </c>
      <c r="D175" s="3">
        <v>1</v>
      </c>
      <c r="E175" s="2">
        <v>350</v>
      </c>
    </row>
    <row r="176" spans="1:5" x14ac:dyDescent="0.35">
      <c r="A176" t="s">
        <v>2862</v>
      </c>
      <c r="B176" t="s">
        <v>859</v>
      </c>
      <c r="C176" t="s">
        <v>669</v>
      </c>
      <c r="D176" s="3">
        <v>1</v>
      </c>
      <c r="E176" s="2">
        <v>600</v>
      </c>
    </row>
    <row r="177" spans="1:5" x14ac:dyDescent="0.35">
      <c r="A177" t="s">
        <v>2863</v>
      </c>
      <c r="B177" t="s">
        <v>860</v>
      </c>
      <c r="C177" t="s">
        <v>673</v>
      </c>
      <c r="D177" s="3">
        <v>1</v>
      </c>
      <c r="E177" s="2">
        <v>300</v>
      </c>
    </row>
    <row r="178" spans="1:5" x14ac:dyDescent="0.35">
      <c r="A178" t="s">
        <v>2864</v>
      </c>
      <c r="B178" t="s">
        <v>861</v>
      </c>
      <c r="C178" t="s">
        <v>643</v>
      </c>
      <c r="D178" s="3">
        <v>1</v>
      </c>
      <c r="E178" s="2">
        <v>2200</v>
      </c>
    </row>
    <row r="179" spans="1:5" x14ac:dyDescent="0.35">
      <c r="A179" t="s">
        <v>2865</v>
      </c>
      <c r="B179" t="s">
        <v>862</v>
      </c>
      <c r="C179" t="s">
        <v>656</v>
      </c>
      <c r="D179" s="3">
        <v>1</v>
      </c>
      <c r="E179" s="2">
        <v>350</v>
      </c>
    </row>
    <row r="180" spans="1:5" x14ac:dyDescent="0.35">
      <c r="A180" t="s">
        <v>2866</v>
      </c>
      <c r="B180" t="s">
        <v>863</v>
      </c>
      <c r="C180" t="s">
        <v>649</v>
      </c>
      <c r="D180" s="3">
        <v>1</v>
      </c>
      <c r="E180" s="2">
        <v>800</v>
      </c>
    </row>
    <row r="181" spans="1:5" x14ac:dyDescent="0.35">
      <c r="A181" t="s">
        <v>2867</v>
      </c>
      <c r="B181" t="s">
        <v>864</v>
      </c>
      <c r="C181" t="s">
        <v>663</v>
      </c>
      <c r="D181" s="3">
        <v>1</v>
      </c>
      <c r="E181" s="2">
        <v>1400</v>
      </c>
    </row>
    <row r="182" spans="1:5" x14ac:dyDescent="0.35">
      <c r="A182" t="s">
        <v>2868</v>
      </c>
      <c r="B182" t="s">
        <v>865</v>
      </c>
      <c r="C182" t="s">
        <v>660</v>
      </c>
      <c r="D182" s="3">
        <v>1</v>
      </c>
      <c r="E182" s="2">
        <v>6500</v>
      </c>
    </row>
    <row r="183" spans="1:5" x14ac:dyDescent="0.35">
      <c r="A183" t="s">
        <v>2869</v>
      </c>
      <c r="B183" t="s">
        <v>866</v>
      </c>
      <c r="C183" t="s">
        <v>665</v>
      </c>
      <c r="D183" s="3">
        <v>1</v>
      </c>
      <c r="E183" s="2">
        <v>700</v>
      </c>
    </row>
    <row r="184" spans="1:5" x14ac:dyDescent="0.35">
      <c r="A184" t="s">
        <v>2870</v>
      </c>
      <c r="B184" t="s">
        <v>867</v>
      </c>
      <c r="C184" t="s">
        <v>633</v>
      </c>
      <c r="D184" s="3">
        <v>1</v>
      </c>
      <c r="E184" s="2">
        <v>450</v>
      </c>
    </row>
    <row r="185" spans="1:5" x14ac:dyDescent="0.35">
      <c r="A185" t="s">
        <v>2871</v>
      </c>
      <c r="B185" t="s">
        <v>868</v>
      </c>
      <c r="C185" t="s">
        <v>671</v>
      </c>
      <c r="D185" s="3">
        <v>1</v>
      </c>
      <c r="E185" s="2">
        <v>400</v>
      </c>
    </row>
    <row r="186" spans="1:5" x14ac:dyDescent="0.35">
      <c r="A186" t="s">
        <v>2872</v>
      </c>
      <c r="B186" t="s">
        <v>869</v>
      </c>
      <c r="C186" t="s">
        <v>647</v>
      </c>
      <c r="D186" s="3">
        <v>2</v>
      </c>
      <c r="E186" s="2">
        <v>8400</v>
      </c>
    </row>
    <row r="187" spans="1:5" x14ac:dyDescent="0.35">
      <c r="A187" t="s">
        <v>2873</v>
      </c>
      <c r="B187" t="s">
        <v>870</v>
      </c>
      <c r="C187" t="s">
        <v>658</v>
      </c>
      <c r="D187" s="3">
        <v>1</v>
      </c>
      <c r="E187" s="2">
        <v>750</v>
      </c>
    </row>
    <row r="188" spans="1:5" x14ac:dyDescent="0.35">
      <c r="A188" t="s">
        <v>2874</v>
      </c>
      <c r="B188" t="s">
        <v>871</v>
      </c>
      <c r="C188" t="s">
        <v>669</v>
      </c>
      <c r="D188" s="3">
        <v>1</v>
      </c>
      <c r="E188" s="2">
        <v>600</v>
      </c>
    </row>
    <row r="189" spans="1:5" x14ac:dyDescent="0.35">
      <c r="A189" t="s">
        <v>2875</v>
      </c>
      <c r="B189" t="s">
        <v>872</v>
      </c>
      <c r="C189" t="s">
        <v>649</v>
      </c>
      <c r="D189" s="3">
        <v>1</v>
      </c>
      <c r="E189" s="2">
        <v>800</v>
      </c>
    </row>
    <row r="190" spans="1:5" x14ac:dyDescent="0.35">
      <c r="A190" t="s">
        <v>2876</v>
      </c>
      <c r="B190" t="s">
        <v>873</v>
      </c>
      <c r="C190" t="s">
        <v>617</v>
      </c>
      <c r="D190" s="3">
        <v>1</v>
      </c>
      <c r="E190" s="2">
        <v>200</v>
      </c>
    </row>
    <row r="191" spans="1:5" x14ac:dyDescent="0.35">
      <c r="A191" t="s">
        <v>2877</v>
      </c>
      <c r="B191" t="s">
        <v>874</v>
      </c>
      <c r="C191" t="s">
        <v>633</v>
      </c>
      <c r="D191" s="3">
        <v>1</v>
      </c>
      <c r="E191" s="2">
        <v>450</v>
      </c>
    </row>
    <row r="192" spans="1:5" x14ac:dyDescent="0.35">
      <c r="A192" t="s">
        <v>2878</v>
      </c>
      <c r="B192" t="s">
        <v>875</v>
      </c>
      <c r="C192" t="s">
        <v>635</v>
      </c>
      <c r="D192" s="3">
        <v>1</v>
      </c>
      <c r="E192" s="2">
        <v>180</v>
      </c>
    </row>
    <row r="193" spans="1:5" x14ac:dyDescent="0.35">
      <c r="A193" t="s">
        <v>2879</v>
      </c>
      <c r="B193" t="s">
        <v>876</v>
      </c>
      <c r="C193" t="s">
        <v>658</v>
      </c>
      <c r="D193" s="3">
        <v>1</v>
      </c>
      <c r="E193" s="2">
        <v>750</v>
      </c>
    </row>
    <row r="194" spans="1:5" x14ac:dyDescent="0.35">
      <c r="A194" t="s">
        <v>2880</v>
      </c>
      <c r="B194" t="s">
        <v>877</v>
      </c>
      <c r="C194" t="s">
        <v>638</v>
      </c>
      <c r="D194" s="3">
        <v>1</v>
      </c>
      <c r="E194" s="2">
        <v>150</v>
      </c>
    </row>
    <row r="195" spans="1:5" x14ac:dyDescent="0.35">
      <c r="A195" t="s">
        <v>2881</v>
      </c>
      <c r="B195" t="s">
        <v>878</v>
      </c>
      <c r="C195" t="s">
        <v>617</v>
      </c>
      <c r="D195" s="3">
        <v>2</v>
      </c>
      <c r="E195" s="2">
        <v>400</v>
      </c>
    </row>
    <row r="196" spans="1:5" x14ac:dyDescent="0.35">
      <c r="A196" t="s">
        <v>2882</v>
      </c>
      <c r="B196" t="s">
        <v>879</v>
      </c>
      <c r="C196" t="s">
        <v>667</v>
      </c>
      <c r="D196" s="3">
        <v>1</v>
      </c>
      <c r="E196" s="2">
        <v>550</v>
      </c>
    </row>
    <row r="197" spans="1:5" x14ac:dyDescent="0.35">
      <c r="A197" t="s">
        <v>2883</v>
      </c>
      <c r="B197" t="s">
        <v>880</v>
      </c>
      <c r="C197" t="s">
        <v>656</v>
      </c>
      <c r="D197" s="3">
        <v>1</v>
      </c>
      <c r="E197" s="2">
        <v>350</v>
      </c>
    </row>
    <row r="198" spans="1:5" x14ac:dyDescent="0.35">
      <c r="A198" t="s">
        <v>2884</v>
      </c>
      <c r="B198" t="s">
        <v>881</v>
      </c>
      <c r="C198" t="s">
        <v>660</v>
      </c>
      <c r="D198" s="3">
        <v>1</v>
      </c>
      <c r="E198" s="2">
        <v>6500</v>
      </c>
    </row>
    <row r="199" spans="1:5" x14ac:dyDescent="0.35">
      <c r="A199" t="s">
        <v>2885</v>
      </c>
      <c r="B199" t="s">
        <v>882</v>
      </c>
      <c r="C199" t="s">
        <v>631</v>
      </c>
      <c r="D199" s="3">
        <v>1</v>
      </c>
      <c r="E199" s="2">
        <v>900</v>
      </c>
    </row>
    <row r="200" spans="1:5" x14ac:dyDescent="0.35">
      <c r="A200" t="s">
        <v>2886</v>
      </c>
      <c r="B200" t="s">
        <v>883</v>
      </c>
      <c r="C200" t="s">
        <v>623</v>
      </c>
      <c r="D200" s="3">
        <v>1</v>
      </c>
      <c r="E200" s="2">
        <v>1200</v>
      </c>
    </row>
    <row r="201" spans="1:5" x14ac:dyDescent="0.35">
      <c r="A201" t="s">
        <v>2887</v>
      </c>
      <c r="B201" t="s">
        <v>884</v>
      </c>
      <c r="C201" t="s">
        <v>671</v>
      </c>
      <c r="D201" s="3">
        <v>1</v>
      </c>
      <c r="E201" s="2">
        <v>400</v>
      </c>
    </row>
    <row r="202" spans="1:5" x14ac:dyDescent="0.35">
      <c r="A202" t="s">
        <v>2888</v>
      </c>
      <c r="B202" t="s">
        <v>885</v>
      </c>
      <c r="C202" t="s">
        <v>629</v>
      </c>
      <c r="D202" s="3">
        <v>1</v>
      </c>
      <c r="E202" s="2">
        <v>300</v>
      </c>
    </row>
    <row r="203" spans="1:5" x14ac:dyDescent="0.35">
      <c r="A203" t="s">
        <v>2889</v>
      </c>
      <c r="B203" t="s">
        <v>886</v>
      </c>
      <c r="C203" t="s">
        <v>620</v>
      </c>
      <c r="D203" s="3">
        <v>1</v>
      </c>
      <c r="E203" s="2">
        <v>50</v>
      </c>
    </row>
    <row r="204" spans="1:5" x14ac:dyDescent="0.35">
      <c r="A204" t="s">
        <v>2890</v>
      </c>
      <c r="B204" t="s">
        <v>887</v>
      </c>
      <c r="C204" t="s">
        <v>663</v>
      </c>
      <c r="D204" s="3">
        <v>1</v>
      </c>
      <c r="E204" s="2">
        <v>1400</v>
      </c>
    </row>
    <row r="205" spans="1:5" x14ac:dyDescent="0.35">
      <c r="A205" t="s">
        <v>2891</v>
      </c>
      <c r="B205" t="s">
        <v>888</v>
      </c>
      <c r="C205" t="s">
        <v>673</v>
      </c>
      <c r="D205" s="3">
        <v>1</v>
      </c>
      <c r="E205" s="2">
        <v>300</v>
      </c>
    </row>
    <row r="206" spans="1:5" x14ac:dyDescent="0.35">
      <c r="A206" t="s">
        <v>2892</v>
      </c>
      <c r="B206" t="s">
        <v>889</v>
      </c>
      <c r="C206" t="s">
        <v>626</v>
      </c>
      <c r="D206" s="3">
        <v>1</v>
      </c>
      <c r="E206" s="2">
        <v>5000</v>
      </c>
    </row>
    <row r="207" spans="1:5" x14ac:dyDescent="0.35">
      <c r="A207" t="s">
        <v>2893</v>
      </c>
      <c r="B207" t="s">
        <v>890</v>
      </c>
      <c r="C207" t="s">
        <v>641</v>
      </c>
      <c r="D207" s="3">
        <v>1</v>
      </c>
      <c r="E207" s="2">
        <v>1800</v>
      </c>
    </row>
    <row r="208" spans="1:5" x14ac:dyDescent="0.35">
      <c r="A208" t="s">
        <v>2894</v>
      </c>
      <c r="B208" t="s">
        <v>891</v>
      </c>
      <c r="C208" t="s">
        <v>641</v>
      </c>
      <c r="D208" s="3">
        <v>1</v>
      </c>
      <c r="E208" s="2">
        <v>1800</v>
      </c>
    </row>
    <row r="209" spans="1:5" x14ac:dyDescent="0.35">
      <c r="A209" t="s">
        <v>2895</v>
      </c>
      <c r="B209" t="s">
        <v>892</v>
      </c>
      <c r="C209" t="s">
        <v>671</v>
      </c>
      <c r="D209" s="3">
        <v>1</v>
      </c>
      <c r="E209" s="2">
        <v>400</v>
      </c>
    </row>
    <row r="210" spans="1:5" x14ac:dyDescent="0.35">
      <c r="A210" t="s">
        <v>2896</v>
      </c>
      <c r="B210" t="s">
        <v>893</v>
      </c>
      <c r="C210" t="s">
        <v>665</v>
      </c>
      <c r="D210" s="3">
        <v>1</v>
      </c>
      <c r="E210" s="2">
        <v>700</v>
      </c>
    </row>
    <row r="211" spans="1:5" x14ac:dyDescent="0.35">
      <c r="A211" t="s">
        <v>2897</v>
      </c>
      <c r="B211" t="s">
        <v>894</v>
      </c>
      <c r="C211" t="s">
        <v>643</v>
      </c>
      <c r="D211" s="3">
        <v>2</v>
      </c>
      <c r="E211" s="2">
        <v>4400</v>
      </c>
    </row>
    <row r="212" spans="1:5" x14ac:dyDescent="0.35">
      <c r="A212" t="s">
        <v>2898</v>
      </c>
      <c r="B212" t="s">
        <v>895</v>
      </c>
      <c r="C212" t="s">
        <v>654</v>
      </c>
      <c r="D212" s="3">
        <v>1</v>
      </c>
      <c r="E212" s="2">
        <v>100</v>
      </c>
    </row>
    <row r="213" spans="1:5" x14ac:dyDescent="0.35">
      <c r="A213" t="s">
        <v>2899</v>
      </c>
      <c r="B213" t="s">
        <v>896</v>
      </c>
      <c r="C213" t="s">
        <v>656</v>
      </c>
      <c r="D213" s="3">
        <v>1</v>
      </c>
      <c r="E213" s="2">
        <v>350</v>
      </c>
    </row>
    <row r="214" spans="1:5" x14ac:dyDescent="0.35">
      <c r="A214" t="s">
        <v>2900</v>
      </c>
      <c r="B214" t="s">
        <v>897</v>
      </c>
      <c r="C214" t="s">
        <v>654</v>
      </c>
      <c r="D214" s="3">
        <v>2</v>
      </c>
      <c r="E214" s="2">
        <v>200</v>
      </c>
    </row>
    <row r="215" spans="1:5" x14ac:dyDescent="0.35">
      <c r="A215" t="s">
        <v>2901</v>
      </c>
      <c r="B215" t="s">
        <v>898</v>
      </c>
      <c r="C215" t="s">
        <v>633</v>
      </c>
      <c r="D215" s="3">
        <v>1</v>
      </c>
      <c r="E215" s="2">
        <v>450</v>
      </c>
    </row>
    <row r="216" spans="1:5" x14ac:dyDescent="0.35">
      <c r="A216" t="s">
        <v>2902</v>
      </c>
      <c r="B216" t="s">
        <v>899</v>
      </c>
      <c r="C216" t="s">
        <v>654</v>
      </c>
      <c r="D216" s="3">
        <v>1</v>
      </c>
      <c r="E216" s="2">
        <v>100</v>
      </c>
    </row>
    <row r="217" spans="1:5" x14ac:dyDescent="0.35">
      <c r="A217" t="s">
        <v>2903</v>
      </c>
      <c r="B217" t="s">
        <v>900</v>
      </c>
      <c r="C217" t="s">
        <v>623</v>
      </c>
      <c r="D217" s="3">
        <v>1</v>
      </c>
      <c r="E217" s="2">
        <v>1200</v>
      </c>
    </row>
    <row r="218" spans="1:5" x14ac:dyDescent="0.35">
      <c r="A218" t="s">
        <v>2904</v>
      </c>
      <c r="B218" t="s">
        <v>901</v>
      </c>
      <c r="C218" t="s">
        <v>654</v>
      </c>
      <c r="D218" s="3">
        <v>1</v>
      </c>
      <c r="E218" s="2">
        <v>100</v>
      </c>
    </row>
    <row r="219" spans="1:5" x14ac:dyDescent="0.35">
      <c r="A219" t="s">
        <v>2905</v>
      </c>
      <c r="B219" t="s">
        <v>902</v>
      </c>
      <c r="C219" t="s">
        <v>635</v>
      </c>
      <c r="D219" s="3">
        <v>1</v>
      </c>
      <c r="E219" s="2">
        <v>180</v>
      </c>
    </row>
    <row r="220" spans="1:5" x14ac:dyDescent="0.35">
      <c r="A220" t="s">
        <v>2906</v>
      </c>
      <c r="B220" t="s">
        <v>903</v>
      </c>
      <c r="C220" t="s">
        <v>645</v>
      </c>
      <c r="D220" s="3">
        <v>1</v>
      </c>
      <c r="E220" s="2">
        <v>3500</v>
      </c>
    </row>
    <row r="221" spans="1:5" x14ac:dyDescent="0.35">
      <c r="A221" t="s">
        <v>2907</v>
      </c>
      <c r="B221" t="s">
        <v>904</v>
      </c>
      <c r="C221" t="s">
        <v>623</v>
      </c>
      <c r="D221" s="3">
        <v>2</v>
      </c>
      <c r="E221" s="2">
        <v>2400</v>
      </c>
    </row>
    <row r="222" spans="1:5" x14ac:dyDescent="0.35">
      <c r="A222" t="s">
        <v>2908</v>
      </c>
      <c r="B222" t="s">
        <v>905</v>
      </c>
      <c r="C222" t="s">
        <v>656</v>
      </c>
      <c r="D222" s="3">
        <v>1</v>
      </c>
      <c r="E222" s="2">
        <v>350</v>
      </c>
    </row>
    <row r="223" spans="1:5" x14ac:dyDescent="0.35">
      <c r="A223" t="s">
        <v>2909</v>
      </c>
      <c r="B223" t="s">
        <v>906</v>
      </c>
      <c r="C223" t="s">
        <v>665</v>
      </c>
      <c r="D223" s="3">
        <v>1</v>
      </c>
      <c r="E223" s="2">
        <v>700</v>
      </c>
    </row>
    <row r="224" spans="1:5" x14ac:dyDescent="0.35">
      <c r="A224" t="s">
        <v>2910</v>
      </c>
      <c r="B224" t="s">
        <v>907</v>
      </c>
      <c r="C224" t="s">
        <v>658</v>
      </c>
      <c r="D224" s="3">
        <v>1</v>
      </c>
      <c r="E224" s="2">
        <v>750</v>
      </c>
    </row>
    <row r="225" spans="1:5" x14ac:dyDescent="0.35">
      <c r="A225" t="s">
        <v>2911</v>
      </c>
      <c r="B225" t="s">
        <v>908</v>
      </c>
      <c r="C225" t="s">
        <v>643</v>
      </c>
      <c r="D225" s="3">
        <v>1</v>
      </c>
      <c r="E225" s="2">
        <v>2200</v>
      </c>
    </row>
    <row r="226" spans="1:5" x14ac:dyDescent="0.35">
      <c r="A226" t="s">
        <v>2912</v>
      </c>
      <c r="B226" t="s">
        <v>909</v>
      </c>
      <c r="C226" t="s">
        <v>626</v>
      </c>
      <c r="D226" s="3">
        <v>1</v>
      </c>
      <c r="E226" s="2">
        <v>5000</v>
      </c>
    </row>
    <row r="227" spans="1:5" x14ac:dyDescent="0.35">
      <c r="A227" t="s">
        <v>2913</v>
      </c>
      <c r="B227" t="s">
        <v>910</v>
      </c>
      <c r="C227" t="s">
        <v>654</v>
      </c>
      <c r="D227" s="3">
        <v>1</v>
      </c>
      <c r="E227" s="2">
        <v>100</v>
      </c>
    </row>
    <row r="228" spans="1:5" x14ac:dyDescent="0.35">
      <c r="A228" t="s">
        <v>2914</v>
      </c>
      <c r="B228" t="s">
        <v>911</v>
      </c>
      <c r="C228" t="s">
        <v>656</v>
      </c>
      <c r="D228" s="3">
        <v>1</v>
      </c>
      <c r="E228" s="2">
        <v>350</v>
      </c>
    </row>
    <row r="229" spans="1:5" x14ac:dyDescent="0.35">
      <c r="A229" t="s">
        <v>2915</v>
      </c>
      <c r="B229" t="s">
        <v>912</v>
      </c>
      <c r="C229" t="s">
        <v>638</v>
      </c>
      <c r="D229" s="3">
        <v>1</v>
      </c>
      <c r="E229" s="2">
        <v>150</v>
      </c>
    </row>
    <row r="230" spans="1:5" x14ac:dyDescent="0.35">
      <c r="A230" t="s">
        <v>2916</v>
      </c>
      <c r="B230" t="s">
        <v>913</v>
      </c>
      <c r="C230" t="s">
        <v>631</v>
      </c>
      <c r="D230" s="3">
        <v>1</v>
      </c>
      <c r="E230" s="2">
        <v>900</v>
      </c>
    </row>
    <row r="231" spans="1:5" x14ac:dyDescent="0.35">
      <c r="A231" t="s">
        <v>2917</v>
      </c>
      <c r="B231" t="s">
        <v>914</v>
      </c>
      <c r="C231" t="s">
        <v>671</v>
      </c>
      <c r="D231" s="3">
        <v>1</v>
      </c>
      <c r="E231" s="2">
        <v>400</v>
      </c>
    </row>
    <row r="232" spans="1:5" x14ac:dyDescent="0.35">
      <c r="A232" t="s">
        <v>2918</v>
      </c>
      <c r="B232" t="s">
        <v>915</v>
      </c>
      <c r="C232" t="s">
        <v>663</v>
      </c>
      <c r="D232" s="3">
        <v>3</v>
      </c>
      <c r="E232" s="2">
        <v>4200</v>
      </c>
    </row>
    <row r="233" spans="1:5" x14ac:dyDescent="0.35">
      <c r="A233" t="s">
        <v>2919</v>
      </c>
      <c r="B233" t="s">
        <v>916</v>
      </c>
      <c r="C233" t="s">
        <v>673</v>
      </c>
      <c r="D233" s="3">
        <v>1</v>
      </c>
      <c r="E233" s="2">
        <v>300</v>
      </c>
    </row>
    <row r="234" spans="1:5" x14ac:dyDescent="0.35">
      <c r="A234" t="s">
        <v>2920</v>
      </c>
      <c r="B234" t="s">
        <v>917</v>
      </c>
      <c r="C234" t="s">
        <v>620</v>
      </c>
      <c r="D234" s="3">
        <v>1</v>
      </c>
      <c r="E234" s="2">
        <v>50</v>
      </c>
    </row>
    <row r="235" spans="1:5" x14ac:dyDescent="0.35">
      <c r="A235" t="s">
        <v>2921</v>
      </c>
      <c r="B235" t="s">
        <v>918</v>
      </c>
      <c r="C235" t="s">
        <v>638</v>
      </c>
      <c r="D235" s="3">
        <v>1</v>
      </c>
      <c r="E235" s="2">
        <v>150</v>
      </c>
    </row>
    <row r="236" spans="1:5" x14ac:dyDescent="0.35">
      <c r="A236" t="s">
        <v>2922</v>
      </c>
      <c r="B236" t="s">
        <v>919</v>
      </c>
      <c r="C236" t="s">
        <v>665</v>
      </c>
      <c r="D236" s="3">
        <v>1</v>
      </c>
      <c r="E236" s="2">
        <v>700</v>
      </c>
    </row>
    <row r="237" spans="1:5" x14ac:dyDescent="0.35">
      <c r="A237" t="s">
        <v>2923</v>
      </c>
      <c r="B237" t="s">
        <v>920</v>
      </c>
      <c r="C237" t="s">
        <v>631</v>
      </c>
      <c r="D237" s="3">
        <v>1</v>
      </c>
      <c r="E237" s="2">
        <v>900</v>
      </c>
    </row>
    <row r="238" spans="1:5" x14ac:dyDescent="0.35">
      <c r="A238" t="s">
        <v>2924</v>
      </c>
      <c r="B238" t="s">
        <v>921</v>
      </c>
      <c r="C238" t="s">
        <v>623</v>
      </c>
      <c r="D238" s="3">
        <v>1</v>
      </c>
      <c r="E238" s="2">
        <v>1200</v>
      </c>
    </row>
    <row r="239" spans="1:5" x14ac:dyDescent="0.35">
      <c r="A239" t="s">
        <v>2925</v>
      </c>
      <c r="B239" t="s">
        <v>922</v>
      </c>
      <c r="C239" t="s">
        <v>663</v>
      </c>
      <c r="D239" s="3">
        <v>1</v>
      </c>
      <c r="E239" s="2">
        <v>1400</v>
      </c>
    </row>
    <row r="240" spans="1:5" x14ac:dyDescent="0.35">
      <c r="A240" t="s">
        <v>2926</v>
      </c>
      <c r="B240" t="s">
        <v>923</v>
      </c>
      <c r="C240" t="s">
        <v>631</v>
      </c>
      <c r="D240" s="3">
        <v>1</v>
      </c>
      <c r="E240" s="2">
        <v>900</v>
      </c>
    </row>
    <row r="241" spans="1:5" x14ac:dyDescent="0.35">
      <c r="A241" t="s">
        <v>2927</v>
      </c>
      <c r="B241" t="s">
        <v>924</v>
      </c>
      <c r="C241" t="s">
        <v>633</v>
      </c>
      <c r="D241" s="3">
        <v>1</v>
      </c>
      <c r="E241" s="2">
        <v>450</v>
      </c>
    </row>
    <row r="242" spans="1:5" x14ac:dyDescent="0.35">
      <c r="A242" t="s">
        <v>2928</v>
      </c>
      <c r="B242" t="s">
        <v>925</v>
      </c>
      <c r="C242" t="s">
        <v>617</v>
      </c>
      <c r="D242" s="3">
        <v>1</v>
      </c>
      <c r="E242" s="2">
        <v>200</v>
      </c>
    </row>
    <row r="243" spans="1:5" x14ac:dyDescent="0.35">
      <c r="A243" t="s">
        <v>2929</v>
      </c>
      <c r="B243" t="s">
        <v>926</v>
      </c>
      <c r="C243" t="s">
        <v>669</v>
      </c>
      <c r="D243" s="3">
        <v>1</v>
      </c>
      <c r="E243" s="2">
        <v>600</v>
      </c>
    </row>
    <row r="244" spans="1:5" x14ac:dyDescent="0.35">
      <c r="A244" t="s">
        <v>2930</v>
      </c>
      <c r="B244" t="s">
        <v>927</v>
      </c>
      <c r="C244" t="s">
        <v>617</v>
      </c>
      <c r="D244" s="3">
        <v>1</v>
      </c>
      <c r="E244" s="2">
        <v>200</v>
      </c>
    </row>
    <row r="245" spans="1:5" x14ac:dyDescent="0.35">
      <c r="A245" t="s">
        <v>2931</v>
      </c>
      <c r="B245" t="s">
        <v>928</v>
      </c>
      <c r="C245" t="s">
        <v>629</v>
      </c>
      <c r="D245" s="3">
        <v>1</v>
      </c>
      <c r="E245" s="2">
        <v>300</v>
      </c>
    </row>
    <row r="246" spans="1:5" x14ac:dyDescent="0.35">
      <c r="A246" t="s">
        <v>2932</v>
      </c>
      <c r="B246" t="s">
        <v>929</v>
      </c>
      <c r="C246" t="s">
        <v>631</v>
      </c>
      <c r="D246" s="3">
        <v>1</v>
      </c>
      <c r="E246" s="2">
        <v>900</v>
      </c>
    </row>
    <row r="247" spans="1:5" x14ac:dyDescent="0.35">
      <c r="A247" t="s">
        <v>2933</v>
      </c>
      <c r="B247" t="s">
        <v>930</v>
      </c>
      <c r="C247" t="s">
        <v>647</v>
      </c>
      <c r="D247" s="3">
        <v>3</v>
      </c>
      <c r="E247" s="2">
        <v>12600</v>
      </c>
    </row>
    <row r="248" spans="1:5" x14ac:dyDescent="0.35">
      <c r="A248" t="s">
        <v>2934</v>
      </c>
      <c r="B248" t="s">
        <v>931</v>
      </c>
      <c r="C248" t="s">
        <v>620</v>
      </c>
      <c r="D248" s="3">
        <v>1</v>
      </c>
      <c r="E248" s="2">
        <v>50</v>
      </c>
    </row>
    <row r="249" spans="1:5" x14ac:dyDescent="0.35">
      <c r="A249" t="s">
        <v>2935</v>
      </c>
      <c r="B249" t="s">
        <v>932</v>
      </c>
      <c r="C249" t="s">
        <v>651</v>
      </c>
      <c r="D249" s="3">
        <v>1</v>
      </c>
      <c r="E249" s="2">
        <v>120</v>
      </c>
    </row>
    <row r="250" spans="1:5" x14ac:dyDescent="0.35">
      <c r="A250" t="s">
        <v>2936</v>
      </c>
      <c r="B250" t="s">
        <v>933</v>
      </c>
      <c r="C250" t="s">
        <v>651</v>
      </c>
      <c r="D250" s="3">
        <v>1</v>
      </c>
      <c r="E250" s="2">
        <v>120</v>
      </c>
    </row>
    <row r="251" spans="1:5" x14ac:dyDescent="0.35">
      <c r="A251" t="s">
        <v>2937</v>
      </c>
      <c r="B251" t="s">
        <v>934</v>
      </c>
      <c r="C251" t="s">
        <v>647</v>
      </c>
      <c r="D251" s="3">
        <v>1</v>
      </c>
      <c r="E251" s="2">
        <v>4200</v>
      </c>
    </row>
    <row r="252" spans="1:5" x14ac:dyDescent="0.35">
      <c r="A252" t="s">
        <v>2938</v>
      </c>
      <c r="B252" t="s">
        <v>935</v>
      </c>
      <c r="C252" t="s">
        <v>673</v>
      </c>
      <c r="D252" s="3">
        <v>1</v>
      </c>
      <c r="E252" s="2">
        <v>300</v>
      </c>
    </row>
    <row r="253" spans="1:5" x14ac:dyDescent="0.35">
      <c r="A253" t="s">
        <v>2939</v>
      </c>
      <c r="B253" t="s">
        <v>936</v>
      </c>
      <c r="C253" t="s">
        <v>649</v>
      </c>
      <c r="D253" s="3">
        <v>1</v>
      </c>
      <c r="E253" s="2">
        <v>800</v>
      </c>
    </row>
    <row r="254" spans="1:5" x14ac:dyDescent="0.35">
      <c r="A254" t="s">
        <v>2940</v>
      </c>
      <c r="B254" t="s">
        <v>937</v>
      </c>
      <c r="C254" t="s">
        <v>667</v>
      </c>
      <c r="D254" s="3">
        <v>1</v>
      </c>
      <c r="E254" s="2">
        <v>550</v>
      </c>
    </row>
    <row r="255" spans="1:5" x14ac:dyDescent="0.35">
      <c r="A255" t="s">
        <v>2941</v>
      </c>
      <c r="B255" t="s">
        <v>938</v>
      </c>
      <c r="C255" t="s">
        <v>633</v>
      </c>
      <c r="D255" s="3">
        <v>1</v>
      </c>
      <c r="E255" s="2">
        <v>450</v>
      </c>
    </row>
    <row r="256" spans="1:5" x14ac:dyDescent="0.35">
      <c r="A256" t="s">
        <v>2942</v>
      </c>
      <c r="B256" t="s">
        <v>939</v>
      </c>
      <c r="C256" t="s">
        <v>649</v>
      </c>
      <c r="D256" s="3">
        <v>1</v>
      </c>
      <c r="E256" s="2">
        <v>800</v>
      </c>
    </row>
    <row r="257" spans="1:5" x14ac:dyDescent="0.35">
      <c r="A257" t="s">
        <v>2943</v>
      </c>
      <c r="B257" t="s">
        <v>940</v>
      </c>
      <c r="C257" t="s">
        <v>671</v>
      </c>
      <c r="D257" s="3">
        <v>1</v>
      </c>
      <c r="E257" s="2">
        <v>400</v>
      </c>
    </row>
    <row r="258" spans="1:5" x14ac:dyDescent="0.35">
      <c r="A258" t="s">
        <v>2944</v>
      </c>
      <c r="B258" t="s">
        <v>941</v>
      </c>
      <c r="C258" t="s">
        <v>641</v>
      </c>
      <c r="D258" s="3">
        <v>1</v>
      </c>
      <c r="E258" s="2">
        <v>1800</v>
      </c>
    </row>
    <row r="259" spans="1:5" x14ac:dyDescent="0.35">
      <c r="A259" t="s">
        <v>2945</v>
      </c>
      <c r="B259" t="s">
        <v>942</v>
      </c>
      <c r="C259" t="s">
        <v>656</v>
      </c>
      <c r="D259" s="3">
        <v>1</v>
      </c>
      <c r="E259" s="2">
        <v>350</v>
      </c>
    </row>
    <row r="260" spans="1:5" x14ac:dyDescent="0.35">
      <c r="A260" t="s">
        <v>2946</v>
      </c>
      <c r="B260" t="s">
        <v>943</v>
      </c>
      <c r="C260" t="s">
        <v>649</v>
      </c>
      <c r="D260" s="3">
        <v>1</v>
      </c>
      <c r="E260" s="2">
        <v>800</v>
      </c>
    </row>
    <row r="261" spans="1:5" x14ac:dyDescent="0.35">
      <c r="A261" t="s">
        <v>2947</v>
      </c>
      <c r="B261" t="s">
        <v>944</v>
      </c>
      <c r="C261" t="s">
        <v>635</v>
      </c>
      <c r="D261" s="3">
        <v>1</v>
      </c>
      <c r="E261" s="2">
        <v>180</v>
      </c>
    </row>
    <row r="262" spans="1:5" x14ac:dyDescent="0.35">
      <c r="A262" t="s">
        <v>2948</v>
      </c>
      <c r="B262" t="s">
        <v>945</v>
      </c>
      <c r="C262" t="s">
        <v>626</v>
      </c>
      <c r="D262" s="3">
        <v>1</v>
      </c>
      <c r="E262" s="2">
        <v>5000</v>
      </c>
    </row>
    <row r="263" spans="1:5" x14ac:dyDescent="0.35">
      <c r="A263" t="s">
        <v>2949</v>
      </c>
      <c r="B263" t="s">
        <v>946</v>
      </c>
      <c r="C263" t="s">
        <v>654</v>
      </c>
      <c r="D263" s="3">
        <v>2</v>
      </c>
      <c r="E263" s="2">
        <v>200</v>
      </c>
    </row>
    <row r="264" spans="1:5" x14ac:dyDescent="0.35">
      <c r="A264" t="s">
        <v>2950</v>
      </c>
      <c r="B264" t="s">
        <v>947</v>
      </c>
      <c r="C264" t="s">
        <v>671</v>
      </c>
      <c r="D264" s="3">
        <v>1</v>
      </c>
      <c r="E264" s="2">
        <v>400</v>
      </c>
    </row>
    <row r="265" spans="1:5" x14ac:dyDescent="0.35">
      <c r="A265" t="s">
        <v>2951</v>
      </c>
      <c r="B265" t="s">
        <v>948</v>
      </c>
      <c r="C265" t="s">
        <v>647</v>
      </c>
      <c r="D265" s="3">
        <v>1</v>
      </c>
      <c r="E265" s="2">
        <v>4200</v>
      </c>
    </row>
    <row r="266" spans="1:5" x14ac:dyDescent="0.35">
      <c r="A266" t="s">
        <v>2952</v>
      </c>
      <c r="B266" t="s">
        <v>949</v>
      </c>
      <c r="C266" t="s">
        <v>667</v>
      </c>
      <c r="D266" s="3">
        <v>1</v>
      </c>
      <c r="E266" s="2">
        <v>550</v>
      </c>
    </row>
    <row r="267" spans="1:5" x14ac:dyDescent="0.35">
      <c r="A267" t="s">
        <v>2953</v>
      </c>
      <c r="B267" t="s">
        <v>950</v>
      </c>
      <c r="C267" t="s">
        <v>673</v>
      </c>
      <c r="D267" s="3">
        <v>1</v>
      </c>
      <c r="E267" s="2">
        <v>300</v>
      </c>
    </row>
    <row r="268" spans="1:5" x14ac:dyDescent="0.35">
      <c r="A268" t="s">
        <v>2954</v>
      </c>
      <c r="B268" t="s">
        <v>951</v>
      </c>
      <c r="C268" t="s">
        <v>663</v>
      </c>
      <c r="D268" s="3">
        <v>1</v>
      </c>
      <c r="E268" s="2">
        <v>1400</v>
      </c>
    </row>
    <row r="269" spans="1:5" x14ac:dyDescent="0.35">
      <c r="A269" t="s">
        <v>2955</v>
      </c>
      <c r="B269" t="s">
        <v>952</v>
      </c>
      <c r="C269" t="s">
        <v>658</v>
      </c>
      <c r="D269" s="3">
        <v>1</v>
      </c>
      <c r="E269" s="2">
        <v>750</v>
      </c>
    </row>
    <row r="270" spans="1:5" x14ac:dyDescent="0.35">
      <c r="A270" t="s">
        <v>2956</v>
      </c>
      <c r="B270" t="s">
        <v>953</v>
      </c>
      <c r="C270" t="s">
        <v>649</v>
      </c>
      <c r="D270" s="3">
        <v>1</v>
      </c>
      <c r="E270" s="2">
        <v>800</v>
      </c>
    </row>
    <row r="271" spans="1:5" x14ac:dyDescent="0.35">
      <c r="A271" t="s">
        <v>2957</v>
      </c>
      <c r="B271" t="s">
        <v>954</v>
      </c>
      <c r="C271" t="s">
        <v>658</v>
      </c>
      <c r="D271" s="3">
        <v>1</v>
      </c>
      <c r="E271" s="2">
        <v>750</v>
      </c>
    </row>
    <row r="272" spans="1:5" x14ac:dyDescent="0.35">
      <c r="A272" t="s">
        <v>2958</v>
      </c>
      <c r="B272" t="s">
        <v>955</v>
      </c>
      <c r="C272" t="s">
        <v>629</v>
      </c>
      <c r="D272" s="3">
        <v>1</v>
      </c>
      <c r="E272" s="2">
        <v>300</v>
      </c>
    </row>
    <row r="273" spans="1:5" x14ac:dyDescent="0.35">
      <c r="A273" t="s">
        <v>2959</v>
      </c>
      <c r="B273" t="s">
        <v>956</v>
      </c>
      <c r="C273" t="s">
        <v>638</v>
      </c>
      <c r="D273" s="3">
        <v>1</v>
      </c>
      <c r="E273" s="2">
        <v>150</v>
      </c>
    </row>
    <row r="274" spans="1:5" x14ac:dyDescent="0.35">
      <c r="A274" t="s">
        <v>2960</v>
      </c>
      <c r="B274" t="s">
        <v>957</v>
      </c>
      <c r="C274" t="s">
        <v>623</v>
      </c>
      <c r="D274" s="3">
        <v>3</v>
      </c>
      <c r="E274" s="2">
        <v>3600</v>
      </c>
    </row>
    <row r="275" spans="1:5" x14ac:dyDescent="0.35">
      <c r="A275" t="s">
        <v>2961</v>
      </c>
      <c r="B275" t="s">
        <v>958</v>
      </c>
      <c r="C275" t="s">
        <v>635</v>
      </c>
      <c r="D275" s="3">
        <v>1</v>
      </c>
      <c r="E275" s="2">
        <v>180</v>
      </c>
    </row>
    <row r="276" spans="1:5" x14ac:dyDescent="0.35">
      <c r="A276" t="s">
        <v>2962</v>
      </c>
      <c r="B276" t="s">
        <v>959</v>
      </c>
      <c r="C276" t="s">
        <v>663</v>
      </c>
      <c r="D276" s="3">
        <v>1</v>
      </c>
      <c r="E276" s="2">
        <v>1400</v>
      </c>
    </row>
    <row r="277" spans="1:5" x14ac:dyDescent="0.35">
      <c r="A277" t="s">
        <v>2963</v>
      </c>
      <c r="B277" t="s">
        <v>960</v>
      </c>
      <c r="C277" t="s">
        <v>667</v>
      </c>
      <c r="D277" s="3">
        <v>1</v>
      </c>
      <c r="E277" s="2">
        <v>550</v>
      </c>
    </row>
    <row r="278" spans="1:5" x14ac:dyDescent="0.35">
      <c r="A278" t="s">
        <v>2964</v>
      </c>
      <c r="B278" t="s">
        <v>961</v>
      </c>
      <c r="C278" t="s">
        <v>641</v>
      </c>
      <c r="D278" s="3">
        <v>1</v>
      </c>
      <c r="E278" s="2">
        <v>1800</v>
      </c>
    </row>
    <row r="279" spans="1:5" x14ac:dyDescent="0.35">
      <c r="A279" t="s">
        <v>2965</v>
      </c>
      <c r="B279" t="s">
        <v>962</v>
      </c>
      <c r="C279" t="s">
        <v>667</v>
      </c>
      <c r="D279" s="3">
        <v>1</v>
      </c>
      <c r="E279" s="2">
        <v>550</v>
      </c>
    </row>
    <row r="280" spans="1:5" x14ac:dyDescent="0.35">
      <c r="A280" t="s">
        <v>2966</v>
      </c>
      <c r="B280" t="s">
        <v>963</v>
      </c>
      <c r="C280" t="s">
        <v>660</v>
      </c>
      <c r="D280" s="3">
        <v>1</v>
      </c>
      <c r="E280" s="2">
        <v>6500</v>
      </c>
    </row>
    <row r="281" spans="1:5" x14ac:dyDescent="0.35">
      <c r="A281" t="s">
        <v>2967</v>
      </c>
      <c r="B281" t="s">
        <v>964</v>
      </c>
      <c r="C281" t="s">
        <v>665</v>
      </c>
      <c r="D281" s="3">
        <v>1</v>
      </c>
      <c r="E281" s="2">
        <v>700</v>
      </c>
    </row>
    <row r="282" spans="1:5" x14ac:dyDescent="0.35">
      <c r="A282" t="s">
        <v>2968</v>
      </c>
      <c r="B282" t="s">
        <v>965</v>
      </c>
      <c r="C282" t="s">
        <v>623</v>
      </c>
      <c r="D282" s="3">
        <v>1</v>
      </c>
      <c r="E282" s="2">
        <v>1200</v>
      </c>
    </row>
    <row r="283" spans="1:5" x14ac:dyDescent="0.35">
      <c r="A283" t="s">
        <v>2969</v>
      </c>
      <c r="B283" t="s">
        <v>966</v>
      </c>
      <c r="C283" t="s">
        <v>643</v>
      </c>
      <c r="D283" s="3">
        <v>1</v>
      </c>
      <c r="E283" s="2">
        <v>2200</v>
      </c>
    </row>
    <row r="284" spans="1:5" x14ac:dyDescent="0.35">
      <c r="A284" t="s">
        <v>2970</v>
      </c>
      <c r="B284" t="s">
        <v>967</v>
      </c>
      <c r="C284" t="s">
        <v>643</v>
      </c>
      <c r="D284" s="3">
        <v>1</v>
      </c>
      <c r="E284" s="2">
        <v>2200</v>
      </c>
    </row>
    <row r="285" spans="1:5" x14ac:dyDescent="0.35">
      <c r="A285" t="s">
        <v>2971</v>
      </c>
      <c r="B285" t="s">
        <v>968</v>
      </c>
      <c r="C285" t="s">
        <v>656</v>
      </c>
      <c r="D285" s="3">
        <v>1</v>
      </c>
      <c r="E285" s="2">
        <v>350</v>
      </c>
    </row>
    <row r="286" spans="1:5" x14ac:dyDescent="0.35">
      <c r="A286" t="s">
        <v>2972</v>
      </c>
      <c r="B286" t="s">
        <v>969</v>
      </c>
      <c r="C286" t="s">
        <v>654</v>
      </c>
      <c r="D286" s="3">
        <v>1</v>
      </c>
      <c r="E286" s="2">
        <v>100</v>
      </c>
    </row>
    <row r="287" spans="1:5" x14ac:dyDescent="0.35">
      <c r="A287" t="s">
        <v>2973</v>
      </c>
      <c r="B287" t="s">
        <v>970</v>
      </c>
      <c r="C287" t="s">
        <v>633</v>
      </c>
      <c r="D287" s="3">
        <v>1</v>
      </c>
      <c r="E287" s="2">
        <v>450</v>
      </c>
    </row>
    <row r="288" spans="1:5" x14ac:dyDescent="0.35">
      <c r="A288" t="s">
        <v>2974</v>
      </c>
      <c r="B288" t="s">
        <v>971</v>
      </c>
      <c r="C288" t="s">
        <v>626</v>
      </c>
      <c r="D288" s="3">
        <v>1</v>
      </c>
      <c r="E288" s="2">
        <v>5000</v>
      </c>
    </row>
    <row r="289" spans="1:5" x14ac:dyDescent="0.35">
      <c r="A289" t="s">
        <v>2975</v>
      </c>
      <c r="B289" t="s">
        <v>972</v>
      </c>
      <c r="C289" t="s">
        <v>669</v>
      </c>
      <c r="D289" s="3">
        <v>2</v>
      </c>
      <c r="E289" s="2">
        <v>1200</v>
      </c>
    </row>
    <row r="290" spans="1:5" x14ac:dyDescent="0.35">
      <c r="A290" t="s">
        <v>2976</v>
      </c>
      <c r="B290" t="s">
        <v>973</v>
      </c>
      <c r="C290" t="s">
        <v>660</v>
      </c>
      <c r="D290" s="3">
        <v>1</v>
      </c>
      <c r="E290" s="2">
        <v>6500</v>
      </c>
    </row>
    <row r="291" spans="1:5" x14ac:dyDescent="0.35">
      <c r="A291" t="s">
        <v>2977</v>
      </c>
      <c r="B291" t="s">
        <v>974</v>
      </c>
      <c r="C291" t="s">
        <v>645</v>
      </c>
      <c r="D291" s="3">
        <v>1</v>
      </c>
      <c r="E291" s="2">
        <v>3500</v>
      </c>
    </row>
    <row r="292" spans="1:5" x14ac:dyDescent="0.35">
      <c r="A292" t="s">
        <v>2978</v>
      </c>
      <c r="B292" t="s">
        <v>975</v>
      </c>
      <c r="C292" t="s">
        <v>651</v>
      </c>
      <c r="D292" s="3">
        <v>1</v>
      </c>
      <c r="E292" s="2">
        <v>120</v>
      </c>
    </row>
    <row r="293" spans="1:5" x14ac:dyDescent="0.35">
      <c r="A293" t="s">
        <v>2979</v>
      </c>
      <c r="B293" t="s">
        <v>976</v>
      </c>
      <c r="C293" t="s">
        <v>643</v>
      </c>
      <c r="D293" s="3">
        <v>1</v>
      </c>
      <c r="E293" s="2">
        <v>2200</v>
      </c>
    </row>
    <row r="294" spans="1:5" x14ac:dyDescent="0.35">
      <c r="A294" t="s">
        <v>2980</v>
      </c>
      <c r="B294" t="s">
        <v>977</v>
      </c>
      <c r="C294" t="s">
        <v>629</v>
      </c>
      <c r="D294" s="3">
        <v>1</v>
      </c>
      <c r="E294" s="2">
        <v>300</v>
      </c>
    </row>
    <row r="295" spans="1:5" x14ac:dyDescent="0.35">
      <c r="A295" t="s">
        <v>2981</v>
      </c>
      <c r="B295" t="s">
        <v>978</v>
      </c>
      <c r="C295" t="s">
        <v>629</v>
      </c>
      <c r="D295" s="3">
        <v>1</v>
      </c>
      <c r="E295" s="2">
        <v>300</v>
      </c>
    </row>
    <row r="296" spans="1:5" x14ac:dyDescent="0.35">
      <c r="A296" t="s">
        <v>2982</v>
      </c>
      <c r="B296" t="s">
        <v>979</v>
      </c>
      <c r="C296" t="s">
        <v>651</v>
      </c>
      <c r="D296" s="3">
        <v>1</v>
      </c>
      <c r="E296" s="2">
        <v>120</v>
      </c>
    </row>
    <row r="297" spans="1:5" x14ac:dyDescent="0.35">
      <c r="A297" t="s">
        <v>2983</v>
      </c>
      <c r="B297" t="s">
        <v>980</v>
      </c>
      <c r="C297" t="s">
        <v>658</v>
      </c>
      <c r="D297" s="3">
        <v>3</v>
      </c>
      <c r="E297" s="2">
        <v>2250</v>
      </c>
    </row>
    <row r="298" spans="1:5" x14ac:dyDescent="0.35">
      <c r="A298" t="s">
        <v>2984</v>
      </c>
      <c r="B298" t="s">
        <v>981</v>
      </c>
      <c r="C298" t="s">
        <v>643</v>
      </c>
      <c r="D298" s="3">
        <v>1</v>
      </c>
      <c r="E298" s="2">
        <v>2200</v>
      </c>
    </row>
    <row r="299" spans="1:5" x14ac:dyDescent="0.35">
      <c r="A299" t="s">
        <v>2985</v>
      </c>
      <c r="B299" t="s">
        <v>982</v>
      </c>
      <c r="C299" t="s">
        <v>645</v>
      </c>
      <c r="D299" s="3">
        <v>2</v>
      </c>
      <c r="E299" s="2">
        <v>7000</v>
      </c>
    </row>
    <row r="300" spans="1:5" x14ac:dyDescent="0.35">
      <c r="A300" t="s">
        <v>2986</v>
      </c>
      <c r="B300" t="s">
        <v>983</v>
      </c>
      <c r="C300" t="s">
        <v>620</v>
      </c>
      <c r="D300" s="3">
        <v>1</v>
      </c>
      <c r="E300" s="2">
        <v>50</v>
      </c>
    </row>
    <row r="301" spans="1:5" x14ac:dyDescent="0.35">
      <c r="A301" t="s">
        <v>2987</v>
      </c>
      <c r="B301" t="s">
        <v>984</v>
      </c>
      <c r="C301" t="s">
        <v>663</v>
      </c>
      <c r="D301" s="3">
        <v>1</v>
      </c>
      <c r="E301" s="2">
        <v>1400</v>
      </c>
    </row>
    <row r="302" spans="1:5" x14ac:dyDescent="0.35">
      <c r="A302" t="s">
        <v>2988</v>
      </c>
      <c r="B302" t="s">
        <v>985</v>
      </c>
      <c r="C302" t="s">
        <v>651</v>
      </c>
      <c r="D302" s="3">
        <v>1</v>
      </c>
      <c r="E302" s="2">
        <v>120</v>
      </c>
    </row>
    <row r="303" spans="1:5" x14ac:dyDescent="0.35">
      <c r="A303" t="s">
        <v>2989</v>
      </c>
      <c r="B303" t="s">
        <v>986</v>
      </c>
      <c r="C303" t="s">
        <v>663</v>
      </c>
      <c r="D303" s="3">
        <v>1</v>
      </c>
      <c r="E303" s="2">
        <v>1400</v>
      </c>
    </row>
    <row r="304" spans="1:5" x14ac:dyDescent="0.35">
      <c r="A304" t="s">
        <v>2990</v>
      </c>
      <c r="B304" t="s">
        <v>987</v>
      </c>
      <c r="C304" t="s">
        <v>626</v>
      </c>
      <c r="D304" s="3">
        <v>1</v>
      </c>
      <c r="E304" s="2">
        <v>5000</v>
      </c>
    </row>
    <row r="305" spans="1:5" x14ac:dyDescent="0.35">
      <c r="A305" t="s">
        <v>2991</v>
      </c>
      <c r="B305" t="s">
        <v>988</v>
      </c>
      <c r="C305" t="s">
        <v>667</v>
      </c>
      <c r="D305" s="3">
        <v>1</v>
      </c>
      <c r="E305" s="2">
        <v>550</v>
      </c>
    </row>
    <row r="306" spans="1:5" x14ac:dyDescent="0.35">
      <c r="A306" t="s">
        <v>2992</v>
      </c>
      <c r="B306" t="s">
        <v>989</v>
      </c>
      <c r="C306" t="s">
        <v>658</v>
      </c>
      <c r="D306" s="3">
        <v>1</v>
      </c>
      <c r="E306" s="2">
        <v>750</v>
      </c>
    </row>
    <row r="307" spans="1:5" x14ac:dyDescent="0.35">
      <c r="A307" t="s">
        <v>2993</v>
      </c>
      <c r="B307" t="s">
        <v>990</v>
      </c>
      <c r="C307" t="s">
        <v>631</v>
      </c>
      <c r="D307" s="3">
        <v>1</v>
      </c>
      <c r="E307" s="2">
        <v>900</v>
      </c>
    </row>
    <row r="308" spans="1:5" x14ac:dyDescent="0.35">
      <c r="A308" t="s">
        <v>2994</v>
      </c>
      <c r="B308" t="s">
        <v>991</v>
      </c>
      <c r="C308" t="s">
        <v>669</v>
      </c>
      <c r="D308" s="3">
        <v>1</v>
      </c>
      <c r="E308" s="2">
        <v>600</v>
      </c>
    </row>
    <row r="309" spans="1:5" x14ac:dyDescent="0.35">
      <c r="A309" t="s">
        <v>2995</v>
      </c>
      <c r="B309" t="s">
        <v>992</v>
      </c>
      <c r="C309" t="s">
        <v>660</v>
      </c>
      <c r="D309" s="3">
        <v>1</v>
      </c>
      <c r="E309" s="2">
        <v>6500</v>
      </c>
    </row>
    <row r="310" spans="1:5" x14ac:dyDescent="0.35">
      <c r="A310" t="s">
        <v>2996</v>
      </c>
      <c r="B310" t="s">
        <v>993</v>
      </c>
      <c r="C310" t="s">
        <v>643</v>
      </c>
      <c r="D310" s="3">
        <v>1</v>
      </c>
      <c r="E310" s="2">
        <v>2200</v>
      </c>
    </row>
    <row r="311" spans="1:5" x14ac:dyDescent="0.35">
      <c r="A311" t="s">
        <v>2997</v>
      </c>
      <c r="B311" t="s">
        <v>994</v>
      </c>
      <c r="C311" t="s">
        <v>671</v>
      </c>
      <c r="D311" s="3">
        <v>1</v>
      </c>
      <c r="E311" s="2">
        <v>400</v>
      </c>
    </row>
    <row r="312" spans="1:5" x14ac:dyDescent="0.35">
      <c r="A312" t="s">
        <v>2998</v>
      </c>
      <c r="B312" t="s">
        <v>995</v>
      </c>
      <c r="C312" t="s">
        <v>620</v>
      </c>
      <c r="D312" s="3">
        <v>1</v>
      </c>
      <c r="E312" s="2">
        <v>50</v>
      </c>
    </row>
    <row r="313" spans="1:5" x14ac:dyDescent="0.35">
      <c r="A313" t="s">
        <v>2999</v>
      </c>
      <c r="B313" t="s">
        <v>996</v>
      </c>
      <c r="C313" t="s">
        <v>635</v>
      </c>
      <c r="D313" s="3">
        <v>2</v>
      </c>
      <c r="E313" s="2">
        <v>360</v>
      </c>
    </row>
    <row r="314" spans="1:5" x14ac:dyDescent="0.35">
      <c r="A314" t="s">
        <v>3000</v>
      </c>
      <c r="B314" t="s">
        <v>997</v>
      </c>
      <c r="C314" t="s">
        <v>643</v>
      </c>
      <c r="D314" s="3">
        <v>1</v>
      </c>
      <c r="E314" s="2">
        <v>2200</v>
      </c>
    </row>
    <row r="315" spans="1:5" x14ac:dyDescent="0.35">
      <c r="A315" t="s">
        <v>3001</v>
      </c>
      <c r="B315" t="s">
        <v>998</v>
      </c>
      <c r="C315" t="s">
        <v>629</v>
      </c>
      <c r="D315" s="3">
        <v>2</v>
      </c>
      <c r="E315" s="2">
        <v>600</v>
      </c>
    </row>
    <row r="316" spans="1:5" x14ac:dyDescent="0.35">
      <c r="A316" t="s">
        <v>3002</v>
      </c>
      <c r="B316" t="s">
        <v>999</v>
      </c>
      <c r="C316" t="s">
        <v>658</v>
      </c>
      <c r="D316" s="3">
        <v>1</v>
      </c>
      <c r="E316" s="2">
        <v>750</v>
      </c>
    </row>
    <row r="317" spans="1:5" x14ac:dyDescent="0.35">
      <c r="A317" t="s">
        <v>3003</v>
      </c>
      <c r="B317" t="s">
        <v>1000</v>
      </c>
      <c r="C317" t="s">
        <v>669</v>
      </c>
      <c r="D317" s="3">
        <v>1</v>
      </c>
      <c r="E317" s="2">
        <v>600</v>
      </c>
    </row>
    <row r="318" spans="1:5" x14ac:dyDescent="0.35">
      <c r="A318" t="s">
        <v>3004</v>
      </c>
      <c r="B318" t="s">
        <v>1001</v>
      </c>
      <c r="C318" t="s">
        <v>658</v>
      </c>
      <c r="D318" s="3">
        <v>1</v>
      </c>
      <c r="E318" s="2">
        <v>750</v>
      </c>
    </row>
    <row r="319" spans="1:5" x14ac:dyDescent="0.35">
      <c r="A319" t="s">
        <v>3005</v>
      </c>
      <c r="B319" t="s">
        <v>1002</v>
      </c>
      <c r="C319" t="s">
        <v>649</v>
      </c>
      <c r="D319" s="3">
        <v>1</v>
      </c>
      <c r="E319" s="2">
        <v>800</v>
      </c>
    </row>
    <row r="320" spans="1:5" x14ac:dyDescent="0.35">
      <c r="A320" t="s">
        <v>3006</v>
      </c>
      <c r="B320" t="s">
        <v>1003</v>
      </c>
      <c r="C320" t="s">
        <v>667</v>
      </c>
      <c r="D320" s="3">
        <v>1</v>
      </c>
      <c r="E320" s="2">
        <v>550</v>
      </c>
    </row>
    <row r="321" spans="1:5" x14ac:dyDescent="0.35">
      <c r="A321" t="s">
        <v>3007</v>
      </c>
      <c r="B321" t="s">
        <v>1004</v>
      </c>
      <c r="C321" t="s">
        <v>641</v>
      </c>
      <c r="D321" s="3">
        <v>2</v>
      </c>
      <c r="E321" s="2">
        <v>3600</v>
      </c>
    </row>
    <row r="322" spans="1:5" x14ac:dyDescent="0.35">
      <c r="A322" t="s">
        <v>3008</v>
      </c>
      <c r="B322" t="s">
        <v>1005</v>
      </c>
      <c r="C322" t="s">
        <v>623</v>
      </c>
      <c r="D322" s="3">
        <v>1</v>
      </c>
      <c r="E322" s="2">
        <v>1200</v>
      </c>
    </row>
    <row r="323" spans="1:5" x14ac:dyDescent="0.35">
      <c r="A323" t="s">
        <v>3009</v>
      </c>
      <c r="B323" t="s">
        <v>1006</v>
      </c>
      <c r="C323" t="s">
        <v>638</v>
      </c>
      <c r="D323" s="3">
        <v>3</v>
      </c>
      <c r="E323" s="2">
        <v>450</v>
      </c>
    </row>
    <row r="324" spans="1:5" x14ac:dyDescent="0.35">
      <c r="A324" t="s">
        <v>3010</v>
      </c>
      <c r="B324" t="s">
        <v>1007</v>
      </c>
      <c r="C324" t="s">
        <v>623</v>
      </c>
      <c r="D324" s="3">
        <v>1</v>
      </c>
      <c r="E324" s="2">
        <v>1200</v>
      </c>
    </row>
    <row r="325" spans="1:5" x14ac:dyDescent="0.35">
      <c r="A325" t="s">
        <v>3011</v>
      </c>
      <c r="B325" t="s">
        <v>1008</v>
      </c>
      <c r="C325" t="s">
        <v>643</v>
      </c>
      <c r="D325" s="3">
        <v>1</v>
      </c>
      <c r="E325" s="2">
        <v>2200</v>
      </c>
    </row>
    <row r="326" spans="1:5" x14ac:dyDescent="0.35">
      <c r="A326" t="s">
        <v>3012</v>
      </c>
      <c r="B326" t="s">
        <v>1009</v>
      </c>
      <c r="C326" t="s">
        <v>645</v>
      </c>
      <c r="D326" s="3">
        <v>1</v>
      </c>
      <c r="E326" s="2">
        <v>3500</v>
      </c>
    </row>
    <row r="327" spans="1:5" x14ac:dyDescent="0.35">
      <c r="A327" t="s">
        <v>3013</v>
      </c>
      <c r="B327" t="s">
        <v>1010</v>
      </c>
      <c r="C327" t="s">
        <v>645</v>
      </c>
      <c r="D327" s="3">
        <v>1</v>
      </c>
      <c r="E327" s="2">
        <v>3500</v>
      </c>
    </row>
    <row r="328" spans="1:5" x14ac:dyDescent="0.35">
      <c r="A328" t="s">
        <v>3014</v>
      </c>
      <c r="B328" t="s">
        <v>1011</v>
      </c>
      <c r="C328" t="s">
        <v>623</v>
      </c>
      <c r="D328" s="3">
        <v>1</v>
      </c>
      <c r="E328" s="2">
        <v>1200</v>
      </c>
    </row>
    <row r="329" spans="1:5" x14ac:dyDescent="0.35">
      <c r="A329" t="s">
        <v>3015</v>
      </c>
      <c r="B329" t="s">
        <v>1012</v>
      </c>
      <c r="C329" t="s">
        <v>665</v>
      </c>
      <c r="D329" s="3">
        <v>3</v>
      </c>
      <c r="E329" s="2">
        <v>2100</v>
      </c>
    </row>
    <row r="330" spans="1:5" x14ac:dyDescent="0.35">
      <c r="A330" t="s">
        <v>3016</v>
      </c>
      <c r="B330" t="s">
        <v>1013</v>
      </c>
      <c r="C330" t="s">
        <v>633</v>
      </c>
      <c r="D330" s="3">
        <v>1</v>
      </c>
      <c r="E330" s="2">
        <v>450</v>
      </c>
    </row>
    <row r="331" spans="1:5" x14ac:dyDescent="0.35">
      <c r="A331" t="s">
        <v>3017</v>
      </c>
      <c r="B331" t="s">
        <v>1014</v>
      </c>
      <c r="C331" t="s">
        <v>649</v>
      </c>
      <c r="D331" s="3">
        <v>3</v>
      </c>
      <c r="E331" s="2">
        <v>2400</v>
      </c>
    </row>
    <row r="332" spans="1:5" x14ac:dyDescent="0.35">
      <c r="A332" t="s">
        <v>3018</v>
      </c>
      <c r="B332" t="s">
        <v>1015</v>
      </c>
      <c r="C332" t="s">
        <v>671</v>
      </c>
      <c r="D332" s="3">
        <v>1</v>
      </c>
      <c r="E332" s="2">
        <v>400</v>
      </c>
    </row>
    <row r="333" spans="1:5" x14ac:dyDescent="0.35">
      <c r="A333" t="s">
        <v>3019</v>
      </c>
      <c r="B333" t="s">
        <v>1016</v>
      </c>
      <c r="C333" t="s">
        <v>643</v>
      </c>
      <c r="D333" s="3">
        <v>1</v>
      </c>
      <c r="E333" s="2">
        <v>2200</v>
      </c>
    </row>
    <row r="334" spans="1:5" x14ac:dyDescent="0.35">
      <c r="A334" t="s">
        <v>3020</v>
      </c>
      <c r="B334" t="s">
        <v>1017</v>
      </c>
      <c r="C334" t="s">
        <v>633</v>
      </c>
      <c r="D334" s="3">
        <v>1</v>
      </c>
      <c r="E334" s="2">
        <v>450</v>
      </c>
    </row>
    <row r="335" spans="1:5" x14ac:dyDescent="0.35">
      <c r="A335" t="s">
        <v>3021</v>
      </c>
      <c r="B335" t="s">
        <v>1018</v>
      </c>
      <c r="C335" t="s">
        <v>673</v>
      </c>
      <c r="D335" s="3">
        <v>1</v>
      </c>
      <c r="E335" s="2">
        <v>300</v>
      </c>
    </row>
    <row r="336" spans="1:5" x14ac:dyDescent="0.35">
      <c r="A336" t="s">
        <v>3022</v>
      </c>
      <c r="B336" t="s">
        <v>1019</v>
      </c>
      <c r="C336" t="s">
        <v>665</v>
      </c>
      <c r="D336" s="3">
        <v>1</v>
      </c>
      <c r="E336" s="2">
        <v>700</v>
      </c>
    </row>
    <row r="337" spans="1:5" x14ac:dyDescent="0.35">
      <c r="A337" t="s">
        <v>3023</v>
      </c>
      <c r="B337" t="s">
        <v>1020</v>
      </c>
      <c r="C337" t="s">
        <v>641</v>
      </c>
      <c r="D337" s="3">
        <v>2</v>
      </c>
      <c r="E337" s="2">
        <v>3600</v>
      </c>
    </row>
    <row r="338" spans="1:5" x14ac:dyDescent="0.35">
      <c r="A338" t="s">
        <v>3024</v>
      </c>
      <c r="B338" t="s">
        <v>1021</v>
      </c>
      <c r="C338" t="s">
        <v>643</v>
      </c>
      <c r="D338" s="3">
        <v>2</v>
      </c>
      <c r="E338" s="2">
        <v>4400</v>
      </c>
    </row>
    <row r="339" spans="1:5" x14ac:dyDescent="0.35">
      <c r="A339" t="s">
        <v>3025</v>
      </c>
      <c r="B339" t="s">
        <v>1022</v>
      </c>
      <c r="C339" t="s">
        <v>651</v>
      </c>
      <c r="D339" s="3">
        <v>1</v>
      </c>
      <c r="E339" s="2">
        <v>120</v>
      </c>
    </row>
    <row r="340" spans="1:5" x14ac:dyDescent="0.35">
      <c r="A340" t="s">
        <v>3026</v>
      </c>
      <c r="B340" t="s">
        <v>1023</v>
      </c>
      <c r="C340" t="s">
        <v>660</v>
      </c>
      <c r="D340" s="3">
        <v>1</v>
      </c>
      <c r="E340" s="2">
        <v>6500</v>
      </c>
    </row>
    <row r="341" spans="1:5" x14ac:dyDescent="0.35">
      <c r="A341" t="s">
        <v>3027</v>
      </c>
      <c r="B341" t="s">
        <v>1024</v>
      </c>
      <c r="C341" t="s">
        <v>654</v>
      </c>
      <c r="D341" s="3">
        <v>1</v>
      </c>
      <c r="E341" s="2">
        <v>100</v>
      </c>
    </row>
    <row r="342" spans="1:5" x14ac:dyDescent="0.35">
      <c r="A342" t="s">
        <v>3028</v>
      </c>
      <c r="B342" t="s">
        <v>1025</v>
      </c>
      <c r="C342" t="s">
        <v>667</v>
      </c>
      <c r="D342" s="3">
        <v>1</v>
      </c>
      <c r="E342" s="2">
        <v>550</v>
      </c>
    </row>
    <row r="343" spans="1:5" x14ac:dyDescent="0.35">
      <c r="A343" t="s">
        <v>3029</v>
      </c>
      <c r="B343" t="s">
        <v>1026</v>
      </c>
      <c r="C343" t="s">
        <v>665</v>
      </c>
      <c r="D343" s="3">
        <v>1</v>
      </c>
      <c r="E343" s="2">
        <v>700</v>
      </c>
    </row>
    <row r="344" spans="1:5" x14ac:dyDescent="0.35">
      <c r="A344" t="s">
        <v>3030</v>
      </c>
      <c r="B344" t="s">
        <v>1027</v>
      </c>
      <c r="C344" t="s">
        <v>663</v>
      </c>
      <c r="D344" s="3">
        <v>1</v>
      </c>
      <c r="E344" s="2">
        <v>1400</v>
      </c>
    </row>
    <row r="345" spans="1:5" x14ac:dyDescent="0.35">
      <c r="A345" t="s">
        <v>3031</v>
      </c>
      <c r="B345" t="s">
        <v>1028</v>
      </c>
      <c r="C345" t="s">
        <v>645</v>
      </c>
      <c r="D345" s="3">
        <v>1</v>
      </c>
      <c r="E345" s="2">
        <v>3500</v>
      </c>
    </row>
    <row r="346" spans="1:5" x14ac:dyDescent="0.35">
      <c r="A346" t="s">
        <v>3032</v>
      </c>
      <c r="B346" t="s">
        <v>1029</v>
      </c>
      <c r="C346" t="s">
        <v>658</v>
      </c>
      <c r="D346" s="3">
        <v>1</v>
      </c>
      <c r="E346" s="2">
        <v>750</v>
      </c>
    </row>
    <row r="347" spans="1:5" x14ac:dyDescent="0.35">
      <c r="A347" t="s">
        <v>3033</v>
      </c>
      <c r="B347" t="s">
        <v>1030</v>
      </c>
      <c r="C347" t="s">
        <v>669</v>
      </c>
      <c r="D347" s="3">
        <v>1</v>
      </c>
      <c r="E347" s="2">
        <v>600</v>
      </c>
    </row>
    <row r="348" spans="1:5" x14ac:dyDescent="0.35">
      <c r="A348" t="s">
        <v>3034</v>
      </c>
      <c r="B348" t="s">
        <v>1031</v>
      </c>
      <c r="C348" t="s">
        <v>647</v>
      </c>
      <c r="D348" s="3">
        <v>1</v>
      </c>
      <c r="E348" s="2">
        <v>4200</v>
      </c>
    </row>
    <row r="349" spans="1:5" x14ac:dyDescent="0.35">
      <c r="A349" t="s">
        <v>3035</v>
      </c>
      <c r="B349" t="s">
        <v>1032</v>
      </c>
      <c r="C349" t="s">
        <v>629</v>
      </c>
      <c r="D349" s="3">
        <v>1</v>
      </c>
      <c r="E349" s="2">
        <v>300</v>
      </c>
    </row>
    <row r="350" spans="1:5" x14ac:dyDescent="0.35">
      <c r="A350" t="s">
        <v>3036</v>
      </c>
      <c r="B350" t="s">
        <v>1033</v>
      </c>
      <c r="C350" t="s">
        <v>626</v>
      </c>
      <c r="D350" s="3">
        <v>1</v>
      </c>
      <c r="E350" s="2">
        <v>5000</v>
      </c>
    </row>
    <row r="351" spans="1:5" x14ac:dyDescent="0.35">
      <c r="A351" t="s">
        <v>3037</v>
      </c>
      <c r="B351" t="s">
        <v>1034</v>
      </c>
      <c r="C351" t="s">
        <v>649</v>
      </c>
      <c r="D351" s="3">
        <v>1</v>
      </c>
      <c r="E351" s="2">
        <v>800</v>
      </c>
    </row>
    <row r="352" spans="1:5" x14ac:dyDescent="0.35">
      <c r="A352" t="s">
        <v>3038</v>
      </c>
      <c r="B352" t="s">
        <v>1035</v>
      </c>
      <c r="C352" t="s">
        <v>635</v>
      </c>
      <c r="D352" s="3">
        <v>3</v>
      </c>
      <c r="E352" s="2">
        <v>540</v>
      </c>
    </row>
    <row r="353" spans="1:5" x14ac:dyDescent="0.35">
      <c r="A353" t="s">
        <v>3039</v>
      </c>
      <c r="B353" t="s">
        <v>1036</v>
      </c>
      <c r="C353" t="s">
        <v>638</v>
      </c>
      <c r="D353" s="3">
        <v>1</v>
      </c>
      <c r="E353" s="2">
        <v>150</v>
      </c>
    </row>
    <row r="354" spans="1:5" x14ac:dyDescent="0.35">
      <c r="A354" t="s">
        <v>3040</v>
      </c>
      <c r="B354" t="s">
        <v>1037</v>
      </c>
      <c r="C354" t="s">
        <v>673</v>
      </c>
      <c r="D354" s="3">
        <v>1</v>
      </c>
      <c r="E354" s="2">
        <v>300</v>
      </c>
    </row>
    <row r="355" spans="1:5" x14ac:dyDescent="0.35">
      <c r="A355" t="s">
        <v>3041</v>
      </c>
      <c r="B355" t="s">
        <v>1038</v>
      </c>
      <c r="C355" t="s">
        <v>660</v>
      </c>
      <c r="D355" s="3">
        <v>1</v>
      </c>
      <c r="E355" s="2">
        <v>6500</v>
      </c>
    </row>
    <row r="356" spans="1:5" x14ac:dyDescent="0.35">
      <c r="A356" t="s">
        <v>3042</v>
      </c>
      <c r="B356" t="s">
        <v>1039</v>
      </c>
      <c r="C356" t="s">
        <v>623</v>
      </c>
      <c r="D356" s="3">
        <v>1</v>
      </c>
      <c r="E356" s="2">
        <v>1200</v>
      </c>
    </row>
    <row r="357" spans="1:5" x14ac:dyDescent="0.35">
      <c r="A357" t="s">
        <v>3043</v>
      </c>
      <c r="B357" t="s">
        <v>1040</v>
      </c>
      <c r="C357" t="s">
        <v>629</v>
      </c>
      <c r="D357" s="3">
        <v>1</v>
      </c>
      <c r="E357" s="2">
        <v>300</v>
      </c>
    </row>
    <row r="358" spans="1:5" x14ac:dyDescent="0.35">
      <c r="A358" t="s">
        <v>3044</v>
      </c>
      <c r="B358" t="s">
        <v>1041</v>
      </c>
      <c r="C358" t="s">
        <v>665</v>
      </c>
      <c r="D358" s="3">
        <v>1</v>
      </c>
      <c r="E358" s="2">
        <v>700</v>
      </c>
    </row>
    <row r="359" spans="1:5" x14ac:dyDescent="0.35">
      <c r="A359" t="s">
        <v>3045</v>
      </c>
      <c r="B359" t="s">
        <v>1042</v>
      </c>
      <c r="C359" t="s">
        <v>658</v>
      </c>
      <c r="D359" s="3">
        <v>1</v>
      </c>
      <c r="E359" s="2">
        <v>750</v>
      </c>
    </row>
    <row r="360" spans="1:5" x14ac:dyDescent="0.35">
      <c r="A360" t="s">
        <v>3046</v>
      </c>
      <c r="B360" t="s">
        <v>1043</v>
      </c>
      <c r="C360" t="s">
        <v>617</v>
      </c>
      <c r="D360" s="3">
        <v>3</v>
      </c>
      <c r="E360" s="2">
        <v>600</v>
      </c>
    </row>
    <row r="361" spans="1:5" x14ac:dyDescent="0.35">
      <c r="A361" t="s">
        <v>3047</v>
      </c>
      <c r="B361" t="s">
        <v>1044</v>
      </c>
      <c r="C361" t="s">
        <v>635</v>
      </c>
      <c r="D361" s="3">
        <v>1</v>
      </c>
      <c r="E361" s="2">
        <v>180</v>
      </c>
    </row>
    <row r="362" spans="1:5" x14ac:dyDescent="0.35">
      <c r="A362" t="s">
        <v>3048</v>
      </c>
      <c r="B362" t="s">
        <v>1045</v>
      </c>
      <c r="C362" t="s">
        <v>660</v>
      </c>
      <c r="D362" s="3">
        <v>2</v>
      </c>
      <c r="E362" s="2">
        <v>13000</v>
      </c>
    </row>
    <row r="363" spans="1:5" x14ac:dyDescent="0.35">
      <c r="A363" t="s">
        <v>3049</v>
      </c>
      <c r="B363" t="s">
        <v>1046</v>
      </c>
      <c r="C363" t="s">
        <v>656</v>
      </c>
      <c r="D363" s="3">
        <v>2</v>
      </c>
      <c r="E363" s="2">
        <v>700</v>
      </c>
    </row>
    <row r="364" spans="1:5" x14ac:dyDescent="0.35">
      <c r="A364" t="s">
        <v>3050</v>
      </c>
      <c r="B364" t="s">
        <v>1047</v>
      </c>
      <c r="C364" t="s">
        <v>656</v>
      </c>
      <c r="D364" s="3">
        <v>1</v>
      </c>
      <c r="E364" s="2">
        <v>350</v>
      </c>
    </row>
    <row r="365" spans="1:5" x14ac:dyDescent="0.35">
      <c r="A365" t="s">
        <v>3051</v>
      </c>
      <c r="B365" t="s">
        <v>1048</v>
      </c>
      <c r="C365" t="s">
        <v>643</v>
      </c>
      <c r="D365" s="3">
        <v>1</v>
      </c>
      <c r="E365" s="2">
        <v>2200</v>
      </c>
    </row>
    <row r="366" spans="1:5" x14ac:dyDescent="0.35">
      <c r="A366" t="s">
        <v>3052</v>
      </c>
      <c r="B366" t="s">
        <v>1049</v>
      </c>
      <c r="C366" t="s">
        <v>620</v>
      </c>
      <c r="D366" s="3">
        <v>1</v>
      </c>
      <c r="E366" s="2">
        <v>50</v>
      </c>
    </row>
    <row r="367" spans="1:5" x14ac:dyDescent="0.35">
      <c r="A367" t="s">
        <v>3053</v>
      </c>
      <c r="B367" t="s">
        <v>1050</v>
      </c>
      <c r="C367" t="s">
        <v>631</v>
      </c>
      <c r="D367" s="3">
        <v>1</v>
      </c>
      <c r="E367" s="2">
        <v>900</v>
      </c>
    </row>
    <row r="368" spans="1:5" x14ac:dyDescent="0.35">
      <c r="A368" t="s">
        <v>3054</v>
      </c>
      <c r="B368" t="s">
        <v>1051</v>
      </c>
      <c r="C368" t="s">
        <v>667</v>
      </c>
      <c r="D368" s="3">
        <v>2</v>
      </c>
      <c r="E368" s="2">
        <v>1100</v>
      </c>
    </row>
    <row r="369" spans="1:5" x14ac:dyDescent="0.35">
      <c r="A369" t="s">
        <v>3055</v>
      </c>
      <c r="B369" t="s">
        <v>1052</v>
      </c>
      <c r="C369" t="s">
        <v>649</v>
      </c>
      <c r="D369" s="3">
        <v>1</v>
      </c>
      <c r="E369" s="2">
        <v>800</v>
      </c>
    </row>
    <row r="370" spans="1:5" x14ac:dyDescent="0.35">
      <c r="A370" t="s">
        <v>3056</v>
      </c>
      <c r="B370" t="s">
        <v>1053</v>
      </c>
      <c r="C370" t="s">
        <v>623</v>
      </c>
      <c r="D370" s="3">
        <v>1</v>
      </c>
      <c r="E370" s="2">
        <v>1200</v>
      </c>
    </row>
    <row r="371" spans="1:5" x14ac:dyDescent="0.35">
      <c r="A371" t="s">
        <v>3057</v>
      </c>
      <c r="B371" t="s">
        <v>1054</v>
      </c>
      <c r="C371" t="s">
        <v>645</v>
      </c>
      <c r="D371" s="3">
        <v>1</v>
      </c>
      <c r="E371" s="2">
        <v>3500</v>
      </c>
    </row>
    <row r="372" spans="1:5" x14ac:dyDescent="0.35">
      <c r="A372" t="s">
        <v>3058</v>
      </c>
      <c r="B372" t="s">
        <v>1055</v>
      </c>
      <c r="C372" t="s">
        <v>626</v>
      </c>
      <c r="D372" s="3">
        <v>3</v>
      </c>
      <c r="E372" s="2">
        <v>15000</v>
      </c>
    </row>
    <row r="373" spans="1:5" x14ac:dyDescent="0.35">
      <c r="A373" t="s">
        <v>3059</v>
      </c>
      <c r="B373" t="s">
        <v>1056</v>
      </c>
      <c r="C373" t="s">
        <v>645</v>
      </c>
      <c r="D373" s="3">
        <v>1</v>
      </c>
      <c r="E373" s="2">
        <v>3500</v>
      </c>
    </row>
    <row r="374" spans="1:5" x14ac:dyDescent="0.35">
      <c r="A374" t="s">
        <v>3060</v>
      </c>
      <c r="B374" t="s">
        <v>1057</v>
      </c>
      <c r="C374" t="s">
        <v>647</v>
      </c>
      <c r="D374" s="3">
        <v>2</v>
      </c>
      <c r="E374" s="2">
        <v>8400</v>
      </c>
    </row>
    <row r="375" spans="1:5" x14ac:dyDescent="0.35">
      <c r="A375" t="s">
        <v>3061</v>
      </c>
      <c r="B375" t="s">
        <v>1058</v>
      </c>
      <c r="C375" t="s">
        <v>620</v>
      </c>
      <c r="D375" s="3">
        <v>1</v>
      </c>
      <c r="E375" s="2">
        <v>50</v>
      </c>
    </row>
    <row r="376" spans="1:5" x14ac:dyDescent="0.35">
      <c r="A376" t="s">
        <v>3062</v>
      </c>
      <c r="B376" t="s">
        <v>1059</v>
      </c>
      <c r="C376" t="s">
        <v>620</v>
      </c>
      <c r="D376" s="3">
        <v>1</v>
      </c>
      <c r="E376" s="2">
        <v>50</v>
      </c>
    </row>
    <row r="377" spans="1:5" x14ac:dyDescent="0.35">
      <c r="A377" t="s">
        <v>3063</v>
      </c>
      <c r="B377" t="s">
        <v>1060</v>
      </c>
      <c r="C377" t="s">
        <v>651</v>
      </c>
      <c r="D377" s="3">
        <v>1</v>
      </c>
      <c r="E377" s="2">
        <v>120</v>
      </c>
    </row>
    <row r="378" spans="1:5" x14ac:dyDescent="0.35">
      <c r="A378" t="s">
        <v>3064</v>
      </c>
      <c r="B378" t="s">
        <v>1061</v>
      </c>
      <c r="C378" t="s">
        <v>669</v>
      </c>
      <c r="D378" s="3">
        <v>1</v>
      </c>
      <c r="E378" s="2">
        <v>600</v>
      </c>
    </row>
    <row r="379" spans="1:5" x14ac:dyDescent="0.35">
      <c r="A379" t="s">
        <v>3065</v>
      </c>
      <c r="B379" t="s">
        <v>1062</v>
      </c>
      <c r="C379" t="s">
        <v>656</v>
      </c>
      <c r="D379" s="3">
        <v>1</v>
      </c>
      <c r="E379" s="2">
        <v>350</v>
      </c>
    </row>
    <row r="380" spans="1:5" x14ac:dyDescent="0.35">
      <c r="A380" t="s">
        <v>3066</v>
      </c>
      <c r="B380" t="s">
        <v>1063</v>
      </c>
      <c r="C380" t="s">
        <v>633</v>
      </c>
      <c r="D380" s="3">
        <v>1</v>
      </c>
      <c r="E380" s="2">
        <v>450</v>
      </c>
    </row>
    <row r="381" spans="1:5" x14ac:dyDescent="0.35">
      <c r="A381" t="s">
        <v>3067</v>
      </c>
      <c r="B381" t="s">
        <v>1064</v>
      </c>
      <c r="C381" t="s">
        <v>649</v>
      </c>
      <c r="D381" s="3">
        <v>1</v>
      </c>
      <c r="E381" s="2">
        <v>800</v>
      </c>
    </row>
    <row r="382" spans="1:5" x14ac:dyDescent="0.35">
      <c r="A382" t="s">
        <v>3068</v>
      </c>
      <c r="B382" t="s">
        <v>1065</v>
      </c>
      <c r="C382" t="s">
        <v>645</v>
      </c>
      <c r="D382" s="3">
        <v>1</v>
      </c>
      <c r="E382" s="2">
        <v>3500</v>
      </c>
    </row>
    <row r="383" spans="1:5" x14ac:dyDescent="0.35">
      <c r="A383" t="s">
        <v>3069</v>
      </c>
      <c r="B383" t="s">
        <v>1066</v>
      </c>
      <c r="C383" t="s">
        <v>656</v>
      </c>
      <c r="D383" s="3">
        <v>1</v>
      </c>
      <c r="E383" s="2">
        <v>350</v>
      </c>
    </row>
    <row r="384" spans="1:5" x14ac:dyDescent="0.35">
      <c r="A384" t="s">
        <v>3070</v>
      </c>
      <c r="B384" t="s">
        <v>1067</v>
      </c>
      <c r="C384" t="s">
        <v>649</v>
      </c>
      <c r="D384" s="3">
        <v>1</v>
      </c>
      <c r="E384" s="2">
        <v>800</v>
      </c>
    </row>
    <row r="385" spans="1:5" x14ac:dyDescent="0.35">
      <c r="A385" t="s">
        <v>3071</v>
      </c>
      <c r="B385" t="s">
        <v>1068</v>
      </c>
      <c r="C385" t="s">
        <v>631</v>
      </c>
      <c r="D385" s="3">
        <v>1</v>
      </c>
      <c r="E385" s="2">
        <v>900</v>
      </c>
    </row>
    <row r="386" spans="1:5" x14ac:dyDescent="0.35">
      <c r="A386" t="s">
        <v>3072</v>
      </c>
      <c r="B386" t="s">
        <v>1069</v>
      </c>
      <c r="C386" t="s">
        <v>660</v>
      </c>
      <c r="D386" s="3">
        <v>1</v>
      </c>
      <c r="E386" s="2">
        <v>6500</v>
      </c>
    </row>
    <row r="387" spans="1:5" x14ac:dyDescent="0.35">
      <c r="A387" t="s">
        <v>3073</v>
      </c>
      <c r="B387" t="s">
        <v>1070</v>
      </c>
      <c r="C387" t="s">
        <v>671</v>
      </c>
      <c r="D387" s="3">
        <v>1</v>
      </c>
      <c r="E387" s="2">
        <v>400</v>
      </c>
    </row>
    <row r="388" spans="1:5" x14ac:dyDescent="0.35">
      <c r="A388" t="s">
        <v>3074</v>
      </c>
      <c r="B388" t="s">
        <v>1071</v>
      </c>
      <c r="C388" t="s">
        <v>631</v>
      </c>
      <c r="D388" s="3">
        <v>2</v>
      </c>
      <c r="E388" s="2">
        <v>1800</v>
      </c>
    </row>
    <row r="389" spans="1:5" x14ac:dyDescent="0.35">
      <c r="A389" t="s">
        <v>3075</v>
      </c>
      <c r="B389" t="s">
        <v>1072</v>
      </c>
      <c r="C389" t="s">
        <v>658</v>
      </c>
      <c r="D389" s="3">
        <v>1</v>
      </c>
      <c r="E389" s="2">
        <v>750</v>
      </c>
    </row>
    <row r="390" spans="1:5" x14ac:dyDescent="0.35">
      <c r="A390" t="s">
        <v>3076</v>
      </c>
      <c r="B390" t="s">
        <v>1073</v>
      </c>
      <c r="C390" t="s">
        <v>671</v>
      </c>
      <c r="D390" s="3">
        <v>1</v>
      </c>
      <c r="E390" s="2">
        <v>400</v>
      </c>
    </row>
    <row r="391" spans="1:5" x14ac:dyDescent="0.35">
      <c r="A391" t="s">
        <v>3077</v>
      </c>
      <c r="B391" t="s">
        <v>1074</v>
      </c>
      <c r="C391" t="s">
        <v>629</v>
      </c>
      <c r="D391" s="3">
        <v>2</v>
      </c>
      <c r="E391" s="2">
        <v>600</v>
      </c>
    </row>
    <row r="392" spans="1:5" x14ac:dyDescent="0.35">
      <c r="A392" t="s">
        <v>3078</v>
      </c>
      <c r="B392" t="s">
        <v>1075</v>
      </c>
      <c r="C392" t="s">
        <v>671</v>
      </c>
      <c r="D392" s="3">
        <v>2</v>
      </c>
      <c r="E392" s="2">
        <v>800</v>
      </c>
    </row>
    <row r="393" spans="1:5" x14ac:dyDescent="0.35">
      <c r="A393" t="s">
        <v>3079</v>
      </c>
      <c r="B393" t="s">
        <v>1076</v>
      </c>
      <c r="C393" t="s">
        <v>671</v>
      </c>
      <c r="D393" s="3">
        <v>1</v>
      </c>
      <c r="E393" s="2">
        <v>400</v>
      </c>
    </row>
    <row r="394" spans="1:5" x14ac:dyDescent="0.35">
      <c r="A394" t="s">
        <v>3080</v>
      </c>
      <c r="B394" t="s">
        <v>1077</v>
      </c>
      <c r="C394" t="s">
        <v>631</v>
      </c>
      <c r="D394" s="3">
        <v>1</v>
      </c>
      <c r="E394" s="2">
        <v>900</v>
      </c>
    </row>
    <row r="395" spans="1:5" x14ac:dyDescent="0.35">
      <c r="A395" t="s">
        <v>3081</v>
      </c>
      <c r="B395" t="s">
        <v>1078</v>
      </c>
      <c r="C395" t="s">
        <v>620</v>
      </c>
      <c r="D395" s="3">
        <v>1</v>
      </c>
      <c r="E395" s="2">
        <v>50</v>
      </c>
    </row>
    <row r="396" spans="1:5" x14ac:dyDescent="0.35">
      <c r="A396" t="s">
        <v>3082</v>
      </c>
      <c r="B396" t="s">
        <v>1079</v>
      </c>
      <c r="C396" t="s">
        <v>635</v>
      </c>
      <c r="D396" s="3">
        <v>1</v>
      </c>
      <c r="E396" s="2">
        <v>180</v>
      </c>
    </row>
    <row r="397" spans="1:5" x14ac:dyDescent="0.35">
      <c r="A397" t="s">
        <v>3083</v>
      </c>
      <c r="B397" t="s">
        <v>1080</v>
      </c>
      <c r="C397" t="s">
        <v>651</v>
      </c>
      <c r="D397" s="3">
        <v>1</v>
      </c>
      <c r="E397" s="2">
        <v>120</v>
      </c>
    </row>
    <row r="398" spans="1:5" x14ac:dyDescent="0.35">
      <c r="A398" t="s">
        <v>3084</v>
      </c>
      <c r="B398" t="s">
        <v>1081</v>
      </c>
      <c r="C398" t="s">
        <v>651</v>
      </c>
      <c r="D398" s="3">
        <v>1</v>
      </c>
      <c r="E398" s="2">
        <v>120</v>
      </c>
    </row>
    <row r="399" spans="1:5" x14ac:dyDescent="0.35">
      <c r="A399" t="s">
        <v>3085</v>
      </c>
      <c r="B399" t="s">
        <v>1082</v>
      </c>
      <c r="C399" t="s">
        <v>643</v>
      </c>
      <c r="D399" s="3">
        <v>1</v>
      </c>
      <c r="E399" s="2">
        <v>2200</v>
      </c>
    </row>
    <row r="400" spans="1:5" x14ac:dyDescent="0.35">
      <c r="A400" t="s">
        <v>3086</v>
      </c>
      <c r="B400" t="s">
        <v>1083</v>
      </c>
      <c r="C400" t="s">
        <v>667</v>
      </c>
      <c r="D400" s="3">
        <v>2</v>
      </c>
      <c r="E400" s="2">
        <v>1100</v>
      </c>
    </row>
    <row r="401" spans="1:5" x14ac:dyDescent="0.35">
      <c r="A401" t="s">
        <v>3087</v>
      </c>
      <c r="B401" t="s">
        <v>1084</v>
      </c>
      <c r="C401" t="s">
        <v>667</v>
      </c>
      <c r="D401" s="3">
        <v>1</v>
      </c>
      <c r="E401" s="2">
        <v>550</v>
      </c>
    </row>
    <row r="402" spans="1:5" x14ac:dyDescent="0.35">
      <c r="A402" t="s">
        <v>3088</v>
      </c>
      <c r="B402" t="s">
        <v>1085</v>
      </c>
      <c r="C402" t="s">
        <v>671</v>
      </c>
      <c r="D402" s="3">
        <v>1</v>
      </c>
      <c r="E402" s="2">
        <v>400</v>
      </c>
    </row>
    <row r="403" spans="1:5" x14ac:dyDescent="0.35">
      <c r="A403" t="s">
        <v>3089</v>
      </c>
      <c r="B403" t="s">
        <v>1086</v>
      </c>
      <c r="C403" t="s">
        <v>617</v>
      </c>
      <c r="D403" s="3">
        <v>3</v>
      </c>
      <c r="E403" s="2">
        <v>600</v>
      </c>
    </row>
    <row r="404" spans="1:5" x14ac:dyDescent="0.35">
      <c r="A404" t="s">
        <v>3090</v>
      </c>
      <c r="B404" t="s">
        <v>1087</v>
      </c>
      <c r="C404" t="s">
        <v>658</v>
      </c>
      <c r="D404" s="3">
        <v>1</v>
      </c>
      <c r="E404" s="2">
        <v>750</v>
      </c>
    </row>
    <row r="405" spans="1:5" x14ac:dyDescent="0.35">
      <c r="A405" t="s">
        <v>3091</v>
      </c>
      <c r="B405" t="s">
        <v>1088</v>
      </c>
      <c r="C405" t="s">
        <v>645</v>
      </c>
      <c r="D405" s="3">
        <v>1</v>
      </c>
      <c r="E405" s="2">
        <v>3500</v>
      </c>
    </row>
    <row r="406" spans="1:5" x14ac:dyDescent="0.35">
      <c r="A406" t="s">
        <v>3092</v>
      </c>
      <c r="B406" t="s">
        <v>1089</v>
      </c>
      <c r="C406" t="s">
        <v>645</v>
      </c>
      <c r="D406" s="3">
        <v>1</v>
      </c>
      <c r="E406" s="2">
        <v>3500</v>
      </c>
    </row>
    <row r="407" spans="1:5" x14ac:dyDescent="0.35">
      <c r="A407" t="s">
        <v>3093</v>
      </c>
      <c r="B407" t="s">
        <v>1090</v>
      </c>
      <c r="C407" t="s">
        <v>673</v>
      </c>
      <c r="D407" s="3">
        <v>1</v>
      </c>
      <c r="E407" s="2">
        <v>300</v>
      </c>
    </row>
    <row r="408" spans="1:5" x14ac:dyDescent="0.35">
      <c r="A408" t="s">
        <v>3094</v>
      </c>
      <c r="B408" t="s">
        <v>1091</v>
      </c>
      <c r="C408" t="s">
        <v>643</v>
      </c>
      <c r="D408" s="3">
        <v>1</v>
      </c>
      <c r="E408" s="2">
        <v>2200</v>
      </c>
    </row>
    <row r="409" spans="1:5" x14ac:dyDescent="0.35">
      <c r="A409" t="s">
        <v>3095</v>
      </c>
      <c r="B409" t="s">
        <v>1092</v>
      </c>
      <c r="C409" t="s">
        <v>635</v>
      </c>
      <c r="D409" s="3">
        <v>1</v>
      </c>
      <c r="E409" s="2">
        <v>180</v>
      </c>
    </row>
    <row r="410" spans="1:5" x14ac:dyDescent="0.35">
      <c r="A410" t="s">
        <v>3096</v>
      </c>
      <c r="B410" t="s">
        <v>1093</v>
      </c>
      <c r="C410" t="s">
        <v>633</v>
      </c>
      <c r="D410" s="3">
        <v>1</v>
      </c>
      <c r="E410" s="2">
        <v>450</v>
      </c>
    </row>
    <row r="411" spans="1:5" x14ac:dyDescent="0.35">
      <c r="A411" t="s">
        <v>3097</v>
      </c>
      <c r="B411" t="s">
        <v>1094</v>
      </c>
      <c r="C411" t="s">
        <v>669</v>
      </c>
      <c r="D411" s="3">
        <v>2</v>
      </c>
      <c r="E411" s="2">
        <v>1200</v>
      </c>
    </row>
    <row r="412" spans="1:5" x14ac:dyDescent="0.35">
      <c r="A412" t="s">
        <v>3098</v>
      </c>
      <c r="B412" t="s">
        <v>1095</v>
      </c>
      <c r="C412" t="s">
        <v>665</v>
      </c>
      <c r="D412" s="3">
        <v>1</v>
      </c>
      <c r="E412" s="2">
        <v>700</v>
      </c>
    </row>
    <row r="413" spans="1:5" x14ac:dyDescent="0.35">
      <c r="A413" t="s">
        <v>3099</v>
      </c>
      <c r="B413" t="s">
        <v>1096</v>
      </c>
      <c r="C413" t="s">
        <v>620</v>
      </c>
      <c r="D413" s="3">
        <v>1</v>
      </c>
      <c r="E413" s="2">
        <v>50</v>
      </c>
    </row>
    <row r="414" spans="1:5" x14ac:dyDescent="0.35">
      <c r="A414" t="s">
        <v>3100</v>
      </c>
      <c r="B414" t="s">
        <v>1097</v>
      </c>
      <c r="C414" t="s">
        <v>643</v>
      </c>
      <c r="D414" s="3">
        <v>1</v>
      </c>
      <c r="E414" s="2">
        <v>2200</v>
      </c>
    </row>
    <row r="415" spans="1:5" x14ac:dyDescent="0.35">
      <c r="A415" t="s">
        <v>3101</v>
      </c>
      <c r="B415" t="s">
        <v>1098</v>
      </c>
      <c r="C415" t="s">
        <v>667</v>
      </c>
      <c r="D415" s="3">
        <v>1</v>
      </c>
      <c r="E415" s="2">
        <v>550</v>
      </c>
    </row>
    <row r="416" spans="1:5" x14ac:dyDescent="0.35">
      <c r="A416" t="s">
        <v>3102</v>
      </c>
      <c r="B416" t="s">
        <v>1099</v>
      </c>
      <c r="C416" t="s">
        <v>641</v>
      </c>
      <c r="D416" s="3">
        <v>1</v>
      </c>
      <c r="E416" s="2">
        <v>1800</v>
      </c>
    </row>
    <row r="417" spans="1:5" x14ac:dyDescent="0.35">
      <c r="A417" t="s">
        <v>3103</v>
      </c>
      <c r="B417" t="s">
        <v>1100</v>
      </c>
      <c r="C417" t="s">
        <v>623</v>
      </c>
      <c r="D417" s="3">
        <v>1</v>
      </c>
      <c r="E417" s="2">
        <v>1200</v>
      </c>
    </row>
    <row r="418" spans="1:5" x14ac:dyDescent="0.35">
      <c r="A418" t="s">
        <v>3104</v>
      </c>
      <c r="B418" t="s">
        <v>1101</v>
      </c>
      <c r="C418" t="s">
        <v>663</v>
      </c>
      <c r="D418" s="3">
        <v>1</v>
      </c>
      <c r="E418" s="2">
        <v>1400</v>
      </c>
    </row>
    <row r="419" spans="1:5" x14ac:dyDescent="0.35">
      <c r="A419" t="s">
        <v>3105</v>
      </c>
      <c r="B419" t="s">
        <v>1102</v>
      </c>
      <c r="C419" t="s">
        <v>641</v>
      </c>
      <c r="D419" s="3">
        <v>1</v>
      </c>
      <c r="E419" s="2">
        <v>1800</v>
      </c>
    </row>
    <row r="420" spans="1:5" x14ac:dyDescent="0.35">
      <c r="A420" t="s">
        <v>3106</v>
      </c>
      <c r="B420" t="s">
        <v>1103</v>
      </c>
      <c r="C420" t="s">
        <v>658</v>
      </c>
      <c r="D420" s="3">
        <v>1</v>
      </c>
      <c r="E420" s="2">
        <v>750</v>
      </c>
    </row>
    <row r="421" spans="1:5" x14ac:dyDescent="0.35">
      <c r="A421" t="s">
        <v>3107</v>
      </c>
      <c r="B421" t="s">
        <v>1104</v>
      </c>
      <c r="C421" t="s">
        <v>649</v>
      </c>
      <c r="D421" s="3">
        <v>1</v>
      </c>
      <c r="E421" s="2">
        <v>800</v>
      </c>
    </row>
    <row r="422" spans="1:5" x14ac:dyDescent="0.35">
      <c r="A422" t="s">
        <v>3108</v>
      </c>
      <c r="B422" t="s">
        <v>1105</v>
      </c>
      <c r="C422" t="s">
        <v>658</v>
      </c>
      <c r="D422" s="3">
        <v>1</v>
      </c>
      <c r="E422" s="2">
        <v>750</v>
      </c>
    </row>
    <row r="423" spans="1:5" x14ac:dyDescent="0.35">
      <c r="A423" t="s">
        <v>3109</v>
      </c>
      <c r="B423" t="s">
        <v>1106</v>
      </c>
      <c r="C423" t="s">
        <v>671</v>
      </c>
      <c r="D423" s="3">
        <v>1</v>
      </c>
      <c r="E423" s="2">
        <v>400</v>
      </c>
    </row>
    <row r="424" spans="1:5" x14ac:dyDescent="0.35">
      <c r="A424" t="s">
        <v>3110</v>
      </c>
      <c r="B424" t="s">
        <v>1107</v>
      </c>
      <c r="C424" t="s">
        <v>635</v>
      </c>
      <c r="D424" s="3">
        <v>1</v>
      </c>
      <c r="E424" s="2">
        <v>180</v>
      </c>
    </row>
    <row r="425" spans="1:5" x14ac:dyDescent="0.35">
      <c r="A425" t="s">
        <v>3111</v>
      </c>
      <c r="B425" t="s">
        <v>1108</v>
      </c>
      <c r="C425" t="s">
        <v>641</v>
      </c>
      <c r="D425" s="3">
        <v>1</v>
      </c>
      <c r="E425" s="2">
        <v>1800</v>
      </c>
    </row>
    <row r="426" spans="1:5" x14ac:dyDescent="0.35">
      <c r="A426" t="s">
        <v>3112</v>
      </c>
      <c r="B426" t="s">
        <v>1109</v>
      </c>
      <c r="C426" t="s">
        <v>667</v>
      </c>
      <c r="D426" s="3">
        <v>1</v>
      </c>
      <c r="E426" s="2">
        <v>550</v>
      </c>
    </row>
    <row r="427" spans="1:5" x14ac:dyDescent="0.35">
      <c r="A427" t="s">
        <v>3113</v>
      </c>
      <c r="B427" t="s">
        <v>1110</v>
      </c>
      <c r="C427" t="s">
        <v>647</v>
      </c>
      <c r="D427" s="3">
        <v>1</v>
      </c>
      <c r="E427" s="2">
        <v>4200</v>
      </c>
    </row>
    <row r="428" spans="1:5" x14ac:dyDescent="0.35">
      <c r="A428" t="s">
        <v>3114</v>
      </c>
      <c r="B428" t="s">
        <v>1111</v>
      </c>
      <c r="C428" t="s">
        <v>665</v>
      </c>
      <c r="D428" s="3">
        <v>1</v>
      </c>
      <c r="E428" s="2">
        <v>700</v>
      </c>
    </row>
    <row r="429" spans="1:5" x14ac:dyDescent="0.35">
      <c r="A429" t="s">
        <v>3115</v>
      </c>
      <c r="B429" t="s">
        <v>1112</v>
      </c>
      <c r="C429" t="s">
        <v>635</v>
      </c>
      <c r="D429" s="3">
        <v>1</v>
      </c>
      <c r="E429" s="2">
        <v>180</v>
      </c>
    </row>
    <row r="430" spans="1:5" x14ac:dyDescent="0.35">
      <c r="A430" t="s">
        <v>3116</v>
      </c>
      <c r="B430" t="s">
        <v>1113</v>
      </c>
      <c r="C430" t="s">
        <v>626</v>
      </c>
      <c r="D430" s="3">
        <v>2</v>
      </c>
      <c r="E430" s="2">
        <v>10000</v>
      </c>
    </row>
    <row r="431" spans="1:5" x14ac:dyDescent="0.35">
      <c r="A431" t="s">
        <v>3117</v>
      </c>
      <c r="B431" t="s">
        <v>1114</v>
      </c>
      <c r="C431" t="s">
        <v>626</v>
      </c>
      <c r="D431" s="3">
        <v>1</v>
      </c>
      <c r="E431" s="2">
        <v>5000</v>
      </c>
    </row>
    <row r="432" spans="1:5" x14ac:dyDescent="0.35">
      <c r="A432" t="s">
        <v>3118</v>
      </c>
      <c r="B432" t="s">
        <v>1115</v>
      </c>
      <c r="C432" t="s">
        <v>629</v>
      </c>
      <c r="D432" s="3">
        <v>1</v>
      </c>
      <c r="E432" s="2">
        <v>300</v>
      </c>
    </row>
    <row r="433" spans="1:5" x14ac:dyDescent="0.35">
      <c r="A433" t="s">
        <v>3119</v>
      </c>
      <c r="B433" t="s">
        <v>1116</v>
      </c>
      <c r="C433" t="s">
        <v>617</v>
      </c>
      <c r="D433" s="3">
        <v>1</v>
      </c>
      <c r="E433" s="2">
        <v>200</v>
      </c>
    </row>
    <row r="434" spans="1:5" x14ac:dyDescent="0.35">
      <c r="A434" t="s">
        <v>3120</v>
      </c>
      <c r="B434" t="s">
        <v>1117</v>
      </c>
      <c r="C434" t="s">
        <v>656</v>
      </c>
      <c r="D434" s="3">
        <v>1</v>
      </c>
      <c r="E434" s="2">
        <v>350</v>
      </c>
    </row>
    <row r="435" spans="1:5" x14ac:dyDescent="0.35">
      <c r="A435" t="s">
        <v>3121</v>
      </c>
      <c r="B435" t="s">
        <v>1118</v>
      </c>
      <c r="C435" t="s">
        <v>620</v>
      </c>
      <c r="D435" s="3">
        <v>1</v>
      </c>
      <c r="E435" s="2">
        <v>50</v>
      </c>
    </row>
    <row r="436" spans="1:5" x14ac:dyDescent="0.35">
      <c r="A436" t="s">
        <v>3122</v>
      </c>
      <c r="B436" t="s">
        <v>1119</v>
      </c>
      <c r="C436" t="s">
        <v>635</v>
      </c>
      <c r="D436" s="3">
        <v>1</v>
      </c>
      <c r="E436" s="2">
        <v>180</v>
      </c>
    </row>
    <row r="437" spans="1:5" x14ac:dyDescent="0.35">
      <c r="A437" t="s">
        <v>3123</v>
      </c>
      <c r="B437" t="s">
        <v>1120</v>
      </c>
      <c r="C437" t="s">
        <v>633</v>
      </c>
      <c r="D437" s="3">
        <v>3</v>
      </c>
      <c r="E437" s="2">
        <v>1350</v>
      </c>
    </row>
    <row r="438" spans="1:5" x14ac:dyDescent="0.35">
      <c r="A438" t="s">
        <v>3124</v>
      </c>
      <c r="B438" t="s">
        <v>1121</v>
      </c>
      <c r="C438" t="s">
        <v>651</v>
      </c>
      <c r="D438" s="3">
        <v>1</v>
      </c>
      <c r="E438" s="2">
        <v>120</v>
      </c>
    </row>
    <row r="439" spans="1:5" x14ac:dyDescent="0.35">
      <c r="A439" t="s">
        <v>3125</v>
      </c>
      <c r="B439" t="s">
        <v>1122</v>
      </c>
      <c r="C439" t="s">
        <v>673</v>
      </c>
      <c r="D439" s="3">
        <v>1</v>
      </c>
      <c r="E439" s="2">
        <v>300</v>
      </c>
    </row>
    <row r="440" spans="1:5" x14ac:dyDescent="0.35">
      <c r="A440" t="s">
        <v>3126</v>
      </c>
      <c r="B440" t="s">
        <v>1123</v>
      </c>
      <c r="C440" t="s">
        <v>629</v>
      </c>
      <c r="D440" s="3">
        <v>1</v>
      </c>
      <c r="E440" s="2">
        <v>300</v>
      </c>
    </row>
    <row r="441" spans="1:5" x14ac:dyDescent="0.35">
      <c r="A441" t="s">
        <v>3127</v>
      </c>
      <c r="B441" t="s">
        <v>1124</v>
      </c>
      <c r="C441" t="s">
        <v>620</v>
      </c>
      <c r="D441" s="3">
        <v>1</v>
      </c>
      <c r="E441" s="2">
        <v>50</v>
      </c>
    </row>
    <row r="442" spans="1:5" x14ac:dyDescent="0.35">
      <c r="A442" t="s">
        <v>3128</v>
      </c>
      <c r="B442" t="s">
        <v>1125</v>
      </c>
      <c r="C442" t="s">
        <v>633</v>
      </c>
      <c r="D442" s="3">
        <v>1</v>
      </c>
      <c r="E442" s="2">
        <v>450</v>
      </c>
    </row>
    <row r="443" spans="1:5" x14ac:dyDescent="0.35">
      <c r="A443" t="s">
        <v>3129</v>
      </c>
      <c r="B443" t="s">
        <v>1126</v>
      </c>
      <c r="C443" t="s">
        <v>635</v>
      </c>
      <c r="D443" s="3">
        <v>1</v>
      </c>
      <c r="E443" s="2">
        <v>180</v>
      </c>
    </row>
    <row r="444" spans="1:5" x14ac:dyDescent="0.35">
      <c r="A444" t="s">
        <v>3130</v>
      </c>
      <c r="B444" t="s">
        <v>1127</v>
      </c>
      <c r="C444" t="s">
        <v>633</v>
      </c>
      <c r="D444" s="3">
        <v>1</v>
      </c>
      <c r="E444" s="2">
        <v>450</v>
      </c>
    </row>
    <row r="445" spans="1:5" x14ac:dyDescent="0.35">
      <c r="A445" t="s">
        <v>3131</v>
      </c>
      <c r="B445" t="s">
        <v>1128</v>
      </c>
      <c r="C445" t="s">
        <v>633</v>
      </c>
      <c r="D445" s="3">
        <v>1</v>
      </c>
      <c r="E445" s="2">
        <v>450</v>
      </c>
    </row>
    <row r="446" spans="1:5" x14ac:dyDescent="0.35">
      <c r="A446" t="s">
        <v>3132</v>
      </c>
      <c r="B446" t="s">
        <v>1129</v>
      </c>
      <c r="C446" t="s">
        <v>649</v>
      </c>
      <c r="D446" s="3">
        <v>1</v>
      </c>
      <c r="E446" s="2">
        <v>800</v>
      </c>
    </row>
    <row r="447" spans="1:5" x14ac:dyDescent="0.35">
      <c r="A447" t="s">
        <v>3133</v>
      </c>
      <c r="B447" t="s">
        <v>1130</v>
      </c>
      <c r="C447" t="s">
        <v>665</v>
      </c>
      <c r="D447" s="3">
        <v>1</v>
      </c>
      <c r="E447" s="2">
        <v>700</v>
      </c>
    </row>
    <row r="448" spans="1:5" x14ac:dyDescent="0.35">
      <c r="A448" t="s">
        <v>3134</v>
      </c>
      <c r="B448" t="s">
        <v>1131</v>
      </c>
      <c r="C448" t="s">
        <v>658</v>
      </c>
      <c r="D448" s="3">
        <v>1</v>
      </c>
      <c r="E448" s="2">
        <v>750</v>
      </c>
    </row>
    <row r="449" spans="1:5" x14ac:dyDescent="0.35">
      <c r="A449" t="s">
        <v>3135</v>
      </c>
      <c r="B449" t="s">
        <v>1132</v>
      </c>
      <c r="C449" t="s">
        <v>631</v>
      </c>
      <c r="D449" s="3">
        <v>1</v>
      </c>
      <c r="E449" s="2">
        <v>900</v>
      </c>
    </row>
    <row r="450" spans="1:5" x14ac:dyDescent="0.35">
      <c r="A450" t="s">
        <v>3136</v>
      </c>
      <c r="B450" t="s">
        <v>1133</v>
      </c>
      <c r="C450" t="s">
        <v>626</v>
      </c>
      <c r="D450" s="3">
        <v>1</v>
      </c>
      <c r="E450" s="2">
        <v>5000</v>
      </c>
    </row>
    <row r="451" spans="1:5" x14ac:dyDescent="0.35">
      <c r="A451" t="s">
        <v>3137</v>
      </c>
      <c r="B451" t="s">
        <v>1134</v>
      </c>
      <c r="C451" t="s">
        <v>641</v>
      </c>
      <c r="D451" s="3">
        <v>1</v>
      </c>
      <c r="E451" s="2">
        <v>1800</v>
      </c>
    </row>
    <row r="452" spans="1:5" x14ac:dyDescent="0.35">
      <c r="A452" t="s">
        <v>3138</v>
      </c>
      <c r="B452" t="s">
        <v>1135</v>
      </c>
      <c r="C452" t="s">
        <v>658</v>
      </c>
      <c r="D452" s="3">
        <v>1</v>
      </c>
      <c r="E452" s="2">
        <v>750</v>
      </c>
    </row>
    <row r="453" spans="1:5" x14ac:dyDescent="0.35">
      <c r="A453" t="s">
        <v>3139</v>
      </c>
      <c r="B453" t="s">
        <v>1136</v>
      </c>
      <c r="C453" t="s">
        <v>645</v>
      </c>
      <c r="D453" s="3">
        <v>1</v>
      </c>
      <c r="E453" s="2">
        <v>3500</v>
      </c>
    </row>
    <row r="454" spans="1:5" x14ac:dyDescent="0.35">
      <c r="A454" t="s">
        <v>3140</v>
      </c>
      <c r="B454" t="s">
        <v>1137</v>
      </c>
      <c r="C454" t="s">
        <v>654</v>
      </c>
      <c r="D454" s="3">
        <v>1</v>
      </c>
      <c r="E454" s="2">
        <v>100</v>
      </c>
    </row>
    <row r="455" spans="1:5" x14ac:dyDescent="0.35">
      <c r="A455" t="s">
        <v>3141</v>
      </c>
      <c r="B455" t="s">
        <v>1138</v>
      </c>
      <c r="C455" t="s">
        <v>673</v>
      </c>
      <c r="D455" s="3">
        <v>2</v>
      </c>
      <c r="E455" s="2">
        <v>600</v>
      </c>
    </row>
    <row r="456" spans="1:5" x14ac:dyDescent="0.35">
      <c r="A456" t="s">
        <v>3142</v>
      </c>
      <c r="B456" t="s">
        <v>1139</v>
      </c>
      <c r="C456" t="s">
        <v>633</v>
      </c>
      <c r="D456" s="3">
        <v>1</v>
      </c>
      <c r="E456" s="2">
        <v>450</v>
      </c>
    </row>
    <row r="457" spans="1:5" x14ac:dyDescent="0.35">
      <c r="A457" t="s">
        <v>3143</v>
      </c>
      <c r="B457" t="s">
        <v>1140</v>
      </c>
      <c r="C457" t="s">
        <v>631</v>
      </c>
      <c r="D457" s="3">
        <v>1</v>
      </c>
      <c r="E457" s="2">
        <v>900</v>
      </c>
    </row>
    <row r="458" spans="1:5" x14ac:dyDescent="0.35">
      <c r="A458" t="s">
        <v>3144</v>
      </c>
      <c r="B458" t="s">
        <v>1141</v>
      </c>
      <c r="C458" t="s">
        <v>629</v>
      </c>
      <c r="D458" s="3">
        <v>2</v>
      </c>
      <c r="E458" s="2">
        <v>600</v>
      </c>
    </row>
    <row r="459" spans="1:5" x14ac:dyDescent="0.35">
      <c r="A459" t="s">
        <v>3145</v>
      </c>
      <c r="B459" t="s">
        <v>1142</v>
      </c>
      <c r="C459" t="s">
        <v>623</v>
      </c>
      <c r="D459" s="3">
        <v>1</v>
      </c>
      <c r="E459" s="2">
        <v>1200</v>
      </c>
    </row>
    <row r="460" spans="1:5" x14ac:dyDescent="0.35">
      <c r="A460" t="s">
        <v>3146</v>
      </c>
      <c r="B460" t="s">
        <v>1143</v>
      </c>
      <c r="C460" t="s">
        <v>645</v>
      </c>
      <c r="D460" s="3">
        <v>1</v>
      </c>
      <c r="E460" s="2">
        <v>3500</v>
      </c>
    </row>
    <row r="461" spans="1:5" x14ac:dyDescent="0.35">
      <c r="A461" t="s">
        <v>3147</v>
      </c>
      <c r="B461" t="s">
        <v>1144</v>
      </c>
      <c r="C461" t="s">
        <v>651</v>
      </c>
      <c r="D461" s="3">
        <v>1</v>
      </c>
      <c r="E461" s="2">
        <v>120</v>
      </c>
    </row>
    <row r="462" spans="1:5" x14ac:dyDescent="0.35">
      <c r="A462" t="s">
        <v>3148</v>
      </c>
      <c r="B462" t="s">
        <v>1145</v>
      </c>
      <c r="C462" t="s">
        <v>641</v>
      </c>
      <c r="D462" s="3">
        <v>1</v>
      </c>
      <c r="E462" s="2">
        <v>1800</v>
      </c>
    </row>
    <row r="463" spans="1:5" x14ac:dyDescent="0.35">
      <c r="A463" t="s">
        <v>3149</v>
      </c>
      <c r="B463" t="s">
        <v>1146</v>
      </c>
      <c r="C463" t="s">
        <v>663</v>
      </c>
      <c r="D463" s="3">
        <v>1</v>
      </c>
      <c r="E463" s="2">
        <v>1400</v>
      </c>
    </row>
    <row r="464" spans="1:5" x14ac:dyDescent="0.35">
      <c r="A464" t="s">
        <v>3150</v>
      </c>
      <c r="B464" t="s">
        <v>1147</v>
      </c>
      <c r="C464" t="s">
        <v>660</v>
      </c>
      <c r="D464" s="3">
        <v>1</v>
      </c>
      <c r="E464" s="2">
        <v>6500</v>
      </c>
    </row>
    <row r="465" spans="1:5" x14ac:dyDescent="0.35">
      <c r="A465" t="s">
        <v>3151</v>
      </c>
      <c r="B465" t="s">
        <v>1148</v>
      </c>
      <c r="C465" t="s">
        <v>654</v>
      </c>
      <c r="D465" s="3">
        <v>1</v>
      </c>
      <c r="E465" s="2">
        <v>100</v>
      </c>
    </row>
    <row r="466" spans="1:5" x14ac:dyDescent="0.35">
      <c r="A466" t="s">
        <v>3152</v>
      </c>
      <c r="B466" t="s">
        <v>1149</v>
      </c>
      <c r="C466" t="s">
        <v>643</v>
      </c>
      <c r="D466" s="3">
        <v>2</v>
      </c>
      <c r="E466" s="2">
        <v>4400</v>
      </c>
    </row>
    <row r="467" spans="1:5" x14ac:dyDescent="0.35">
      <c r="A467" t="s">
        <v>3153</v>
      </c>
      <c r="B467" t="s">
        <v>1150</v>
      </c>
      <c r="C467" t="s">
        <v>635</v>
      </c>
      <c r="D467" s="3">
        <v>1</v>
      </c>
      <c r="E467" s="2">
        <v>180</v>
      </c>
    </row>
    <row r="468" spans="1:5" x14ac:dyDescent="0.35">
      <c r="A468" t="s">
        <v>3154</v>
      </c>
      <c r="B468" t="s">
        <v>1151</v>
      </c>
      <c r="C468" t="s">
        <v>623</v>
      </c>
      <c r="D468" s="3">
        <v>1</v>
      </c>
      <c r="E468" s="2">
        <v>1200</v>
      </c>
    </row>
    <row r="469" spans="1:5" x14ac:dyDescent="0.35">
      <c r="A469" t="s">
        <v>3155</v>
      </c>
      <c r="B469" t="s">
        <v>1152</v>
      </c>
      <c r="C469" t="s">
        <v>669</v>
      </c>
      <c r="D469" s="3">
        <v>1</v>
      </c>
      <c r="E469" s="2">
        <v>600</v>
      </c>
    </row>
    <row r="470" spans="1:5" x14ac:dyDescent="0.35">
      <c r="A470" t="s">
        <v>3156</v>
      </c>
      <c r="B470" t="s">
        <v>1153</v>
      </c>
      <c r="C470" t="s">
        <v>633</v>
      </c>
      <c r="D470" s="3">
        <v>1</v>
      </c>
      <c r="E470" s="2">
        <v>450</v>
      </c>
    </row>
    <row r="471" spans="1:5" x14ac:dyDescent="0.35">
      <c r="A471" t="s">
        <v>3157</v>
      </c>
      <c r="B471" t="s">
        <v>1154</v>
      </c>
      <c r="C471" t="s">
        <v>669</v>
      </c>
      <c r="D471" s="3">
        <v>3</v>
      </c>
      <c r="E471" s="2">
        <v>1800</v>
      </c>
    </row>
    <row r="472" spans="1:5" x14ac:dyDescent="0.35">
      <c r="A472" t="s">
        <v>3158</v>
      </c>
      <c r="B472" t="s">
        <v>1155</v>
      </c>
      <c r="C472" t="s">
        <v>633</v>
      </c>
      <c r="D472" s="3">
        <v>1</v>
      </c>
      <c r="E472" s="2">
        <v>450</v>
      </c>
    </row>
    <row r="473" spans="1:5" x14ac:dyDescent="0.35">
      <c r="A473" t="s">
        <v>3159</v>
      </c>
      <c r="B473" t="s">
        <v>1156</v>
      </c>
      <c r="C473" t="s">
        <v>649</v>
      </c>
      <c r="D473" s="3">
        <v>1</v>
      </c>
      <c r="E473" s="2">
        <v>800</v>
      </c>
    </row>
    <row r="474" spans="1:5" x14ac:dyDescent="0.35">
      <c r="A474" t="s">
        <v>3160</v>
      </c>
      <c r="B474" t="s">
        <v>1157</v>
      </c>
      <c r="C474" t="s">
        <v>620</v>
      </c>
      <c r="D474" s="3">
        <v>2</v>
      </c>
      <c r="E474" s="2">
        <v>100</v>
      </c>
    </row>
    <row r="475" spans="1:5" x14ac:dyDescent="0.35">
      <c r="A475" t="s">
        <v>3161</v>
      </c>
      <c r="B475" t="s">
        <v>1158</v>
      </c>
      <c r="C475" t="s">
        <v>641</v>
      </c>
      <c r="D475" s="3">
        <v>1</v>
      </c>
      <c r="E475" s="2">
        <v>1800</v>
      </c>
    </row>
    <row r="476" spans="1:5" x14ac:dyDescent="0.35">
      <c r="A476" t="s">
        <v>3162</v>
      </c>
      <c r="B476" t="s">
        <v>1159</v>
      </c>
      <c r="C476" t="s">
        <v>660</v>
      </c>
      <c r="D476" s="3">
        <v>1</v>
      </c>
      <c r="E476" s="2">
        <v>6500</v>
      </c>
    </row>
    <row r="477" spans="1:5" x14ac:dyDescent="0.35">
      <c r="A477" t="s">
        <v>3163</v>
      </c>
      <c r="B477" t="s">
        <v>1160</v>
      </c>
      <c r="C477" t="s">
        <v>638</v>
      </c>
      <c r="D477" s="3">
        <v>1</v>
      </c>
      <c r="E477" s="2">
        <v>150</v>
      </c>
    </row>
    <row r="478" spans="1:5" x14ac:dyDescent="0.35">
      <c r="A478" t="s">
        <v>3164</v>
      </c>
      <c r="B478" t="s">
        <v>1161</v>
      </c>
      <c r="C478" t="s">
        <v>654</v>
      </c>
      <c r="D478" s="3">
        <v>1</v>
      </c>
      <c r="E478" s="2">
        <v>100</v>
      </c>
    </row>
    <row r="479" spans="1:5" x14ac:dyDescent="0.35">
      <c r="A479" t="s">
        <v>3165</v>
      </c>
      <c r="B479" t="s">
        <v>1162</v>
      </c>
      <c r="C479" t="s">
        <v>660</v>
      </c>
      <c r="D479" s="3">
        <v>1</v>
      </c>
      <c r="E479" s="2">
        <v>6500</v>
      </c>
    </row>
    <row r="480" spans="1:5" x14ac:dyDescent="0.35">
      <c r="A480" t="s">
        <v>3166</v>
      </c>
      <c r="B480" t="s">
        <v>1163</v>
      </c>
      <c r="C480" t="s">
        <v>658</v>
      </c>
      <c r="D480" s="3">
        <v>1</v>
      </c>
      <c r="E480" s="2">
        <v>750</v>
      </c>
    </row>
    <row r="481" spans="1:5" x14ac:dyDescent="0.35">
      <c r="A481" t="s">
        <v>3167</v>
      </c>
      <c r="B481" t="s">
        <v>1164</v>
      </c>
      <c r="C481" t="s">
        <v>638</v>
      </c>
      <c r="D481" s="3">
        <v>1</v>
      </c>
      <c r="E481" s="2">
        <v>150</v>
      </c>
    </row>
    <row r="482" spans="1:5" x14ac:dyDescent="0.35">
      <c r="A482" t="s">
        <v>3168</v>
      </c>
      <c r="B482" t="s">
        <v>1165</v>
      </c>
      <c r="C482" t="s">
        <v>654</v>
      </c>
      <c r="D482" s="3">
        <v>1</v>
      </c>
      <c r="E482" s="2">
        <v>100</v>
      </c>
    </row>
    <row r="483" spans="1:5" x14ac:dyDescent="0.35">
      <c r="A483" t="s">
        <v>3169</v>
      </c>
      <c r="B483" t="s">
        <v>1166</v>
      </c>
      <c r="C483" t="s">
        <v>647</v>
      </c>
      <c r="D483" s="3">
        <v>2</v>
      </c>
      <c r="E483" s="2">
        <v>8400</v>
      </c>
    </row>
    <row r="484" spans="1:5" x14ac:dyDescent="0.35">
      <c r="A484" t="s">
        <v>3170</v>
      </c>
      <c r="B484" t="s">
        <v>1167</v>
      </c>
      <c r="C484" t="s">
        <v>641</v>
      </c>
      <c r="D484" s="3">
        <v>1</v>
      </c>
      <c r="E484" s="2">
        <v>1800</v>
      </c>
    </row>
    <row r="485" spans="1:5" x14ac:dyDescent="0.35">
      <c r="A485" t="s">
        <v>3171</v>
      </c>
      <c r="B485" t="s">
        <v>1168</v>
      </c>
      <c r="C485" t="s">
        <v>673</v>
      </c>
      <c r="D485" s="3">
        <v>1</v>
      </c>
      <c r="E485" s="2">
        <v>300</v>
      </c>
    </row>
    <row r="486" spans="1:5" x14ac:dyDescent="0.35">
      <c r="A486" t="s">
        <v>3172</v>
      </c>
      <c r="B486" t="s">
        <v>1169</v>
      </c>
      <c r="C486" t="s">
        <v>663</v>
      </c>
      <c r="D486" s="3">
        <v>1</v>
      </c>
      <c r="E486" s="2">
        <v>1400</v>
      </c>
    </row>
    <row r="487" spans="1:5" x14ac:dyDescent="0.35">
      <c r="A487" t="s">
        <v>3173</v>
      </c>
      <c r="B487" t="s">
        <v>1170</v>
      </c>
      <c r="C487" t="s">
        <v>649</v>
      </c>
      <c r="D487" s="3">
        <v>1</v>
      </c>
      <c r="E487" s="2">
        <v>800</v>
      </c>
    </row>
    <row r="488" spans="1:5" x14ac:dyDescent="0.35">
      <c r="A488" t="s">
        <v>3174</v>
      </c>
      <c r="B488" t="s">
        <v>1171</v>
      </c>
      <c r="C488" t="s">
        <v>645</v>
      </c>
      <c r="D488" s="3">
        <v>1</v>
      </c>
      <c r="E488" s="2">
        <v>3500</v>
      </c>
    </row>
    <row r="489" spans="1:5" x14ac:dyDescent="0.35">
      <c r="A489" t="s">
        <v>3175</v>
      </c>
      <c r="B489" t="s">
        <v>1172</v>
      </c>
      <c r="C489" t="s">
        <v>673</v>
      </c>
      <c r="D489" s="3">
        <v>2</v>
      </c>
      <c r="E489" s="2">
        <v>600</v>
      </c>
    </row>
    <row r="490" spans="1:5" x14ac:dyDescent="0.35">
      <c r="A490" t="s">
        <v>3176</v>
      </c>
      <c r="B490" t="s">
        <v>1173</v>
      </c>
      <c r="C490" t="s">
        <v>660</v>
      </c>
      <c r="D490" s="3">
        <v>1</v>
      </c>
      <c r="E490" s="2">
        <v>6500</v>
      </c>
    </row>
    <row r="491" spans="1:5" x14ac:dyDescent="0.35">
      <c r="A491" t="s">
        <v>3177</v>
      </c>
      <c r="B491" t="s">
        <v>1174</v>
      </c>
      <c r="C491" t="s">
        <v>633</v>
      </c>
      <c r="D491" s="3">
        <v>3</v>
      </c>
      <c r="E491" s="2">
        <v>1350</v>
      </c>
    </row>
    <row r="492" spans="1:5" x14ac:dyDescent="0.35">
      <c r="A492" t="s">
        <v>3178</v>
      </c>
      <c r="B492" t="s">
        <v>1175</v>
      </c>
      <c r="C492" t="s">
        <v>669</v>
      </c>
      <c r="D492" s="3">
        <v>1</v>
      </c>
      <c r="E492" s="2">
        <v>600</v>
      </c>
    </row>
    <row r="493" spans="1:5" x14ac:dyDescent="0.35">
      <c r="A493" t="s">
        <v>3179</v>
      </c>
      <c r="B493" t="s">
        <v>1176</v>
      </c>
      <c r="C493" t="s">
        <v>651</v>
      </c>
      <c r="D493" s="3">
        <v>1</v>
      </c>
      <c r="E493" s="2">
        <v>120</v>
      </c>
    </row>
    <row r="494" spans="1:5" x14ac:dyDescent="0.35">
      <c r="A494" t="s">
        <v>3180</v>
      </c>
      <c r="B494" t="s">
        <v>1177</v>
      </c>
      <c r="C494" t="s">
        <v>654</v>
      </c>
      <c r="D494" s="3">
        <v>1</v>
      </c>
      <c r="E494" s="2">
        <v>100</v>
      </c>
    </row>
    <row r="495" spans="1:5" x14ac:dyDescent="0.35">
      <c r="A495" t="s">
        <v>3181</v>
      </c>
      <c r="B495" t="s">
        <v>1178</v>
      </c>
      <c r="C495" t="s">
        <v>635</v>
      </c>
      <c r="D495" s="3">
        <v>1</v>
      </c>
      <c r="E495" s="2">
        <v>180</v>
      </c>
    </row>
    <row r="496" spans="1:5" x14ac:dyDescent="0.35">
      <c r="A496" t="s">
        <v>3182</v>
      </c>
      <c r="B496" t="s">
        <v>1179</v>
      </c>
      <c r="C496" t="s">
        <v>641</v>
      </c>
      <c r="D496" s="3">
        <v>1</v>
      </c>
      <c r="E496" s="2">
        <v>1800</v>
      </c>
    </row>
    <row r="497" spans="1:5" x14ac:dyDescent="0.35">
      <c r="A497" t="s">
        <v>3183</v>
      </c>
      <c r="B497" t="s">
        <v>1180</v>
      </c>
      <c r="C497" t="s">
        <v>626</v>
      </c>
      <c r="D497" s="3">
        <v>1</v>
      </c>
      <c r="E497" s="2">
        <v>5000</v>
      </c>
    </row>
    <row r="498" spans="1:5" x14ac:dyDescent="0.35">
      <c r="A498" t="s">
        <v>3184</v>
      </c>
      <c r="B498" t="s">
        <v>1181</v>
      </c>
      <c r="C498" t="s">
        <v>660</v>
      </c>
      <c r="D498" s="3">
        <v>1</v>
      </c>
      <c r="E498" s="2">
        <v>6500</v>
      </c>
    </row>
    <row r="499" spans="1:5" x14ac:dyDescent="0.35">
      <c r="A499" t="s">
        <v>3185</v>
      </c>
      <c r="B499" t="s">
        <v>1182</v>
      </c>
      <c r="C499" t="s">
        <v>660</v>
      </c>
      <c r="D499" s="3">
        <v>1</v>
      </c>
      <c r="E499" s="2">
        <v>6500</v>
      </c>
    </row>
    <row r="500" spans="1:5" x14ac:dyDescent="0.35">
      <c r="A500" t="s">
        <v>3186</v>
      </c>
      <c r="B500" t="s">
        <v>1183</v>
      </c>
      <c r="C500" t="s">
        <v>665</v>
      </c>
      <c r="D500" s="3">
        <v>1</v>
      </c>
      <c r="E500" s="2">
        <v>700</v>
      </c>
    </row>
    <row r="501" spans="1:5" x14ac:dyDescent="0.35">
      <c r="A501" t="s">
        <v>3187</v>
      </c>
      <c r="B501" t="s">
        <v>1184</v>
      </c>
      <c r="C501" t="s">
        <v>651</v>
      </c>
      <c r="D501" s="3">
        <v>1</v>
      </c>
      <c r="E501" s="2">
        <v>120</v>
      </c>
    </row>
    <row r="502" spans="1:5" x14ac:dyDescent="0.35">
      <c r="A502" t="s">
        <v>3188</v>
      </c>
      <c r="B502" t="s">
        <v>1185</v>
      </c>
      <c r="C502" t="s">
        <v>649</v>
      </c>
      <c r="D502" s="3">
        <v>1</v>
      </c>
      <c r="E502" s="2">
        <v>800</v>
      </c>
    </row>
    <row r="503" spans="1:5" x14ac:dyDescent="0.35">
      <c r="A503" t="s">
        <v>3189</v>
      </c>
      <c r="B503" t="s">
        <v>1186</v>
      </c>
      <c r="C503" t="s">
        <v>617</v>
      </c>
      <c r="D503" s="3">
        <v>1</v>
      </c>
      <c r="E503" s="2">
        <v>200</v>
      </c>
    </row>
    <row r="504" spans="1:5" x14ac:dyDescent="0.35">
      <c r="A504" t="s">
        <v>3190</v>
      </c>
      <c r="B504" t="s">
        <v>1187</v>
      </c>
      <c r="C504" t="s">
        <v>654</v>
      </c>
      <c r="D504" s="3">
        <v>1</v>
      </c>
      <c r="E504" s="2">
        <v>100</v>
      </c>
    </row>
    <row r="505" spans="1:5" x14ac:dyDescent="0.35">
      <c r="A505" t="s">
        <v>3191</v>
      </c>
      <c r="B505" t="s">
        <v>1188</v>
      </c>
      <c r="C505" t="s">
        <v>641</v>
      </c>
      <c r="D505" s="3">
        <v>1</v>
      </c>
      <c r="E505" s="2">
        <v>1800</v>
      </c>
    </row>
    <row r="506" spans="1:5" x14ac:dyDescent="0.35">
      <c r="A506" t="s">
        <v>3192</v>
      </c>
      <c r="B506" t="s">
        <v>1189</v>
      </c>
      <c r="C506" t="s">
        <v>660</v>
      </c>
      <c r="D506" s="3">
        <v>1</v>
      </c>
      <c r="E506" s="2">
        <v>6500</v>
      </c>
    </row>
    <row r="507" spans="1:5" x14ac:dyDescent="0.35">
      <c r="A507" t="s">
        <v>3193</v>
      </c>
      <c r="B507" t="s">
        <v>1190</v>
      </c>
      <c r="C507" t="s">
        <v>667</v>
      </c>
      <c r="D507" s="3">
        <v>1</v>
      </c>
      <c r="E507" s="2">
        <v>550</v>
      </c>
    </row>
    <row r="508" spans="1:5" x14ac:dyDescent="0.35">
      <c r="A508" t="s">
        <v>3194</v>
      </c>
      <c r="B508" t="s">
        <v>1191</v>
      </c>
      <c r="C508" t="s">
        <v>623</v>
      </c>
      <c r="D508" s="3">
        <v>1</v>
      </c>
      <c r="E508" s="2">
        <v>1200</v>
      </c>
    </row>
    <row r="509" spans="1:5" x14ac:dyDescent="0.35">
      <c r="A509" t="s">
        <v>3195</v>
      </c>
      <c r="B509" t="s">
        <v>1192</v>
      </c>
      <c r="C509" t="s">
        <v>629</v>
      </c>
      <c r="D509" s="3">
        <v>1</v>
      </c>
      <c r="E509" s="2">
        <v>300</v>
      </c>
    </row>
    <row r="510" spans="1:5" x14ac:dyDescent="0.35">
      <c r="A510" t="s">
        <v>3196</v>
      </c>
      <c r="B510" t="s">
        <v>1193</v>
      </c>
      <c r="C510" t="s">
        <v>638</v>
      </c>
      <c r="D510" s="3">
        <v>1</v>
      </c>
      <c r="E510" s="2">
        <v>150</v>
      </c>
    </row>
    <row r="511" spans="1:5" x14ac:dyDescent="0.35">
      <c r="A511" t="s">
        <v>3197</v>
      </c>
      <c r="B511" t="s">
        <v>1194</v>
      </c>
      <c r="C511" t="s">
        <v>658</v>
      </c>
      <c r="D511" s="3">
        <v>1</v>
      </c>
      <c r="E511" s="2">
        <v>750</v>
      </c>
    </row>
    <row r="512" spans="1:5" x14ac:dyDescent="0.35">
      <c r="A512" t="s">
        <v>3198</v>
      </c>
      <c r="B512" t="s">
        <v>1195</v>
      </c>
      <c r="C512" t="s">
        <v>643</v>
      </c>
      <c r="D512" s="3">
        <v>1</v>
      </c>
      <c r="E512" s="2">
        <v>2200</v>
      </c>
    </row>
    <row r="513" spans="1:5" x14ac:dyDescent="0.35">
      <c r="A513" t="s">
        <v>3199</v>
      </c>
      <c r="B513" t="s">
        <v>1196</v>
      </c>
      <c r="C513" t="s">
        <v>654</v>
      </c>
      <c r="D513" s="3">
        <v>2</v>
      </c>
      <c r="E513" s="2">
        <v>200</v>
      </c>
    </row>
    <row r="514" spans="1:5" x14ac:dyDescent="0.35">
      <c r="A514" t="s">
        <v>3200</v>
      </c>
      <c r="B514" t="s">
        <v>1197</v>
      </c>
      <c r="C514" t="s">
        <v>620</v>
      </c>
      <c r="D514" s="3">
        <v>1</v>
      </c>
      <c r="E514" s="2">
        <v>50</v>
      </c>
    </row>
    <row r="515" spans="1:5" x14ac:dyDescent="0.35">
      <c r="A515" t="s">
        <v>3201</v>
      </c>
      <c r="B515" t="s">
        <v>1198</v>
      </c>
      <c r="C515" t="s">
        <v>645</v>
      </c>
      <c r="D515" s="3">
        <v>1</v>
      </c>
      <c r="E515" s="2">
        <v>3500</v>
      </c>
    </row>
    <row r="516" spans="1:5" x14ac:dyDescent="0.35">
      <c r="A516" t="s">
        <v>3202</v>
      </c>
      <c r="B516" t="s">
        <v>1199</v>
      </c>
      <c r="C516" t="s">
        <v>667</v>
      </c>
      <c r="D516" s="3">
        <v>1</v>
      </c>
      <c r="E516" s="2">
        <v>550</v>
      </c>
    </row>
    <row r="517" spans="1:5" x14ac:dyDescent="0.35">
      <c r="A517" t="s">
        <v>3203</v>
      </c>
      <c r="B517" t="s">
        <v>1200</v>
      </c>
      <c r="C517" t="s">
        <v>631</v>
      </c>
      <c r="D517" s="3">
        <v>1</v>
      </c>
      <c r="E517" s="2">
        <v>900</v>
      </c>
    </row>
    <row r="518" spans="1:5" x14ac:dyDescent="0.35">
      <c r="A518" t="s">
        <v>3204</v>
      </c>
      <c r="B518" t="s">
        <v>1201</v>
      </c>
      <c r="C518" t="s">
        <v>643</v>
      </c>
      <c r="D518" s="3">
        <v>1</v>
      </c>
      <c r="E518" s="2">
        <v>2200</v>
      </c>
    </row>
    <row r="519" spans="1:5" x14ac:dyDescent="0.35">
      <c r="A519" t="s">
        <v>3205</v>
      </c>
      <c r="B519" t="s">
        <v>1202</v>
      </c>
      <c r="C519" t="s">
        <v>635</v>
      </c>
      <c r="D519" s="3">
        <v>3</v>
      </c>
      <c r="E519" s="2">
        <v>540</v>
      </c>
    </row>
    <row r="520" spans="1:5" x14ac:dyDescent="0.35">
      <c r="A520" t="s">
        <v>3206</v>
      </c>
      <c r="B520" t="s">
        <v>1203</v>
      </c>
      <c r="C520" t="s">
        <v>645</v>
      </c>
      <c r="D520" s="3">
        <v>2</v>
      </c>
      <c r="E520" s="2">
        <v>7000</v>
      </c>
    </row>
    <row r="521" spans="1:5" x14ac:dyDescent="0.35">
      <c r="A521" t="s">
        <v>3207</v>
      </c>
      <c r="B521" t="s">
        <v>1204</v>
      </c>
      <c r="C521" t="s">
        <v>620</v>
      </c>
      <c r="D521" s="3">
        <v>1</v>
      </c>
      <c r="E521" s="2">
        <v>50</v>
      </c>
    </row>
    <row r="522" spans="1:5" x14ac:dyDescent="0.35">
      <c r="A522" t="s">
        <v>3208</v>
      </c>
      <c r="B522" t="s">
        <v>1205</v>
      </c>
      <c r="C522" t="s">
        <v>638</v>
      </c>
      <c r="D522" s="3">
        <v>1</v>
      </c>
      <c r="E522" s="2">
        <v>150</v>
      </c>
    </row>
    <row r="523" spans="1:5" x14ac:dyDescent="0.35">
      <c r="A523" t="s">
        <v>3209</v>
      </c>
      <c r="B523" t="s">
        <v>1206</v>
      </c>
      <c r="C523" t="s">
        <v>651</v>
      </c>
      <c r="D523" s="3">
        <v>1</v>
      </c>
      <c r="E523" s="2">
        <v>120</v>
      </c>
    </row>
    <row r="524" spans="1:5" x14ac:dyDescent="0.35">
      <c r="A524" t="s">
        <v>3210</v>
      </c>
      <c r="B524" t="s">
        <v>1207</v>
      </c>
      <c r="C524" t="s">
        <v>620</v>
      </c>
      <c r="D524" s="3">
        <v>1</v>
      </c>
      <c r="E524" s="2">
        <v>50</v>
      </c>
    </row>
    <row r="525" spans="1:5" x14ac:dyDescent="0.35">
      <c r="A525" t="s">
        <v>3211</v>
      </c>
      <c r="B525" t="s">
        <v>1208</v>
      </c>
      <c r="C525" t="s">
        <v>617</v>
      </c>
      <c r="D525" s="3">
        <v>1</v>
      </c>
      <c r="E525" s="2">
        <v>200</v>
      </c>
    </row>
    <row r="526" spans="1:5" x14ac:dyDescent="0.35">
      <c r="A526" t="s">
        <v>3212</v>
      </c>
      <c r="B526" t="s">
        <v>1209</v>
      </c>
      <c r="C526" t="s">
        <v>641</v>
      </c>
      <c r="D526" s="3">
        <v>1</v>
      </c>
      <c r="E526" s="2">
        <v>1800</v>
      </c>
    </row>
    <row r="527" spans="1:5" x14ac:dyDescent="0.35">
      <c r="A527" t="s">
        <v>3213</v>
      </c>
      <c r="B527" t="s">
        <v>1210</v>
      </c>
      <c r="C527" t="s">
        <v>620</v>
      </c>
      <c r="D527" s="3">
        <v>1</v>
      </c>
      <c r="E527" s="2">
        <v>50</v>
      </c>
    </row>
    <row r="528" spans="1:5" x14ac:dyDescent="0.35">
      <c r="A528" t="s">
        <v>3214</v>
      </c>
      <c r="B528" t="s">
        <v>1211</v>
      </c>
      <c r="C528" t="s">
        <v>645</v>
      </c>
      <c r="D528" s="3">
        <v>1</v>
      </c>
      <c r="E528" s="2">
        <v>3500</v>
      </c>
    </row>
    <row r="529" spans="1:5" x14ac:dyDescent="0.35">
      <c r="A529" t="s">
        <v>3215</v>
      </c>
      <c r="B529" t="s">
        <v>1212</v>
      </c>
      <c r="C529" t="s">
        <v>669</v>
      </c>
      <c r="D529" s="3">
        <v>1</v>
      </c>
      <c r="E529" s="2">
        <v>600</v>
      </c>
    </row>
    <row r="530" spans="1:5" x14ac:dyDescent="0.35">
      <c r="A530" t="s">
        <v>3216</v>
      </c>
      <c r="B530" t="s">
        <v>1213</v>
      </c>
      <c r="C530" t="s">
        <v>635</v>
      </c>
      <c r="D530" s="3">
        <v>1</v>
      </c>
      <c r="E530" s="2">
        <v>180</v>
      </c>
    </row>
    <row r="531" spans="1:5" x14ac:dyDescent="0.35">
      <c r="A531" t="s">
        <v>3217</v>
      </c>
      <c r="B531" t="s">
        <v>1214</v>
      </c>
      <c r="C531" t="s">
        <v>629</v>
      </c>
      <c r="D531" s="3">
        <v>1</v>
      </c>
      <c r="E531" s="2">
        <v>300</v>
      </c>
    </row>
    <row r="532" spans="1:5" x14ac:dyDescent="0.35">
      <c r="A532" t="s">
        <v>3218</v>
      </c>
      <c r="B532" t="s">
        <v>1215</v>
      </c>
      <c r="C532" t="s">
        <v>667</v>
      </c>
      <c r="D532" s="3">
        <v>1</v>
      </c>
      <c r="E532" s="2">
        <v>550</v>
      </c>
    </row>
    <row r="533" spans="1:5" x14ac:dyDescent="0.35">
      <c r="A533" t="s">
        <v>3219</v>
      </c>
      <c r="B533" t="s">
        <v>1216</v>
      </c>
      <c r="C533" t="s">
        <v>617</v>
      </c>
      <c r="D533" s="3">
        <v>1</v>
      </c>
      <c r="E533" s="2">
        <v>200</v>
      </c>
    </row>
    <row r="534" spans="1:5" x14ac:dyDescent="0.35">
      <c r="A534" t="s">
        <v>3220</v>
      </c>
      <c r="B534" t="s">
        <v>1217</v>
      </c>
      <c r="C534" t="s">
        <v>651</v>
      </c>
      <c r="D534" s="3">
        <v>1</v>
      </c>
      <c r="E534" s="2">
        <v>120</v>
      </c>
    </row>
    <row r="535" spans="1:5" x14ac:dyDescent="0.35">
      <c r="A535" t="s">
        <v>3221</v>
      </c>
      <c r="B535" t="s">
        <v>1218</v>
      </c>
      <c r="C535" t="s">
        <v>631</v>
      </c>
      <c r="D535" s="3">
        <v>2</v>
      </c>
      <c r="E535" s="2">
        <v>1800</v>
      </c>
    </row>
    <row r="536" spans="1:5" x14ac:dyDescent="0.35">
      <c r="A536" t="s">
        <v>3222</v>
      </c>
      <c r="B536" t="s">
        <v>1219</v>
      </c>
      <c r="C536" t="s">
        <v>645</v>
      </c>
      <c r="D536" s="3">
        <v>2</v>
      </c>
      <c r="E536" s="2">
        <v>7000</v>
      </c>
    </row>
    <row r="537" spans="1:5" x14ac:dyDescent="0.35">
      <c r="A537" t="s">
        <v>3223</v>
      </c>
      <c r="B537" t="s">
        <v>1220</v>
      </c>
      <c r="C537" t="s">
        <v>635</v>
      </c>
      <c r="D537" s="3">
        <v>1</v>
      </c>
      <c r="E537" s="2">
        <v>180</v>
      </c>
    </row>
    <row r="538" spans="1:5" x14ac:dyDescent="0.35">
      <c r="A538" t="s">
        <v>3224</v>
      </c>
      <c r="B538" t="s">
        <v>1221</v>
      </c>
      <c r="C538" t="s">
        <v>647</v>
      </c>
      <c r="D538" s="3">
        <v>1</v>
      </c>
      <c r="E538" s="2">
        <v>4200</v>
      </c>
    </row>
    <row r="539" spans="1:5" x14ac:dyDescent="0.35">
      <c r="A539" t="s">
        <v>3225</v>
      </c>
      <c r="B539" t="s">
        <v>1222</v>
      </c>
      <c r="C539" t="s">
        <v>660</v>
      </c>
      <c r="D539" s="3">
        <v>1</v>
      </c>
      <c r="E539" s="2">
        <v>6500</v>
      </c>
    </row>
    <row r="540" spans="1:5" x14ac:dyDescent="0.35">
      <c r="A540" t="s">
        <v>3226</v>
      </c>
      <c r="B540" t="s">
        <v>1223</v>
      </c>
      <c r="C540" t="s">
        <v>617</v>
      </c>
      <c r="D540" s="3">
        <v>1</v>
      </c>
      <c r="E540" s="2">
        <v>200</v>
      </c>
    </row>
    <row r="541" spans="1:5" x14ac:dyDescent="0.35">
      <c r="A541" t="s">
        <v>3227</v>
      </c>
      <c r="B541" t="s">
        <v>1224</v>
      </c>
      <c r="C541" t="s">
        <v>643</v>
      </c>
      <c r="D541" s="3">
        <v>1</v>
      </c>
      <c r="E541" s="2">
        <v>2200</v>
      </c>
    </row>
    <row r="542" spans="1:5" x14ac:dyDescent="0.35">
      <c r="A542" t="s">
        <v>3228</v>
      </c>
      <c r="B542" t="s">
        <v>1225</v>
      </c>
      <c r="C542" t="s">
        <v>663</v>
      </c>
      <c r="D542" s="3">
        <v>1</v>
      </c>
      <c r="E542" s="2">
        <v>1400</v>
      </c>
    </row>
    <row r="543" spans="1:5" x14ac:dyDescent="0.35">
      <c r="A543" t="s">
        <v>3229</v>
      </c>
      <c r="B543" t="s">
        <v>1226</v>
      </c>
      <c r="C543" t="s">
        <v>617</v>
      </c>
      <c r="D543" s="3">
        <v>1</v>
      </c>
      <c r="E543" s="2">
        <v>200</v>
      </c>
    </row>
    <row r="544" spans="1:5" x14ac:dyDescent="0.35">
      <c r="A544" t="s">
        <v>3230</v>
      </c>
      <c r="B544" t="s">
        <v>1227</v>
      </c>
      <c r="C544" t="s">
        <v>635</v>
      </c>
      <c r="D544" s="3">
        <v>1</v>
      </c>
      <c r="E544" s="2">
        <v>180</v>
      </c>
    </row>
    <row r="545" spans="1:5" x14ac:dyDescent="0.35">
      <c r="A545" t="s">
        <v>3231</v>
      </c>
      <c r="B545" t="s">
        <v>1228</v>
      </c>
      <c r="C545" t="s">
        <v>629</v>
      </c>
      <c r="D545" s="3">
        <v>1</v>
      </c>
      <c r="E545" s="2">
        <v>300</v>
      </c>
    </row>
    <row r="546" spans="1:5" x14ac:dyDescent="0.35">
      <c r="A546" t="s">
        <v>3232</v>
      </c>
      <c r="B546" t="s">
        <v>1229</v>
      </c>
      <c r="C546" t="s">
        <v>656</v>
      </c>
      <c r="D546" s="3">
        <v>1</v>
      </c>
      <c r="E546" s="2">
        <v>350</v>
      </c>
    </row>
    <row r="547" spans="1:5" x14ac:dyDescent="0.35">
      <c r="A547" t="s">
        <v>3233</v>
      </c>
      <c r="B547" t="s">
        <v>1230</v>
      </c>
      <c r="C547" t="s">
        <v>635</v>
      </c>
      <c r="D547" s="3">
        <v>3</v>
      </c>
      <c r="E547" s="2">
        <v>540</v>
      </c>
    </row>
    <row r="548" spans="1:5" x14ac:dyDescent="0.35">
      <c r="A548" t="s">
        <v>3234</v>
      </c>
      <c r="B548" t="s">
        <v>1231</v>
      </c>
      <c r="C548" t="s">
        <v>673</v>
      </c>
      <c r="D548" s="3">
        <v>1</v>
      </c>
      <c r="E548" s="2">
        <v>300</v>
      </c>
    </row>
    <row r="549" spans="1:5" x14ac:dyDescent="0.35">
      <c r="A549" t="s">
        <v>3235</v>
      </c>
      <c r="B549" t="s">
        <v>1232</v>
      </c>
      <c r="C549" t="s">
        <v>641</v>
      </c>
      <c r="D549" s="3">
        <v>1</v>
      </c>
      <c r="E549" s="2">
        <v>1800</v>
      </c>
    </row>
    <row r="550" spans="1:5" x14ac:dyDescent="0.35">
      <c r="A550" t="s">
        <v>3236</v>
      </c>
      <c r="B550" t="s">
        <v>1233</v>
      </c>
      <c r="C550" t="s">
        <v>620</v>
      </c>
      <c r="D550" s="3">
        <v>1</v>
      </c>
      <c r="E550" s="2">
        <v>50</v>
      </c>
    </row>
    <row r="551" spans="1:5" x14ac:dyDescent="0.35">
      <c r="A551" t="s">
        <v>3237</v>
      </c>
      <c r="B551" t="s">
        <v>1234</v>
      </c>
      <c r="C551" t="s">
        <v>638</v>
      </c>
      <c r="D551" s="3">
        <v>2</v>
      </c>
      <c r="E551" s="2">
        <v>300</v>
      </c>
    </row>
    <row r="552" spans="1:5" x14ac:dyDescent="0.35">
      <c r="A552" t="s">
        <v>3238</v>
      </c>
      <c r="B552" t="s">
        <v>1235</v>
      </c>
      <c r="C552" t="s">
        <v>671</v>
      </c>
      <c r="D552" s="3">
        <v>1</v>
      </c>
      <c r="E552" s="2">
        <v>400</v>
      </c>
    </row>
    <row r="553" spans="1:5" x14ac:dyDescent="0.35">
      <c r="A553" t="s">
        <v>3239</v>
      </c>
      <c r="B553" t="s">
        <v>1236</v>
      </c>
      <c r="C553" t="s">
        <v>669</v>
      </c>
      <c r="D553" s="3">
        <v>1</v>
      </c>
      <c r="E553" s="2">
        <v>600</v>
      </c>
    </row>
    <row r="554" spans="1:5" x14ac:dyDescent="0.35">
      <c r="A554" t="s">
        <v>3240</v>
      </c>
      <c r="B554" t="s">
        <v>1237</v>
      </c>
      <c r="C554" t="s">
        <v>623</v>
      </c>
      <c r="D554" s="3">
        <v>1</v>
      </c>
      <c r="E554" s="2">
        <v>1200</v>
      </c>
    </row>
    <row r="555" spans="1:5" x14ac:dyDescent="0.35">
      <c r="A555" t="s">
        <v>3241</v>
      </c>
      <c r="B555" t="s">
        <v>1238</v>
      </c>
      <c r="C555" t="s">
        <v>658</v>
      </c>
      <c r="D555" s="3">
        <v>1</v>
      </c>
      <c r="E555" s="2">
        <v>750</v>
      </c>
    </row>
    <row r="556" spans="1:5" x14ac:dyDescent="0.35">
      <c r="A556" t="s">
        <v>3242</v>
      </c>
      <c r="B556" t="s">
        <v>1239</v>
      </c>
      <c r="C556" t="s">
        <v>633</v>
      </c>
      <c r="D556" s="3">
        <v>1</v>
      </c>
      <c r="E556" s="2">
        <v>450</v>
      </c>
    </row>
    <row r="557" spans="1:5" x14ac:dyDescent="0.35">
      <c r="A557" t="s">
        <v>3243</v>
      </c>
      <c r="B557" t="s">
        <v>1240</v>
      </c>
      <c r="C557" t="s">
        <v>651</v>
      </c>
      <c r="D557" s="3">
        <v>1</v>
      </c>
      <c r="E557" s="2">
        <v>120</v>
      </c>
    </row>
    <row r="558" spans="1:5" x14ac:dyDescent="0.35">
      <c r="A558" t="s">
        <v>3244</v>
      </c>
      <c r="B558" t="s">
        <v>1241</v>
      </c>
      <c r="C558" t="s">
        <v>665</v>
      </c>
      <c r="D558" s="3">
        <v>1</v>
      </c>
      <c r="E558" s="2">
        <v>700</v>
      </c>
    </row>
    <row r="559" spans="1:5" x14ac:dyDescent="0.35">
      <c r="A559" t="s">
        <v>3245</v>
      </c>
      <c r="B559" t="s">
        <v>1242</v>
      </c>
      <c r="C559" t="s">
        <v>667</v>
      </c>
      <c r="D559" s="3">
        <v>1</v>
      </c>
      <c r="E559" s="2">
        <v>550</v>
      </c>
    </row>
    <row r="560" spans="1:5" x14ac:dyDescent="0.35">
      <c r="A560" t="s">
        <v>3246</v>
      </c>
      <c r="B560" t="s">
        <v>1243</v>
      </c>
      <c r="C560" t="s">
        <v>663</v>
      </c>
      <c r="D560" s="3">
        <v>1</v>
      </c>
      <c r="E560" s="2">
        <v>1400</v>
      </c>
    </row>
    <row r="561" spans="1:5" x14ac:dyDescent="0.35">
      <c r="A561" t="s">
        <v>3247</v>
      </c>
      <c r="B561" t="s">
        <v>1244</v>
      </c>
      <c r="C561" t="s">
        <v>658</v>
      </c>
      <c r="D561" s="3">
        <v>1</v>
      </c>
      <c r="E561" s="2">
        <v>750</v>
      </c>
    </row>
    <row r="562" spans="1:5" x14ac:dyDescent="0.35">
      <c r="A562" t="s">
        <v>3248</v>
      </c>
      <c r="B562" t="s">
        <v>1245</v>
      </c>
      <c r="C562" t="s">
        <v>673</v>
      </c>
      <c r="D562" s="3">
        <v>1</v>
      </c>
      <c r="E562" s="2">
        <v>300</v>
      </c>
    </row>
    <row r="563" spans="1:5" x14ac:dyDescent="0.35">
      <c r="A563" t="s">
        <v>3249</v>
      </c>
      <c r="B563" t="s">
        <v>1246</v>
      </c>
      <c r="C563" t="s">
        <v>623</v>
      </c>
      <c r="D563" s="3">
        <v>1</v>
      </c>
      <c r="E563" s="2">
        <v>1200</v>
      </c>
    </row>
    <row r="564" spans="1:5" x14ac:dyDescent="0.35">
      <c r="A564" t="s">
        <v>3250</v>
      </c>
      <c r="B564" t="s">
        <v>1247</v>
      </c>
      <c r="C564" t="s">
        <v>669</v>
      </c>
      <c r="D564" s="3">
        <v>1</v>
      </c>
      <c r="E564" s="2">
        <v>600</v>
      </c>
    </row>
    <row r="565" spans="1:5" x14ac:dyDescent="0.35">
      <c r="A565" t="s">
        <v>3251</v>
      </c>
      <c r="B565" t="s">
        <v>1248</v>
      </c>
      <c r="C565" t="s">
        <v>649</v>
      </c>
      <c r="D565" s="3">
        <v>1</v>
      </c>
      <c r="E565" s="2">
        <v>800</v>
      </c>
    </row>
    <row r="566" spans="1:5" x14ac:dyDescent="0.35">
      <c r="A566" t="s">
        <v>3252</v>
      </c>
      <c r="B566" t="s">
        <v>1249</v>
      </c>
      <c r="C566" t="s">
        <v>671</v>
      </c>
      <c r="D566" s="3">
        <v>1</v>
      </c>
      <c r="E566" s="2">
        <v>400</v>
      </c>
    </row>
    <row r="567" spans="1:5" x14ac:dyDescent="0.35">
      <c r="A567" t="s">
        <v>3253</v>
      </c>
      <c r="B567" t="s">
        <v>1250</v>
      </c>
      <c r="C567" t="s">
        <v>620</v>
      </c>
      <c r="D567" s="3">
        <v>1</v>
      </c>
      <c r="E567" s="2">
        <v>50</v>
      </c>
    </row>
    <row r="568" spans="1:5" x14ac:dyDescent="0.35">
      <c r="A568" t="s">
        <v>3254</v>
      </c>
      <c r="B568" t="s">
        <v>1251</v>
      </c>
      <c r="C568" t="s">
        <v>649</v>
      </c>
      <c r="D568" s="3">
        <v>1</v>
      </c>
      <c r="E568" s="2">
        <v>800</v>
      </c>
    </row>
    <row r="569" spans="1:5" x14ac:dyDescent="0.35">
      <c r="A569" t="s">
        <v>3255</v>
      </c>
      <c r="B569" t="s">
        <v>1252</v>
      </c>
      <c r="C569" t="s">
        <v>667</v>
      </c>
      <c r="D569" s="3">
        <v>1</v>
      </c>
      <c r="E569" s="2">
        <v>550</v>
      </c>
    </row>
    <row r="570" spans="1:5" x14ac:dyDescent="0.35">
      <c r="A570" t="s">
        <v>3256</v>
      </c>
      <c r="B570" t="s">
        <v>1253</v>
      </c>
      <c r="C570" t="s">
        <v>643</v>
      </c>
      <c r="D570" s="3">
        <v>1</v>
      </c>
      <c r="E570" s="2">
        <v>2200</v>
      </c>
    </row>
    <row r="571" spans="1:5" x14ac:dyDescent="0.35">
      <c r="A571" t="s">
        <v>3257</v>
      </c>
      <c r="B571" t="s">
        <v>1254</v>
      </c>
      <c r="C571" t="s">
        <v>654</v>
      </c>
      <c r="D571" s="3">
        <v>1</v>
      </c>
      <c r="E571" s="2">
        <v>100</v>
      </c>
    </row>
    <row r="572" spans="1:5" x14ac:dyDescent="0.35">
      <c r="A572" t="s">
        <v>3258</v>
      </c>
      <c r="B572" t="s">
        <v>1255</v>
      </c>
      <c r="C572" t="s">
        <v>635</v>
      </c>
      <c r="D572" s="3">
        <v>1</v>
      </c>
      <c r="E572" s="2">
        <v>180</v>
      </c>
    </row>
    <row r="573" spans="1:5" x14ac:dyDescent="0.35">
      <c r="A573" t="s">
        <v>3259</v>
      </c>
      <c r="B573" t="s">
        <v>1256</v>
      </c>
      <c r="C573" t="s">
        <v>633</v>
      </c>
      <c r="D573" s="3">
        <v>1</v>
      </c>
      <c r="E573" s="2">
        <v>450</v>
      </c>
    </row>
    <row r="574" spans="1:5" x14ac:dyDescent="0.35">
      <c r="A574" t="s">
        <v>3260</v>
      </c>
      <c r="B574" t="s">
        <v>1257</v>
      </c>
      <c r="C574" t="s">
        <v>643</v>
      </c>
      <c r="D574" s="3">
        <v>1</v>
      </c>
      <c r="E574" s="2">
        <v>2200</v>
      </c>
    </row>
    <row r="575" spans="1:5" x14ac:dyDescent="0.35">
      <c r="A575" t="s">
        <v>3261</v>
      </c>
      <c r="B575" t="s">
        <v>1258</v>
      </c>
      <c r="C575" t="s">
        <v>623</v>
      </c>
      <c r="D575" s="3">
        <v>1</v>
      </c>
      <c r="E575" s="2">
        <v>1200</v>
      </c>
    </row>
    <row r="576" spans="1:5" x14ac:dyDescent="0.35">
      <c r="A576" t="s">
        <v>3262</v>
      </c>
      <c r="B576" t="s">
        <v>1259</v>
      </c>
      <c r="C576" t="s">
        <v>656</v>
      </c>
      <c r="D576" s="3">
        <v>1</v>
      </c>
      <c r="E576" s="2">
        <v>350</v>
      </c>
    </row>
    <row r="577" spans="1:5" x14ac:dyDescent="0.35">
      <c r="A577" t="s">
        <v>3263</v>
      </c>
      <c r="B577" t="s">
        <v>1260</v>
      </c>
      <c r="C577" t="s">
        <v>649</v>
      </c>
      <c r="D577" s="3">
        <v>1</v>
      </c>
      <c r="E577" s="2">
        <v>800</v>
      </c>
    </row>
    <row r="578" spans="1:5" x14ac:dyDescent="0.35">
      <c r="A578" t="s">
        <v>3264</v>
      </c>
      <c r="B578" t="s">
        <v>1261</v>
      </c>
      <c r="C578" t="s">
        <v>631</v>
      </c>
      <c r="D578" s="3">
        <v>1</v>
      </c>
      <c r="E578" s="2">
        <v>900</v>
      </c>
    </row>
    <row r="579" spans="1:5" x14ac:dyDescent="0.35">
      <c r="A579" t="s">
        <v>3265</v>
      </c>
      <c r="B579" t="s">
        <v>1262</v>
      </c>
      <c r="C579" t="s">
        <v>635</v>
      </c>
      <c r="D579" s="3">
        <v>1</v>
      </c>
      <c r="E579" s="2">
        <v>180</v>
      </c>
    </row>
    <row r="580" spans="1:5" x14ac:dyDescent="0.35">
      <c r="A580" t="s">
        <v>3266</v>
      </c>
      <c r="B580" t="s">
        <v>1263</v>
      </c>
      <c r="C580" t="s">
        <v>667</v>
      </c>
      <c r="D580" s="3">
        <v>1</v>
      </c>
      <c r="E580" s="2">
        <v>550</v>
      </c>
    </row>
    <row r="581" spans="1:5" x14ac:dyDescent="0.35">
      <c r="A581" t="s">
        <v>3267</v>
      </c>
      <c r="B581" t="s">
        <v>1264</v>
      </c>
      <c r="C581" t="s">
        <v>629</v>
      </c>
      <c r="D581" s="3">
        <v>1</v>
      </c>
      <c r="E581" s="2">
        <v>300</v>
      </c>
    </row>
    <row r="582" spans="1:5" x14ac:dyDescent="0.35">
      <c r="A582" t="s">
        <v>3268</v>
      </c>
      <c r="B582" t="s">
        <v>1265</v>
      </c>
      <c r="C582" t="s">
        <v>635</v>
      </c>
      <c r="D582" s="3">
        <v>1</v>
      </c>
      <c r="E582" s="2">
        <v>180</v>
      </c>
    </row>
    <row r="583" spans="1:5" x14ac:dyDescent="0.35">
      <c r="A583" t="s">
        <v>3269</v>
      </c>
      <c r="B583" t="s">
        <v>1266</v>
      </c>
      <c r="C583" t="s">
        <v>620</v>
      </c>
      <c r="D583" s="3">
        <v>1</v>
      </c>
      <c r="E583" s="2">
        <v>50</v>
      </c>
    </row>
    <row r="584" spans="1:5" x14ac:dyDescent="0.35">
      <c r="A584" t="s">
        <v>3270</v>
      </c>
      <c r="B584" t="s">
        <v>1267</v>
      </c>
      <c r="C584" t="s">
        <v>651</v>
      </c>
      <c r="D584" s="3">
        <v>1</v>
      </c>
      <c r="E584" s="2">
        <v>120</v>
      </c>
    </row>
    <row r="585" spans="1:5" x14ac:dyDescent="0.35">
      <c r="A585" t="s">
        <v>3271</v>
      </c>
      <c r="B585" t="s">
        <v>1268</v>
      </c>
      <c r="C585" t="s">
        <v>645</v>
      </c>
      <c r="D585" s="3">
        <v>1</v>
      </c>
      <c r="E585" s="2">
        <v>3500</v>
      </c>
    </row>
    <row r="586" spans="1:5" x14ac:dyDescent="0.35">
      <c r="A586" t="s">
        <v>3272</v>
      </c>
      <c r="B586" t="s">
        <v>1269</v>
      </c>
      <c r="C586" t="s">
        <v>656</v>
      </c>
      <c r="D586" s="3">
        <v>1</v>
      </c>
      <c r="E586" s="2">
        <v>350</v>
      </c>
    </row>
    <row r="587" spans="1:5" x14ac:dyDescent="0.35">
      <c r="A587" t="s">
        <v>3273</v>
      </c>
      <c r="B587" t="s">
        <v>1270</v>
      </c>
      <c r="C587" t="s">
        <v>617</v>
      </c>
      <c r="D587" s="3">
        <v>1</v>
      </c>
      <c r="E587" s="2">
        <v>200</v>
      </c>
    </row>
    <row r="588" spans="1:5" x14ac:dyDescent="0.35">
      <c r="A588" t="s">
        <v>3274</v>
      </c>
      <c r="B588" t="s">
        <v>1271</v>
      </c>
      <c r="C588" t="s">
        <v>651</v>
      </c>
      <c r="D588" s="3">
        <v>1</v>
      </c>
      <c r="E588" s="2">
        <v>120</v>
      </c>
    </row>
    <row r="589" spans="1:5" x14ac:dyDescent="0.35">
      <c r="A589" t="s">
        <v>3275</v>
      </c>
      <c r="B589" t="s">
        <v>1272</v>
      </c>
      <c r="C589" t="s">
        <v>649</v>
      </c>
      <c r="D589" s="3">
        <v>1</v>
      </c>
      <c r="E589" s="2">
        <v>800</v>
      </c>
    </row>
    <row r="590" spans="1:5" x14ac:dyDescent="0.35">
      <c r="A590" t="s">
        <v>3276</v>
      </c>
      <c r="B590" t="s">
        <v>1273</v>
      </c>
      <c r="C590" t="s">
        <v>663</v>
      </c>
      <c r="D590" s="3">
        <v>2</v>
      </c>
      <c r="E590" s="2">
        <v>2800</v>
      </c>
    </row>
    <row r="591" spans="1:5" x14ac:dyDescent="0.35">
      <c r="A591" t="s">
        <v>3277</v>
      </c>
      <c r="B591" t="s">
        <v>1274</v>
      </c>
      <c r="C591" t="s">
        <v>667</v>
      </c>
      <c r="D591" s="3">
        <v>1</v>
      </c>
      <c r="E591" s="2">
        <v>550</v>
      </c>
    </row>
    <row r="592" spans="1:5" x14ac:dyDescent="0.35">
      <c r="A592" t="s">
        <v>3278</v>
      </c>
      <c r="B592" t="s">
        <v>1275</v>
      </c>
      <c r="C592" t="s">
        <v>654</v>
      </c>
      <c r="D592" s="3">
        <v>1</v>
      </c>
      <c r="E592" s="2">
        <v>100</v>
      </c>
    </row>
    <row r="593" spans="1:5" x14ac:dyDescent="0.35">
      <c r="A593" t="s">
        <v>3279</v>
      </c>
      <c r="B593" t="s">
        <v>1276</v>
      </c>
      <c r="C593" t="s">
        <v>638</v>
      </c>
      <c r="D593" s="3">
        <v>1</v>
      </c>
      <c r="E593" s="2">
        <v>150</v>
      </c>
    </row>
    <row r="594" spans="1:5" x14ac:dyDescent="0.35">
      <c r="A594" t="s">
        <v>3280</v>
      </c>
      <c r="B594" t="s">
        <v>1277</v>
      </c>
      <c r="C594" t="s">
        <v>617</v>
      </c>
      <c r="D594" s="3">
        <v>1</v>
      </c>
      <c r="E594" s="2">
        <v>200</v>
      </c>
    </row>
    <row r="595" spans="1:5" x14ac:dyDescent="0.35">
      <c r="A595" t="s">
        <v>3281</v>
      </c>
      <c r="B595" t="s">
        <v>1278</v>
      </c>
      <c r="C595" t="s">
        <v>656</v>
      </c>
      <c r="D595" s="3">
        <v>3</v>
      </c>
      <c r="E595" s="2">
        <v>1050</v>
      </c>
    </row>
    <row r="596" spans="1:5" x14ac:dyDescent="0.35">
      <c r="A596" t="s">
        <v>3282</v>
      </c>
      <c r="B596" t="s">
        <v>1279</v>
      </c>
      <c r="C596" t="s">
        <v>647</v>
      </c>
      <c r="D596" s="3">
        <v>1</v>
      </c>
      <c r="E596" s="2">
        <v>4200</v>
      </c>
    </row>
    <row r="597" spans="1:5" x14ac:dyDescent="0.35">
      <c r="A597" t="s">
        <v>3283</v>
      </c>
      <c r="B597" t="s">
        <v>1280</v>
      </c>
      <c r="C597" t="s">
        <v>665</v>
      </c>
      <c r="D597" s="3">
        <v>3</v>
      </c>
      <c r="E597" s="2">
        <v>2100</v>
      </c>
    </row>
    <row r="598" spans="1:5" x14ac:dyDescent="0.35">
      <c r="A598" t="s">
        <v>3284</v>
      </c>
      <c r="B598" t="s">
        <v>1281</v>
      </c>
      <c r="C598" t="s">
        <v>665</v>
      </c>
      <c r="D598" s="3">
        <v>1</v>
      </c>
      <c r="E598" s="2">
        <v>700</v>
      </c>
    </row>
    <row r="599" spans="1:5" x14ac:dyDescent="0.35">
      <c r="A599" t="s">
        <v>3285</v>
      </c>
      <c r="B599" t="s">
        <v>1282</v>
      </c>
      <c r="C599" t="s">
        <v>629</v>
      </c>
      <c r="D599" s="3">
        <v>1</v>
      </c>
      <c r="E599" s="2">
        <v>300</v>
      </c>
    </row>
    <row r="600" spans="1:5" x14ac:dyDescent="0.35">
      <c r="A600" t="s">
        <v>3286</v>
      </c>
      <c r="B600" t="s">
        <v>1283</v>
      </c>
      <c r="C600" t="s">
        <v>641</v>
      </c>
      <c r="D600" s="3">
        <v>1</v>
      </c>
      <c r="E600" s="2">
        <v>1800</v>
      </c>
    </row>
    <row r="601" spans="1:5" x14ac:dyDescent="0.35">
      <c r="A601" t="s">
        <v>3287</v>
      </c>
      <c r="B601" t="s">
        <v>1284</v>
      </c>
      <c r="C601" t="s">
        <v>631</v>
      </c>
      <c r="D601" s="3">
        <v>1</v>
      </c>
      <c r="E601" s="2">
        <v>900</v>
      </c>
    </row>
    <row r="602" spans="1:5" x14ac:dyDescent="0.35">
      <c r="A602" t="s">
        <v>3288</v>
      </c>
      <c r="B602" t="s">
        <v>1285</v>
      </c>
      <c r="C602" t="s">
        <v>671</v>
      </c>
      <c r="D602" s="3">
        <v>1</v>
      </c>
      <c r="E602" s="2">
        <v>400</v>
      </c>
    </row>
    <row r="603" spans="1:5" x14ac:dyDescent="0.35">
      <c r="A603" t="s">
        <v>3289</v>
      </c>
      <c r="B603" t="s">
        <v>1286</v>
      </c>
      <c r="C603" t="s">
        <v>660</v>
      </c>
      <c r="D603" s="3">
        <v>2</v>
      </c>
      <c r="E603" s="2">
        <v>13000</v>
      </c>
    </row>
    <row r="604" spans="1:5" x14ac:dyDescent="0.35">
      <c r="A604" t="s">
        <v>3290</v>
      </c>
      <c r="B604" t="s">
        <v>1287</v>
      </c>
      <c r="C604" t="s">
        <v>673</v>
      </c>
      <c r="D604" s="3">
        <v>1</v>
      </c>
      <c r="E604" s="2">
        <v>300</v>
      </c>
    </row>
    <row r="605" spans="1:5" x14ac:dyDescent="0.35">
      <c r="A605" t="s">
        <v>3291</v>
      </c>
      <c r="B605" t="s">
        <v>1288</v>
      </c>
      <c r="C605" t="s">
        <v>647</v>
      </c>
      <c r="D605" s="3">
        <v>1</v>
      </c>
      <c r="E605" s="2">
        <v>4200</v>
      </c>
    </row>
    <row r="606" spans="1:5" x14ac:dyDescent="0.35">
      <c r="A606" t="s">
        <v>3292</v>
      </c>
      <c r="B606" t="s">
        <v>1289</v>
      </c>
      <c r="C606" t="s">
        <v>617</v>
      </c>
      <c r="D606" s="3">
        <v>1</v>
      </c>
      <c r="E606" s="2">
        <v>200</v>
      </c>
    </row>
    <row r="607" spans="1:5" x14ac:dyDescent="0.35">
      <c r="A607" t="s">
        <v>3293</v>
      </c>
      <c r="B607" t="s">
        <v>1290</v>
      </c>
      <c r="C607" t="s">
        <v>663</v>
      </c>
      <c r="D607" s="3">
        <v>1</v>
      </c>
      <c r="E607" s="2">
        <v>1400</v>
      </c>
    </row>
    <row r="608" spans="1:5" x14ac:dyDescent="0.35">
      <c r="A608" t="s">
        <v>3294</v>
      </c>
      <c r="B608" t="s">
        <v>1291</v>
      </c>
      <c r="C608" t="s">
        <v>673</v>
      </c>
      <c r="D608" s="3">
        <v>1</v>
      </c>
      <c r="E608" s="2">
        <v>300</v>
      </c>
    </row>
    <row r="609" spans="1:5" x14ac:dyDescent="0.35">
      <c r="A609" t="s">
        <v>3295</v>
      </c>
      <c r="B609" t="s">
        <v>1292</v>
      </c>
      <c r="C609" t="s">
        <v>651</v>
      </c>
      <c r="D609" s="3">
        <v>3</v>
      </c>
      <c r="E609" s="2">
        <v>360</v>
      </c>
    </row>
    <row r="610" spans="1:5" x14ac:dyDescent="0.35">
      <c r="A610" t="s">
        <v>3296</v>
      </c>
      <c r="B610" t="s">
        <v>1293</v>
      </c>
      <c r="C610" t="s">
        <v>649</v>
      </c>
      <c r="D610" s="3">
        <v>1</v>
      </c>
      <c r="E610" s="2">
        <v>800</v>
      </c>
    </row>
    <row r="611" spans="1:5" x14ac:dyDescent="0.35">
      <c r="A611" t="s">
        <v>3297</v>
      </c>
      <c r="B611" t="s">
        <v>1294</v>
      </c>
      <c r="C611" t="s">
        <v>635</v>
      </c>
      <c r="D611" s="3">
        <v>1</v>
      </c>
      <c r="E611" s="2">
        <v>180</v>
      </c>
    </row>
    <row r="612" spans="1:5" x14ac:dyDescent="0.35">
      <c r="A612" t="s">
        <v>3298</v>
      </c>
      <c r="B612" t="s">
        <v>1295</v>
      </c>
      <c r="C612" t="s">
        <v>641</v>
      </c>
      <c r="D612" s="3">
        <v>2</v>
      </c>
      <c r="E612" s="2">
        <v>3600</v>
      </c>
    </row>
    <row r="613" spans="1:5" x14ac:dyDescent="0.35">
      <c r="A613" t="s">
        <v>3299</v>
      </c>
      <c r="B613" t="s">
        <v>1296</v>
      </c>
      <c r="C613" t="s">
        <v>638</v>
      </c>
      <c r="D613" s="3">
        <v>3</v>
      </c>
      <c r="E613" s="2">
        <v>450</v>
      </c>
    </row>
    <row r="614" spans="1:5" x14ac:dyDescent="0.35">
      <c r="A614" t="s">
        <v>3300</v>
      </c>
      <c r="B614" t="s">
        <v>1297</v>
      </c>
      <c r="C614" t="s">
        <v>656</v>
      </c>
      <c r="D614" s="3">
        <v>1</v>
      </c>
      <c r="E614" s="2">
        <v>350</v>
      </c>
    </row>
    <row r="615" spans="1:5" x14ac:dyDescent="0.35">
      <c r="A615" t="s">
        <v>3301</v>
      </c>
      <c r="B615" t="s">
        <v>1298</v>
      </c>
      <c r="C615" t="s">
        <v>638</v>
      </c>
      <c r="D615" s="3">
        <v>2</v>
      </c>
      <c r="E615" s="2">
        <v>300</v>
      </c>
    </row>
    <row r="616" spans="1:5" x14ac:dyDescent="0.35">
      <c r="A616" t="s">
        <v>3302</v>
      </c>
      <c r="B616" t="s">
        <v>1299</v>
      </c>
      <c r="C616" t="s">
        <v>623</v>
      </c>
      <c r="D616" s="3">
        <v>1</v>
      </c>
      <c r="E616" s="2">
        <v>1200</v>
      </c>
    </row>
    <row r="617" spans="1:5" x14ac:dyDescent="0.35">
      <c r="A617" t="s">
        <v>3303</v>
      </c>
      <c r="B617" t="s">
        <v>1300</v>
      </c>
      <c r="C617" t="s">
        <v>643</v>
      </c>
      <c r="D617" s="3">
        <v>2</v>
      </c>
      <c r="E617" s="2">
        <v>4400</v>
      </c>
    </row>
    <row r="618" spans="1:5" x14ac:dyDescent="0.35">
      <c r="A618" t="s">
        <v>3304</v>
      </c>
      <c r="B618" t="s">
        <v>1301</v>
      </c>
      <c r="C618" t="s">
        <v>645</v>
      </c>
      <c r="D618" s="3">
        <v>1</v>
      </c>
      <c r="E618" s="2">
        <v>3500</v>
      </c>
    </row>
    <row r="619" spans="1:5" x14ac:dyDescent="0.35">
      <c r="A619" t="s">
        <v>3305</v>
      </c>
      <c r="B619" t="s">
        <v>1302</v>
      </c>
      <c r="C619" t="s">
        <v>641</v>
      </c>
      <c r="D619" s="3">
        <v>1</v>
      </c>
      <c r="E619" s="2">
        <v>1800</v>
      </c>
    </row>
    <row r="620" spans="1:5" x14ac:dyDescent="0.35">
      <c r="A620" t="s">
        <v>3306</v>
      </c>
      <c r="B620" t="s">
        <v>1303</v>
      </c>
      <c r="C620" t="s">
        <v>673</v>
      </c>
      <c r="D620" s="3">
        <v>1</v>
      </c>
      <c r="E620" s="2">
        <v>300</v>
      </c>
    </row>
    <row r="621" spans="1:5" x14ac:dyDescent="0.35">
      <c r="A621" t="s">
        <v>3307</v>
      </c>
      <c r="B621" t="s">
        <v>1304</v>
      </c>
      <c r="C621" t="s">
        <v>656</v>
      </c>
      <c r="D621" s="3">
        <v>1</v>
      </c>
      <c r="E621" s="2">
        <v>350</v>
      </c>
    </row>
    <row r="622" spans="1:5" x14ac:dyDescent="0.35">
      <c r="A622" t="s">
        <v>3308</v>
      </c>
      <c r="B622" t="s">
        <v>1305</v>
      </c>
      <c r="C622" t="s">
        <v>656</v>
      </c>
      <c r="D622" s="3">
        <v>1</v>
      </c>
      <c r="E622" s="2">
        <v>350</v>
      </c>
    </row>
    <row r="623" spans="1:5" x14ac:dyDescent="0.35">
      <c r="A623" t="s">
        <v>3309</v>
      </c>
      <c r="B623" t="s">
        <v>1306</v>
      </c>
      <c r="C623" t="s">
        <v>673</v>
      </c>
      <c r="D623" s="3">
        <v>1</v>
      </c>
      <c r="E623" s="2">
        <v>300</v>
      </c>
    </row>
    <row r="624" spans="1:5" x14ac:dyDescent="0.35">
      <c r="A624" t="s">
        <v>3310</v>
      </c>
      <c r="B624" t="s">
        <v>1307</v>
      </c>
      <c r="C624" t="s">
        <v>643</v>
      </c>
      <c r="D624" s="3">
        <v>1</v>
      </c>
      <c r="E624" s="2">
        <v>2200</v>
      </c>
    </row>
    <row r="625" spans="1:5" x14ac:dyDescent="0.35">
      <c r="A625" t="s">
        <v>3311</v>
      </c>
      <c r="B625" t="s">
        <v>1308</v>
      </c>
      <c r="C625" t="s">
        <v>667</v>
      </c>
      <c r="D625" s="3">
        <v>1</v>
      </c>
      <c r="E625" s="2">
        <v>550</v>
      </c>
    </row>
    <row r="626" spans="1:5" x14ac:dyDescent="0.35">
      <c r="A626" t="s">
        <v>3312</v>
      </c>
      <c r="B626" t="s">
        <v>1309</v>
      </c>
      <c r="C626" t="s">
        <v>626</v>
      </c>
      <c r="D626" s="3">
        <v>1</v>
      </c>
      <c r="E626" s="2">
        <v>5000</v>
      </c>
    </row>
    <row r="627" spans="1:5" x14ac:dyDescent="0.35">
      <c r="A627" t="s">
        <v>3313</v>
      </c>
      <c r="B627" t="s">
        <v>1310</v>
      </c>
      <c r="C627" t="s">
        <v>633</v>
      </c>
      <c r="D627" s="3">
        <v>1</v>
      </c>
      <c r="E627" s="2">
        <v>450</v>
      </c>
    </row>
    <row r="628" spans="1:5" x14ac:dyDescent="0.35">
      <c r="A628" t="s">
        <v>3314</v>
      </c>
      <c r="B628" t="s">
        <v>1311</v>
      </c>
      <c r="C628" t="s">
        <v>665</v>
      </c>
      <c r="D628" s="3">
        <v>1</v>
      </c>
      <c r="E628" s="2">
        <v>700</v>
      </c>
    </row>
    <row r="629" spans="1:5" x14ac:dyDescent="0.35">
      <c r="A629" t="s">
        <v>3315</v>
      </c>
      <c r="B629" t="s">
        <v>1312</v>
      </c>
      <c r="C629" t="s">
        <v>649</v>
      </c>
      <c r="D629" s="3">
        <v>2</v>
      </c>
      <c r="E629" s="2">
        <v>1600</v>
      </c>
    </row>
    <row r="630" spans="1:5" x14ac:dyDescent="0.35">
      <c r="A630" t="s">
        <v>3316</v>
      </c>
      <c r="B630" t="s">
        <v>1313</v>
      </c>
      <c r="C630" t="s">
        <v>633</v>
      </c>
      <c r="D630" s="3">
        <v>1</v>
      </c>
      <c r="E630" s="2">
        <v>450</v>
      </c>
    </row>
    <row r="631" spans="1:5" x14ac:dyDescent="0.35">
      <c r="A631" t="s">
        <v>3317</v>
      </c>
      <c r="B631" t="s">
        <v>1314</v>
      </c>
      <c r="C631" t="s">
        <v>671</v>
      </c>
      <c r="D631" s="3">
        <v>1</v>
      </c>
      <c r="E631" s="2">
        <v>400</v>
      </c>
    </row>
    <row r="632" spans="1:5" x14ac:dyDescent="0.35">
      <c r="A632" t="s">
        <v>3318</v>
      </c>
      <c r="B632" t="s">
        <v>1315</v>
      </c>
      <c r="C632" t="s">
        <v>635</v>
      </c>
      <c r="D632" s="3">
        <v>1</v>
      </c>
      <c r="E632" s="2">
        <v>180</v>
      </c>
    </row>
    <row r="633" spans="1:5" x14ac:dyDescent="0.35">
      <c r="A633" t="s">
        <v>3319</v>
      </c>
      <c r="B633" t="s">
        <v>1316</v>
      </c>
      <c r="C633" t="s">
        <v>617</v>
      </c>
      <c r="D633" s="3">
        <v>1</v>
      </c>
      <c r="E633" s="2">
        <v>200</v>
      </c>
    </row>
    <row r="634" spans="1:5" x14ac:dyDescent="0.35">
      <c r="A634" t="s">
        <v>3320</v>
      </c>
      <c r="B634" t="s">
        <v>1317</v>
      </c>
      <c r="C634" t="s">
        <v>671</v>
      </c>
      <c r="D634" s="3">
        <v>3</v>
      </c>
      <c r="E634" s="2">
        <v>1200</v>
      </c>
    </row>
    <row r="635" spans="1:5" x14ac:dyDescent="0.35">
      <c r="A635" t="s">
        <v>3321</v>
      </c>
      <c r="B635" t="s">
        <v>1318</v>
      </c>
      <c r="C635" t="s">
        <v>667</v>
      </c>
      <c r="D635" s="3">
        <v>2</v>
      </c>
      <c r="E635" s="2">
        <v>1100</v>
      </c>
    </row>
    <row r="636" spans="1:5" x14ac:dyDescent="0.35">
      <c r="A636" t="s">
        <v>3322</v>
      </c>
      <c r="B636" t="s">
        <v>1319</v>
      </c>
      <c r="C636" t="s">
        <v>626</v>
      </c>
      <c r="D636" s="3">
        <v>1</v>
      </c>
      <c r="E636" s="2">
        <v>5000</v>
      </c>
    </row>
    <row r="637" spans="1:5" x14ac:dyDescent="0.35">
      <c r="A637" t="s">
        <v>3323</v>
      </c>
      <c r="B637" t="s">
        <v>1320</v>
      </c>
      <c r="C637" t="s">
        <v>645</v>
      </c>
      <c r="D637" s="3">
        <v>1</v>
      </c>
      <c r="E637" s="2">
        <v>3500</v>
      </c>
    </row>
    <row r="638" spans="1:5" x14ac:dyDescent="0.35">
      <c r="A638" t="s">
        <v>3324</v>
      </c>
      <c r="B638" t="s">
        <v>1321</v>
      </c>
      <c r="C638" t="s">
        <v>671</v>
      </c>
      <c r="D638" s="3">
        <v>1</v>
      </c>
      <c r="E638" s="2">
        <v>400</v>
      </c>
    </row>
    <row r="639" spans="1:5" x14ac:dyDescent="0.35">
      <c r="A639" t="s">
        <v>3325</v>
      </c>
      <c r="B639" t="s">
        <v>1322</v>
      </c>
      <c r="C639" t="s">
        <v>623</v>
      </c>
      <c r="D639" s="3">
        <v>1</v>
      </c>
      <c r="E639" s="2">
        <v>1200</v>
      </c>
    </row>
    <row r="640" spans="1:5" x14ac:dyDescent="0.35">
      <c r="A640" t="s">
        <v>3326</v>
      </c>
      <c r="B640" t="s">
        <v>1323</v>
      </c>
      <c r="C640" t="s">
        <v>647</v>
      </c>
      <c r="D640" s="3">
        <v>1</v>
      </c>
      <c r="E640" s="2">
        <v>4200</v>
      </c>
    </row>
    <row r="641" spans="1:5" x14ac:dyDescent="0.35">
      <c r="A641" t="s">
        <v>3327</v>
      </c>
      <c r="B641" t="s">
        <v>1324</v>
      </c>
      <c r="C641" t="s">
        <v>663</v>
      </c>
      <c r="D641" s="3">
        <v>1</v>
      </c>
      <c r="E641" s="2">
        <v>1400</v>
      </c>
    </row>
    <row r="642" spans="1:5" x14ac:dyDescent="0.35">
      <c r="A642" t="s">
        <v>3328</v>
      </c>
      <c r="B642" t="s">
        <v>1325</v>
      </c>
      <c r="C642" t="s">
        <v>631</v>
      </c>
      <c r="D642" s="3">
        <v>1</v>
      </c>
      <c r="E642" s="2">
        <v>900</v>
      </c>
    </row>
    <row r="643" spans="1:5" x14ac:dyDescent="0.35">
      <c r="A643" t="s">
        <v>3329</v>
      </c>
      <c r="B643" t="s">
        <v>1326</v>
      </c>
      <c r="C643" t="s">
        <v>643</v>
      </c>
      <c r="D643" s="3">
        <v>1</v>
      </c>
      <c r="E643" s="2">
        <v>2200</v>
      </c>
    </row>
    <row r="644" spans="1:5" x14ac:dyDescent="0.35">
      <c r="A644" t="s">
        <v>3330</v>
      </c>
      <c r="B644" t="s">
        <v>1327</v>
      </c>
      <c r="C644" t="s">
        <v>669</v>
      </c>
      <c r="D644" s="3">
        <v>1</v>
      </c>
      <c r="E644" s="2">
        <v>600</v>
      </c>
    </row>
    <row r="645" spans="1:5" x14ac:dyDescent="0.35">
      <c r="A645" t="s">
        <v>3331</v>
      </c>
      <c r="B645" t="s">
        <v>1328</v>
      </c>
      <c r="C645" t="s">
        <v>626</v>
      </c>
      <c r="D645" s="3">
        <v>1</v>
      </c>
      <c r="E645" s="2">
        <v>5000</v>
      </c>
    </row>
    <row r="646" spans="1:5" x14ac:dyDescent="0.35">
      <c r="A646" t="s">
        <v>3332</v>
      </c>
      <c r="B646" t="s">
        <v>1329</v>
      </c>
      <c r="C646" t="s">
        <v>663</v>
      </c>
      <c r="D646" s="3">
        <v>2</v>
      </c>
      <c r="E646" s="2">
        <v>2800</v>
      </c>
    </row>
    <row r="647" spans="1:5" x14ac:dyDescent="0.35">
      <c r="A647" t="s">
        <v>3333</v>
      </c>
      <c r="B647" t="s">
        <v>1330</v>
      </c>
      <c r="C647" t="s">
        <v>654</v>
      </c>
      <c r="D647" s="3">
        <v>1</v>
      </c>
      <c r="E647" s="2">
        <v>100</v>
      </c>
    </row>
    <row r="648" spans="1:5" x14ac:dyDescent="0.35">
      <c r="A648" t="s">
        <v>3334</v>
      </c>
      <c r="B648" t="s">
        <v>1331</v>
      </c>
      <c r="C648" t="s">
        <v>633</v>
      </c>
      <c r="D648" s="3">
        <v>1</v>
      </c>
      <c r="E648" s="2">
        <v>450</v>
      </c>
    </row>
    <row r="649" spans="1:5" x14ac:dyDescent="0.35">
      <c r="A649" t="s">
        <v>3335</v>
      </c>
      <c r="B649" t="s">
        <v>1332</v>
      </c>
      <c r="C649" t="s">
        <v>667</v>
      </c>
      <c r="D649" s="3">
        <v>1</v>
      </c>
      <c r="E649" s="2">
        <v>550</v>
      </c>
    </row>
    <row r="650" spans="1:5" x14ac:dyDescent="0.35">
      <c r="A650" t="s">
        <v>3336</v>
      </c>
      <c r="B650" t="s">
        <v>1333</v>
      </c>
      <c r="C650" t="s">
        <v>643</v>
      </c>
      <c r="D650" s="3">
        <v>1</v>
      </c>
      <c r="E650" s="2">
        <v>2200</v>
      </c>
    </row>
    <row r="651" spans="1:5" x14ac:dyDescent="0.35">
      <c r="A651" t="s">
        <v>3337</v>
      </c>
      <c r="B651" t="s">
        <v>1334</v>
      </c>
      <c r="C651" t="s">
        <v>671</v>
      </c>
      <c r="D651" s="3">
        <v>1</v>
      </c>
      <c r="E651" s="2">
        <v>400</v>
      </c>
    </row>
    <row r="652" spans="1:5" x14ac:dyDescent="0.35">
      <c r="A652" t="s">
        <v>3338</v>
      </c>
      <c r="B652" t="s">
        <v>1335</v>
      </c>
      <c r="C652" t="s">
        <v>617</v>
      </c>
      <c r="D652" s="3">
        <v>1</v>
      </c>
      <c r="E652" s="2">
        <v>200</v>
      </c>
    </row>
    <row r="653" spans="1:5" x14ac:dyDescent="0.35">
      <c r="A653" t="s">
        <v>3339</v>
      </c>
      <c r="B653" t="s">
        <v>1336</v>
      </c>
      <c r="C653" t="s">
        <v>633</v>
      </c>
      <c r="D653" s="3">
        <v>1</v>
      </c>
      <c r="E653" s="2">
        <v>450</v>
      </c>
    </row>
    <row r="654" spans="1:5" x14ac:dyDescent="0.35">
      <c r="A654" t="s">
        <v>3340</v>
      </c>
      <c r="B654" t="s">
        <v>1337</v>
      </c>
      <c r="C654" t="s">
        <v>645</v>
      </c>
      <c r="D654" s="3">
        <v>1</v>
      </c>
      <c r="E654" s="2">
        <v>3500</v>
      </c>
    </row>
    <row r="655" spans="1:5" x14ac:dyDescent="0.35">
      <c r="A655" t="s">
        <v>3341</v>
      </c>
      <c r="B655" t="s">
        <v>1338</v>
      </c>
      <c r="C655" t="s">
        <v>633</v>
      </c>
      <c r="D655" s="3">
        <v>2</v>
      </c>
      <c r="E655" s="2">
        <v>900</v>
      </c>
    </row>
    <row r="656" spans="1:5" x14ac:dyDescent="0.35">
      <c r="A656" t="s">
        <v>3342</v>
      </c>
      <c r="B656" t="s">
        <v>1339</v>
      </c>
      <c r="C656" t="s">
        <v>669</v>
      </c>
      <c r="D656" s="3">
        <v>3</v>
      </c>
      <c r="E656" s="2">
        <v>1800</v>
      </c>
    </row>
    <row r="657" spans="1:5" x14ac:dyDescent="0.35">
      <c r="A657" t="s">
        <v>3343</v>
      </c>
      <c r="B657" t="s">
        <v>1340</v>
      </c>
      <c r="C657" t="s">
        <v>633</v>
      </c>
      <c r="D657" s="3">
        <v>1</v>
      </c>
      <c r="E657" s="2">
        <v>450</v>
      </c>
    </row>
    <row r="658" spans="1:5" x14ac:dyDescent="0.35">
      <c r="A658" t="s">
        <v>3344</v>
      </c>
      <c r="B658" t="s">
        <v>1341</v>
      </c>
      <c r="C658" t="s">
        <v>641</v>
      </c>
      <c r="D658" s="3">
        <v>3</v>
      </c>
      <c r="E658" s="2">
        <v>5400</v>
      </c>
    </row>
    <row r="659" spans="1:5" x14ac:dyDescent="0.35">
      <c r="A659" t="s">
        <v>3345</v>
      </c>
      <c r="B659" t="s">
        <v>1342</v>
      </c>
      <c r="C659" t="s">
        <v>654</v>
      </c>
      <c r="D659" s="3">
        <v>1</v>
      </c>
      <c r="E659" s="2">
        <v>100</v>
      </c>
    </row>
    <row r="660" spans="1:5" x14ac:dyDescent="0.35">
      <c r="A660" t="s">
        <v>3346</v>
      </c>
      <c r="B660" t="s">
        <v>1343</v>
      </c>
      <c r="C660" t="s">
        <v>635</v>
      </c>
      <c r="D660" s="3">
        <v>1</v>
      </c>
      <c r="E660" s="2">
        <v>180</v>
      </c>
    </row>
    <row r="661" spans="1:5" x14ac:dyDescent="0.35">
      <c r="A661" t="s">
        <v>3347</v>
      </c>
      <c r="B661" t="s">
        <v>1344</v>
      </c>
      <c r="C661" t="s">
        <v>638</v>
      </c>
      <c r="D661" s="3">
        <v>1</v>
      </c>
      <c r="E661" s="2">
        <v>150</v>
      </c>
    </row>
    <row r="662" spans="1:5" x14ac:dyDescent="0.35">
      <c r="A662" t="s">
        <v>3348</v>
      </c>
      <c r="B662" t="s">
        <v>1345</v>
      </c>
      <c r="C662" t="s">
        <v>638</v>
      </c>
      <c r="D662" s="3">
        <v>1</v>
      </c>
      <c r="E662" s="2">
        <v>150</v>
      </c>
    </row>
    <row r="663" spans="1:5" x14ac:dyDescent="0.35">
      <c r="A663" t="s">
        <v>3349</v>
      </c>
      <c r="B663" t="s">
        <v>1346</v>
      </c>
      <c r="C663" t="s">
        <v>620</v>
      </c>
      <c r="D663" s="3">
        <v>1</v>
      </c>
      <c r="E663" s="2">
        <v>50</v>
      </c>
    </row>
    <row r="664" spans="1:5" x14ac:dyDescent="0.35">
      <c r="A664" t="s">
        <v>3350</v>
      </c>
      <c r="B664" t="s">
        <v>1347</v>
      </c>
      <c r="C664" t="s">
        <v>647</v>
      </c>
      <c r="D664" s="3">
        <v>2</v>
      </c>
      <c r="E664" s="2">
        <v>8400</v>
      </c>
    </row>
    <row r="665" spans="1:5" x14ac:dyDescent="0.35">
      <c r="A665" t="s">
        <v>3351</v>
      </c>
      <c r="B665" t="s">
        <v>1348</v>
      </c>
      <c r="C665" t="s">
        <v>647</v>
      </c>
      <c r="D665" s="3">
        <v>1</v>
      </c>
      <c r="E665" s="2">
        <v>4200</v>
      </c>
    </row>
    <row r="666" spans="1:5" x14ac:dyDescent="0.35">
      <c r="A666" t="s">
        <v>3352</v>
      </c>
      <c r="B666" t="s">
        <v>1349</v>
      </c>
      <c r="C666" t="s">
        <v>669</v>
      </c>
      <c r="D666" s="3">
        <v>1</v>
      </c>
      <c r="E666" s="2">
        <v>600</v>
      </c>
    </row>
    <row r="667" spans="1:5" x14ac:dyDescent="0.35">
      <c r="A667" t="s">
        <v>3353</v>
      </c>
      <c r="B667" t="s">
        <v>1350</v>
      </c>
      <c r="C667" t="s">
        <v>669</v>
      </c>
      <c r="D667" s="3">
        <v>2</v>
      </c>
      <c r="E667" s="2">
        <v>1200</v>
      </c>
    </row>
    <row r="668" spans="1:5" x14ac:dyDescent="0.35">
      <c r="A668" t="s">
        <v>3354</v>
      </c>
      <c r="B668" t="s">
        <v>1351</v>
      </c>
      <c r="C668" t="s">
        <v>626</v>
      </c>
      <c r="D668" s="3">
        <v>2</v>
      </c>
      <c r="E668" s="2">
        <v>10000</v>
      </c>
    </row>
    <row r="669" spans="1:5" x14ac:dyDescent="0.35">
      <c r="A669" t="s">
        <v>3355</v>
      </c>
      <c r="B669" t="s">
        <v>1352</v>
      </c>
      <c r="C669" t="s">
        <v>673</v>
      </c>
      <c r="D669" s="3">
        <v>1</v>
      </c>
      <c r="E669" s="2">
        <v>300</v>
      </c>
    </row>
    <row r="670" spans="1:5" x14ac:dyDescent="0.35">
      <c r="A670" t="s">
        <v>3356</v>
      </c>
      <c r="B670" t="s">
        <v>1353</v>
      </c>
      <c r="C670" t="s">
        <v>671</v>
      </c>
      <c r="D670" s="3">
        <v>1</v>
      </c>
      <c r="E670" s="2">
        <v>400</v>
      </c>
    </row>
    <row r="671" spans="1:5" x14ac:dyDescent="0.35">
      <c r="A671" t="s">
        <v>3357</v>
      </c>
      <c r="B671" t="s">
        <v>1354</v>
      </c>
      <c r="C671" t="s">
        <v>645</v>
      </c>
      <c r="D671" s="3">
        <v>1</v>
      </c>
      <c r="E671" s="2">
        <v>3500</v>
      </c>
    </row>
    <row r="672" spans="1:5" x14ac:dyDescent="0.35">
      <c r="A672" t="s">
        <v>3358</v>
      </c>
      <c r="B672" t="s">
        <v>1355</v>
      </c>
      <c r="C672" t="s">
        <v>656</v>
      </c>
      <c r="D672" s="3">
        <v>1</v>
      </c>
      <c r="E672" s="2">
        <v>350</v>
      </c>
    </row>
    <row r="673" spans="1:5" x14ac:dyDescent="0.35">
      <c r="A673" t="s">
        <v>3359</v>
      </c>
      <c r="B673" t="s">
        <v>1356</v>
      </c>
      <c r="C673" t="s">
        <v>620</v>
      </c>
      <c r="D673" s="3">
        <v>1</v>
      </c>
      <c r="E673" s="2">
        <v>50</v>
      </c>
    </row>
    <row r="674" spans="1:5" x14ac:dyDescent="0.35">
      <c r="A674" t="s">
        <v>3360</v>
      </c>
      <c r="B674" t="s">
        <v>1357</v>
      </c>
      <c r="C674" t="s">
        <v>647</v>
      </c>
      <c r="D674" s="3">
        <v>1</v>
      </c>
      <c r="E674" s="2">
        <v>4200</v>
      </c>
    </row>
    <row r="675" spans="1:5" x14ac:dyDescent="0.35">
      <c r="A675" t="s">
        <v>3361</v>
      </c>
      <c r="B675" t="s">
        <v>1358</v>
      </c>
      <c r="C675" t="s">
        <v>658</v>
      </c>
      <c r="D675" s="3">
        <v>1</v>
      </c>
      <c r="E675" s="2">
        <v>750</v>
      </c>
    </row>
    <row r="676" spans="1:5" x14ac:dyDescent="0.35">
      <c r="A676" t="s">
        <v>3362</v>
      </c>
      <c r="B676" t="s">
        <v>1359</v>
      </c>
      <c r="C676" t="s">
        <v>651</v>
      </c>
      <c r="D676" s="3">
        <v>1</v>
      </c>
      <c r="E676" s="2">
        <v>120</v>
      </c>
    </row>
    <row r="677" spans="1:5" x14ac:dyDescent="0.35">
      <c r="A677" t="s">
        <v>3363</v>
      </c>
      <c r="B677" t="s">
        <v>1360</v>
      </c>
      <c r="C677" t="s">
        <v>635</v>
      </c>
      <c r="D677" s="3">
        <v>1</v>
      </c>
      <c r="E677" s="2">
        <v>180</v>
      </c>
    </row>
    <row r="678" spans="1:5" x14ac:dyDescent="0.35">
      <c r="A678" t="s">
        <v>3364</v>
      </c>
      <c r="B678" t="s">
        <v>1361</v>
      </c>
      <c r="C678" t="s">
        <v>651</v>
      </c>
      <c r="D678" s="3">
        <v>1</v>
      </c>
      <c r="E678" s="2">
        <v>120</v>
      </c>
    </row>
    <row r="679" spans="1:5" x14ac:dyDescent="0.35">
      <c r="A679" t="s">
        <v>3365</v>
      </c>
      <c r="B679" t="s">
        <v>1362</v>
      </c>
      <c r="C679" t="s">
        <v>617</v>
      </c>
      <c r="D679" s="3">
        <v>1</v>
      </c>
      <c r="E679" s="2">
        <v>200</v>
      </c>
    </row>
    <row r="680" spans="1:5" x14ac:dyDescent="0.35">
      <c r="A680" t="s">
        <v>3366</v>
      </c>
      <c r="B680" t="s">
        <v>1363</v>
      </c>
      <c r="C680" t="s">
        <v>663</v>
      </c>
      <c r="D680" s="3">
        <v>1</v>
      </c>
      <c r="E680" s="2">
        <v>1400</v>
      </c>
    </row>
    <row r="681" spans="1:5" x14ac:dyDescent="0.35">
      <c r="A681" t="s">
        <v>3367</v>
      </c>
      <c r="B681" t="s">
        <v>1364</v>
      </c>
      <c r="C681" t="s">
        <v>641</v>
      </c>
      <c r="D681" s="3">
        <v>1</v>
      </c>
      <c r="E681" s="2">
        <v>1800</v>
      </c>
    </row>
    <row r="682" spans="1:5" x14ac:dyDescent="0.35">
      <c r="A682" t="s">
        <v>3368</v>
      </c>
      <c r="B682" t="s">
        <v>1365</v>
      </c>
      <c r="C682" t="s">
        <v>645</v>
      </c>
      <c r="D682" s="3">
        <v>1</v>
      </c>
      <c r="E682" s="2">
        <v>3500</v>
      </c>
    </row>
    <row r="683" spans="1:5" x14ac:dyDescent="0.35">
      <c r="A683" t="s">
        <v>3369</v>
      </c>
      <c r="B683" t="s">
        <v>1366</v>
      </c>
      <c r="C683" t="s">
        <v>629</v>
      </c>
      <c r="D683" s="3">
        <v>1</v>
      </c>
      <c r="E683" s="2">
        <v>300</v>
      </c>
    </row>
    <row r="684" spans="1:5" x14ac:dyDescent="0.35">
      <c r="A684" t="s">
        <v>3370</v>
      </c>
      <c r="B684" t="s">
        <v>1367</v>
      </c>
      <c r="C684" t="s">
        <v>638</v>
      </c>
      <c r="D684" s="3">
        <v>1</v>
      </c>
      <c r="E684" s="2">
        <v>150</v>
      </c>
    </row>
    <row r="685" spans="1:5" x14ac:dyDescent="0.35">
      <c r="A685" t="s">
        <v>3371</v>
      </c>
      <c r="B685" t="s">
        <v>1368</v>
      </c>
      <c r="C685" t="s">
        <v>669</v>
      </c>
      <c r="D685" s="3">
        <v>1</v>
      </c>
      <c r="E685" s="2">
        <v>600</v>
      </c>
    </row>
    <row r="686" spans="1:5" x14ac:dyDescent="0.35">
      <c r="A686" t="s">
        <v>3372</v>
      </c>
      <c r="B686" t="s">
        <v>1369</v>
      </c>
      <c r="C686" t="s">
        <v>635</v>
      </c>
      <c r="D686" s="3">
        <v>1</v>
      </c>
      <c r="E686" s="2">
        <v>180</v>
      </c>
    </row>
    <row r="687" spans="1:5" x14ac:dyDescent="0.35">
      <c r="A687" t="s">
        <v>3373</v>
      </c>
      <c r="B687" t="s">
        <v>1370</v>
      </c>
      <c r="C687" t="s">
        <v>654</v>
      </c>
      <c r="D687" s="3">
        <v>1</v>
      </c>
      <c r="E687" s="2">
        <v>100</v>
      </c>
    </row>
    <row r="688" spans="1:5" x14ac:dyDescent="0.35">
      <c r="A688" t="s">
        <v>3374</v>
      </c>
      <c r="B688" t="s">
        <v>1371</v>
      </c>
      <c r="C688" t="s">
        <v>649</v>
      </c>
      <c r="D688" s="3">
        <v>1</v>
      </c>
      <c r="E688" s="2">
        <v>800</v>
      </c>
    </row>
    <row r="689" spans="1:5" x14ac:dyDescent="0.35">
      <c r="A689" t="s">
        <v>3375</v>
      </c>
      <c r="B689" t="s">
        <v>1372</v>
      </c>
      <c r="C689" t="s">
        <v>673</v>
      </c>
      <c r="D689" s="3">
        <v>2</v>
      </c>
      <c r="E689" s="2">
        <v>600</v>
      </c>
    </row>
    <row r="690" spans="1:5" x14ac:dyDescent="0.35">
      <c r="A690" t="s">
        <v>3376</v>
      </c>
      <c r="B690" t="s">
        <v>1373</v>
      </c>
      <c r="C690" t="s">
        <v>647</v>
      </c>
      <c r="D690" s="3">
        <v>1</v>
      </c>
      <c r="E690" s="2">
        <v>4200</v>
      </c>
    </row>
    <row r="691" spans="1:5" x14ac:dyDescent="0.35">
      <c r="A691" t="s">
        <v>3377</v>
      </c>
      <c r="B691" t="s">
        <v>1374</v>
      </c>
      <c r="C691" t="s">
        <v>669</v>
      </c>
      <c r="D691" s="3">
        <v>1</v>
      </c>
      <c r="E691" s="2">
        <v>600</v>
      </c>
    </row>
    <row r="692" spans="1:5" x14ac:dyDescent="0.35">
      <c r="A692" t="s">
        <v>3378</v>
      </c>
      <c r="B692" t="s">
        <v>1375</v>
      </c>
      <c r="C692" t="s">
        <v>665</v>
      </c>
      <c r="D692" s="3">
        <v>1</v>
      </c>
      <c r="E692" s="2">
        <v>700</v>
      </c>
    </row>
    <row r="693" spans="1:5" x14ac:dyDescent="0.35">
      <c r="A693" t="s">
        <v>3379</v>
      </c>
      <c r="B693" t="s">
        <v>1376</v>
      </c>
      <c r="C693" t="s">
        <v>647</v>
      </c>
      <c r="D693" s="3">
        <v>1</v>
      </c>
      <c r="E693" s="2">
        <v>4200</v>
      </c>
    </row>
    <row r="694" spans="1:5" x14ac:dyDescent="0.35">
      <c r="A694" t="s">
        <v>3380</v>
      </c>
      <c r="B694" t="s">
        <v>1377</v>
      </c>
      <c r="C694" t="s">
        <v>629</v>
      </c>
      <c r="D694" s="3">
        <v>1</v>
      </c>
      <c r="E694" s="2">
        <v>300</v>
      </c>
    </row>
    <row r="695" spans="1:5" x14ac:dyDescent="0.35">
      <c r="A695" t="s">
        <v>3381</v>
      </c>
      <c r="B695" t="s">
        <v>1378</v>
      </c>
      <c r="C695" t="s">
        <v>654</v>
      </c>
      <c r="D695" s="3">
        <v>1</v>
      </c>
      <c r="E695" s="2">
        <v>100</v>
      </c>
    </row>
    <row r="696" spans="1:5" x14ac:dyDescent="0.35">
      <c r="A696" t="s">
        <v>3382</v>
      </c>
      <c r="B696" t="s">
        <v>1379</v>
      </c>
      <c r="C696" t="s">
        <v>643</v>
      </c>
      <c r="D696" s="3">
        <v>1</v>
      </c>
      <c r="E696" s="2">
        <v>2200</v>
      </c>
    </row>
    <row r="697" spans="1:5" x14ac:dyDescent="0.35">
      <c r="A697" t="s">
        <v>3383</v>
      </c>
      <c r="B697" t="s">
        <v>1380</v>
      </c>
      <c r="C697" t="s">
        <v>667</v>
      </c>
      <c r="D697" s="3">
        <v>1</v>
      </c>
      <c r="E697" s="2">
        <v>550</v>
      </c>
    </row>
    <row r="698" spans="1:5" x14ac:dyDescent="0.35">
      <c r="A698" t="s">
        <v>3384</v>
      </c>
      <c r="B698" t="s">
        <v>1381</v>
      </c>
      <c r="C698" t="s">
        <v>629</v>
      </c>
      <c r="D698" s="3">
        <v>1</v>
      </c>
      <c r="E698" s="2">
        <v>300</v>
      </c>
    </row>
    <row r="699" spans="1:5" x14ac:dyDescent="0.35">
      <c r="A699" t="s">
        <v>3385</v>
      </c>
      <c r="B699" t="s">
        <v>1382</v>
      </c>
      <c r="C699" t="s">
        <v>647</v>
      </c>
      <c r="D699" s="3">
        <v>1</v>
      </c>
      <c r="E699" s="2">
        <v>4200</v>
      </c>
    </row>
    <row r="700" spans="1:5" x14ac:dyDescent="0.35">
      <c r="A700" t="s">
        <v>3386</v>
      </c>
      <c r="B700" t="s">
        <v>1383</v>
      </c>
      <c r="C700" t="s">
        <v>643</v>
      </c>
      <c r="D700" s="3">
        <v>2</v>
      </c>
      <c r="E700" s="2">
        <v>4400</v>
      </c>
    </row>
    <row r="701" spans="1:5" x14ac:dyDescent="0.35">
      <c r="A701" t="s">
        <v>3387</v>
      </c>
      <c r="B701" t="s">
        <v>1384</v>
      </c>
      <c r="C701" t="s">
        <v>673</v>
      </c>
      <c r="D701" s="3">
        <v>3</v>
      </c>
      <c r="E701" s="2">
        <v>900</v>
      </c>
    </row>
    <row r="702" spans="1:5" x14ac:dyDescent="0.35">
      <c r="A702" t="s">
        <v>3388</v>
      </c>
      <c r="B702" t="s">
        <v>1385</v>
      </c>
      <c r="C702" t="s">
        <v>660</v>
      </c>
      <c r="D702" s="3">
        <v>1</v>
      </c>
      <c r="E702" s="2">
        <v>6500</v>
      </c>
    </row>
    <row r="703" spans="1:5" x14ac:dyDescent="0.35">
      <c r="A703" t="s">
        <v>3389</v>
      </c>
      <c r="B703" t="s">
        <v>1386</v>
      </c>
      <c r="C703" t="s">
        <v>623</v>
      </c>
      <c r="D703" s="3">
        <v>3</v>
      </c>
      <c r="E703" s="2">
        <v>3600</v>
      </c>
    </row>
    <row r="704" spans="1:5" x14ac:dyDescent="0.35">
      <c r="A704" t="s">
        <v>3390</v>
      </c>
      <c r="B704" t="s">
        <v>1387</v>
      </c>
      <c r="C704" t="s">
        <v>651</v>
      </c>
      <c r="D704" s="3">
        <v>1</v>
      </c>
      <c r="E704" s="2">
        <v>120</v>
      </c>
    </row>
    <row r="705" spans="1:5" x14ac:dyDescent="0.35">
      <c r="A705" t="s">
        <v>3391</v>
      </c>
      <c r="B705" t="s">
        <v>1388</v>
      </c>
      <c r="C705" t="s">
        <v>633</v>
      </c>
      <c r="D705" s="3">
        <v>1</v>
      </c>
      <c r="E705" s="2">
        <v>450</v>
      </c>
    </row>
    <row r="706" spans="1:5" x14ac:dyDescent="0.35">
      <c r="A706" t="s">
        <v>3392</v>
      </c>
      <c r="B706" t="s">
        <v>1389</v>
      </c>
      <c r="C706" t="s">
        <v>633</v>
      </c>
      <c r="D706" s="3">
        <v>1</v>
      </c>
      <c r="E706" s="2">
        <v>450</v>
      </c>
    </row>
    <row r="707" spans="1:5" x14ac:dyDescent="0.35">
      <c r="A707" t="s">
        <v>3393</v>
      </c>
      <c r="B707" t="s">
        <v>1390</v>
      </c>
      <c r="C707" t="s">
        <v>631</v>
      </c>
      <c r="D707" s="3">
        <v>1</v>
      </c>
      <c r="E707" s="2">
        <v>900</v>
      </c>
    </row>
    <row r="708" spans="1:5" x14ac:dyDescent="0.35">
      <c r="A708" t="s">
        <v>3394</v>
      </c>
      <c r="B708" t="s">
        <v>1391</v>
      </c>
      <c r="C708" t="s">
        <v>623</v>
      </c>
      <c r="D708" s="3">
        <v>1</v>
      </c>
      <c r="E708" s="2">
        <v>1200</v>
      </c>
    </row>
    <row r="709" spans="1:5" x14ac:dyDescent="0.35">
      <c r="A709" t="s">
        <v>3395</v>
      </c>
      <c r="B709" t="s">
        <v>1392</v>
      </c>
      <c r="C709" t="s">
        <v>647</v>
      </c>
      <c r="D709" s="3">
        <v>1</v>
      </c>
      <c r="E709" s="2">
        <v>4200</v>
      </c>
    </row>
    <row r="710" spans="1:5" x14ac:dyDescent="0.35">
      <c r="A710" t="s">
        <v>3396</v>
      </c>
      <c r="B710" t="s">
        <v>1393</v>
      </c>
      <c r="C710" t="s">
        <v>633</v>
      </c>
      <c r="D710" s="3">
        <v>1</v>
      </c>
      <c r="E710" s="2">
        <v>450</v>
      </c>
    </row>
    <row r="711" spans="1:5" x14ac:dyDescent="0.35">
      <c r="A711" t="s">
        <v>3397</v>
      </c>
      <c r="B711" t="s">
        <v>1394</v>
      </c>
      <c r="C711" t="s">
        <v>629</v>
      </c>
      <c r="D711" s="3">
        <v>1</v>
      </c>
      <c r="E711" s="2">
        <v>300</v>
      </c>
    </row>
    <row r="712" spans="1:5" x14ac:dyDescent="0.35">
      <c r="A712" t="s">
        <v>3398</v>
      </c>
      <c r="B712" t="s">
        <v>1395</v>
      </c>
      <c r="C712" t="s">
        <v>669</v>
      </c>
      <c r="D712" s="3">
        <v>1</v>
      </c>
      <c r="E712" s="2">
        <v>600</v>
      </c>
    </row>
    <row r="713" spans="1:5" x14ac:dyDescent="0.35">
      <c r="A713" t="s">
        <v>3399</v>
      </c>
      <c r="B713" t="s">
        <v>1396</v>
      </c>
      <c r="C713" t="s">
        <v>658</v>
      </c>
      <c r="D713" s="3">
        <v>1</v>
      </c>
      <c r="E713" s="2">
        <v>750</v>
      </c>
    </row>
    <row r="714" spans="1:5" x14ac:dyDescent="0.35">
      <c r="A714" t="s">
        <v>3400</v>
      </c>
      <c r="B714" t="s">
        <v>1397</v>
      </c>
      <c r="C714" t="s">
        <v>667</v>
      </c>
      <c r="D714" s="3">
        <v>1</v>
      </c>
      <c r="E714" s="2">
        <v>550</v>
      </c>
    </row>
    <row r="715" spans="1:5" x14ac:dyDescent="0.35">
      <c r="A715" t="s">
        <v>3401</v>
      </c>
      <c r="B715" t="s">
        <v>1398</v>
      </c>
      <c r="C715" t="s">
        <v>635</v>
      </c>
      <c r="D715" s="3">
        <v>1</v>
      </c>
      <c r="E715" s="2">
        <v>180</v>
      </c>
    </row>
    <row r="716" spans="1:5" x14ac:dyDescent="0.35">
      <c r="A716" t="s">
        <v>3402</v>
      </c>
      <c r="B716" t="s">
        <v>1399</v>
      </c>
      <c r="C716" t="s">
        <v>656</v>
      </c>
      <c r="D716" s="3">
        <v>1</v>
      </c>
      <c r="E716" s="2">
        <v>350</v>
      </c>
    </row>
    <row r="717" spans="1:5" x14ac:dyDescent="0.35">
      <c r="A717" t="s">
        <v>3403</v>
      </c>
      <c r="B717" t="s">
        <v>1400</v>
      </c>
      <c r="C717" t="s">
        <v>663</v>
      </c>
      <c r="D717" s="3">
        <v>1</v>
      </c>
      <c r="E717" s="2">
        <v>1400</v>
      </c>
    </row>
    <row r="718" spans="1:5" x14ac:dyDescent="0.35">
      <c r="A718" t="s">
        <v>3404</v>
      </c>
      <c r="B718" t="s">
        <v>1401</v>
      </c>
      <c r="C718" t="s">
        <v>617</v>
      </c>
      <c r="D718" s="3">
        <v>1</v>
      </c>
      <c r="E718" s="2">
        <v>200</v>
      </c>
    </row>
    <row r="719" spans="1:5" x14ac:dyDescent="0.35">
      <c r="A719" t="s">
        <v>3405</v>
      </c>
      <c r="B719" t="s">
        <v>1402</v>
      </c>
      <c r="C719" t="s">
        <v>649</v>
      </c>
      <c r="D719" s="3">
        <v>1</v>
      </c>
      <c r="E719" s="2">
        <v>800</v>
      </c>
    </row>
    <row r="720" spans="1:5" x14ac:dyDescent="0.35">
      <c r="A720" t="s">
        <v>3406</v>
      </c>
      <c r="B720" t="s">
        <v>1403</v>
      </c>
      <c r="C720" t="s">
        <v>656</v>
      </c>
      <c r="D720" s="3">
        <v>1</v>
      </c>
      <c r="E720" s="2">
        <v>350</v>
      </c>
    </row>
    <row r="721" spans="1:5" x14ac:dyDescent="0.35">
      <c r="A721" t="s">
        <v>3407</v>
      </c>
      <c r="B721" t="s">
        <v>1404</v>
      </c>
      <c r="C721" t="s">
        <v>641</v>
      </c>
      <c r="D721" s="3">
        <v>2</v>
      </c>
      <c r="E721" s="2">
        <v>3600</v>
      </c>
    </row>
    <row r="722" spans="1:5" x14ac:dyDescent="0.35">
      <c r="A722" t="s">
        <v>3408</v>
      </c>
      <c r="B722" t="s">
        <v>1405</v>
      </c>
      <c r="C722" t="s">
        <v>645</v>
      </c>
      <c r="D722" s="3">
        <v>1</v>
      </c>
      <c r="E722" s="2">
        <v>3500</v>
      </c>
    </row>
    <row r="723" spans="1:5" x14ac:dyDescent="0.35">
      <c r="A723" t="s">
        <v>3409</v>
      </c>
      <c r="B723" t="s">
        <v>1406</v>
      </c>
      <c r="C723" t="s">
        <v>654</v>
      </c>
      <c r="D723" s="3">
        <v>1</v>
      </c>
      <c r="E723" s="2">
        <v>100</v>
      </c>
    </row>
    <row r="724" spans="1:5" x14ac:dyDescent="0.35">
      <c r="A724" t="s">
        <v>3410</v>
      </c>
      <c r="B724" t="s">
        <v>1407</v>
      </c>
      <c r="C724" t="s">
        <v>649</v>
      </c>
      <c r="D724" s="3">
        <v>1</v>
      </c>
      <c r="E724" s="2">
        <v>800</v>
      </c>
    </row>
    <row r="725" spans="1:5" x14ac:dyDescent="0.35">
      <c r="A725" t="s">
        <v>3411</v>
      </c>
      <c r="B725" t="s">
        <v>1408</v>
      </c>
      <c r="C725" t="s">
        <v>654</v>
      </c>
      <c r="D725" s="3">
        <v>1</v>
      </c>
      <c r="E725" s="2">
        <v>100</v>
      </c>
    </row>
    <row r="726" spans="1:5" x14ac:dyDescent="0.35">
      <c r="A726" t="s">
        <v>3412</v>
      </c>
      <c r="B726" t="s">
        <v>1409</v>
      </c>
      <c r="C726" t="s">
        <v>635</v>
      </c>
      <c r="D726" s="3">
        <v>1</v>
      </c>
      <c r="E726" s="2">
        <v>180</v>
      </c>
    </row>
    <row r="727" spans="1:5" x14ac:dyDescent="0.35">
      <c r="A727" t="s">
        <v>3413</v>
      </c>
      <c r="B727" t="s">
        <v>1410</v>
      </c>
      <c r="C727" t="s">
        <v>669</v>
      </c>
      <c r="D727" s="3">
        <v>1</v>
      </c>
      <c r="E727" s="2">
        <v>600</v>
      </c>
    </row>
    <row r="728" spans="1:5" x14ac:dyDescent="0.35">
      <c r="A728" t="s">
        <v>3414</v>
      </c>
      <c r="B728" t="s">
        <v>1411</v>
      </c>
      <c r="C728" t="s">
        <v>641</v>
      </c>
      <c r="D728" s="3">
        <v>1</v>
      </c>
      <c r="E728" s="2">
        <v>1800</v>
      </c>
    </row>
    <row r="729" spans="1:5" x14ac:dyDescent="0.35">
      <c r="A729" t="s">
        <v>3415</v>
      </c>
      <c r="B729" t="s">
        <v>1412</v>
      </c>
      <c r="C729" t="s">
        <v>656</v>
      </c>
      <c r="D729" s="3">
        <v>1</v>
      </c>
      <c r="E729" s="2">
        <v>350</v>
      </c>
    </row>
    <row r="730" spans="1:5" x14ac:dyDescent="0.35">
      <c r="A730" t="s">
        <v>3416</v>
      </c>
      <c r="B730" t="s">
        <v>1413</v>
      </c>
      <c r="C730" t="s">
        <v>658</v>
      </c>
      <c r="D730" s="3">
        <v>1</v>
      </c>
      <c r="E730" s="2">
        <v>750</v>
      </c>
    </row>
    <row r="731" spans="1:5" x14ac:dyDescent="0.35">
      <c r="A731" t="s">
        <v>3417</v>
      </c>
      <c r="B731" t="s">
        <v>1414</v>
      </c>
      <c r="C731" t="s">
        <v>663</v>
      </c>
      <c r="D731" s="3">
        <v>1</v>
      </c>
      <c r="E731" s="2">
        <v>1400</v>
      </c>
    </row>
    <row r="732" spans="1:5" x14ac:dyDescent="0.35">
      <c r="A732" t="s">
        <v>3418</v>
      </c>
      <c r="B732" t="s">
        <v>1415</v>
      </c>
      <c r="C732" t="s">
        <v>654</v>
      </c>
      <c r="D732" s="3">
        <v>1</v>
      </c>
      <c r="E732" s="2">
        <v>100</v>
      </c>
    </row>
    <row r="733" spans="1:5" x14ac:dyDescent="0.35">
      <c r="A733" t="s">
        <v>3419</v>
      </c>
      <c r="B733" t="s">
        <v>1416</v>
      </c>
      <c r="C733" t="s">
        <v>656</v>
      </c>
      <c r="D733" s="3">
        <v>3</v>
      </c>
      <c r="E733" s="2">
        <v>1050</v>
      </c>
    </row>
    <row r="734" spans="1:5" x14ac:dyDescent="0.35">
      <c r="A734" t="s">
        <v>3420</v>
      </c>
      <c r="B734" t="s">
        <v>1417</v>
      </c>
      <c r="C734" t="s">
        <v>654</v>
      </c>
      <c r="D734" s="3">
        <v>2</v>
      </c>
      <c r="E734" s="2">
        <v>200</v>
      </c>
    </row>
    <row r="735" spans="1:5" x14ac:dyDescent="0.35">
      <c r="A735" t="s">
        <v>3421</v>
      </c>
      <c r="B735" t="s">
        <v>1418</v>
      </c>
      <c r="C735" t="s">
        <v>660</v>
      </c>
      <c r="D735" s="3">
        <v>1</v>
      </c>
      <c r="E735" s="2">
        <v>6500</v>
      </c>
    </row>
    <row r="736" spans="1:5" x14ac:dyDescent="0.35">
      <c r="A736" t="s">
        <v>3422</v>
      </c>
      <c r="B736" t="s">
        <v>1419</v>
      </c>
      <c r="C736" t="s">
        <v>671</v>
      </c>
      <c r="D736" s="3">
        <v>1</v>
      </c>
      <c r="E736" s="2">
        <v>400</v>
      </c>
    </row>
    <row r="737" spans="1:5" x14ac:dyDescent="0.35">
      <c r="A737" t="s">
        <v>3423</v>
      </c>
      <c r="B737" t="s">
        <v>1420</v>
      </c>
      <c r="C737" t="s">
        <v>671</v>
      </c>
      <c r="D737" s="3">
        <v>2</v>
      </c>
      <c r="E737" s="2">
        <v>800</v>
      </c>
    </row>
    <row r="738" spans="1:5" x14ac:dyDescent="0.35">
      <c r="A738" t="s">
        <v>3424</v>
      </c>
      <c r="B738" t="s">
        <v>1421</v>
      </c>
      <c r="C738" t="s">
        <v>635</v>
      </c>
      <c r="D738" s="3">
        <v>1</v>
      </c>
      <c r="E738" s="2">
        <v>180</v>
      </c>
    </row>
    <row r="739" spans="1:5" x14ac:dyDescent="0.35">
      <c r="A739" t="s">
        <v>3425</v>
      </c>
      <c r="B739" t="s">
        <v>1422</v>
      </c>
      <c r="C739" t="s">
        <v>631</v>
      </c>
      <c r="D739" s="3">
        <v>1</v>
      </c>
      <c r="E739" s="2">
        <v>900</v>
      </c>
    </row>
    <row r="740" spans="1:5" x14ac:dyDescent="0.35">
      <c r="A740" t="s">
        <v>3426</v>
      </c>
      <c r="B740" t="s">
        <v>1423</v>
      </c>
      <c r="C740" t="s">
        <v>631</v>
      </c>
      <c r="D740" s="3">
        <v>1</v>
      </c>
      <c r="E740" s="2">
        <v>900</v>
      </c>
    </row>
    <row r="741" spans="1:5" x14ac:dyDescent="0.35">
      <c r="A741" t="s">
        <v>3427</v>
      </c>
      <c r="B741" t="s">
        <v>1424</v>
      </c>
      <c r="C741" t="s">
        <v>665</v>
      </c>
      <c r="D741" s="3">
        <v>2</v>
      </c>
      <c r="E741" s="2">
        <v>1400</v>
      </c>
    </row>
    <row r="742" spans="1:5" x14ac:dyDescent="0.35">
      <c r="A742" t="s">
        <v>3428</v>
      </c>
      <c r="B742" t="s">
        <v>1425</v>
      </c>
      <c r="C742" t="s">
        <v>638</v>
      </c>
      <c r="D742" s="3">
        <v>2</v>
      </c>
      <c r="E742" s="2">
        <v>300</v>
      </c>
    </row>
    <row r="743" spans="1:5" x14ac:dyDescent="0.35">
      <c r="A743" t="s">
        <v>3429</v>
      </c>
      <c r="B743" t="s">
        <v>1426</v>
      </c>
      <c r="C743" t="s">
        <v>626</v>
      </c>
      <c r="D743" s="3">
        <v>1</v>
      </c>
      <c r="E743" s="2">
        <v>5000</v>
      </c>
    </row>
    <row r="744" spans="1:5" x14ac:dyDescent="0.35">
      <c r="A744" t="s">
        <v>3430</v>
      </c>
      <c r="B744" t="s">
        <v>1427</v>
      </c>
      <c r="C744" t="s">
        <v>645</v>
      </c>
      <c r="D744" s="3">
        <v>1</v>
      </c>
      <c r="E744" s="2">
        <v>3500</v>
      </c>
    </row>
    <row r="745" spans="1:5" x14ac:dyDescent="0.35">
      <c r="A745" t="s">
        <v>3431</v>
      </c>
      <c r="B745" t="s">
        <v>1428</v>
      </c>
      <c r="C745" t="s">
        <v>645</v>
      </c>
      <c r="D745" s="3">
        <v>1</v>
      </c>
      <c r="E745" s="2">
        <v>3500</v>
      </c>
    </row>
    <row r="746" spans="1:5" x14ac:dyDescent="0.35">
      <c r="A746" t="s">
        <v>3432</v>
      </c>
      <c r="B746" t="s">
        <v>1429</v>
      </c>
      <c r="C746" t="s">
        <v>669</v>
      </c>
      <c r="D746" s="3">
        <v>1</v>
      </c>
      <c r="E746" s="2">
        <v>600</v>
      </c>
    </row>
    <row r="747" spans="1:5" x14ac:dyDescent="0.35">
      <c r="A747" t="s">
        <v>3433</v>
      </c>
      <c r="B747" t="s">
        <v>1430</v>
      </c>
      <c r="C747" t="s">
        <v>656</v>
      </c>
      <c r="D747" s="3">
        <v>1</v>
      </c>
      <c r="E747" s="2">
        <v>350</v>
      </c>
    </row>
    <row r="748" spans="1:5" x14ac:dyDescent="0.35">
      <c r="A748" t="s">
        <v>3434</v>
      </c>
      <c r="B748" t="s">
        <v>1431</v>
      </c>
      <c r="C748" t="s">
        <v>651</v>
      </c>
      <c r="D748" s="3">
        <v>1</v>
      </c>
      <c r="E748" s="2">
        <v>120</v>
      </c>
    </row>
    <row r="749" spans="1:5" x14ac:dyDescent="0.35">
      <c r="A749" t="s">
        <v>3435</v>
      </c>
      <c r="B749" t="s">
        <v>1432</v>
      </c>
      <c r="C749" t="s">
        <v>638</v>
      </c>
      <c r="D749" s="3">
        <v>1</v>
      </c>
      <c r="E749" s="2">
        <v>150</v>
      </c>
    </row>
    <row r="750" spans="1:5" x14ac:dyDescent="0.35">
      <c r="A750" t="s">
        <v>3436</v>
      </c>
      <c r="B750" t="s">
        <v>1433</v>
      </c>
      <c r="C750" t="s">
        <v>633</v>
      </c>
      <c r="D750" s="3">
        <v>1</v>
      </c>
      <c r="E750" s="2">
        <v>450</v>
      </c>
    </row>
    <row r="751" spans="1:5" x14ac:dyDescent="0.35">
      <c r="A751" t="s">
        <v>3437</v>
      </c>
      <c r="B751" t="s">
        <v>1434</v>
      </c>
      <c r="C751" t="s">
        <v>641</v>
      </c>
      <c r="D751" s="3">
        <v>2</v>
      </c>
      <c r="E751" s="2">
        <v>3600</v>
      </c>
    </row>
    <row r="752" spans="1:5" x14ac:dyDescent="0.35">
      <c r="A752" t="s">
        <v>3438</v>
      </c>
      <c r="B752" t="s">
        <v>1435</v>
      </c>
      <c r="C752" t="s">
        <v>654</v>
      </c>
      <c r="D752" s="3">
        <v>1</v>
      </c>
      <c r="E752" s="2">
        <v>100</v>
      </c>
    </row>
    <row r="753" spans="1:5" x14ac:dyDescent="0.35">
      <c r="A753" t="s">
        <v>3439</v>
      </c>
      <c r="B753" t="s">
        <v>1436</v>
      </c>
      <c r="C753" t="s">
        <v>645</v>
      </c>
      <c r="D753" s="3">
        <v>1</v>
      </c>
      <c r="E753" s="2">
        <v>3500</v>
      </c>
    </row>
    <row r="754" spans="1:5" x14ac:dyDescent="0.35">
      <c r="A754" t="s">
        <v>3440</v>
      </c>
      <c r="B754" t="s">
        <v>1437</v>
      </c>
      <c r="C754" t="s">
        <v>673</v>
      </c>
      <c r="D754" s="3">
        <v>1</v>
      </c>
      <c r="E754" s="2">
        <v>300</v>
      </c>
    </row>
    <row r="755" spans="1:5" x14ac:dyDescent="0.35">
      <c r="A755" t="s">
        <v>3441</v>
      </c>
      <c r="B755" t="s">
        <v>1438</v>
      </c>
      <c r="C755" t="s">
        <v>633</v>
      </c>
      <c r="D755" s="3">
        <v>1</v>
      </c>
      <c r="E755" s="2">
        <v>450</v>
      </c>
    </row>
    <row r="756" spans="1:5" x14ac:dyDescent="0.35">
      <c r="A756" t="s">
        <v>3442</v>
      </c>
      <c r="B756" t="s">
        <v>1439</v>
      </c>
      <c r="C756" t="s">
        <v>658</v>
      </c>
      <c r="D756" s="3">
        <v>1</v>
      </c>
      <c r="E756" s="2">
        <v>750</v>
      </c>
    </row>
    <row r="757" spans="1:5" x14ac:dyDescent="0.35">
      <c r="A757" t="s">
        <v>3443</v>
      </c>
      <c r="B757" t="s">
        <v>1440</v>
      </c>
      <c r="C757" t="s">
        <v>651</v>
      </c>
      <c r="D757" s="3">
        <v>3</v>
      </c>
      <c r="E757" s="2">
        <v>360</v>
      </c>
    </row>
    <row r="758" spans="1:5" x14ac:dyDescent="0.35">
      <c r="A758" t="s">
        <v>3444</v>
      </c>
      <c r="B758" t="s">
        <v>1441</v>
      </c>
      <c r="C758" t="s">
        <v>631</v>
      </c>
      <c r="D758" s="3">
        <v>1</v>
      </c>
      <c r="E758" s="2">
        <v>900</v>
      </c>
    </row>
    <row r="759" spans="1:5" x14ac:dyDescent="0.35">
      <c r="A759" t="s">
        <v>3445</v>
      </c>
      <c r="B759" t="s">
        <v>1442</v>
      </c>
      <c r="C759" t="s">
        <v>645</v>
      </c>
      <c r="D759" s="3">
        <v>1</v>
      </c>
      <c r="E759" s="2">
        <v>3500</v>
      </c>
    </row>
    <row r="760" spans="1:5" x14ac:dyDescent="0.35">
      <c r="A760" t="s">
        <v>3446</v>
      </c>
      <c r="B760" t="s">
        <v>1443</v>
      </c>
      <c r="C760" t="s">
        <v>643</v>
      </c>
      <c r="D760" s="3">
        <v>1</v>
      </c>
      <c r="E760" s="2">
        <v>2200</v>
      </c>
    </row>
    <row r="761" spans="1:5" x14ac:dyDescent="0.35">
      <c r="A761" t="s">
        <v>3447</v>
      </c>
      <c r="B761" t="s">
        <v>1444</v>
      </c>
      <c r="C761" t="s">
        <v>663</v>
      </c>
      <c r="D761" s="3">
        <v>1</v>
      </c>
      <c r="E761" s="2">
        <v>1400</v>
      </c>
    </row>
    <row r="762" spans="1:5" x14ac:dyDescent="0.35">
      <c r="A762" t="s">
        <v>3448</v>
      </c>
      <c r="B762" t="s">
        <v>1445</v>
      </c>
      <c r="C762" t="s">
        <v>623</v>
      </c>
      <c r="D762" s="3">
        <v>1</v>
      </c>
      <c r="E762" s="2">
        <v>1200</v>
      </c>
    </row>
    <row r="763" spans="1:5" x14ac:dyDescent="0.35">
      <c r="A763" t="s">
        <v>3449</v>
      </c>
      <c r="B763" t="s">
        <v>1446</v>
      </c>
      <c r="C763" t="s">
        <v>620</v>
      </c>
      <c r="D763" s="3">
        <v>1</v>
      </c>
      <c r="E763" s="2">
        <v>50</v>
      </c>
    </row>
    <row r="764" spans="1:5" x14ac:dyDescent="0.35">
      <c r="A764" t="s">
        <v>3450</v>
      </c>
      <c r="B764" t="s">
        <v>1447</v>
      </c>
      <c r="C764" t="s">
        <v>631</v>
      </c>
      <c r="D764" s="3">
        <v>1</v>
      </c>
      <c r="E764" s="2">
        <v>900</v>
      </c>
    </row>
    <row r="765" spans="1:5" x14ac:dyDescent="0.35">
      <c r="A765" t="s">
        <v>3451</v>
      </c>
      <c r="B765" t="s">
        <v>1448</v>
      </c>
      <c r="C765" t="s">
        <v>671</v>
      </c>
      <c r="D765" s="3">
        <v>1</v>
      </c>
      <c r="E765" s="2">
        <v>400</v>
      </c>
    </row>
    <row r="766" spans="1:5" x14ac:dyDescent="0.35">
      <c r="A766" t="s">
        <v>3452</v>
      </c>
      <c r="B766" t="s">
        <v>1449</v>
      </c>
      <c r="C766" t="s">
        <v>667</v>
      </c>
      <c r="D766" s="3">
        <v>3</v>
      </c>
      <c r="E766" s="2">
        <v>1650</v>
      </c>
    </row>
    <row r="767" spans="1:5" x14ac:dyDescent="0.35">
      <c r="A767" t="s">
        <v>3453</v>
      </c>
      <c r="B767" t="s">
        <v>1450</v>
      </c>
      <c r="C767" t="s">
        <v>673</v>
      </c>
      <c r="D767" s="3">
        <v>1</v>
      </c>
      <c r="E767" s="2">
        <v>300</v>
      </c>
    </row>
    <row r="768" spans="1:5" x14ac:dyDescent="0.35">
      <c r="A768" t="s">
        <v>3454</v>
      </c>
      <c r="B768" t="s">
        <v>1451</v>
      </c>
      <c r="C768" t="s">
        <v>629</v>
      </c>
      <c r="D768" s="3">
        <v>2</v>
      </c>
      <c r="E768" s="2">
        <v>600</v>
      </c>
    </row>
    <row r="769" spans="1:5" x14ac:dyDescent="0.35">
      <c r="A769" t="s">
        <v>3455</v>
      </c>
      <c r="B769" t="s">
        <v>1452</v>
      </c>
      <c r="C769" t="s">
        <v>658</v>
      </c>
      <c r="D769" s="3">
        <v>1</v>
      </c>
      <c r="E769" s="2">
        <v>750</v>
      </c>
    </row>
    <row r="770" spans="1:5" x14ac:dyDescent="0.35">
      <c r="A770" t="s">
        <v>3456</v>
      </c>
      <c r="B770" t="s">
        <v>1453</v>
      </c>
      <c r="C770" t="s">
        <v>654</v>
      </c>
      <c r="D770" s="3">
        <v>1</v>
      </c>
      <c r="E770" s="2">
        <v>100</v>
      </c>
    </row>
    <row r="771" spans="1:5" x14ac:dyDescent="0.35">
      <c r="A771" t="s">
        <v>3457</v>
      </c>
      <c r="B771" t="s">
        <v>1454</v>
      </c>
      <c r="C771" t="s">
        <v>635</v>
      </c>
      <c r="D771" s="3">
        <v>1</v>
      </c>
      <c r="E771" s="2">
        <v>180</v>
      </c>
    </row>
    <row r="772" spans="1:5" x14ac:dyDescent="0.35">
      <c r="A772" t="s">
        <v>3458</v>
      </c>
      <c r="B772" t="s">
        <v>1455</v>
      </c>
      <c r="C772" t="s">
        <v>673</v>
      </c>
      <c r="D772" s="3">
        <v>1</v>
      </c>
      <c r="E772" s="2">
        <v>300</v>
      </c>
    </row>
    <row r="773" spans="1:5" x14ac:dyDescent="0.35">
      <c r="A773" t="s">
        <v>3459</v>
      </c>
      <c r="B773" t="s">
        <v>1456</v>
      </c>
      <c r="C773" t="s">
        <v>663</v>
      </c>
      <c r="D773" s="3">
        <v>1</v>
      </c>
      <c r="E773" s="2">
        <v>1400</v>
      </c>
    </row>
    <row r="774" spans="1:5" x14ac:dyDescent="0.35">
      <c r="A774" t="s">
        <v>3460</v>
      </c>
      <c r="B774" t="s">
        <v>1457</v>
      </c>
      <c r="C774" t="s">
        <v>667</v>
      </c>
      <c r="D774" s="3">
        <v>1</v>
      </c>
      <c r="E774" s="2">
        <v>550</v>
      </c>
    </row>
    <row r="775" spans="1:5" x14ac:dyDescent="0.35">
      <c r="A775" t="s">
        <v>3461</v>
      </c>
      <c r="B775" t="s">
        <v>1458</v>
      </c>
      <c r="C775" t="s">
        <v>643</v>
      </c>
      <c r="D775" s="3">
        <v>1</v>
      </c>
      <c r="E775" s="2">
        <v>2200</v>
      </c>
    </row>
    <row r="776" spans="1:5" x14ac:dyDescent="0.35">
      <c r="A776" t="s">
        <v>3462</v>
      </c>
      <c r="B776" t="s">
        <v>1459</v>
      </c>
      <c r="C776" t="s">
        <v>641</v>
      </c>
      <c r="D776" s="3">
        <v>1</v>
      </c>
      <c r="E776" s="2">
        <v>1800</v>
      </c>
    </row>
    <row r="777" spans="1:5" x14ac:dyDescent="0.35">
      <c r="A777" t="s">
        <v>3463</v>
      </c>
      <c r="B777" t="s">
        <v>1460</v>
      </c>
      <c r="C777" t="s">
        <v>671</v>
      </c>
      <c r="D777" s="3">
        <v>1</v>
      </c>
      <c r="E777" s="2">
        <v>400</v>
      </c>
    </row>
    <row r="778" spans="1:5" x14ac:dyDescent="0.35">
      <c r="A778" t="s">
        <v>3464</v>
      </c>
      <c r="B778" t="s">
        <v>1461</v>
      </c>
      <c r="C778" t="s">
        <v>673</v>
      </c>
      <c r="D778" s="3">
        <v>1</v>
      </c>
      <c r="E778" s="2">
        <v>300</v>
      </c>
    </row>
    <row r="779" spans="1:5" x14ac:dyDescent="0.35">
      <c r="A779" t="s">
        <v>3465</v>
      </c>
      <c r="B779" t="s">
        <v>1462</v>
      </c>
      <c r="C779" t="s">
        <v>645</v>
      </c>
      <c r="D779" s="3">
        <v>1</v>
      </c>
      <c r="E779" s="2">
        <v>3500</v>
      </c>
    </row>
    <row r="780" spans="1:5" x14ac:dyDescent="0.35">
      <c r="A780" t="s">
        <v>3466</v>
      </c>
      <c r="B780" t="s">
        <v>1463</v>
      </c>
      <c r="C780" t="s">
        <v>665</v>
      </c>
      <c r="D780" s="3">
        <v>1</v>
      </c>
      <c r="E780" s="2">
        <v>700</v>
      </c>
    </row>
    <row r="781" spans="1:5" x14ac:dyDescent="0.35">
      <c r="A781" t="s">
        <v>3467</v>
      </c>
      <c r="B781" t="s">
        <v>1464</v>
      </c>
      <c r="C781" t="s">
        <v>631</v>
      </c>
      <c r="D781" s="3">
        <v>1</v>
      </c>
      <c r="E781" s="2">
        <v>900</v>
      </c>
    </row>
    <row r="782" spans="1:5" x14ac:dyDescent="0.35">
      <c r="A782" t="s">
        <v>3468</v>
      </c>
      <c r="B782" t="s">
        <v>1465</v>
      </c>
      <c r="C782" t="s">
        <v>663</v>
      </c>
      <c r="D782" s="3">
        <v>1</v>
      </c>
      <c r="E782" s="2">
        <v>1400</v>
      </c>
    </row>
    <row r="783" spans="1:5" x14ac:dyDescent="0.35">
      <c r="A783" t="s">
        <v>3469</v>
      </c>
      <c r="B783" t="s">
        <v>1466</v>
      </c>
      <c r="C783" t="s">
        <v>629</v>
      </c>
      <c r="D783" s="3">
        <v>1</v>
      </c>
      <c r="E783" s="2">
        <v>300</v>
      </c>
    </row>
    <row r="784" spans="1:5" x14ac:dyDescent="0.35">
      <c r="A784" t="s">
        <v>3470</v>
      </c>
      <c r="B784" t="s">
        <v>1467</v>
      </c>
      <c r="C784" t="s">
        <v>669</v>
      </c>
      <c r="D784" s="3">
        <v>1</v>
      </c>
      <c r="E784" s="2">
        <v>600</v>
      </c>
    </row>
    <row r="785" spans="1:5" x14ac:dyDescent="0.35">
      <c r="A785" t="s">
        <v>3471</v>
      </c>
      <c r="B785" t="s">
        <v>1468</v>
      </c>
      <c r="C785" t="s">
        <v>638</v>
      </c>
      <c r="D785" s="3">
        <v>1</v>
      </c>
      <c r="E785" s="2">
        <v>150</v>
      </c>
    </row>
    <row r="786" spans="1:5" x14ac:dyDescent="0.35">
      <c r="A786" t="s">
        <v>3472</v>
      </c>
      <c r="B786" t="s">
        <v>1469</v>
      </c>
      <c r="C786" t="s">
        <v>654</v>
      </c>
      <c r="D786" s="3">
        <v>2</v>
      </c>
      <c r="E786" s="2">
        <v>200</v>
      </c>
    </row>
    <row r="787" spans="1:5" x14ac:dyDescent="0.35">
      <c r="A787" t="s">
        <v>3473</v>
      </c>
      <c r="B787" t="s">
        <v>1470</v>
      </c>
      <c r="C787" t="s">
        <v>667</v>
      </c>
      <c r="D787" s="3">
        <v>1</v>
      </c>
      <c r="E787" s="2">
        <v>550</v>
      </c>
    </row>
    <row r="788" spans="1:5" x14ac:dyDescent="0.35">
      <c r="A788" t="s">
        <v>3474</v>
      </c>
      <c r="B788" t="s">
        <v>1471</v>
      </c>
      <c r="C788" t="s">
        <v>649</v>
      </c>
      <c r="D788" s="3">
        <v>1</v>
      </c>
      <c r="E788" s="2">
        <v>800</v>
      </c>
    </row>
    <row r="789" spans="1:5" x14ac:dyDescent="0.35">
      <c r="A789" t="s">
        <v>3475</v>
      </c>
      <c r="B789" t="s">
        <v>1472</v>
      </c>
      <c r="C789" t="s">
        <v>667</v>
      </c>
      <c r="D789" s="3">
        <v>1</v>
      </c>
      <c r="E789" s="2">
        <v>550</v>
      </c>
    </row>
    <row r="790" spans="1:5" x14ac:dyDescent="0.35">
      <c r="A790" t="s">
        <v>3476</v>
      </c>
      <c r="B790" t="s">
        <v>1473</v>
      </c>
      <c r="C790" t="s">
        <v>635</v>
      </c>
      <c r="D790" s="3">
        <v>1</v>
      </c>
      <c r="E790" s="2">
        <v>180</v>
      </c>
    </row>
    <row r="791" spans="1:5" x14ac:dyDescent="0.35">
      <c r="A791" t="s">
        <v>3477</v>
      </c>
      <c r="B791" t="s">
        <v>1474</v>
      </c>
      <c r="C791" t="s">
        <v>663</v>
      </c>
      <c r="D791" s="3">
        <v>1</v>
      </c>
      <c r="E791" s="2">
        <v>1400</v>
      </c>
    </row>
    <row r="792" spans="1:5" x14ac:dyDescent="0.35">
      <c r="A792" t="s">
        <v>3478</v>
      </c>
      <c r="B792" t="s">
        <v>1475</v>
      </c>
      <c r="C792" t="s">
        <v>660</v>
      </c>
      <c r="D792" s="3">
        <v>1</v>
      </c>
      <c r="E792" s="2">
        <v>6500</v>
      </c>
    </row>
    <row r="793" spans="1:5" x14ac:dyDescent="0.35">
      <c r="A793" t="s">
        <v>3479</v>
      </c>
      <c r="B793" t="s">
        <v>1476</v>
      </c>
      <c r="C793" t="s">
        <v>649</v>
      </c>
      <c r="D793" s="3">
        <v>2</v>
      </c>
      <c r="E793" s="2">
        <v>1600</v>
      </c>
    </row>
    <row r="794" spans="1:5" x14ac:dyDescent="0.35">
      <c r="A794" t="s">
        <v>3480</v>
      </c>
      <c r="B794" t="s">
        <v>1477</v>
      </c>
      <c r="C794" t="s">
        <v>633</v>
      </c>
      <c r="D794" s="3">
        <v>3</v>
      </c>
      <c r="E794" s="2">
        <v>1350</v>
      </c>
    </row>
    <row r="795" spans="1:5" x14ac:dyDescent="0.35">
      <c r="A795" t="s">
        <v>3481</v>
      </c>
      <c r="B795" t="s">
        <v>1478</v>
      </c>
      <c r="C795" t="s">
        <v>629</v>
      </c>
      <c r="D795" s="3">
        <v>1</v>
      </c>
      <c r="E795" s="2">
        <v>300</v>
      </c>
    </row>
    <row r="796" spans="1:5" x14ac:dyDescent="0.35">
      <c r="A796" t="s">
        <v>3482</v>
      </c>
      <c r="B796" t="s">
        <v>1479</v>
      </c>
      <c r="C796" t="s">
        <v>658</v>
      </c>
      <c r="D796" s="3">
        <v>1</v>
      </c>
      <c r="E796" s="2">
        <v>750</v>
      </c>
    </row>
    <row r="797" spans="1:5" x14ac:dyDescent="0.35">
      <c r="A797" t="s">
        <v>3483</v>
      </c>
      <c r="B797" t="s">
        <v>1480</v>
      </c>
      <c r="C797" t="s">
        <v>620</v>
      </c>
      <c r="D797" s="3">
        <v>1</v>
      </c>
      <c r="E797" s="2">
        <v>50</v>
      </c>
    </row>
    <row r="798" spans="1:5" x14ac:dyDescent="0.35">
      <c r="A798" t="s">
        <v>3484</v>
      </c>
      <c r="B798" t="s">
        <v>1481</v>
      </c>
      <c r="C798" t="s">
        <v>643</v>
      </c>
      <c r="D798" s="3">
        <v>1</v>
      </c>
      <c r="E798" s="2">
        <v>2200</v>
      </c>
    </row>
    <row r="799" spans="1:5" x14ac:dyDescent="0.35">
      <c r="A799" t="s">
        <v>3485</v>
      </c>
      <c r="B799" t="s">
        <v>1482</v>
      </c>
      <c r="C799" t="s">
        <v>667</v>
      </c>
      <c r="D799" s="3">
        <v>1</v>
      </c>
      <c r="E799" s="2">
        <v>550</v>
      </c>
    </row>
    <row r="800" spans="1:5" x14ac:dyDescent="0.35">
      <c r="A800" t="s">
        <v>3486</v>
      </c>
      <c r="B800" t="s">
        <v>1483</v>
      </c>
      <c r="C800" t="s">
        <v>635</v>
      </c>
      <c r="D800" s="3">
        <v>3</v>
      </c>
      <c r="E800" s="2">
        <v>540</v>
      </c>
    </row>
    <row r="801" spans="1:5" x14ac:dyDescent="0.35">
      <c r="A801" t="s">
        <v>3487</v>
      </c>
      <c r="B801" t="s">
        <v>1484</v>
      </c>
      <c r="C801" t="s">
        <v>617</v>
      </c>
      <c r="D801" s="3">
        <v>1</v>
      </c>
      <c r="E801" s="2">
        <v>200</v>
      </c>
    </row>
    <row r="802" spans="1:5" x14ac:dyDescent="0.35">
      <c r="A802" t="s">
        <v>3488</v>
      </c>
      <c r="B802" t="s">
        <v>1485</v>
      </c>
      <c r="C802" t="s">
        <v>667</v>
      </c>
      <c r="D802" s="3">
        <v>1</v>
      </c>
      <c r="E802" s="2">
        <v>550</v>
      </c>
    </row>
    <row r="803" spans="1:5" x14ac:dyDescent="0.35">
      <c r="A803" t="s">
        <v>3489</v>
      </c>
      <c r="B803" t="s">
        <v>1486</v>
      </c>
      <c r="C803" t="s">
        <v>645</v>
      </c>
      <c r="D803" s="3">
        <v>2</v>
      </c>
      <c r="E803" s="2">
        <v>7000</v>
      </c>
    </row>
    <row r="804" spans="1:5" x14ac:dyDescent="0.35">
      <c r="A804" t="s">
        <v>3490</v>
      </c>
      <c r="B804" t="s">
        <v>1487</v>
      </c>
      <c r="C804" t="s">
        <v>620</v>
      </c>
      <c r="D804" s="3">
        <v>1</v>
      </c>
      <c r="E804" s="2">
        <v>50</v>
      </c>
    </row>
    <row r="805" spans="1:5" x14ac:dyDescent="0.35">
      <c r="A805" t="s">
        <v>3491</v>
      </c>
      <c r="B805" t="s">
        <v>1488</v>
      </c>
      <c r="C805" t="s">
        <v>658</v>
      </c>
      <c r="D805" s="3">
        <v>1</v>
      </c>
      <c r="E805" s="2">
        <v>750</v>
      </c>
    </row>
    <row r="806" spans="1:5" x14ac:dyDescent="0.35">
      <c r="A806" t="s">
        <v>3492</v>
      </c>
      <c r="B806" t="s">
        <v>1489</v>
      </c>
      <c r="C806" t="s">
        <v>633</v>
      </c>
      <c r="D806" s="3">
        <v>1</v>
      </c>
      <c r="E806" s="2">
        <v>450</v>
      </c>
    </row>
    <row r="807" spans="1:5" x14ac:dyDescent="0.35">
      <c r="A807" t="s">
        <v>3493</v>
      </c>
      <c r="B807" t="s">
        <v>1490</v>
      </c>
      <c r="C807" t="s">
        <v>656</v>
      </c>
      <c r="D807" s="3">
        <v>1</v>
      </c>
      <c r="E807" s="2">
        <v>350</v>
      </c>
    </row>
    <row r="808" spans="1:5" x14ac:dyDescent="0.35">
      <c r="A808" t="s">
        <v>3494</v>
      </c>
      <c r="B808" t="s">
        <v>1491</v>
      </c>
      <c r="C808" t="s">
        <v>667</v>
      </c>
      <c r="D808" s="3">
        <v>1</v>
      </c>
      <c r="E808" s="2">
        <v>550</v>
      </c>
    </row>
    <row r="809" spans="1:5" x14ac:dyDescent="0.35">
      <c r="A809" t="s">
        <v>3495</v>
      </c>
      <c r="B809" t="s">
        <v>1492</v>
      </c>
      <c r="C809" t="s">
        <v>669</v>
      </c>
      <c r="D809" s="3">
        <v>1</v>
      </c>
      <c r="E809" s="2">
        <v>600</v>
      </c>
    </row>
    <row r="810" spans="1:5" x14ac:dyDescent="0.35">
      <c r="A810" t="s">
        <v>3496</v>
      </c>
      <c r="B810" t="s">
        <v>1493</v>
      </c>
      <c r="C810" t="s">
        <v>649</v>
      </c>
      <c r="D810" s="3">
        <v>1</v>
      </c>
      <c r="E810" s="2">
        <v>800</v>
      </c>
    </row>
    <row r="811" spans="1:5" x14ac:dyDescent="0.35">
      <c r="A811" t="s">
        <v>3497</v>
      </c>
      <c r="B811" t="s">
        <v>1494</v>
      </c>
      <c r="C811" t="s">
        <v>671</v>
      </c>
      <c r="D811" s="3">
        <v>3</v>
      </c>
      <c r="E811" s="2">
        <v>1200</v>
      </c>
    </row>
    <row r="812" spans="1:5" x14ac:dyDescent="0.35">
      <c r="A812" t="s">
        <v>3498</v>
      </c>
      <c r="B812" t="s">
        <v>1495</v>
      </c>
      <c r="C812" t="s">
        <v>633</v>
      </c>
      <c r="D812" s="3">
        <v>1</v>
      </c>
      <c r="E812" s="2">
        <v>450</v>
      </c>
    </row>
    <row r="813" spans="1:5" x14ac:dyDescent="0.35">
      <c r="A813" t="s">
        <v>3499</v>
      </c>
      <c r="B813" t="s">
        <v>1496</v>
      </c>
      <c r="C813" t="s">
        <v>667</v>
      </c>
      <c r="D813" s="3">
        <v>1</v>
      </c>
      <c r="E813" s="2">
        <v>550</v>
      </c>
    </row>
    <row r="814" spans="1:5" x14ac:dyDescent="0.35">
      <c r="A814" t="s">
        <v>3500</v>
      </c>
      <c r="B814" t="s">
        <v>1497</v>
      </c>
      <c r="C814" t="s">
        <v>673</v>
      </c>
      <c r="D814" s="3">
        <v>1</v>
      </c>
      <c r="E814" s="2">
        <v>300</v>
      </c>
    </row>
    <row r="815" spans="1:5" x14ac:dyDescent="0.35">
      <c r="A815" t="s">
        <v>3501</v>
      </c>
      <c r="B815" t="s">
        <v>1498</v>
      </c>
      <c r="C815" t="s">
        <v>623</v>
      </c>
      <c r="D815" s="3">
        <v>1</v>
      </c>
      <c r="E815" s="2">
        <v>1200</v>
      </c>
    </row>
    <row r="816" spans="1:5" x14ac:dyDescent="0.35">
      <c r="A816" t="s">
        <v>3502</v>
      </c>
      <c r="B816" t="s">
        <v>1499</v>
      </c>
      <c r="C816" t="s">
        <v>631</v>
      </c>
      <c r="D816" s="3">
        <v>1</v>
      </c>
      <c r="E816" s="2">
        <v>900</v>
      </c>
    </row>
    <row r="817" spans="1:5" x14ac:dyDescent="0.35">
      <c r="A817" t="s">
        <v>3503</v>
      </c>
      <c r="B817" t="s">
        <v>1500</v>
      </c>
      <c r="C817" t="s">
        <v>663</v>
      </c>
      <c r="D817" s="3">
        <v>2</v>
      </c>
      <c r="E817" s="2">
        <v>2800</v>
      </c>
    </row>
    <row r="818" spans="1:5" x14ac:dyDescent="0.35">
      <c r="A818" t="s">
        <v>3504</v>
      </c>
      <c r="B818" t="s">
        <v>1501</v>
      </c>
      <c r="C818" t="s">
        <v>620</v>
      </c>
      <c r="D818" s="3">
        <v>2</v>
      </c>
      <c r="E818" s="2">
        <v>100</v>
      </c>
    </row>
    <row r="819" spans="1:5" x14ac:dyDescent="0.35">
      <c r="A819" t="s">
        <v>3505</v>
      </c>
      <c r="B819" t="s">
        <v>1502</v>
      </c>
      <c r="C819" t="s">
        <v>656</v>
      </c>
      <c r="D819" s="3">
        <v>1</v>
      </c>
      <c r="E819" s="2">
        <v>350</v>
      </c>
    </row>
    <row r="820" spans="1:5" x14ac:dyDescent="0.35">
      <c r="A820" t="s">
        <v>3506</v>
      </c>
      <c r="B820" t="s">
        <v>1503</v>
      </c>
      <c r="C820" t="s">
        <v>645</v>
      </c>
      <c r="D820" s="3">
        <v>2</v>
      </c>
      <c r="E820" s="2">
        <v>7000</v>
      </c>
    </row>
    <row r="821" spans="1:5" x14ac:dyDescent="0.35">
      <c r="A821" t="s">
        <v>3507</v>
      </c>
      <c r="B821" t="s">
        <v>1504</v>
      </c>
      <c r="C821" t="s">
        <v>645</v>
      </c>
      <c r="D821" s="3">
        <v>1</v>
      </c>
      <c r="E821" s="2">
        <v>3500</v>
      </c>
    </row>
    <row r="822" spans="1:5" x14ac:dyDescent="0.35">
      <c r="A822" t="s">
        <v>3508</v>
      </c>
      <c r="B822" t="s">
        <v>1505</v>
      </c>
      <c r="C822" t="s">
        <v>656</v>
      </c>
      <c r="D822" s="3">
        <v>1</v>
      </c>
      <c r="E822" s="2">
        <v>350</v>
      </c>
    </row>
    <row r="823" spans="1:5" x14ac:dyDescent="0.35">
      <c r="A823" t="s">
        <v>3509</v>
      </c>
      <c r="B823" t="s">
        <v>1506</v>
      </c>
      <c r="C823" t="s">
        <v>641</v>
      </c>
      <c r="D823" s="3">
        <v>1</v>
      </c>
      <c r="E823" s="2">
        <v>1800</v>
      </c>
    </row>
    <row r="824" spans="1:5" x14ac:dyDescent="0.35">
      <c r="A824" t="s">
        <v>3510</v>
      </c>
      <c r="B824" t="s">
        <v>1507</v>
      </c>
      <c r="C824" t="s">
        <v>623</v>
      </c>
      <c r="D824" s="3">
        <v>2</v>
      </c>
      <c r="E824" s="2">
        <v>2400</v>
      </c>
    </row>
    <row r="825" spans="1:5" x14ac:dyDescent="0.35">
      <c r="A825" t="s">
        <v>3511</v>
      </c>
      <c r="B825" t="s">
        <v>1508</v>
      </c>
      <c r="C825" t="s">
        <v>663</v>
      </c>
      <c r="D825" s="3">
        <v>1</v>
      </c>
      <c r="E825" s="2">
        <v>1400</v>
      </c>
    </row>
    <row r="826" spans="1:5" x14ac:dyDescent="0.35">
      <c r="A826" t="s">
        <v>3512</v>
      </c>
      <c r="B826" t="s">
        <v>1509</v>
      </c>
      <c r="C826" t="s">
        <v>658</v>
      </c>
      <c r="D826" s="3">
        <v>1</v>
      </c>
      <c r="E826" s="2">
        <v>750</v>
      </c>
    </row>
    <row r="827" spans="1:5" x14ac:dyDescent="0.35">
      <c r="A827" t="s">
        <v>3513</v>
      </c>
      <c r="B827" t="s">
        <v>1510</v>
      </c>
      <c r="C827" t="s">
        <v>647</v>
      </c>
      <c r="D827" s="3">
        <v>1</v>
      </c>
      <c r="E827" s="2">
        <v>4200</v>
      </c>
    </row>
    <row r="828" spans="1:5" x14ac:dyDescent="0.35">
      <c r="A828" t="s">
        <v>3514</v>
      </c>
      <c r="B828" t="s">
        <v>1511</v>
      </c>
      <c r="C828" t="s">
        <v>645</v>
      </c>
      <c r="D828" s="3">
        <v>1</v>
      </c>
      <c r="E828" s="2">
        <v>3500</v>
      </c>
    </row>
    <row r="829" spans="1:5" x14ac:dyDescent="0.35">
      <c r="A829" t="s">
        <v>3515</v>
      </c>
      <c r="B829" t="s">
        <v>1512</v>
      </c>
      <c r="C829" t="s">
        <v>656</v>
      </c>
      <c r="D829" s="3">
        <v>1</v>
      </c>
      <c r="E829" s="2">
        <v>350</v>
      </c>
    </row>
    <row r="830" spans="1:5" x14ac:dyDescent="0.35">
      <c r="A830" t="s">
        <v>3516</v>
      </c>
      <c r="B830" t="s">
        <v>1513</v>
      </c>
      <c r="C830" t="s">
        <v>626</v>
      </c>
      <c r="D830" s="3">
        <v>1</v>
      </c>
      <c r="E830" s="2">
        <v>5000</v>
      </c>
    </row>
    <row r="831" spans="1:5" x14ac:dyDescent="0.35">
      <c r="A831" t="s">
        <v>3517</v>
      </c>
      <c r="B831" t="s">
        <v>1514</v>
      </c>
      <c r="C831" t="s">
        <v>669</v>
      </c>
      <c r="D831" s="3">
        <v>1</v>
      </c>
      <c r="E831" s="2">
        <v>600</v>
      </c>
    </row>
    <row r="832" spans="1:5" x14ac:dyDescent="0.35">
      <c r="A832" t="s">
        <v>3518</v>
      </c>
      <c r="B832" t="s">
        <v>1515</v>
      </c>
      <c r="C832" t="s">
        <v>641</v>
      </c>
      <c r="D832" s="3">
        <v>1</v>
      </c>
      <c r="E832" s="2">
        <v>1800</v>
      </c>
    </row>
    <row r="833" spans="1:5" x14ac:dyDescent="0.35">
      <c r="A833" t="s">
        <v>3519</v>
      </c>
      <c r="B833" t="s">
        <v>1516</v>
      </c>
      <c r="C833" t="s">
        <v>643</v>
      </c>
      <c r="D833" s="3">
        <v>1</v>
      </c>
      <c r="E833" s="2">
        <v>2200</v>
      </c>
    </row>
    <row r="834" spans="1:5" x14ac:dyDescent="0.35">
      <c r="A834" t="s">
        <v>3520</v>
      </c>
      <c r="B834" t="s">
        <v>1517</v>
      </c>
      <c r="C834" t="s">
        <v>631</v>
      </c>
      <c r="D834" s="3">
        <v>2</v>
      </c>
      <c r="E834" s="2">
        <v>1800</v>
      </c>
    </row>
    <row r="835" spans="1:5" x14ac:dyDescent="0.35">
      <c r="A835" t="s">
        <v>3521</v>
      </c>
      <c r="B835" t="s">
        <v>1518</v>
      </c>
      <c r="C835" t="s">
        <v>631</v>
      </c>
      <c r="D835" s="3">
        <v>1</v>
      </c>
      <c r="E835" s="2">
        <v>900</v>
      </c>
    </row>
    <row r="836" spans="1:5" x14ac:dyDescent="0.35">
      <c r="A836" t="s">
        <v>3522</v>
      </c>
      <c r="B836" t="s">
        <v>1519</v>
      </c>
      <c r="C836" t="s">
        <v>638</v>
      </c>
      <c r="D836" s="3">
        <v>1</v>
      </c>
      <c r="E836" s="2">
        <v>150</v>
      </c>
    </row>
    <row r="837" spans="1:5" x14ac:dyDescent="0.35">
      <c r="A837" t="s">
        <v>3523</v>
      </c>
      <c r="B837" t="s">
        <v>1520</v>
      </c>
      <c r="C837" t="s">
        <v>651</v>
      </c>
      <c r="D837" s="3">
        <v>1</v>
      </c>
      <c r="E837" s="2">
        <v>120</v>
      </c>
    </row>
    <row r="838" spans="1:5" x14ac:dyDescent="0.35">
      <c r="A838" t="s">
        <v>3524</v>
      </c>
      <c r="B838" t="s">
        <v>1521</v>
      </c>
      <c r="C838" t="s">
        <v>620</v>
      </c>
      <c r="D838" s="3">
        <v>1</v>
      </c>
      <c r="E838" s="2">
        <v>50</v>
      </c>
    </row>
    <row r="839" spans="1:5" x14ac:dyDescent="0.35">
      <c r="A839" t="s">
        <v>3525</v>
      </c>
      <c r="B839" t="s">
        <v>1522</v>
      </c>
      <c r="C839" t="s">
        <v>626</v>
      </c>
      <c r="D839" s="3">
        <v>3</v>
      </c>
      <c r="E839" s="2">
        <v>15000</v>
      </c>
    </row>
    <row r="840" spans="1:5" x14ac:dyDescent="0.35">
      <c r="A840" t="s">
        <v>3526</v>
      </c>
      <c r="B840" t="s">
        <v>1523</v>
      </c>
      <c r="C840" t="s">
        <v>629</v>
      </c>
      <c r="D840" s="3">
        <v>1</v>
      </c>
      <c r="E840" s="2">
        <v>300</v>
      </c>
    </row>
    <row r="841" spans="1:5" x14ac:dyDescent="0.35">
      <c r="A841" t="s">
        <v>3527</v>
      </c>
      <c r="B841" t="s">
        <v>1524</v>
      </c>
      <c r="C841" t="s">
        <v>656</v>
      </c>
      <c r="D841" s="3">
        <v>1</v>
      </c>
      <c r="E841" s="2">
        <v>350</v>
      </c>
    </row>
    <row r="842" spans="1:5" x14ac:dyDescent="0.35">
      <c r="A842" t="s">
        <v>3528</v>
      </c>
      <c r="B842" t="s">
        <v>1525</v>
      </c>
      <c r="C842" t="s">
        <v>635</v>
      </c>
      <c r="D842" s="3">
        <v>1</v>
      </c>
      <c r="E842" s="2">
        <v>180</v>
      </c>
    </row>
    <row r="843" spans="1:5" x14ac:dyDescent="0.35">
      <c r="A843" t="s">
        <v>3529</v>
      </c>
      <c r="B843" t="s">
        <v>1526</v>
      </c>
      <c r="C843" t="s">
        <v>635</v>
      </c>
      <c r="D843" s="3">
        <v>1</v>
      </c>
      <c r="E843" s="2">
        <v>180</v>
      </c>
    </row>
    <row r="844" spans="1:5" x14ac:dyDescent="0.35">
      <c r="A844" t="s">
        <v>3530</v>
      </c>
      <c r="B844" t="s">
        <v>1527</v>
      </c>
      <c r="C844" t="s">
        <v>667</v>
      </c>
      <c r="D844" s="3">
        <v>1</v>
      </c>
      <c r="E844" s="2">
        <v>550</v>
      </c>
    </row>
    <row r="845" spans="1:5" x14ac:dyDescent="0.35">
      <c r="A845" t="s">
        <v>3531</v>
      </c>
      <c r="B845" t="s">
        <v>1528</v>
      </c>
      <c r="C845" t="s">
        <v>645</v>
      </c>
      <c r="D845" s="3">
        <v>1</v>
      </c>
      <c r="E845" s="2">
        <v>3500</v>
      </c>
    </row>
    <row r="846" spans="1:5" x14ac:dyDescent="0.35">
      <c r="A846" t="s">
        <v>3532</v>
      </c>
      <c r="B846" t="s">
        <v>1529</v>
      </c>
      <c r="C846" t="s">
        <v>665</v>
      </c>
      <c r="D846" s="3">
        <v>1</v>
      </c>
      <c r="E846" s="2">
        <v>700</v>
      </c>
    </row>
    <row r="847" spans="1:5" x14ac:dyDescent="0.35">
      <c r="A847" t="s">
        <v>3533</v>
      </c>
      <c r="B847" t="s">
        <v>1530</v>
      </c>
      <c r="C847" t="s">
        <v>635</v>
      </c>
      <c r="D847" s="3">
        <v>1</v>
      </c>
      <c r="E847" s="2">
        <v>180</v>
      </c>
    </row>
    <row r="848" spans="1:5" x14ac:dyDescent="0.35">
      <c r="A848" t="s">
        <v>3534</v>
      </c>
      <c r="B848" t="s">
        <v>1531</v>
      </c>
      <c r="C848" t="s">
        <v>660</v>
      </c>
      <c r="D848" s="3">
        <v>2</v>
      </c>
      <c r="E848" s="2">
        <v>13000</v>
      </c>
    </row>
    <row r="849" spans="1:5" x14ac:dyDescent="0.35">
      <c r="A849" t="s">
        <v>3535</v>
      </c>
      <c r="B849" t="s">
        <v>1532</v>
      </c>
      <c r="C849" t="s">
        <v>623</v>
      </c>
      <c r="D849" s="3">
        <v>1</v>
      </c>
      <c r="E849" s="2">
        <v>1200</v>
      </c>
    </row>
    <row r="850" spans="1:5" x14ac:dyDescent="0.35">
      <c r="A850" t="s">
        <v>3536</v>
      </c>
      <c r="B850" t="s">
        <v>1533</v>
      </c>
      <c r="C850" t="s">
        <v>658</v>
      </c>
      <c r="D850" s="3">
        <v>1</v>
      </c>
      <c r="E850" s="2">
        <v>750</v>
      </c>
    </row>
    <row r="851" spans="1:5" x14ac:dyDescent="0.35">
      <c r="A851" t="s">
        <v>3537</v>
      </c>
      <c r="B851" t="s">
        <v>1534</v>
      </c>
      <c r="C851" t="s">
        <v>665</v>
      </c>
      <c r="D851" s="3">
        <v>1</v>
      </c>
      <c r="E851" s="2">
        <v>700</v>
      </c>
    </row>
    <row r="852" spans="1:5" x14ac:dyDescent="0.35">
      <c r="A852" t="s">
        <v>3538</v>
      </c>
      <c r="B852" t="s">
        <v>1535</v>
      </c>
      <c r="C852" t="s">
        <v>660</v>
      </c>
      <c r="D852" s="3">
        <v>1</v>
      </c>
      <c r="E852" s="2">
        <v>6500</v>
      </c>
    </row>
    <row r="853" spans="1:5" x14ac:dyDescent="0.35">
      <c r="A853" t="s">
        <v>3539</v>
      </c>
      <c r="B853" t="s">
        <v>1536</v>
      </c>
      <c r="C853" t="s">
        <v>660</v>
      </c>
      <c r="D853" s="3">
        <v>1</v>
      </c>
      <c r="E853" s="2">
        <v>6500</v>
      </c>
    </row>
    <row r="854" spans="1:5" x14ac:dyDescent="0.35">
      <c r="A854" t="s">
        <v>3540</v>
      </c>
      <c r="B854" t="s">
        <v>1537</v>
      </c>
      <c r="C854" t="s">
        <v>651</v>
      </c>
      <c r="D854" s="3">
        <v>1</v>
      </c>
      <c r="E854" s="2">
        <v>120</v>
      </c>
    </row>
    <row r="855" spans="1:5" x14ac:dyDescent="0.35">
      <c r="A855" t="s">
        <v>3541</v>
      </c>
      <c r="B855" t="s">
        <v>1538</v>
      </c>
      <c r="C855" t="s">
        <v>631</v>
      </c>
      <c r="D855" s="3">
        <v>1</v>
      </c>
      <c r="E855" s="2">
        <v>900</v>
      </c>
    </row>
    <row r="856" spans="1:5" x14ac:dyDescent="0.35">
      <c r="A856" t="s">
        <v>3542</v>
      </c>
      <c r="B856" t="s">
        <v>1539</v>
      </c>
      <c r="C856" t="s">
        <v>654</v>
      </c>
      <c r="D856" s="3">
        <v>1</v>
      </c>
      <c r="E856" s="2">
        <v>100</v>
      </c>
    </row>
    <row r="857" spans="1:5" x14ac:dyDescent="0.35">
      <c r="A857" t="s">
        <v>3543</v>
      </c>
      <c r="B857" t="s">
        <v>1540</v>
      </c>
      <c r="C857" t="s">
        <v>635</v>
      </c>
      <c r="D857" s="3">
        <v>1</v>
      </c>
      <c r="E857" s="2">
        <v>180</v>
      </c>
    </row>
    <row r="858" spans="1:5" x14ac:dyDescent="0.35">
      <c r="A858" t="s">
        <v>3544</v>
      </c>
      <c r="B858" t="s">
        <v>1541</v>
      </c>
      <c r="C858" t="s">
        <v>654</v>
      </c>
      <c r="D858" s="3">
        <v>1</v>
      </c>
      <c r="E858" s="2">
        <v>100</v>
      </c>
    </row>
    <row r="859" spans="1:5" x14ac:dyDescent="0.35">
      <c r="A859" t="s">
        <v>3545</v>
      </c>
      <c r="B859" t="s">
        <v>1542</v>
      </c>
      <c r="C859" t="s">
        <v>658</v>
      </c>
      <c r="D859" s="3">
        <v>3</v>
      </c>
      <c r="E859" s="2">
        <v>2250</v>
      </c>
    </row>
    <row r="860" spans="1:5" x14ac:dyDescent="0.35">
      <c r="A860" t="s">
        <v>3546</v>
      </c>
      <c r="B860" t="s">
        <v>1543</v>
      </c>
      <c r="C860" t="s">
        <v>663</v>
      </c>
      <c r="D860" s="3">
        <v>1</v>
      </c>
      <c r="E860" s="2">
        <v>1400</v>
      </c>
    </row>
    <row r="861" spans="1:5" x14ac:dyDescent="0.35">
      <c r="A861" t="s">
        <v>3547</v>
      </c>
      <c r="B861" t="s">
        <v>1544</v>
      </c>
      <c r="C861" t="s">
        <v>654</v>
      </c>
      <c r="D861" s="3">
        <v>1</v>
      </c>
      <c r="E861" s="2">
        <v>100</v>
      </c>
    </row>
    <row r="862" spans="1:5" x14ac:dyDescent="0.35">
      <c r="A862" t="s">
        <v>3548</v>
      </c>
      <c r="B862" t="s">
        <v>1545</v>
      </c>
      <c r="C862" t="s">
        <v>643</v>
      </c>
      <c r="D862" s="3">
        <v>1</v>
      </c>
      <c r="E862" s="2">
        <v>2200</v>
      </c>
    </row>
    <row r="863" spans="1:5" x14ac:dyDescent="0.35">
      <c r="A863" t="s">
        <v>3549</v>
      </c>
      <c r="B863" t="s">
        <v>1546</v>
      </c>
      <c r="C863" t="s">
        <v>633</v>
      </c>
      <c r="D863" s="3">
        <v>1</v>
      </c>
      <c r="E863" s="2">
        <v>450</v>
      </c>
    </row>
    <row r="864" spans="1:5" x14ac:dyDescent="0.35">
      <c r="A864" t="s">
        <v>3550</v>
      </c>
      <c r="B864" t="s">
        <v>1547</v>
      </c>
      <c r="C864" t="s">
        <v>656</v>
      </c>
      <c r="D864" s="3">
        <v>3</v>
      </c>
      <c r="E864" s="2">
        <v>1050</v>
      </c>
    </row>
    <row r="865" spans="1:5" x14ac:dyDescent="0.35">
      <c r="A865" t="s">
        <v>3551</v>
      </c>
      <c r="B865" t="s">
        <v>1548</v>
      </c>
      <c r="C865" t="s">
        <v>656</v>
      </c>
      <c r="D865" s="3">
        <v>1</v>
      </c>
      <c r="E865" s="2">
        <v>350</v>
      </c>
    </row>
    <row r="866" spans="1:5" x14ac:dyDescent="0.35">
      <c r="A866" t="s">
        <v>3552</v>
      </c>
      <c r="B866" t="s">
        <v>1549</v>
      </c>
      <c r="C866" t="s">
        <v>645</v>
      </c>
      <c r="D866" s="3">
        <v>1</v>
      </c>
      <c r="E866" s="2">
        <v>3500</v>
      </c>
    </row>
    <row r="867" spans="1:5" x14ac:dyDescent="0.35">
      <c r="A867" t="s">
        <v>3553</v>
      </c>
      <c r="B867" t="s">
        <v>1550</v>
      </c>
      <c r="C867" t="s">
        <v>647</v>
      </c>
      <c r="D867" s="3">
        <v>3</v>
      </c>
      <c r="E867" s="2">
        <v>12600</v>
      </c>
    </row>
    <row r="868" spans="1:5" x14ac:dyDescent="0.35">
      <c r="A868" t="s">
        <v>3554</v>
      </c>
      <c r="B868" t="s">
        <v>1551</v>
      </c>
      <c r="C868" t="s">
        <v>641</v>
      </c>
      <c r="D868" s="3">
        <v>1</v>
      </c>
      <c r="E868" s="2">
        <v>1800</v>
      </c>
    </row>
    <row r="869" spans="1:5" x14ac:dyDescent="0.35">
      <c r="A869" t="s">
        <v>3555</v>
      </c>
      <c r="B869" t="s">
        <v>1552</v>
      </c>
      <c r="C869" t="s">
        <v>633</v>
      </c>
      <c r="D869" s="3">
        <v>1</v>
      </c>
      <c r="E869" s="2">
        <v>450</v>
      </c>
    </row>
    <row r="870" spans="1:5" x14ac:dyDescent="0.35">
      <c r="A870" t="s">
        <v>3556</v>
      </c>
      <c r="B870" t="s">
        <v>1553</v>
      </c>
      <c r="C870" t="s">
        <v>649</v>
      </c>
      <c r="D870" s="3">
        <v>3</v>
      </c>
      <c r="E870" s="2">
        <v>2400</v>
      </c>
    </row>
    <row r="871" spans="1:5" x14ac:dyDescent="0.35">
      <c r="A871" t="s">
        <v>3557</v>
      </c>
      <c r="B871" t="s">
        <v>1554</v>
      </c>
      <c r="C871" t="s">
        <v>669</v>
      </c>
      <c r="D871" s="3">
        <v>1</v>
      </c>
      <c r="E871" s="2">
        <v>600</v>
      </c>
    </row>
    <row r="872" spans="1:5" x14ac:dyDescent="0.35">
      <c r="A872" t="s">
        <v>3558</v>
      </c>
      <c r="B872" t="s">
        <v>1555</v>
      </c>
      <c r="C872" t="s">
        <v>617</v>
      </c>
      <c r="D872" s="3">
        <v>1</v>
      </c>
      <c r="E872" s="2">
        <v>200</v>
      </c>
    </row>
    <row r="873" spans="1:5" x14ac:dyDescent="0.35">
      <c r="A873" t="s">
        <v>3559</v>
      </c>
      <c r="B873" t="s">
        <v>1556</v>
      </c>
      <c r="C873" t="s">
        <v>656</v>
      </c>
      <c r="D873" s="3">
        <v>1</v>
      </c>
      <c r="E873" s="2">
        <v>350</v>
      </c>
    </row>
    <row r="874" spans="1:5" x14ac:dyDescent="0.35">
      <c r="A874" t="s">
        <v>3560</v>
      </c>
      <c r="B874" t="s">
        <v>1557</v>
      </c>
      <c r="C874" t="s">
        <v>626</v>
      </c>
      <c r="D874" s="3">
        <v>1</v>
      </c>
      <c r="E874" s="2">
        <v>5000</v>
      </c>
    </row>
    <row r="875" spans="1:5" x14ac:dyDescent="0.35">
      <c r="A875" t="s">
        <v>3561</v>
      </c>
      <c r="B875" t="s">
        <v>1558</v>
      </c>
      <c r="C875" t="s">
        <v>665</v>
      </c>
      <c r="D875" s="3">
        <v>1</v>
      </c>
      <c r="E875" s="2">
        <v>700</v>
      </c>
    </row>
    <row r="876" spans="1:5" x14ac:dyDescent="0.35">
      <c r="A876" t="s">
        <v>3562</v>
      </c>
      <c r="B876" t="s">
        <v>1559</v>
      </c>
      <c r="C876" t="s">
        <v>629</v>
      </c>
      <c r="D876" s="3">
        <v>1</v>
      </c>
      <c r="E876" s="2">
        <v>300</v>
      </c>
    </row>
    <row r="877" spans="1:5" x14ac:dyDescent="0.35">
      <c r="A877" t="s">
        <v>3563</v>
      </c>
      <c r="B877" t="s">
        <v>1560</v>
      </c>
      <c r="C877" t="s">
        <v>663</v>
      </c>
      <c r="D877" s="3">
        <v>1</v>
      </c>
      <c r="E877" s="2">
        <v>1400</v>
      </c>
    </row>
    <row r="878" spans="1:5" x14ac:dyDescent="0.35">
      <c r="A878" t="s">
        <v>3564</v>
      </c>
      <c r="B878" t="s">
        <v>1561</v>
      </c>
      <c r="C878" t="s">
        <v>671</v>
      </c>
      <c r="D878" s="3">
        <v>1</v>
      </c>
      <c r="E878" s="2">
        <v>400</v>
      </c>
    </row>
    <row r="879" spans="1:5" x14ac:dyDescent="0.35">
      <c r="A879" t="s">
        <v>3565</v>
      </c>
      <c r="B879" t="s">
        <v>1562</v>
      </c>
      <c r="C879" t="s">
        <v>669</v>
      </c>
      <c r="D879" s="3">
        <v>1</v>
      </c>
      <c r="E879" s="2">
        <v>600</v>
      </c>
    </row>
    <row r="880" spans="1:5" x14ac:dyDescent="0.35">
      <c r="A880" t="s">
        <v>3566</v>
      </c>
      <c r="B880" t="s">
        <v>1563</v>
      </c>
      <c r="C880" t="s">
        <v>673</v>
      </c>
      <c r="D880" s="3">
        <v>1</v>
      </c>
      <c r="E880" s="2">
        <v>300</v>
      </c>
    </row>
    <row r="881" spans="1:5" x14ac:dyDescent="0.35">
      <c r="A881" t="s">
        <v>3567</v>
      </c>
      <c r="B881" t="s">
        <v>1564</v>
      </c>
      <c r="C881" t="s">
        <v>633</v>
      </c>
      <c r="D881" s="3">
        <v>3</v>
      </c>
      <c r="E881" s="2">
        <v>1350</v>
      </c>
    </row>
    <row r="882" spans="1:5" x14ac:dyDescent="0.35">
      <c r="A882" t="s">
        <v>3568</v>
      </c>
      <c r="B882" t="s">
        <v>1565</v>
      </c>
      <c r="C882" t="s">
        <v>641</v>
      </c>
      <c r="D882" s="3">
        <v>1</v>
      </c>
      <c r="E882" s="2">
        <v>1800</v>
      </c>
    </row>
    <row r="883" spans="1:5" x14ac:dyDescent="0.35">
      <c r="A883" t="s">
        <v>3569</v>
      </c>
      <c r="B883" t="s">
        <v>1566</v>
      </c>
      <c r="C883" t="s">
        <v>656</v>
      </c>
      <c r="D883" s="3">
        <v>1</v>
      </c>
      <c r="E883" s="2">
        <v>350</v>
      </c>
    </row>
    <row r="884" spans="1:5" x14ac:dyDescent="0.35">
      <c r="A884" t="s">
        <v>3570</v>
      </c>
      <c r="B884" t="s">
        <v>1567</v>
      </c>
      <c r="C884" t="s">
        <v>633</v>
      </c>
      <c r="D884" s="3">
        <v>1</v>
      </c>
      <c r="E884" s="2">
        <v>450</v>
      </c>
    </row>
    <row r="885" spans="1:5" x14ac:dyDescent="0.35">
      <c r="A885" t="s">
        <v>3571</v>
      </c>
      <c r="B885" t="s">
        <v>1568</v>
      </c>
      <c r="C885" t="s">
        <v>617</v>
      </c>
      <c r="D885" s="3">
        <v>1</v>
      </c>
      <c r="E885" s="2">
        <v>200</v>
      </c>
    </row>
    <row r="886" spans="1:5" x14ac:dyDescent="0.35">
      <c r="A886" t="s">
        <v>3572</v>
      </c>
      <c r="B886" t="s">
        <v>1569</v>
      </c>
      <c r="C886" t="s">
        <v>633</v>
      </c>
      <c r="D886" s="3">
        <v>1</v>
      </c>
      <c r="E886" s="2">
        <v>450</v>
      </c>
    </row>
    <row r="887" spans="1:5" x14ac:dyDescent="0.35">
      <c r="A887" t="s">
        <v>3573</v>
      </c>
      <c r="B887" t="s">
        <v>1570</v>
      </c>
      <c r="C887" t="s">
        <v>671</v>
      </c>
      <c r="D887" s="3">
        <v>1</v>
      </c>
      <c r="E887" s="2">
        <v>400</v>
      </c>
    </row>
    <row r="888" spans="1:5" x14ac:dyDescent="0.35">
      <c r="A888" t="s">
        <v>3574</v>
      </c>
      <c r="B888" t="s">
        <v>1571</v>
      </c>
      <c r="C888" t="s">
        <v>643</v>
      </c>
      <c r="D888" s="3">
        <v>1</v>
      </c>
      <c r="E888" s="2">
        <v>2200</v>
      </c>
    </row>
    <row r="889" spans="1:5" x14ac:dyDescent="0.35">
      <c r="A889" t="s">
        <v>3575</v>
      </c>
      <c r="B889" t="s">
        <v>1572</v>
      </c>
      <c r="C889" t="s">
        <v>638</v>
      </c>
      <c r="D889" s="3">
        <v>1</v>
      </c>
      <c r="E889" s="2">
        <v>150</v>
      </c>
    </row>
    <row r="890" spans="1:5" x14ac:dyDescent="0.35">
      <c r="A890" t="s">
        <v>3576</v>
      </c>
      <c r="B890" t="s">
        <v>1573</v>
      </c>
      <c r="C890" t="s">
        <v>645</v>
      </c>
      <c r="D890" s="3">
        <v>1</v>
      </c>
      <c r="E890" s="2">
        <v>3500</v>
      </c>
    </row>
    <row r="891" spans="1:5" x14ac:dyDescent="0.35">
      <c r="A891" t="s">
        <v>3577</v>
      </c>
      <c r="B891" t="s">
        <v>1574</v>
      </c>
      <c r="C891" t="s">
        <v>623</v>
      </c>
      <c r="D891" s="3">
        <v>1</v>
      </c>
      <c r="E891" s="2">
        <v>1200</v>
      </c>
    </row>
    <row r="892" spans="1:5" x14ac:dyDescent="0.35">
      <c r="A892" t="s">
        <v>3578</v>
      </c>
      <c r="B892" t="s">
        <v>1575</v>
      </c>
      <c r="C892" t="s">
        <v>626</v>
      </c>
      <c r="D892" s="3">
        <v>2</v>
      </c>
      <c r="E892" s="2">
        <v>10000</v>
      </c>
    </row>
    <row r="893" spans="1:5" x14ac:dyDescent="0.35">
      <c r="A893" t="s">
        <v>3579</v>
      </c>
      <c r="B893" t="s">
        <v>1576</v>
      </c>
      <c r="C893" t="s">
        <v>626</v>
      </c>
      <c r="D893" s="3">
        <v>1</v>
      </c>
      <c r="E893" s="2">
        <v>5000</v>
      </c>
    </row>
    <row r="894" spans="1:5" x14ac:dyDescent="0.35">
      <c r="A894" t="s">
        <v>3580</v>
      </c>
      <c r="B894" t="s">
        <v>1577</v>
      </c>
      <c r="C894" t="s">
        <v>673</v>
      </c>
      <c r="D894" s="3">
        <v>2</v>
      </c>
      <c r="E894" s="2">
        <v>600</v>
      </c>
    </row>
    <row r="895" spans="1:5" x14ac:dyDescent="0.35">
      <c r="A895" t="s">
        <v>3581</v>
      </c>
      <c r="B895" t="s">
        <v>1578</v>
      </c>
      <c r="C895" t="s">
        <v>647</v>
      </c>
      <c r="D895" s="3">
        <v>2</v>
      </c>
      <c r="E895" s="2">
        <v>8400</v>
      </c>
    </row>
    <row r="896" spans="1:5" x14ac:dyDescent="0.35">
      <c r="A896" t="s">
        <v>3582</v>
      </c>
      <c r="B896" t="s">
        <v>1579</v>
      </c>
      <c r="C896" t="s">
        <v>669</v>
      </c>
      <c r="D896" s="3">
        <v>2</v>
      </c>
      <c r="E896" s="2">
        <v>1200</v>
      </c>
    </row>
    <row r="897" spans="1:5" x14ac:dyDescent="0.35">
      <c r="A897" t="s">
        <v>3583</v>
      </c>
      <c r="B897" t="s">
        <v>1580</v>
      </c>
      <c r="C897" t="s">
        <v>660</v>
      </c>
      <c r="D897" s="3">
        <v>3</v>
      </c>
      <c r="E897" s="2">
        <v>19500</v>
      </c>
    </row>
    <row r="898" spans="1:5" x14ac:dyDescent="0.35">
      <c r="A898" t="s">
        <v>3584</v>
      </c>
      <c r="B898" t="s">
        <v>1581</v>
      </c>
      <c r="C898" t="s">
        <v>641</v>
      </c>
      <c r="D898" s="3">
        <v>1</v>
      </c>
      <c r="E898" s="2">
        <v>1800</v>
      </c>
    </row>
    <row r="899" spans="1:5" x14ac:dyDescent="0.35">
      <c r="A899" t="s">
        <v>3585</v>
      </c>
      <c r="B899" t="s">
        <v>1582</v>
      </c>
      <c r="C899" t="s">
        <v>629</v>
      </c>
      <c r="D899" s="3">
        <v>1</v>
      </c>
      <c r="E899" s="2">
        <v>300</v>
      </c>
    </row>
    <row r="900" spans="1:5" x14ac:dyDescent="0.35">
      <c r="A900" t="s">
        <v>3586</v>
      </c>
      <c r="B900" t="s">
        <v>1583</v>
      </c>
      <c r="C900" t="s">
        <v>633</v>
      </c>
      <c r="D900" s="3">
        <v>1</v>
      </c>
      <c r="E900" s="2">
        <v>450</v>
      </c>
    </row>
    <row r="901" spans="1:5" x14ac:dyDescent="0.35">
      <c r="A901" t="s">
        <v>3587</v>
      </c>
      <c r="B901" t="s">
        <v>1584</v>
      </c>
      <c r="C901" t="s">
        <v>671</v>
      </c>
      <c r="D901" s="3">
        <v>1</v>
      </c>
      <c r="E901" s="2">
        <v>400</v>
      </c>
    </row>
    <row r="902" spans="1:5" x14ac:dyDescent="0.35">
      <c r="A902" t="s">
        <v>3588</v>
      </c>
      <c r="B902" t="s">
        <v>1585</v>
      </c>
      <c r="C902" t="s">
        <v>654</v>
      </c>
      <c r="D902" s="3">
        <v>2</v>
      </c>
      <c r="E902" s="2">
        <v>200</v>
      </c>
    </row>
    <row r="903" spans="1:5" x14ac:dyDescent="0.35">
      <c r="A903" t="s">
        <v>3589</v>
      </c>
      <c r="B903" t="s">
        <v>1586</v>
      </c>
      <c r="C903" t="s">
        <v>617</v>
      </c>
      <c r="D903" s="3">
        <v>1</v>
      </c>
      <c r="E903" s="2">
        <v>200</v>
      </c>
    </row>
    <row r="904" spans="1:5" x14ac:dyDescent="0.35">
      <c r="A904" t="s">
        <v>3590</v>
      </c>
      <c r="B904" t="s">
        <v>1587</v>
      </c>
      <c r="C904" t="s">
        <v>645</v>
      </c>
      <c r="D904" s="3">
        <v>1</v>
      </c>
      <c r="E904" s="2">
        <v>3500</v>
      </c>
    </row>
    <row r="905" spans="1:5" x14ac:dyDescent="0.35">
      <c r="A905" t="s">
        <v>3591</v>
      </c>
      <c r="B905" t="s">
        <v>1588</v>
      </c>
      <c r="C905" t="s">
        <v>620</v>
      </c>
      <c r="D905" s="3">
        <v>1</v>
      </c>
      <c r="E905" s="2">
        <v>50</v>
      </c>
    </row>
    <row r="906" spans="1:5" x14ac:dyDescent="0.35">
      <c r="A906" t="s">
        <v>3592</v>
      </c>
      <c r="B906" t="s">
        <v>1589</v>
      </c>
      <c r="C906" t="s">
        <v>633</v>
      </c>
      <c r="D906" s="3">
        <v>1</v>
      </c>
      <c r="E906" s="2">
        <v>450</v>
      </c>
    </row>
    <row r="907" spans="1:5" x14ac:dyDescent="0.35">
      <c r="A907" t="s">
        <v>3593</v>
      </c>
      <c r="B907" t="s">
        <v>1590</v>
      </c>
      <c r="C907" t="s">
        <v>643</v>
      </c>
      <c r="D907" s="3">
        <v>1</v>
      </c>
      <c r="E907" s="2">
        <v>2200</v>
      </c>
    </row>
    <row r="908" spans="1:5" x14ac:dyDescent="0.35">
      <c r="A908" t="s">
        <v>3594</v>
      </c>
      <c r="B908" t="s">
        <v>1591</v>
      </c>
      <c r="C908" t="s">
        <v>647</v>
      </c>
      <c r="D908" s="3">
        <v>1</v>
      </c>
      <c r="E908" s="2">
        <v>4200</v>
      </c>
    </row>
    <row r="909" spans="1:5" x14ac:dyDescent="0.35">
      <c r="A909" t="s">
        <v>3595</v>
      </c>
      <c r="B909" t="s">
        <v>1592</v>
      </c>
      <c r="C909" t="s">
        <v>620</v>
      </c>
      <c r="D909" s="3">
        <v>1</v>
      </c>
      <c r="E909" s="2">
        <v>50</v>
      </c>
    </row>
    <row r="910" spans="1:5" x14ac:dyDescent="0.35">
      <c r="A910" t="s">
        <v>3596</v>
      </c>
      <c r="B910" t="s">
        <v>1593</v>
      </c>
      <c r="C910" t="s">
        <v>633</v>
      </c>
      <c r="D910" s="3">
        <v>1</v>
      </c>
      <c r="E910" s="2">
        <v>450</v>
      </c>
    </row>
    <row r="911" spans="1:5" x14ac:dyDescent="0.35">
      <c r="A911" t="s">
        <v>3597</v>
      </c>
      <c r="B911" t="s">
        <v>1594</v>
      </c>
      <c r="C911" t="s">
        <v>651</v>
      </c>
      <c r="D911" s="3">
        <v>1</v>
      </c>
      <c r="E911" s="2">
        <v>120</v>
      </c>
    </row>
    <row r="912" spans="1:5" x14ac:dyDescent="0.35">
      <c r="A912" t="s">
        <v>3598</v>
      </c>
      <c r="B912" t="s">
        <v>1595</v>
      </c>
      <c r="C912" t="s">
        <v>673</v>
      </c>
      <c r="D912" s="3">
        <v>1</v>
      </c>
      <c r="E912" s="2">
        <v>300</v>
      </c>
    </row>
    <row r="913" spans="1:5" x14ac:dyDescent="0.35">
      <c r="A913" t="s">
        <v>3599</v>
      </c>
      <c r="B913" t="s">
        <v>1596</v>
      </c>
      <c r="C913" t="s">
        <v>643</v>
      </c>
      <c r="D913" s="3">
        <v>1</v>
      </c>
      <c r="E913" s="2">
        <v>2200</v>
      </c>
    </row>
    <row r="914" spans="1:5" x14ac:dyDescent="0.35">
      <c r="A914" t="s">
        <v>3600</v>
      </c>
      <c r="B914" t="s">
        <v>1597</v>
      </c>
      <c r="C914" t="s">
        <v>620</v>
      </c>
      <c r="D914" s="3">
        <v>3</v>
      </c>
      <c r="E914" s="2">
        <v>150</v>
      </c>
    </row>
    <row r="915" spans="1:5" x14ac:dyDescent="0.35">
      <c r="A915" t="s">
        <v>3601</v>
      </c>
      <c r="B915" t="s">
        <v>1598</v>
      </c>
      <c r="C915" t="s">
        <v>633</v>
      </c>
      <c r="D915" s="3">
        <v>1</v>
      </c>
      <c r="E915" s="2">
        <v>450</v>
      </c>
    </row>
    <row r="916" spans="1:5" x14ac:dyDescent="0.35">
      <c r="A916" t="s">
        <v>3602</v>
      </c>
      <c r="B916" t="s">
        <v>1599</v>
      </c>
      <c r="C916" t="s">
        <v>626</v>
      </c>
      <c r="D916" s="3">
        <v>1</v>
      </c>
      <c r="E916" s="2">
        <v>5000</v>
      </c>
    </row>
    <row r="917" spans="1:5" x14ac:dyDescent="0.35">
      <c r="A917" t="s">
        <v>3603</v>
      </c>
      <c r="B917" t="s">
        <v>1600</v>
      </c>
      <c r="C917" t="s">
        <v>643</v>
      </c>
      <c r="D917" s="3">
        <v>1</v>
      </c>
      <c r="E917" s="2">
        <v>2200</v>
      </c>
    </row>
    <row r="918" spans="1:5" x14ac:dyDescent="0.35">
      <c r="A918" t="s">
        <v>3604</v>
      </c>
      <c r="B918" t="s">
        <v>1601</v>
      </c>
      <c r="C918" t="s">
        <v>620</v>
      </c>
      <c r="D918" s="3">
        <v>1</v>
      </c>
      <c r="E918" s="2">
        <v>50</v>
      </c>
    </row>
    <row r="919" spans="1:5" x14ac:dyDescent="0.35">
      <c r="A919" t="s">
        <v>3605</v>
      </c>
      <c r="B919" t="s">
        <v>1602</v>
      </c>
      <c r="C919" t="s">
        <v>654</v>
      </c>
      <c r="D919" s="3">
        <v>1</v>
      </c>
      <c r="E919" s="2">
        <v>100</v>
      </c>
    </row>
    <row r="920" spans="1:5" x14ac:dyDescent="0.35">
      <c r="A920" t="s">
        <v>3606</v>
      </c>
      <c r="B920" t="s">
        <v>1603</v>
      </c>
      <c r="C920" t="s">
        <v>633</v>
      </c>
      <c r="D920" s="3">
        <v>1</v>
      </c>
      <c r="E920" s="2">
        <v>450</v>
      </c>
    </row>
    <row r="921" spans="1:5" x14ac:dyDescent="0.35">
      <c r="A921" t="s">
        <v>3607</v>
      </c>
      <c r="B921" t="s">
        <v>1604</v>
      </c>
      <c r="C921" t="s">
        <v>647</v>
      </c>
      <c r="D921" s="3">
        <v>2</v>
      </c>
      <c r="E921" s="2">
        <v>8400</v>
      </c>
    </row>
    <row r="922" spans="1:5" x14ac:dyDescent="0.35">
      <c r="A922" t="s">
        <v>3608</v>
      </c>
      <c r="B922" t="s">
        <v>1605</v>
      </c>
      <c r="C922" t="s">
        <v>629</v>
      </c>
      <c r="D922" s="3">
        <v>1</v>
      </c>
      <c r="E922" s="2">
        <v>300</v>
      </c>
    </row>
    <row r="923" spans="1:5" x14ac:dyDescent="0.35">
      <c r="A923" t="s">
        <v>3609</v>
      </c>
      <c r="B923" t="s">
        <v>1606</v>
      </c>
      <c r="C923" t="s">
        <v>656</v>
      </c>
      <c r="D923" s="3">
        <v>1</v>
      </c>
      <c r="E923" s="2">
        <v>350</v>
      </c>
    </row>
    <row r="924" spans="1:5" x14ac:dyDescent="0.35">
      <c r="A924" t="s">
        <v>3610</v>
      </c>
      <c r="B924" t="s">
        <v>1607</v>
      </c>
      <c r="C924" t="s">
        <v>665</v>
      </c>
      <c r="D924" s="3">
        <v>3</v>
      </c>
      <c r="E924" s="2">
        <v>2100</v>
      </c>
    </row>
    <row r="925" spans="1:5" x14ac:dyDescent="0.35">
      <c r="A925" t="s">
        <v>3611</v>
      </c>
      <c r="B925" t="s">
        <v>1608</v>
      </c>
      <c r="C925" t="s">
        <v>645</v>
      </c>
      <c r="D925" s="3">
        <v>1</v>
      </c>
      <c r="E925" s="2">
        <v>3500</v>
      </c>
    </row>
    <row r="926" spans="1:5" x14ac:dyDescent="0.35">
      <c r="A926" t="s">
        <v>3612</v>
      </c>
      <c r="B926" t="s">
        <v>1609</v>
      </c>
      <c r="C926" t="s">
        <v>660</v>
      </c>
      <c r="D926" s="3">
        <v>1</v>
      </c>
      <c r="E926" s="2">
        <v>6500</v>
      </c>
    </row>
    <row r="927" spans="1:5" x14ac:dyDescent="0.35">
      <c r="A927" t="s">
        <v>3613</v>
      </c>
      <c r="B927" t="s">
        <v>1610</v>
      </c>
      <c r="C927" t="s">
        <v>633</v>
      </c>
      <c r="D927" s="3">
        <v>1</v>
      </c>
      <c r="E927" s="2">
        <v>450</v>
      </c>
    </row>
    <row r="928" spans="1:5" x14ac:dyDescent="0.35">
      <c r="A928" t="s">
        <v>3614</v>
      </c>
      <c r="B928" t="s">
        <v>1611</v>
      </c>
      <c r="C928" t="s">
        <v>631</v>
      </c>
      <c r="D928" s="3">
        <v>2</v>
      </c>
      <c r="E928" s="2">
        <v>1800</v>
      </c>
    </row>
    <row r="929" spans="1:5" x14ac:dyDescent="0.35">
      <c r="A929" t="s">
        <v>3615</v>
      </c>
      <c r="B929" t="s">
        <v>1612</v>
      </c>
      <c r="C929" t="s">
        <v>635</v>
      </c>
      <c r="D929" s="3">
        <v>3</v>
      </c>
      <c r="E929" s="2">
        <v>540</v>
      </c>
    </row>
    <row r="930" spans="1:5" x14ac:dyDescent="0.35">
      <c r="A930" t="s">
        <v>3616</v>
      </c>
      <c r="B930" t="s">
        <v>1613</v>
      </c>
      <c r="C930" t="s">
        <v>647</v>
      </c>
      <c r="D930" s="3">
        <v>3</v>
      </c>
      <c r="E930" s="2">
        <v>12600</v>
      </c>
    </row>
    <row r="931" spans="1:5" x14ac:dyDescent="0.35">
      <c r="A931" t="s">
        <v>3617</v>
      </c>
      <c r="B931" t="s">
        <v>1614</v>
      </c>
      <c r="C931" t="s">
        <v>629</v>
      </c>
      <c r="D931" s="3">
        <v>1</v>
      </c>
      <c r="E931" s="2">
        <v>300</v>
      </c>
    </row>
    <row r="932" spans="1:5" x14ac:dyDescent="0.35">
      <c r="A932" t="s">
        <v>3618</v>
      </c>
      <c r="B932" t="s">
        <v>1615</v>
      </c>
      <c r="C932" t="s">
        <v>620</v>
      </c>
      <c r="D932" s="3">
        <v>1</v>
      </c>
      <c r="E932" s="2">
        <v>50</v>
      </c>
    </row>
    <row r="933" spans="1:5" x14ac:dyDescent="0.35">
      <c r="A933" t="s">
        <v>3619</v>
      </c>
      <c r="B933" t="s">
        <v>1616</v>
      </c>
      <c r="C933" t="s">
        <v>638</v>
      </c>
      <c r="D933" s="3">
        <v>1</v>
      </c>
      <c r="E933" s="2">
        <v>150</v>
      </c>
    </row>
    <row r="934" spans="1:5" x14ac:dyDescent="0.35">
      <c r="A934" t="s">
        <v>3620</v>
      </c>
      <c r="B934" t="s">
        <v>1617</v>
      </c>
      <c r="C934" t="s">
        <v>643</v>
      </c>
      <c r="D934" s="3">
        <v>1</v>
      </c>
      <c r="E934" s="2">
        <v>2200</v>
      </c>
    </row>
    <row r="935" spans="1:5" x14ac:dyDescent="0.35">
      <c r="A935" t="s">
        <v>3621</v>
      </c>
      <c r="B935" t="s">
        <v>1618</v>
      </c>
      <c r="C935" t="s">
        <v>671</v>
      </c>
      <c r="D935" s="3">
        <v>2</v>
      </c>
      <c r="E935" s="2">
        <v>800</v>
      </c>
    </row>
    <row r="936" spans="1:5" x14ac:dyDescent="0.35">
      <c r="A936" t="s">
        <v>3622</v>
      </c>
      <c r="B936" t="s">
        <v>1619</v>
      </c>
      <c r="C936" t="s">
        <v>631</v>
      </c>
      <c r="D936" s="3">
        <v>2</v>
      </c>
      <c r="E936" s="2">
        <v>1800</v>
      </c>
    </row>
    <row r="937" spans="1:5" x14ac:dyDescent="0.35">
      <c r="A937" t="s">
        <v>3623</v>
      </c>
      <c r="B937" t="s">
        <v>1620</v>
      </c>
      <c r="C937" t="s">
        <v>633</v>
      </c>
      <c r="D937" s="3">
        <v>1</v>
      </c>
      <c r="E937" s="2">
        <v>450</v>
      </c>
    </row>
    <row r="938" spans="1:5" x14ac:dyDescent="0.35">
      <c r="A938" t="s">
        <v>3624</v>
      </c>
      <c r="B938" t="s">
        <v>1621</v>
      </c>
      <c r="C938" t="s">
        <v>673</v>
      </c>
      <c r="D938" s="3">
        <v>1</v>
      </c>
      <c r="E938" s="2">
        <v>300</v>
      </c>
    </row>
    <row r="939" spans="1:5" x14ac:dyDescent="0.35">
      <c r="A939" t="s">
        <v>3625</v>
      </c>
      <c r="B939" t="s">
        <v>1622</v>
      </c>
      <c r="C939" t="s">
        <v>633</v>
      </c>
      <c r="D939" s="3">
        <v>1</v>
      </c>
      <c r="E939" s="2">
        <v>450</v>
      </c>
    </row>
    <row r="940" spans="1:5" x14ac:dyDescent="0.35">
      <c r="A940" t="s">
        <v>3626</v>
      </c>
      <c r="B940" t="s">
        <v>1623</v>
      </c>
      <c r="C940" t="s">
        <v>660</v>
      </c>
      <c r="D940" s="3">
        <v>1</v>
      </c>
      <c r="E940" s="2">
        <v>6500</v>
      </c>
    </row>
    <row r="941" spans="1:5" x14ac:dyDescent="0.35">
      <c r="A941" t="s">
        <v>3627</v>
      </c>
      <c r="B941" t="s">
        <v>1624</v>
      </c>
      <c r="C941" t="s">
        <v>631</v>
      </c>
      <c r="D941" s="3">
        <v>1</v>
      </c>
      <c r="E941" s="2">
        <v>900</v>
      </c>
    </row>
    <row r="942" spans="1:5" x14ac:dyDescent="0.35">
      <c r="A942" t="s">
        <v>3628</v>
      </c>
      <c r="B942" t="s">
        <v>1625</v>
      </c>
      <c r="C942" t="s">
        <v>643</v>
      </c>
      <c r="D942" s="3">
        <v>1</v>
      </c>
      <c r="E942" s="2">
        <v>2200</v>
      </c>
    </row>
    <row r="943" spans="1:5" x14ac:dyDescent="0.35">
      <c r="A943" t="s">
        <v>3629</v>
      </c>
      <c r="B943" t="s">
        <v>1626</v>
      </c>
      <c r="C943" t="s">
        <v>643</v>
      </c>
      <c r="D943" s="3">
        <v>1</v>
      </c>
      <c r="E943" s="2">
        <v>2200</v>
      </c>
    </row>
    <row r="944" spans="1:5" x14ac:dyDescent="0.35">
      <c r="A944" t="s">
        <v>3630</v>
      </c>
      <c r="B944" t="s">
        <v>1627</v>
      </c>
      <c r="C944" t="s">
        <v>633</v>
      </c>
      <c r="D944" s="3">
        <v>1</v>
      </c>
      <c r="E944" s="2">
        <v>450</v>
      </c>
    </row>
    <row r="945" spans="1:5" x14ac:dyDescent="0.35">
      <c r="A945" t="s">
        <v>3631</v>
      </c>
      <c r="B945" t="s">
        <v>1628</v>
      </c>
      <c r="C945" t="s">
        <v>620</v>
      </c>
      <c r="D945" s="3">
        <v>1</v>
      </c>
      <c r="E945" s="2">
        <v>50</v>
      </c>
    </row>
    <row r="946" spans="1:5" x14ac:dyDescent="0.35">
      <c r="A946" t="s">
        <v>3632</v>
      </c>
      <c r="B946" t="s">
        <v>1629</v>
      </c>
      <c r="C946" t="s">
        <v>660</v>
      </c>
      <c r="D946" s="3">
        <v>3</v>
      </c>
      <c r="E946" s="2">
        <v>19500</v>
      </c>
    </row>
    <row r="947" spans="1:5" x14ac:dyDescent="0.35">
      <c r="A947" t="s">
        <v>3633</v>
      </c>
      <c r="B947" t="s">
        <v>1630</v>
      </c>
      <c r="C947" t="s">
        <v>626</v>
      </c>
      <c r="D947" s="3">
        <v>1</v>
      </c>
      <c r="E947" s="2">
        <v>5000</v>
      </c>
    </row>
    <row r="948" spans="1:5" x14ac:dyDescent="0.35">
      <c r="A948" t="s">
        <v>3634</v>
      </c>
      <c r="B948" t="s">
        <v>1631</v>
      </c>
      <c r="C948" t="s">
        <v>631</v>
      </c>
      <c r="D948" s="3">
        <v>2</v>
      </c>
      <c r="E948" s="2">
        <v>1800</v>
      </c>
    </row>
    <row r="949" spans="1:5" x14ac:dyDescent="0.35">
      <c r="A949" t="s">
        <v>3635</v>
      </c>
      <c r="B949" t="s">
        <v>1632</v>
      </c>
      <c r="C949" t="s">
        <v>656</v>
      </c>
      <c r="D949" s="3">
        <v>1</v>
      </c>
      <c r="E949" s="2">
        <v>350</v>
      </c>
    </row>
    <row r="950" spans="1:5" x14ac:dyDescent="0.35">
      <c r="A950" t="s">
        <v>3636</v>
      </c>
      <c r="B950" t="s">
        <v>1633</v>
      </c>
      <c r="C950" t="s">
        <v>673</v>
      </c>
      <c r="D950" s="3">
        <v>1</v>
      </c>
      <c r="E950" s="2">
        <v>300</v>
      </c>
    </row>
    <row r="951" spans="1:5" x14ac:dyDescent="0.35">
      <c r="A951" t="s">
        <v>3637</v>
      </c>
      <c r="B951" t="s">
        <v>1634</v>
      </c>
      <c r="C951" t="s">
        <v>629</v>
      </c>
      <c r="D951" s="3">
        <v>1</v>
      </c>
      <c r="E951" s="2">
        <v>300</v>
      </c>
    </row>
    <row r="952" spans="1:5" x14ac:dyDescent="0.35">
      <c r="A952" t="s">
        <v>3638</v>
      </c>
      <c r="B952" t="s">
        <v>1635</v>
      </c>
      <c r="C952" t="s">
        <v>633</v>
      </c>
      <c r="D952" s="3">
        <v>1</v>
      </c>
      <c r="E952" s="2">
        <v>450</v>
      </c>
    </row>
    <row r="953" spans="1:5" x14ac:dyDescent="0.35">
      <c r="A953" t="s">
        <v>3639</v>
      </c>
      <c r="B953" t="s">
        <v>1636</v>
      </c>
      <c r="C953" t="s">
        <v>638</v>
      </c>
      <c r="D953" s="3">
        <v>1</v>
      </c>
      <c r="E953" s="2">
        <v>150</v>
      </c>
    </row>
    <row r="954" spans="1:5" x14ac:dyDescent="0.35">
      <c r="A954" t="s">
        <v>3640</v>
      </c>
      <c r="B954" t="s">
        <v>1637</v>
      </c>
      <c r="C954" t="s">
        <v>673</v>
      </c>
      <c r="D954" s="3">
        <v>1</v>
      </c>
      <c r="E954" s="2">
        <v>300</v>
      </c>
    </row>
    <row r="955" spans="1:5" x14ac:dyDescent="0.35">
      <c r="A955" t="s">
        <v>3641</v>
      </c>
      <c r="B955" t="s">
        <v>1638</v>
      </c>
      <c r="C955" t="s">
        <v>617</v>
      </c>
      <c r="D955" s="3">
        <v>1</v>
      </c>
      <c r="E955" s="2">
        <v>200</v>
      </c>
    </row>
    <row r="956" spans="1:5" x14ac:dyDescent="0.35">
      <c r="A956" t="s">
        <v>3642</v>
      </c>
      <c r="B956" t="s">
        <v>1639</v>
      </c>
      <c r="C956" t="s">
        <v>617</v>
      </c>
      <c r="D956" s="3">
        <v>1</v>
      </c>
      <c r="E956" s="2">
        <v>200</v>
      </c>
    </row>
    <row r="957" spans="1:5" x14ac:dyDescent="0.35">
      <c r="A957" t="s">
        <v>3643</v>
      </c>
      <c r="B957" t="s">
        <v>1640</v>
      </c>
      <c r="C957" t="s">
        <v>660</v>
      </c>
      <c r="D957" s="3">
        <v>1</v>
      </c>
      <c r="E957" s="2">
        <v>6500</v>
      </c>
    </row>
    <row r="958" spans="1:5" x14ac:dyDescent="0.35">
      <c r="A958" t="s">
        <v>3644</v>
      </c>
      <c r="B958" t="s">
        <v>1641</v>
      </c>
      <c r="C958" t="s">
        <v>631</v>
      </c>
      <c r="D958" s="3">
        <v>1</v>
      </c>
      <c r="E958" s="2">
        <v>900</v>
      </c>
    </row>
    <row r="959" spans="1:5" x14ac:dyDescent="0.35">
      <c r="A959" t="s">
        <v>3645</v>
      </c>
      <c r="B959" t="s">
        <v>1642</v>
      </c>
      <c r="C959" t="s">
        <v>658</v>
      </c>
      <c r="D959" s="3">
        <v>1</v>
      </c>
      <c r="E959" s="2">
        <v>750</v>
      </c>
    </row>
    <row r="960" spans="1:5" x14ac:dyDescent="0.35">
      <c r="A960" t="s">
        <v>3646</v>
      </c>
      <c r="B960" t="s">
        <v>1643</v>
      </c>
      <c r="C960" t="s">
        <v>641</v>
      </c>
      <c r="D960" s="3">
        <v>1</v>
      </c>
      <c r="E960" s="2">
        <v>1800</v>
      </c>
    </row>
    <row r="961" spans="1:5" x14ac:dyDescent="0.35">
      <c r="A961" t="s">
        <v>3647</v>
      </c>
      <c r="B961" t="s">
        <v>1644</v>
      </c>
      <c r="C961" t="s">
        <v>643</v>
      </c>
      <c r="D961" s="3">
        <v>1</v>
      </c>
      <c r="E961" s="2">
        <v>2200</v>
      </c>
    </row>
    <row r="962" spans="1:5" x14ac:dyDescent="0.35">
      <c r="A962" t="s">
        <v>3648</v>
      </c>
      <c r="B962" t="s">
        <v>1645</v>
      </c>
      <c r="C962" t="s">
        <v>617</v>
      </c>
      <c r="D962" s="3">
        <v>1</v>
      </c>
      <c r="E962" s="2">
        <v>200</v>
      </c>
    </row>
    <row r="963" spans="1:5" x14ac:dyDescent="0.35">
      <c r="A963" t="s">
        <v>3649</v>
      </c>
      <c r="B963" t="s">
        <v>1646</v>
      </c>
      <c r="C963" t="s">
        <v>617</v>
      </c>
      <c r="D963" s="3">
        <v>3</v>
      </c>
      <c r="E963" s="2">
        <v>600</v>
      </c>
    </row>
    <row r="964" spans="1:5" x14ac:dyDescent="0.35">
      <c r="A964" t="s">
        <v>3650</v>
      </c>
      <c r="B964" t="s">
        <v>1647</v>
      </c>
      <c r="C964" t="s">
        <v>647</v>
      </c>
      <c r="D964" s="3">
        <v>1</v>
      </c>
      <c r="E964" s="2">
        <v>4200</v>
      </c>
    </row>
    <row r="965" spans="1:5" x14ac:dyDescent="0.35">
      <c r="A965" t="s">
        <v>3651</v>
      </c>
      <c r="B965" t="s">
        <v>1648</v>
      </c>
      <c r="C965" t="s">
        <v>629</v>
      </c>
      <c r="D965" s="3">
        <v>2</v>
      </c>
      <c r="E965" s="2">
        <v>600</v>
      </c>
    </row>
    <row r="966" spans="1:5" x14ac:dyDescent="0.35">
      <c r="A966" t="s">
        <v>3652</v>
      </c>
      <c r="B966" t="s">
        <v>1649</v>
      </c>
      <c r="C966" t="s">
        <v>663</v>
      </c>
      <c r="D966" s="3">
        <v>1</v>
      </c>
      <c r="E966" s="2">
        <v>1400</v>
      </c>
    </row>
    <row r="967" spans="1:5" x14ac:dyDescent="0.35">
      <c r="A967" t="s">
        <v>3653</v>
      </c>
      <c r="B967" t="s">
        <v>1650</v>
      </c>
      <c r="C967" t="s">
        <v>617</v>
      </c>
      <c r="D967" s="3">
        <v>1</v>
      </c>
      <c r="E967" s="2">
        <v>200</v>
      </c>
    </row>
    <row r="968" spans="1:5" x14ac:dyDescent="0.35">
      <c r="A968" t="s">
        <v>3654</v>
      </c>
      <c r="B968" t="s">
        <v>1651</v>
      </c>
      <c r="C968" t="s">
        <v>663</v>
      </c>
      <c r="D968" s="3">
        <v>1</v>
      </c>
      <c r="E968" s="2">
        <v>1400</v>
      </c>
    </row>
    <row r="969" spans="1:5" x14ac:dyDescent="0.35">
      <c r="A969" t="s">
        <v>3655</v>
      </c>
      <c r="B969" t="s">
        <v>1652</v>
      </c>
      <c r="C969" t="s">
        <v>623</v>
      </c>
      <c r="D969" s="3">
        <v>1</v>
      </c>
      <c r="E969" s="2">
        <v>1200</v>
      </c>
    </row>
    <row r="970" spans="1:5" x14ac:dyDescent="0.35">
      <c r="A970" t="s">
        <v>3656</v>
      </c>
      <c r="B970" t="s">
        <v>1653</v>
      </c>
      <c r="C970" t="s">
        <v>658</v>
      </c>
      <c r="D970" s="3">
        <v>1</v>
      </c>
      <c r="E970" s="2">
        <v>750</v>
      </c>
    </row>
    <row r="971" spans="1:5" x14ac:dyDescent="0.35">
      <c r="A971" t="s">
        <v>3657</v>
      </c>
      <c r="B971" t="s">
        <v>1654</v>
      </c>
      <c r="C971" t="s">
        <v>638</v>
      </c>
      <c r="D971" s="3">
        <v>1</v>
      </c>
      <c r="E971" s="2">
        <v>150</v>
      </c>
    </row>
    <row r="972" spans="1:5" x14ac:dyDescent="0.35">
      <c r="A972" t="s">
        <v>3658</v>
      </c>
      <c r="B972" t="s">
        <v>1655</v>
      </c>
      <c r="C972" t="s">
        <v>649</v>
      </c>
      <c r="D972" s="3">
        <v>1</v>
      </c>
      <c r="E972" s="2">
        <v>800</v>
      </c>
    </row>
    <row r="973" spans="1:5" x14ac:dyDescent="0.35">
      <c r="A973" t="s">
        <v>3659</v>
      </c>
      <c r="B973" t="s">
        <v>1656</v>
      </c>
      <c r="C973" t="s">
        <v>656</v>
      </c>
      <c r="D973" s="3">
        <v>1</v>
      </c>
      <c r="E973" s="2">
        <v>350</v>
      </c>
    </row>
    <row r="974" spans="1:5" x14ac:dyDescent="0.35">
      <c r="A974" t="s">
        <v>3660</v>
      </c>
      <c r="B974" t="s">
        <v>1657</v>
      </c>
      <c r="C974" t="s">
        <v>669</v>
      </c>
      <c r="D974" s="3">
        <v>1</v>
      </c>
      <c r="E974" s="2">
        <v>600</v>
      </c>
    </row>
    <row r="975" spans="1:5" x14ac:dyDescent="0.35">
      <c r="A975" t="s">
        <v>3661</v>
      </c>
      <c r="B975" t="s">
        <v>1658</v>
      </c>
      <c r="C975" t="s">
        <v>649</v>
      </c>
      <c r="D975" s="3">
        <v>1</v>
      </c>
      <c r="E975" s="2">
        <v>800</v>
      </c>
    </row>
    <row r="976" spans="1:5" x14ac:dyDescent="0.35">
      <c r="A976" t="s">
        <v>3662</v>
      </c>
      <c r="B976" t="s">
        <v>1659</v>
      </c>
      <c r="C976" t="s">
        <v>626</v>
      </c>
      <c r="D976" s="3">
        <v>1</v>
      </c>
      <c r="E976" s="2">
        <v>5000</v>
      </c>
    </row>
    <row r="977" spans="1:5" x14ac:dyDescent="0.35">
      <c r="A977" t="s">
        <v>3663</v>
      </c>
      <c r="B977" t="s">
        <v>1660</v>
      </c>
      <c r="C977" t="s">
        <v>629</v>
      </c>
      <c r="D977" s="3">
        <v>2</v>
      </c>
      <c r="E977" s="2">
        <v>600</v>
      </c>
    </row>
    <row r="978" spans="1:5" x14ac:dyDescent="0.35">
      <c r="A978" t="s">
        <v>3664</v>
      </c>
      <c r="B978" t="s">
        <v>1661</v>
      </c>
      <c r="C978" t="s">
        <v>665</v>
      </c>
      <c r="D978" s="3">
        <v>1</v>
      </c>
      <c r="E978" s="2">
        <v>700</v>
      </c>
    </row>
    <row r="979" spans="1:5" x14ac:dyDescent="0.35">
      <c r="A979" t="s">
        <v>3665</v>
      </c>
      <c r="B979" t="s">
        <v>1662</v>
      </c>
      <c r="C979" t="s">
        <v>656</v>
      </c>
      <c r="D979" s="3">
        <v>2</v>
      </c>
      <c r="E979" s="2">
        <v>700</v>
      </c>
    </row>
    <row r="980" spans="1:5" x14ac:dyDescent="0.35">
      <c r="A980" t="s">
        <v>3666</v>
      </c>
      <c r="B980" t="s">
        <v>1663</v>
      </c>
      <c r="C980" t="s">
        <v>667</v>
      </c>
      <c r="D980" s="3">
        <v>1</v>
      </c>
      <c r="E980" s="2">
        <v>550</v>
      </c>
    </row>
    <row r="981" spans="1:5" x14ac:dyDescent="0.35">
      <c r="A981" t="s">
        <v>3667</v>
      </c>
      <c r="B981" t="s">
        <v>1664</v>
      </c>
      <c r="C981" t="s">
        <v>673</v>
      </c>
      <c r="D981" s="3">
        <v>1</v>
      </c>
      <c r="E981" s="2">
        <v>300</v>
      </c>
    </row>
    <row r="982" spans="1:5" x14ac:dyDescent="0.35">
      <c r="A982" t="s">
        <v>3668</v>
      </c>
      <c r="B982" t="s">
        <v>1665</v>
      </c>
      <c r="C982" t="s">
        <v>620</v>
      </c>
      <c r="D982" s="3">
        <v>1</v>
      </c>
      <c r="E982" s="2">
        <v>50</v>
      </c>
    </row>
    <row r="983" spans="1:5" x14ac:dyDescent="0.35">
      <c r="A983" t="s">
        <v>3669</v>
      </c>
      <c r="B983" t="s">
        <v>1666</v>
      </c>
      <c r="C983" t="s">
        <v>669</v>
      </c>
      <c r="D983" s="3">
        <v>1</v>
      </c>
      <c r="E983" s="2">
        <v>600</v>
      </c>
    </row>
    <row r="984" spans="1:5" x14ac:dyDescent="0.35">
      <c r="A984" t="s">
        <v>3670</v>
      </c>
      <c r="B984" t="s">
        <v>1667</v>
      </c>
      <c r="C984" t="s">
        <v>667</v>
      </c>
      <c r="D984" s="3">
        <v>1</v>
      </c>
      <c r="E984" s="2">
        <v>550</v>
      </c>
    </row>
    <row r="985" spans="1:5" x14ac:dyDescent="0.35">
      <c r="A985" t="s">
        <v>3671</v>
      </c>
      <c r="B985" t="s">
        <v>1668</v>
      </c>
      <c r="C985" t="s">
        <v>629</v>
      </c>
      <c r="D985" s="3">
        <v>1</v>
      </c>
      <c r="E985" s="2">
        <v>300</v>
      </c>
    </row>
    <row r="986" spans="1:5" x14ac:dyDescent="0.35">
      <c r="A986" t="s">
        <v>3672</v>
      </c>
      <c r="B986" t="s">
        <v>1669</v>
      </c>
      <c r="C986" t="s">
        <v>626</v>
      </c>
      <c r="D986" s="3">
        <v>2</v>
      </c>
      <c r="E986" s="2">
        <v>10000</v>
      </c>
    </row>
    <row r="987" spans="1:5" x14ac:dyDescent="0.35">
      <c r="A987" t="s">
        <v>3673</v>
      </c>
      <c r="B987" t="s">
        <v>1670</v>
      </c>
      <c r="C987" t="s">
        <v>626</v>
      </c>
      <c r="D987" s="3">
        <v>1</v>
      </c>
      <c r="E987" s="2">
        <v>5000</v>
      </c>
    </row>
    <row r="988" spans="1:5" x14ac:dyDescent="0.35">
      <c r="A988" t="s">
        <v>3674</v>
      </c>
      <c r="B988" t="s">
        <v>1671</v>
      </c>
      <c r="C988" t="s">
        <v>631</v>
      </c>
      <c r="D988" s="3">
        <v>1</v>
      </c>
      <c r="E988" s="2">
        <v>900</v>
      </c>
    </row>
    <row r="989" spans="1:5" x14ac:dyDescent="0.35">
      <c r="A989" t="s">
        <v>3675</v>
      </c>
      <c r="B989" t="s">
        <v>1672</v>
      </c>
      <c r="C989" t="s">
        <v>663</v>
      </c>
      <c r="D989" s="3">
        <v>2</v>
      </c>
      <c r="E989" s="2">
        <v>2800</v>
      </c>
    </row>
    <row r="990" spans="1:5" x14ac:dyDescent="0.35">
      <c r="A990" t="s">
        <v>3676</v>
      </c>
      <c r="B990" t="s">
        <v>1673</v>
      </c>
      <c r="C990" t="s">
        <v>665</v>
      </c>
      <c r="D990" s="3">
        <v>1</v>
      </c>
      <c r="E990" s="2">
        <v>700</v>
      </c>
    </row>
    <row r="991" spans="1:5" x14ac:dyDescent="0.35">
      <c r="A991" t="s">
        <v>3677</v>
      </c>
      <c r="B991" t="s">
        <v>1674</v>
      </c>
      <c r="C991" t="s">
        <v>647</v>
      </c>
      <c r="D991" s="3">
        <v>1</v>
      </c>
      <c r="E991" s="2">
        <v>4200</v>
      </c>
    </row>
    <row r="992" spans="1:5" x14ac:dyDescent="0.35">
      <c r="A992" t="s">
        <v>3678</v>
      </c>
      <c r="B992" t="s">
        <v>1675</v>
      </c>
      <c r="C992" t="s">
        <v>667</v>
      </c>
      <c r="D992" s="3">
        <v>1</v>
      </c>
      <c r="E992" s="2">
        <v>550</v>
      </c>
    </row>
    <row r="993" spans="1:5" x14ac:dyDescent="0.35">
      <c r="A993" t="s">
        <v>3679</v>
      </c>
      <c r="B993" t="s">
        <v>1676</v>
      </c>
      <c r="C993" t="s">
        <v>629</v>
      </c>
      <c r="D993" s="3">
        <v>1</v>
      </c>
      <c r="E993" s="2">
        <v>300</v>
      </c>
    </row>
    <row r="994" spans="1:5" x14ac:dyDescent="0.35">
      <c r="A994" t="s">
        <v>3680</v>
      </c>
      <c r="B994" t="s">
        <v>1677</v>
      </c>
      <c r="C994" t="s">
        <v>669</v>
      </c>
      <c r="D994" s="3">
        <v>1</v>
      </c>
      <c r="E994" s="2">
        <v>600</v>
      </c>
    </row>
    <row r="995" spans="1:5" x14ac:dyDescent="0.35">
      <c r="A995" t="s">
        <v>3681</v>
      </c>
      <c r="B995" t="s">
        <v>1678</v>
      </c>
      <c r="C995" t="s">
        <v>673</v>
      </c>
      <c r="D995" s="3">
        <v>2</v>
      </c>
      <c r="E995" s="2">
        <v>600</v>
      </c>
    </row>
    <row r="996" spans="1:5" x14ac:dyDescent="0.35">
      <c r="A996" t="s">
        <v>3682</v>
      </c>
      <c r="B996" t="s">
        <v>1679</v>
      </c>
      <c r="C996" t="s">
        <v>669</v>
      </c>
      <c r="D996" s="3">
        <v>1</v>
      </c>
      <c r="E996" s="2">
        <v>600</v>
      </c>
    </row>
    <row r="997" spans="1:5" x14ac:dyDescent="0.35">
      <c r="A997" t="s">
        <v>3683</v>
      </c>
      <c r="B997" t="s">
        <v>1680</v>
      </c>
      <c r="C997" t="s">
        <v>633</v>
      </c>
      <c r="D997" s="3">
        <v>1</v>
      </c>
      <c r="E997" s="2">
        <v>450</v>
      </c>
    </row>
    <row r="998" spans="1:5" x14ac:dyDescent="0.35">
      <c r="A998" t="s">
        <v>3684</v>
      </c>
      <c r="B998" t="s">
        <v>1681</v>
      </c>
      <c r="C998" t="s">
        <v>663</v>
      </c>
      <c r="D998" s="3">
        <v>1</v>
      </c>
      <c r="E998" s="2">
        <v>1400</v>
      </c>
    </row>
    <row r="999" spans="1:5" x14ac:dyDescent="0.35">
      <c r="A999" t="s">
        <v>3685</v>
      </c>
      <c r="B999" t="s">
        <v>1682</v>
      </c>
      <c r="C999" t="s">
        <v>617</v>
      </c>
      <c r="D999" s="3">
        <v>1</v>
      </c>
      <c r="E999" s="2">
        <v>200</v>
      </c>
    </row>
    <row r="1000" spans="1:5" x14ac:dyDescent="0.35">
      <c r="A1000" t="s">
        <v>3686</v>
      </c>
      <c r="B1000" t="s">
        <v>1683</v>
      </c>
      <c r="C1000" t="s">
        <v>649</v>
      </c>
      <c r="D1000" s="3">
        <v>1</v>
      </c>
      <c r="E1000" s="2">
        <v>800</v>
      </c>
    </row>
    <row r="1001" spans="1:5" x14ac:dyDescent="0.35">
      <c r="A1001" t="s">
        <v>3687</v>
      </c>
      <c r="B1001" t="s">
        <v>1684</v>
      </c>
      <c r="C1001" t="s">
        <v>671</v>
      </c>
      <c r="D1001" s="3">
        <v>1</v>
      </c>
      <c r="E1001" s="2">
        <v>400</v>
      </c>
    </row>
    <row r="1002" spans="1:5" x14ac:dyDescent="0.35">
      <c r="A1002" t="s">
        <v>3688</v>
      </c>
      <c r="B1002" t="s">
        <v>1685</v>
      </c>
      <c r="C1002" t="s">
        <v>626</v>
      </c>
      <c r="D1002" s="3">
        <v>1</v>
      </c>
      <c r="E1002" s="2">
        <v>5000</v>
      </c>
    </row>
    <row r="1003" spans="1:5" x14ac:dyDescent="0.35">
      <c r="A1003" t="s">
        <v>3689</v>
      </c>
      <c r="B1003" t="s">
        <v>1686</v>
      </c>
      <c r="C1003" t="s">
        <v>656</v>
      </c>
      <c r="D1003" s="3">
        <v>2</v>
      </c>
      <c r="E1003" s="2">
        <v>700</v>
      </c>
    </row>
    <row r="1004" spans="1:5" x14ac:dyDescent="0.35">
      <c r="A1004" t="s">
        <v>3690</v>
      </c>
      <c r="B1004" t="s">
        <v>1687</v>
      </c>
      <c r="C1004" t="s">
        <v>665</v>
      </c>
      <c r="D1004" s="3">
        <v>1</v>
      </c>
      <c r="E1004" s="2">
        <v>700</v>
      </c>
    </row>
    <row r="1005" spans="1:5" x14ac:dyDescent="0.35">
      <c r="A1005" t="s">
        <v>3691</v>
      </c>
      <c r="B1005" t="s">
        <v>1688</v>
      </c>
      <c r="C1005" t="s">
        <v>649</v>
      </c>
      <c r="D1005" s="3">
        <v>1</v>
      </c>
      <c r="E1005" s="2">
        <v>800</v>
      </c>
    </row>
    <row r="1006" spans="1:5" x14ac:dyDescent="0.35">
      <c r="A1006" t="s">
        <v>3692</v>
      </c>
      <c r="B1006" t="s">
        <v>1689</v>
      </c>
      <c r="C1006" t="s">
        <v>654</v>
      </c>
      <c r="D1006" s="3">
        <v>1</v>
      </c>
      <c r="E1006" s="2">
        <v>100</v>
      </c>
    </row>
    <row r="1007" spans="1:5" x14ac:dyDescent="0.35">
      <c r="A1007" t="s">
        <v>3693</v>
      </c>
      <c r="B1007" t="s">
        <v>1690</v>
      </c>
      <c r="C1007" t="s">
        <v>649</v>
      </c>
      <c r="D1007" s="3">
        <v>1</v>
      </c>
      <c r="E1007" s="2">
        <v>800</v>
      </c>
    </row>
    <row r="1008" spans="1:5" x14ac:dyDescent="0.35">
      <c r="A1008" t="s">
        <v>3694</v>
      </c>
      <c r="B1008" t="s">
        <v>1691</v>
      </c>
      <c r="C1008" t="s">
        <v>654</v>
      </c>
      <c r="D1008" s="3">
        <v>2</v>
      </c>
      <c r="E1008" s="2">
        <v>200</v>
      </c>
    </row>
    <row r="1009" spans="1:5" x14ac:dyDescent="0.35">
      <c r="A1009" t="s">
        <v>3695</v>
      </c>
      <c r="B1009" t="s">
        <v>1692</v>
      </c>
      <c r="C1009" t="s">
        <v>671</v>
      </c>
      <c r="D1009" s="3">
        <v>1</v>
      </c>
      <c r="E1009" s="2">
        <v>400</v>
      </c>
    </row>
    <row r="1010" spans="1:5" x14ac:dyDescent="0.35">
      <c r="A1010" t="s">
        <v>3696</v>
      </c>
      <c r="B1010" t="s">
        <v>1693</v>
      </c>
      <c r="C1010" t="s">
        <v>663</v>
      </c>
      <c r="D1010" s="3">
        <v>1</v>
      </c>
      <c r="E1010" s="2">
        <v>1400</v>
      </c>
    </row>
    <row r="1011" spans="1:5" x14ac:dyDescent="0.35">
      <c r="A1011" t="s">
        <v>3697</v>
      </c>
      <c r="B1011" t="s">
        <v>1694</v>
      </c>
      <c r="C1011" t="s">
        <v>635</v>
      </c>
      <c r="D1011" s="3">
        <v>1</v>
      </c>
      <c r="E1011" s="2">
        <v>180</v>
      </c>
    </row>
    <row r="1012" spans="1:5" x14ac:dyDescent="0.35">
      <c r="A1012" t="s">
        <v>3698</v>
      </c>
      <c r="B1012" t="s">
        <v>1695</v>
      </c>
      <c r="C1012" t="s">
        <v>671</v>
      </c>
      <c r="D1012" s="3">
        <v>1</v>
      </c>
      <c r="E1012" s="2">
        <v>400</v>
      </c>
    </row>
    <row r="1013" spans="1:5" x14ac:dyDescent="0.35">
      <c r="A1013" t="s">
        <v>3699</v>
      </c>
      <c r="B1013" t="s">
        <v>1696</v>
      </c>
      <c r="C1013" t="s">
        <v>623</v>
      </c>
      <c r="D1013" s="3">
        <v>1</v>
      </c>
      <c r="E1013" s="2">
        <v>1200</v>
      </c>
    </row>
    <row r="1014" spans="1:5" x14ac:dyDescent="0.35">
      <c r="A1014" t="s">
        <v>3700</v>
      </c>
      <c r="B1014" t="s">
        <v>1697</v>
      </c>
      <c r="C1014" t="s">
        <v>673</v>
      </c>
      <c r="D1014" s="3">
        <v>1</v>
      </c>
      <c r="E1014" s="2">
        <v>300</v>
      </c>
    </row>
    <row r="1015" spans="1:5" x14ac:dyDescent="0.35">
      <c r="A1015" t="s">
        <v>3701</v>
      </c>
      <c r="B1015" t="s">
        <v>1698</v>
      </c>
      <c r="C1015" t="s">
        <v>660</v>
      </c>
      <c r="D1015" s="3">
        <v>2</v>
      </c>
      <c r="E1015" s="2">
        <v>13000</v>
      </c>
    </row>
    <row r="1016" spans="1:5" x14ac:dyDescent="0.35">
      <c r="A1016" t="s">
        <v>3702</v>
      </c>
      <c r="B1016" t="s">
        <v>1699</v>
      </c>
      <c r="C1016" t="s">
        <v>617</v>
      </c>
      <c r="D1016" s="3">
        <v>1</v>
      </c>
      <c r="E1016" s="2">
        <v>200</v>
      </c>
    </row>
    <row r="1017" spans="1:5" x14ac:dyDescent="0.35">
      <c r="A1017" t="s">
        <v>3703</v>
      </c>
      <c r="B1017" t="s">
        <v>1700</v>
      </c>
      <c r="C1017" t="s">
        <v>620</v>
      </c>
      <c r="D1017" s="3">
        <v>1</v>
      </c>
      <c r="E1017" s="2">
        <v>50</v>
      </c>
    </row>
    <row r="1018" spans="1:5" x14ac:dyDescent="0.35">
      <c r="A1018" t="s">
        <v>3704</v>
      </c>
      <c r="B1018" t="s">
        <v>1701</v>
      </c>
      <c r="C1018" t="s">
        <v>651</v>
      </c>
      <c r="D1018" s="3">
        <v>1</v>
      </c>
      <c r="E1018" s="2">
        <v>120</v>
      </c>
    </row>
    <row r="1019" spans="1:5" x14ac:dyDescent="0.35">
      <c r="A1019" t="s">
        <v>3705</v>
      </c>
      <c r="B1019" t="s">
        <v>1702</v>
      </c>
      <c r="C1019" t="s">
        <v>667</v>
      </c>
      <c r="D1019" s="3">
        <v>1</v>
      </c>
      <c r="E1019" s="2">
        <v>550</v>
      </c>
    </row>
    <row r="1020" spans="1:5" x14ac:dyDescent="0.35">
      <c r="A1020" t="s">
        <v>3706</v>
      </c>
      <c r="B1020" t="s">
        <v>1703</v>
      </c>
      <c r="C1020" t="s">
        <v>641</v>
      </c>
      <c r="D1020" s="3">
        <v>1</v>
      </c>
      <c r="E1020" s="2">
        <v>1800</v>
      </c>
    </row>
    <row r="1021" spans="1:5" x14ac:dyDescent="0.35">
      <c r="A1021" t="s">
        <v>3707</v>
      </c>
      <c r="B1021" t="s">
        <v>1704</v>
      </c>
      <c r="C1021" t="s">
        <v>658</v>
      </c>
      <c r="D1021" s="3">
        <v>1</v>
      </c>
      <c r="E1021" s="2">
        <v>750</v>
      </c>
    </row>
    <row r="1022" spans="1:5" x14ac:dyDescent="0.35">
      <c r="A1022" t="s">
        <v>3708</v>
      </c>
      <c r="B1022" t="s">
        <v>1705</v>
      </c>
      <c r="C1022" t="s">
        <v>667</v>
      </c>
      <c r="D1022" s="3">
        <v>1</v>
      </c>
      <c r="E1022" s="2">
        <v>550</v>
      </c>
    </row>
    <row r="1023" spans="1:5" x14ac:dyDescent="0.35">
      <c r="A1023" t="s">
        <v>3709</v>
      </c>
      <c r="B1023" t="s">
        <v>1706</v>
      </c>
      <c r="C1023" t="s">
        <v>649</v>
      </c>
      <c r="D1023" s="3">
        <v>2</v>
      </c>
      <c r="E1023" s="2">
        <v>1600</v>
      </c>
    </row>
    <row r="1024" spans="1:5" x14ac:dyDescent="0.35">
      <c r="A1024" t="s">
        <v>3710</v>
      </c>
      <c r="B1024" t="s">
        <v>1707</v>
      </c>
      <c r="C1024" t="s">
        <v>656</v>
      </c>
      <c r="D1024" s="3">
        <v>1</v>
      </c>
      <c r="E1024" s="2">
        <v>350</v>
      </c>
    </row>
    <row r="1025" spans="1:5" x14ac:dyDescent="0.35">
      <c r="A1025" t="s">
        <v>3711</v>
      </c>
      <c r="B1025" t="s">
        <v>1708</v>
      </c>
      <c r="C1025" t="s">
        <v>647</v>
      </c>
      <c r="D1025" s="3">
        <v>1</v>
      </c>
      <c r="E1025" s="2">
        <v>4200</v>
      </c>
    </row>
    <row r="1026" spans="1:5" x14ac:dyDescent="0.35">
      <c r="A1026" t="s">
        <v>3712</v>
      </c>
      <c r="B1026" t="s">
        <v>1709</v>
      </c>
      <c r="C1026" t="s">
        <v>617</v>
      </c>
      <c r="D1026" s="3">
        <v>1</v>
      </c>
      <c r="E1026" s="2">
        <v>200</v>
      </c>
    </row>
    <row r="1027" spans="1:5" x14ac:dyDescent="0.35">
      <c r="A1027" t="s">
        <v>3713</v>
      </c>
      <c r="B1027" t="s">
        <v>1710</v>
      </c>
      <c r="C1027" t="s">
        <v>629</v>
      </c>
      <c r="D1027" s="3">
        <v>1</v>
      </c>
      <c r="E1027" s="2">
        <v>300</v>
      </c>
    </row>
    <row r="1028" spans="1:5" x14ac:dyDescent="0.35">
      <c r="A1028" t="s">
        <v>3714</v>
      </c>
      <c r="B1028" t="s">
        <v>1711</v>
      </c>
      <c r="C1028" t="s">
        <v>647</v>
      </c>
      <c r="D1028" s="3">
        <v>1</v>
      </c>
      <c r="E1028" s="2">
        <v>4200</v>
      </c>
    </row>
    <row r="1029" spans="1:5" x14ac:dyDescent="0.35">
      <c r="A1029" t="s">
        <v>3715</v>
      </c>
      <c r="B1029" t="s">
        <v>1712</v>
      </c>
      <c r="C1029" t="s">
        <v>673</v>
      </c>
      <c r="D1029" s="3">
        <v>1</v>
      </c>
      <c r="E1029" s="2">
        <v>300</v>
      </c>
    </row>
    <row r="1030" spans="1:5" x14ac:dyDescent="0.35">
      <c r="A1030" t="s">
        <v>3716</v>
      </c>
      <c r="B1030" t="s">
        <v>1713</v>
      </c>
      <c r="C1030" t="s">
        <v>649</v>
      </c>
      <c r="D1030" s="3">
        <v>1</v>
      </c>
      <c r="E1030" s="2">
        <v>800</v>
      </c>
    </row>
    <row r="1031" spans="1:5" x14ac:dyDescent="0.35">
      <c r="A1031" t="s">
        <v>3717</v>
      </c>
      <c r="B1031" t="s">
        <v>1714</v>
      </c>
      <c r="C1031" t="s">
        <v>671</v>
      </c>
      <c r="D1031" s="3">
        <v>1</v>
      </c>
      <c r="E1031" s="2">
        <v>400</v>
      </c>
    </row>
    <row r="1032" spans="1:5" x14ac:dyDescent="0.35">
      <c r="A1032" t="s">
        <v>3718</v>
      </c>
      <c r="B1032" t="s">
        <v>1715</v>
      </c>
      <c r="C1032" t="s">
        <v>623</v>
      </c>
      <c r="D1032" s="3">
        <v>1</v>
      </c>
      <c r="E1032" s="2">
        <v>1200</v>
      </c>
    </row>
    <row r="1033" spans="1:5" x14ac:dyDescent="0.35">
      <c r="A1033" t="s">
        <v>3719</v>
      </c>
      <c r="B1033" t="s">
        <v>1716</v>
      </c>
      <c r="C1033" t="s">
        <v>651</v>
      </c>
      <c r="D1033" s="3">
        <v>2</v>
      </c>
      <c r="E1033" s="2">
        <v>240</v>
      </c>
    </row>
    <row r="1034" spans="1:5" x14ac:dyDescent="0.35">
      <c r="A1034" t="s">
        <v>3720</v>
      </c>
      <c r="B1034" t="s">
        <v>1717</v>
      </c>
      <c r="C1034" t="s">
        <v>660</v>
      </c>
      <c r="D1034" s="3">
        <v>1</v>
      </c>
      <c r="E1034" s="2">
        <v>6500</v>
      </c>
    </row>
    <row r="1035" spans="1:5" x14ac:dyDescent="0.35">
      <c r="A1035" t="s">
        <v>3721</v>
      </c>
      <c r="B1035" t="s">
        <v>1718</v>
      </c>
      <c r="C1035" t="s">
        <v>656</v>
      </c>
      <c r="D1035" s="3">
        <v>1</v>
      </c>
      <c r="E1035" s="2">
        <v>350</v>
      </c>
    </row>
    <row r="1036" spans="1:5" x14ac:dyDescent="0.35">
      <c r="A1036" t="s">
        <v>3722</v>
      </c>
      <c r="B1036" t="s">
        <v>1719</v>
      </c>
      <c r="C1036" t="s">
        <v>623</v>
      </c>
      <c r="D1036" s="3">
        <v>2</v>
      </c>
      <c r="E1036" s="2">
        <v>2400</v>
      </c>
    </row>
    <row r="1037" spans="1:5" x14ac:dyDescent="0.35">
      <c r="A1037" t="s">
        <v>3723</v>
      </c>
      <c r="B1037" t="s">
        <v>1720</v>
      </c>
      <c r="C1037" t="s">
        <v>654</v>
      </c>
      <c r="D1037" s="3">
        <v>1</v>
      </c>
      <c r="E1037" s="2">
        <v>100</v>
      </c>
    </row>
    <row r="1038" spans="1:5" x14ac:dyDescent="0.35">
      <c r="A1038" t="s">
        <v>3724</v>
      </c>
      <c r="B1038" t="s">
        <v>1721</v>
      </c>
      <c r="C1038" t="s">
        <v>649</v>
      </c>
      <c r="D1038" s="3">
        <v>1</v>
      </c>
      <c r="E1038" s="2">
        <v>800</v>
      </c>
    </row>
    <row r="1039" spans="1:5" x14ac:dyDescent="0.35">
      <c r="A1039" t="s">
        <v>3725</v>
      </c>
      <c r="B1039" t="s">
        <v>1722</v>
      </c>
      <c r="C1039" t="s">
        <v>645</v>
      </c>
      <c r="D1039" s="3">
        <v>1</v>
      </c>
      <c r="E1039" s="2">
        <v>3500</v>
      </c>
    </row>
    <row r="1040" spans="1:5" x14ac:dyDescent="0.35">
      <c r="A1040" t="s">
        <v>3726</v>
      </c>
      <c r="B1040" t="s">
        <v>1723</v>
      </c>
      <c r="C1040" t="s">
        <v>645</v>
      </c>
      <c r="D1040" s="3">
        <v>1</v>
      </c>
      <c r="E1040" s="2">
        <v>3500</v>
      </c>
    </row>
    <row r="1041" spans="1:5" x14ac:dyDescent="0.35">
      <c r="A1041" t="s">
        <v>3727</v>
      </c>
      <c r="B1041" t="s">
        <v>1724</v>
      </c>
      <c r="C1041" t="s">
        <v>643</v>
      </c>
      <c r="D1041" s="3">
        <v>1</v>
      </c>
      <c r="E1041" s="2">
        <v>2200</v>
      </c>
    </row>
    <row r="1042" spans="1:5" x14ac:dyDescent="0.35">
      <c r="A1042" t="s">
        <v>3728</v>
      </c>
      <c r="B1042" t="s">
        <v>1725</v>
      </c>
      <c r="C1042" t="s">
        <v>656</v>
      </c>
      <c r="D1042" s="3">
        <v>1</v>
      </c>
      <c r="E1042" s="2">
        <v>350</v>
      </c>
    </row>
    <row r="1043" spans="1:5" x14ac:dyDescent="0.35">
      <c r="A1043" t="s">
        <v>3729</v>
      </c>
      <c r="B1043" t="s">
        <v>1726</v>
      </c>
      <c r="C1043" t="s">
        <v>635</v>
      </c>
      <c r="D1043" s="3">
        <v>2</v>
      </c>
      <c r="E1043" s="2">
        <v>360</v>
      </c>
    </row>
    <row r="1044" spans="1:5" x14ac:dyDescent="0.35">
      <c r="A1044" t="s">
        <v>3730</v>
      </c>
      <c r="B1044" t="s">
        <v>1727</v>
      </c>
      <c r="C1044" t="s">
        <v>656</v>
      </c>
      <c r="D1044" s="3">
        <v>1</v>
      </c>
      <c r="E1044" s="2">
        <v>350</v>
      </c>
    </row>
    <row r="1045" spans="1:5" x14ac:dyDescent="0.35">
      <c r="A1045" t="s">
        <v>3731</v>
      </c>
      <c r="B1045" t="s">
        <v>1728</v>
      </c>
      <c r="C1045" t="s">
        <v>665</v>
      </c>
      <c r="D1045" s="3">
        <v>1</v>
      </c>
      <c r="E1045" s="2">
        <v>700</v>
      </c>
    </row>
    <row r="1046" spans="1:5" x14ac:dyDescent="0.35">
      <c r="A1046" t="s">
        <v>3732</v>
      </c>
      <c r="B1046" t="s">
        <v>1729</v>
      </c>
      <c r="C1046" t="s">
        <v>673</v>
      </c>
      <c r="D1046" s="3">
        <v>1</v>
      </c>
      <c r="E1046" s="2">
        <v>300</v>
      </c>
    </row>
    <row r="1047" spans="1:5" x14ac:dyDescent="0.35">
      <c r="A1047" t="s">
        <v>3733</v>
      </c>
      <c r="B1047" t="s">
        <v>1730</v>
      </c>
      <c r="C1047" t="s">
        <v>669</v>
      </c>
      <c r="D1047" s="3">
        <v>1</v>
      </c>
      <c r="E1047" s="2">
        <v>600</v>
      </c>
    </row>
    <row r="1048" spans="1:5" x14ac:dyDescent="0.35">
      <c r="A1048" t="s">
        <v>3734</v>
      </c>
      <c r="B1048" t="s">
        <v>1731</v>
      </c>
      <c r="C1048" t="s">
        <v>663</v>
      </c>
      <c r="D1048" s="3">
        <v>2</v>
      </c>
      <c r="E1048" s="2">
        <v>2800</v>
      </c>
    </row>
    <row r="1049" spans="1:5" x14ac:dyDescent="0.35">
      <c r="A1049" t="s">
        <v>3735</v>
      </c>
      <c r="B1049" t="s">
        <v>1732</v>
      </c>
      <c r="C1049" t="s">
        <v>643</v>
      </c>
      <c r="D1049" s="3">
        <v>1</v>
      </c>
      <c r="E1049" s="2">
        <v>2200</v>
      </c>
    </row>
    <row r="1050" spans="1:5" x14ac:dyDescent="0.35">
      <c r="A1050" t="s">
        <v>3736</v>
      </c>
      <c r="B1050" t="s">
        <v>1733</v>
      </c>
      <c r="C1050" t="s">
        <v>673</v>
      </c>
      <c r="D1050" s="3">
        <v>1</v>
      </c>
      <c r="E1050" s="2">
        <v>300</v>
      </c>
    </row>
    <row r="1051" spans="1:5" x14ac:dyDescent="0.35">
      <c r="A1051" t="s">
        <v>3737</v>
      </c>
      <c r="B1051" t="s">
        <v>1734</v>
      </c>
      <c r="C1051" t="s">
        <v>673</v>
      </c>
      <c r="D1051" s="3">
        <v>1</v>
      </c>
      <c r="E1051" s="2">
        <v>300</v>
      </c>
    </row>
    <row r="1052" spans="1:5" x14ac:dyDescent="0.35">
      <c r="A1052" t="s">
        <v>3738</v>
      </c>
      <c r="B1052" t="s">
        <v>1735</v>
      </c>
      <c r="C1052" t="s">
        <v>620</v>
      </c>
      <c r="D1052" s="3">
        <v>1</v>
      </c>
      <c r="E1052" s="2">
        <v>50</v>
      </c>
    </row>
    <row r="1053" spans="1:5" x14ac:dyDescent="0.35">
      <c r="A1053" t="s">
        <v>3739</v>
      </c>
      <c r="B1053" t="s">
        <v>1736</v>
      </c>
      <c r="C1053" t="s">
        <v>641</v>
      </c>
      <c r="D1053" s="3">
        <v>1</v>
      </c>
      <c r="E1053" s="2">
        <v>1800</v>
      </c>
    </row>
    <row r="1054" spans="1:5" x14ac:dyDescent="0.35">
      <c r="A1054" t="s">
        <v>3740</v>
      </c>
      <c r="B1054" t="s">
        <v>1737</v>
      </c>
      <c r="C1054" t="s">
        <v>641</v>
      </c>
      <c r="D1054" s="3">
        <v>1</v>
      </c>
      <c r="E1054" s="2">
        <v>1800</v>
      </c>
    </row>
    <row r="1055" spans="1:5" x14ac:dyDescent="0.35">
      <c r="A1055" t="s">
        <v>3741</v>
      </c>
      <c r="B1055" t="s">
        <v>1738</v>
      </c>
      <c r="C1055" t="s">
        <v>643</v>
      </c>
      <c r="D1055" s="3">
        <v>1</v>
      </c>
      <c r="E1055" s="2">
        <v>2200</v>
      </c>
    </row>
    <row r="1056" spans="1:5" x14ac:dyDescent="0.35">
      <c r="A1056" t="s">
        <v>3742</v>
      </c>
      <c r="B1056" t="s">
        <v>1739</v>
      </c>
      <c r="C1056" t="s">
        <v>631</v>
      </c>
      <c r="D1056" s="3">
        <v>1</v>
      </c>
      <c r="E1056" s="2">
        <v>900</v>
      </c>
    </row>
    <row r="1057" spans="1:5" x14ac:dyDescent="0.35">
      <c r="A1057" t="s">
        <v>3743</v>
      </c>
      <c r="B1057" t="s">
        <v>1740</v>
      </c>
      <c r="C1057" t="s">
        <v>626</v>
      </c>
      <c r="D1057" s="3">
        <v>1</v>
      </c>
      <c r="E1057" s="2">
        <v>5000</v>
      </c>
    </row>
    <row r="1058" spans="1:5" x14ac:dyDescent="0.35">
      <c r="A1058" t="s">
        <v>3744</v>
      </c>
      <c r="B1058" t="s">
        <v>1741</v>
      </c>
      <c r="C1058" t="s">
        <v>671</v>
      </c>
      <c r="D1058" s="3">
        <v>1</v>
      </c>
      <c r="E1058" s="2">
        <v>400</v>
      </c>
    </row>
    <row r="1059" spans="1:5" x14ac:dyDescent="0.35">
      <c r="A1059" t="s">
        <v>3745</v>
      </c>
      <c r="B1059" t="s">
        <v>1742</v>
      </c>
      <c r="C1059" t="s">
        <v>645</v>
      </c>
      <c r="D1059" s="3">
        <v>1</v>
      </c>
      <c r="E1059" s="2">
        <v>3500</v>
      </c>
    </row>
    <row r="1060" spans="1:5" x14ac:dyDescent="0.35">
      <c r="A1060" t="s">
        <v>3746</v>
      </c>
      <c r="B1060" t="s">
        <v>1743</v>
      </c>
      <c r="C1060" t="s">
        <v>643</v>
      </c>
      <c r="D1060" s="3">
        <v>2</v>
      </c>
      <c r="E1060" s="2">
        <v>4400</v>
      </c>
    </row>
    <row r="1061" spans="1:5" x14ac:dyDescent="0.35">
      <c r="A1061" t="s">
        <v>3747</v>
      </c>
      <c r="B1061" t="s">
        <v>1744</v>
      </c>
      <c r="C1061" t="s">
        <v>669</v>
      </c>
      <c r="D1061" s="3">
        <v>1</v>
      </c>
      <c r="E1061" s="2">
        <v>600</v>
      </c>
    </row>
    <row r="1062" spans="1:5" x14ac:dyDescent="0.35">
      <c r="A1062" t="s">
        <v>3748</v>
      </c>
      <c r="B1062" t="s">
        <v>1745</v>
      </c>
      <c r="C1062" t="s">
        <v>669</v>
      </c>
      <c r="D1062" s="3">
        <v>2</v>
      </c>
      <c r="E1062" s="2">
        <v>1200</v>
      </c>
    </row>
    <row r="1063" spans="1:5" x14ac:dyDescent="0.35">
      <c r="A1063" t="s">
        <v>3749</v>
      </c>
      <c r="B1063" t="s">
        <v>1746</v>
      </c>
      <c r="C1063" t="s">
        <v>673</v>
      </c>
      <c r="D1063" s="3">
        <v>1</v>
      </c>
      <c r="E1063" s="2">
        <v>300</v>
      </c>
    </row>
    <row r="1064" spans="1:5" x14ac:dyDescent="0.35">
      <c r="A1064" t="s">
        <v>3750</v>
      </c>
      <c r="B1064" t="s">
        <v>1747</v>
      </c>
      <c r="C1064" t="s">
        <v>647</v>
      </c>
      <c r="D1064" s="3">
        <v>1</v>
      </c>
      <c r="E1064" s="2">
        <v>4200</v>
      </c>
    </row>
    <row r="1065" spans="1:5" x14ac:dyDescent="0.35">
      <c r="A1065" t="s">
        <v>3751</v>
      </c>
      <c r="B1065" t="s">
        <v>1748</v>
      </c>
      <c r="C1065" t="s">
        <v>629</v>
      </c>
      <c r="D1065" s="3">
        <v>1</v>
      </c>
      <c r="E1065" s="2">
        <v>300</v>
      </c>
    </row>
    <row r="1066" spans="1:5" x14ac:dyDescent="0.35">
      <c r="A1066" t="s">
        <v>3752</v>
      </c>
      <c r="B1066" t="s">
        <v>1749</v>
      </c>
      <c r="C1066" t="s">
        <v>631</v>
      </c>
      <c r="D1066" s="3">
        <v>1</v>
      </c>
      <c r="E1066" s="2">
        <v>900</v>
      </c>
    </row>
    <row r="1067" spans="1:5" x14ac:dyDescent="0.35">
      <c r="A1067" t="s">
        <v>3753</v>
      </c>
      <c r="B1067" t="s">
        <v>1750</v>
      </c>
      <c r="C1067" t="s">
        <v>617</v>
      </c>
      <c r="D1067" s="3">
        <v>1</v>
      </c>
      <c r="E1067" s="2">
        <v>200</v>
      </c>
    </row>
    <row r="1068" spans="1:5" x14ac:dyDescent="0.35">
      <c r="A1068" t="s">
        <v>3754</v>
      </c>
      <c r="B1068" t="s">
        <v>1751</v>
      </c>
      <c r="C1068" t="s">
        <v>631</v>
      </c>
      <c r="D1068" s="3">
        <v>1</v>
      </c>
      <c r="E1068" s="2">
        <v>900</v>
      </c>
    </row>
    <row r="1069" spans="1:5" x14ac:dyDescent="0.35">
      <c r="A1069" t="s">
        <v>3755</v>
      </c>
      <c r="B1069" t="s">
        <v>1752</v>
      </c>
      <c r="C1069" t="s">
        <v>658</v>
      </c>
      <c r="D1069" s="3">
        <v>1</v>
      </c>
      <c r="E1069" s="2">
        <v>750</v>
      </c>
    </row>
    <row r="1070" spans="1:5" x14ac:dyDescent="0.35">
      <c r="A1070" t="s">
        <v>3756</v>
      </c>
      <c r="B1070" t="s">
        <v>1753</v>
      </c>
      <c r="C1070" t="s">
        <v>667</v>
      </c>
      <c r="D1070" s="3">
        <v>1</v>
      </c>
      <c r="E1070" s="2">
        <v>550</v>
      </c>
    </row>
    <row r="1071" spans="1:5" x14ac:dyDescent="0.35">
      <c r="A1071" t="s">
        <v>3757</v>
      </c>
      <c r="B1071" t="s">
        <v>1754</v>
      </c>
      <c r="C1071" t="s">
        <v>638</v>
      </c>
      <c r="D1071" s="3">
        <v>1</v>
      </c>
      <c r="E1071" s="2">
        <v>150</v>
      </c>
    </row>
    <row r="1072" spans="1:5" x14ac:dyDescent="0.35">
      <c r="A1072" t="s">
        <v>3758</v>
      </c>
      <c r="B1072" t="s">
        <v>1755</v>
      </c>
      <c r="C1072" t="s">
        <v>671</v>
      </c>
      <c r="D1072" s="3">
        <v>1</v>
      </c>
      <c r="E1072" s="2">
        <v>400</v>
      </c>
    </row>
    <row r="1073" spans="1:5" x14ac:dyDescent="0.35">
      <c r="A1073" t="s">
        <v>3759</v>
      </c>
      <c r="B1073" t="s">
        <v>1756</v>
      </c>
      <c r="C1073" t="s">
        <v>673</v>
      </c>
      <c r="D1073" s="3">
        <v>1</v>
      </c>
      <c r="E1073" s="2">
        <v>300</v>
      </c>
    </row>
    <row r="1074" spans="1:5" x14ac:dyDescent="0.35">
      <c r="A1074" t="s">
        <v>3760</v>
      </c>
      <c r="B1074" t="s">
        <v>1757</v>
      </c>
      <c r="C1074" t="s">
        <v>651</v>
      </c>
      <c r="D1074" s="3">
        <v>1</v>
      </c>
      <c r="E1074" s="2">
        <v>120</v>
      </c>
    </row>
    <row r="1075" spans="1:5" x14ac:dyDescent="0.35">
      <c r="A1075" t="s">
        <v>3761</v>
      </c>
      <c r="B1075" t="s">
        <v>1758</v>
      </c>
      <c r="C1075" t="s">
        <v>635</v>
      </c>
      <c r="D1075" s="3">
        <v>1</v>
      </c>
      <c r="E1075" s="2">
        <v>180</v>
      </c>
    </row>
    <row r="1076" spans="1:5" x14ac:dyDescent="0.35">
      <c r="A1076" t="s">
        <v>3762</v>
      </c>
      <c r="B1076" t="s">
        <v>1759</v>
      </c>
      <c r="C1076" t="s">
        <v>660</v>
      </c>
      <c r="D1076" s="3">
        <v>1</v>
      </c>
      <c r="E1076" s="2">
        <v>6500</v>
      </c>
    </row>
    <row r="1077" spans="1:5" x14ac:dyDescent="0.35">
      <c r="A1077" t="s">
        <v>3763</v>
      </c>
      <c r="B1077" t="s">
        <v>1760</v>
      </c>
      <c r="C1077" t="s">
        <v>671</v>
      </c>
      <c r="D1077" s="3">
        <v>1</v>
      </c>
      <c r="E1077" s="2">
        <v>400</v>
      </c>
    </row>
    <row r="1078" spans="1:5" x14ac:dyDescent="0.35">
      <c r="A1078" t="s">
        <v>3764</v>
      </c>
      <c r="B1078" t="s">
        <v>1761</v>
      </c>
      <c r="C1078" t="s">
        <v>654</v>
      </c>
      <c r="D1078" s="3">
        <v>1</v>
      </c>
      <c r="E1078" s="2">
        <v>100</v>
      </c>
    </row>
    <row r="1079" spans="1:5" x14ac:dyDescent="0.35">
      <c r="A1079" t="s">
        <v>3765</v>
      </c>
      <c r="B1079" t="s">
        <v>1762</v>
      </c>
      <c r="C1079" t="s">
        <v>631</v>
      </c>
      <c r="D1079" s="3">
        <v>1</v>
      </c>
      <c r="E1079" s="2">
        <v>900</v>
      </c>
    </row>
    <row r="1080" spans="1:5" x14ac:dyDescent="0.35">
      <c r="A1080" t="s">
        <v>3766</v>
      </c>
      <c r="B1080" t="s">
        <v>1763</v>
      </c>
      <c r="C1080" t="s">
        <v>631</v>
      </c>
      <c r="D1080" s="3">
        <v>1</v>
      </c>
      <c r="E1080" s="2">
        <v>900</v>
      </c>
    </row>
    <row r="1081" spans="1:5" x14ac:dyDescent="0.35">
      <c r="A1081" t="s">
        <v>3767</v>
      </c>
      <c r="B1081" t="s">
        <v>1764</v>
      </c>
      <c r="C1081" t="s">
        <v>667</v>
      </c>
      <c r="D1081" s="3">
        <v>2</v>
      </c>
      <c r="E1081" s="2">
        <v>1100</v>
      </c>
    </row>
    <row r="1082" spans="1:5" x14ac:dyDescent="0.35">
      <c r="A1082" t="s">
        <v>3768</v>
      </c>
      <c r="B1082" t="s">
        <v>1765</v>
      </c>
      <c r="C1082" t="s">
        <v>623</v>
      </c>
      <c r="D1082" s="3">
        <v>1</v>
      </c>
      <c r="E1082" s="2">
        <v>1200</v>
      </c>
    </row>
    <row r="1083" spans="1:5" x14ac:dyDescent="0.35">
      <c r="A1083" t="s">
        <v>3769</v>
      </c>
      <c r="B1083" t="s">
        <v>1766</v>
      </c>
      <c r="C1083" t="s">
        <v>641</v>
      </c>
      <c r="D1083" s="3">
        <v>2</v>
      </c>
      <c r="E1083" s="2">
        <v>3600</v>
      </c>
    </row>
    <row r="1084" spans="1:5" x14ac:dyDescent="0.35">
      <c r="A1084" t="s">
        <v>3770</v>
      </c>
      <c r="B1084" t="s">
        <v>1767</v>
      </c>
      <c r="C1084" t="s">
        <v>617</v>
      </c>
      <c r="D1084" s="3">
        <v>1</v>
      </c>
      <c r="E1084" s="2">
        <v>200</v>
      </c>
    </row>
    <row r="1085" spans="1:5" x14ac:dyDescent="0.35">
      <c r="A1085" t="s">
        <v>3771</v>
      </c>
      <c r="B1085" t="s">
        <v>1768</v>
      </c>
      <c r="C1085" t="s">
        <v>649</v>
      </c>
      <c r="D1085" s="3">
        <v>2</v>
      </c>
      <c r="E1085" s="2">
        <v>1600</v>
      </c>
    </row>
    <row r="1086" spans="1:5" x14ac:dyDescent="0.35">
      <c r="A1086" t="s">
        <v>3772</v>
      </c>
      <c r="B1086" t="s">
        <v>1769</v>
      </c>
      <c r="C1086" t="s">
        <v>626</v>
      </c>
      <c r="D1086" s="3">
        <v>1</v>
      </c>
      <c r="E1086" s="2">
        <v>5000</v>
      </c>
    </row>
    <row r="1087" spans="1:5" x14ac:dyDescent="0.35">
      <c r="A1087" t="s">
        <v>3773</v>
      </c>
      <c r="B1087" t="s">
        <v>1770</v>
      </c>
      <c r="C1087" t="s">
        <v>645</v>
      </c>
      <c r="D1087" s="3">
        <v>1</v>
      </c>
      <c r="E1087" s="2">
        <v>3500</v>
      </c>
    </row>
    <row r="1088" spans="1:5" x14ac:dyDescent="0.35">
      <c r="A1088" t="s">
        <v>3774</v>
      </c>
      <c r="B1088" t="s">
        <v>1771</v>
      </c>
      <c r="C1088" t="s">
        <v>631</v>
      </c>
      <c r="D1088" s="3">
        <v>1</v>
      </c>
      <c r="E1088" s="2">
        <v>900</v>
      </c>
    </row>
    <row r="1089" spans="1:5" x14ac:dyDescent="0.35">
      <c r="A1089" t="s">
        <v>3775</v>
      </c>
      <c r="B1089" t="s">
        <v>1772</v>
      </c>
      <c r="C1089" t="s">
        <v>643</v>
      </c>
      <c r="D1089" s="3">
        <v>1</v>
      </c>
      <c r="E1089" s="2">
        <v>2200</v>
      </c>
    </row>
    <row r="1090" spans="1:5" x14ac:dyDescent="0.35">
      <c r="A1090" t="s">
        <v>3776</v>
      </c>
      <c r="B1090" t="s">
        <v>1773</v>
      </c>
      <c r="C1090" t="s">
        <v>645</v>
      </c>
      <c r="D1090" s="3">
        <v>1</v>
      </c>
      <c r="E1090" s="2">
        <v>3500</v>
      </c>
    </row>
    <row r="1091" spans="1:5" x14ac:dyDescent="0.35">
      <c r="A1091" t="s">
        <v>3777</v>
      </c>
      <c r="B1091" t="s">
        <v>1774</v>
      </c>
      <c r="C1091" t="s">
        <v>641</v>
      </c>
      <c r="D1091" s="3">
        <v>3</v>
      </c>
      <c r="E1091" s="2">
        <v>5400</v>
      </c>
    </row>
    <row r="1092" spans="1:5" x14ac:dyDescent="0.35">
      <c r="A1092" t="s">
        <v>3778</v>
      </c>
      <c r="B1092" t="s">
        <v>1775</v>
      </c>
      <c r="C1092" t="s">
        <v>658</v>
      </c>
      <c r="D1092" s="3">
        <v>3</v>
      </c>
      <c r="E1092" s="2">
        <v>2250</v>
      </c>
    </row>
    <row r="1093" spans="1:5" x14ac:dyDescent="0.35">
      <c r="A1093" t="s">
        <v>3779</v>
      </c>
      <c r="B1093" t="s">
        <v>1776</v>
      </c>
      <c r="C1093" t="s">
        <v>633</v>
      </c>
      <c r="D1093" s="3">
        <v>1</v>
      </c>
      <c r="E1093" s="2">
        <v>450</v>
      </c>
    </row>
    <row r="1094" spans="1:5" x14ac:dyDescent="0.35">
      <c r="A1094" t="s">
        <v>3780</v>
      </c>
      <c r="B1094" t="s">
        <v>1777</v>
      </c>
      <c r="C1094" t="s">
        <v>633</v>
      </c>
      <c r="D1094" s="3">
        <v>2</v>
      </c>
      <c r="E1094" s="2">
        <v>900</v>
      </c>
    </row>
    <row r="1095" spans="1:5" x14ac:dyDescent="0.35">
      <c r="A1095" t="s">
        <v>3781</v>
      </c>
      <c r="B1095" t="s">
        <v>1778</v>
      </c>
      <c r="C1095" t="s">
        <v>643</v>
      </c>
      <c r="D1095" s="3">
        <v>2</v>
      </c>
      <c r="E1095" s="2">
        <v>4400</v>
      </c>
    </row>
    <row r="1096" spans="1:5" x14ac:dyDescent="0.35">
      <c r="A1096" t="s">
        <v>3782</v>
      </c>
      <c r="B1096" t="s">
        <v>1779</v>
      </c>
      <c r="C1096" t="s">
        <v>626</v>
      </c>
      <c r="D1096" s="3">
        <v>1</v>
      </c>
      <c r="E1096" s="2">
        <v>5000</v>
      </c>
    </row>
    <row r="1097" spans="1:5" x14ac:dyDescent="0.35">
      <c r="A1097" t="s">
        <v>3783</v>
      </c>
      <c r="B1097" t="s">
        <v>1780</v>
      </c>
      <c r="C1097" t="s">
        <v>663</v>
      </c>
      <c r="D1097" s="3">
        <v>1</v>
      </c>
      <c r="E1097" s="2">
        <v>1400</v>
      </c>
    </row>
    <row r="1098" spans="1:5" x14ac:dyDescent="0.35">
      <c r="A1098" t="s">
        <v>3784</v>
      </c>
      <c r="B1098" t="s">
        <v>1781</v>
      </c>
      <c r="C1098" t="s">
        <v>617</v>
      </c>
      <c r="D1098" s="3">
        <v>1</v>
      </c>
      <c r="E1098" s="2">
        <v>200</v>
      </c>
    </row>
    <row r="1099" spans="1:5" x14ac:dyDescent="0.35">
      <c r="A1099" t="s">
        <v>3785</v>
      </c>
      <c r="B1099" t="s">
        <v>1782</v>
      </c>
      <c r="C1099" t="s">
        <v>647</v>
      </c>
      <c r="D1099" s="3">
        <v>1</v>
      </c>
      <c r="E1099" s="2">
        <v>4200</v>
      </c>
    </row>
    <row r="1100" spans="1:5" x14ac:dyDescent="0.35">
      <c r="A1100" t="s">
        <v>3786</v>
      </c>
      <c r="B1100" t="s">
        <v>1783</v>
      </c>
      <c r="C1100" t="s">
        <v>658</v>
      </c>
      <c r="D1100" s="3">
        <v>1</v>
      </c>
      <c r="E1100" s="2">
        <v>750</v>
      </c>
    </row>
    <row r="1101" spans="1:5" x14ac:dyDescent="0.35">
      <c r="A1101" t="s">
        <v>3787</v>
      </c>
      <c r="B1101" t="s">
        <v>1784</v>
      </c>
      <c r="C1101" t="s">
        <v>638</v>
      </c>
      <c r="D1101" s="3">
        <v>1</v>
      </c>
      <c r="E1101" s="2">
        <v>150</v>
      </c>
    </row>
    <row r="1102" spans="1:5" x14ac:dyDescent="0.35">
      <c r="A1102" t="s">
        <v>3788</v>
      </c>
      <c r="B1102" t="s">
        <v>1785</v>
      </c>
      <c r="C1102" t="s">
        <v>671</v>
      </c>
      <c r="D1102" s="3">
        <v>1</v>
      </c>
      <c r="E1102" s="2">
        <v>400</v>
      </c>
    </row>
    <row r="1103" spans="1:5" x14ac:dyDescent="0.35">
      <c r="A1103" t="s">
        <v>3789</v>
      </c>
      <c r="B1103" t="s">
        <v>1786</v>
      </c>
      <c r="C1103" t="s">
        <v>671</v>
      </c>
      <c r="D1103" s="3">
        <v>1</v>
      </c>
      <c r="E1103" s="2">
        <v>400</v>
      </c>
    </row>
    <row r="1104" spans="1:5" x14ac:dyDescent="0.35">
      <c r="A1104" t="s">
        <v>3790</v>
      </c>
      <c r="B1104" t="s">
        <v>1787</v>
      </c>
      <c r="C1104" t="s">
        <v>638</v>
      </c>
      <c r="D1104" s="3">
        <v>2</v>
      </c>
      <c r="E1104" s="2">
        <v>300</v>
      </c>
    </row>
    <row r="1105" spans="1:5" x14ac:dyDescent="0.35">
      <c r="A1105" t="s">
        <v>3791</v>
      </c>
      <c r="B1105" t="s">
        <v>1788</v>
      </c>
      <c r="C1105" t="s">
        <v>669</v>
      </c>
      <c r="D1105" s="3">
        <v>1</v>
      </c>
      <c r="E1105" s="2">
        <v>600</v>
      </c>
    </row>
    <row r="1106" spans="1:5" x14ac:dyDescent="0.35">
      <c r="A1106" t="s">
        <v>3792</v>
      </c>
      <c r="B1106" t="s">
        <v>1789</v>
      </c>
      <c r="C1106" t="s">
        <v>638</v>
      </c>
      <c r="D1106" s="3">
        <v>1</v>
      </c>
      <c r="E1106" s="2">
        <v>150</v>
      </c>
    </row>
    <row r="1107" spans="1:5" x14ac:dyDescent="0.35">
      <c r="A1107" t="s">
        <v>3793</v>
      </c>
      <c r="B1107" t="s">
        <v>1790</v>
      </c>
      <c r="C1107" t="s">
        <v>641</v>
      </c>
      <c r="D1107" s="3">
        <v>1</v>
      </c>
      <c r="E1107" s="2">
        <v>1800</v>
      </c>
    </row>
    <row r="1108" spans="1:5" x14ac:dyDescent="0.35">
      <c r="A1108" t="s">
        <v>3794</v>
      </c>
      <c r="B1108" t="s">
        <v>1791</v>
      </c>
      <c r="C1108" t="s">
        <v>620</v>
      </c>
      <c r="D1108" s="3">
        <v>1</v>
      </c>
      <c r="E1108" s="2">
        <v>50</v>
      </c>
    </row>
    <row r="1109" spans="1:5" x14ac:dyDescent="0.35">
      <c r="A1109" t="s">
        <v>3795</v>
      </c>
      <c r="B1109" t="s">
        <v>1792</v>
      </c>
      <c r="C1109" t="s">
        <v>631</v>
      </c>
      <c r="D1109" s="3">
        <v>1</v>
      </c>
      <c r="E1109" s="2">
        <v>900</v>
      </c>
    </row>
    <row r="1110" spans="1:5" x14ac:dyDescent="0.35">
      <c r="A1110" t="s">
        <v>3796</v>
      </c>
      <c r="B1110" t="s">
        <v>1793</v>
      </c>
      <c r="C1110" t="s">
        <v>651</v>
      </c>
      <c r="D1110" s="3">
        <v>1</v>
      </c>
      <c r="E1110" s="2">
        <v>120</v>
      </c>
    </row>
    <row r="1111" spans="1:5" x14ac:dyDescent="0.35">
      <c r="A1111" t="s">
        <v>3797</v>
      </c>
      <c r="B1111" t="s">
        <v>1794</v>
      </c>
      <c r="C1111" t="s">
        <v>623</v>
      </c>
      <c r="D1111" s="3">
        <v>1</v>
      </c>
      <c r="E1111" s="2">
        <v>1200</v>
      </c>
    </row>
    <row r="1112" spans="1:5" x14ac:dyDescent="0.35">
      <c r="A1112" t="s">
        <v>3798</v>
      </c>
      <c r="B1112" t="s">
        <v>1795</v>
      </c>
      <c r="C1112" t="s">
        <v>643</v>
      </c>
      <c r="D1112" s="3">
        <v>2</v>
      </c>
      <c r="E1112" s="2">
        <v>4400</v>
      </c>
    </row>
    <row r="1113" spans="1:5" x14ac:dyDescent="0.35">
      <c r="A1113" t="s">
        <v>3799</v>
      </c>
      <c r="B1113" t="s">
        <v>1796</v>
      </c>
      <c r="C1113" t="s">
        <v>631</v>
      </c>
      <c r="D1113" s="3">
        <v>1</v>
      </c>
      <c r="E1113" s="2">
        <v>900</v>
      </c>
    </row>
    <row r="1114" spans="1:5" x14ac:dyDescent="0.35">
      <c r="A1114" t="s">
        <v>3800</v>
      </c>
      <c r="B1114" t="s">
        <v>1797</v>
      </c>
      <c r="C1114" t="s">
        <v>623</v>
      </c>
      <c r="D1114" s="3">
        <v>1</v>
      </c>
      <c r="E1114" s="2">
        <v>1200</v>
      </c>
    </row>
    <row r="1115" spans="1:5" x14ac:dyDescent="0.35">
      <c r="A1115" t="s">
        <v>3801</v>
      </c>
      <c r="B1115" t="s">
        <v>1798</v>
      </c>
      <c r="C1115" t="s">
        <v>671</v>
      </c>
      <c r="D1115" s="3">
        <v>1</v>
      </c>
      <c r="E1115" s="2">
        <v>400</v>
      </c>
    </row>
    <row r="1116" spans="1:5" x14ac:dyDescent="0.35">
      <c r="A1116" t="s">
        <v>3802</v>
      </c>
      <c r="B1116" t="s">
        <v>1799</v>
      </c>
      <c r="C1116" t="s">
        <v>643</v>
      </c>
      <c r="D1116" s="3">
        <v>2</v>
      </c>
      <c r="E1116" s="2">
        <v>4400</v>
      </c>
    </row>
    <row r="1117" spans="1:5" x14ac:dyDescent="0.35">
      <c r="A1117" t="s">
        <v>3803</v>
      </c>
      <c r="B1117" t="s">
        <v>1800</v>
      </c>
      <c r="C1117" t="s">
        <v>651</v>
      </c>
      <c r="D1117" s="3">
        <v>1</v>
      </c>
      <c r="E1117" s="2">
        <v>120</v>
      </c>
    </row>
    <row r="1118" spans="1:5" x14ac:dyDescent="0.35">
      <c r="A1118" t="s">
        <v>3804</v>
      </c>
      <c r="B1118" t="s">
        <v>1801</v>
      </c>
      <c r="C1118" t="s">
        <v>647</v>
      </c>
      <c r="D1118" s="3">
        <v>1</v>
      </c>
      <c r="E1118" s="2">
        <v>4200</v>
      </c>
    </row>
    <row r="1119" spans="1:5" x14ac:dyDescent="0.35">
      <c r="A1119" t="s">
        <v>3805</v>
      </c>
      <c r="B1119" t="s">
        <v>1802</v>
      </c>
      <c r="C1119" t="s">
        <v>663</v>
      </c>
      <c r="D1119" s="3">
        <v>1</v>
      </c>
      <c r="E1119" s="2">
        <v>1400</v>
      </c>
    </row>
    <row r="1120" spans="1:5" x14ac:dyDescent="0.35">
      <c r="A1120" t="s">
        <v>3806</v>
      </c>
      <c r="B1120" t="s">
        <v>1803</v>
      </c>
      <c r="C1120" t="s">
        <v>641</v>
      </c>
      <c r="D1120" s="3">
        <v>2</v>
      </c>
      <c r="E1120" s="2">
        <v>3600</v>
      </c>
    </row>
    <row r="1121" spans="1:5" x14ac:dyDescent="0.35">
      <c r="A1121" t="s">
        <v>3807</v>
      </c>
      <c r="B1121" t="s">
        <v>1804</v>
      </c>
      <c r="C1121" t="s">
        <v>631</v>
      </c>
      <c r="D1121" s="3">
        <v>1</v>
      </c>
      <c r="E1121" s="2">
        <v>900</v>
      </c>
    </row>
    <row r="1122" spans="1:5" x14ac:dyDescent="0.35">
      <c r="A1122" t="s">
        <v>3808</v>
      </c>
      <c r="B1122" t="s">
        <v>1805</v>
      </c>
      <c r="C1122" t="s">
        <v>651</v>
      </c>
      <c r="D1122" s="3">
        <v>1</v>
      </c>
      <c r="E1122" s="2">
        <v>120</v>
      </c>
    </row>
    <row r="1123" spans="1:5" x14ac:dyDescent="0.35">
      <c r="A1123" t="s">
        <v>3809</v>
      </c>
      <c r="B1123" t="s">
        <v>1806</v>
      </c>
      <c r="C1123" t="s">
        <v>673</v>
      </c>
      <c r="D1123" s="3">
        <v>1</v>
      </c>
      <c r="E1123" s="2">
        <v>300</v>
      </c>
    </row>
    <row r="1124" spans="1:5" x14ac:dyDescent="0.35">
      <c r="A1124" t="s">
        <v>3810</v>
      </c>
      <c r="B1124" t="s">
        <v>1807</v>
      </c>
      <c r="C1124" t="s">
        <v>658</v>
      </c>
      <c r="D1124" s="3">
        <v>2</v>
      </c>
      <c r="E1124" s="2">
        <v>1500</v>
      </c>
    </row>
    <row r="1125" spans="1:5" x14ac:dyDescent="0.35">
      <c r="A1125" t="s">
        <v>3811</v>
      </c>
      <c r="B1125" t="s">
        <v>1808</v>
      </c>
      <c r="C1125" t="s">
        <v>658</v>
      </c>
      <c r="D1125" s="3">
        <v>1</v>
      </c>
      <c r="E1125" s="2">
        <v>750</v>
      </c>
    </row>
    <row r="1126" spans="1:5" x14ac:dyDescent="0.35">
      <c r="A1126" t="s">
        <v>3812</v>
      </c>
      <c r="B1126" t="s">
        <v>1809</v>
      </c>
      <c r="C1126" t="s">
        <v>633</v>
      </c>
      <c r="D1126" s="3">
        <v>2</v>
      </c>
      <c r="E1126" s="2">
        <v>900</v>
      </c>
    </row>
    <row r="1127" spans="1:5" x14ac:dyDescent="0.35">
      <c r="A1127" t="s">
        <v>3813</v>
      </c>
      <c r="B1127" t="s">
        <v>1810</v>
      </c>
      <c r="C1127" t="s">
        <v>651</v>
      </c>
      <c r="D1127" s="3">
        <v>1</v>
      </c>
      <c r="E1127" s="2">
        <v>120</v>
      </c>
    </row>
    <row r="1128" spans="1:5" x14ac:dyDescent="0.35">
      <c r="A1128" t="s">
        <v>3814</v>
      </c>
      <c r="B1128" t="s">
        <v>1811</v>
      </c>
      <c r="C1128" t="s">
        <v>658</v>
      </c>
      <c r="D1128" s="3">
        <v>1</v>
      </c>
      <c r="E1128" s="2">
        <v>750</v>
      </c>
    </row>
    <row r="1129" spans="1:5" x14ac:dyDescent="0.35">
      <c r="A1129" t="s">
        <v>3815</v>
      </c>
      <c r="B1129" t="s">
        <v>1812</v>
      </c>
      <c r="C1129" t="s">
        <v>658</v>
      </c>
      <c r="D1129" s="3">
        <v>1</v>
      </c>
      <c r="E1129" s="2">
        <v>750</v>
      </c>
    </row>
    <row r="1130" spans="1:5" x14ac:dyDescent="0.35">
      <c r="A1130" t="s">
        <v>3816</v>
      </c>
      <c r="B1130" t="s">
        <v>1813</v>
      </c>
      <c r="C1130" t="s">
        <v>663</v>
      </c>
      <c r="D1130" s="3">
        <v>1</v>
      </c>
      <c r="E1130" s="2">
        <v>1400</v>
      </c>
    </row>
    <row r="1131" spans="1:5" x14ac:dyDescent="0.35">
      <c r="A1131" t="s">
        <v>3817</v>
      </c>
      <c r="B1131" t="s">
        <v>1814</v>
      </c>
      <c r="C1131" t="s">
        <v>638</v>
      </c>
      <c r="D1131" s="3">
        <v>1</v>
      </c>
      <c r="E1131" s="2">
        <v>150</v>
      </c>
    </row>
    <row r="1132" spans="1:5" x14ac:dyDescent="0.35">
      <c r="A1132" t="s">
        <v>3818</v>
      </c>
      <c r="B1132" t="s">
        <v>1815</v>
      </c>
      <c r="C1132" t="s">
        <v>671</v>
      </c>
      <c r="D1132" s="3">
        <v>1</v>
      </c>
      <c r="E1132" s="2">
        <v>400</v>
      </c>
    </row>
    <row r="1133" spans="1:5" x14ac:dyDescent="0.35">
      <c r="A1133" t="s">
        <v>3819</v>
      </c>
      <c r="B1133" t="s">
        <v>1816</v>
      </c>
      <c r="C1133" t="s">
        <v>620</v>
      </c>
      <c r="D1133" s="3">
        <v>1</v>
      </c>
      <c r="E1133" s="2">
        <v>50</v>
      </c>
    </row>
    <row r="1134" spans="1:5" x14ac:dyDescent="0.35">
      <c r="A1134" t="s">
        <v>3820</v>
      </c>
      <c r="B1134" t="s">
        <v>1817</v>
      </c>
      <c r="C1134" t="s">
        <v>635</v>
      </c>
      <c r="D1134" s="3">
        <v>1</v>
      </c>
      <c r="E1134" s="2">
        <v>180</v>
      </c>
    </row>
    <row r="1135" spans="1:5" x14ac:dyDescent="0.35">
      <c r="A1135" t="s">
        <v>3821</v>
      </c>
      <c r="B1135" t="s">
        <v>1818</v>
      </c>
      <c r="C1135" t="s">
        <v>663</v>
      </c>
      <c r="D1135" s="3">
        <v>1</v>
      </c>
      <c r="E1135" s="2">
        <v>1400</v>
      </c>
    </row>
    <row r="1136" spans="1:5" x14ac:dyDescent="0.35">
      <c r="A1136" t="s">
        <v>3822</v>
      </c>
      <c r="B1136" t="s">
        <v>1819</v>
      </c>
      <c r="C1136" t="s">
        <v>620</v>
      </c>
      <c r="D1136" s="3">
        <v>1</v>
      </c>
      <c r="E1136" s="2">
        <v>50</v>
      </c>
    </row>
    <row r="1137" spans="1:5" x14ac:dyDescent="0.35">
      <c r="A1137" t="s">
        <v>3823</v>
      </c>
      <c r="B1137" t="s">
        <v>1820</v>
      </c>
      <c r="C1137" t="s">
        <v>643</v>
      </c>
      <c r="D1137" s="3">
        <v>2</v>
      </c>
      <c r="E1137" s="2">
        <v>4400</v>
      </c>
    </row>
    <row r="1138" spans="1:5" x14ac:dyDescent="0.35">
      <c r="A1138" t="s">
        <v>3824</v>
      </c>
      <c r="B1138" t="s">
        <v>1821</v>
      </c>
      <c r="C1138" t="s">
        <v>633</v>
      </c>
      <c r="D1138" s="3">
        <v>1</v>
      </c>
      <c r="E1138" s="2">
        <v>450</v>
      </c>
    </row>
    <row r="1139" spans="1:5" x14ac:dyDescent="0.35">
      <c r="A1139" t="s">
        <v>3825</v>
      </c>
      <c r="B1139" t="s">
        <v>1822</v>
      </c>
      <c r="C1139" t="s">
        <v>631</v>
      </c>
      <c r="D1139" s="3">
        <v>1</v>
      </c>
      <c r="E1139" s="2">
        <v>900</v>
      </c>
    </row>
    <row r="1140" spans="1:5" x14ac:dyDescent="0.35">
      <c r="A1140" t="s">
        <v>3826</v>
      </c>
      <c r="B1140" t="s">
        <v>1823</v>
      </c>
      <c r="C1140" t="s">
        <v>641</v>
      </c>
      <c r="D1140" s="3">
        <v>1</v>
      </c>
      <c r="E1140" s="2">
        <v>1800</v>
      </c>
    </row>
    <row r="1141" spans="1:5" x14ac:dyDescent="0.35">
      <c r="A1141" t="s">
        <v>3827</v>
      </c>
      <c r="B1141" t="s">
        <v>1824</v>
      </c>
      <c r="C1141" t="s">
        <v>629</v>
      </c>
      <c r="D1141" s="3">
        <v>1</v>
      </c>
      <c r="E1141" s="2">
        <v>300</v>
      </c>
    </row>
    <row r="1142" spans="1:5" x14ac:dyDescent="0.35">
      <c r="A1142" t="s">
        <v>3828</v>
      </c>
      <c r="B1142" t="s">
        <v>1825</v>
      </c>
      <c r="C1142" t="s">
        <v>643</v>
      </c>
      <c r="D1142" s="3">
        <v>1</v>
      </c>
      <c r="E1142" s="2">
        <v>2200</v>
      </c>
    </row>
    <row r="1143" spans="1:5" x14ac:dyDescent="0.35">
      <c r="A1143" t="s">
        <v>3829</v>
      </c>
      <c r="B1143" t="s">
        <v>1826</v>
      </c>
      <c r="C1143" t="s">
        <v>617</v>
      </c>
      <c r="D1143" s="3">
        <v>1</v>
      </c>
      <c r="E1143" s="2">
        <v>200</v>
      </c>
    </row>
    <row r="1144" spans="1:5" x14ac:dyDescent="0.35">
      <c r="A1144" t="s">
        <v>3830</v>
      </c>
      <c r="B1144" t="s">
        <v>1827</v>
      </c>
      <c r="C1144" t="s">
        <v>620</v>
      </c>
      <c r="D1144" s="3">
        <v>3</v>
      </c>
      <c r="E1144" s="2">
        <v>150</v>
      </c>
    </row>
    <row r="1145" spans="1:5" x14ac:dyDescent="0.35">
      <c r="A1145" t="s">
        <v>3831</v>
      </c>
      <c r="B1145" t="s">
        <v>1828</v>
      </c>
      <c r="C1145" t="s">
        <v>671</v>
      </c>
      <c r="D1145" s="3">
        <v>1</v>
      </c>
      <c r="E1145" s="2">
        <v>400</v>
      </c>
    </row>
    <row r="1146" spans="1:5" x14ac:dyDescent="0.35">
      <c r="A1146" t="s">
        <v>3832</v>
      </c>
      <c r="B1146" t="s">
        <v>1829</v>
      </c>
      <c r="C1146" t="s">
        <v>617</v>
      </c>
      <c r="D1146" s="3">
        <v>1</v>
      </c>
      <c r="E1146" s="2">
        <v>200</v>
      </c>
    </row>
    <row r="1147" spans="1:5" x14ac:dyDescent="0.35">
      <c r="A1147" t="s">
        <v>3833</v>
      </c>
      <c r="B1147" t="s">
        <v>1830</v>
      </c>
      <c r="C1147" t="s">
        <v>660</v>
      </c>
      <c r="D1147" s="3">
        <v>1</v>
      </c>
      <c r="E1147" s="2">
        <v>6500</v>
      </c>
    </row>
    <row r="1148" spans="1:5" x14ac:dyDescent="0.35">
      <c r="A1148" t="s">
        <v>3834</v>
      </c>
      <c r="B1148" t="s">
        <v>1831</v>
      </c>
      <c r="C1148" t="s">
        <v>620</v>
      </c>
      <c r="D1148" s="3">
        <v>1</v>
      </c>
      <c r="E1148" s="2">
        <v>50</v>
      </c>
    </row>
    <row r="1149" spans="1:5" x14ac:dyDescent="0.35">
      <c r="A1149" t="s">
        <v>3835</v>
      </c>
      <c r="B1149" t="s">
        <v>1832</v>
      </c>
      <c r="C1149" t="s">
        <v>665</v>
      </c>
      <c r="D1149" s="3">
        <v>1</v>
      </c>
      <c r="E1149" s="2">
        <v>700</v>
      </c>
    </row>
    <row r="1150" spans="1:5" x14ac:dyDescent="0.35">
      <c r="A1150" t="s">
        <v>3836</v>
      </c>
      <c r="B1150" t="s">
        <v>1833</v>
      </c>
      <c r="C1150" t="s">
        <v>663</v>
      </c>
      <c r="D1150" s="3">
        <v>2</v>
      </c>
      <c r="E1150" s="2">
        <v>2800</v>
      </c>
    </row>
    <row r="1151" spans="1:5" x14ac:dyDescent="0.35">
      <c r="A1151" t="s">
        <v>3837</v>
      </c>
      <c r="B1151" t="s">
        <v>1834</v>
      </c>
      <c r="C1151" t="s">
        <v>669</v>
      </c>
      <c r="D1151" s="3">
        <v>1</v>
      </c>
      <c r="E1151" s="2">
        <v>600</v>
      </c>
    </row>
    <row r="1152" spans="1:5" x14ac:dyDescent="0.35">
      <c r="A1152" t="s">
        <v>3838</v>
      </c>
      <c r="B1152" t="s">
        <v>1835</v>
      </c>
      <c r="C1152" t="s">
        <v>665</v>
      </c>
      <c r="D1152" s="3">
        <v>2</v>
      </c>
      <c r="E1152" s="2">
        <v>1400</v>
      </c>
    </row>
    <row r="1153" spans="1:5" x14ac:dyDescent="0.35">
      <c r="A1153" t="s">
        <v>3839</v>
      </c>
      <c r="B1153" t="s">
        <v>1836</v>
      </c>
      <c r="C1153" t="s">
        <v>671</v>
      </c>
      <c r="D1153" s="3">
        <v>1</v>
      </c>
      <c r="E1153" s="2">
        <v>400</v>
      </c>
    </row>
    <row r="1154" spans="1:5" x14ac:dyDescent="0.35">
      <c r="A1154" t="s">
        <v>3840</v>
      </c>
      <c r="B1154" t="s">
        <v>1837</v>
      </c>
      <c r="C1154" t="s">
        <v>626</v>
      </c>
      <c r="D1154" s="3">
        <v>1</v>
      </c>
      <c r="E1154" s="2">
        <v>5000</v>
      </c>
    </row>
    <row r="1155" spans="1:5" x14ac:dyDescent="0.35">
      <c r="A1155" t="s">
        <v>3841</v>
      </c>
      <c r="B1155" t="s">
        <v>1838</v>
      </c>
      <c r="C1155" t="s">
        <v>645</v>
      </c>
      <c r="D1155" s="3">
        <v>1</v>
      </c>
      <c r="E1155" s="2">
        <v>3500</v>
      </c>
    </row>
    <row r="1156" spans="1:5" x14ac:dyDescent="0.35">
      <c r="A1156" t="s">
        <v>3842</v>
      </c>
      <c r="B1156" t="s">
        <v>1839</v>
      </c>
      <c r="C1156" t="s">
        <v>667</v>
      </c>
      <c r="D1156" s="3">
        <v>1</v>
      </c>
      <c r="E1156" s="2">
        <v>550</v>
      </c>
    </row>
    <row r="1157" spans="1:5" x14ac:dyDescent="0.35">
      <c r="A1157" t="s">
        <v>3843</v>
      </c>
      <c r="B1157" t="s">
        <v>1840</v>
      </c>
      <c r="C1157" t="s">
        <v>663</v>
      </c>
      <c r="D1157" s="3">
        <v>1</v>
      </c>
      <c r="E1157" s="2">
        <v>1400</v>
      </c>
    </row>
    <row r="1158" spans="1:5" x14ac:dyDescent="0.35">
      <c r="A1158" t="s">
        <v>3844</v>
      </c>
      <c r="B1158" t="s">
        <v>1841</v>
      </c>
      <c r="C1158" t="s">
        <v>658</v>
      </c>
      <c r="D1158" s="3">
        <v>3</v>
      </c>
      <c r="E1158" s="2">
        <v>2250</v>
      </c>
    </row>
    <row r="1159" spans="1:5" x14ac:dyDescent="0.35">
      <c r="A1159" t="s">
        <v>3845</v>
      </c>
      <c r="B1159" t="s">
        <v>1842</v>
      </c>
      <c r="C1159" t="s">
        <v>617</v>
      </c>
      <c r="D1159" s="3">
        <v>1</v>
      </c>
      <c r="E1159" s="2">
        <v>200</v>
      </c>
    </row>
    <row r="1160" spans="1:5" x14ac:dyDescent="0.35">
      <c r="A1160" t="s">
        <v>3846</v>
      </c>
      <c r="B1160" t="s">
        <v>1843</v>
      </c>
      <c r="C1160" t="s">
        <v>617</v>
      </c>
      <c r="D1160" s="3">
        <v>1</v>
      </c>
      <c r="E1160" s="2">
        <v>200</v>
      </c>
    </row>
    <row r="1161" spans="1:5" x14ac:dyDescent="0.35">
      <c r="A1161" t="s">
        <v>3847</v>
      </c>
      <c r="B1161" t="s">
        <v>1844</v>
      </c>
      <c r="C1161" t="s">
        <v>671</v>
      </c>
      <c r="D1161" s="3">
        <v>3</v>
      </c>
      <c r="E1161" s="2">
        <v>1200</v>
      </c>
    </row>
    <row r="1162" spans="1:5" x14ac:dyDescent="0.35">
      <c r="A1162" t="s">
        <v>3848</v>
      </c>
      <c r="B1162" t="s">
        <v>1845</v>
      </c>
      <c r="C1162" t="s">
        <v>649</v>
      </c>
      <c r="D1162" s="3">
        <v>1</v>
      </c>
      <c r="E1162" s="2">
        <v>800</v>
      </c>
    </row>
    <row r="1163" spans="1:5" x14ac:dyDescent="0.35">
      <c r="A1163" t="s">
        <v>3849</v>
      </c>
      <c r="B1163" t="s">
        <v>1846</v>
      </c>
      <c r="C1163" t="s">
        <v>626</v>
      </c>
      <c r="D1163" s="3">
        <v>1</v>
      </c>
      <c r="E1163" s="2">
        <v>5000</v>
      </c>
    </row>
    <row r="1164" spans="1:5" x14ac:dyDescent="0.35">
      <c r="A1164" t="s">
        <v>3850</v>
      </c>
      <c r="B1164" t="s">
        <v>1847</v>
      </c>
      <c r="C1164" t="s">
        <v>629</v>
      </c>
      <c r="D1164" s="3">
        <v>1</v>
      </c>
      <c r="E1164" s="2">
        <v>300</v>
      </c>
    </row>
    <row r="1165" spans="1:5" x14ac:dyDescent="0.35">
      <c r="A1165" t="s">
        <v>3851</v>
      </c>
      <c r="B1165" t="s">
        <v>1848</v>
      </c>
      <c r="C1165" t="s">
        <v>643</v>
      </c>
      <c r="D1165" s="3">
        <v>1</v>
      </c>
      <c r="E1165" s="2">
        <v>2200</v>
      </c>
    </row>
    <row r="1166" spans="1:5" x14ac:dyDescent="0.35">
      <c r="A1166" t="s">
        <v>3852</v>
      </c>
      <c r="B1166" t="s">
        <v>1849</v>
      </c>
      <c r="C1166" t="s">
        <v>671</v>
      </c>
      <c r="D1166" s="3">
        <v>1</v>
      </c>
      <c r="E1166" s="2">
        <v>400</v>
      </c>
    </row>
    <row r="1167" spans="1:5" x14ac:dyDescent="0.35">
      <c r="A1167" t="s">
        <v>3853</v>
      </c>
      <c r="B1167" t="s">
        <v>1850</v>
      </c>
      <c r="C1167" t="s">
        <v>669</v>
      </c>
      <c r="D1167" s="3">
        <v>1</v>
      </c>
      <c r="E1167" s="2">
        <v>600</v>
      </c>
    </row>
    <row r="1168" spans="1:5" x14ac:dyDescent="0.35">
      <c r="A1168" t="s">
        <v>3854</v>
      </c>
      <c r="B1168" t="s">
        <v>1851</v>
      </c>
      <c r="C1168" t="s">
        <v>647</v>
      </c>
      <c r="D1168" s="3">
        <v>2</v>
      </c>
      <c r="E1168" s="2">
        <v>8400</v>
      </c>
    </row>
    <row r="1169" spans="1:5" x14ac:dyDescent="0.35">
      <c r="A1169" t="s">
        <v>3855</v>
      </c>
      <c r="B1169" t="s">
        <v>1852</v>
      </c>
      <c r="C1169" t="s">
        <v>654</v>
      </c>
      <c r="D1169" s="3">
        <v>1</v>
      </c>
      <c r="E1169" s="2">
        <v>100</v>
      </c>
    </row>
    <row r="1170" spans="1:5" x14ac:dyDescent="0.35">
      <c r="A1170" t="s">
        <v>3856</v>
      </c>
      <c r="B1170" t="s">
        <v>1853</v>
      </c>
      <c r="C1170" t="s">
        <v>671</v>
      </c>
      <c r="D1170" s="3">
        <v>1</v>
      </c>
      <c r="E1170" s="2">
        <v>400</v>
      </c>
    </row>
    <row r="1171" spans="1:5" x14ac:dyDescent="0.35">
      <c r="A1171" t="s">
        <v>3857</v>
      </c>
      <c r="B1171" t="s">
        <v>1854</v>
      </c>
      <c r="C1171" t="s">
        <v>647</v>
      </c>
      <c r="D1171" s="3">
        <v>1</v>
      </c>
      <c r="E1171" s="2">
        <v>4200</v>
      </c>
    </row>
    <row r="1172" spans="1:5" x14ac:dyDescent="0.35">
      <c r="A1172" t="s">
        <v>3858</v>
      </c>
      <c r="B1172" t="s">
        <v>1855</v>
      </c>
      <c r="C1172" t="s">
        <v>671</v>
      </c>
      <c r="D1172" s="3">
        <v>2</v>
      </c>
      <c r="E1172" s="2">
        <v>800</v>
      </c>
    </row>
    <row r="1173" spans="1:5" x14ac:dyDescent="0.35">
      <c r="A1173" t="s">
        <v>3859</v>
      </c>
      <c r="B1173" t="s">
        <v>1856</v>
      </c>
      <c r="C1173" t="s">
        <v>667</v>
      </c>
      <c r="D1173" s="3">
        <v>1</v>
      </c>
      <c r="E1173" s="2">
        <v>550</v>
      </c>
    </row>
    <row r="1174" spans="1:5" x14ac:dyDescent="0.35">
      <c r="A1174" t="s">
        <v>3860</v>
      </c>
      <c r="B1174" t="s">
        <v>1857</v>
      </c>
      <c r="C1174" t="s">
        <v>620</v>
      </c>
      <c r="D1174" s="3">
        <v>1</v>
      </c>
      <c r="E1174" s="2">
        <v>50</v>
      </c>
    </row>
    <row r="1175" spans="1:5" x14ac:dyDescent="0.35">
      <c r="A1175" t="s">
        <v>3861</v>
      </c>
      <c r="B1175" t="s">
        <v>1858</v>
      </c>
      <c r="C1175" t="s">
        <v>654</v>
      </c>
      <c r="D1175" s="3">
        <v>1</v>
      </c>
      <c r="E1175" s="2">
        <v>100</v>
      </c>
    </row>
    <row r="1176" spans="1:5" x14ac:dyDescent="0.35">
      <c r="A1176" t="s">
        <v>3862</v>
      </c>
      <c r="B1176" t="s">
        <v>1859</v>
      </c>
      <c r="C1176" t="s">
        <v>631</v>
      </c>
      <c r="D1176" s="3">
        <v>1</v>
      </c>
      <c r="E1176" s="2">
        <v>900</v>
      </c>
    </row>
    <row r="1177" spans="1:5" x14ac:dyDescent="0.35">
      <c r="A1177" t="s">
        <v>3863</v>
      </c>
      <c r="B1177" t="s">
        <v>1860</v>
      </c>
      <c r="C1177" t="s">
        <v>649</v>
      </c>
      <c r="D1177" s="3">
        <v>1</v>
      </c>
      <c r="E1177" s="2">
        <v>800</v>
      </c>
    </row>
    <row r="1178" spans="1:5" x14ac:dyDescent="0.35">
      <c r="A1178" t="s">
        <v>3864</v>
      </c>
      <c r="B1178" t="s">
        <v>1861</v>
      </c>
      <c r="C1178" t="s">
        <v>617</v>
      </c>
      <c r="D1178" s="3">
        <v>1</v>
      </c>
      <c r="E1178" s="2">
        <v>200</v>
      </c>
    </row>
    <row r="1179" spans="1:5" x14ac:dyDescent="0.35">
      <c r="A1179" t="s">
        <v>3865</v>
      </c>
      <c r="B1179" t="s">
        <v>1862</v>
      </c>
      <c r="C1179" t="s">
        <v>656</v>
      </c>
      <c r="D1179" s="3">
        <v>2</v>
      </c>
      <c r="E1179" s="2">
        <v>700</v>
      </c>
    </row>
    <row r="1180" spans="1:5" x14ac:dyDescent="0.35">
      <c r="A1180" t="s">
        <v>3866</v>
      </c>
      <c r="B1180" t="s">
        <v>1863</v>
      </c>
      <c r="C1180" t="s">
        <v>643</v>
      </c>
      <c r="D1180" s="3">
        <v>1</v>
      </c>
      <c r="E1180" s="2">
        <v>2200</v>
      </c>
    </row>
    <row r="1181" spans="1:5" x14ac:dyDescent="0.35">
      <c r="A1181" t="s">
        <v>3867</v>
      </c>
      <c r="B1181" t="s">
        <v>1864</v>
      </c>
      <c r="C1181" t="s">
        <v>660</v>
      </c>
      <c r="D1181" s="3">
        <v>1</v>
      </c>
      <c r="E1181" s="2">
        <v>6500</v>
      </c>
    </row>
    <row r="1182" spans="1:5" x14ac:dyDescent="0.35">
      <c r="A1182" t="s">
        <v>3868</v>
      </c>
      <c r="B1182" t="s">
        <v>1865</v>
      </c>
      <c r="C1182" t="s">
        <v>623</v>
      </c>
      <c r="D1182" s="3">
        <v>1</v>
      </c>
      <c r="E1182" s="2">
        <v>1200</v>
      </c>
    </row>
    <row r="1183" spans="1:5" x14ac:dyDescent="0.35">
      <c r="A1183" t="s">
        <v>3869</v>
      </c>
      <c r="B1183" t="s">
        <v>1866</v>
      </c>
      <c r="C1183" t="s">
        <v>643</v>
      </c>
      <c r="D1183" s="3">
        <v>1</v>
      </c>
      <c r="E1183" s="2">
        <v>2200</v>
      </c>
    </row>
    <row r="1184" spans="1:5" x14ac:dyDescent="0.35">
      <c r="A1184" t="s">
        <v>3870</v>
      </c>
      <c r="B1184" t="s">
        <v>1867</v>
      </c>
      <c r="C1184" t="s">
        <v>629</v>
      </c>
      <c r="D1184" s="3">
        <v>2</v>
      </c>
      <c r="E1184" s="2">
        <v>600</v>
      </c>
    </row>
    <row r="1185" spans="1:5" x14ac:dyDescent="0.35">
      <c r="A1185" t="s">
        <v>3871</v>
      </c>
      <c r="B1185" t="s">
        <v>1868</v>
      </c>
      <c r="C1185" t="s">
        <v>656</v>
      </c>
      <c r="D1185" s="3">
        <v>1</v>
      </c>
      <c r="E1185" s="2">
        <v>350</v>
      </c>
    </row>
    <row r="1186" spans="1:5" x14ac:dyDescent="0.35">
      <c r="A1186" t="s">
        <v>3872</v>
      </c>
      <c r="B1186" t="s">
        <v>1869</v>
      </c>
      <c r="C1186" t="s">
        <v>667</v>
      </c>
      <c r="D1186" s="3">
        <v>1</v>
      </c>
      <c r="E1186" s="2">
        <v>550</v>
      </c>
    </row>
    <row r="1187" spans="1:5" x14ac:dyDescent="0.35">
      <c r="A1187" t="s">
        <v>3873</v>
      </c>
      <c r="B1187" t="s">
        <v>1870</v>
      </c>
      <c r="C1187" t="s">
        <v>633</v>
      </c>
      <c r="D1187" s="3">
        <v>1</v>
      </c>
      <c r="E1187" s="2">
        <v>450</v>
      </c>
    </row>
    <row r="1188" spans="1:5" x14ac:dyDescent="0.35">
      <c r="A1188" t="s">
        <v>3874</v>
      </c>
      <c r="B1188" t="s">
        <v>1871</v>
      </c>
      <c r="C1188" t="s">
        <v>641</v>
      </c>
      <c r="D1188" s="3">
        <v>2</v>
      </c>
      <c r="E1188" s="2">
        <v>3600</v>
      </c>
    </row>
    <row r="1189" spans="1:5" x14ac:dyDescent="0.35">
      <c r="A1189" t="s">
        <v>3875</v>
      </c>
      <c r="B1189" t="s">
        <v>1872</v>
      </c>
      <c r="C1189" t="s">
        <v>643</v>
      </c>
      <c r="D1189" s="3">
        <v>3</v>
      </c>
      <c r="E1189" s="2">
        <v>6600</v>
      </c>
    </row>
    <row r="1190" spans="1:5" x14ac:dyDescent="0.35">
      <c r="A1190" t="s">
        <v>3876</v>
      </c>
      <c r="B1190" t="s">
        <v>1873</v>
      </c>
      <c r="C1190" t="s">
        <v>623</v>
      </c>
      <c r="D1190" s="3">
        <v>1</v>
      </c>
      <c r="E1190" s="2">
        <v>1200</v>
      </c>
    </row>
    <row r="1191" spans="1:5" x14ac:dyDescent="0.35">
      <c r="A1191" t="s">
        <v>3877</v>
      </c>
      <c r="B1191" t="s">
        <v>1874</v>
      </c>
      <c r="C1191" t="s">
        <v>663</v>
      </c>
      <c r="D1191" s="3">
        <v>1</v>
      </c>
      <c r="E1191" s="2">
        <v>1400</v>
      </c>
    </row>
    <row r="1192" spans="1:5" x14ac:dyDescent="0.35">
      <c r="A1192" t="s">
        <v>3878</v>
      </c>
      <c r="B1192" t="s">
        <v>1875</v>
      </c>
      <c r="C1192" t="s">
        <v>641</v>
      </c>
      <c r="D1192" s="3">
        <v>1</v>
      </c>
      <c r="E1192" s="2">
        <v>1800</v>
      </c>
    </row>
    <row r="1193" spans="1:5" x14ac:dyDescent="0.35">
      <c r="A1193" t="s">
        <v>3879</v>
      </c>
      <c r="B1193" t="s">
        <v>1876</v>
      </c>
      <c r="C1193" t="s">
        <v>641</v>
      </c>
      <c r="D1193" s="3">
        <v>1</v>
      </c>
      <c r="E1193" s="2">
        <v>1800</v>
      </c>
    </row>
    <row r="1194" spans="1:5" x14ac:dyDescent="0.35">
      <c r="A1194" t="s">
        <v>3880</v>
      </c>
      <c r="B1194" t="s">
        <v>1877</v>
      </c>
      <c r="C1194" t="s">
        <v>649</v>
      </c>
      <c r="D1194" s="3">
        <v>1</v>
      </c>
      <c r="E1194" s="2">
        <v>800</v>
      </c>
    </row>
    <row r="1195" spans="1:5" x14ac:dyDescent="0.35">
      <c r="A1195" t="s">
        <v>3881</v>
      </c>
      <c r="B1195" t="s">
        <v>1878</v>
      </c>
      <c r="C1195" t="s">
        <v>645</v>
      </c>
      <c r="D1195" s="3">
        <v>1</v>
      </c>
      <c r="E1195" s="2">
        <v>3500</v>
      </c>
    </row>
    <row r="1196" spans="1:5" x14ac:dyDescent="0.35">
      <c r="A1196" t="s">
        <v>3882</v>
      </c>
      <c r="B1196" t="s">
        <v>1879</v>
      </c>
      <c r="C1196" t="s">
        <v>651</v>
      </c>
      <c r="D1196" s="3">
        <v>1</v>
      </c>
      <c r="E1196" s="2">
        <v>120</v>
      </c>
    </row>
    <row r="1197" spans="1:5" x14ac:dyDescent="0.35">
      <c r="A1197" t="s">
        <v>3883</v>
      </c>
      <c r="B1197" t="s">
        <v>1880</v>
      </c>
      <c r="C1197" t="s">
        <v>641</v>
      </c>
      <c r="D1197" s="3">
        <v>1</v>
      </c>
      <c r="E1197" s="2">
        <v>1800</v>
      </c>
    </row>
    <row r="1198" spans="1:5" x14ac:dyDescent="0.35">
      <c r="A1198" t="s">
        <v>3884</v>
      </c>
      <c r="B1198" t="s">
        <v>1881</v>
      </c>
      <c r="C1198" t="s">
        <v>641</v>
      </c>
      <c r="D1198" s="3">
        <v>1</v>
      </c>
      <c r="E1198" s="2">
        <v>1800</v>
      </c>
    </row>
    <row r="1199" spans="1:5" x14ac:dyDescent="0.35">
      <c r="A1199" t="s">
        <v>3885</v>
      </c>
      <c r="B1199" t="s">
        <v>1882</v>
      </c>
      <c r="C1199" t="s">
        <v>660</v>
      </c>
      <c r="D1199" s="3">
        <v>1</v>
      </c>
      <c r="E1199" s="2">
        <v>6500</v>
      </c>
    </row>
    <row r="1200" spans="1:5" x14ac:dyDescent="0.35">
      <c r="A1200" t="s">
        <v>3886</v>
      </c>
      <c r="B1200" t="s">
        <v>1883</v>
      </c>
      <c r="C1200" t="s">
        <v>617</v>
      </c>
      <c r="D1200" s="3">
        <v>1</v>
      </c>
      <c r="E1200" s="2">
        <v>200</v>
      </c>
    </row>
    <row r="1201" spans="1:5" x14ac:dyDescent="0.35">
      <c r="A1201" t="s">
        <v>3887</v>
      </c>
      <c r="B1201" t="s">
        <v>1884</v>
      </c>
      <c r="C1201" t="s">
        <v>671</v>
      </c>
      <c r="D1201" s="3">
        <v>1</v>
      </c>
      <c r="E1201" s="2">
        <v>400</v>
      </c>
    </row>
    <row r="1202" spans="1:5" x14ac:dyDescent="0.35">
      <c r="A1202" t="s">
        <v>3888</v>
      </c>
      <c r="B1202" t="s">
        <v>1885</v>
      </c>
      <c r="C1202" t="s">
        <v>641</v>
      </c>
      <c r="D1202" s="3">
        <v>1</v>
      </c>
      <c r="E1202" s="2">
        <v>1800</v>
      </c>
    </row>
    <row r="1203" spans="1:5" x14ac:dyDescent="0.35">
      <c r="A1203" t="s">
        <v>3889</v>
      </c>
      <c r="B1203" t="s">
        <v>1886</v>
      </c>
      <c r="C1203" t="s">
        <v>620</v>
      </c>
      <c r="D1203" s="3">
        <v>1</v>
      </c>
      <c r="E1203" s="2">
        <v>50</v>
      </c>
    </row>
    <row r="1204" spans="1:5" x14ac:dyDescent="0.35">
      <c r="A1204" t="s">
        <v>3890</v>
      </c>
      <c r="B1204" t="s">
        <v>1887</v>
      </c>
      <c r="C1204" t="s">
        <v>656</v>
      </c>
      <c r="D1204" s="3">
        <v>1</v>
      </c>
      <c r="E1204" s="2">
        <v>350</v>
      </c>
    </row>
    <row r="1205" spans="1:5" x14ac:dyDescent="0.35">
      <c r="A1205" t="s">
        <v>3891</v>
      </c>
      <c r="B1205" t="s">
        <v>1888</v>
      </c>
      <c r="C1205" t="s">
        <v>671</v>
      </c>
      <c r="D1205" s="3">
        <v>1</v>
      </c>
      <c r="E1205" s="2">
        <v>400</v>
      </c>
    </row>
    <row r="1206" spans="1:5" x14ac:dyDescent="0.35">
      <c r="A1206" t="s">
        <v>3892</v>
      </c>
      <c r="B1206" t="s">
        <v>1889</v>
      </c>
      <c r="C1206" t="s">
        <v>633</v>
      </c>
      <c r="D1206" s="3">
        <v>1</v>
      </c>
      <c r="E1206" s="2">
        <v>450</v>
      </c>
    </row>
    <row r="1207" spans="1:5" x14ac:dyDescent="0.35">
      <c r="A1207" t="s">
        <v>3893</v>
      </c>
      <c r="B1207" t="s">
        <v>1890</v>
      </c>
      <c r="C1207" t="s">
        <v>633</v>
      </c>
      <c r="D1207" s="3">
        <v>2</v>
      </c>
      <c r="E1207" s="2">
        <v>900</v>
      </c>
    </row>
    <row r="1208" spans="1:5" x14ac:dyDescent="0.35">
      <c r="A1208" t="s">
        <v>3894</v>
      </c>
      <c r="B1208" t="s">
        <v>1891</v>
      </c>
      <c r="C1208" t="s">
        <v>663</v>
      </c>
      <c r="D1208" s="3">
        <v>1</v>
      </c>
      <c r="E1208" s="2">
        <v>1400</v>
      </c>
    </row>
    <row r="1209" spans="1:5" x14ac:dyDescent="0.35">
      <c r="A1209" t="s">
        <v>3895</v>
      </c>
      <c r="B1209" t="s">
        <v>1892</v>
      </c>
      <c r="C1209" t="s">
        <v>638</v>
      </c>
      <c r="D1209" s="3">
        <v>1</v>
      </c>
      <c r="E1209" s="2">
        <v>150</v>
      </c>
    </row>
    <row r="1210" spans="1:5" x14ac:dyDescent="0.35">
      <c r="A1210" t="s">
        <v>3896</v>
      </c>
      <c r="B1210" t="s">
        <v>1893</v>
      </c>
      <c r="C1210" t="s">
        <v>667</v>
      </c>
      <c r="D1210" s="3">
        <v>1</v>
      </c>
      <c r="E1210" s="2">
        <v>550</v>
      </c>
    </row>
    <row r="1211" spans="1:5" x14ac:dyDescent="0.35">
      <c r="A1211" t="s">
        <v>3897</v>
      </c>
      <c r="B1211" t="s">
        <v>1894</v>
      </c>
      <c r="C1211" t="s">
        <v>620</v>
      </c>
      <c r="D1211" s="3">
        <v>1</v>
      </c>
      <c r="E1211" s="2">
        <v>50</v>
      </c>
    </row>
    <row r="1212" spans="1:5" x14ac:dyDescent="0.35">
      <c r="A1212" t="s">
        <v>3898</v>
      </c>
      <c r="B1212" t="s">
        <v>1895</v>
      </c>
      <c r="C1212" t="s">
        <v>649</v>
      </c>
      <c r="D1212" s="3">
        <v>1</v>
      </c>
      <c r="E1212" s="2">
        <v>800</v>
      </c>
    </row>
    <row r="1213" spans="1:5" x14ac:dyDescent="0.35">
      <c r="A1213" t="s">
        <v>3899</v>
      </c>
      <c r="B1213" t="s">
        <v>1896</v>
      </c>
      <c r="C1213" t="s">
        <v>656</v>
      </c>
      <c r="D1213" s="3">
        <v>1</v>
      </c>
      <c r="E1213" s="2">
        <v>350</v>
      </c>
    </row>
    <row r="1214" spans="1:5" x14ac:dyDescent="0.35">
      <c r="A1214" t="s">
        <v>3900</v>
      </c>
      <c r="B1214" t="s">
        <v>1897</v>
      </c>
      <c r="C1214" t="s">
        <v>617</v>
      </c>
      <c r="D1214" s="3">
        <v>1</v>
      </c>
      <c r="E1214" s="2">
        <v>200</v>
      </c>
    </row>
    <row r="1215" spans="1:5" x14ac:dyDescent="0.35">
      <c r="A1215" t="s">
        <v>3901</v>
      </c>
      <c r="B1215" t="s">
        <v>1898</v>
      </c>
      <c r="C1215" t="s">
        <v>638</v>
      </c>
      <c r="D1215" s="3">
        <v>1</v>
      </c>
      <c r="E1215" s="2">
        <v>150</v>
      </c>
    </row>
    <row r="1216" spans="1:5" x14ac:dyDescent="0.35">
      <c r="A1216" t="s">
        <v>3902</v>
      </c>
      <c r="B1216" t="s">
        <v>1899</v>
      </c>
      <c r="C1216" t="s">
        <v>663</v>
      </c>
      <c r="D1216" s="3">
        <v>1</v>
      </c>
      <c r="E1216" s="2">
        <v>1400</v>
      </c>
    </row>
    <row r="1217" spans="1:5" x14ac:dyDescent="0.35">
      <c r="A1217" t="s">
        <v>3903</v>
      </c>
      <c r="B1217" t="s">
        <v>1900</v>
      </c>
      <c r="C1217" t="s">
        <v>665</v>
      </c>
      <c r="D1217" s="3">
        <v>1</v>
      </c>
      <c r="E1217" s="2">
        <v>700</v>
      </c>
    </row>
    <row r="1218" spans="1:5" x14ac:dyDescent="0.35">
      <c r="A1218" t="s">
        <v>3904</v>
      </c>
      <c r="B1218" t="s">
        <v>1901</v>
      </c>
      <c r="C1218" t="s">
        <v>660</v>
      </c>
      <c r="D1218" s="3">
        <v>1</v>
      </c>
      <c r="E1218" s="2">
        <v>6500</v>
      </c>
    </row>
    <row r="1219" spans="1:5" x14ac:dyDescent="0.35">
      <c r="A1219" t="s">
        <v>3905</v>
      </c>
      <c r="B1219" t="s">
        <v>1902</v>
      </c>
      <c r="C1219" t="s">
        <v>626</v>
      </c>
      <c r="D1219" s="3">
        <v>1</v>
      </c>
      <c r="E1219" s="2">
        <v>5000</v>
      </c>
    </row>
    <row r="1220" spans="1:5" x14ac:dyDescent="0.35">
      <c r="A1220" t="s">
        <v>3906</v>
      </c>
      <c r="B1220" t="s">
        <v>1903</v>
      </c>
      <c r="C1220" t="s">
        <v>635</v>
      </c>
      <c r="D1220" s="3">
        <v>1</v>
      </c>
      <c r="E1220" s="2">
        <v>180</v>
      </c>
    </row>
    <row r="1221" spans="1:5" x14ac:dyDescent="0.35">
      <c r="A1221" t="s">
        <v>3907</v>
      </c>
      <c r="B1221" t="s">
        <v>1904</v>
      </c>
      <c r="C1221" t="s">
        <v>647</v>
      </c>
      <c r="D1221" s="3">
        <v>1</v>
      </c>
      <c r="E1221" s="2">
        <v>4200</v>
      </c>
    </row>
    <row r="1222" spans="1:5" x14ac:dyDescent="0.35">
      <c r="A1222" t="s">
        <v>3908</v>
      </c>
      <c r="B1222" t="s">
        <v>1905</v>
      </c>
      <c r="C1222" t="s">
        <v>626</v>
      </c>
      <c r="D1222" s="3">
        <v>1</v>
      </c>
      <c r="E1222" s="2">
        <v>5000</v>
      </c>
    </row>
    <row r="1223" spans="1:5" x14ac:dyDescent="0.35">
      <c r="A1223" t="s">
        <v>3909</v>
      </c>
      <c r="B1223" t="s">
        <v>1906</v>
      </c>
      <c r="C1223" t="s">
        <v>638</v>
      </c>
      <c r="D1223" s="3">
        <v>1</v>
      </c>
      <c r="E1223" s="2">
        <v>150</v>
      </c>
    </row>
    <row r="1224" spans="1:5" x14ac:dyDescent="0.35">
      <c r="A1224" t="s">
        <v>3910</v>
      </c>
      <c r="B1224" t="s">
        <v>1907</v>
      </c>
      <c r="C1224" t="s">
        <v>638</v>
      </c>
      <c r="D1224" s="3">
        <v>1</v>
      </c>
      <c r="E1224" s="2">
        <v>150</v>
      </c>
    </row>
    <row r="1225" spans="1:5" x14ac:dyDescent="0.35">
      <c r="A1225" t="s">
        <v>3911</v>
      </c>
      <c r="B1225" t="s">
        <v>1908</v>
      </c>
      <c r="C1225" t="s">
        <v>667</v>
      </c>
      <c r="D1225" s="3">
        <v>1</v>
      </c>
      <c r="E1225" s="2">
        <v>550</v>
      </c>
    </row>
    <row r="1226" spans="1:5" x14ac:dyDescent="0.35">
      <c r="A1226" t="s">
        <v>3912</v>
      </c>
      <c r="B1226" t="s">
        <v>1909</v>
      </c>
      <c r="C1226" t="s">
        <v>658</v>
      </c>
      <c r="D1226" s="3">
        <v>1</v>
      </c>
      <c r="E1226" s="2">
        <v>750</v>
      </c>
    </row>
    <row r="1227" spans="1:5" x14ac:dyDescent="0.35">
      <c r="A1227" t="s">
        <v>3913</v>
      </c>
      <c r="B1227" t="s">
        <v>1910</v>
      </c>
      <c r="C1227" t="s">
        <v>645</v>
      </c>
      <c r="D1227" s="3">
        <v>2</v>
      </c>
      <c r="E1227" s="2">
        <v>7000</v>
      </c>
    </row>
    <row r="1228" spans="1:5" x14ac:dyDescent="0.35">
      <c r="A1228" t="s">
        <v>3914</v>
      </c>
      <c r="B1228" t="s">
        <v>1911</v>
      </c>
      <c r="C1228" t="s">
        <v>641</v>
      </c>
      <c r="D1228" s="3">
        <v>1</v>
      </c>
      <c r="E1228" s="2">
        <v>1800</v>
      </c>
    </row>
    <row r="1229" spans="1:5" x14ac:dyDescent="0.35">
      <c r="A1229" t="s">
        <v>3915</v>
      </c>
      <c r="B1229" t="s">
        <v>1912</v>
      </c>
      <c r="C1229" t="s">
        <v>643</v>
      </c>
      <c r="D1229" s="3">
        <v>2</v>
      </c>
      <c r="E1229" s="2">
        <v>4400</v>
      </c>
    </row>
    <row r="1230" spans="1:5" x14ac:dyDescent="0.35">
      <c r="A1230" t="s">
        <v>3916</v>
      </c>
      <c r="B1230" t="s">
        <v>1913</v>
      </c>
      <c r="C1230" t="s">
        <v>633</v>
      </c>
      <c r="D1230" s="3">
        <v>1</v>
      </c>
      <c r="E1230" s="2">
        <v>450</v>
      </c>
    </row>
    <row r="1231" spans="1:5" x14ac:dyDescent="0.35">
      <c r="A1231" t="s">
        <v>3917</v>
      </c>
      <c r="B1231" t="s">
        <v>1914</v>
      </c>
      <c r="C1231" t="s">
        <v>638</v>
      </c>
      <c r="D1231" s="3">
        <v>2</v>
      </c>
      <c r="E1231" s="2">
        <v>300</v>
      </c>
    </row>
    <row r="1232" spans="1:5" x14ac:dyDescent="0.35">
      <c r="A1232" t="s">
        <v>3918</v>
      </c>
      <c r="B1232" t="s">
        <v>1915</v>
      </c>
      <c r="C1232" t="s">
        <v>631</v>
      </c>
      <c r="D1232" s="3">
        <v>1</v>
      </c>
      <c r="E1232" s="2">
        <v>900</v>
      </c>
    </row>
    <row r="1233" spans="1:5" x14ac:dyDescent="0.35">
      <c r="A1233" t="s">
        <v>3919</v>
      </c>
      <c r="B1233" t="s">
        <v>1916</v>
      </c>
      <c r="C1233" t="s">
        <v>660</v>
      </c>
      <c r="D1233" s="3">
        <v>2</v>
      </c>
      <c r="E1233" s="2">
        <v>13000</v>
      </c>
    </row>
    <row r="1234" spans="1:5" x14ac:dyDescent="0.35">
      <c r="A1234" t="s">
        <v>3920</v>
      </c>
      <c r="B1234" t="s">
        <v>1917</v>
      </c>
      <c r="C1234" t="s">
        <v>654</v>
      </c>
      <c r="D1234" s="3">
        <v>1</v>
      </c>
      <c r="E1234" s="2">
        <v>100</v>
      </c>
    </row>
    <row r="1235" spans="1:5" x14ac:dyDescent="0.35">
      <c r="A1235" t="s">
        <v>3921</v>
      </c>
      <c r="B1235" t="s">
        <v>1918</v>
      </c>
      <c r="C1235" t="s">
        <v>651</v>
      </c>
      <c r="D1235" s="3">
        <v>1</v>
      </c>
      <c r="E1235" s="2">
        <v>120</v>
      </c>
    </row>
    <row r="1236" spans="1:5" x14ac:dyDescent="0.35">
      <c r="A1236" t="s">
        <v>3922</v>
      </c>
      <c r="B1236" t="s">
        <v>1919</v>
      </c>
      <c r="C1236" t="s">
        <v>633</v>
      </c>
      <c r="D1236" s="3">
        <v>1</v>
      </c>
      <c r="E1236" s="2">
        <v>450</v>
      </c>
    </row>
    <row r="1237" spans="1:5" x14ac:dyDescent="0.35">
      <c r="A1237" t="s">
        <v>3923</v>
      </c>
      <c r="B1237" t="s">
        <v>1920</v>
      </c>
      <c r="C1237" t="s">
        <v>654</v>
      </c>
      <c r="D1237" s="3">
        <v>1</v>
      </c>
      <c r="E1237" s="2">
        <v>100</v>
      </c>
    </row>
    <row r="1238" spans="1:5" x14ac:dyDescent="0.35">
      <c r="A1238" t="s">
        <v>3924</v>
      </c>
      <c r="B1238" t="s">
        <v>1921</v>
      </c>
      <c r="C1238" t="s">
        <v>629</v>
      </c>
      <c r="D1238" s="3">
        <v>1</v>
      </c>
      <c r="E1238" s="2">
        <v>300</v>
      </c>
    </row>
    <row r="1239" spans="1:5" x14ac:dyDescent="0.35">
      <c r="A1239" t="s">
        <v>3925</v>
      </c>
      <c r="B1239" t="s">
        <v>1922</v>
      </c>
      <c r="C1239" t="s">
        <v>654</v>
      </c>
      <c r="D1239" s="3">
        <v>1</v>
      </c>
      <c r="E1239" s="2">
        <v>100</v>
      </c>
    </row>
    <row r="1240" spans="1:5" x14ac:dyDescent="0.35">
      <c r="A1240" t="s">
        <v>3926</v>
      </c>
      <c r="B1240" t="s">
        <v>1923</v>
      </c>
      <c r="C1240" t="s">
        <v>617</v>
      </c>
      <c r="D1240" s="3">
        <v>1</v>
      </c>
      <c r="E1240" s="2">
        <v>200</v>
      </c>
    </row>
    <row r="1241" spans="1:5" x14ac:dyDescent="0.35">
      <c r="A1241" t="s">
        <v>3927</v>
      </c>
      <c r="B1241" t="s">
        <v>1924</v>
      </c>
      <c r="C1241" t="s">
        <v>660</v>
      </c>
      <c r="D1241" s="3">
        <v>1</v>
      </c>
      <c r="E1241" s="2">
        <v>6500</v>
      </c>
    </row>
    <row r="1242" spans="1:5" x14ac:dyDescent="0.35">
      <c r="A1242" t="s">
        <v>3928</v>
      </c>
      <c r="B1242" t="s">
        <v>1925</v>
      </c>
      <c r="C1242" t="s">
        <v>629</v>
      </c>
      <c r="D1242" s="3">
        <v>1</v>
      </c>
      <c r="E1242" s="2">
        <v>300</v>
      </c>
    </row>
    <row r="1243" spans="1:5" x14ac:dyDescent="0.35">
      <c r="A1243" t="s">
        <v>3929</v>
      </c>
      <c r="B1243" t="s">
        <v>1926</v>
      </c>
      <c r="C1243" t="s">
        <v>633</v>
      </c>
      <c r="D1243" s="3">
        <v>1</v>
      </c>
      <c r="E1243" s="2">
        <v>450</v>
      </c>
    </row>
    <row r="1244" spans="1:5" x14ac:dyDescent="0.35">
      <c r="A1244" t="s">
        <v>3930</v>
      </c>
      <c r="B1244" t="s">
        <v>1927</v>
      </c>
      <c r="C1244" t="s">
        <v>660</v>
      </c>
      <c r="D1244" s="3">
        <v>1</v>
      </c>
      <c r="E1244" s="2">
        <v>6500</v>
      </c>
    </row>
    <row r="1245" spans="1:5" x14ac:dyDescent="0.35">
      <c r="A1245" t="s">
        <v>3931</v>
      </c>
      <c r="B1245" t="s">
        <v>1928</v>
      </c>
      <c r="C1245" t="s">
        <v>667</v>
      </c>
      <c r="D1245" s="3">
        <v>2</v>
      </c>
      <c r="E1245" s="2">
        <v>1100</v>
      </c>
    </row>
    <row r="1246" spans="1:5" x14ac:dyDescent="0.35">
      <c r="A1246" t="s">
        <v>3932</v>
      </c>
      <c r="B1246" t="s">
        <v>1929</v>
      </c>
      <c r="C1246" t="s">
        <v>629</v>
      </c>
      <c r="D1246" s="3">
        <v>3</v>
      </c>
      <c r="E1246" s="2">
        <v>900</v>
      </c>
    </row>
    <row r="1247" spans="1:5" x14ac:dyDescent="0.35">
      <c r="A1247" t="s">
        <v>3933</v>
      </c>
      <c r="B1247" t="s">
        <v>1930</v>
      </c>
      <c r="C1247" t="s">
        <v>656</v>
      </c>
      <c r="D1247" s="3">
        <v>2</v>
      </c>
      <c r="E1247" s="2">
        <v>700</v>
      </c>
    </row>
    <row r="1248" spans="1:5" x14ac:dyDescent="0.35">
      <c r="A1248" t="s">
        <v>3934</v>
      </c>
      <c r="B1248" t="s">
        <v>1931</v>
      </c>
      <c r="C1248" t="s">
        <v>667</v>
      </c>
      <c r="D1248" s="3">
        <v>1</v>
      </c>
      <c r="E1248" s="2">
        <v>550</v>
      </c>
    </row>
    <row r="1249" spans="1:5" x14ac:dyDescent="0.35">
      <c r="A1249" t="s">
        <v>3935</v>
      </c>
      <c r="B1249" t="s">
        <v>1932</v>
      </c>
      <c r="C1249" t="s">
        <v>635</v>
      </c>
      <c r="D1249" s="3">
        <v>1</v>
      </c>
      <c r="E1249" s="2">
        <v>180</v>
      </c>
    </row>
    <row r="1250" spans="1:5" x14ac:dyDescent="0.35">
      <c r="A1250" t="s">
        <v>3936</v>
      </c>
      <c r="B1250" t="s">
        <v>1933</v>
      </c>
      <c r="C1250" t="s">
        <v>617</v>
      </c>
      <c r="D1250" s="3">
        <v>3</v>
      </c>
      <c r="E1250" s="2">
        <v>600</v>
      </c>
    </row>
    <row r="1251" spans="1:5" x14ac:dyDescent="0.35">
      <c r="A1251" t="s">
        <v>3937</v>
      </c>
      <c r="B1251" t="s">
        <v>1934</v>
      </c>
      <c r="C1251" t="s">
        <v>620</v>
      </c>
      <c r="D1251" s="3">
        <v>1</v>
      </c>
      <c r="E1251" s="2">
        <v>50</v>
      </c>
    </row>
    <row r="1252" spans="1:5" x14ac:dyDescent="0.35">
      <c r="A1252" t="s">
        <v>3938</v>
      </c>
      <c r="B1252" t="s">
        <v>1935</v>
      </c>
      <c r="C1252" t="s">
        <v>651</v>
      </c>
      <c r="D1252" s="3">
        <v>1</v>
      </c>
      <c r="E1252" s="2">
        <v>120</v>
      </c>
    </row>
    <row r="1253" spans="1:5" x14ac:dyDescent="0.35">
      <c r="A1253" t="s">
        <v>3939</v>
      </c>
      <c r="B1253" t="s">
        <v>1936</v>
      </c>
      <c r="C1253" t="s">
        <v>663</v>
      </c>
      <c r="D1253" s="3">
        <v>1</v>
      </c>
      <c r="E1253" s="2">
        <v>1400</v>
      </c>
    </row>
    <row r="1254" spans="1:5" x14ac:dyDescent="0.35">
      <c r="A1254" t="s">
        <v>3940</v>
      </c>
      <c r="B1254" t="s">
        <v>1937</v>
      </c>
      <c r="C1254" t="s">
        <v>658</v>
      </c>
      <c r="D1254" s="3">
        <v>1</v>
      </c>
      <c r="E1254" s="2">
        <v>750</v>
      </c>
    </row>
    <row r="1255" spans="1:5" x14ac:dyDescent="0.35">
      <c r="A1255" t="s">
        <v>3941</v>
      </c>
      <c r="B1255" t="s">
        <v>1938</v>
      </c>
      <c r="C1255" t="s">
        <v>643</v>
      </c>
      <c r="D1255" s="3">
        <v>1</v>
      </c>
      <c r="E1255" s="2">
        <v>2200</v>
      </c>
    </row>
    <row r="1256" spans="1:5" x14ac:dyDescent="0.35">
      <c r="A1256" t="s">
        <v>3942</v>
      </c>
      <c r="B1256" t="s">
        <v>1939</v>
      </c>
      <c r="C1256" t="s">
        <v>673</v>
      </c>
      <c r="D1256" s="3">
        <v>1</v>
      </c>
      <c r="E1256" s="2">
        <v>300</v>
      </c>
    </row>
    <row r="1257" spans="1:5" x14ac:dyDescent="0.35">
      <c r="A1257" t="s">
        <v>3943</v>
      </c>
      <c r="B1257" t="s">
        <v>1940</v>
      </c>
      <c r="C1257" t="s">
        <v>641</v>
      </c>
      <c r="D1257" s="3">
        <v>1</v>
      </c>
      <c r="E1257" s="2">
        <v>1800</v>
      </c>
    </row>
    <row r="1258" spans="1:5" x14ac:dyDescent="0.35">
      <c r="A1258" t="s">
        <v>3944</v>
      </c>
      <c r="B1258" t="s">
        <v>1941</v>
      </c>
      <c r="C1258" t="s">
        <v>671</v>
      </c>
      <c r="D1258" s="3">
        <v>1</v>
      </c>
      <c r="E1258" s="2">
        <v>400</v>
      </c>
    </row>
    <row r="1259" spans="1:5" x14ac:dyDescent="0.35">
      <c r="A1259" t="s">
        <v>3945</v>
      </c>
      <c r="B1259" t="s">
        <v>1942</v>
      </c>
      <c r="C1259" t="s">
        <v>671</v>
      </c>
      <c r="D1259" s="3">
        <v>1</v>
      </c>
      <c r="E1259" s="2">
        <v>400</v>
      </c>
    </row>
    <row r="1260" spans="1:5" x14ac:dyDescent="0.35">
      <c r="A1260" t="s">
        <v>3946</v>
      </c>
      <c r="B1260" t="s">
        <v>1943</v>
      </c>
      <c r="C1260" t="s">
        <v>626</v>
      </c>
      <c r="D1260" s="3">
        <v>1</v>
      </c>
      <c r="E1260" s="2">
        <v>5000</v>
      </c>
    </row>
    <row r="1261" spans="1:5" x14ac:dyDescent="0.35">
      <c r="A1261" t="s">
        <v>3947</v>
      </c>
      <c r="B1261" t="s">
        <v>1944</v>
      </c>
      <c r="C1261" t="s">
        <v>629</v>
      </c>
      <c r="D1261" s="3">
        <v>1</v>
      </c>
      <c r="E1261" s="2">
        <v>300</v>
      </c>
    </row>
    <row r="1262" spans="1:5" x14ac:dyDescent="0.35">
      <c r="A1262" t="s">
        <v>3948</v>
      </c>
      <c r="B1262" t="s">
        <v>1945</v>
      </c>
      <c r="C1262" t="s">
        <v>626</v>
      </c>
      <c r="D1262" s="3">
        <v>1</v>
      </c>
      <c r="E1262" s="2">
        <v>5000</v>
      </c>
    </row>
    <row r="1263" spans="1:5" x14ac:dyDescent="0.35">
      <c r="A1263" t="s">
        <v>3949</v>
      </c>
      <c r="B1263" t="s">
        <v>1946</v>
      </c>
      <c r="C1263" t="s">
        <v>647</v>
      </c>
      <c r="D1263" s="3">
        <v>1</v>
      </c>
      <c r="E1263" s="2">
        <v>4200</v>
      </c>
    </row>
    <row r="1264" spans="1:5" x14ac:dyDescent="0.35">
      <c r="A1264" t="s">
        <v>3950</v>
      </c>
      <c r="B1264" t="s">
        <v>1947</v>
      </c>
      <c r="C1264" t="s">
        <v>673</v>
      </c>
      <c r="D1264" s="3">
        <v>2</v>
      </c>
      <c r="E1264" s="2">
        <v>600</v>
      </c>
    </row>
    <row r="1265" spans="1:5" x14ac:dyDescent="0.35">
      <c r="A1265" t="s">
        <v>3951</v>
      </c>
      <c r="B1265" t="s">
        <v>1948</v>
      </c>
      <c r="C1265" t="s">
        <v>647</v>
      </c>
      <c r="D1265" s="3">
        <v>1</v>
      </c>
      <c r="E1265" s="2">
        <v>4200</v>
      </c>
    </row>
    <row r="1266" spans="1:5" x14ac:dyDescent="0.35">
      <c r="A1266" t="s">
        <v>3952</v>
      </c>
      <c r="B1266" t="s">
        <v>1949</v>
      </c>
      <c r="C1266" t="s">
        <v>658</v>
      </c>
      <c r="D1266" s="3">
        <v>2</v>
      </c>
      <c r="E1266" s="2">
        <v>1500</v>
      </c>
    </row>
    <row r="1267" spans="1:5" x14ac:dyDescent="0.35">
      <c r="A1267" t="s">
        <v>3953</v>
      </c>
      <c r="B1267" t="s">
        <v>1950</v>
      </c>
      <c r="C1267" t="s">
        <v>671</v>
      </c>
      <c r="D1267" s="3">
        <v>1</v>
      </c>
      <c r="E1267" s="2">
        <v>400</v>
      </c>
    </row>
    <row r="1268" spans="1:5" x14ac:dyDescent="0.35">
      <c r="A1268" t="s">
        <v>3954</v>
      </c>
      <c r="B1268" t="s">
        <v>1951</v>
      </c>
      <c r="C1268" t="s">
        <v>620</v>
      </c>
      <c r="D1268" s="3">
        <v>1</v>
      </c>
      <c r="E1268" s="2">
        <v>50</v>
      </c>
    </row>
    <row r="1269" spans="1:5" x14ac:dyDescent="0.35">
      <c r="A1269" t="s">
        <v>3955</v>
      </c>
      <c r="B1269" t="s">
        <v>1952</v>
      </c>
      <c r="C1269" t="s">
        <v>654</v>
      </c>
      <c r="D1269" s="3">
        <v>1</v>
      </c>
      <c r="E1269" s="2">
        <v>100</v>
      </c>
    </row>
    <row r="1270" spans="1:5" x14ac:dyDescent="0.35">
      <c r="A1270" t="s">
        <v>3956</v>
      </c>
      <c r="B1270" t="s">
        <v>1953</v>
      </c>
      <c r="C1270" t="s">
        <v>617</v>
      </c>
      <c r="D1270" s="3">
        <v>1</v>
      </c>
      <c r="E1270" s="2">
        <v>200</v>
      </c>
    </row>
    <row r="1271" spans="1:5" x14ac:dyDescent="0.35">
      <c r="A1271" t="s">
        <v>3957</v>
      </c>
      <c r="B1271" t="s">
        <v>1954</v>
      </c>
      <c r="C1271" t="s">
        <v>660</v>
      </c>
      <c r="D1271" s="3">
        <v>1</v>
      </c>
      <c r="E1271" s="2">
        <v>6500</v>
      </c>
    </row>
    <row r="1272" spans="1:5" x14ac:dyDescent="0.35">
      <c r="A1272" t="s">
        <v>3958</v>
      </c>
      <c r="B1272" t="s">
        <v>1955</v>
      </c>
      <c r="C1272" t="s">
        <v>638</v>
      </c>
      <c r="D1272" s="3">
        <v>1</v>
      </c>
      <c r="E1272" s="2">
        <v>150</v>
      </c>
    </row>
    <row r="1273" spans="1:5" x14ac:dyDescent="0.35">
      <c r="A1273" t="s">
        <v>3959</v>
      </c>
      <c r="B1273" t="s">
        <v>1956</v>
      </c>
      <c r="C1273" t="s">
        <v>623</v>
      </c>
      <c r="D1273" s="3">
        <v>1</v>
      </c>
      <c r="E1273" s="2">
        <v>1200</v>
      </c>
    </row>
    <row r="1274" spans="1:5" x14ac:dyDescent="0.35">
      <c r="A1274" t="s">
        <v>3960</v>
      </c>
      <c r="B1274" t="s">
        <v>1957</v>
      </c>
      <c r="C1274" t="s">
        <v>673</v>
      </c>
      <c r="D1274" s="3">
        <v>1</v>
      </c>
      <c r="E1274" s="2">
        <v>300</v>
      </c>
    </row>
    <row r="1275" spans="1:5" x14ac:dyDescent="0.35">
      <c r="A1275" t="s">
        <v>3961</v>
      </c>
      <c r="B1275" t="s">
        <v>1958</v>
      </c>
      <c r="C1275" t="s">
        <v>633</v>
      </c>
      <c r="D1275" s="3">
        <v>1</v>
      </c>
      <c r="E1275" s="2">
        <v>450</v>
      </c>
    </row>
    <row r="1276" spans="1:5" x14ac:dyDescent="0.35">
      <c r="A1276" t="s">
        <v>3962</v>
      </c>
      <c r="B1276" t="s">
        <v>1959</v>
      </c>
      <c r="C1276" t="s">
        <v>641</v>
      </c>
      <c r="D1276" s="3">
        <v>3</v>
      </c>
      <c r="E1276" s="2">
        <v>5400</v>
      </c>
    </row>
    <row r="1277" spans="1:5" x14ac:dyDescent="0.35">
      <c r="A1277" t="s">
        <v>3963</v>
      </c>
      <c r="B1277" t="s">
        <v>1960</v>
      </c>
      <c r="C1277" t="s">
        <v>617</v>
      </c>
      <c r="D1277" s="3">
        <v>1</v>
      </c>
      <c r="E1277" s="2">
        <v>200</v>
      </c>
    </row>
    <row r="1278" spans="1:5" x14ac:dyDescent="0.35">
      <c r="A1278" t="s">
        <v>3964</v>
      </c>
      <c r="B1278" t="s">
        <v>1961</v>
      </c>
      <c r="C1278" t="s">
        <v>641</v>
      </c>
      <c r="D1278" s="3">
        <v>1</v>
      </c>
      <c r="E1278" s="2">
        <v>1800</v>
      </c>
    </row>
    <row r="1279" spans="1:5" x14ac:dyDescent="0.35">
      <c r="A1279" t="s">
        <v>3965</v>
      </c>
      <c r="B1279" t="s">
        <v>1962</v>
      </c>
      <c r="C1279" t="s">
        <v>665</v>
      </c>
      <c r="D1279" s="3">
        <v>1</v>
      </c>
      <c r="E1279" s="2">
        <v>700</v>
      </c>
    </row>
    <row r="1280" spans="1:5" x14ac:dyDescent="0.35">
      <c r="A1280" t="s">
        <v>3966</v>
      </c>
      <c r="B1280" t="s">
        <v>1963</v>
      </c>
      <c r="C1280" t="s">
        <v>638</v>
      </c>
      <c r="D1280" s="3">
        <v>1</v>
      </c>
      <c r="E1280" s="2">
        <v>150</v>
      </c>
    </row>
    <row r="1281" spans="1:5" x14ac:dyDescent="0.35">
      <c r="A1281" t="s">
        <v>3967</v>
      </c>
      <c r="B1281" t="s">
        <v>1964</v>
      </c>
      <c r="C1281" t="s">
        <v>651</v>
      </c>
      <c r="D1281" s="3">
        <v>2</v>
      </c>
      <c r="E1281" s="2">
        <v>240</v>
      </c>
    </row>
    <row r="1282" spans="1:5" x14ac:dyDescent="0.35">
      <c r="A1282" t="s">
        <v>3968</v>
      </c>
      <c r="B1282" t="s">
        <v>1965</v>
      </c>
      <c r="C1282" t="s">
        <v>651</v>
      </c>
      <c r="D1282" s="3">
        <v>3</v>
      </c>
      <c r="E1282" s="2">
        <v>360</v>
      </c>
    </row>
    <row r="1283" spans="1:5" x14ac:dyDescent="0.35">
      <c r="A1283" t="s">
        <v>3969</v>
      </c>
      <c r="B1283" t="s">
        <v>1966</v>
      </c>
      <c r="C1283" t="s">
        <v>623</v>
      </c>
      <c r="D1283" s="3">
        <v>1</v>
      </c>
      <c r="E1283" s="2">
        <v>1200</v>
      </c>
    </row>
    <row r="1284" spans="1:5" x14ac:dyDescent="0.35">
      <c r="A1284" t="s">
        <v>3970</v>
      </c>
      <c r="B1284" t="s">
        <v>1967</v>
      </c>
      <c r="C1284" t="s">
        <v>673</v>
      </c>
      <c r="D1284" s="3">
        <v>1</v>
      </c>
      <c r="E1284" s="2">
        <v>300</v>
      </c>
    </row>
    <row r="1285" spans="1:5" x14ac:dyDescent="0.35">
      <c r="A1285" t="s">
        <v>3971</v>
      </c>
      <c r="B1285" t="s">
        <v>1968</v>
      </c>
      <c r="C1285" t="s">
        <v>629</v>
      </c>
      <c r="D1285" s="3">
        <v>1</v>
      </c>
      <c r="E1285" s="2">
        <v>300</v>
      </c>
    </row>
    <row r="1286" spans="1:5" x14ac:dyDescent="0.35">
      <c r="A1286" t="s">
        <v>3972</v>
      </c>
      <c r="B1286" t="s">
        <v>1969</v>
      </c>
      <c r="C1286" t="s">
        <v>638</v>
      </c>
      <c r="D1286" s="3">
        <v>1</v>
      </c>
      <c r="E1286" s="2">
        <v>150</v>
      </c>
    </row>
    <row r="1287" spans="1:5" x14ac:dyDescent="0.35">
      <c r="A1287" t="s">
        <v>3973</v>
      </c>
      <c r="B1287" t="s">
        <v>1970</v>
      </c>
      <c r="C1287" t="s">
        <v>667</v>
      </c>
      <c r="D1287" s="3">
        <v>1</v>
      </c>
      <c r="E1287" s="2">
        <v>550</v>
      </c>
    </row>
    <row r="1288" spans="1:5" x14ac:dyDescent="0.35">
      <c r="A1288" t="s">
        <v>3974</v>
      </c>
      <c r="B1288" t="s">
        <v>1971</v>
      </c>
      <c r="C1288" t="s">
        <v>638</v>
      </c>
      <c r="D1288" s="3">
        <v>2</v>
      </c>
      <c r="E1288" s="2">
        <v>300</v>
      </c>
    </row>
    <row r="1289" spans="1:5" x14ac:dyDescent="0.35">
      <c r="A1289" t="s">
        <v>3975</v>
      </c>
      <c r="B1289" t="s">
        <v>1972</v>
      </c>
      <c r="C1289" t="s">
        <v>669</v>
      </c>
      <c r="D1289" s="3">
        <v>1</v>
      </c>
      <c r="E1289" s="2">
        <v>600</v>
      </c>
    </row>
    <row r="1290" spans="1:5" x14ac:dyDescent="0.35">
      <c r="A1290" t="s">
        <v>3976</v>
      </c>
      <c r="B1290" t="s">
        <v>1973</v>
      </c>
      <c r="C1290" t="s">
        <v>633</v>
      </c>
      <c r="D1290" s="3">
        <v>1</v>
      </c>
      <c r="E1290" s="2">
        <v>450</v>
      </c>
    </row>
    <row r="1291" spans="1:5" x14ac:dyDescent="0.35">
      <c r="A1291" t="s">
        <v>3977</v>
      </c>
      <c r="B1291" t="s">
        <v>1974</v>
      </c>
      <c r="C1291" t="s">
        <v>671</v>
      </c>
      <c r="D1291" s="3">
        <v>1</v>
      </c>
      <c r="E1291" s="2">
        <v>400</v>
      </c>
    </row>
    <row r="1292" spans="1:5" x14ac:dyDescent="0.35">
      <c r="A1292" t="s">
        <v>3978</v>
      </c>
      <c r="B1292" t="s">
        <v>1975</v>
      </c>
      <c r="C1292" t="s">
        <v>669</v>
      </c>
      <c r="D1292" s="3">
        <v>2</v>
      </c>
      <c r="E1292" s="2">
        <v>1200</v>
      </c>
    </row>
    <row r="1293" spans="1:5" x14ac:dyDescent="0.35">
      <c r="A1293" t="s">
        <v>3979</v>
      </c>
      <c r="B1293" t="s">
        <v>1976</v>
      </c>
      <c r="C1293" t="s">
        <v>645</v>
      </c>
      <c r="D1293" s="3">
        <v>1</v>
      </c>
      <c r="E1293" s="2">
        <v>3500</v>
      </c>
    </row>
    <row r="1294" spans="1:5" x14ac:dyDescent="0.35">
      <c r="A1294" t="s">
        <v>3980</v>
      </c>
      <c r="B1294" t="s">
        <v>1977</v>
      </c>
      <c r="C1294" t="s">
        <v>673</v>
      </c>
      <c r="D1294" s="3">
        <v>1</v>
      </c>
      <c r="E1294" s="2">
        <v>300</v>
      </c>
    </row>
    <row r="1295" spans="1:5" x14ac:dyDescent="0.35">
      <c r="A1295" t="s">
        <v>3981</v>
      </c>
      <c r="B1295" t="s">
        <v>1978</v>
      </c>
      <c r="C1295" t="s">
        <v>638</v>
      </c>
      <c r="D1295" s="3">
        <v>1</v>
      </c>
      <c r="E1295" s="2">
        <v>150</v>
      </c>
    </row>
    <row r="1296" spans="1:5" x14ac:dyDescent="0.35">
      <c r="A1296" t="s">
        <v>3982</v>
      </c>
      <c r="B1296" t="s">
        <v>1979</v>
      </c>
      <c r="C1296" t="s">
        <v>631</v>
      </c>
      <c r="D1296" s="3">
        <v>1</v>
      </c>
      <c r="E1296" s="2">
        <v>900</v>
      </c>
    </row>
    <row r="1297" spans="1:5" x14ac:dyDescent="0.35">
      <c r="A1297" t="s">
        <v>3983</v>
      </c>
      <c r="B1297" t="s">
        <v>1980</v>
      </c>
      <c r="C1297" t="s">
        <v>669</v>
      </c>
      <c r="D1297" s="3">
        <v>1</v>
      </c>
      <c r="E1297" s="2">
        <v>600</v>
      </c>
    </row>
    <row r="1298" spans="1:5" x14ac:dyDescent="0.35">
      <c r="A1298" t="s">
        <v>3984</v>
      </c>
      <c r="B1298" t="s">
        <v>1981</v>
      </c>
      <c r="C1298" t="s">
        <v>620</v>
      </c>
      <c r="D1298" s="3">
        <v>1</v>
      </c>
      <c r="E1298" s="2">
        <v>50</v>
      </c>
    </row>
    <row r="1299" spans="1:5" x14ac:dyDescent="0.35">
      <c r="A1299" t="s">
        <v>3985</v>
      </c>
      <c r="B1299" t="s">
        <v>1982</v>
      </c>
      <c r="C1299" t="s">
        <v>638</v>
      </c>
      <c r="D1299" s="3">
        <v>1</v>
      </c>
      <c r="E1299" s="2">
        <v>150</v>
      </c>
    </row>
    <row r="1300" spans="1:5" x14ac:dyDescent="0.35">
      <c r="A1300" t="s">
        <v>3986</v>
      </c>
      <c r="B1300" t="s">
        <v>1983</v>
      </c>
      <c r="C1300" t="s">
        <v>656</v>
      </c>
      <c r="D1300" s="3">
        <v>1</v>
      </c>
      <c r="E1300" s="2">
        <v>350</v>
      </c>
    </row>
    <row r="1301" spans="1:5" x14ac:dyDescent="0.35">
      <c r="A1301" t="s">
        <v>3987</v>
      </c>
      <c r="B1301" t="s">
        <v>1984</v>
      </c>
      <c r="C1301" t="s">
        <v>617</v>
      </c>
      <c r="D1301" s="3">
        <v>1</v>
      </c>
      <c r="E1301" s="2">
        <v>200</v>
      </c>
    </row>
    <row r="1302" spans="1:5" x14ac:dyDescent="0.35">
      <c r="A1302" t="s">
        <v>3988</v>
      </c>
      <c r="B1302" t="s">
        <v>1985</v>
      </c>
      <c r="C1302" t="s">
        <v>660</v>
      </c>
      <c r="D1302" s="3">
        <v>1</v>
      </c>
      <c r="E1302" s="2">
        <v>6500</v>
      </c>
    </row>
    <row r="1303" spans="1:5" x14ac:dyDescent="0.35">
      <c r="A1303" t="s">
        <v>3989</v>
      </c>
      <c r="B1303" t="s">
        <v>1986</v>
      </c>
      <c r="C1303" t="s">
        <v>631</v>
      </c>
      <c r="D1303" s="3">
        <v>1</v>
      </c>
      <c r="E1303" s="2">
        <v>900</v>
      </c>
    </row>
    <row r="1304" spans="1:5" x14ac:dyDescent="0.35">
      <c r="A1304" t="s">
        <v>3990</v>
      </c>
      <c r="B1304" t="s">
        <v>1987</v>
      </c>
      <c r="C1304" t="s">
        <v>629</v>
      </c>
      <c r="D1304" s="3">
        <v>1</v>
      </c>
      <c r="E1304" s="2">
        <v>300</v>
      </c>
    </row>
    <row r="1305" spans="1:5" x14ac:dyDescent="0.35">
      <c r="A1305" t="s">
        <v>3991</v>
      </c>
      <c r="B1305" t="s">
        <v>1988</v>
      </c>
      <c r="C1305" t="s">
        <v>620</v>
      </c>
      <c r="D1305" s="3">
        <v>1</v>
      </c>
      <c r="E1305" s="2">
        <v>50</v>
      </c>
    </row>
    <row r="1306" spans="1:5" x14ac:dyDescent="0.35">
      <c r="A1306" t="s">
        <v>3992</v>
      </c>
      <c r="B1306" t="s">
        <v>1989</v>
      </c>
      <c r="C1306" t="s">
        <v>638</v>
      </c>
      <c r="D1306" s="3">
        <v>1</v>
      </c>
      <c r="E1306" s="2">
        <v>150</v>
      </c>
    </row>
    <row r="1307" spans="1:5" x14ac:dyDescent="0.35">
      <c r="A1307" t="s">
        <v>3993</v>
      </c>
      <c r="B1307" t="s">
        <v>1990</v>
      </c>
      <c r="C1307" t="s">
        <v>649</v>
      </c>
      <c r="D1307" s="3">
        <v>1</v>
      </c>
      <c r="E1307" s="2">
        <v>800</v>
      </c>
    </row>
    <row r="1308" spans="1:5" x14ac:dyDescent="0.35">
      <c r="A1308" t="s">
        <v>3994</v>
      </c>
      <c r="B1308" t="s">
        <v>1991</v>
      </c>
      <c r="C1308" t="s">
        <v>626</v>
      </c>
      <c r="D1308" s="3">
        <v>3</v>
      </c>
      <c r="E1308" s="2">
        <v>15000</v>
      </c>
    </row>
    <row r="1309" spans="1:5" x14ac:dyDescent="0.35">
      <c r="A1309" t="s">
        <v>3995</v>
      </c>
      <c r="B1309" t="s">
        <v>1992</v>
      </c>
      <c r="C1309" t="s">
        <v>626</v>
      </c>
      <c r="D1309" s="3">
        <v>1</v>
      </c>
      <c r="E1309" s="2">
        <v>5000</v>
      </c>
    </row>
    <row r="1310" spans="1:5" x14ac:dyDescent="0.35">
      <c r="A1310" t="s">
        <v>3996</v>
      </c>
      <c r="B1310" t="s">
        <v>1993</v>
      </c>
      <c r="C1310" t="s">
        <v>665</v>
      </c>
      <c r="D1310" s="3">
        <v>1</v>
      </c>
      <c r="E1310" s="2">
        <v>700</v>
      </c>
    </row>
    <row r="1311" spans="1:5" x14ac:dyDescent="0.35">
      <c r="A1311" t="s">
        <v>3997</v>
      </c>
      <c r="B1311" t="s">
        <v>1994</v>
      </c>
      <c r="C1311" t="s">
        <v>651</v>
      </c>
      <c r="D1311" s="3">
        <v>1</v>
      </c>
      <c r="E1311" s="2">
        <v>120</v>
      </c>
    </row>
    <row r="1312" spans="1:5" x14ac:dyDescent="0.35">
      <c r="A1312" t="s">
        <v>3998</v>
      </c>
      <c r="B1312" t="s">
        <v>1995</v>
      </c>
      <c r="C1312" t="s">
        <v>635</v>
      </c>
      <c r="D1312" s="3">
        <v>1</v>
      </c>
      <c r="E1312" s="2">
        <v>180</v>
      </c>
    </row>
    <row r="1313" spans="1:5" x14ac:dyDescent="0.35">
      <c r="A1313" t="s">
        <v>3999</v>
      </c>
      <c r="B1313" t="s">
        <v>1996</v>
      </c>
      <c r="C1313" t="s">
        <v>626</v>
      </c>
      <c r="D1313" s="3">
        <v>1</v>
      </c>
      <c r="E1313" s="2">
        <v>5000</v>
      </c>
    </row>
    <row r="1314" spans="1:5" x14ac:dyDescent="0.35">
      <c r="A1314" t="s">
        <v>4000</v>
      </c>
      <c r="B1314" t="s">
        <v>1997</v>
      </c>
      <c r="C1314" t="s">
        <v>654</v>
      </c>
      <c r="D1314" s="3">
        <v>1</v>
      </c>
      <c r="E1314" s="2">
        <v>100</v>
      </c>
    </row>
    <row r="1315" spans="1:5" x14ac:dyDescent="0.35">
      <c r="A1315" t="s">
        <v>4001</v>
      </c>
      <c r="B1315" t="s">
        <v>1998</v>
      </c>
      <c r="C1315" t="s">
        <v>665</v>
      </c>
      <c r="D1315" s="3">
        <v>1</v>
      </c>
      <c r="E1315" s="2">
        <v>700</v>
      </c>
    </row>
    <row r="1316" spans="1:5" x14ac:dyDescent="0.35">
      <c r="A1316" t="s">
        <v>4002</v>
      </c>
      <c r="B1316" t="s">
        <v>1999</v>
      </c>
      <c r="C1316" t="s">
        <v>626</v>
      </c>
      <c r="D1316" s="3">
        <v>1</v>
      </c>
      <c r="E1316" s="2">
        <v>5000</v>
      </c>
    </row>
    <row r="1317" spans="1:5" x14ac:dyDescent="0.35">
      <c r="A1317" t="s">
        <v>4003</v>
      </c>
      <c r="B1317" t="s">
        <v>2000</v>
      </c>
      <c r="C1317" t="s">
        <v>654</v>
      </c>
      <c r="D1317" s="3">
        <v>2</v>
      </c>
      <c r="E1317" s="2">
        <v>200</v>
      </c>
    </row>
    <row r="1318" spans="1:5" x14ac:dyDescent="0.35">
      <c r="A1318" t="s">
        <v>4004</v>
      </c>
      <c r="B1318" t="s">
        <v>2001</v>
      </c>
      <c r="C1318" t="s">
        <v>667</v>
      </c>
      <c r="D1318" s="3">
        <v>1</v>
      </c>
      <c r="E1318" s="2">
        <v>550</v>
      </c>
    </row>
    <row r="1319" spans="1:5" x14ac:dyDescent="0.35">
      <c r="A1319" t="s">
        <v>4005</v>
      </c>
      <c r="B1319" t="s">
        <v>2002</v>
      </c>
      <c r="C1319" t="s">
        <v>645</v>
      </c>
      <c r="D1319" s="3">
        <v>1</v>
      </c>
      <c r="E1319" s="2">
        <v>3500</v>
      </c>
    </row>
    <row r="1320" spans="1:5" x14ac:dyDescent="0.35">
      <c r="A1320" t="s">
        <v>4006</v>
      </c>
      <c r="B1320" t="s">
        <v>2003</v>
      </c>
      <c r="C1320" t="s">
        <v>654</v>
      </c>
      <c r="D1320" s="3">
        <v>3</v>
      </c>
      <c r="E1320" s="2">
        <v>300</v>
      </c>
    </row>
    <row r="1321" spans="1:5" x14ac:dyDescent="0.35">
      <c r="A1321" t="s">
        <v>4007</v>
      </c>
      <c r="B1321" t="s">
        <v>2004</v>
      </c>
      <c r="C1321" t="s">
        <v>660</v>
      </c>
      <c r="D1321" s="3">
        <v>1</v>
      </c>
      <c r="E1321" s="2">
        <v>6500</v>
      </c>
    </row>
    <row r="1322" spans="1:5" x14ac:dyDescent="0.35">
      <c r="A1322" t="s">
        <v>4008</v>
      </c>
      <c r="B1322" t="s">
        <v>2005</v>
      </c>
      <c r="C1322" t="s">
        <v>635</v>
      </c>
      <c r="D1322" s="3">
        <v>1</v>
      </c>
      <c r="E1322" s="2">
        <v>180</v>
      </c>
    </row>
    <row r="1323" spans="1:5" x14ac:dyDescent="0.35">
      <c r="A1323" t="s">
        <v>4009</v>
      </c>
      <c r="B1323" t="s">
        <v>2006</v>
      </c>
      <c r="C1323" t="s">
        <v>631</v>
      </c>
      <c r="D1323" s="3">
        <v>1</v>
      </c>
      <c r="E1323" s="2">
        <v>900</v>
      </c>
    </row>
    <row r="1324" spans="1:5" x14ac:dyDescent="0.35">
      <c r="A1324" t="s">
        <v>4010</v>
      </c>
      <c r="B1324" t="s">
        <v>2007</v>
      </c>
      <c r="C1324" t="s">
        <v>641</v>
      </c>
      <c r="D1324" s="3">
        <v>2</v>
      </c>
      <c r="E1324" s="2">
        <v>3600</v>
      </c>
    </row>
    <row r="1325" spans="1:5" x14ac:dyDescent="0.35">
      <c r="A1325" t="s">
        <v>4011</v>
      </c>
      <c r="B1325" t="s">
        <v>2008</v>
      </c>
      <c r="C1325" t="s">
        <v>629</v>
      </c>
      <c r="D1325" s="3">
        <v>1</v>
      </c>
      <c r="E1325" s="2">
        <v>300</v>
      </c>
    </row>
    <row r="1326" spans="1:5" x14ac:dyDescent="0.35">
      <c r="A1326" t="s">
        <v>4012</v>
      </c>
      <c r="B1326" t="s">
        <v>2009</v>
      </c>
      <c r="C1326" t="s">
        <v>658</v>
      </c>
      <c r="D1326" s="3">
        <v>1</v>
      </c>
      <c r="E1326" s="2">
        <v>750</v>
      </c>
    </row>
    <row r="1327" spans="1:5" x14ac:dyDescent="0.35">
      <c r="A1327" t="s">
        <v>4013</v>
      </c>
      <c r="B1327" t="s">
        <v>2010</v>
      </c>
      <c r="C1327" t="s">
        <v>641</v>
      </c>
      <c r="D1327" s="3">
        <v>1</v>
      </c>
      <c r="E1327" s="2">
        <v>1800</v>
      </c>
    </row>
    <row r="1328" spans="1:5" x14ac:dyDescent="0.35">
      <c r="A1328" t="s">
        <v>4014</v>
      </c>
      <c r="B1328" t="s">
        <v>2011</v>
      </c>
      <c r="C1328" t="s">
        <v>641</v>
      </c>
      <c r="D1328" s="3">
        <v>1</v>
      </c>
      <c r="E1328" s="2">
        <v>1800</v>
      </c>
    </row>
    <row r="1329" spans="1:5" x14ac:dyDescent="0.35">
      <c r="A1329" t="s">
        <v>4015</v>
      </c>
      <c r="B1329" t="s">
        <v>2012</v>
      </c>
      <c r="C1329" t="s">
        <v>633</v>
      </c>
      <c r="D1329" s="3">
        <v>1</v>
      </c>
      <c r="E1329" s="2">
        <v>450</v>
      </c>
    </row>
    <row r="1330" spans="1:5" x14ac:dyDescent="0.35">
      <c r="A1330" t="s">
        <v>4016</v>
      </c>
      <c r="B1330" t="s">
        <v>2013</v>
      </c>
      <c r="C1330" t="s">
        <v>658</v>
      </c>
      <c r="D1330" s="3">
        <v>1</v>
      </c>
      <c r="E1330" s="2">
        <v>750</v>
      </c>
    </row>
    <row r="1331" spans="1:5" x14ac:dyDescent="0.35">
      <c r="A1331" t="s">
        <v>4017</v>
      </c>
      <c r="B1331" t="s">
        <v>2014</v>
      </c>
      <c r="C1331" t="s">
        <v>617</v>
      </c>
      <c r="D1331" s="3">
        <v>1</v>
      </c>
      <c r="E1331" s="2">
        <v>200</v>
      </c>
    </row>
    <row r="1332" spans="1:5" x14ac:dyDescent="0.35">
      <c r="A1332" t="s">
        <v>4018</v>
      </c>
      <c r="B1332" t="s">
        <v>2015</v>
      </c>
      <c r="C1332" t="s">
        <v>633</v>
      </c>
      <c r="D1332" s="3">
        <v>1</v>
      </c>
      <c r="E1332" s="2">
        <v>450</v>
      </c>
    </row>
    <row r="1333" spans="1:5" x14ac:dyDescent="0.35">
      <c r="A1333" t="s">
        <v>4019</v>
      </c>
      <c r="B1333" t="s">
        <v>2016</v>
      </c>
      <c r="C1333" t="s">
        <v>665</v>
      </c>
      <c r="D1333" s="3">
        <v>1</v>
      </c>
      <c r="E1333" s="2">
        <v>700</v>
      </c>
    </row>
    <row r="1334" spans="1:5" x14ac:dyDescent="0.35">
      <c r="A1334" t="s">
        <v>4020</v>
      </c>
      <c r="B1334" t="s">
        <v>2017</v>
      </c>
      <c r="C1334" t="s">
        <v>617</v>
      </c>
      <c r="D1334" s="3">
        <v>1</v>
      </c>
      <c r="E1334" s="2">
        <v>200</v>
      </c>
    </row>
    <row r="1335" spans="1:5" x14ac:dyDescent="0.35">
      <c r="A1335" t="s">
        <v>4021</v>
      </c>
      <c r="B1335" t="s">
        <v>2018</v>
      </c>
      <c r="C1335" t="s">
        <v>651</v>
      </c>
      <c r="D1335" s="3">
        <v>1</v>
      </c>
      <c r="E1335" s="2">
        <v>120</v>
      </c>
    </row>
    <row r="1336" spans="1:5" x14ac:dyDescent="0.35">
      <c r="A1336" t="s">
        <v>4022</v>
      </c>
      <c r="B1336" t="s">
        <v>2019</v>
      </c>
      <c r="C1336" t="s">
        <v>626</v>
      </c>
      <c r="D1336" s="3">
        <v>1</v>
      </c>
      <c r="E1336" s="2">
        <v>5000</v>
      </c>
    </row>
    <row r="1337" spans="1:5" x14ac:dyDescent="0.35">
      <c r="A1337" t="s">
        <v>4023</v>
      </c>
      <c r="B1337" t="s">
        <v>2020</v>
      </c>
      <c r="C1337" t="s">
        <v>663</v>
      </c>
      <c r="D1337" s="3">
        <v>1</v>
      </c>
      <c r="E1337" s="2">
        <v>1400</v>
      </c>
    </row>
    <row r="1338" spans="1:5" x14ac:dyDescent="0.35">
      <c r="A1338" t="s">
        <v>4024</v>
      </c>
      <c r="B1338" t="s">
        <v>2021</v>
      </c>
      <c r="C1338" t="s">
        <v>641</v>
      </c>
      <c r="D1338" s="3">
        <v>1</v>
      </c>
      <c r="E1338" s="2">
        <v>1800</v>
      </c>
    </row>
    <row r="1339" spans="1:5" x14ac:dyDescent="0.35">
      <c r="A1339" t="s">
        <v>4025</v>
      </c>
      <c r="B1339" t="s">
        <v>2022</v>
      </c>
      <c r="C1339" t="s">
        <v>669</v>
      </c>
      <c r="D1339" s="3">
        <v>1</v>
      </c>
      <c r="E1339" s="2">
        <v>600</v>
      </c>
    </row>
    <row r="1340" spans="1:5" x14ac:dyDescent="0.35">
      <c r="A1340" t="s">
        <v>4026</v>
      </c>
      <c r="B1340" t="s">
        <v>2023</v>
      </c>
      <c r="C1340" t="s">
        <v>638</v>
      </c>
      <c r="D1340" s="3">
        <v>1</v>
      </c>
      <c r="E1340" s="2">
        <v>150</v>
      </c>
    </row>
    <row r="1341" spans="1:5" x14ac:dyDescent="0.35">
      <c r="A1341" t="s">
        <v>4027</v>
      </c>
      <c r="B1341" t="s">
        <v>2024</v>
      </c>
      <c r="C1341" t="s">
        <v>620</v>
      </c>
      <c r="D1341" s="3">
        <v>1</v>
      </c>
      <c r="E1341" s="2">
        <v>50</v>
      </c>
    </row>
    <row r="1342" spans="1:5" x14ac:dyDescent="0.35">
      <c r="A1342" t="s">
        <v>4028</v>
      </c>
      <c r="B1342" t="s">
        <v>2025</v>
      </c>
      <c r="C1342" t="s">
        <v>649</v>
      </c>
      <c r="D1342" s="3">
        <v>1</v>
      </c>
      <c r="E1342" s="2">
        <v>800</v>
      </c>
    </row>
    <row r="1343" spans="1:5" x14ac:dyDescent="0.35">
      <c r="A1343" t="s">
        <v>4029</v>
      </c>
      <c r="B1343" t="s">
        <v>2026</v>
      </c>
      <c r="C1343" t="s">
        <v>654</v>
      </c>
      <c r="D1343" s="3">
        <v>1</v>
      </c>
      <c r="E1343" s="2">
        <v>100</v>
      </c>
    </row>
    <row r="1344" spans="1:5" x14ac:dyDescent="0.35">
      <c r="A1344" t="s">
        <v>4030</v>
      </c>
      <c r="B1344" t="s">
        <v>2027</v>
      </c>
      <c r="C1344" t="s">
        <v>617</v>
      </c>
      <c r="D1344" s="3">
        <v>1</v>
      </c>
      <c r="E1344" s="2">
        <v>200</v>
      </c>
    </row>
    <row r="1345" spans="1:5" x14ac:dyDescent="0.35">
      <c r="A1345" t="s">
        <v>4031</v>
      </c>
      <c r="B1345" t="s">
        <v>2028</v>
      </c>
      <c r="C1345" t="s">
        <v>620</v>
      </c>
      <c r="D1345" s="3">
        <v>2</v>
      </c>
      <c r="E1345" s="2">
        <v>100</v>
      </c>
    </row>
    <row r="1346" spans="1:5" x14ac:dyDescent="0.35">
      <c r="A1346" t="s">
        <v>4032</v>
      </c>
      <c r="B1346" t="s">
        <v>2029</v>
      </c>
      <c r="C1346" t="s">
        <v>633</v>
      </c>
      <c r="D1346" s="3">
        <v>1</v>
      </c>
      <c r="E1346" s="2">
        <v>450</v>
      </c>
    </row>
    <row r="1347" spans="1:5" x14ac:dyDescent="0.35">
      <c r="A1347" t="s">
        <v>4033</v>
      </c>
      <c r="B1347" t="s">
        <v>2030</v>
      </c>
      <c r="C1347" t="s">
        <v>641</v>
      </c>
      <c r="D1347" s="3">
        <v>1</v>
      </c>
      <c r="E1347" s="2">
        <v>1800</v>
      </c>
    </row>
    <row r="1348" spans="1:5" x14ac:dyDescent="0.35">
      <c r="A1348" t="s">
        <v>4034</v>
      </c>
      <c r="B1348" t="s">
        <v>2031</v>
      </c>
      <c r="C1348" t="s">
        <v>667</v>
      </c>
      <c r="D1348" s="3">
        <v>1</v>
      </c>
      <c r="E1348" s="2">
        <v>550</v>
      </c>
    </row>
    <row r="1349" spans="1:5" x14ac:dyDescent="0.35">
      <c r="A1349" t="s">
        <v>4035</v>
      </c>
      <c r="B1349" t="s">
        <v>2032</v>
      </c>
      <c r="C1349" t="s">
        <v>663</v>
      </c>
      <c r="D1349" s="3">
        <v>1</v>
      </c>
      <c r="E1349" s="2">
        <v>1400</v>
      </c>
    </row>
    <row r="1350" spans="1:5" x14ac:dyDescent="0.35">
      <c r="A1350" t="s">
        <v>4036</v>
      </c>
      <c r="B1350" t="s">
        <v>2033</v>
      </c>
      <c r="C1350" t="s">
        <v>617</v>
      </c>
      <c r="D1350" s="3">
        <v>1</v>
      </c>
      <c r="E1350" s="2">
        <v>200</v>
      </c>
    </row>
    <row r="1351" spans="1:5" x14ac:dyDescent="0.35">
      <c r="A1351" t="s">
        <v>4037</v>
      </c>
      <c r="B1351" t="s">
        <v>2034</v>
      </c>
      <c r="C1351" t="s">
        <v>647</v>
      </c>
      <c r="D1351" s="3">
        <v>1</v>
      </c>
      <c r="E1351" s="2">
        <v>4200</v>
      </c>
    </row>
    <row r="1352" spans="1:5" x14ac:dyDescent="0.35">
      <c r="A1352" t="s">
        <v>4038</v>
      </c>
      <c r="B1352" t="s">
        <v>2035</v>
      </c>
      <c r="C1352" t="s">
        <v>617</v>
      </c>
      <c r="D1352" s="3">
        <v>1</v>
      </c>
      <c r="E1352" s="2">
        <v>200</v>
      </c>
    </row>
    <row r="1353" spans="1:5" x14ac:dyDescent="0.35">
      <c r="A1353" t="s">
        <v>4039</v>
      </c>
      <c r="B1353" t="s">
        <v>2036</v>
      </c>
      <c r="C1353" t="s">
        <v>629</v>
      </c>
      <c r="D1353" s="3">
        <v>1</v>
      </c>
      <c r="E1353" s="2">
        <v>300</v>
      </c>
    </row>
    <row r="1354" spans="1:5" x14ac:dyDescent="0.35">
      <c r="A1354" t="s">
        <v>4040</v>
      </c>
      <c r="B1354" t="s">
        <v>2037</v>
      </c>
      <c r="C1354" t="s">
        <v>654</v>
      </c>
      <c r="D1354" s="3">
        <v>1</v>
      </c>
      <c r="E1354" s="2">
        <v>100</v>
      </c>
    </row>
    <row r="1355" spans="1:5" x14ac:dyDescent="0.35">
      <c r="A1355" t="s">
        <v>4041</v>
      </c>
      <c r="B1355" t="s">
        <v>2038</v>
      </c>
      <c r="C1355" t="s">
        <v>651</v>
      </c>
      <c r="D1355" s="3">
        <v>1</v>
      </c>
      <c r="E1355" s="2">
        <v>120</v>
      </c>
    </row>
    <row r="1356" spans="1:5" x14ac:dyDescent="0.35">
      <c r="A1356" t="s">
        <v>4042</v>
      </c>
      <c r="B1356" t="s">
        <v>2039</v>
      </c>
      <c r="C1356" t="s">
        <v>656</v>
      </c>
      <c r="D1356" s="3">
        <v>3</v>
      </c>
      <c r="E1356" s="2">
        <v>1050</v>
      </c>
    </row>
    <row r="1357" spans="1:5" x14ac:dyDescent="0.35">
      <c r="A1357" t="s">
        <v>4043</v>
      </c>
      <c r="B1357" t="s">
        <v>2040</v>
      </c>
      <c r="C1357" t="s">
        <v>669</v>
      </c>
      <c r="D1357" s="3">
        <v>1</v>
      </c>
      <c r="E1357" s="2">
        <v>600</v>
      </c>
    </row>
    <row r="1358" spans="1:5" x14ac:dyDescent="0.35">
      <c r="A1358" t="s">
        <v>4044</v>
      </c>
      <c r="B1358" t="s">
        <v>2041</v>
      </c>
      <c r="C1358" t="s">
        <v>654</v>
      </c>
      <c r="D1358" s="3">
        <v>1</v>
      </c>
      <c r="E1358" s="2">
        <v>100</v>
      </c>
    </row>
    <row r="1359" spans="1:5" x14ac:dyDescent="0.35">
      <c r="A1359" t="s">
        <v>4045</v>
      </c>
      <c r="B1359" t="s">
        <v>2042</v>
      </c>
      <c r="C1359" t="s">
        <v>647</v>
      </c>
      <c r="D1359" s="3">
        <v>1</v>
      </c>
      <c r="E1359" s="2">
        <v>4200</v>
      </c>
    </row>
    <row r="1360" spans="1:5" x14ac:dyDescent="0.35">
      <c r="A1360" t="s">
        <v>4046</v>
      </c>
      <c r="B1360" t="s">
        <v>2043</v>
      </c>
      <c r="C1360" t="s">
        <v>643</v>
      </c>
      <c r="D1360" s="3">
        <v>2</v>
      </c>
      <c r="E1360" s="2">
        <v>4400</v>
      </c>
    </row>
    <row r="1361" spans="1:5" x14ac:dyDescent="0.35">
      <c r="A1361" t="s">
        <v>4047</v>
      </c>
      <c r="B1361" t="s">
        <v>2044</v>
      </c>
      <c r="C1361" t="s">
        <v>656</v>
      </c>
      <c r="D1361" s="3">
        <v>1</v>
      </c>
      <c r="E1361" s="2">
        <v>350</v>
      </c>
    </row>
    <row r="1362" spans="1:5" x14ac:dyDescent="0.35">
      <c r="A1362" t="s">
        <v>4048</v>
      </c>
      <c r="B1362" t="s">
        <v>2045</v>
      </c>
      <c r="C1362" t="s">
        <v>656</v>
      </c>
      <c r="D1362" s="3">
        <v>2</v>
      </c>
      <c r="E1362" s="2">
        <v>700</v>
      </c>
    </row>
    <row r="1363" spans="1:5" x14ac:dyDescent="0.35">
      <c r="A1363" t="s">
        <v>4049</v>
      </c>
      <c r="B1363" t="s">
        <v>2046</v>
      </c>
      <c r="C1363" t="s">
        <v>620</v>
      </c>
      <c r="D1363" s="3">
        <v>1</v>
      </c>
      <c r="E1363" s="2">
        <v>50</v>
      </c>
    </row>
    <row r="1364" spans="1:5" x14ac:dyDescent="0.35">
      <c r="A1364" t="s">
        <v>4050</v>
      </c>
      <c r="B1364" t="s">
        <v>2047</v>
      </c>
      <c r="C1364" t="s">
        <v>647</v>
      </c>
      <c r="D1364" s="3">
        <v>1</v>
      </c>
      <c r="E1364" s="2">
        <v>4200</v>
      </c>
    </row>
    <row r="1365" spans="1:5" x14ac:dyDescent="0.35">
      <c r="A1365" t="s">
        <v>4051</v>
      </c>
      <c r="B1365" t="s">
        <v>2048</v>
      </c>
      <c r="C1365" t="s">
        <v>649</v>
      </c>
      <c r="D1365" s="3">
        <v>1</v>
      </c>
      <c r="E1365" s="2">
        <v>800</v>
      </c>
    </row>
    <row r="1366" spans="1:5" x14ac:dyDescent="0.35">
      <c r="A1366" t="s">
        <v>4052</v>
      </c>
      <c r="B1366" t="s">
        <v>2049</v>
      </c>
      <c r="C1366" t="s">
        <v>643</v>
      </c>
      <c r="D1366" s="3">
        <v>1</v>
      </c>
      <c r="E1366" s="2">
        <v>2200</v>
      </c>
    </row>
    <row r="1367" spans="1:5" x14ac:dyDescent="0.35">
      <c r="A1367" t="s">
        <v>4053</v>
      </c>
      <c r="B1367" t="s">
        <v>2050</v>
      </c>
      <c r="C1367" t="s">
        <v>641</v>
      </c>
      <c r="D1367" s="3">
        <v>1</v>
      </c>
      <c r="E1367" s="2">
        <v>1800</v>
      </c>
    </row>
    <row r="1368" spans="1:5" x14ac:dyDescent="0.35">
      <c r="A1368" t="s">
        <v>4054</v>
      </c>
      <c r="B1368" t="s">
        <v>2051</v>
      </c>
      <c r="C1368" t="s">
        <v>623</v>
      </c>
      <c r="D1368" s="3">
        <v>1</v>
      </c>
      <c r="E1368" s="2">
        <v>1200</v>
      </c>
    </row>
    <row r="1369" spans="1:5" x14ac:dyDescent="0.35">
      <c r="A1369" t="s">
        <v>4055</v>
      </c>
      <c r="B1369" t="s">
        <v>2052</v>
      </c>
      <c r="C1369" t="s">
        <v>656</v>
      </c>
      <c r="D1369" s="3">
        <v>1</v>
      </c>
      <c r="E1369" s="2">
        <v>350</v>
      </c>
    </row>
    <row r="1370" spans="1:5" x14ac:dyDescent="0.35">
      <c r="A1370" t="s">
        <v>4056</v>
      </c>
      <c r="B1370" t="s">
        <v>2053</v>
      </c>
      <c r="C1370" t="s">
        <v>651</v>
      </c>
      <c r="D1370" s="3">
        <v>1</v>
      </c>
      <c r="E1370" s="2">
        <v>120</v>
      </c>
    </row>
    <row r="1371" spans="1:5" x14ac:dyDescent="0.35">
      <c r="A1371" t="s">
        <v>4057</v>
      </c>
      <c r="B1371" t="s">
        <v>2054</v>
      </c>
      <c r="C1371" t="s">
        <v>638</v>
      </c>
      <c r="D1371" s="3">
        <v>1</v>
      </c>
      <c r="E1371" s="2">
        <v>150</v>
      </c>
    </row>
    <row r="1372" spans="1:5" x14ac:dyDescent="0.35">
      <c r="A1372" t="s">
        <v>4058</v>
      </c>
      <c r="B1372" t="s">
        <v>2055</v>
      </c>
      <c r="C1372" t="s">
        <v>641</v>
      </c>
      <c r="D1372" s="3">
        <v>3</v>
      </c>
      <c r="E1372" s="2">
        <v>5400</v>
      </c>
    </row>
    <row r="1373" spans="1:5" x14ac:dyDescent="0.35">
      <c r="A1373" t="s">
        <v>4059</v>
      </c>
      <c r="B1373" t="s">
        <v>2056</v>
      </c>
      <c r="C1373" t="s">
        <v>635</v>
      </c>
      <c r="D1373" s="3">
        <v>1</v>
      </c>
      <c r="E1373" s="2">
        <v>180</v>
      </c>
    </row>
    <row r="1374" spans="1:5" x14ac:dyDescent="0.35">
      <c r="A1374" t="s">
        <v>4060</v>
      </c>
      <c r="B1374" t="s">
        <v>2057</v>
      </c>
      <c r="C1374" t="s">
        <v>665</v>
      </c>
      <c r="D1374" s="3">
        <v>3</v>
      </c>
      <c r="E1374" s="2">
        <v>2100</v>
      </c>
    </row>
    <row r="1375" spans="1:5" x14ac:dyDescent="0.35">
      <c r="A1375" t="s">
        <v>4061</v>
      </c>
      <c r="B1375" t="s">
        <v>2058</v>
      </c>
      <c r="C1375" t="s">
        <v>647</v>
      </c>
      <c r="D1375" s="3">
        <v>1</v>
      </c>
      <c r="E1375" s="2">
        <v>4200</v>
      </c>
    </row>
    <row r="1376" spans="1:5" x14ac:dyDescent="0.35">
      <c r="A1376" t="s">
        <v>4062</v>
      </c>
      <c r="B1376" t="s">
        <v>2059</v>
      </c>
      <c r="C1376" t="s">
        <v>658</v>
      </c>
      <c r="D1376" s="3">
        <v>2</v>
      </c>
      <c r="E1376" s="2">
        <v>1500</v>
      </c>
    </row>
    <row r="1377" spans="1:5" x14ac:dyDescent="0.35">
      <c r="A1377" t="s">
        <v>4063</v>
      </c>
      <c r="B1377" t="s">
        <v>2060</v>
      </c>
      <c r="C1377" t="s">
        <v>629</v>
      </c>
      <c r="D1377" s="3">
        <v>1</v>
      </c>
      <c r="E1377" s="2">
        <v>300</v>
      </c>
    </row>
    <row r="1378" spans="1:5" x14ac:dyDescent="0.35">
      <c r="A1378" t="s">
        <v>4064</v>
      </c>
      <c r="B1378" t="s">
        <v>2061</v>
      </c>
      <c r="C1378" t="s">
        <v>631</v>
      </c>
      <c r="D1378" s="3">
        <v>1</v>
      </c>
      <c r="E1378" s="2">
        <v>900</v>
      </c>
    </row>
    <row r="1379" spans="1:5" x14ac:dyDescent="0.35">
      <c r="A1379" t="s">
        <v>4065</v>
      </c>
      <c r="B1379" t="s">
        <v>2062</v>
      </c>
      <c r="C1379" t="s">
        <v>656</v>
      </c>
      <c r="D1379" s="3">
        <v>1</v>
      </c>
      <c r="E1379" s="2">
        <v>350</v>
      </c>
    </row>
    <row r="1380" spans="1:5" x14ac:dyDescent="0.35">
      <c r="A1380" t="s">
        <v>4066</v>
      </c>
      <c r="B1380" t="s">
        <v>2063</v>
      </c>
      <c r="C1380" t="s">
        <v>643</v>
      </c>
      <c r="D1380" s="3">
        <v>1</v>
      </c>
      <c r="E1380" s="2">
        <v>2200</v>
      </c>
    </row>
    <row r="1381" spans="1:5" x14ac:dyDescent="0.35">
      <c r="A1381" t="s">
        <v>4067</v>
      </c>
      <c r="B1381" t="s">
        <v>2064</v>
      </c>
      <c r="C1381" t="s">
        <v>663</v>
      </c>
      <c r="D1381" s="3">
        <v>1</v>
      </c>
      <c r="E1381" s="2">
        <v>1400</v>
      </c>
    </row>
    <row r="1382" spans="1:5" x14ac:dyDescent="0.35">
      <c r="A1382" t="s">
        <v>4068</v>
      </c>
      <c r="B1382" t="s">
        <v>2065</v>
      </c>
      <c r="C1382" t="s">
        <v>654</v>
      </c>
      <c r="D1382" s="3">
        <v>1</v>
      </c>
      <c r="E1382" s="2">
        <v>100</v>
      </c>
    </row>
    <row r="1383" spans="1:5" x14ac:dyDescent="0.35">
      <c r="A1383" t="s">
        <v>4069</v>
      </c>
      <c r="B1383" t="s">
        <v>2066</v>
      </c>
      <c r="C1383" t="s">
        <v>638</v>
      </c>
      <c r="D1383" s="3">
        <v>3</v>
      </c>
      <c r="E1383" s="2">
        <v>450</v>
      </c>
    </row>
    <row r="1384" spans="1:5" x14ac:dyDescent="0.35">
      <c r="A1384" t="s">
        <v>4070</v>
      </c>
      <c r="B1384" t="s">
        <v>2067</v>
      </c>
      <c r="C1384" t="s">
        <v>620</v>
      </c>
      <c r="D1384" s="3">
        <v>3</v>
      </c>
      <c r="E1384" s="2">
        <v>150</v>
      </c>
    </row>
    <row r="1385" spans="1:5" x14ac:dyDescent="0.35">
      <c r="A1385" t="s">
        <v>4071</v>
      </c>
      <c r="B1385" t="s">
        <v>2068</v>
      </c>
      <c r="C1385" t="s">
        <v>629</v>
      </c>
      <c r="D1385" s="3">
        <v>3</v>
      </c>
      <c r="E1385" s="2">
        <v>900</v>
      </c>
    </row>
    <row r="1386" spans="1:5" x14ac:dyDescent="0.35">
      <c r="A1386" t="s">
        <v>4072</v>
      </c>
      <c r="B1386" t="s">
        <v>2069</v>
      </c>
      <c r="C1386" t="s">
        <v>617</v>
      </c>
      <c r="D1386" s="3">
        <v>3</v>
      </c>
      <c r="E1386" s="2">
        <v>600</v>
      </c>
    </row>
    <row r="1387" spans="1:5" x14ac:dyDescent="0.35">
      <c r="A1387" t="s">
        <v>4073</v>
      </c>
      <c r="B1387" t="s">
        <v>2070</v>
      </c>
      <c r="C1387" t="s">
        <v>626</v>
      </c>
      <c r="D1387" s="3">
        <v>1</v>
      </c>
      <c r="E1387" s="2">
        <v>5000</v>
      </c>
    </row>
    <row r="1388" spans="1:5" x14ac:dyDescent="0.35">
      <c r="A1388" t="s">
        <v>4074</v>
      </c>
      <c r="B1388" t="s">
        <v>2071</v>
      </c>
      <c r="C1388" t="s">
        <v>626</v>
      </c>
      <c r="D1388" s="3">
        <v>3</v>
      </c>
      <c r="E1388" s="2">
        <v>15000</v>
      </c>
    </row>
    <row r="1389" spans="1:5" x14ac:dyDescent="0.35">
      <c r="A1389" t="s">
        <v>4075</v>
      </c>
      <c r="B1389" t="s">
        <v>2072</v>
      </c>
      <c r="C1389" t="s">
        <v>667</v>
      </c>
      <c r="D1389" s="3">
        <v>2</v>
      </c>
      <c r="E1389" s="2">
        <v>1100</v>
      </c>
    </row>
    <row r="1390" spans="1:5" x14ac:dyDescent="0.35">
      <c r="A1390" t="s">
        <v>4076</v>
      </c>
      <c r="B1390" t="s">
        <v>2073</v>
      </c>
      <c r="C1390" t="s">
        <v>673</v>
      </c>
      <c r="D1390" s="3">
        <v>1</v>
      </c>
      <c r="E1390" s="2">
        <v>300</v>
      </c>
    </row>
    <row r="1391" spans="1:5" x14ac:dyDescent="0.35">
      <c r="A1391" t="s">
        <v>4077</v>
      </c>
      <c r="B1391" t="s">
        <v>2074</v>
      </c>
      <c r="C1391" t="s">
        <v>623</v>
      </c>
      <c r="D1391" s="3">
        <v>1</v>
      </c>
      <c r="E1391" s="2">
        <v>1200</v>
      </c>
    </row>
    <row r="1392" spans="1:5" x14ac:dyDescent="0.35">
      <c r="A1392" t="s">
        <v>4078</v>
      </c>
      <c r="B1392" t="s">
        <v>2075</v>
      </c>
      <c r="C1392" t="s">
        <v>638</v>
      </c>
      <c r="D1392" s="3">
        <v>2</v>
      </c>
      <c r="E1392" s="2">
        <v>300</v>
      </c>
    </row>
    <row r="1393" spans="1:5" x14ac:dyDescent="0.35">
      <c r="A1393" t="s">
        <v>4079</v>
      </c>
      <c r="B1393" t="s">
        <v>2076</v>
      </c>
      <c r="C1393" t="s">
        <v>667</v>
      </c>
      <c r="D1393" s="3">
        <v>1</v>
      </c>
      <c r="E1393" s="2">
        <v>550</v>
      </c>
    </row>
    <row r="1394" spans="1:5" x14ac:dyDescent="0.35">
      <c r="A1394" t="s">
        <v>4080</v>
      </c>
      <c r="B1394" t="s">
        <v>2077</v>
      </c>
      <c r="C1394" t="s">
        <v>669</v>
      </c>
      <c r="D1394" s="3">
        <v>1</v>
      </c>
      <c r="E1394" s="2">
        <v>600</v>
      </c>
    </row>
    <row r="1395" spans="1:5" x14ac:dyDescent="0.35">
      <c r="A1395" t="s">
        <v>4081</v>
      </c>
      <c r="B1395" t="s">
        <v>2078</v>
      </c>
      <c r="C1395" t="s">
        <v>645</v>
      </c>
      <c r="D1395" s="3">
        <v>1</v>
      </c>
      <c r="E1395" s="2">
        <v>3500</v>
      </c>
    </row>
    <row r="1396" spans="1:5" x14ac:dyDescent="0.35">
      <c r="A1396" t="s">
        <v>4082</v>
      </c>
      <c r="B1396" t="s">
        <v>2079</v>
      </c>
      <c r="C1396" t="s">
        <v>641</v>
      </c>
      <c r="D1396" s="3">
        <v>1</v>
      </c>
      <c r="E1396" s="2">
        <v>1800</v>
      </c>
    </row>
    <row r="1397" spans="1:5" x14ac:dyDescent="0.35">
      <c r="A1397" t="s">
        <v>4083</v>
      </c>
      <c r="B1397" t="s">
        <v>2080</v>
      </c>
      <c r="C1397" t="s">
        <v>620</v>
      </c>
      <c r="D1397" s="3">
        <v>3</v>
      </c>
      <c r="E1397" s="2">
        <v>150</v>
      </c>
    </row>
    <row r="1398" spans="1:5" x14ac:dyDescent="0.35">
      <c r="A1398" t="s">
        <v>4084</v>
      </c>
      <c r="B1398" t="s">
        <v>2081</v>
      </c>
      <c r="C1398" t="s">
        <v>643</v>
      </c>
      <c r="D1398" s="3">
        <v>1</v>
      </c>
      <c r="E1398" s="2">
        <v>2200</v>
      </c>
    </row>
    <row r="1399" spans="1:5" x14ac:dyDescent="0.35">
      <c r="A1399" t="s">
        <v>4085</v>
      </c>
      <c r="B1399" t="s">
        <v>2082</v>
      </c>
      <c r="C1399" t="s">
        <v>641</v>
      </c>
      <c r="D1399" s="3">
        <v>1</v>
      </c>
      <c r="E1399" s="2">
        <v>1800</v>
      </c>
    </row>
    <row r="1400" spans="1:5" x14ac:dyDescent="0.35">
      <c r="A1400" t="s">
        <v>4086</v>
      </c>
      <c r="B1400" t="s">
        <v>2083</v>
      </c>
      <c r="C1400" t="s">
        <v>667</v>
      </c>
      <c r="D1400" s="3">
        <v>1</v>
      </c>
      <c r="E1400" s="2">
        <v>550</v>
      </c>
    </row>
    <row r="1401" spans="1:5" x14ac:dyDescent="0.35">
      <c r="A1401" t="s">
        <v>4087</v>
      </c>
      <c r="B1401" t="s">
        <v>2084</v>
      </c>
      <c r="C1401" t="s">
        <v>631</v>
      </c>
      <c r="D1401" s="3">
        <v>1</v>
      </c>
      <c r="E1401" s="2">
        <v>900</v>
      </c>
    </row>
    <row r="1402" spans="1:5" x14ac:dyDescent="0.35">
      <c r="A1402" t="s">
        <v>4088</v>
      </c>
      <c r="B1402" t="s">
        <v>2085</v>
      </c>
      <c r="C1402" t="s">
        <v>658</v>
      </c>
      <c r="D1402" s="3">
        <v>1</v>
      </c>
      <c r="E1402" s="2">
        <v>750</v>
      </c>
    </row>
    <row r="1403" spans="1:5" x14ac:dyDescent="0.35">
      <c r="A1403" t="s">
        <v>4089</v>
      </c>
      <c r="B1403" t="s">
        <v>2086</v>
      </c>
      <c r="C1403" t="s">
        <v>620</v>
      </c>
      <c r="D1403" s="3">
        <v>1</v>
      </c>
      <c r="E1403" s="2">
        <v>50</v>
      </c>
    </row>
    <row r="1404" spans="1:5" x14ac:dyDescent="0.35">
      <c r="A1404" t="s">
        <v>4090</v>
      </c>
      <c r="B1404" t="s">
        <v>2087</v>
      </c>
      <c r="C1404" t="s">
        <v>620</v>
      </c>
      <c r="D1404" s="3">
        <v>3</v>
      </c>
      <c r="E1404" s="2">
        <v>150</v>
      </c>
    </row>
    <row r="1405" spans="1:5" x14ac:dyDescent="0.35">
      <c r="A1405" t="s">
        <v>4091</v>
      </c>
      <c r="B1405" t="s">
        <v>2088</v>
      </c>
      <c r="C1405" t="s">
        <v>641</v>
      </c>
      <c r="D1405" s="3">
        <v>1</v>
      </c>
      <c r="E1405" s="2">
        <v>1800</v>
      </c>
    </row>
    <row r="1406" spans="1:5" x14ac:dyDescent="0.35">
      <c r="A1406" t="s">
        <v>4092</v>
      </c>
      <c r="B1406" t="s">
        <v>2089</v>
      </c>
      <c r="C1406" t="s">
        <v>654</v>
      </c>
      <c r="D1406" s="3">
        <v>1</v>
      </c>
      <c r="E1406" s="2">
        <v>100</v>
      </c>
    </row>
    <row r="1407" spans="1:5" x14ac:dyDescent="0.35">
      <c r="A1407" t="s">
        <v>4093</v>
      </c>
      <c r="B1407" t="s">
        <v>2090</v>
      </c>
      <c r="C1407" t="s">
        <v>645</v>
      </c>
      <c r="D1407" s="3">
        <v>2</v>
      </c>
      <c r="E1407" s="2">
        <v>7000</v>
      </c>
    </row>
    <row r="1408" spans="1:5" x14ac:dyDescent="0.35">
      <c r="A1408" t="s">
        <v>4094</v>
      </c>
      <c r="B1408" t="s">
        <v>2091</v>
      </c>
      <c r="C1408" t="s">
        <v>617</v>
      </c>
      <c r="D1408" s="3">
        <v>1</v>
      </c>
      <c r="E1408" s="2">
        <v>200</v>
      </c>
    </row>
    <row r="1409" spans="1:5" x14ac:dyDescent="0.35">
      <c r="A1409" t="s">
        <v>4095</v>
      </c>
      <c r="B1409" t="s">
        <v>2092</v>
      </c>
      <c r="C1409" t="s">
        <v>665</v>
      </c>
      <c r="D1409" s="3">
        <v>1</v>
      </c>
      <c r="E1409" s="2">
        <v>700</v>
      </c>
    </row>
    <row r="1410" spans="1:5" x14ac:dyDescent="0.35">
      <c r="A1410" t="s">
        <v>4096</v>
      </c>
      <c r="B1410" t="s">
        <v>2093</v>
      </c>
      <c r="C1410" t="s">
        <v>635</v>
      </c>
      <c r="D1410" s="3">
        <v>1</v>
      </c>
      <c r="E1410" s="2">
        <v>180</v>
      </c>
    </row>
    <row r="1411" spans="1:5" x14ac:dyDescent="0.35">
      <c r="A1411" t="s">
        <v>4097</v>
      </c>
      <c r="B1411" t="s">
        <v>2094</v>
      </c>
      <c r="C1411" t="s">
        <v>654</v>
      </c>
      <c r="D1411" s="3">
        <v>1</v>
      </c>
      <c r="E1411" s="2">
        <v>100</v>
      </c>
    </row>
    <row r="1412" spans="1:5" x14ac:dyDescent="0.35">
      <c r="A1412" t="s">
        <v>4098</v>
      </c>
      <c r="B1412" t="s">
        <v>2095</v>
      </c>
      <c r="C1412" t="s">
        <v>658</v>
      </c>
      <c r="D1412" s="3">
        <v>1</v>
      </c>
      <c r="E1412" s="2">
        <v>750</v>
      </c>
    </row>
    <row r="1413" spans="1:5" x14ac:dyDescent="0.35">
      <c r="A1413" t="s">
        <v>4099</v>
      </c>
      <c r="B1413" t="s">
        <v>2096</v>
      </c>
      <c r="C1413" t="s">
        <v>647</v>
      </c>
      <c r="D1413" s="3">
        <v>2</v>
      </c>
      <c r="E1413" s="2">
        <v>8400</v>
      </c>
    </row>
    <row r="1414" spans="1:5" x14ac:dyDescent="0.35">
      <c r="A1414" t="s">
        <v>4100</v>
      </c>
      <c r="B1414" t="s">
        <v>2097</v>
      </c>
      <c r="C1414" t="s">
        <v>651</v>
      </c>
      <c r="D1414" s="3">
        <v>1</v>
      </c>
      <c r="E1414" s="2">
        <v>120</v>
      </c>
    </row>
    <row r="1415" spans="1:5" x14ac:dyDescent="0.35">
      <c r="A1415" t="s">
        <v>4101</v>
      </c>
      <c r="B1415" t="s">
        <v>2098</v>
      </c>
      <c r="C1415" t="s">
        <v>665</v>
      </c>
      <c r="D1415" s="3">
        <v>1</v>
      </c>
      <c r="E1415" s="2">
        <v>700</v>
      </c>
    </row>
    <row r="1416" spans="1:5" x14ac:dyDescent="0.35">
      <c r="A1416" t="s">
        <v>4102</v>
      </c>
      <c r="B1416" t="s">
        <v>2099</v>
      </c>
      <c r="C1416" t="s">
        <v>645</v>
      </c>
      <c r="D1416" s="3">
        <v>1</v>
      </c>
      <c r="E1416" s="2">
        <v>3500</v>
      </c>
    </row>
    <row r="1417" spans="1:5" x14ac:dyDescent="0.35">
      <c r="A1417" t="s">
        <v>4103</v>
      </c>
      <c r="B1417" t="s">
        <v>2100</v>
      </c>
      <c r="C1417" t="s">
        <v>635</v>
      </c>
      <c r="D1417" s="3">
        <v>1</v>
      </c>
      <c r="E1417" s="2">
        <v>180</v>
      </c>
    </row>
    <row r="1418" spans="1:5" x14ac:dyDescent="0.35">
      <c r="A1418" t="s">
        <v>4104</v>
      </c>
      <c r="B1418" t="s">
        <v>2101</v>
      </c>
      <c r="C1418" t="s">
        <v>641</v>
      </c>
      <c r="D1418" s="3">
        <v>1</v>
      </c>
      <c r="E1418" s="2">
        <v>1800</v>
      </c>
    </row>
    <row r="1419" spans="1:5" x14ac:dyDescent="0.35">
      <c r="A1419" t="s">
        <v>4105</v>
      </c>
      <c r="B1419" t="s">
        <v>2102</v>
      </c>
      <c r="C1419" t="s">
        <v>649</v>
      </c>
      <c r="D1419" s="3">
        <v>1</v>
      </c>
      <c r="E1419" s="2">
        <v>800</v>
      </c>
    </row>
    <row r="1420" spans="1:5" x14ac:dyDescent="0.35">
      <c r="A1420" t="s">
        <v>4106</v>
      </c>
      <c r="B1420" t="s">
        <v>2103</v>
      </c>
      <c r="C1420" t="s">
        <v>629</v>
      </c>
      <c r="D1420" s="3">
        <v>1</v>
      </c>
      <c r="E1420" s="2">
        <v>300</v>
      </c>
    </row>
    <row r="1421" spans="1:5" x14ac:dyDescent="0.35">
      <c r="A1421" t="s">
        <v>4107</v>
      </c>
      <c r="B1421" t="s">
        <v>2104</v>
      </c>
      <c r="C1421" t="s">
        <v>658</v>
      </c>
      <c r="D1421" s="3">
        <v>3</v>
      </c>
      <c r="E1421" s="2">
        <v>2250</v>
      </c>
    </row>
    <row r="1422" spans="1:5" x14ac:dyDescent="0.35">
      <c r="A1422" t="s">
        <v>4108</v>
      </c>
      <c r="B1422" t="s">
        <v>2105</v>
      </c>
      <c r="C1422" t="s">
        <v>660</v>
      </c>
      <c r="D1422" s="3">
        <v>2</v>
      </c>
      <c r="E1422" s="2">
        <v>13000</v>
      </c>
    </row>
    <row r="1423" spans="1:5" x14ac:dyDescent="0.35">
      <c r="A1423" t="s">
        <v>4109</v>
      </c>
      <c r="B1423" t="s">
        <v>2106</v>
      </c>
      <c r="C1423" t="s">
        <v>651</v>
      </c>
      <c r="D1423" s="3">
        <v>1</v>
      </c>
      <c r="E1423" s="2">
        <v>120</v>
      </c>
    </row>
    <row r="1424" spans="1:5" x14ac:dyDescent="0.35">
      <c r="A1424" t="s">
        <v>4110</v>
      </c>
      <c r="B1424" t="s">
        <v>2107</v>
      </c>
      <c r="C1424" t="s">
        <v>631</v>
      </c>
      <c r="D1424" s="3">
        <v>1</v>
      </c>
      <c r="E1424" s="2">
        <v>900</v>
      </c>
    </row>
    <row r="1425" spans="1:5" x14ac:dyDescent="0.35">
      <c r="A1425" t="s">
        <v>4111</v>
      </c>
      <c r="B1425" t="s">
        <v>2108</v>
      </c>
      <c r="C1425" t="s">
        <v>643</v>
      </c>
      <c r="D1425" s="3">
        <v>1</v>
      </c>
      <c r="E1425" s="2">
        <v>2200</v>
      </c>
    </row>
    <row r="1426" spans="1:5" x14ac:dyDescent="0.35">
      <c r="A1426" t="s">
        <v>4112</v>
      </c>
      <c r="B1426" t="s">
        <v>2109</v>
      </c>
      <c r="C1426" t="s">
        <v>665</v>
      </c>
      <c r="D1426" s="3">
        <v>1</v>
      </c>
      <c r="E1426" s="2">
        <v>700</v>
      </c>
    </row>
    <row r="1427" spans="1:5" x14ac:dyDescent="0.35">
      <c r="A1427" t="s">
        <v>4113</v>
      </c>
      <c r="B1427" t="s">
        <v>2110</v>
      </c>
      <c r="C1427" t="s">
        <v>643</v>
      </c>
      <c r="D1427" s="3">
        <v>1</v>
      </c>
      <c r="E1427" s="2">
        <v>2200</v>
      </c>
    </row>
    <row r="1428" spans="1:5" x14ac:dyDescent="0.35">
      <c r="A1428" t="s">
        <v>4114</v>
      </c>
      <c r="B1428" t="s">
        <v>2111</v>
      </c>
      <c r="C1428" t="s">
        <v>663</v>
      </c>
      <c r="D1428" s="3">
        <v>1</v>
      </c>
      <c r="E1428" s="2">
        <v>1400</v>
      </c>
    </row>
    <row r="1429" spans="1:5" x14ac:dyDescent="0.35">
      <c r="A1429" t="s">
        <v>4115</v>
      </c>
      <c r="B1429" t="s">
        <v>2112</v>
      </c>
      <c r="C1429" t="s">
        <v>663</v>
      </c>
      <c r="D1429" s="3">
        <v>1</v>
      </c>
      <c r="E1429" s="2">
        <v>1400</v>
      </c>
    </row>
    <row r="1430" spans="1:5" x14ac:dyDescent="0.35">
      <c r="A1430" t="s">
        <v>4116</v>
      </c>
      <c r="B1430" t="s">
        <v>2113</v>
      </c>
      <c r="C1430" t="s">
        <v>665</v>
      </c>
      <c r="D1430" s="3">
        <v>1</v>
      </c>
      <c r="E1430" s="2">
        <v>700</v>
      </c>
    </row>
    <row r="1431" spans="1:5" x14ac:dyDescent="0.35">
      <c r="A1431" t="s">
        <v>4117</v>
      </c>
      <c r="B1431" t="s">
        <v>2114</v>
      </c>
      <c r="C1431" t="s">
        <v>658</v>
      </c>
      <c r="D1431" s="3">
        <v>1</v>
      </c>
      <c r="E1431" s="2">
        <v>750</v>
      </c>
    </row>
    <row r="1432" spans="1:5" x14ac:dyDescent="0.35">
      <c r="A1432" t="s">
        <v>4118</v>
      </c>
      <c r="B1432" t="s">
        <v>2115</v>
      </c>
      <c r="C1432" t="s">
        <v>673</v>
      </c>
      <c r="D1432" s="3">
        <v>1</v>
      </c>
      <c r="E1432" s="2">
        <v>300</v>
      </c>
    </row>
    <row r="1433" spans="1:5" x14ac:dyDescent="0.35">
      <c r="A1433" t="s">
        <v>4119</v>
      </c>
      <c r="B1433" t="s">
        <v>2116</v>
      </c>
      <c r="C1433" t="s">
        <v>658</v>
      </c>
      <c r="D1433" s="3">
        <v>1</v>
      </c>
      <c r="E1433" s="2">
        <v>750</v>
      </c>
    </row>
    <row r="1434" spans="1:5" x14ac:dyDescent="0.35">
      <c r="A1434" t="s">
        <v>4120</v>
      </c>
      <c r="B1434" t="s">
        <v>2117</v>
      </c>
      <c r="C1434" t="s">
        <v>641</v>
      </c>
      <c r="D1434" s="3">
        <v>1</v>
      </c>
      <c r="E1434" s="2">
        <v>1800</v>
      </c>
    </row>
    <row r="1435" spans="1:5" x14ac:dyDescent="0.35">
      <c r="A1435" t="s">
        <v>4121</v>
      </c>
      <c r="B1435" t="s">
        <v>2118</v>
      </c>
      <c r="C1435" t="s">
        <v>620</v>
      </c>
      <c r="D1435" s="3">
        <v>1</v>
      </c>
      <c r="E1435" s="2">
        <v>50</v>
      </c>
    </row>
    <row r="1436" spans="1:5" x14ac:dyDescent="0.35">
      <c r="A1436" t="s">
        <v>4122</v>
      </c>
      <c r="B1436" t="s">
        <v>2119</v>
      </c>
      <c r="C1436" t="s">
        <v>638</v>
      </c>
      <c r="D1436" s="3">
        <v>1</v>
      </c>
      <c r="E1436" s="2">
        <v>150</v>
      </c>
    </row>
    <row r="1437" spans="1:5" x14ac:dyDescent="0.35">
      <c r="A1437" t="s">
        <v>4123</v>
      </c>
      <c r="B1437" t="s">
        <v>2120</v>
      </c>
      <c r="C1437" t="s">
        <v>649</v>
      </c>
      <c r="D1437" s="3">
        <v>1</v>
      </c>
      <c r="E1437" s="2">
        <v>800</v>
      </c>
    </row>
    <row r="1438" spans="1:5" x14ac:dyDescent="0.35">
      <c r="A1438" t="s">
        <v>4124</v>
      </c>
      <c r="B1438" t="s">
        <v>2121</v>
      </c>
      <c r="C1438" t="s">
        <v>660</v>
      </c>
      <c r="D1438" s="3">
        <v>3</v>
      </c>
      <c r="E1438" s="2">
        <v>19500</v>
      </c>
    </row>
    <row r="1439" spans="1:5" x14ac:dyDescent="0.35">
      <c r="A1439" t="s">
        <v>4125</v>
      </c>
      <c r="B1439" t="s">
        <v>2122</v>
      </c>
      <c r="C1439" t="s">
        <v>641</v>
      </c>
      <c r="D1439" s="3">
        <v>1</v>
      </c>
      <c r="E1439" s="2">
        <v>1800</v>
      </c>
    </row>
    <row r="1440" spans="1:5" x14ac:dyDescent="0.35">
      <c r="A1440" t="s">
        <v>4126</v>
      </c>
      <c r="B1440" t="s">
        <v>2123</v>
      </c>
      <c r="C1440" t="s">
        <v>669</v>
      </c>
      <c r="D1440" s="3">
        <v>1</v>
      </c>
      <c r="E1440" s="2">
        <v>600</v>
      </c>
    </row>
    <row r="1441" spans="1:5" x14ac:dyDescent="0.35">
      <c r="A1441" t="s">
        <v>4127</v>
      </c>
      <c r="B1441" t="s">
        <v>2124</v>
      </c>
      <c r="C1441" t="s">
        <v>626</v>
      </c>
      <c r="D1441" s="3">
        <v>1</v>
      </c>
      <c r="E1441" s="2">
        <v>5000</v>
      </c>
    </row>
    <row r="1442" spans="1:5" x14ac:dyDescent="0.35">
      <c r="A1442" t="s">
        <v>4128</v>
      </c>
      <c r="B1442" t="s">
        <v>2125</v>
      </c>
      <c r="C1442" t="s">
        <v>631</v>
      </c>
      <c r="D1442" s="3">
        <v>2</v>
      </c>
      <c r="E1442" s="2">
        <v>1800</v>
      </c>
    </row>
    <row r="1443" spans="1:5" x14ac:dyDescent="0.35">
      <c r="A1443" t="s">
        <v>4129</v>
      </c>
      <c r="B1443" t="s">
        <v>2126</v>
      </c>
      <c r="C1443" t="s">
        <v>649</v>
      </c>
      <c r="D1443" s="3">
        <v>1</v>
      </c>
      <c r="E1443" s="2">
        <v>800</v>
      </c>
    </row>
    <row r="1444" spans="1:5" x14ac:dyDescent="0.35">
      <c r="A1444" t="s">
        <v>4130</v>
      </c>
      <c r="B1444" t="s">
        <v>2127</v>
      </c>
      <c r="C1444" t="s">
        <v>626</v>
      </c>
      <c r="D1444" s="3">
        <v>1</v>
      </c>
      <c r="E1444" s="2">
        <v>5000</v>
      </c>
    </row>
    <row r="1445" spans="1:5" x14ac:dyDescent="0.35">
      <c r="A1445" t="s">
        <v>4131</v>
      </c>
      <c r="B1445" t="s">
        <v>2128</v>
      </c>
      <c r="C1445" t="s">
        <v>651</v>
      </c>
      <c r="D1445" s="3">
        <v>1</v>
      </c>
      <c r="E1445" s="2">
        <v>120</v>
      </c>
    </row>
    <row r="1446" spans="1:5" x14ac:dyDescent="0.35">
      <c r="A1446" t="s">
        <v>4132</v>
      </c>
      <c r="B1446" t="s">
        <v>2129</v>
      </c>
      <c r="C1446" t="s">
        <v>654</v>
      </c>
      <c r="D1446" s="3">
        <v>1</v>
      </c>
      <c r="E1446" s="2">
        <v>100</v>
      </c>
    </row>
    <row r="1447" spans="1:5" x14ac:dyDescent="0.35">
      <c r="A1447" t="s">
        <v>4133</v>
      </c>
      <c r="B1447" t="s">
        <v>2130</v>
      </c>
      <c r="C1447" t="s">
        <v>633</v>
      </c>
      <c r="D1447" s="3">
        <v>3</v>
      </c>
      <c r="E1447" s="2">
        <v>1350</v>
      </c>
    </row>
    <row r="1448" spans="1:5" x14ac:dyDescent="0.35">
      <c r="A1448" t="s">
        <v>4134</v>
      </c>
      <c r="B1448" t="s">
        <v>2131</v>
      </c>
      <c r="C1448" t="s">
        <v>656</v>
      </c>
      <c r="D1448" s="3">
        <v>1</v>
      </c>
      <c r="E1448" s="2">
        <v>350</v>
      </c>
    </row>
    <row r="1449" spans="1:5" x14ac:dyDescent="0.35">
      <c r="A1449" t="s">
        <v>4135</v>
      </c>
      <c r="B1449" t="s">
        <v>2132</v>
      </c>
      <c r="C1449" t="s">
        <v>660</v>
      </c>
      <c r="D1449" s="3">
        <v>1</v>
      </c>
      <c r="E1449" s="2">
        <v>6500</v>
      </c>
    </row>
    <row r="1450" spans="1:5" x14ac:dyDescent="0.35">
      <c r="A1450" t="s">
        <v>4136</v>
      </c>
      <c r="B1450" t="s">
        <v>2133</v>
      </c>
      <c r="C1450" t="s">
        <v>660</v>
      </c>
      <c r="D1450" s="3">
        <v>1</v>
      </c>
      <c r="E1450" s="2">
        <v>6500</v>
      </c>
    </row>
    <row r="1451" spans="1:5" x14ac:dyDescent="0.35">
      <c r="A1451" t="s">
        <v>4137</v>
      </c>
      <c r="B1451" t="s">
        <v>2134</v>
      </c>
      <c r="C1451" t="s">
        <v>656</v>
      </c>
      <c r="D1451" s="3">
        <v>1</v>
      </c>
      <c r="E1451" s="2">
        <v>350</v>
      </c>
    </row>
    <row r="1452" spans="1:5" x14ac:dyDescent="0.35">
      <c r="A1452" t="s">
        <v>4138</v>
      </c>
      <c r="B1452" t="s">
        <v>2135</v>
      </c>
      <c r="C1452" t="s">
        <v>631</v>
      </c>
      <c r="D1452" s="3">
        <v>3</v>
      </c>
      <c r="E1452" s="2">
        <v>2700</v>
      </c>
    </row>
    <row r="1453" spans="1:5" x14ac:dyDescent="0.35">
      <c r="A1453" t="s">
        <v>4139</v>
      </c>
      <c r="B1453" t="s">
        <v>2136</v>
      </c>
      <c r="C1453" t="s">
        <v>643</v>
      </c>
      <c r="D1453" s="3">
        <v>2</v>
      </c>
      <c r="E1453" s="2">
        <v>4400</v>
      </c>
    </row>
    <row r="1454" spans="1:5" x14ac:dyDescent="0.35">
      <c r="A1454" t="s">
        <v>4140</v>
      </c>
      <c r="B1454" t="s">
        <v>2137</v>
      </c>
      <c r="C1454" t="s">
        <v>654</v>
      </c>
      <c r="D1454" s="3">
        <v>1</v>
      </c>
      <c r="E1454" s="2">
        <v>100</v>
      </c>
    </row>
    <row r="1455" spans="1:5" x14ac:dyDescent="0.35">
      <c r="A1455" t="s">
        <v>4141</v>
      </c>
      <c r="B1455" t="s">
        <v>2138</v>
      </c>
      <c r="C1455" t="s">
        <v>673</v>
      </c>
      <c r="D1455" s="3">
        <v>1</v>
      </c>
      <c r="E1455" s="2">
        <v>300</v>
      </c>
    </row>
    <row r="1456" spans="1:5" x14ac:dyDescent="0.35">
      <c r="A1456" t="s">
        <v>4142</v>
      </c>
      <c r="B1456" t="s">
        <v>2139</v>
      </c>
      <c r="C1456" t="s">
        <v>635</v>
      </c>
      <c r="D1456" s="3">
        <v>1</v>
      </c>
      <c r="E1456" s="2">
        <v>180</v>
      </c>
    </row>
    <row r="1457" spans="1:5" x14ac:dyDescent="0.35">
      <c r="A1457" t="s">
        <v>4143</v>
      </c>
      <c r="B1457" t="s">
        <v>2140</v>
      </c>
      <c r="C1457" t="s">
        <v>643</v>
      </c>
      <c r="D1457" s="3">
        <v>1</v>
      </c>
      <c r="E1457" s="2">
        <v>2200</v>
      </c>
    </row>
    <row r="1458" spans="1:5" x14ac:dyDescent="0.35">
      <c r="A1458" t="s">
        <v>4144</v>
      </c>
      <c r="B1458" t="s">
        <v>2141</v>
      </c>
      <c r="C1458" t="s">
        <v>633</v>
      </c>
      <c r="D1458" s="3">
        <v>1</v>
      </c>
      <c r="E1458" s="2">
        <v>450</v>
      </c>
    </row>
    <row r="1459" spans="1:5" x14ac:dyDescent="0.35">
      <c r="A1459" t="s">
        <v>4145</v>
      </c>
      <c r="B1459" t="s">
        <v>2142</v>
      </c>
      <c r="C1459" t="s">
        <v>671</v>
      </c>
      <c r="D1459" s="3">
        <v>1</v>
      </c>
      <c r="E1459" s="2">
        <v>400</v>
      </c>
    </row>
    <row r="1460" spans="1:5" x14ac:dyDescent="0.35">
      <c r="A1460" t="s">
        <v>4146</v>
      </c>
      <c r="B1460" t="s">
        <v>2143</v>
      </c>
      <c r="C1460" t="s">
        <v>667</v>
      </c>
      <c r="D1460" s="3">
        <v>1</v>
      </c>
      <c r="E1460" s="2">
        <v>550</v>
      </c>
    </row>
    <row r="1461" spans="1:5" x14ac:dyDescent="0.35">
      <c r="A1461" t="s">
        <v>4147</v>
      </c>
      <c r="B1461" t="s">
        <v>2144</v>
      </c>
      <c r="C1461" t="s">
        <v>673</v>
      </c>
      <c r="D1461" s="3">
        <v>1</v>
      </c>
      <c r="E1461" s="2">
        <v>300</v>
      </c>
    </row>
    <row r="1462" spans="1:5" x14ac:dyDescent="0.35">
      <c r="A1462" t="s">
        <v>4148</v>
      </c>
      <c r="B1462" t="s">
        <v>2145</v>
      </c>
      <c r="C1462" t="s">
        <v>660</v>
      </c>
      <c r="D1462" s="3">
        <v>1</v>
      </c>
      <c r="E1462" s="2">
        <v>6500</v>
      </c>
    </row>
    <row r="1463" spans="1:5" x14ac:dyDescent="0.35">
      <c r="A1463" t="s">
        <v>4149</v>
      </c>
      <c r="B1463" t="s">
        <v>2146</v>
      </c>
      <c r="C1463" t="s">
        <v>641</v>
      </c>
      <c r="D1463" s="3">
        <v>1</v>
      </c>
      <c r="E1463" s="2">
        <v>1800</v>
      </c>
    </row>
    <row r="1464" spans="1:5" x14ac:dyDescent="0.35">
      <c r="A1464" t="s">
        <v>4150</v>
      </c>
      <c r="B1464" t="s">
        <v>2147</v>
      </c>
      <c r="C1464" t="s">
        <v>638</v>
      </c>
      <c r="D1464" s="3">
        <v>1</v>
      </c>
      <c r="E1464" s="2">
        <v>150</v>
      </c>
    </row>
    <row r="1465" spans="1:5" x14ac:dyDescent="0.35">
      <c r="A1465" t="s">
        <v>4151</v>
      </c>
      <c r="B1465" t="s">
        <v>2148</v>
      </c>
      <c r="C1465" t="s">
        <v>626</v>
      </c>
      <c r="D1465" s="3">
        <v>1</v>
      </c>
      <c r="E1465" s="2">
        <v>5000</v>
      </c>
    </row>
    <row r="1466" spans="1:5" x14ac:dyDescent="0.35">
      <c r="A1466" t="s">
        <v>4152</v>
      </c>
      <c r="B1466" t="s">
        <v>2149</v>
      </c>
      <c r="C1466" t="s">
        <v>669</v>
      </c>
      <c r="D1466" s="3">
        <v>1</v>
      </c>
      <c r="E1466" s="2">
        <v>600</v>
      </c>
    </row>
    <row r="1467" spans="1:5" x14ac:dyDescent="0.35">
      <c r="A1467" t="s">
        <v>4153</v>
      </c>
      <c r="B1467" t="s">
        <v>2150</v>
      </c>
      <c r="C1467" t="s">
        <v>651</v>
      </c>
      <c r="D1467" s="3">
        <v>1</v>
      </c>
      <c r="E1467" s="2">
        <v>120</v>
      </c>
    </row>
    <row r="1468" spans="1:5" x14ac:dyDescent="0.35">
      <c r="A1468" t="s">
        <v>4154</v>
      </c>
      <c r="B1468" t="s">
        <v>2151</v>
      </c>
      <c r="C1468" t="s">
        <v>647</v>
      </c>
      <c r="D1468" s="3">
        <v>1</v>
      </c>
      <c r="E1468" s="2">
        <v>4200</v>
      </c>
    </row>
    <row r="1469" spans="1:5" x14ac:dyDescent="0.35">
      <c r="A1469" t="s">
        <v>4155</v>
      </c>
      <c r="B1469" t="s">
        <v>2152</v>
      </c>
      <c r="C1469" t="s">
        <v>673</v>
      </c>
      <c r="D1469" s="3">
        <v>1</v>
      </c>
      <c r="E1469" s="2">
        <v>300</v>
      </c>
    </row>
    <row r="1470" spans="1:5" x14ac:dyDescent="0.35">
      <c r="A1470" t="s">
        <v>4156</v>
      </c>
      <c r="B1470" t="s">
        <v>2153</v>
      </c>
      <c r="C1470" t="s">
        <v>620</v>
      </c>
      <c r="D1470" s="3">
        <v>1</v>
      </c>
      <c r="E1470" s="2">
        <v>50</v>
      </c>
    </row>
    <row r="1471" spans="1:5" x14ac:dyDescent="0.35">
      <c r="A1471" t="s">
        <v>4157</v>
      </c>
      <c r="B1471" t="s">
        <v>2154</v>
      </c>
      <c r="C1471" t="s">
        <v>620</v>
      </c>
      <c r="D1471" s="3">
        <v>1</v>
      </c>
      <c r="E1471" s="2">
        <v>50</v>
      </c>
    </row>
    <row r="1472" spans="1:5" x14ac:dyDescent="0.35">
      <c r="A1472" t="s">
        <v>4158</v>
      </c>
      <c r="B1472" t="s">
        <v>2155</v>
      </c>
      <c r="C1472" t="s">
        <v>654</v>
      </c>
      <c r="D1472" s="3">
        <v>1</v>
      </c>
      <c r="E1472" s="2">
        <v>100</v>
      </c>
    </row>
    <row r="1473" spans="1:5" x14ac:dyDescent="0.35">
      <c r="A1473" t="s">
        <v>4159</v>
      </c>
      <c r="B1473" t="s">
        <v>2156</v>
      </c>
      <c r="C1473" t="s">
        <v>638</v>
      </c>
      <c r="D1473" s="3">
        <v>2</v>
      </c>
      <c r="E1473" s="2">
        <v>300</v>
      </c>
    </row>
    <row r="1474" spans="1:5" x14ac:dyDescent="0.35">
      <c r="A1474" t="s">
        <v>4160</v>
      </c>
      <c r="B1474" t="s">
        <v>2157</v>
      </c>
      <c r="C1474" t="s">
        <v>647</v>
      </c>
      <c r="D1474" s="3">
        <v>3</v>
      </c>
      <c r="E1474" s="2">
        <v>12600</v>
      </c>
    </row>
    <row r="1475" spans="1:5" x14ac:dyDescent="0.35">
      <c r="A1475" t="s">
        <v>4161</v>
      </c>
      <c r="B1475" t="s">
        <v>2158</v>
      </c>
      <c r="C1475" t="s">
        <v>623</v>
      </c>
      <c r="D1475" s="3">
        <v>1</v>
      </c>
      <c r="E1475" s="2">
        <v>1200</v>
      </c>
    </row>
    <row r="1476" spans="1:5" x14ac:dyDescent="0.35">
      <c r="A1476" t="s">
        <v>4162</v>
      </c>
      <c r="B1476" t="s">
        <v>2159</v>
      </c>
      <c r="C1476" t="s">
        <v>638</v>
      </c>
      <c r="D1476" s="3">
        <v>1</v>
      </c>
      <c r="E1476" s="2">
        <v>150</v>
      </c>
    </row>
    <row r="1477" spans="1:5" x14ac:dyDescent="0.35">
      <c r="A1477" t="s">
        <v>4163</v>
      </c>
      <c r="B1477" t="s">
        <v>2160</v>
      </c>
      <c r="C1477" t="s">
        <v>647</v>
      </c>
      <c r="D1477" s="3">
        <v>1</v>
      </c>
      <c r="E1477" s="2">
        <v>4200</v>
      </c>
    </row>
    <row r="1478" spans="1:5" x14ac:dyDescent="0.35">
      <c r="A1478" t="s">
        <v>4164</v>
      </c>
      <c r="B1478" t="s">
        <v>2161</v>
      </c>
      <c r="C1478" t="s">
        <v>665</v>
      </c>
      <c r="D1478" s="3">
        <v>1</v>
      </c>
      <c r="E1478" s="2">
        <v>700</v>
      </c>
    </row>
    <row r="1479" spans="1:5" x14ac:dyDescent="0.35">
      <c r="A1479" t="s">
        <v>4165</v>
      </c>
      <c r="B1479" t="s">
        <v>2162</v>
      </c>
      <c r="C1479" t="s">
        <v>667</v>
      </c>
      <c r="D1479" s="3">
        <v>1</v>
      </c>
      <c r="E1479" s="2">
        <v>550</v>
      </c>
    </row>
    <row r="1480" spans="1:5" x14ac:dyDescent="0.35">
      <c r="A1480" t="s">
        <v>4166</v>
      </c>
      <c r="B1480" t="s">
        <v>2163</v>
      </c>
      <c r="C1480" t="s">
        <v>620</v>
      </c>
      <c r="D1480" s="3">
        <v>1</v>
      </c>
      <c r="E1480" s="2">
        <v>50</v>
      </c>
    </row>
    <row r="1481" spans="1:5" x14ac:dyDescent="0.35">
      <c r="A1481" t="s">
        <v>4167</v>
      </c>
      <c r="B1481" t="s">
        <v>2164</v>
      </c>
      <c r="C1481" t="s">
        <v>635</v>
      </c>
      <c r="D1481" s="3">
        <v>1</v>
      </c>
      <c r="E1481" s="2">
        <v>180</v>
      </c>
    </row>
    <row r="1482" spans="1:5" x14ac:dyDescent="0.35">
      <c r="A1482" t="s">
        <v>4168</v>
      </c>
      <c r="B1482" t="s">
        <v>2165</v>
      </c>
      <c r="C1482" t="s">
        <v>638</v>
      </c>
      <c r="D1482" s="3">
        <v>2</v>
      </c>
      <c r="E1482" s="2">
        <v>300</v>
      </c>
    </row>
    <row r="1483" spans="1:5" x14ac:dyDescent="0.35">
      <c r="A1483" t="s">
        <v>4169</v>
      </c>
      <c r="B1483" t="s">
        <v>2166</v>
      </c>
      <c r="C1483" t="s">
        <v>654</v>
      </c>
      <c r="D1483" s="3">
        <v>1</v>
      </c>
      <c r="E1483" s="2">
        <v>100</v>
      </c>
    </row>
    <row r="1484" spans="1:5" x14ac:dyDescent="0.35">
      <c r="A1484" t="s">
        <v>4170</v>
      </c>
      <c r="B1484" t="s">
        <v>2167</v>
      </c>
      <c r="C1484" t="s">
        <v>620</v>
      </c>
      <c r="D1484" s="3">
        <v>1</v>
      </c>
      <c r="E1484" s="2">
        <v>50</v>
      </c>
    </row>
    <row r="1485" spans="1:5" x14ac:dyDescent="0.35">
      <c r="A1485" t="s">
        <v>4171</v>
      </c>
      <c r="B1485" t="s">
        <v>2168</v>
      </c>
      <c r="C1485" t="s">
        <v>631</v>
      </c>
      <c r="D1485" s="3">
        <v>1</v>
      </c>
      <c r="E1485" s="2">
        <v>900</v>
      </c>
    </row>
    <row r="1486" spans="1:5" x14ac:dyDescent="0.35">
      <c r="A1486" t="s">
        <v>4172</v>
      </c>
      <c r="B1486" t="s">
        <v>2169</v>
      </c>
      <c r="C1486" t="s">
        <v>667</v>
      </c>
      <c r="D1486" s="3">
        <v>1</v>
      </c>
      <c r="E1486" s="2">
        <v>550</v>
      </c>
    </row>
    <row r="1487" spans="1:5" x14ac:dyDescent="0.35">
      <c r="A1487" t="s">
        <v>4173</v>
      </c>
      <c r="B1487" t="s">
        <v>2170</v>
      </c>
      <c r="C1487" t="s">
        <v>635</v>
      </c>
      <c r="D1487" s="3">
        <v>1</v>
      </c>
      <c r="E1487" s="2">
        <v>180</v>
      </c>
    </row>
    <row r="1488" spans="1:5" x14ac:dyDescent="0.35">
      <c r="A1488" t="s">
        <v>4174</v>
      </c>
      <c r="B1488" t="s">
        <v>2171</v>
      </c>
      <c r="C1488" t="s">
        <v>629</v>
      </c>
      <c r="D1488" s="3">
        <v>1</v>
      </c>
      <c r="E1488" s="2">
        <v>300</v>
      </c>
    </row>
    <row r="1489" spans="1:5" x14ac:dyDescent="0.35">
      <c r="A1489" t="s">
        <v>4175</v>
      </c>
      <c r="B1489" t="s">
        <v>2172</v>
      </c>
      <c r="C1489" t="s">
        <v>638</v>
      </c>
      <c r="D1489" s="3">
        <v>1</v>
      </c>
      <c r="E1489" s="2">
        <v>150</v>
      </c>
    </row>
    <row r="1490" spans="1:5" x14ac:dyDescent="0.35">
      <c r="A1490" t="s">
        <v>4176</v>
      </c>
      <c r="B1490" t="s">
        <v>2173</v>
      </c>
      <c r="C1490" t="s">
        <v>617</v>
      </c>
      <c r="D1490" s="3">
        <v>1</v>
      </c>
      <c r="E1490" s="2">
        <v>200</v>
      </c>
    </row>
    <row r="1491" spans="1:5" x14ac:dyDescent="0.35">
      <c r="A1491" t="s">
        <v>4177</v>
      </c>
      <c r="B1491" t="s">
        <v>2174</v>
      </c>
      <c r="C1491" t="s">
        <v>638</v>
      </c>
      <c r="D1491" s="3">
        <v>1</v>
      </c>
      <c r="E1491" s="2">
        <v>150</v>
      </c>
    </row>
    <row r="1492" spans="1:5" x14ac:dyDescent="0.35">
      <c r="A1492" t="s">
        <v>4178</v>
      </c>
      <c r="B1492" t="s">
        <v>2175</v>
      </c>
      <c r="C1492" t="s">
        <v>641</v>
      </c>
      <c r="D1492" s="3">
        <v>1</v>
      </c>
      <c r="E1492" s="2">
        <v>1800</v>
      </c>
    </row>
    <row r="1493" spans="1:5" x14ac:dyDescent="0.35">
      <c r="A1493" t="s">
        <v>4179</v>
      </c>
      <c r="B1493" t="s">
        <v>2176</v>
      </c>
      <c r="C1493" t="s">
        <v>669</v>
      </c>
      <c r="D1493" s="3">
        <v>1</v>
      </c>
      <c r="E1493" s="2">
        <v>600</v>
      </c>
    </row>
    <row r="1494" spans="1:5" x14ac:dyDescent="0.35">
      <c r="A1494" t="s">
        <v>4180</v>
      </c>
      <c r="B1494" t="s">
        <v>2177</v>
      </c>
      <c r="C1494" t="s">
        <v>626</v>
      </c>
      <c r="D1494" s="3">
        <v>3</v>
      </c>
      <c r="E1494" s="2">
        <v>15000</v>
      </c>
    </row>
    <row r="1495" spans="1:5" x14ac:dyDescent="0.35">
      <c r="A1495" t="s">
        <v>4181</v>
      </c>
      <c r="B1495" t="s">
        <v>2178</v>
      </c>
      <c r="C1495" t="s">
        <v>623</v>
      </c>
      <c r="D1495" s="3">
        <v>1</v>
      </c>
      <c r="E1495" s="2">
        <v>1200</v>
      </c>
    </row>
    <row r="1496" spans="1:5" x14ac:dyDescent="0.35">
      <c r="A1496" t="s">
        <v>4182</v>
      </c>
      <c r="B1496" t="s">
        <v>2179</v>
      </c>
      <c r="C1496" t="s">
        <v>641</v>
      </c>
      <c r="D1496" s="3">
        <v>1</v>
      </c>
      <c r="E1496" s="2">
        <v>1800</v>
      </c>
    </row>
    <row r="1497" spans="1:5" x14ac:dyDescent="0.35">
      <c r="A1497" t="s">
        <v>4183</v>
      </c>
      <c r="B1497" t="s">
        <v>2180</v>
      </c>
      <c r="C1497" t="s">
        <v>651</v>
      </c>
      <c r="D1497" s="3">
        <v>3</v>
      </c>
      <c r="E1497" s="2">
        <v>360</v>
      </c>
    </row>
    <row r="1498" spans="1:5" x14ac:dyDescent="0.35">
      <c r="A1498" t="s">
        <v>4184</v>
      </c>
      <c r="B1498" t="s">
        <v>2181</v>
      </c>
      <c r="C1498" t="s">
        <v>643</v>
      </c>
      <c r="D1498" s="3">
        <v>1</v>
      </c>
      <c r="E1498" s="2">
        <v>2200</v>
      </c>
    </row>
    <row r="1499" spans="1:5" x14ac:dyDescent="0.35">
      <c r="A1499" t="s">
        <v>4185</v>
      </c>
      <c r="B1499" t="s">
        <v>2182</v>
      </c>
      <c r="C1499" t="s">
        <v>649</v>
      </c>
      <c r="D1499" s="3">
        <v>1</v>
      </c>
      <c r="E1499" s="2">
        <v>800</v>
      </c>
    </row>
    <row r="1500" spans="1:5" x14ac:dyDescent="0.35">
      <c r="A1500" t="s">
        <v>4186</v>
      </c>
      <c r="B1500" t="s">
        <v>2183</v>
      </c>
      <c r="C1500" t="s">
        <v>631</v>
      </c>
      <c r="D1500" s="3">
        <v>1</v>
      </c>
      <c r="E1500" s="2">
        <v>900</v>
      </c>
    </row>
    <row r="1501" spans="1:5" x14ac:dyDescent="0.35">
      <c r="A1501" t="s">
        <v>4187</v>
      </c>
      <c r="B1501" t="s">
        <v>2184</v>
      </c>
      <c r="C1501" t="s">
        <v>645</v>
      </c>
      <c r="D1501" s="3">
        <v>1</v>
      </c>
      <c r="E1501" s="2">
        <v>3500</v>
      </c>
    </row>
    <row r="1502" spans="1:5" x14ac:dyDescent="0.35">
      <c r="A1502" t="s">
        <v>4188</v>
      </c>
      <c r="B1502" t="s">
        <v>2185</v>
      </c>
      <c r="C1502" t="s">
        <v>647</v>
      </c>
      <c r="D1502" s="3">
        <v>1</v>
      </c>
      <c r="E1502" s="2">
        <v>4200</v>
      </c>
    </row>
    <row r="1503" spans="1:5" x14ac:dyDescent="0.35">
      <c r="A1503" t="s">
        <v>4189</v>
      </c>
      <c r="B1503" t="s">
        <v>2186</v>
      </c>
      <c r="C1503" t="s">
        <v>656</v>
      </c>
      <c r="D1503" s="3">
        <v>1</v>
      </c>
      <c r="E1503" s="2">
        <v>350</v>
      </c>
    </row>
    <row r="1504" spans="1:5" x14ac:dyDescent="0.35">
      <c r="A1504" t="s">
        <v>4190</v>
      </c>
      <c r="B1504" t="s">
        <v>2187</v>
      </c>
      <c r="C1504" t="s">
        <v>654</v>
      </c>
      <c r="D1504" s="3">
        <v>3</v>
      </c>
      <c r="E1504" s="2">
        <v>300</v>
      </c>
    </row>
    <row r="1505" spans="1:5" x14ac:dyDescent="0.35">
      <c r="A1505" t="s">
        <v>4191</v>
      </c>
      <c r="B1505" t="s">
        <v>2188</v>
      </c>
      <c r="C1505" t="s">
        <v>623</v>
      </c>
      <c r="D1505" s="3">
        <v>1</v>
      </c>
      <c r="E1505" s="2">
        <v>1200</v>
      </c>
    </row>
    <row r="1506" spans="1:5" x14ac:dyDescent="0.35">
      <c r="A1506" t="s">
        <v>4192</v>
      </c>
      <c r="B1506" t="s">
        <v>2189</v>
      </c>
      <c r="C1506" t="s">
        <v>620</v>
      </c>
      <c r="D1506" s="3">
        <v>1</v>
      </c>
      <c r="E1506" s="2">
        <v>50</v>
      </c>
    </row>
    <row r="1507" spans="1:5" x14ac:dyDescent="0.35">
      <c r="A1507" t="s">
        <v>4193</v>
      </c>
      <c r="B1507" t="s">
        <v>2190</v>
      </c>
      <c r="C1507" t="s">
        <v>643</v>
      </c>
      <c r="D1507" s="3">
        <v>1</v>
      </c>
      <c r="E1507" s="2">
        <v>2200</v>
      </c>
    </row>
    <row r="1508" spans="1:5" x14ac:dyDescent="0.35">
      <c r="A1508" t="s">
        <v>4194</v>
      </c>
      <c r="B1508" t="s">
        <v>2191</v>
      </c>
      <c r="C1508" t="s">
        <v>638</v>
      </c>
      <c r="D1508" s="3">
        <v>1</v>
      </c>
      <c r="E1508" s="2">
        <v>150</v>
      </c>
    </row>
    <row r="1509" spans="1:5" x14ac:dyDescent="0.35">
      <c r="A1509" t="s">
        <v>4195</v>
      </c>
      <c r="B1509" t="s">
        <v>2192</v>
      </c>
      <c r="C1509" t="s">
        <v>623</v>
      </c>
      <c r="D1509" s="3">
        <v>1</v>
      </c>
      <c r="E1509" s="2">
        <v>1200</v>
      </c>
    </row>
    <row r="1510" spans="1:5" x14ac:dyDescent="0.35">
      <c r="A1510" t="s">
        <v>4196</v>
      </c>
      <c r="B1510" t="s">
        <v>2193</v>
      </c>
      <c r="C1510" t="s">
        <v>658</v>
      </c>
      <c r="D1510" s="3">
        <v>1</v>
      </c>
      <c r="E1510" s="2">
        <v>750</v>
      </c>
    </row>
    <row r="1511" spans="1:5" x14ac:dyDescent="0.35">
      <c r="A1511" t="s">
        <v>4197</v>
      </c>
      <c r="B1511" t="s">
        <v>2194</v>
      </c>
      <c r="C1511" t="s">
        <v>663</v>
      </c>
      <c r="D1511" s="3">
        <v>1</v>
      </c>
      <c r="E1511" s="2">
        <v>1400</v>
      </c>
    </row>
    <row r="1512" spans="1:5" x14ac:dyDescent="0.35">
      <c r="A1512" t="s">
        <v>4198</v>
      </c>
      <c r="B1512" t="s">
        <v>2195</v>
      </c>
      <c r="C1512" t="s">
        <v>651</v>
      </c>
      <c r="D1512" s="3">
        <v>1</v>
      </c>
      <c r="E1512" s="2">
        <v>120</v>
      </c>
    </row>
    <row r="1513" spans="1:5" x14ac:dyDescent="0.35">
      <c r="A1513" t="s">
        <v>4199</v>
      </c>
      <c r="B1513" t="s">
        <v>2196</v>
      </c>
      <c r="C1513" t="s">
        <v>649</v>
      </c>
      <c r="D1513" s="3">
        <v>3</v>
      </c>
      <c r="E1513" s="2">
        <v>2400</v>
      </c>
    </row>
    <row r="1514" spans="1:5" x14ac:dyDescent="0.35">
      <c r="A1514" t="s">
        <v>4200</v>
      </c>
      <c r="B1514" t="s">
        <v>2197</v>
      </c>
      <c r="C1514" t="s">
        <v>620</v>
      </c>
      <c r="D1514" s="3">
        <v>1</v>
      </c>
      <c r="E1514" s="2">
        <v>50</v>
      </c>
    </row>
    <row r="1515" spans="1:5" x14ac:dyDescent="0.35">
      <c r="A1515" t="s">
        <v>4201</v>
      </c>
      <c r="B1515" t="s">
        <v>2198</v>
      </c>
      <c r="C1515" t="s">
        <v>656</v>
      </c>
      <c r="D1515" s="3">
        <v>1</v>
      </c>
      <c r="E1515" s="2">
        <v>350</v>
      </c>
    </row>
    <row r="1516" spans="1:5" x14ac:dyDescent="0.35">
      <c r="A1516" t="s">
        <v>4202</v>
      </c>
      <c r="B1516" t="s">
        <v>2199</v>
      </c>
      <c r="C1516" t="s">
        <v>667</v>
      </c>
      <c r="D1516" s="3">
        <v>1</v>
      </c>
      <c r="E1516" s="2">
        <v>550</v>
      </c>
    </row>
    <row r="1517" spans="1:5" x14ac:dyDescent="0.35">
      <c r="A1517" t="s">
        <v>4203</v>
      </c>
      <c r="B1517" t="s">
        <v>2200</v>
      </c>
      <c r="C1517" t="s">
        <v>635</v>
      </c>
      <c r="D1517" s="3">
        <v>1</v>
      </c>
      <c r="E1517" s="2">
        <v>180</v>
      </c>
    </row>
    <row r="1518" spans="1:5" x14ac:dyDescent="0.35">
      <c r="A1518" t="s">
        <v>4204</v>
      </c>
      <c r="B1518" t="s">
        <v>2201</v>
      </c>
      <c r="C1518" t="s">
        <v>641</v>
      </c>
      <c r="D1518" s="3">
        <v>1</v>
      </c>
      <c r="E1518" s="2">
        <v>1800</v>
      </c>
    </row>
    <row r="1519" spans="1:5" x14ac:dyDescent="0.35">
      <c r="A1519" t="s">
        <v>4205</v>
      </c>
      <c r="B1519" t="s">
        <v>2202</v>
      </c>
      <c r="C1519" t="s">
        <v>658</v>
      </c>
      <c r="D1519" s="3">
        <v>1</v>
      </c>
      <c r="E1519" s="2">
        <v>750</v>
      </c>
    </row>
    <row r="1520" spans="1:5" x14ac:dyDescent="0.35">
      <c r="A1520" t="s">
        <v>4206</v>
      </c>
      <c r="B1520" t="s">
        <v>2203</v>
      </c>
      <c r="C1520" t="s">
        <v>673</v>
      </c>
      <c r="D1520" s="3">
        <v>1</v>
      </c>
      <c r="E1520" s="2">
        <v>300</v>
      </c>
    </row>
    <row r="1521" spans="1:5" x14ac:dyDescent="0.35">
      <c r="A1521" t="s">
        <v>4207</v>
      </c>
      <c r="B1521" t="s">
        <v>2204</v>
      </c>
      <c r="C1521" t="s">
        <v>660</v>
      </c>
      <c r="D1521" s="3">
        <v>1</v>
      </c>
      <c r="E1521" s="2">
        <v>6500</v>
      </c>
    </row>
    <row r="1522" spans="1:5" x14ac:dyDescent="0.35">
      <c r="A1522" t="s">
        <v>4208</v>
      </c>
      <c r="B1522" t="s">
        <v>2205</v>
      </c>
      <c r="C1522" t="s">
        <v>635</v>
      </c>
      <c r="D1522" s="3">
        <v>1</v>
      </c>
      <c r="E1522" s="2">
        <v>180</v>
      </c>
    </row>
    <row r="1523" spans="1:5" x14ac:dyDescent="0.35">
      <c r="A1523" t="s">
        <v>4209</v>
      </c>
      <c r="B1523" t="s">
        <v>2206</v>
      </c>
      <c r="C1523" t="s">
        <v>635</v>
      </c>
      <c r="D1523" s="3">
        <v>1</v>
      </c>
      <c r="E1523" s="2">
        <v>180</v>
      </c>
    </row>
    <row r="1524" spans="1:5" x14ac:dyDescent="0.35">
      <c r="A1524" t="s">
        <v>4210</v>
      </c>
      <c r="B1524" t="s">
        <v>2207</v>
      </c>
      <c r="C1524" t="s">
        <v>623</v>
      </c>
      <c r="D1524" s="3">
        <v>1</v>
      </c>
      <c r="E1524" s="2">
        <v>1200</v>
      </c>
    </row>
    <row r="1525" spans="1:5" x14ac:dyDescent="0.35">
      <c r="A1525" t="s">
        <v>4211</v>
      </c>
      <c r="B1525" t="s">
        <v>2208</v>
      </c>
      <c r="C1525" t="s">
        <v>623</v>
      </c>
      <c r="D1525" s="3">
        <v>1</v>
      </c>
      <c r="E1525" s="2">
        <v>1200</v>
      </c>
    </row>
    <row r="1526" spans="1:5" x14ac:dyDescent="0.35">
      <c r="A1526" t="s">
        <v>4212</v>
      </c>
      <c r="B1526" t="s">
        <v>2209</v>
      </c>
      <c r="C1526" t="s">
        <v>645</v>
      </c>
      <c r="D1526" s="3">
        <v>1</v>
      </c>
      <c r="E1526" s="2">
        <v>3500</v>
      </c>
    </row>
    <row r="1527" spans="1:5" x14ac:dyDescent="0.35">
      <c r="A1527" t="s">
        <v>4213</v>
      </c>
      <c r="B1527" t="s">
        <v>2210</v>
      </c>
      <c r="C1527" t="s">
        <v>667</v>
      </c>
      <c r="D1527" s="3">
        <v>2</v>
      </c>
      <c r="E1527" s="2">
        <v>1100</v>
      </c>
    </row>
    <row r="1528" spans="1:5" x14ac:dyDescent="0.35">
      <c r="A1528" t="s">
        <v>4214</v>
      </c>
      <c r="B1528" t="s">
        <v>2211</v>
      </c>
      <c r="C1528" t="s">
        <v>656</v>
      </c>
      <c r="D1528" s="3">
        <v>1</v>
      </c>
      <c r="E1528" s="2">
        <v>350</v>
      </c>
    </row>
    <row r="1529" spans="1:5" x14ac:dyDescent="0.35">
      <c r="A1529" t="s">
        <v>4215</v>
      </c>
      <c r="B1529" t="s">
        <v>2212</v>
      </c>
      <c r="C1529" t="s">
        <v>626</v>
      </c>
      <c r="D1529" s="3">
        <v>1</v>
      </c>
      <c r="E1529" s="2">
        <v>5000</v>
      </c>
    </row>
    <row r="1530" spans="1:5" x14ac:dyDescent="0.35">
      <c r="A1530" t="s">
        <v>4216</v>
      </c>
      <c r="B1530" t="s">
        <v>2213</v>
      </c>
      <c r="C1530" t="s">
        <v>656</v>
      </c>
      <c r="D1530" s="3">
        <v>1</v>
      </c>
      <c r="E1530" s="2">
        <v>350</v>
      </c>
    </row>
    <row r="1531" spans="1:5" x14ac:dyDescent="0.35">
      <c r="A1531" t="s">
        <v>4217</v>
      </c>
      <c r="B1531" t="s">
        <v>2214</v>
      </c>
      <c r="C1531" t="s">
        <v>649</v>
      </c>
      <c r="D1531" s="3">
        <v>2</v>
      </c>
      <c r="E1531" s="2">
        <v>1600</v>
      </c>
    </row>
    <row r="1532" spans="1:5" x14ac:dyDescent="0.35">
      <c r="A1532" t="s">
        <v>4218</v>
      </c>
      <c r="B1532" t="s">
        <v>2215</v>
      </c>
      <c r="C1532" t="s">
        <v>660</v>
      </c>
      <c r="D1532" s="3">
        <v>1</v>
      </c>
      <c r="E1532" s="2">
        <v>6500</v>
      </c>
    </row>
    <row r="1533" spans="1:5" x14ac:dyDescent="0.35">
      <c r="A1533" t="s">
        <v>4219</v>
      </c>
      <c r="B1533" t="s">
        <v>2216</v>
      </c>
      <c r="C1533" t="s">
        <v>638</v>
      </c>
      <c r="D1533" s="3">
        <v>1</v>
      </c>
      <c r="E1533" s="2">
        <v>150</v>
      </c>
    </row>
    <row r="1534" spans="1:5" x14ac:dyDescent="0.35">
      <c r="A1534" t="s">
        <v>4220</v>
      </c>
      <c r="B1534" t="s">
        <v>2217</v>
      </c>
      <c r="C1534" t="s">
        <v>665</v>
      </c>
      <c r="D1534" s="3">
        <v>2</v>
      </c>
      <c r="E1534" s="2">
        <v>1400</v>
      </c>
    </row>
    <row r="1535" spans="1:5" x14ac:dyDescent="0.35">
      <c r="A1535" t="s">
        <v>4221</v>
      </c>
      <c r="B1535" t="s">
        <v>2218</v>
      </c>
      <c r="C1535" t="s">
        <v>645</v>
      </c>
      <c r="D1535" s="3">
        <v>1</v>
      </c>
      <c r="E1535" s="2">
        <v>3500</v>
      </c>
    </row>
    <row r="1536" spans="1:5" x14ac:dyDescent="0.35">
      <c r="A1536" t="s">
        <v>4222</v>
      </c>
      <c r="B1536" t="s">
        <v>2219</v>
      </c>
      <c r="C1536" t="s">
        <v>629</v>
      </c>
      <c r="D1536" s="3">
        <v>1</v>
      </c>
      <c r="E1536" s="2">
        <v>300</v>
      </c>
    </row>
    <row r="1537" spans="1:5" x14ac:dyDescent="0.35">
      <c r="A1537" t="s">
        <v>4223</v>
      </c>
      <c r="B1537" t="s">
        <v>2220</v>
      </c>
      <c r="C1537" t="s">
        <v>643</v>
      </c>
      <c r="D1537" s="3">
        <v>1</v>
      </c>
      <c r="E1537" s="2">
        <v>2200</v>
      </c>
    </row>
    <row r="1538" spans="1:5" x14ac:dyDescent="0.35">
      <c r="A1538" t="s">
        <v>4224</v>
      </c>
      <c r="B1538" t="s">
        <v>2221</v>
      </c>
      <c r="C1538" t="s">
        <v>663</v>
      </c>
      <c r="D1538" s="3">
        <v>1</v>
      </c>
      <c r="E1538" s="2">
        <v>1400</v>
      </c>
    </row>
    <row r="1539" spans="1:5" x14ac:dyDescent="0.35">
      <c r="A1539" t="s">
        <v>4225</v>
      </c>
      <c r="B1539" t="s">
        <v>2222</v>
      </c>
      <c r="C1539" t="s">
        <v>623</v>
      </c>
      <c r="D1539" s="3">
        <v>1</v>
      </c>
      <c r="E1539" s="2">
        <v>1200</v>
      </c>
    </row>
    <row r="1540" spans="1:5" x14ac:dyDescent="0.35">
      <c r="A1540" t="s">
        <v>4226</v>
      </c>
      <c r="B1540" t="s">
        <v>2223</v>
      </c>
      <c r="C1540" t="s">
        <v>665</v>
      </c>
      <c r="D1540" s="3">
        <v>1</v>
      </c>
      <c r="E1540" s="2">
        <v>700</v>
      </c>
    </row>
    <row r="1541" spans="1:5" x14ac:dyDescent="0.35">
      <c r="A1541" t="s">
        <v>4227</v>
      </c>
      <c r="B1541" t="s">
        <v>2224</v>
      </c>
      <c r="C1541" t="s">
        <v>651</v>
      </c>
      <c r="D1541" s="3">
        <v>1</v>
      </c>
      <c r="E1541" s="2">
        <v>120</v>
      </c>
    </row>
    <row r="1542" spans="1:5" x14ac:dyDescent="0.35">
      <c r="A1542" t="s">
        <v>4228</v>
      </c>
      <c r="B1542" t="s">
        <v>2225</v>
      </c>
      <c r="C1542" t="s">
        <v>649</v>
      </c>
      <c r="D1542" s="3">
        <v>1</v>
      </c>
      <c r="E1542" s="2">
        <v>800</v>
      </c>
    </row>
    <row r="1543" spans="1:5" x14ac:dyDescent="0.35">
      <c r="A1543" t="s">
        <v>4229</v>
      </c>
      <c r="B1543" t="s">
        <v>2226</v>
      </c>
      <c r="C1543" t="s">
        <v>643</v>
      </c>
      <c r="D1543" s="3">
        <v>1</v>
      </c>
      <c r="E1543" s="2">
        <v>2200</v>
      </c>
    </row>
    <row r="1544" spans="1:5" x14ac:dyDescent="0.35">
      <c r="A1544" t="s">
        <v>4230</v>
      </c>
      <c r="B1544" t="s">
        <v>2227</v>
      </c>
      <c r="C1544" t="s">
        <v>663</v>
      </c>
      <c r="D1544" s="3">
        <v>1</v>
      </c>
      <c r="E1544" s="2">
        <v>1400</v>
      </c>
    </row>
    <row r="1545" spans="1:5" x14ac:dyDescent="0.35">
      <c r="A1545" t="s">
        <v>4231</v>
      </c>
      <c r="B1545" t="s">
        <v>2228</v>
      </c>
      <c r="C1545" t="s">
        <v>635</v>
      </c>
      <c r="D1545" s="3">
        <v>1</v>
      </c>
      <c r="E1545" s="2">
        <v>180</v>
      </c>
    </row>
    <row r="1546" spans="1:5" x14ac:dyDescent="0.35">
      <c r="A1546" t="s">
        <v>4232</v>
      </c>
      <c r="B1546" t="s">
        <v>2229</v>
      </c>
      <c r="C1546" t="s">
        <v>626</v>
      </c>
      <c r="D1546" s="3">
        <v>1</v>
      </c>
      <c r="E1546" s="2">
        <v>5000</v>
      </c>
    </row>
    <row r="1547" spans="1:5" x14ac:dyDescent="0.35">
      <c r="A1547" t="s">
        <v>4233</v>
      </c>
      <c r="B1547" t="s">
        <v>2230</v>
      </c>
      <c r="C1547" t="s">
        <v>645</v>
      </c>
      <c r="D1547" s="3">
        <v>1</v>
      </c>
      <c r="E1547" s="2">
        <v>3500</v>
      </c>
    </row>
    <row r="1548" spans="1:5" x14ac:dyDescent="0.35">
      <c r="A1548" t="s">
        <v>4234</v>
      </c>
      <c r="B1548" t="s">
        <v>2231</v>
      </c>
      <c r="C1548" t="s">
        <v>635</v>
      </c>
      <c r="D1548" s="3">
        <v>1</v>
      </c>
      <c r="E1548" s="2">
        <v>180</v>
      </c>
    </row>
    <row r="1549" spans="1:5" x14ac:dyDescent="0.35">
      <c r="A1549" t="s">
        <v>4235</v>
      </c>
      <c r="B1549" t="s">
        <v>2232</v>
      </c>
      <c r="C1549" t="s">
        <v>631</v>
      </c>
      <c r="D1549" s="3">
        <v>1</v>
      </c>
      <c r="E1549" s="2">
        <v>900</v>
      </c>
    </row>
    <row r="1550" spans="1:5" x14ac:dyDescent="0.35">
      <c r="A1550" t="s">
        <v>4236</v>
      </c>
      <c r="B1550" t="s">
        <v>2233</v>
      </c>
      <c r="C1550" t="s">
        <v>651</v>
      </c>
      <c r="D1550" s="3">
        <v>1</v>
      </c>
      <c r="E1550" s="2">
        <v>120</v>
      </c>
    </row>
    <row r="1551" spans="1:5" x14ac:dyDescent="0.35">
      <c r="A1551" t="s">
        <v>4237</v>
      </c>
      <c r="B1551" t="s">
        <v>2234</v>
      </c>
      <c r="C1551" t="s">
        <v>645</v>
      </c>
      <c r="D1551" s="3">
        <v>1</v>
      </c>
      <c r="E1551" s="2">
        <v>3500</v>
      </c>
    </row>
    <row r="1552" spans="1:5" x14ac:dyDescent="0.35">
      <c r="A1552" t="s">
        <v>4238</v>
      </c>
      <c r="B1552" t="s">
        <v>2235</v>
      </c>
      <c r="C1552" t="s">
        <v>654</v>
      </c>
      <c r="D1552" s="3">
        <v>1</v>
      </c>
      <c r="E1552" s="2">
        <v>100</v>
      </c>
    </row>
    <row r="1553" spans="1:5" x14ac:dyDescent="0.35">
      <c r="A1553" t="s">
        <v>4239</v>
      </c>
      <c r="B1553" t="s">
        <v>2236</v>
      </c>
      <c r="C1553" t="s">
        <v>654</v>
      </c>
      <c r="D1553" s="3">
        <v>1</v>
      </c>
      <c r="E1553" s="2">
        <v>100</v>
      </c>
    </row>
    <row r="1554" spans="1:5" x14ac:dyDescent="0.35">
      <c r="A1554" t="s">
        <v>4240</v>
      </c>
      <c r="B1554" t="s">
        <v>2237</v>
      </c>
      <c r="C1554" t="s">
        <v>665</v>
      </c>
      <c r="D1554" s="3">
        <v>1</v>
      </c>
      <c r="E1554" s="2">
        <v>700</v>
      </c>
    </row>
    <row r="1555" spans="1:5" x14ac:dyDescent="0.35">
      <c r="A1555" t="s">
        <v>4241</v>
      </c>
      <c r="B1555" t="s">
        <v>2238</v>
      </c>
      <c r="C1555" t="s">
        <v>663</v>
      </c>
      <c r="D1555" s="3">
        <v>1</v>
      </c>
      <c r="E1555" s="2">
        <v>1400</v>
      </c>
    </row>
    <row r="1556" spans="1:5" x14ac:dyDescent="0.35">
      <c r="A1556" t="s">
        <v>4242</v>
      </c>
      <c r="B1556" t="s">
        <v>2239</v>
      </c>
      <c r="C1556" t="s">
        <v>663</v>
      </c>
      <c r="D1556" s="3">
        <v>2</v>
      </c>
      <c r="E1556" s="2">
        <v>2800</v>
      </c>
    </row>
    <row r="1557" spans="1:5" x14ac:dyDescent="0.35">
      <c r="A1557" t="s">
        <v>4243</v>
      </c>
      <c r="B1557" t="s">
        <v>2240</v>
      </c>
      <c r="C1557" t="s">
        <v>626</v>
      </c>
      <c r="D1557" s="3">
        <v>1</v>
      </c>
      <c r="E1557" s="2">
        <v>5000</v>
      </c>
    </row>
    <row r="1558" spans="1:5" x14ac:dyDescent="0.35">
      <c r="A1558" t="s">
        <v>4244</v>
      </c>
      <c r="B1558" t="s">
        <v>2241</v>
      </c>
      <c r="C1558" t="s">
        <v>643</v>
      </c>
      <c r="D1558" s="3">
        <v>1</v>
      </c>
      <c r="E1558" s="2">
        <v>2200</v>
      </c>
    </row>
    <row r="1559" spans="1:5" x14ac:dyDescent="0.35">
      <c r="A1559" t="s">
        <v>4245</v>
      </c>
      <c r="B1559" t="s">
        <v>2242</v>
      </c>
      <c r="C1559" t="s">
        <v>647</v>
      </c>
      <c r="D1559" s="3">
        <v>1</v>
      </c>
      <c r="E1559" s="2">
        <v>4200</v>
      </c>
    </row>
    <row r="1560" spans="1:5" x14ac:dyDescent="0.35">
      <c r="A1560" t="s">
        <v>4246</v>
      </c>
      <c r="B1560" t="s">
        <v>2243</v>
      </c>
      <c r="C1560" t="s">
        <v>638</v>
      </c>
      <c r="D1560" s="3">
        <v>1</v>
      </c>
      <c r="E1560" s="2">
        <v>150</v>
      </c>
    </row>
    <row r="1561" spans="1:5" x14ac:dyDescent="0.35">
      <c r="A1561" t="s">
        <v>4247</v>
      </c>
      <c r="B1561" t="s">
        <v>2244</v>
      </c>
      <c r="C1561" t="s">
        <v>626</v>
      </c>
      <c r="D1561" s="3">
        <v>1</v>
      </c>
      <c r="E1561" s="2">
        <v>5000</v>
      </c>
    </row>
    <row r="1562" spans="1:5" x14ac:dyDescent="0.35">
      <c r="A1562" t="s">
        <v>4248</v>
      </c>
      <c r="B1562" t="s">
        <v>2245</v>
      </c>
      <c r="C1562" t="s">
        <v>645</v>
      </c>
      <c r="D1562" s="3">
        <v>1</v>
      </c>
      <c r="E1562" s="2">
        <v>3500</v>
      </c>
    </row>
    <row r="1563" spans="1:5" x14ac:dyDescent="0.35">
      <c r="A1563" t="s">
        <v>4249</v>
      </c>
      <c r="B1563" t="s">
        <v>2246</v>
      </c>
      <c r="C1563" t="s">
        <v>638</v>
      </c>
      <c r="D1563" s="3">
        <v>1</v>
      </c>
      <c r="E1563" s="2">
        <v>150</v>
      </c>
    </row>
    <row r="1564" spans="1:5" x14ac:dyDescent="0.35">
      <c r="A1564" t="s">
        <v>4250</v>
      </c>
      <c r="B1564" t="s">
        <v>2247</v>
      </c>
      <c r="C1564" t="s">
        <v>647</v>
      </c>
      <c r="D1564" s="3">
        <v>1</v>
      </c>
      <c r="E1564" s="2">
        <v>4200</v>
      </c>
    </row>
    <row r="1565" spans="1:5" x14ac:dyDescent="0.35">
      <c r="A1565" t="s">
        <v>4251</v>
      </c>
      <c r="B1565" t="s">
        <v>2248</v>
      </c>
      <c r="C1565" t="s">
        <v>654</v>
      </c>
      <c r="D1565" s="3">
        <v>1</v>
      </c>
      <c r="E1565" s="2">
        <v>100</v>
      </c>
    </row>
    <row r="1566" spans="1:5" x14ac:dyDescent="0.35">
      <c r="A1566" t="s">
        <v>4252</v>
      </c>
      <c r="B1566" t="s">
        <v>2249</v>
      </c>
      <c r="C1566" t="s">
        <v>631</v>
      </c>
      <c r="D1566" s="3">
        <v>1</v>
      </c>
      <c r="E1566" s="2">
        <v>900</v>
      </c>
    </row>
    <row r="1567" spans="1:5" x14ac:dyDescent="0.35">
      <c r="A1567" t="s">
        <v>4253</v>
      </c>
      <c r="B1567" t="s">
        <v>2250</v>
      </c>
      <c r="C1567" t="s">
        <v>641</v>
      </c>
      <c r="D1567" s="3">
        <v>1</v>
      </c>
      <c r="E1567" s="2">
        <v>1800</v>
      </c>
    </row>
    <row r="1568" spans="1:5" x14ac:dyDescent="0.35">
      <c r="A1568" t="s">
        <v>4254</v>
      </c>
      <c r="B1568" t="s">
        <v>2251</v>
      </c>
      <c r="C1568" t="s">
        <v>647</v>
      </c>
      <c r="D1568" s="3">
        <v>1</v>
      </c>
      <c r="E1568" s="2">
        <v>4200</v>
      </c>
    </row>
    <row r="1569" spans="1:5" x14ac:dyDescent="0.35">
      <c r="A1569" t="s">
        <v>4255</v>
      </c>
      <c r="B1569" t="s">
        <v>2252</v>
      </c>
      <c r="C1569" t="s">
        <v>633</v>
      </c>
      <c r="D1569" s="3">
        <v>1</v>
      </c>
      <c r="E1569" s="2">
        <v>450</v>
      </c>
    </row>
    <row r="1570" spans="1:5" x14ac:dyDescent="0.35">
      <c r="A1570" t="s">
        <v>4256</v>
      </c>
      <c r="B1570" t="s">
        <v>2253</v>
      </c>
      <c r="C1570" t="s">
        <v>660</v>
      </c>
      <c r="D1570" s="3">
        <v>1</v>
      </c>
      <c r="E1570" s="2">
        <v>6500</v>
      </c>
    </row>
    <row r="1571" spans="1:5" x14ac:dyDescent="0.35">
      <c r="A1571" t="s">
        <v>4257</v>
      </c>
      <c r="B1571" t="s">
        <v>2254</v>
      </c>
      <c r="C1571" t="s">
        <v>671</v>
      </c>
      <c r="D1571" s="3">
        <v>1</v>
      </c>
      <c r="E1571" s="2">
        <v>400</v>
      </c>
    </row>
    <row r="1572" spans="1:5" x14ac:dyDescent="0.35">
      <c r="A1572" t="s">
        <v>4258</v>
      </c>
      <c r="B1572" t="s">
        <v>2255</v>
      </c>
      <c r="C1572" t="s">
        <v>660</v>
      </c>
      <c r="D1572" s="3">
        <v>1</v>
      </c>
      <c r="E1572" s="2">
        <v>6500</v>
      </c>
    </row>
    <row r="1573" spans="1:5" x14ac:dyDescent="0.35">
      <c r="A1573" t="s">
        <v>4259</v>
      </c>
      <c r="B1573" t="s">
        <v>2256</v>
      </c>
      <c r="C1573" t="s">
        <v>656</v>
      </c>
      <c r="D1573" s="3">
        <v>1</v>
      </c>
      <c r="E1573" s="2">
        <v>350</v>
      </c>
    </row>
    <row r="1574" spans="1:5" x14ac:dyDescent="0.35">
      <c r="A1574" t="s">
        <v>4260</v>
      </c>
      <c r="B1574" t="s">
        <v>2257</v>
      </c>
      <c r="C1574" t="s">
        <v>647</v>
      </c>
      <c r="D1574" s="3">
        <v>1</v>
      </c>
      <c r="E1574" s="2">
        <v>4200</v>
      </c>
    </row>
    <row r="1575" spans="1:5" x14ac:dyDescent="0.35">
      <c r="A1575" t="s">
        <v>4261</v>
      </c>
      <c r="B1575" t="s">
        <v>2258</v>
      </c>
      <c r="C1575" t="s">
        <v>647</v>
      </c>
      <c r="D1575" s="3">
        <v>1</v>
      </c>
      <c r="E1575" s="2">
        <v>4200</v>
      </c>
    </row>
    <row r="1576" spans="1:5" x14ac:dyDescent="0.35">
      <c r="A1576" t="s">
        <v>4262</v>
      </c>
      <c r="B1576" t="s">
        <v>2259</v>
      </c>
      <c r="C1576" t="s">
        <v>665</v>
      </c>
      <c r="D1576" s="3">
        <v>1</v>
      </c>
      <c r="E1576" s="2">
        <v>700</v>
      </c>
    </row>
    <row r="1577" spans="1:5" x14ac:dyDescent="0.35">
      <c r="A1577" t="s">
        <v>4263</v>
      </c>
      <c r="B1577" t="s">
        <v>2260</v>
      </c>
      <c r="C1577" t="s">
        <v>620</v>
      </c>
      <c r="D1577" s="3">
        <v>1</v>
      </c>
      <c r="E1577" s="2">
        <v>50</v>
      </c>
    </row>
    <row r="1578" spans="1:5" x14ac:dyDescent="0.35">
      <c r="A1578" t="s">
        <v>4264</v>
      </c>
      <c r="B1578" t="s">
        <v>2261</v>
      </c>
      <c r="C1578" t="s">
        <v>641</v>
      </c>
      <c r="D1578" s="3">
        <v>2</v>
      </c>
      <c r="E1578" s="2">
        <v>3600</v>
      </c>
    </row>
    <row r="1579" spans="1:5" x14ac:dyDescent="0.35">
      <c r="A1579" t="s">
        <v>4265</v>
      </c>
      <c r="B1579" t="s">
        <v>2262</v>
      </c>
      <c r="C1579" t="s">
        <v>667</v>
      </c>
      <c r="D1579" s="3">
        <v>1</v>
      </c>
      <c r="E1579" s="2">
        <v>550</v>
      </c>
    </row>
    <row r="1580" spans="1:5" x14ac:dyDescent="0.35">
      <c r="A1580" t="s">
        <v>4266</v>
      </c>
      <c r="B1580" t="s">
        <v>2263</v>
      </c>
      <c r="C1580" t="s">
        <v>647</v>
      </c>
      <c r="D1580" s="3">
        <v>1</v>
      </c>
      <c r="E1580" s="2">
        <v>4200</v>
      </c>
    </row>
    <row r="1581" spans="1:5" x14ac:dyDescent="0.35">
      <c r="A1581" t="s">
        <v>4267</v>
      </c>
      <c r="B1581" t="s">
        <v>2264</v>
      </c>
      <c r="C1581" t="s">
        <v>638</v>
      </c>
      <c r="D1581" s="3">
        <v>2</v>
      </c>
      <c r="E1581" s="2">
        <v>300</v>
      </c>
    </row>
    <row r="1582" spans="1:5" x14ac:dyDescent="0.35">
      <c r="A1582" t="s">
        <v>4268</v>
      </c>
      <c r="B1582" t="s">
        <v>2265</v>
      </c>
      <c r="C1582" t="s">
        <v>617</v>
      </c>
      <c r="D1582" s="3">
        <v>1</v>
      </c>
      <c r="E1582" s="2">
        <v>200</v>
      </c>
    </row>
    <row r="1583" spans="1:5" x14ac:dyDescent="0.35">
      <c r="A1583" t="s">
        <v>4269</v>
      </c>
      <c r="B1583" t="s">
        <v>2266</v>
      </c>
      <c r="C1583" t="s">
        <v>649</v>
      </c>
      <c r="D1583" s="3">
        <v>2</v>
      </c>
      <c r="E1583" s="2">
        <v>1600</v>
      </c>
    </row>
    <row r="1584" spans="1:5" x14ac:dyDescent="0.35">
      <c r="A1584" t="s">
        <v>4270</v>
      </c>
      <c r="B1584" t="s">
        <v>2267</v>
      </c>
      <c r="C1584" t="s">
        <v>654</v>
      </c>
      <c r="D1584" s="3">
        <v>1</v>
      </c>
      <c r="E1584" s="2">
        <v>100</v>
      </c>
    </row>
    <row r="1585" spans="1:5" x14ac:dyDescent="0.35">
      <c r="A1585" t="s">
        <v>4271</v>
      </c>
      <c r="B1585" t="s">
        <v>2268</v>
      </c>
      <c r="C1585" t="s">
        <v>663</v>
      </c>
      <c r="D1585" s="3">
        <v>1</v>
      </c>
      <c r="E1585" s="2">
        <v>1400</v>
      </c>
    </row>
    <row r="1586" spans="1:5" x14ac:dyDescent="0.35">
      <c r="A1586" t="s">
        <v>4272</v>
      </c>
      <c r="B1586" t="s">
        <v>2269</v>
      </c>
      <c r="C1586" t="s">
        <v>651</v>
      </c>
      <c r="D1586" s="3">
        <v>1</v>
      </c>
      <c r="E1586" s="2">
        <v>120</v>
      </c>
    </row>
    <row r="1587" spans="1:5" x14ac:dyDescent="0.35">
      <c r="A1587" t="s">
        <v>4273</v>
      </c>
      <c r="B1587" t="s">
        <v>2270</v>
      </c>
      <c r="C1587" t="s">
        <v>617</v>
      </c>
      <c r="D1587" s="3">
        <v>3</v>
      </c>
      <c r="E1587" s="2">
        <v>600</v>
      </c>
    </row>
    <row r="1588" spans="1:5" x14ac:dyDescent="0.35">
      <c r="A1588" t="s">
        <v>4274</v>
      </c>
      <c r="B1588" t="s">
        <v>2271</v>
      </c>
      <c r="C1588" t="s">
        <v>656</v>
      </c>
      <c r="D1588" s="3">
        <v>2</v>
      </c>
      <c r="E1588" s="2">
        <v>700</v>
      </c>
    </row>
    <row r="1589" spans="1:5" x14ac:dyDescent="0.35">
      <c r="A1589" t="s">
        <v>4275</v>
      </c>
      <c r="B1589" t="s">
        <v>2272</v>
      </c>
      <c r="C1589" t="s">
        <v>671</v>
      </c>
      <c r="D1589" s="3">
        <v>1</v>
      </c>
      <c r="E1589" s="2">
        <v>400</v>
      </c>
    </row>
    <row r="1590" spans="1:5" x14ac:dyDescent="0.35">
      <c r="A1590" t="s">
        <v>4276</v>
      </c>
      <c r="B1590" t="s">
        <v>2273</v>
      </c>
      <c r="C1590" t="s">
        <v>647</v>
      </c>
      <c r="D1590" s="3">
        <v>1</v>
      </c>
      <c r="E1590" s="2">
        <v>4200</v>
      </c>
    </row>
    <row r="1591" spans="1:5" x14ac:dyDescent="0.35">
      <c r="A1591" t="s">
        <v>4277</v>
      </c>
      <c r="B1591" t="s">
        <v>2274</v>
      </c>
      <c r="C1591" t="s">
        <v>651</v>
      </c>
      <c r="D1591" s="3">
        <v>1</v>
      </c>
      <c r="E1591" s="2">
        <v>120</v>
      </c>
    </row>
    <row r="1592" spans="1:5" x14ac:dyDescent="0.35">
      <c r="A1592" t="s">
        <v>4278</v>
      </c>
      <c r="B1592" t="s">
        <v>2275</v>
      </c>
      <c r="C1592" t="s">
        <v>654</v>
      </c>
      <c r="D1592" s="3">
        <v>1</v>
      </c>
      <c r="E1592" s="2">
        <v>100</v>
      </c>
    </row>
    <row r="1593" spans="1:5" x14ac:dyDescent="0.35">
      <c r="A1593" t="s">
        <v>4279</v>
      </c>
      <c r="B1593" t="s">
        <v>2276</v>
      </c>
      <c r="C1593" t="s">
        <v>654</v>
      </c>
      <c r="D1593" s="3">
        <v>1</v>
      </c>
      <c r="E1593" s="2">
        <v>100</v>
      </c>
    </row>
    <row r="1594" spans="1:5" x14ac:dyDescent="0.35">
      <c r="A1594" t="s">
        <v>4280</v>
      </c>
      <c r="B1594" t="s">
        <v>2277</v>
      </c>
      <c r="C1594" t="s">
        <v>620</v>
      </c>
      <c r="D1594" s="3">
        <v>1</v>
      </c>
      <c r="E1594" s="2">
        <v>50</v>
      </c>
    </row>
    <row r="1595" spans="1:5" x14ac:dyDescent="0.35">
      <c r="A1595" t="s">
        <v>4281</v>
      </c>
      <c r="B1595" t="s">
        <v>2278</v>
      </c>
      <c r="C1595" t="s">
        <v>656</v>
      </c>
      <c r="D1595" s="3">
        <v>1</v>
      </c>
      <c r="E1595" s="2">
        <v>350</v>
      </c>
    </row>
    <row r="1596" spans="1:5" x14ac:dyDescent="0.35">
      <c r="A1596" t="s">
        <v>4282</v>
      </c>
      <c r="B1596" t="s">
        <v>2279</v>
      </c>
      <c r="C1596" t="s">
        <v>643</v>
      </c>
      <c r="D1596" s="3">
        <v>3</v>
      </c>
      <c r="E1596" s="2">
        <v>6600</v>
      </c>
    </row>
    <row r="1597" spans="1:5" x14ac:dyDescent="0.35">
      <c r="A1597" t="s">
        <v>4283</v>
      </c>
      <c r="B1597" t="s">
        <v>2280</v>
      </c>
      <c r="C1597" t="s">
        <v>635</v>
      </c>
      <c r="D1597" s="3">
        <v>2</v>
      </c>
      <c r="E1597" s="2">
        <v>360</v>
      </c>
    </row>
    <row r="1598" spans="1:5" x14ac:dyDescent="0.35">
      <c r="A1598" t="s">
        <v>4284</v>
      </c>
      <c r="B1598" t="s">
        <v>2281</v>
      </c>
      <c r="C1598" t="s">
        <v>663</v>
      </c>
      <c r="D1598" s="3">
        <v>1</v>
      </c>
      <c r="E1598" s="2">
        <v>1400</v>
      </c>
    </row>
    <row r="1599" spans="1:5" x14ac:dyDescent="0.35">
      <c r="A1599" t="s">
        <v>4285</v>
      </c>
      <c r="B1599" t="s">
        <v>2282</v>
      </c>
      <c r="C1599" t="s">
        <v>623</v>
      </c>
      <c r="D1599" s="3">
        <v>1</v>
      </c>
      <c r="E1599" s="2">
        <v>1200</v>
      </c>
    </row>
    <row r="1600" spans="1:5" x14ac:dyDescent="0.35">
      <c r="A1600" t="s">
        <v>4286</v>
      </c>
      <c r="B1600" t="s">
        <v>2283</v>
      </c>
      <c r="C1600" t="s">
        <v>645</v>
      </c>
      <c r="D1600" s="3">
        <v>3</v>
      </c>
      <c r="E1600" s="2">
        <v>10500</v>
      </c>
    </row>
    <row r="1601" spans="1:5" x14ac:dyDescent="0.35">
      <c r="A1601" t="s">
        <v>4287</v>
      </c>
      <c r="B1601" t="s">
        <v>2284</v>
      </c>
      <c r="C1601" t="s">
        <v>663</v>
      </c>
      <c r="D1601" s="3">
        <v>1</v>
      </c>
      <c r="E1601" s="2">
        <v>1400</v>
      </c>
    </row>
    <row r="1602" spans="1:5" x14ac:dyDescent="0.35">
      <c r="A1602" t="s">
        <v>4288</v>
      </c>
      <c r="B1602" t="s">
        <v>2285</v>
      </c>
      <c r="C1602" t="s">
        <v>654</v>
      </c>
      <c r="D1602" s="3">
        <v>1</v>
      </c>
      <c r="E1602" s="2">
        <v>100</v>
      </c>
    </row>
    <row r="1603" spans="1:5" x14ac:dyDescent="0.35">
      <c r="A1603" t="s">
        <v>4289</v>
      </c>
      <c r="B1603" t="s">
        <v>2286</v>
      </c>
      <c r="C1603" t="s">
        <v>649</v>
      </c>
      <c r="D1603" s="3">
        <v>1</v>
      </c>
      <c r="E1603" s="2">
        <v>800</v>
      </c>
    </row>
    <row r="1604" spans="1:5" x14ac:dyDescent="0.35">
      <c r="A1604" t="s">
        <v>4290</v>
      </c>
      <c r="B1604" t="s">
        <v>2287</v>
      </c>
      <c r="C1604" t="s">
        <v>654</v>
      </c>
      <c r="D1604" s="3">
        <v>2</v>
      </c>
      <c r="E1604" s="2">
        <v>200</v>
      </c>
    </row>
    <row r="1605" spans="1:5" x14ac:dyDescent="0.35">
      <c r="A1605" t="s">
        <v>4291</v>
      </c>
      <c r="B1605" t="s">
        <v>2288</v>
      </c>
      <c r="C1605" t="s">
        <v>665</v>
      </c>
      <c r="D1605" s="3">
        <v>1</v>
      </c>
      <c r="E1605" s="2">
        <v>700</v>
      </c>
    </row>
    <row r="1606" spans="1:5" x14ac:dyDescent="0.35">
      <c r="A1606" t="s">
        <v>4292</v>
      </c>
      <c r="B1606" t="s">
        <v>2289</v>
      </c>
      <c r="C1606" t="s">
        <v>656</v>
      </c>
      <c r="D1606" s="3">
        <v>1</v>
      </c>
      <c r="E1606" s="2">
        <v>350</v>
      </c>
    </row>
    <row r="1607" spans="1:5" x14ac:dyDescent="0.35">
      <c r="A1607" t="s">
        <v>4293</v>
      </c>
      <c r="B1607" t="s">
        <v>2290</v>
      </c>
      <c r="C1607" t="s">
        <v>643</v>
      </c>
      <c r="D1607" s="3">
        <v>1</v>
      </c>
      <c r="E1607" s="2">
        <v>2200</v>
      </c>
    </row>
    <row r="1608" spans="1:5" x14ac:dyDescent="0.35">
      <c r="A1608" t="s">
        <v>4294</v>
      </c>
      <c r="B1608" t="s">
        <v>2291</v>
      </c>
      <c r="C1608" t="s">
        <v>656</v>
      </c>
      <c r="D1608" s="3">
        <v>2</v>
      </c>
      <c r="E1608" s="2">
        <v>700</v>
      </c>
    </row>
    <row r="1609" spans="1:5" x14ac:dyDescent="0.35">
      <c r="A1609" t="s">
        <v>4295</v>
      </c>
      <c r="B1609" t="s">
        <v>2292</v>
      </c>
      <c r="C1609" t="s">
        <v>660</v>
      </c>
      <c r="D1609" s="3">
        <v>1</v>
      </c>
      <c r="E1609" s="2">
        <v>6500</v>
      </c>
    </row>
    <row r="1610" spans="1:5" x14ac:dyDescent="0.35">
      <c r="A1610" t="s">
        <v>4296</v>
      </c>
      <c r="B1610" t="s">
        <v>2293</v>
      </c>
      <c r="C1610" t="s">
        <v>667</v>
      </c>
      <c r="D1610" s="3">
        <v>1</v>
      </c>
      <c r="E1610" s="2">
        <v>550</v>
      </c>
    </row>
    <row r="1611" spans="1:5" x14ac:dyDescent="0.35">
      <c r="A1611" t="s">
        <v>4297</v>
      </c>
      <c r="B1611" t="s">
        <v>2294</v>
      </c>
      <c r="C1611" t="s">
        <v>617</v>
      </c>
      <c r="D1611" s="3">
        <v>1</v>
      </c>
      <c r="E1611" s="2">
        <v>200</v>
      </c>
    </row>
    <row r="1612" spans="1:5" x14ac:dyDescent="0.35">
      <c r="A1612" t="s">
        <v>4298</v>
      </c>
      <c r="B1612" t="s">
        <v>2295</v>
      </c>
      <c r="C1612" t="s">
        <v>645</v>
      </c>
      <c r="D1612" s="3">
        <v>2</v>
      </c>
      <c r="E1612" s="2">
        <v>7000</v>
      </c>
    </row>
    <row r="1613" spans="1:5" x14ac:dyDescent="0.35">
      <c r="A1613" t="s">
        <v>4299</v>
      </c>
      <c r="B1613" t="s">
        <v>2296</v>
      </c>
      <c r="C1613" t="s">
        <v>651</v>
      </c>
      <c r="D1613" s="3">
        <v>1</v>
      </c>
      <c r="E1613" s="2">
        <v>120</v>
      </c>
    </row>
    <row r="1614" spans="1:5" x14ac:dyDescent="0.35">
      <c r="A1614" t="s">
        <v>4300</v>
      </c>
      <c r="B1614" t="s">
        <v>2297</v>
      </c>
      <c r="C1614" t="s">
        <v>658</v>
      </c>
      <c r="D1614" s="3">
        <v>1</v>
      </c>
      <c r="E1614" s="2">
        <v>750</v>
      </c>
    </row>
    <row r="1615" spans="1:5" x14ac:dyDescent="0.35">
      <c r="A1615" t="s">
        <v>4301</v>
      </c>
      <c r="B1615" t="s">
        <v>2298</v>
      </c>
      <c r="C1615" t="s">
        <v>669</v>
      </c>
      <c r="D1615" s="3">
        <v>3</v>
      </c>
      <c r="E1615" s="2">
        <v>1800</v>
      </c>
    </row>
    <row r="1616" spans="1:5" x14ac:dyDescent="0.35">
      <c r="A1616" t="s">
        <v>4302</v>
      </c>
      <c r="B1616" t="s">
        <v>2299</v>
      </c>
      <c r="C1616" t="s">
        <v>649</v>
      </c>
      <c r="D1616" s="3">
        <v>1</v>
      </c>
      <c r="E1616" s="2">
        <v>800</v>
      </c>
    </row>
    <row r="1617" spans="1:5" x14ac:dyDescent="0.35">
      <c r="A1617" t="s">
        <v>4303</v>
      </c>
      <c r="B1617" t="s">
        <v>2300</v>
      </c>
      <c r="C1617" t="s">
        <v>617</v>
      </c>
      <c r="D1617" s="3">
        <v>1</v>
      </c>
      <c r="E1617" s="2">
        <v>200</v>
      </c>
    </row>
    <row r="1618" spans="1:5" x14ac:dyDescent="0.35">
      <c r="A1618" t="s">
        <v>4304</v>
      </c>
      <c r="B1618" t="s">
        <v>2301</v>
      </c>
      <c r="C1618" t="s">
        <v>647</v>
      </c>
      <c r="D1618" s="3">
        <v>2</v>
      </c>
      <c r="E1618" s="2">
        <v>8400</v>
      </c>
    </row>
    <row r="1619" spans="1:5" x14ac:dyDescent="0.35">
      <c r="A1619" t="s">
        <v>4305</v>
      </c>
      <c r="B1619" t="s">
        <v>2302</v>
      </c>
      <c r="C1619" t="s">
        <v>651</v>
      </c>
      <c r="D1619" s="3">
        <v>1</v>
      </c>
      <c r="E1619" s="2">
        <v>120</v>
      </c>
    </row>
    <row r="1620" spans="1:5" x14ac:dyDescent="0.35">
      <c r="A1620" t="s">
        <v>4306</v>
      </c>
      <c r="B1620" t="s">
        <v>2303</v>
      </c>
      <c r="C1620" t="s">
        <v>633</v>
      </c>
      <c r="D1620" s="3">
        <v>1</v>
      </c>
      <c r="E1620" s="2">
        <v>450</v>
      </c>
    </row>
    <row r="1621" spans="1:5" x14ac:dyDescent="0.35">
      <c r="A1621" t="s">
        <v>4307</v>
      </c>
      <c r="B1621" t="s">
        <v>2304</v>
      </c>
      <c r="C1621" t="s">
        <v>651</v>
      </c>
      <c r="D1621" s="3">
        <v>1</v>
      </c>
      <c r="E1621" s="2">
        <v>120</v>
      </c>
    </row>
    <row r="1622" spans="1:5" x14ac:dyDescent="0.35">
      <c r="A1622" t="s">
        <v>4308</v>
      </c>
      <c r="B1622" t="s">
        <v>2305</v>
      </c>
      <c r="C1622" t="s">
        <v>663</v>
      </c>
      <c r="D1622" s="3">
        <v>1</v>
      </c>
      <c r="E1622" s="2">
        <v>1400</v>
      </c>
    </row>
    <row r="1623" spans="1:5" x14ac:dyDescent="0.35">
      <c r="A1623" t="s">
        <v>4309</v>
      </c>
      <c r="B1623" t="s">
        <v>2306</v>
      </c>
      <c r="C1623" t="s">
        <v>641</v>
      </c>
      <c r="D1623" s="3">
        <v>1</v>
      </c>
      <c r="E1623" s="2">
        <v>1800</v>
      </c>
    </row>
    <row r="1624" spans="1:5" x14ac:dyDescent="0.35">
      <c r="A1624" t="s">
        <v>4310</v>
      </c>
      <c r="B1624" t="s">
        <v>2307</v>
      </c>
      <c r="C1624" t="s">
        <v>649</v>
      </c>
      <c r="D1624" s="3">
        <v>1</v>
      </c>
      <c r="E1624" s="2">
        <v>800</v>
      </c>
    </row>
    <row r="1625" spans="1:5" x14ac:dyDescent="0.35">
      <c r="A1625" t="s">
        <v>4311</v>
      </c>
      <c r="B1625" t="s">
        <v>2308</v>
      </c>
      <c r="C1625" t="s">
        <v>631</v>
      </c>
      <c r="D1625" s="3">
        <v>2</v>
      </c>
      <c r="E1625" s="2">
        <v>1800</v>
      </c>
    </row>
    <row r="1626" spans="1:5" x14ac:dyDescent="0.35">
      <c r="A1626" t="s">
        <v>4312</v>
      </c>
      <c r="B1626" t="s">
        <v>2309</v>
      </c>
      <c r="C1626" t="s">
        <v>649</v>
      </c>
      <c r="D1626" s="3">
        <v>1</v>
      </c>
      <c r="E1626" s="2">
        <v>800</v>
      </c>
    </row>
    <row r="1627" spans="1:5" x14ac:dyDescent="0.35">
      <c r="A1627" t="s">
        <v>4313</v>
      </c>
      <c r="B1627" t="s">
        <v>2310</v>
      </c>
      <c r="C1627" t="s">
        <v>671</v>
      </c>
      <c r="D1627" s="3">
        <v>1</v>
      </c>
      <c r="E1627" s="2">
        <v>400</v>
      </c>
    </row>
    <row r="1628" spans="1:5" x14ac:dyDescent="0.35">
      <c r="A1628" t="s">
        <v>4314</v>
      </c>
      <c r="B1628" t="s">
        <v>2311</v>
      </c>
      <c r="C1628" t="s">
        <v>673</v>
      </c>
      <c r="D1628" s="3">
        <v>1</v>
      </c>
      <c r="E1628" s="2">
        <v>300</v>
      </c>
    </row>
    <row r="1629" spans="1:5" x14ac:dyDescent="0.35">
      <c r="A1629" t="s">
        <v>4315</v>
      </c>
      <c r="B1629" t="s">
        <v>2312</v>
      </c>
      <c r="C1629" t="s">
        <v>667</v>
      </c>
      <c r="D1629" s="3">
        <v>1</v>
      </c>
      <c r="E1629" s="2">
        <v>550</v>
      </c>
    </row>
    <row r="1630" spans="1:5" x14ac:dyDescent="0.35">
      <c r="A1630" t="s">
        <v>4316</v>
      </c>
      <c r="B1630" t="s">
        <v>2313</v>
      </c>
      <c r="C1630" t="s">
        <v>645</v>
      </c>
      <c r="D1630" s="3">
        <v>1</v>
      </c>
      <c r="E1630" s="2">
        <v>3500</v>
      </c>
    </row>
    <row r="1631" spans="1:5" x14ac:dyDescent="0.35">
      <c r="A1631" t="s">
        <v>4317</v>
      </c>
      <c r="B1631" t="s">
        <v>2314</v>
      </c>
      <c r="C1631" t="s">
        <v>643</v>
      </c>
      <c r="D1631" s="3">
        <v>1</v>
      </c>
      <c r="E1631" s="2">
        <v>2200</v>
      </c>
    </row>
    <row r="1632" spans="1:5" x14ac:dyDescent="0.35">
      <c r="A1632" t="s">
        <v>4318</v>
      </c>
      <c r="B1632" t="s">
        <v>2315</v>
      </c>
      <c r="C1632" t="s">
        <v>673</v>
      </c>
      <c r="D1632" s="3">
        <v>1</v>
      </c>
      <c r="E1632" s="2">
        <v>300</v>
      </c>
    </row>
    <row r="1633" spans="1:5" x14ac:dyDescent="0.35">
      <c r="A1633" t="s">
        <v>4319</v>
      </c>
      <c r="B1633" t="s">
        <v>2316</v>
      </c>
      <c r="C1633" t="s">
        <v>663</v>
      </c>
      <c r="D1633" s="3">
        <v>1</v>
      </c>
      <c r="E1633" s="2">
        <v>1400</v>
      </c>
    </row>
    <row r="1634" spans="1:5" x14ac:dyDescent="0.35">
      <c r="A1634" t="s">
        <v>4320</v>
      </c>
      <c r="B1634" t="s">
        <v>2317</v>
      </c>
      <c r="C1634" t="s">
        <v>667</v>
      </c>
      <c r="D1634" s="3">
        <v>1</v>
      </c>
      <c r="E1634" s="2">
        <v>550</v>
      </c>
    </row>
    <row r="1635" spans="1:5" x14ac:dyDescent="0.35">
      <c r="A1635" t="s">
        <v>4321</v>
      </c>
      <c r="B1635" t="s">
        <v>2318</v>
      </c>
      <c r="C1635" t="s">
        <v>671</v>
      </c>
      <c r="D1635" s="3">
        <v>1</v>
      </c>
      <c r="E1635" s="2">
        <v>400</v>
      </c>
    </row>
    <row r="1636" spans="1:5" x14ac:dyDescent="0.35">
      <c r="A1636" t="s">
        <v>4322</v>
      </c>
      <c r="B1636" t="s">
        <v>2319</v>
      </c>
      <c r="C1636" t="s">
        <v>673</v>
      </c>
      <c r="D1636" s="3">
        <v>1</v>
      </c>
      <c r="E1636" s="2">
        <v>300</v>
      </c>
    </row>
    <row r="1637" spans="1:5" x14ac:dyDescent="0.35">
      <c r="A1637" t="s">
        <v>4323</v>
      </c>
      <c r="B1637" t="s">
        <v>2320</v>
      </c>
      <c r="C1637" t="s">
        <v>660</v>
      </c>
      <c r="D1637" s="3">
        <v>1</v>
      </c>
      <c r="E1637" s="2">
        <v>6500</v>
      </c>
    </row>
    <row r="1638" spans="1:5" x14ac:dyDescent="0.35">
      <c r="A1638" t="s">
        <v>4324</v>
      </c>
      <c r="B1638" t="s">
        <v>2321</v>
      </c>
      <c r="C1638" t="s">
        <v>620</v>
      </c>
      <c r="D1638" s="3">
        <v>2</v>
      </c>
      <c r="E1638" s="2">
        <v>100</v>
      </c>
    </row>
    <row r="1639" spans="1:5" x14ac:dyDescent="0.35">
      <c r="A1639" t="s">
        <v>4325</v>
      </c>
      <c r="B1639" t="s">
        <v>2322</v>
      </c>
      <c r="C1639" t="s">
        <v>667</v>
      </c>
      <c r="D1639" s="3">
        <v>1</v>
      </c>
      <c r="E1639" s="2">
        <v>550</v>
      </c>
    </row>
    <row r="1640" spans="1:5" x14ac:dyDescent="0.35">
      <c r="A1640" t="s">
        <v>4326</v>
      </c>
      <c r="B1640" t="s">
        <v>2323</v>
      </c>
      <c r="C1640" t="s">
        <v>663</v>
      </c>
      <c r="D1640" s="3">
        <v>1</v>
      </c>
      <c r="E1640" s="2">
        <v>1400</v>
      </c>
    </row>
    <row r="1641" spans="1:5" x14ac:dyDescent="0.35">
      <c r="A1641" t="s">
        <v>4327</v>
      </c>
      <c r="B1641" t="s">
        <v>2324</v>
      </c>
      <c r="C1641" t="s">
        <v>617</v>
      </c>
      <c r="D1641" s="3">
        <v>1</v>
      </c>
      <c r="E1641" s="2">
        <v>200</v>
      </c>
    </row>
    <row r="1642" spans="1:5" x14ac:dyDescent="0.35">
      <c r="A1642" t="s">
        <v>4328</v>
      </c>
      <c r="B1642" t="s">
        <v>2325</v>
      </c>
      <c r="C1642" t="s">
        <v>635</v>
      </c>
      <c r="D1642" s="3">
        <v>1</v>
      </c>
      <c r="E1642" s="2">
        <v>180</v>
      </c>
    </row>
    <row r="1643" spans="1:5" x14ac:dyDescent="0.35">
      <c r="A1643" t="s">
        <v>4329</v>
      </c>
      <c r="B1643" t="s">
        <v>2326</v>
      </c>
      <c r="C1643" t="s">
        <v>673</v>
      </c>
      <c r="D1643" s="3">
        <v>1</v>
      </c>
      <c r="E1643" s="2">
        <v>300</v>
      </c>
    </row>
    <row r="1644" spans="1:5" x14ac:dyDescent="0.35">
      <c r="A1644" t="s">
        <v>4330</v>
      </c>
      <c r="B1644" t="s">
        <v>2327</v>
      </c>
      <c r="C1644" t="s">
        <v>649</v>
      </c>
      <c r="D1644" s="3">
        <v>1</v>
      </c>
      <c r="E1644" s="2">
        <v>800</v>
      </c>
    </row>
    <row r="1645" spans="1:5" x14ac:dyDescent="0.35">
      <c r="A1645" t="s">
        <v>4331</v>
      </c>
      <c r="B1645" t="s">
        <v>2328</v>
      </c>
      <c r="C1645" t="s">
        <v>638</v>
      </c>
      <c r="D1645" s="3">
        <v>1</v>
      </c>
      <c r="E1645" s="2">
        <v>150</v>
      </c>
    </row>
    <row r="1646" spans="1:5" x14ac:dyDescent="0.35">
      <c r="A1646" t="s">
        <v>4332</v>
      </c>
      <c r="B1646" t="s">
        <v>2329</v>
      </c>
      <c r="C1646" t="s">
        <v>620</v>
      </c>
      <c r="D1646" s="3">
        <v>1</v>
      </c>
      <c r="E1646" s="2">
        <v>50</v>
      </c>
    </row>
    <row r="1647" spans="1:5" x14ac:dyDescent="0.35">
      <c r="A1647" t="s">
        <v>4333</v>
      </c>
      <c r="B1647" t="s">
        <v>2330</v>
      </c>
      <c r="C1647" t="s">
        <v>673</v>
      </c>
      <c r="D1647" s="3">
        <v>1</v>
      </c>
      <c r="E1647" s="2">
        <v>300</v>
      </c>
    </row>
    <row r="1648" spans="1:5" x14ac:dyDescent="0.35">
      <c r="A1648" t="s">
        <v>4334</v>
      </c>
      <c r="B1648" t="s">
        <v>2331</v>
      </c>
      <c r="C1648" t="s">
        <v>669</v>
      </c>
      <c r="D1648" s="3">
        <v>1</v>
      </c>
      <c r="E1648" s="2">
        <v>600</v>
      </c>
    </row>
    <row r="1649" spans="1:5" x14ac:dyDescent="0.35">
      <c r="A1649" t="s">
        <v>4335</v>
      </c>
      <c r="B1649" t="s">
        <v>2332</v>
      </c>
      <c r="C1649" t="s">
        <v>629</v>
      </c>
      <c r="D1649" s="3">
        <v>2</v>
      </c>
      <c r="E1649" s="2">
        <v>600</v>
      </c>
    </row>
    <row r="1650" spans="1:5" x14ac:dyDescent="0.35">
      <c r="A1650" t="s">
        <v>4336</v>
      </c>
      <c r="B1650" t="s">
        <v>2333</v>
      </c>
      <c r="C1650" t="s">
        <v>669</v>
      </c>
      <c r="D1650" s="3">
        <v>1</v>
      </c>
      <c r="E1650" s="2">
        <v>600</v>
      </c>
    </row>
    <row r="1651" spans="1:5" x14ac:dyDescent="0.35">
      <c r="A1651" t="s">
        <v>4337</v>
      </c>
      <c r="B1651" t="s">
        <v>2334</v>
      </c>
      <c r="C1651" t="s">
        <v>673</v>
      </c>
      <c r="D1651" s="3">
        <v>1</v>
      </c>
      <c r="E1651" s="2">
        <v>300</v>
      </c>
    </row>
    <row r="1652" spans="1:5" x14ac:dyDescent="0.35">
      <c r="A1652" t="s">
        <v>4338</v>
      </c>
      <c r="B1652" t="s">
        <v>2335</v>
      </c>
      <c r="C1652" t="s">
        <v>635</v>
      </c>
      <c r="D1652" s="3">
        <v>1</v>
      </c>
      <c r="E1652" s="2">
        <v>180</v>
      </c>
    </row>
    <row r="1653" spans="1:5" x14ac:dyDescent="0.35">
      <c r="A1653" t="s">
        <v>4339</v>
      </c>
      <c r="B1653" t="s">
        <v>2336</v>
      </c>
      <c r="C1653" t="s">
        <v>654</v>
      </c>
      <c r="D1653" s="3">
        <v>2</v>
      </c>
      <c r="E1653" s="2">
        <v>200</v>
      </c>
    </row>
    <row r="1654" spans="1:5" x14ac:dyDescent="0.35">
      <c r="A1654" t="s">
        <v>4340</v>
      </c>
      <c r="B1654" t="s">
        <v>2337</v>
      </c>
      <c r="C1654" t="s">
        <v>667</v>
      </c>
      <c r="D1654" s="3">
        <v>1</v>
      </c>
      <c r="E1654" s="2">
        <v>550</v>
      </c>
    </row>
    <row r="1655" spans="1:5" x14ac:dyDescent="0.35">
      <c r="A1655" t="s">
        <v>4341</v>
      </c>
      <c r="B1655" t="s">
        <v>2338</v>
      </c>
      <c r="C1655" t="s">
        <v>654</v>
      </c>
      <c r="D1655" s="3">
        <v>1</v>
      </c>
      <c r="E1655" s="2">
        <v>100</v>
      </c>
    </row>
    <row r="1656" spans="1:5" x14ac:dyDescent="0.35">
      <c r="A1656" t="s">
        <v>4342</v>
      </c>
      <c r="B1656" t="s">
        <v>2339</v>
      </c>
      <c r="C1656" t="s">
        <v>647</v>
      </c>
      <c r="D1656" s="3">
        <v>1</v>
      </c>
      <c r="E1656" s="2">
        <v>4200</v>
      </c>
    </row>
    <row r="1657" spans="1:5" x14ac:dyDescent="0.35">
      <c r="A1657" t="s">
        <v>4343</v>
      </c>
      <c r="B1657" t="s">
        <v>2340</v>
      </c>
      <c r="C1657" t="s">
        <v>663</v>
      </c>
      <c r="D1657" s="3">
        <v>1</v>
      </c>
      <c r="E1657" s="2">
        <v>1400</v>
      </c>
    </row>
    <row r="1658" spans="1:5" x14ac:dyDescent="0.35">
      <c r="A1658" t="s">
        <v>4344</v>
      </c>
      <c r="B1658" t="s">
        <v>2341</v>
      </c>
      <c r="C1658" t="s">
        <v>651</v>
      </c>
      <c r="D1658" s="3">
        <v>1</v>
      </c>
      <c r="E1658" s="2">
        <v>120</v>
      </c>
    </row>
    <row r="1659" spans="1:5" x14ac:dyDescent="0.35">
      <c r="A1659" t="s">
        <v>4345</v>
      </c>
      <c r="B1659" t="s">
        <v>2342</v>
      </c>
      <c r="C1659" t="s">
        <v>617</v>
      </c>
      <c r="D1659" s="3">
        <v>2</v>
      </c>
      <c r="E1659" s="2">
        <v>400</v>
      </c>
    </row>
    <row r="1660" spans="1:5" x14ac:dyDescent="0.35">
      <c r="A1660" t="s">
        <v>4346</v>
      </c>
      <c r="B1660" t="s">
        <v>2343</v>
      </c>
      <c r="C1660" t="s">
        <v>667</v>
      </c>
      <c r="D1660" s="3">
        <v>1</v>
      </c>
      <c r="E1660" s="2">
        <v>550</v>
      </c>
    </row>
    <row r="1661" spans="1:5" x14ac:dyDescent="0.35">
      <c r="A1661" t="s">
        <v>4347</v>
      </c>
      <c r="B1661" t="s">
        <v>2344</v>
      </c>
      <c r="C1661" t="s">
        <v>623</v>
      </c>
      <c r="D1661" s="3">
        <v>1</v>
      </c>
      <c r="E1661" s="2">
        <v>1200</v>
      </c>
    </row>
    <row r="1662" spans="1:5" x14ac:dyDescent="0.35">
      <c r="A1662" t="s">
        <v>4348</v>
      </c>
      <c r="B1662" t="s">
        <v>2345</v>
      </c>
      <c r="C1662" t="s">
        <v>631</v>
      </c>
      <c r="D1662" s="3">
        <v>1</v>
      </c>
      <c r="E1662" s="2">
        <v>900</v>
      </c>
    </row>
    <row r="1663" spans="1:5" x14ac:dyDescent="0.35">
      <c r="A1663" t="s">
        <v>4349</v>
      </c>
      <c r="B1663" t="s">
        <v>2346</v>
      </c>
      <c r="C1663" t="s">
        <v>667</v>
      </c>
      <c r="D1663" s="3">
        <v>1</v>
      </c>
      <c r="E1663" s="2">
        <v>550</v>
      </c>
    </row>
    <row r="1664" spans="1:5" x14ac:dyDescent="0.35">
      <c r="A1664" t="s">
        <v>4350</v>
      </c>
      <c r="B1664" t="s">
        <v>2347</v>
      </c>
      <c r="C1664" t="s">
        <v>649</v>
      </c>
      <c r="D1664" s="3">
        <v>1</v>
      </c>
      <c r="E1664" s="2">
        <v>800</v>
      </c>
    </row>
    <row r="1665" spans="1:5" x14ac:dyDescent="0.35">
      <c r="A1665" t="s">
        <v>4351</v>
      </c>
      <c r="B1665" t="s">
        <v>2348</v>
      </c>
      <c r="C1665" t="s">
        <v>626</v>
      </c>
      <c r="D1665" s="3">
        <v>1</v>
      </c>
      <c r="E1665" s="2">
        <v>5000</v>
      </c>
    </row>
    <row r="1666" spans="1:5" x14ac:dyDescent="0.35">
      <c r="A1666" t="s">
        <v>4352</v>
      </c>
      <c r="B1666" t="s">
        <v>2349</v>
      </c>
      <c r="C1666" t="s">
        <v>658</v>
      </c>
      <c r="D1666" s="3">
        <v>1</v>
      </c>
      <c r="E1666" s="2">
        <v>750</v>
      </c>
    </row>
    <row r="1667" spans="1:5" x14ac:dyDescent="0.35">
      <c r="A1667" t="s">
        <v>4353</v>
      </c>
      <c r="B1667" t="s">
        <v>2350</v>
      </c>
      <c r="C1667" t="s">
        <v>651</v>
      </c>
      <c r="D1667" s="3">
        <v>1</v>
      </c>
      <c r="E1667" s="2">
        <v>120</v>
      </c>
    </row>
    <row r="1668" spans="1:5" x14ac:dyDescent="0.35">
      <c r="A1668" t="s">
        <v>4354</v>
      </c>
      <c r="B1668" t="s">
        <v>2351</v>
      </c>
      <c r="C1668" t="s">
        <v>638</v>
      </c>
      <c r="D1668" s="3">
        <v>1</v>
      </c>
      <c r="E1668" s="2">
        <v>150</v>
      </c>
    </row>
    <row r="1669" spans="1:5" x14ac:dyDescent="0.35">
      <c r="A1669" t="s">
        <v>4355</v>
      </c>
      <c r="B1669" t="s">
        <v>2352</v>
      </c>
      <c r="C1669" t="s">
        <v>658</v>
      </c>
      <c r="D1669" s="3">
        <v>3</v>
      </c>
      <c r="E1669" s="2">
        <v>2250</v>
      </c>
    </row>
    <row r="1670" spans="1:5" x14ac:dyDescent="0.35">
      <c r="A1670" t="s">
        <v>4356</v>
      </c>
      <c r="B1670" t="s">
        <v>2353</v>
      </c>
      <c r="C1670" t="s">
        <v>623</v>
      </c>
      <c r="D1670" s="3">
        <v>1</v>
      </c>
      <c r="E1670" s="2">
        <v>1200</v>
      </c>
    </row>
    <row r="1671" spans="1:5" x14ac:dyDescent="0.35">
      <c r="A1671" t="s">
        <v>4357</v>
      </c>
      <c r="B1671" t="s">
        <v>2354</v>
      </c>
      <c r="C1671" t="s">
        <v>641</v>
      </c>
      <c r="D1671" s="3">
        <v>1</v>
      </c>
      <c r="E1671" s="2">
        <v>1800</v>
      </c>
    </row>
    <row r="1672" spans="1:5" x14ac:dyDescent="0.35">
      <c r="A1672" t="s">
        <v>4358</v>
      </c>
      <c r="B1672" t="s">
        <v>2355</v>
      </c>
      <c r="C1672" t="s">
        <v>656</v>
      </c>
      <c r="D1672" s="3">
        <v>1</v>
      </c>
      <c r="E1672" s="2">
        <v>350</v>
      </c>
    </row>
    <row r="1673" spans="1:5" x14ac:dyDescent="0.35">
      <c r="A1673" t="s">
        <v>4359</v>
      </c>
      <c r="B1673" t="s">
        <v>2356</v>
      </c>
      <c r="C1673" t="s">
        <v>633</v>
      </c>
      <c r="D1673" s="3">
        <v>2</v>
      </c>
      <c r="E1673" s="2">
        <v>900</v>
      </c>
    </row>
    <row r="1674" spans="1:5" x14ac:dyDescent="0.35">
      <c r="A1674" t="s">
        <v>4360</v>
      </c>
      <c r="B1674" t="s">
        <v>2357</v>
      </c>
      <c r="C1674" t="s">
        <v>651</v>
      </c>
      <c r="D1674" s="3">
        <v>1</v>
      </c>
      <c r="E1674" s="2">
        <v>120</v>
      </c>
    </row>
    <row r="1675" spans="1:5" x14ac:dyDescent="0.35">
      <c r="A1675" t="s">
        <v>4361</v>
      </c>
      <c r="B1675" t="s">
        <v>2358</v>
      </c>
      <c r="C1675" t="s">
        <v>617</v>
      </c>
      <c r="D1675" s="3">
        <v>1</v>
      </c>
      <c r="E1675" s="2">
        <v>200</v>
      </c>
    </row>
    <row r="1676" spans="1:5" x14ac:dyDescent="0.35">
      <c r="A1676" t="s">
        <v>4362</v>
      </c>
      <c r="B1676" t="s">
        <v>2359</v>
      </c>
      <c r="C1676" t="s">
        <v>673</v>
      </c>
      <c r="D1676" s="3">
        <v>1</v>
      </c>
      <c r="E1676" s="2">
        <v>300</v>
      </c>
    </row>
    <row r="1677" spans="1:5" x14ac:dyDescent="0.35">
      <c r="A1677" t="s">
        <v>4363</v>
      </c>
      <c r="B1677" t="s">
        <v>2360</v>
      </c>
      <c r="C1677" t="s">
        <v>643</v>
      </c>
      <c r="D1677" s="3">
        <v>1</v>
      </c>
      <c r="E1677" s="2">
        <v>2200</v>
      </c>
    </row>
    <row r="1678" spans="1:5" x14ac:dyDescent="0.35">
      <c r="A1678" t="s">
        <v>4364</v>
      </c>
      <c r="B1678" t="s">
        <v>2361</v>
      </c>
      <c r="C1678" t="s">
        <v>656</v>
      </c>
      <c r="D1678" s="3">
        <v>3</v>
      </c>
      <c r="E1678" s="2">
        <v>1050</v>
      </c>
    </row>
    <row r="1679" spans="1:5" x14ac:dyDescent="0.35">
      <c r="A1679" t="s">
        <v>4365</v>
      </c>
      <c r="B1679" t="s">
        <v>2362</v>
      </c>
      <c r="C1679" t="s">
        <v>629</v>
      </c>
      <c r="D1679" s="3">
        <v>2</v>
      </c>
      <c r="E1679" s="2">
        <v>600</v>
      </c>
    </row>
    <row r="1680" spans="1:5" x14ac:dyDescent="0.35">
      <c r="A1680" t="s">
        <v>4366</v>
      </c>
      <c r="B1680" t="s">
        <v>2363</v>
      </c>
      <c r="C1680" t="s">
        <v>633</v>
      </c>
      <c r="D1680" s="3">
        <v>2</v>
      </c>
      <c r="E1680" s="2">
        <v>900</v>
      </c>
    </row>
    <row r="1681" spans="1:5" x14ac:dyDescent="0.35">
      <c r="A1681" t="s">
        <v>4367</v>
      </c>
      <c r="B1681" t="s">
        <v>2364</v>
      </c>
      <c r="C1681" t="s">
        <v>660</v>
      </c>
      <c r="D1681" s="3">
        <v>1</v>
      </c>
      <c r="E1681" s="2">
        <v>6500</v>
      </c>
    </row>
    <row r="1682" spans="1:5" x14ac:dyDescent="0.35">
      <c r="A1682" t="s">
        <v>4368</v>
      </c>
      <c r="B1682" t="s">
        <v>2365</v>
      </c>
      <c r="C1682" t="s">
        <v>673</v>
      </c>
      <c r="D1682" s="3">
        <v>1</v>
      </c>
      <c r="E1682" s="2">
        <v>300</v>
      </c>
    </row>
    <row r="1683" spans="1:5" x14ac:dyDescent="0.35">
      <c r="A1683" t="s">
        <v>4369</v>
      </c>
      <c r="B1683" t="s">
        <v>2366</v>
      </c>
      <c r="C1683" t="s">
        <v>671</v>
      </c>
      <c r="D1683" s="3">
        <v>1</v>
      </c>
      <c r="E1683" s="2">
        <v>400</v>
      </c>
    </row>
    <row r="1684" spans="1:5" x14ac:dyDescent="0.35">
      <c r="A1684" t="s">
        <v>4370</v>
      </c>
      <c r="B1684" t="s">
        <v>2367</v>
      </c>
      <c r="C1684" t="s">
        <v>651</v>
      </c>
      <c r="D1684" s="3">
        <v>1</v>
      </c>
      <c r="E1684" s="2">
        <v>120</v>
      </c>
    </row>
    <row r="1685" spans="1:5" x14ac:dyDescent="0.35">
      <c r="A1685" t="s">
        <v>4371</v>
      </c>
      <c r="B1685" t="s">
        <v>2368</v>
      </c>
      <c r="C1685" t="s">
        <v>623</v>
      </c>
      <c r="D1685" s="3">
        <v>1</v>
      </c>
      <c r="E1685" s="2">
        <v>1200</v>
      </c>
    </row>
    <row r="1686" spans="1:5" x14ac:dyDescent="0.35">
      <c r="A1686" t="s">
        <v>4372</v>
      </c>
      <c r="B1686" t="s">
        <v>2369</v>
      </c>
      <c r="C1686" t="s">
        <v>651</v>
      </c>
      <c r="D1686" s="3">
        <v>1</v>
      </c>
      <c r="E1686" s="2">
        <v>120</v>
      </c>
    </row>
    <row r="1687" spans="1:5" x14ac:dyDescent="0.35">
      <c r="A1687" t="s">
        <v>4373</v>
      </c>
      <c r="B1687" t="s">
        <v>2370</v>
      </c>
      <c r="C1687" t="s">
        <v>629</v>
      </c>
      <c r="D1687" s="3">
        <v>2</v>
      </c>
      <c r="E1687" s="2">
        <v>600</v>
      </c>
    </row>
    <row r="1688" spans="1:5" x14ac:dyDescent="0.35">
      <c r="A1688" t="s">
        <v>4374</v>
      </c>
      <c r="B1688" t="s">
        <v>2371</v>
      </c>
      <c r="C1688" t="s">
        <v>669</v>
      </c>
      <c r="D1688" s="3">
        <v>3</v>
      </c>
      <c r="E1688" s="2">
        <v>1800</v>
      </c>
    </row>
    <row r="1689" spans="1:5" x14ac:dyDescent="0.35">
      <c r="A1689" t="s">
        <v>4375</v>
      </c>
      <c r="B1689" t="s">
        <v>2372</v>
      </c>
      <c r="C1689" t="s">
        <v>645</v>
      </c>
      <c r="D1689" s="3">
        <v>1</v>
      </c>
      <c r="E1689" s="2">
        <v>3500</v>
      </c>
    </row>
    <row r="1690" spans="1:5" x14ac:dyDescent="0.35">
      <c r="A1690" t="s">
        <v>4376</v>
      </c>
      <c r="B1690" t="s">
        <v>2373</v>
      </c>
      <c r="C1690" t="s">
        <v>663</v>
      </c>
      <c r="D1690" s="3">
        <v>1</v>
      </c>
      <c r="E1690" s="2">
        <v>1400</v>
      </c>
    </row>
    <row r="1691" spans="1:5" x14ac:dyDescent="0.35">
      <c r="A1691" t="s">
        <v>4377</v>
      </c>
      <c r="B1691" t="s">
        <v>2374</v>
      </c>
      <c r="C1691" t="s">
        <v>629</v>
      </c>
      <c r="D1691" s="3">
        <v>1</v>
      </c>
      <c r="E1691" s="2">
        <v>300</v>
      </c>
    </row>
    <row r="1692" spans="1:5" x14ac:dyDescent="0.35">
      <c r="A1692" t="s">
        <v>4378</v>
      </c>
      <c r="B1692" t="s">
        <v>2375</v>
      </c>
      <c r="C1692" t="s">
        <v>623</v>
      </c>
      <c r="D1692" s="3">
        <v>1</v>
      </c>
      <c r="E1692" s="2">
        <v>1200</v>
      </c>
    </row>
    <row r="1693" spans="1:5" x14ac:dyDescent="0.35">
      <c r="A1693" t="s">
        <v>4379</v>
      </c>
      <c r="B1693" t="s">
        <v>2376</v>
      </c>
      <c r="C1693" t="s">
        <v>638</v>
      </c>
      <c r="D1693" s="3">
        <v>1</v>
      </c>
      <c r="E1693" s="2">
        <v>150</v>
      </c>
    </row>
    <row r="1694" spans="1:5" x14ac:dyDescent="0.35">
      <c r="A1694" t="s">
        <v>4380</v>
      </c>
      <c r="B1694" t="s">
        <v>2377</v>
      </c>
      <c r="C1694" t="s">
        <v>638</v>
      </c>
      <c r="D1694" s="3">
        <v>1</v>
      </c>
      <c r="E1694" s="2">
        <v>150</v>
      </c>
    </row>
    <row r="1695" spans="1:5" x14ac:dyDescent="0.35">
      <c r="A1695" t="s">
        <v>4381</v>
      </c>
      <c r="B1695" t="s">
        <v>2378</v>
      </c>
      <c r="C1695" t="s">
        <v>633</v>
      </c>
      <c r="D1695" s="3">
        <v>2</v>
      </c>
      <c r="E1695" s="2">
        <v>900</v>
      </c>
    </row>
    <row r="1696" spans="1:5" x14ac:dyDescent="0.35">
      <c r="A1696" t="s">
        <v>4382</v>
      </c>
      <c r="B1696" t="s">
        <v>2379</v>
      </c>
      <c r="C1696" t="s">
        <v>620</v>
      </c>
      <c r="D1696" s="3">
        <v>1</v>
      </c>
      <c r="E1696" s="2">
        <v>50</v>
      </c>
    </row>
    <row r="1697" spans="1:5" x14ac:dyDescent="0.35">
      <c r="A1697" t="s">
        <v>4383</v>
      </c>
      <c r="B1697" t="s">
        <v>2380</v>
      </c>
      <c r="C1697" t="s">
        <v>669</v>
      </c>
      <c r="D1697" s="3">
        <v>1</v>
      </c>
      <c r="E1697" s="2">
        <v>600</v>
      </c>
    </row>
    <row r="1698" spans="1:5" x14ac:dyDescent="0.35">
      <c r="A1698" t="s">
        <v>4384</v>
      </c>
      <c r="B1698" t="s">
        <v>2381</v>
      </c>
      <c r="C1698" t="s">
        <v>669</v>
      </c>
      <c r="D1698" s="3">
        <v>1</v>
      </c>
      <c r="E1698" s="2">
        <v>600</v>
      </c>
    </row>
    <row r="1699" spans="1:5" x14ac:dyDescent="0.35">
      <c r="A1699" t="s">
        <v>4385</v>
      </c>
      <c r="B1699" t="s">
        <v>2382</v>
      </c>
      <c r="C1699" t="s">
        <v>665</v>
      </c>
      <c r="D1699" s="3">
        <v>1</v>
      </c>
      <c r="E1699" s="2">
        <v>700</v>
      </c>
    </row>
    <row r="1700" spans="1:5" x14ac:dyDescent="0.35">
      <c r="A1700" t="s">
        <v>4386</v>
      </c>
      <c r="B1700" t="s">
        <v>2383</v>
      </c>
      <c r="C1700" t="s">
        <v>654</v>
      </c>
      <c r="D1700" s="3">
        <v>1</v>
      </c>
      <c r="E1700" s="2">
        <v>100</v>
      </c>
    </row>
    <row r="1701" spans="1:5" x14ac:dyDescent="0.35">
      <c r="A1701" t="s">
        <v>4387</v>
      </c>
      <c r="B1701" t="s">
        <v>2384</v>
      </c>
      <c r="C1701" t="s">
        <v>638</v>
      </c>
      <c r="D1701" s="3">
        <v>1</v>
      </c>
      <c r="E1701" s="2">
        <v>150</v>
      </c>
    </row>
    <row r="1702" spans="1:5" x14ac:dyDescent="0.35">
      <c r="A1702" t="s">
        <v>4388</v>
      </c>
      <c r="B1702" t="s">
        <v>2385</v>
      </c>
      <c r="C1702" t="s">
        <v>647</v>
      </c>
      <c r="D1702" s="3">
        <v>2</v>
      </c>
      <c r="E1702" s="2">
        <v>8400</v>
      </c>
    </row>
    <row r="1703" spans="1:5" x14ac:dyDescent="0.35">
      <c r="A1703" t="s">
        <v>4389</v>
      </c>
      <c r="B1703" t="s">
        <v>2386</v>
      </c>
      <c r="C1703" t="s">
        <v>660</v>
      </c>
      <c r="D1703" s="3">
        <v>1</v>
      </c>
      <c r="E1703" s="2">
        <v>6500</v>
      </c>
    </row>
    <row r="1704" spans="1:5" x14ac:dyDescent="0.35">
      <c r="A1704" t="s">
        <v>4390</v>
      </c>
      <c r="B1704" t="s">
        <v>2387</v>
      </c>
      <c r="C1704" t="s">
        <v>663</v>
      </c>
      <c r="D1704" s="3">
        <v>1</v>
      </c>
      <c r="E1704" s="2">
        <v>1400</v>
      </c>
    </row>
    <row r="1705" spans="1:5" x14ac:dyDescent="0.35">
      <c r="A1705" t="s">
        <v>4391</v>
      </c>
      <c r="B1705" t="s">
        <v>2388</v>
      </c>
      <c r="C1705" t="s">
        <v>656</v>
      </c>
      <c r="D1705" s="3">
        <v>1</v>
      </c>
      <c r="E1705" s="2">
        <v>350</v>
      </c>
    </row>
    <row r="1706" spans="1:5" x14ac:dyDescent="0.35">
      <c r="A1706" t="s">
        <v>4392</v>
      </c>
      <c r="B1706" t="s">
        <v>2389</v>
      </c>
      <c r="C1706" t="s">
        <v>631</v>
      </c>
      <c r="D1706" s="3">
        <v>1</v>
      </c>
      <c r="E1706" s="2">
        <v>900</v>
      </c>
    </row>
    <row r="1707" spans="1:5" x14ac:dyDescent="0.35">
      <c r="A1707" t="s">
        <v>4393</v>
      </c>
      <c r="B1707" t="s">
        <v>2390</v>
      </c>
      <c r="C1707" t="s">
        <v>626</v>
      </c>
      <c r="D1707" s="3">
        <v>1</v>
      </c>
      <c r="E1707" s="2">
        <v>5000</v>
      </c>
    </row>
    <row r="1708" spans="1:5" x14ac:dyDescent="0.35">
      <c r="A1708" t="s">
        <v>4394</v>
      </c>
      <c r="B1708" t="s">
        <v>2391</v>
      </c>
      <c r="C1708" t="s">
        <v>617</v>
      </c>
      <c r="D1708" s="3">
        <v>1</v>
      </c>
      <c r="E1708" s="2">
        <v>200</v>
      </c>
    </row>
    <row r="1709" spans="1:5" x14ac:dyDescent="0.35">
      <c r="A1709" t="s">
        <v>4395</v>
      </c>
      <c r="B1709" t="s">
        <v>2392</v>
      </c>
      <c r="C1709" t="s">
        <v>658</v>
      </c>
      <c r="D1709" s="3">
        <v>1</v>
      </c>
      <c r="E1709" s="2">
        <v>750</v>
      </c>
    </row>
    <row r="1710" spans="1:5" x14ac:dyDescent="0.35">
      <c r="A1710" t="s">
        <v>4396</v>
      </c>
      <c r="B1710" t="s">
        <v>2393</v>
      </c>
      <c r="C1710" t="s">
        <v>660</v>
      </c>
      <c r="D1710" s="3">
        <v>1</v>
      </c>
      <c r="E1710" s="2">
        <v>6500</v>
      </c>
    </row>
    <row r="1711" spans="1:5" x14ac:dyDescent="0.35">
      <c r="A1711" t="s">
        <v>4397</v>
      </c>
      <c r="B1711" t="s">
        <v>2394</v>
      </c>
      <c r="C1711" t="s">
        <v>638</v>
      </c>
      <c r="D1711" s="3">
        <v>1</v>
      </c>
      <c r="E1711" s="2">
        <v>150</v>
      </c>
    </row>
    <row r="1712" spans="1:5" x14ac:dyDescent="0.35">
      <c r="A1712" t="s">
        <v>4398</v>
      </c>
      <c r="B1712" t="s">
        <v>2395</v>
      </c>
      <c r="C1712" t="s">
        <v>647</v>
      </c>
      <c r="D1712" s="3">
        <v>1</v>
      </c>
      <c r="E1712" s="2">
        <v>4200</v>
      </c>
    </row>
    <row r="1713" spans="1:5" x14ac:dyDescent="0.35">
      <c r="A1713" t="s">
        <v>4399</v>
      </c>
      <c r="B1713" t="s">
        <v>2396</v>
      </c>
      <c r="C1713" t="s">
        <v>635</v>
      </c>
      <c r="D1713" s="3">
        <v>2</v>
      </c>
      <c r="E1713" s="2">
        <v>360</v>
      </c>
    </row>
    <row r="1714" spans="1:5" x14ac:dyDescent="0.35">
      <c r="A1714" t="s">
        <v>4400</v>
      </c>
      <c r="B1714" t="s">
        <v>2397</v>
      </c>
      <c r="C1714" t="s">
        <v>669</v>
      </c>
      <c r="D1714" s="3">
        <v>1</v>
      </c>
      <c r="E1714" s="2">
        <v>600</v>
      </c>
    </row>
    <row r="1715" spans="1:5" x14ac:dyDescent="0.35">
      <c r="A1715" t="s">
        <v>4401</v>
      </c>
      <c r="B1715" t="s">
        <v>2398</v>
      </c>
      <c r="C1715" t="s">
        <v>647</v>
      </c>
      <c r="D1715" s="3">
        <v>1</v>
      </c>
      <c r="E1715" s="2">
        <v>4200</v>
      </c>
    </row>
    <row r="1716" spans="1:5" x14ac:dyDescent="0.35">
      <c r="A1716" t="s">
        <v>4402</v>
      </c>
      <c r="B1716" t="s">
        <v>2399</v>
      </c>
      <c r="C1716" t="s">
        <v>651</v>
      </c>
      <c r="D1716" s="3">
        <v>1</v>
      </c>
      <c r="E1716" s="2">
        <v>120</v>
      </c>
    </row>
    <row r="1717" spans="1:5" x14ac:dyDescent="0.35">
      <c r="A1717" t="s">
        <v>4403</v>
      </c>
      <c r="B1717" t="s">
        <v>2400</v>
      </c>
      <c r="C1717" t="s">
        <v>643</v>
      </c>
      <c r="D1717" s="3">
        <v>3</v>
      </c>
      <c r="E1717" s="2">
        <v>6600</v>
      </c>
    </row>
    <row r="1718" spans="1:5" x14ac:dyDescent="0.35">
      <c r="A1718" t="s">
        <v>4404</v>
      </c>
      <c r="B1718" t="s">
        <v>2401</v>
      </c>
      <c r="C1718" t="s">
        <v>645</v>
      </c>
      <c r="D1718" s="3">
        <v>1</v>
      </c>
      <c r="E1718" s="2">
        <v>3500</v>
      </c>
    </row>
    <row r="1719" spans="1:5" x14ac:dyDescent="0.35">
      <c r="A1719" t="s">
        <v>4405</v>
      </c>
      <c r="B1719" t="s">
        <v>2402</v>
      </c>
      <c r="C1719" t="s">
        <v>649</v>
      </c>
      <c r="D1719" s="3">
        <v>1</v>
      </c>
      <c r="E1719" s="2">
        <v>800</v>
      </c>
    </row>
    <row r="1720" spans="1:5" x14ac:dyDescent="0.35">
      <c r="A1720" t="s">
        <v>4406</v>
      </c>
      <c r="B1720" t="s">
        <v>2403</v>
      </c>
      <c r="C1720" t="s">
        <v>626</v>
      </c>
      <c r="D1720" s="3">
        <v>1</v>
      </c>
      <c r="E1720" s="2">
        <v>5000</v>
      </c>
    </row>
    <row r="1721" spans="1:5" x14ac:dyDescent="0.35">
      <c r="A1721" t="s">
        <v>4407</v>
      </c>
      <c r="B1721" t="s">
        <v>2404</v>
      </c>
      <c r="C1721" t="s">
        <v>617</v>
      </c>
      <c r="D1721" s="3">
        <v>2</v>
      </c>
      <c r="E1721" s="2">
        <v>400</v>
      </c>
    </row>
    <row r="1722" spans="1:5" x14ac:dyDescent="0.35">
      <c r="A1722" t="s">
        <v>4408</v>
      </c>
      <c r="B1722" t="s">
        <v>2405</v>
      </c>
      <c r="C1722" t="s">
        <v>671</v>
      </c>
      <c r="D1722" s="3">
        <v>1</v>
      </c>
      <c r="E1722" s="2">
        <v>400</v>
      </c>
    </row>
    <row r="1723" spans="1:5" x14ac:dyDescent="0.35">
      <c r="A1723" t="s">
        <v>4409</v>
      </c>
      <c r="B1723" t="s">
        <v>2406</v>
      </c>
      <c r="C1723" t="s">
        <v>626</v>
      </c>
      <c r="D1723" s="3">
        <v>1</v>
      </c>
      <c r="E1723" s="2">
        <v>5000</v>
      </c>
    </row>
    <row r="1724" spans="1:5" x14ac:dyDescent="0.35">
      <c r="A1724" t="s">
        <v>4410</v>
      </c>
      <c r="B1724" t="s">
        <v>2407</v>
      </c>
      <c r="C1724" t="s">
        <v>660</v>
      </c>
      <c r="D1724" s="3">
        <v>3</v>
      </c>
      <c r="E1724" s="2">
        <v>19500</v>
      </c>
    </row>
    <row r="1725" spans="1:5" x14ac:dyDescent="0.35">
      <c r="A1725" t="s">
        <v>4411</v>
      </c>
      <c r="B1725" t="s">
        <v>2408</v>
      </c>
      <c r="C1725" t="s">
        <v>638</v>
      </c>
      <c r="D1725" s="3">
        <v>1</v>
      </c>
      <c r="E1725" s="2">
        <v>150</v>
      </c>
    </row>
    <row r="1726" spans="1:5" x14ac:dyDescent="0.35">
      <c r="A1726" t="s">
        <v>4412</v>
      </c>
      <c r="B1726" t="s">
        <v>2409</v>
      </c>
      <c r="C1726" t="s">
        <v>641</v>
      </c>
      <c r="D1726" s="3">
        <v>1</v>
      </c>
      <c r="E1726" s="2">
        <v>1800</v>
      </c>
    </row>
    <row r="1727" spans="1:5" x14ac:dyDescent="0.35">
      <c r="A1727" t="s">
        <v>4413</v>
      </c>
      <c r="B1727" t="s">
        <v>2410</v>
      </c>
      <c r="C1727" t="s">
        <v>626</v>
      </c>
      <c r="D1727" s="3">
        <v>1</v>
      </c>
      <c r="E1727" s="2">
        <v>5000</v>
      </c>
    </row>
    <row r="1728" spans="1:5" x14ac:dyDescent="0.35">
      <c r="A1728" t="s">
        <v>4414</v>
      </c>
      <c r="B1728" t="s">
        <v>2411</v>
      </c>
      <c r="C1728" t="s">
        <v>663</v>
      </c>
      <c r="D1728" s="3">
        <v>1</v>
      </c>
      <c r="E1728" s="2">
        <v>1400</v>
      </c>
    </row>
    <row r="1729" spans="1:5" x14ac:dyDescent="0.35">
      <c r="A1729" t="s">
        <v>4415</v>
      </c>
      <c r="B1729" t="s">
        <v>2412</v>
      </c>
      <c r="C1729" t="s">
        <v>638</v>
      </c>
      <c r="D1729" s="3">
        <v>1</v>
      </c>
      <c r="E1729" s="2">
        <v>150</v>
      </c>
    </row>
    <row r="1730" spans="1:5" x14ac:dyDescent="0.35">
      <c r="A1730" t="s">
        <v>4416</v>
      </c>
      <c r="B1730" t="s">
        <v>2413</v>
      </c>
      <c r="C1730" t="s">
        <v>647</v>
      </c>
      <c r="D1730" s="3">
        <v>2</v>
      </c>
      <c r="E1730" s="2">
        <v>8400</v>
      </c>
    </row>
    <row r="1731" spans="1:5" x14ac:dyDescent="0.35">
      <c r="A1731" t="s">
        <v>4417</v>
      </c>
      <c r="B1731" t="s">
        <v>2414</v>
      </c>
      <c r="C1731" t="s">
        <v>645</v>
      </c>
      <c r="D1731" s="3">
        <v>1</v>
      </c>
      <c r="E1731" s="2">
        <v>3500</v>
      </c>
    </row>
    <row r="1732" spans="1:5" x14ac:dyDescent="0.35">
      <c r="A1732" t="s">
        <v>4418</v>
      </c>
      <c r="B1732" t="s">
        <v>2415</v>
      </c>
      <c r="C1732" t="s">
        <v>643</v>
      </c>
      <c r="D1732" s="3">
        <v>1</v>
      </c>
      <c r="E1732" s="2">
        <v>2200</v>
      </c>
    </row>
    <row r="1733" spans="1:5" x14ac:dyDescent="0.35">
      <c r="A1733" t="s">
        <v>4419</v>
      </c>
      <c r="B1733" t="s">
        <v>2416</v>
      </c>
      <c r="C1733" t="s">
        <v>645</v>
      </c>
      <c r="D1733" s="3">
        <v>2</v>
      </c>
      <c r="E1733" s="2">
        <v>7000</v>
      </c>
    </row>
    <row r="1734" spans="1:5" x14ac:dyDescent="0.35">
      <c r="A1734" t="s">
        <v>4420</v>
      </c>
      <c r="B1734" t="s">
        <v>2417</v>
      </c>
      <c r="C1734" t="s">
        <v>658</v>
      </c>
      <c r="D1734" s="3">
        <v>3</v>
      </c>
      <c r="E1734" s="2">
        <v>2250</v>
      </c>
    </row>
    <row r="1735" spans="1:5" x14ac:dyDescent="0.35">
      <c r="A1735" t="s">
        <v>4421</v>
      </c>
      <c r="B1735" t="s">
        <v>2418</v>
      </c>
      <c r="C1735" t="s">
        <v>645</v>
      </c>
      <c r="D1735" s="3">
        <v>1</v>
      </c>
      <c r="E1735" s="2">
        <v>3500</v>
      </c>
    </row>
    <row r="1736" spans="1:5" x14ac:dyDescent="0.35">
      <c r="A1736" t="s">
        <v>4422</v>
      </c>
      <c r="B1736" t="s">
        <v>2419</v>
      </c>
      <c r="C1736" t="s">
        <v>654</v>
      </c>
      <c r="D1736" s="3">
        <v>1</v>
      </c>
      <c r="E1736" s="2">
        <v>100</v>
      </c>
    </row>
    <row r="1737" spans="1:5" x14ac:dyDescent="0.35">
      <c r="A1737" t="s">
        <v>4423</v>
      </c>
      <c r="B1737" t="s">
        <v>2420</v>
      </c>
      <c r="C1737" t="s">
        <v>629</v>
      </c>
      <c r="D1737" s="3">
        <v>1</v>
      </c>
      <c r="E1737" s="2">
        <v>300</v>
      </c>
    </row>
    <row r="1738" spans="1:5" x14ac:dyDescent="0.35">
      <c r="A1738" t="s">
        <v>4424</v>
      </c>
      <c r="B1738" t="s">
        <v>2421</v>
      </c>
      <c r="C1738" t="s">
        <v>663</v>
      </c>
      <c r="D1738" s="3">
        <v>1</v>
      </c>
      <c r="E1738" s="2">
        <v>1400</v>
      </c>
    </row>
    <row r="1739" spans="1:5" x14ac:dyDescent="0.35">
      <c r="A1739" t="s">
        <v>4425</v>
      </c>
      <c r="B1739" t="s">
        <v>2422</v>
      </c>
      <c r="C1739" t="s">
        <v>673</v>
      </c>
      <c r="D1739" s="3">
        <v>1</v>
      </c>
      <c r="E1739" s="2">
        <v>300</v>
      </c>
    </row>
    <row r="1740" spans="1:5" x14ac:dyDescent="0.35">
      <c r="A1740" t="s">
        <v>4426</v>
      </c>
      <c r="B1740" t="s">
        <v>2423</v>
      </c>
      <c r="C1740" t="s">
        <v>645</v>
      </c>
      <c r="D1740" s="3">
        <v>1</v>
      </c>
      <c r="E1740" s="2">
        <v>3500</v>
      </c>
    </row>
    <row r="1741" spans="1:5" x14ac:dyDescent="0.35">
      <c r="A1741" t="s">
        <v>4427</v>
      </c>
      <c r="B1741" t="s">
        <v>2424</v>
      </c>
      <c r="C1741" t="s">
        <v>665</v>
      </c>
      <c r="D1741" s="3">
        <v>1</v>
      </c>
      <c r="E1741" s="2">
        <v>700</v>
      </c>
    </row>
    <row r="1742" spans="1:5" x14ac:dyDescent="0.35">
      <c r="A1742" t="s">
        <v>4428</v>
      </c>
      <c r="B1742" t="s">
        <v>2425</v>
      </c>
      <c r="C1742" t="s">
        <v>673</v>
      </c>
      <c r="D1742" s="3">
        <v>1</v>
      </c>
      <c r="E1742" s="2">
        <v>300</v>
      </c>
    </row>
    <row r="1743" spans="1:5" x14ac:dyDescent="0.35">
      <c r="A1743" t="s">
        <v>4429</v>
      </c>
      <c r="B1743" t="s">
        <v>2426</v>
      </c>
      <c r="C1743" t="s">
        <v>643</v>
      </c>
      <c r="D1743" s="3">
        <v>1</v>
      </c>
      <c r="E1743" s="2">
        <v>2200</v>
      </c>
    </row>
    <row r="1744" spans="1:5" x14ac:dyDescent="0.35">
      <c r="A1744" t="s">
        <v>4430</v>
      </c>
      <c r="B1744" t="s">
        <v>2427</v>
      </c>
      <c r="C1744" t="s">
        <v>638</v>
      </c>
      <c r="D1744" s="3">
        <v>1</v>
      </c>
      <c r="E1744" s="2">
        <v>150</v>
      </c>
    </row>
    <row r="1745" spans="1:5" x14ac:dyDescent="0.35">
      <c r="A1745" t="s">
        <v>4431</v>
      </c>
      <c r="B1745" t="s">
        <v>2428</v>
      </c>
      <c r="C1745" t="s">
        <v>658</v>
      </c>
      <c r="D1745" s="3">
        <v>1</v>
      </c>
      <c r="E1745" s="2">
        <v>750</v>
      </c>
    </row>
    <row r="1746" spans="1:5" x14ac:dyDescent="0.35">
      <c r="A1746" t="s">
        <v>4432</v>
      </c>
      <c r="B1746" t="s">
        <v>2429</v>
      </c>
      <c r="C1746" t="s">
        <v>673</v>
      </c>
      <c r="D1746" s="3">
        <v>1</v>
      </c>
      <c r="E1746" s="2">
        <v>300</v>
      </c>
    </row>
    <row r="1747" spans="1:5" x14ac:dyDescent="0.35">
      <c r="A1747" t="s">
        <v>4433</v>
      </c>
      <c r="B1747" t="s">
        <v>2430</v>
      </c>
      <c r="C1747" t="s">
        <v>623</v>
      </c>
      <c r="D1747" s="3">
        <v>1</v>
      </c>
      <c r="E1747" s="2">
        <v>1200</v>
      </c>
    </row>
    <row r="1748" spans="1:5" x14ac:dyDescent="0.35">
      <c r="A1748" t="s">
        <v>4434</v>
      </c>
      <c r="B1748" t="s">
        <v>2431</v>
      </c>
      <c r="C1748" t="s">
        <v>663</v>
      </c>
      <c r="D1748" s="3">
        <v>1</v>
      </c>
      <c r="E1748" s="2">
        <v>1400</v>
      </c>
    </row>
    <row r="1749" spans="1:5" x14ac:dyDescent="0.35">
      <c r="A1749" t="s">
        <v>4435</v>
      </c>
      <c r="B1749" t="s">
        <v>2432</v>
      </c>
      <c r="C1749" t="s">
        <v>656</v>
      </c>
      <c r="D1749" s="3">
        <v>1</v>
      </c>
      <c r="E1749" s="2">
        <v>350</v>
      </c>
    </row>
    <row r="1750" spans="1:5" x14ac:dyDescent="0.35">
      <c r="A1750" t="s">
        <v>4436</v>
      </c>
      <c r="B1750" t="s">
        <v>2433</v>
      </c>
      <c r="C1750" t="s">
        <v>649</v>
      </c>
      <c r="D1750" s="3">
        <v>1</v>
      </c>
      <c r="E1750" s="2">
        <v>800</v>
      </c>
    </row>
    <row r="1751" spans="1:5" x14ac:dyDescent="0.35">
      <c r="A1751" t="s">
        <v>4437</v>
      </c>
      <c r="B1751" t="s">
        <v>2434</v>
      </c>
      <c r="C1751" t="s">
        <v>617</v>
      </c>
      <c r="D1751" s="3">
        <v>1</v>
      </c>
      <c r="E1751" s="2">
        <v>200</v>
      </c>
    </row>
    <row r="1752" spans="1:5" x14ac:dyDescent="0.35">
      <c r="A1752" t="s">
        <v>4438</v>
      </c>
      <c r="B1752" t="s">
        <v>2435</v>
      </c>
      <c r="C1752" t="s">
        <v>656</v>
      </c>
      <c r="D1752" s="3">
        <v>1</v>
      </c>
      <c r="E1752" s="2">
        <v>350</v>
      </c>
    </row>
    <row r="1753" spans="1:5" x14ac:dyDescent="0.35">
      <c r="A1753" t="s">
        <v>4439</v>
      </c>
      <c r="B1753" t="s">
        <v>2436</v>
      </c>
      <c r="C1753" t="s">
        <v>673</v>
      </c>
      <c r="D1753" s="3">
        <v>1</v>
      </c>
      <c r="E1753" s="2">
        <v>300</v>
      </c>
    </row>
    <row r="1754" spans="1:5" x14ac:dyDescent="0.35">
      <c r="A1754" t="s">
        <v>4440</v>
      </c>
      <c r="B1754" t="s">
        <v>2437</v>
      </c>
      <c r="C1754" t="s">
        <v>635</v>
      </c>
      <c r="D1754" s="3">
        <v>1</v>
      </c>
      <c r="E1754" s="2">
        <v>180</v>
      </c>
    </row>
    <row r="1755" spans="1:5" x14ac:dyDescent="0.35">
      <c r="A1755" t="s">
        <v>4441</v>
      </c>
      <c r="B1755" t="s">
        <v>2438</v>
      </c>
      <c r="C1755" t="s">
        <v>629</v>
      </c>
      <c r="D1755" s="3">
        <v>1</v>
      </c>
      <c r="E1755" s="2">
        <v>300</v>
      </c>
    </row>
    <row r="1756" spans="1:5" x14ac:dyDescent="0.35">
      <c r="A1756" t="s">
        <v>4442</v>
      </c>
      <c r="B1756" t="s">
        <v>2439</v>
      </c>
      <c r="C1756" t="s">
        <v>629</v>
      </c>
      <c r="D1756" s="3">
        <v>1</v>
      </c>
      <c r="E1756" s="2">
        <v>300</v>
      </c>
    </row>
    <row r="1757" spans="1:5" x14ac:dyDescent="0.35">
      <c r="A1757" t="s">
        <v>4443</v>
      </c>
      <c r="B1757" t="s">
        <v>2440</v>
      </c>
      <c r="C1757" t="s">
        <v>638</v>
      </c>
      <c r="D1757" s="3">
        <v>1</v>
      </c>
      <c r="E1757" s="2">
        <v>150</v>
      </c>
    </row>
    <row r="1758" spans="1:5" x14ac:dyDescent="0.35">
      <c r="A1758" t="s">
        <v>4444</v>
      </c>
      <c r="B1758" t="s">
        <v>2441</v>
      </c>
      <c r="C1758" t="s">
        <v>623</v>
      </c>
      <c r="D1758" s="3">
        <v>1</v>
      </c>
      <c r="E1758" s="2">
        <v>1200</v>
      </c>
    </row>
    <row r="1759" spans="1:5" x14ac:dyDescent="0.35">
      <c r="A1759" t="s">
        <v>4445</v>
      </c>
      <c r="B1759" t="s">
        <v>2442</v>
      </c>
      <c r="C1759" t="s">
        <v>660</v>
      </c>
      <c r="D1759" s="3">
        <v>3</v>
      </c>
      <c r="E1759" s="2">
        <v>19500</v>
      </c>
    </row>
    <row r="1760" spans="1:5" x14ac:dyDescent="0.35">
      <c r="A1760" t="s">
        <v>4446</v>
      </c>
      <c r="B1760" t="s">
        <v>2443</v>
      </c>
      <c r="C1760" t="s">
        <v>669</v>
      </c>
      <c r="D1760" s="3">
        <v>1</v>
      </c>
      <c r="E1760" s="2">
        <v>600</v>
      </c>
    </row>
    <row r="1761" spans="1:5" x14ac:dyDescent="0.35">
      <c r="A1761" t="s">
        <v>4447</v>
      </c>
      <c r="B1761" t="s">
        <v>2444</v>
      </c>
      <c r="C1761" t="s">
        <v>638</v>
      </c>
      <c r="D1761" s="3">
        <v>1</v>
      </c>
      <c r="E1761" s="2">
        <v>150</v>
      </c>
    </row>
    <row r="1762" spans="1:5" x14ac:dyDescent="0.35">
      <c r="A1762" t="s">
        <v>4448</v>
      </c>
      <c r="B1762" t="s">
        <v>2445</v>
      </c>
      <c r="C1762" t="s">
        <v>667</v>
      </c>
      <c r="D1762" s="3">
        <v>1</v>
      </c>
      <c r="E1762" s="2">
        <v>550</v>
      </c>
    </row>
    <row r="1763" spans="1:5" x14ac:dyDescent="0.35">
      <c r="A1763" t="s">
        <v>4449</v>
      </c>
      <c r="B1763" t="s">
        <v>2446</v>
      </c>
      <c r="C1763" t="s">
        <v>658</v>
      </c>
      <c r="D1763" s="3">
        <v>3</v>
      </c>
      <c r="E1763" s="2">
        <v>2250</v>
      </c>
    </row>
    <row r="1764" spans="1:5" x14ac:dyDescent="0.35">
      <c r="A1764" t="s">
        <v>4450</v>
      </c>
      <c r="B1764" t="s">
        <v>2447</v>
      </c>
      <c r="C1764" t="s">
        <v>654</v>
      </c>
      <c r="D1764" s="3">
        <v>3</v>
      </c>
      <c r="E1764" s="2">
        <v>300</v>
      </c>
    </row>
    <row r="1765" spans="1:5" x14ac:dyDescent="0.35">
      <c r="A1765" t="s">
        <v>4451</v>
      </c>
      <c r="B1765" t="s">
        <v>2448</v>
      </c>
      <c r="C1765" t="s">
        <v>617</v>
      </c>
      <c r="D1765" s="3">
        <v>1</v>
      </c>
      <c r="E1765" s="2">
        <v>200</v>
      </c>
    </row>
    <row r="1766" spans="1:5" x14ac:dyDescent="0.35">
      <c r="A1766" t="s">
        <v>4452</v>
      </c>
      <c r="B1766" t="s">
        <v>2449</v>
      </c>
      <c r="C1766" t="s">
        <v>620</v>
      </c>
      <c r="D1766" s="3">
        <v>1</v>
      </c>
      <c r="E1766" s="2">
        <v>50</v>
      </c>
    </row>
    <row r="1767" spans="1:5" x14ac:dyDescent="0.35">
      <c r="A1767" t="s">
        <v>4453</v>
      </c>
      <c r="B1767" t="s">
        <v>2450</v>
      </c>
      <c r="C1767" t="s">
        <v>649</v>
      </c>
      <c r="D1767" s="3">
        <v>1</v>
      </c>
      <c r="E1767" s="2">
        <v>800</v>
      </c>
    </row>
    <row r="1768" spans="1:5" x14ac:dyDescent="0.35">
      <c r="A1768" t="s">
        <v>4454</v>
      </c>
      <c r="B1768" t="s">
        <v>2451</v>
      </c>
      <c r="C1768" t="s">
        <v>649</v>
      </c>
      <c r="D1768" s="3">
        <v>1</v>
      </c>
      <c r="E1768" s="2">
        <v>800</v>
      </c>
    </row>
    <row r="1769" spans="1:5" x14ac:dyDescent="0.35">
      <c r="A1769" t="s">
        <v>4455</v>
      </c>
      <c r="B1769" t="s">
        <v>2452</v>
      </c>
      <c r="C1769" t="s">
        <v>617</v>
      </c>
      <c r="D1769" s="3">
        <v>1</v>
      </c>
      <c r="E1769" s="2">
        <v>200</v>
      </c>
    </row>
    <row r="1770" spans="1:5" x14ac:dyDescent="0.35">
      <c r="A1770" t="s">
        <v>4456</v>
      </c>
      <c r="B1770" t="s">
        <v>2453</v>
      </c>
      <c r="C1770" t="s">
        <v>673</v>
      </c>
      <c r="D1770" s="3">
        <v>1</v>
      </c>
      <c r="E1770" s="2">
        <v>300</v>
      </c>
    </row>
    <row r="1771" spans="1:5" x14ac:dyDescent="0.35">
      <c r="A1771" t="s">
        <v>4457</v>
      </c>
      <c r="B1771" t="s">
        <v>2454</v>
      </c>
      <c r="C1771" t="s">
        <v>654</v>
      </c>
      <c r="D1771" s="3">
        <v>2</v>
      </c>
      <c r="E1771" s="2">
        <v>200</v>
      </c>
    </row>
    <row r="1772" spans="1:5" x14ac:dyDescent="0.35">
      <c r="A1772" t="s">
        <v>4458</v>
      </c>
      <c r="B1772" t="s">
        <v>2455</v>
      </c>
      <c r="C1772" t="s">
        <v>651</v>
      </c>
      <c r="D1772" s="3">
        <v>1</v>
      </c>
      <c r="E1772" s="2">
        <v>120</v>
      </c>
    </row>
    <row r="1773" spans="1:5" x14ac:dyDescent="0.35">
      <c r="A1773" t="s">
        <v>4459</v>
      </c>
      <c r="B1773" t="s">
        <v>2456</v>
      </c>
      <c r="C1773" t="s">
        <v>651</v>
      </c>
      <c r="D1773" s="3">
        <v>1</v>
      </c>
      <c r="E1773" s="2">
        <v>120</v>
      </c>
    </row>
    <row r="1774" spans="1:5" x14ac:dyDescent="0.35">
      <c r="A1774" t="s">
        <v>4460</v>
      </c>
      <c r="B1774" t="s">
        <v>2457</v>
      </c>
      <c r="C1774" t="s">
        <v>645</v>
      </c>
      <c r="D1774" s="3">
        <v>1</v>
      </c>
      <c r="E1774" s="2">
        <v>3500</v>
      </c>
    </row>
    <row r="1775" spans="1:5" x14ac:dyDescent="0.35">
      <c r="A1775" t="s">
        <v>4461</v>
      </c>
      <c r="B1775" t="s">
        <v>2458</v>
      </c>
      <c r="C1775" t="s">
        <v>654</v>
      </c>
      <c r="D1775" s="3">
        <v>1</v>
      </c>
      <c r="E1775" s="2">
        <v>100</v>
      </c>
    </row>
    <row r="1776" spans="1:5" x14ac:dyDescent="0.35">
      <c r="A1776" t="s">
        <v>4462</v>
      </c>
      <c r="B1776" t="s">
        <v>2459</v>
      </c>
      <c r="C1776" t="s">
        <v>649</v>
      </c>
      <c r="D1776" s="3">
        <v>1</v>
      </c>
      <c r="E1776" s="2">
        <v>800</v>
      </c>
    </row>
    <row r="1777" spans="1:5" x14ac:dyDescent="0.35">
      <c r="A1777" t="s">
        <v>4463</v>
      </c>
      <c r="B1777" t="s">
        <v>2460</v>
      </c>
      <c r="C1777" t="s">
        <v>671</v>
      </c>
      <c r="D1777" s="3">
        <v>1</v>
      </c>
      <c r="E1777" s="2">
        <v>400</v>
      </c>
    </row>
    <row r="1778" spans="1:5" x14ac:dyDescent="0.35">
      <c r="A1778" t="s">
        <v>4464</v>
      </c>
      <c r="B1778" t="s">
        <v>2461</v>
      </c>
      <c r="C1778" t="s">
        <v>651</v>
      </c>
      <c r="D1778" s="3">
        <v>1</v>
      </c>
      <c r="E1778" s="2">
        <v>120</v>
      </c>
    </row>
    <row r="1779" spans="1:5" x14ac:dyDescent="0.35">
      <c r="A1779" t="s">
        <v>4465</v>
      </c>
      <c r="B1779" t="s">
        <v>2462</v>
      </c>
      <c r="C1779" t="s">
        <v>669</v>
      </c>
      <c r="D1779" s="3">
        <v>1</v>
      </c>
      <c r="E1779" s="2">
        <v>600</v>
      </c>
    </row>
    <row r="1780" spans="1:5" x14ac:dyDescent="0.35">
      <c r="A1780" t="s">
        <v>4466</v>
      </c>
      <c r="B1780" t="s">
        <v>2463</v>
      </c>
      <c r="C1780" t="s">
        <v>651</v>
      </c>
      <c r="D1780" s="3">
        <v>2</v>
      </c>
      <c r="E1780" s="2">
        <v>240</v>
      </c>
    </row>
    <row r="1781" spans="1:5" x14ac:dyDescent="0.35">
      <c r="A1781" t="s">
        <v>4467</v>
      </c>
      <c r="B1781" t="s">
        <v>2464</v>
      </c>
      <c r="C1781" t="s">
        <v>660</v>
      </c>
      <c r="D1781" s="3">
        <v>1</v>
      </c>
      <c r="E1781" s="2">
        <v>6500</v>
      </c>
    </row>
    <row r="1782" spans="1:5" x14ac:dyDescent="0.35">
      <c r="A1782" t="s">
        <v>4468</v>
      </c>
      <c r="B1782" t="s">
        <v>2465</v>
      </c>
      <c r="C1782" t="s">
        <v>635</v>
      </c>
      <c r="D1782" s="3">
        <v>1</v>
      </c>
      <c r="E1782" s="2">
        <v>180</v>
      </c>
    </row>
    <row r="1783" spans="1:5" x14ac:dyDescent="0.35">
      <c r="A1783" t="s">
        <v>4469</v>
      </c>
      <c r="B1783" t="s">
        <v>2466</v>
      </c>
      <c r="C1783" t="s">
        <v>620</v>
      </c>
      <c r="D1783" s="3">
        <v>1</v>
      </c>
      <c r="E1783" s="2">
        <v>50</v>
      </c>
    </row>
    <row r="1784" spans="1:5" x14ac:dyDescent="0.35">
      <c r="A1784" t="s">
        <v>4470</v>
      </c>
      <c r="B1784" t="s">
        <v>2467</v>
      </c>
      <c r="C1784" t="s">
        <v>620</v>
      </c>
      <c r="D1784" s="3">
        <v>2</v>
      </c>
      <c r="E1784" s="2">
        <v>100</v>
      </c>
    </row>
    <row r="1785" spans="1:5" x14ac:dyDescent="0.35">
      <c r="A1785" t="s">
        <v>4471</v>
      </c>
      <c r="B1785" t="s">
        <v>2468</v>
      </c>
      <c r="C1785" t="s">
        <v>641</v>
      </c>
      <c r="D1785" s="3">
        <v>1</v>
      </c>
      <c r="E1785" s="2">
        <v>1800</v>
      </c>
    </row>
    <row r="1786" spans="1:5" x14ac:dyDescent="0.35">
      <c r="A1786" t="s">
        <v>4472</v>
      </c>
      <c r="B1786" t="s">
        <v>2469</v>
      </c>
      <c r="C1786" t="s">
        <v>623</v>
      </c>
      <c r="D1786" s="3">
        <v>1</v>
      </c>
      <c r="E1786" s="2">
        <v>1200</v>
      </c>
    </row>
    <row r="1787" spans="1:5" x14ac:dyDescent="0.35">
      <c r="A1787" t="s">
        <v>4473</v>
      </c>
      <c r="B1787" t="s">
        <v>2470</v>
      </c>
      <c r="C1787" t="s">
        <v>669</v>
      </c>
      <c r="D1787" s="3">
        <v>1</v>
      </c>
      <c r="E1787" s="2">
        <v>600</v>
      </c>
    </row>
    <row r="1788" spans="1:5" x14ac:dyDescent="0.35">
      <c r="A1788" t="s">
        <v>4474</v>
      </c>
      <c r="B1788" t="s">
        <v>2471</v>
      </c>
      <c r="C1788" t="s">
        <v>656</v>
      </c>
      <c r="D1788" s="3">
        <v>1</v>
      </c>
      <c r="E1788" s="2">
        <v>350</v>
      </c>
    </row>
    <row r="1789" spans="1:5" x14ac:dyDescent="0.35">
      <c r="A1789" t="s">
        <v>4475</v>
      </c>
      <c r="B1789" t="s">
        <v>2472</v>
      </c>
      <c r="C1789" t="s">
        <v>635</v>
      </c>
      <c r="D1789" s="3">
        <v>2</v>
      </c>
      <c r="E1789" s="2">
        <v>360</v>
      </c>
    </row>
    <row r="1790" spans="1:5" x14ac:dyDescent="0.35">
      <c r="A1790" t="s">
        <v>4476</v>
      </c>
      <c r="B1790" t="s">
        <v>2473</v>
      </c>
      <c r="C1790" t="s">
        <v>669</v>
      </c>
      <c r="D1790" s="3">
        <v>1</v>
      </c>
      <c r="E1790" s="2">
        <v>600</v>
      </c>
    </row>
    <row r="1791" spans="1:5" x14ac:dyDescent="0.35">
      <c r="A1791" t="s">
        <v>4477</v>
      </c>
      <c r="B1791" t="s">
        <v>2474</v>
      </c>
      <c r="C1791" t="s">
        <v>626</v>
      </c>
      <c r="D1791" s="3">
        <v>1</v>
      </c>
      <c r="E1791" s="2">
        <v>5000</v>
      </c>
    </row>
    <row r="1792" spans="1:5" x14ac:dyDescent="0.35">
      <c r="A1792" t="s">
        <v>4478</v>
      </c>
      <c r="B1792" t="s">
        <v>2475</v>
      </c>
      <c r="C1792" t="s">
        <v>649</v>
      </c>
      <c r="D1792" s="3">
        <v>1</v>
      </c>
      <c r="E1792" s="2">
        <v>800</v>
      </c>
    </row>
    <row r="1793" spans="1:5" x14ac:dyDescent="0.35">
      <c r="A1793" t="s">
        <v>4479</v>
      </c>
      <c r="B1793" t="s">
        <v>2476</v>
      </c>
      <c r="C1793" t="s">
        <v>665</v>
      </c>
      <c r="D1793" s="3">
        <v>1</v>
      </c>
      <c r="E1793" s="2">
        <v>700</v>
      </c>
    </row>
    <row r="1794" spans="1:5" x14ac:dyDescent="0.35">
      <c r="A1794" t="s">
        <v>4480</v>
      </c>
      <c r="B1794" t="s">
        <v>2477</v>
      </c>
      <c r="C1794" t="s">
        <v>641</v>
      </c>
      <c r="D1794" s="3">
        <v>1</v>
      </c>
      <c r="E1794" s="2">
        <v>1800</v>
      </c>
    </row>
    <row r="1795" spans="1:5" x14ac:dyDescent="0.35">
      <c r="A1795" t="s">
        <v>4481</v>
      </c>
      <c r="B1795" t="s">
        <v>2478</v>
      </c>
      <c r="C1795" t="s">
        <v>617</v>
      </c>
      <c r="D1795" s="3">
        <v>1</v>
      </c>
      <c r="E1795" s="2">
        <v>200</v>
      </c>
    </row>
    <row r="1796" spans="1:5" x14ac:dyDescent="0.35">
      <c r="A1796" t="s">
        <v>4482</v>
      </c>
      <c r="B1796" t="s">
        <v>2479</v>
      </c>
      <c r="C1796" t="s">
        <v>626</v>
      </c>
      <c r="D1796" s="3">
        <v>1</v>
      </c>
      <c r="E1796" s="2">
        <v>5000</v>
      </c>
    </row>
    <row r="1797" spans="1:5" x14ac:dyDescent="0.35">
      <c r="A1797" t="s">
        <v>4483</v>
      </c>
      <c r="B1797" t="s">
        <v>2480</v>
      </c>
      <c r="C1797" t="s">
        <v>617</v>
      </c>
      <c r="D1797" s="3">
        <v>1</v>
      </c>
      <c r="E1797" s="2">
        <v>200</v>
      </c>
    </row>
    <row r="1798" spans="1:5" x14ac:dyDescent="0.35">
      <c r="A1798" t="s">
        <v>4484</v>
      </c>
      <c r="B1798" t="s">
        <v>2481</v>
      </c>
      <c r="C1798" t="s">
        <v>656</v>
      </c>
      <c r="D1798" s="3">
        <v>1</v>
      </c>
      <c r="E1798" s="2">
        <v>350</v>
      </c>
    </row>
    <row r="1799" spans="1:5" x14ac:dyDescent="0.35">
      <c r="A1799" t="s">
        <v>4485</v>
      </c>
      <c r="B1799" t="s">
        <v>2482</v>
      </c>
      <c r="C1799" t="s">
        <v>656</v>
      </c>
      <c r="D1799" s="3">
        <v>1</v>
      </c>
      <c r="E1799" s="2">
        <v>350</v>
      </c>
    </row>
    <row r="1800" spans="1:5" x14ac:dyDescent="0.35">
      <c r="A1800" t="s">
        <v>4486</v>
      </c>
      <c r="B1800" t="s">
        <v>2483</v>
      </c>
      <c r="C1800" t="s">
        <v>633</v>
      </c>
      <c r="D1800" s="3">
        <v>1</v>
      </c>
      <c r="E1800" s="2">
        <v>450</v>
      </c>
    </row>
    <row r="1801" spans="1:5" x14ac:dyDescent="0.35">
      <c r="A1801" t="s">
        <v>4487</v>
      </c>
      <c r="B1801" t="s">
        <v>2484</v>
      </c>
      <c r="C1801" t="s">
        <v>669</v>
      </c>
      <c r="D1801" s="3">
        <v>1</v>
      </c>
      <c r="E1801" s="2">
        <v>600</v>
      </c>
    </row>
    <row r="1802" spans="1:5" x14ac:dyDescent="0.35">
      <c r="A1802" t="s">
        <v>4488</v>
      </c>
      <c r="B1802" t="s">
        <v>2485</v>
      </c>
      <c r="C1802" t="s">
        <v>663</v>
      </c>
      <c r="D1802" s="3">
        <v>1</v>
      </c>
      <c r="E1802" s="2">
        <v>1400</v>
      </c>
    </row>
    <row r="1803" spans="1:5" x14ac:dyDescent="0.35">
      <c r="A1803" t="s">
        <v>4489</v>
      </c>
      <c r="B1803" t="s">
        <v>2486</v>
      </c>
      <c r="C1803" t="s">
        <v>651</v>
      </c>
      <c r="D1803" s="3">
        <v>1</v>
      </c>
      <c r="E1803" s="2">
        <v>120</v>
      </c>
    </row>
    <row r="1804" spans="1:5" x14ac:dyDescent="0.35">
      <c r="A1804" t="s">
        <v>4490</v>
      </c>
      <c r="B1804" t="s">
        <v>2487</v>
      </c>
      <c r="C1804" t="s">
        <v>647</v>
      </c>
      <c r="D1804" s="3">
        <v>1</v>
      </c>
      <c r="E1804" s="2">
        <v>4200</v>
      </c>
    </row>
    <row r="1805" spans="1:5" x14ac:dyDescent="0.35">
      <c r="A1805" t="s">
        <v>4491</v>
      </c>
      <c r="B1805" t="s">
        <v>2488</v>
      </c>
      <c r="C1805" t="s">
        <v>620</v>
      </c>
      <c r="D1805" s="3">
        <v>1</v>
      </c>
      <c r="E1805" s="2">
        <v>50</v>
      </c>
    </row>
    <row r="1806" spans="1:5" x14ac:dyDescent="0.35">
      <c r="A1806" t="s">
        <v>4492</v>
      </c>
      <c r="B1806" t="s">
        <v>2489</v>
      </c>
      <c r="C1806" t="s">
        <v>660</v>
      </c>
      <c r="D1806" s="3">
        <v>3</v>
      </c>
      <c r="E1806" s="2">
        <v>19500</v>
      </c>
    </row>
    <row r="1807" spans="1:5" x14ac:dyDescent="0.35">
      <c r="A1807" t="s">
        <v>4493</v>
      </c>
      <c r="B1807" t="s">
        <v>2490</v>
      </c>
      <c r="C1807" t="s">
        <v>671</v>
      </c>
      <c r="D1807" s="3">
        <v>1</v>
      </c>
      <c r="E1807" s="2">
        <v>400</v>
      </c>
    </row>
    <row r="1808" spans="1:5" x14ac:dyDescent="0.35">
      <c r="A1808" t="s">
        <v>4494</v>
      </c>
      <c r="B1808" t="s">
        <v>2491</v>
      </c>
      <c r="C1808" t="s">
        <v>647</v>
      </c>
      <c r="D1808" s="3">
        <v>1</v>
      </c>
      <c r="E1808" s="2">
        <v>4200</v>
      </c>
    </row>
    <row r="1809" spans="1:5" x14ac:dyDescent="0.35">
      <c r="A1809" t="s">
        <v>4495</v>
      </c>
      <c r="B1809" t="s">
        <v>2492</v>
      </c>
      <c r="C1809" t="s">
        <v>671</v>
      </c>
      <c r="D1809" s="3">
        <v>1</v>
      </c>
      <c r="E1809" s="2">
        <v>400</v>
      </c>
    </row>
    <row r="1810" spans="1:5" x14ac:dyDescent="0.35">
      <c r="A1810" t="s">
        <v>4496</v>
      </c>
      <c r="B1810" t="s">
        <v>2493</v>
      </c>
      <c r="C1810" t="s">
        <v>643</v>
      </c>
      <c r="D1810" s="3">
        <v>1</v>
      </c>
      <c r="E1810" s="2">
        <v>2200</v>
      </c>
    </row>
    <row r="1811" spans="1:5" x14ac:dyDescent="0.35">
      <c r="A1811" t="s">
        <v>4497</v>
      </c>
      <c r="B1811" t="s">
        <v>2494</v>
      </c>
      <c r="C1811" t="s">
        <v>667</v>
      </c>
      <c r="D1811" s="3">
        <v>1</v>
      </c>
      <c r="E1811" s="2">
        <v>550</v>
      </c>
    </row>
    <row r="1812" spans="1:5" x14ac:dyDescent="0.35">
      <c r="A1812" t="s">
        <v>4498</v>
      </c>
      <c r="B1812" t="s">
        <v>2495</v>
      </c>
      <c r="C1812" t="s">
        <v>651</v>
      </c>
      <c r="D1812" s="3">
        <v>1</v>
      </c>
      <c r="E1812" s="2">
        <v>120</v>
      </c>
    </row>
    <row r="1813" spans="1:5" x14ac:dyDescent="0.35">
      <c r="A1813" t="s">
        <v>4499</v>
      </c>
      <c r="B1813" t="s">
        <v>2496</v>
      </c>
      <c r="C1813" t="s">
        <v>641</v>
      </c>
      <c r="D1813" s="3">
        <v>1</v>
      </c>
      <c r="E1813" s="2">
        <v>1800</v>
      </c>
    </row>
    <row r="1814" spans="1:5" x14ac:dyDescent="0.35">
      <c r="A1814" t="s">
        <v>4500</v>
      </c>
      <c r="B1814" t="s">
        <v>2497</v>
      </c>
      <c r="C1814" t="s">
        <v>638</v>
      </c>
      <c r="D1814" s="3">
        <v>2</v>
      </c>
      <c r="E1814" s="2">
        <v>300</v>
      </c>
    </row>
    <row r="1815" spans="1:5" x14ac:dyDescent="0.35">
      <c r="A1815" t="s">
        <v>4501</v>
      </c>
      <c r="B1815" t="s">
        <v>2498</v>
      </c>
      <c r="C1815" t="s">
        <v>638</v>
      </c>
      <c r="D1815" s="3">
        <v>1</v>
      </c>
      <c r="E1815" s="2">
        <v>150</v>
      </c>
    </row>
    <row r="1816" spans="1:5" x14ac:dyDescent="0.35">
      <c r="A1816" t="s">
        <v>4502</v>
      </c>
      <c r="B1816" t="s">
        <v>2499</v>
      </c>
      <c r="C1816" t="s">
        <v>663</v>
      </c>
      <c r="D1816" s="3">
        <v>1</v>
      </c>
      <c r="E1816" s="2">
        <v>1400</v>
      </c>
    </row>
    <row r="1817" spans="1:5" x14ac:dyDescent="0.35">
      <c r="A1817" t="s">
        <v>4503</v>
      </c>
      <c r="B1817" t="s">
        <v>2500</v>
      </c>
      <c r="C1817" t="s">
        <v>617</v>
      </c>
      <c r="D1817" s="3">
        <v>1</v>
      </c>
      <c r="E1817" s="2">
        <v>200</v>
      </c>
    </row>
    <row r="1818" spans="1:5" x14ac:dyDescent="0.35">
      <c r="A1818" t="s">
        <v>4504</v>
      </c>
      <c r="B1818" t="s">
        <v>2501</v>
      </c>
      <c r="C1818" t="s">
        <v>656</v>
      </c>
      <c r="D1818" s="3">
        <v>1</v>
      </c>
      <c r="E1818" s="2">
        <v>350</v>
      </c>
    </row>
    <row r="1819" spans="1:5" x14ac:dyDescent="0.35">
      <c r="A1819" t="s">
        <v>4505</v>
      </c>
      <c r="B1819" t="s">
        <v>2502</v>
      </c>
      <c r="C1819" t="s">
        <v>645</v>
      </c>
      <c r="D1819" s="3">
        <v>2</v>
      </c>
      <c r="E1819" s="2">
        <v>7000</v>
      </c>
    </row>
    <row r="1820" spans="1:5" x14ac:dyDescent="0.35">
      <c r="A1820" t="s">
        <v>4506</v>
      </c>
      <c r="B1820" t="s">
        <v>2503</v>
      </c>
      <c r="C1820" t="s">
        <v>641</v>
      </c>
      <c r="D1820" s="3">
        <v>1</v>
      </c>
      <c r="E1820" s="2">
        <v>1800</v>
      </c>
    </row>
    <row r="1821" spans="1:5" x14ac:dyDescent="0.35">
      <c r="A1821" t="s">
        <v>4507</v>
      </c>
      <c r="B1821" t="s">
        <v>2504</v>
      </c>
      <c r="C1821" t="s">
        <v>629</v>
      </c>
      <c r="D1821" s="3">
        <v>1</v>
      </c>
      <c r="E1821" s="2">
        <v>300</v>
      </c>
    </row>
    <row r="1822" spans="1:5" x14ac:dyDescent="0.35">
      <c r="A1822" t="s">
        <v>4508</v>
      </c>
      <c r="B1822" t="s">
        <v>2505</v>
      </c>
      <c r="C1822" t="s">
        <v>658</v>
      </c>
      <c r="D1822" s="3">
        <v>1</v>
      </c>
      <c r="E1822" s="2">
        <v>750</v>
      </c>
    </row>
    <row r="1823" spans="1:5" x14ac:dyDescent="0.35">
      <c r="A1823" t="s">
        <v>4509</v>
      </c>
      <c r="B1823" t="s">
        <v>2506</v>
      </c>
      <c r="C1823" t="s">
        <v>651</v>
      </c>
      <c r="D1823" s="3">
        <v>1</v>
      </c>
      <c r="E1823" s="2">
        <v>120</v>
      </c>
    </row>
    <row r="1824" spans="1:5" x14ac:dyDescent="0.35">
      <c r="A1824" t="s">
        <v>4510</v>
      </c>
      <c r="B1824" t="s">
        <v>2507</v>
      </c>
      <c r="C1824" t="s">
        <v>631</v>
      </c>
      <c r="D1824" s="3">
        <v>1</v>
      </c>
      <c r="E1824" s="2">
        <v>900</v>
      </c>
    </row>
    <row r="1825" spans="1:5" x14ac:dyDescent="0.35">
      <c r="A1825" t="s">
        <v>4511</v>
      </c>
      <c r="B1825" t="s">
        <v>2508</v>
      </c>
      <c r="C1825" t="s">
        <v>633</v>
      </c>
      <c r="D1825" s="3">
        <v>3</v>
      </c>
      <c r="E1825" s="2">
        <v>1350</v>
      </c>
    </row>
    <row r="1826" spans="1:5" x14ac:dyDescent="0.35">
      <c r="A1826" t="s">
        <v>4512</v>
      </c>
      <c r="B1826" t="s">
        <v>2509</v>
      </c>
      <c r="C1826" t="s">
        <v>656</v>
      </c>
      <c r="D1826" s="3">
        <v>1</v>
      </c>
      <c r="E1826" s="2">
        <v>350</v>
      </c>
    </row>
    <row r="1827" spans="1:5" x14ac:dyDescent="0.35">
      <c r="A1827" t="s">
        <v>4513</v>
      </c>
      <c r="B1827" t="s">
        <v>2510</v>
      </c>
      <c r="C1827" t="s">
        <v>631</v>
      </c>
      <c r="D1827" s="3">
        <v>1</v>
      </c>
      <c r="E1827" s="2">
        <v>900</v>
      </c>
    </row>
    <row r="1828" spans="1:5" x14ac:dyDescent="0.35">
      <c r="A1828" t="s">
        <v>4514</v>
      </c>
      <c r="B1828" t="s">
        <v>2511</v>
      </c>
      <c r="C1828" t="s">
        <v>635</v>
      </c>
      <c r="D1828" s="3">
        <v>2</v>
      </c>
      <c r="E1828" s="2">
        <v>360</v>
      </c>
    </row>
    <row r="1829" spans="1:5" x14ac:dyDescent="0.35">
      <c r="A1829" t="s">
        <v>4515</v>
      </c>
      <c r="B1829" t="s">
        <v>2512</v>
      </c>
      <c r="C1829" t="s">
        <v>645</v>
      </c>
      <c r="D1829" s="3">
        <v>1</v>
      </c>
      <c r="E1829" s="2">
        <v>3500</v>
      </c>
    </row>
    <row r="1830" spans="1:5" x14ac:dyDescent="0.35">
      <c r="A1830" t="s">
        <v>4516</v>
      </c>
      <c r="B1830" t="s">
        <v>2513</v>
      </c>
      <c r="C1830" t="s">
        <v>665</v>
      </c>
      <c r="D1830" s="3">
        <v>1</v>
      </c>
      <c r="E1830" s="2">
        <v>700</v>
      </c>
    </row>
    <row r="1831" spans="1:5" x14ac:dyDescent="0.35">
      <c r="A1831" t="s">
        <v>4517</v>
      </c>
      <c r="B1831" t="s">
        <v>2514</v>
      </c>
      <c r="C1831" t="s">
        <v>649</v>
      </c>
      <c r="D1831" s="3">
        <v>1</v>
      </c>
      <c r="E1831" s="2">
        <v>800</v>
      </c>
    </row>
    <row r="1832" spans="1:5" x14ac:dyDescent="0.35">
      <c r="A1832" t="s">
        <v>4518</v>
      </c>
      <c r="B1832" t="s">
        <v>2515</v>
      </c>
      <c r="C1832" t="s">
        <v>645</v>
      </c>
      <c r="D1832" s="3">
        <v>1</v>
      </c>
      <c r="E1832" s="2">
        <v>3500</v>
      </c>
    </row>
    <row r="1833" spans="1:5" x14ac:dyDescent="0.35">
      <c r="A1833" t="s">
        <v>4519</v>
      </c>
      <c r="B1833" t="s">
        <v>2516</v>
      </c>
      <c r="C1833" t="s">
        <v>669</v>
      </c>
      <c r="D1833" s="3">
        <v>3</v>
      </c>
      <c r="E1833" s="2">
        <v>1800</v>
      </c>
    </row>
    <row r="1834" spans="1:5" x14ac:dyDescent="0.35">
      <c r="A1834" t="s">
        <v>4520</v>
      </c>
      <c r="B1834" t="s">
        <v>2517</v>
      </c>
      <c r="C1834" t="s">
        <v>641</v>
      </c>
      <c r="D1834" s="3">
        <v>1</v>
      </c>
      <c r="E1834" s="2">
        <v>1800</v>
      </c>
    </row>
    <row r="1835" spans="1:5" x14ac:dyDescent="0.35">
      <c r="A1835" t="s">
        <v>4521</v>
      </c>
      <c r="B1835" t="s">
        <v>2518</v>
      </c>
      <c r="C1835" t="s">
        <v>667</v>
      </c>
      <c r="D1835" s="3">
        <v>1</v>
      </c>
      <c r="E1835" s="2">
        <v>550</v>
      </c>
    </row>
    <row r="1836" spans="1:5" x14ac:dyDescent="0.35">
      <c r="A1836" t="s">
        <v>4522</v>
      </c>
      <c r="B1836" t="s">
        <v>2519</v>
      </c>
      <c r="C1836" t="s">
        <v>663</v>
      </c>
      <c r="D1836" s="3">
        <v>1</v>
      </c>
      <c r="E1836" s="2">
        <v>1400</v>
      </c>
    </row>
    <row r="1837" spans="1:5" x14ac:dyDescent="0.35">
      <c r="A1837" t="s">
        <v>4523</v>
      </c>
      <c r="B1837" t="s">
        <v>2520</v>
      </c>
      <c r="C1837" t="s">
        <v>651</v>
      </c>
      <c r="D1837" s="3">
        <v>1</v>
      </c>
      <c r="E1837" s="2">
        <v>120</v>
      </c>
    </row>
    <row r="1838" spans="1:5" x14ac:dyDescent="0.35">
      <c r="A1838" t="s">
        <v>4524</v>
      </c>
      <c r="B1838" t="s">
        <v>2521</v>
      </c>
      <c r="C1838" t="s">
        <v>633</v>
      </c>
      <c r="D1838" s="3">
        <v>1</v>
      </c>
      <c r="E1838" s="2">
        <v>450</v>
      </c>
    </row>
    <row r="1839" spans="1:5" x14ac:dyDescent="0.35">
      <c r="A1839" t="s">
        <v>4525</v>
      </c>
      <c r="B1839" t="s">
        <v>2522</v>
      </c>
      <c r="C1839" t="s">
        <v>638</v>
      </c>
      <c r="D1839" s="3">
        <v>1</v>
      </c>
      <c r="E1839" s="2">
        <v>150</v>
      </c>
    </row>
    <row r="1840" spans="1:5" x14ac:dyDescent="0.35">
      <c r="A1840" t="s">
        <v>4526</v>
      </c>
      <c r="B1840" t="s">
        <v>2523</v>
      </c>
      <c r="C1840" t="s">
        <v>641</v>
      </c>
      <c r="D1840" s="3">
        <v>1</v>
      </c>
      <c r="E1840" s="2">
        <v>1800</v>
      </c>
    </row>
    <row r="1841" spans="1:5" x14ac:dyDescent="0.35">
      <c r="A1841" t="s">
        <v>4527</v>
      </c>
      <c r="B1841" t="s">
        <v>2524</v>
      </c>
      <c r="C1841" t="s">
        <v>641</v>
      </c>
      <c r="D1841" s="3">
        <v>1</v>
      </c>
      <c r="E1841" s="2">
        <v>1800</v>
      </c>
    </row>
    <row r="1842" spans="1:5" x14ac:dyDescent="0.35">
      <c r="A1842" t="s">
        <v>4528</v>
      </c>
      <c r="B1842" t="s">
        <v>2525</v>
      </c>
      <c r="C1842" t="s">
        <v>654</v>
      </c>
      <c r="D1842" s="3">
        <v>1</v>
      </c>
      <c r="E1842" s="2">
        <v>100</v>
      </c>
    </row>
    <row r="1843" spans="1:5" x14ac:dyDescent="0.35">
      <c r="A1843" t="s">
        <v>4529</v>
      </c>
      <c r="B1843" t="s">
        <v>2526</v>
      </c>
      <c r="C1843" t="s">
        <v>633</v>
      </c>
      <c r="D1843" s="3">
        <v>1</v>
      </c>
      <c r="E1843" s="2">
        <v>450</v>
      </c>
    </row>
    <row r="1844" spans="1:5" x14ac:dyDescent="0.35">
      <c r="A1844" t="s">
        <v>4530</v>
      </c>
      <c r="B1844" t="s">
        <v>2527</v>
      </c>
      <c r="C1844" t="s">
        <v>629</v>
      </c>
      <c r="D1844" s="3">
        <v>1</v>
      </c>
      <c r="E1844" s="2">
        <v>300</v>
      </c>
    </row>
    <row r="1845" spans="1:5" x14ac:dyDescent="0.35">
      <c r="A1845" t="s">
        <v>4531</v>
      </c>
      <c r="B1845" t="s">
        <v>2528</v>
      </c>
      <c r="C1845" t="s">
        <v>669</v>
      </c>
      <c r="D1845" s="3">
        <v>1</v>
      </c>
      <c r="E1845" s="2">
        <v>600</v>
      </c>
    </row>
    <row r="1846" spans="1:5" x14ac:dyDescent="0.35">
      <c r="A1846" t="s">
        <v>4532</v>
      </c>
      <c r="B1846" t="s">
        <v>2529</v>
      </c>
      <c r="C1846" t="s">
        <v>623</v>
      </c>
      <c r="D1846" s="3">
        <v>1</v>
      </c>
      <c r="E1846" s="2">
        <v>1200</v>
      </c>
    </row>
    <row r="1847" spans="1:5" x14ac:dyDescent="0.35">
      <c r="A1847" t="s">
        <v>4533</v>
      </c>
      <c r="B1847" t="s">
        <v>2530</v>
      </c>
      <c r="C1847" t="s">
        <v>658</v>
      </c>
      <c r="D1847" s="3">
        <v>1</v>
      </c>
      <c r="E1847" s="2">
        <v>750</v>
      </c>
    </row>
    <row r="1848" spans="1:5" x14ac:dyDescent="0.35">
      <c r="A1848" t="s">
        <v>4534</v>
      </c>
      <c r="B1848" t="s">
        <v>2531</v>
      </c>
      <c r="C1848" t="s">
        <v>643</v>
      </c>
      <c r="D1848" s="3">
        <v>1</v>
      </c>
      <c r="E1848" s="2">
        <v>2200</v>
      </c>
    </row>
    <row r="1849" spans="1:5" x14ac:dyDescent="0.35">
      <c r="A1849" t="s">
        <v>4535</v>
      </c>
      <c r="B1849" t="s">
        <v>2532</v>
      </c>
      <c r="C1849" t="s">
        <v>651</v>
      </c>
      <c r="D1849" s="3">
        <v>1</v>
      </c>
      <c r="E1849" s="2">
        <v>120</v>
      </c>
    </row>
    <row r="1850" spans="1:5" x14ac:dyDescent="0.35">
      <c r="A1850" t="s">
        <v>4536</v>
      </c>
      <c r="B1850" t="s">
        <v>2533</v>
      </c>
      <c r="C1850" t="s">
        <v>665</v>
      </c>
      <c r="D1850" s="3">
        <v>1</v>
      </c>
      <c r="E1850" s="2">
        <v>700</v>
      </c>
    </row>
    <row r="1851" spans="1:5" x14ac:dyDescent="0.35">
      <c r="A1851" t="s">
        <v>4537</v>
      </c>
      <c r="B1851" t="s">
        <v>2534</v>
      </c>
      <c r="C1851" t="s">
        <v>663</v>
      </c>
      <c r="D1851" s="3">
        <v>1</v>
      </c>
      <c r="E1851" s="2">
        <v>1400</v>
      </c>
    </row>
    <row r="1852" spans="1:5" x14ac:dyDescent="0.35">
      <c r="A1852" t="s">
        <v>4538</v>
      </c>
      <c r="B1852" t="s">
        <v>2535</v>
      </c>
      <c r="C1852" t="s">
        <v>629</v>
      </c>
      <c r="D1852" s="3">
        <v>2</v>
      </c>
      <c r="E1852" s="2">
        <v>600</v>
      </c>
    </row>
    <row r="1853" spans="1:5" x14ac:dyDescent="0.35">
      <c r="A1853" t="s">
        <v>4539</v>
      </c>
      <c r="B1853" t="s">
        <v>2536</v>
      </c>
      <c r="C1853" t="s">
        <v>671</v>
      </c>
      <c r="D1853" s="3">
        <v>1</v>
      </c>
      <c r="E1853" s="2">
        <v>400</v>
      </c>
    </row>
    <row r="1854" spans="1:5" x14ac:dyDescent="0.35">
      <c r="A1854" t="s">
        <v>4540</v>
      </c>
      <c r="B1854" t="s">
        <v>2537</v>
      </c>
      <c r="C1854" t="s">
        <v>645</v>
      </c>
      <c r="D1854" s="3">
        <v>2</v>
      </c>
      <c r="E1854" s="2">
        <v>7000</v>
      </c>
    </row>
    <row r="1855" spans="1:5" x14ac:dyDescent="0.35">
      <c r="A1855" t="s">
        <v>4541</v>
      </c>
      <c r="B1855" t="s">
        <v>2538</v>
      </c>
      <c r="C1855" t="s">
        <v>626</v>
      </c>
      <c r="D1855" s="3">
        <v>1</v>
      </c>
      <c r="E1855" s="2">
        <v>5000</v>
      </c>
    </row>
    <row r="1856" spans="1:5" x14ac:dyDescent="0.35">
      <c r="A1856" t="s">
        <v>4542</v>
      </c>
      <c r="B1856" t="s">
        <v>2539</v>
      </c>
      <c r="C1856" t="s">
        <v>651</v>
      </c>
      <c r="D1856" s="3">
        <v>2</v>
      </c>
      <c r="E1856" s="2">
        <v>240</v>
      </c>
    </row>
    <row r="1857" spans="1:5" x14ac:dyDescent="0.35">
      <c r="A1857" t="s">
        <v>4543</v>
      </c>
      <c r="B1857" t="s">
        <v>2540</v>
      </c>
      <c r="C1857" t="s">
        <v>638</v>
      </c>
      <c r="D1857" s="3">
        <v>1</v>
      </c>
      <c r="E1857" s="2">
        <v>150</v>
      </c>
    </row>
    <row r="1858" spans="1:5" x14ac:dyDescent="0.35">
      <c r="A1858" t="s">
        <v>4544</v>
      </c>
      <c r="B1858" t="s">
        <v>2541</v>
      </c>
      <c r="C1858" t="s">
        <v>633</v>
      </c>
      <c r="D1858" s="3">
        <v>1</v>
      </c>
      <c r="E1858" s="2">
        <v>450</v>
      </c>
    </row>
    <row r="1859" spans="1:5" x14ac:dyDescent="0.35">
      <c r="A1859" t="s">
        <v>4545</v>
      </c>
      <c r="B1859" t="s">
        <v>2542</v>
      </c>
      <c r="C1859" t="s">
        <v>641</v>
      </c>
      <c r="D1859" s="3">
        <v>2</v>
      </c>
      <c r="E1859" s="2">
        <v>3600</v>
      </c>
    </row>
    <row r="1860" spans="1:5" x14ac:dyDescent="0.35">
      <c r="A1860" t="s">
        <v>4546</v>
      </c>
      <c r="B1860" t="s">
        <v>2543</v>
      </c>
      <c r="C1860" t="s">
        <v>669</v>
      </c>
      <c r="D1860" s="3">
        <v>1</v>
      </c>
      <c r="E1860" s="2">
        <v>600</v>
      </c>
    </row>
    <row r="1861" spans="1:5" x14ac:dyDescent="0.35">
      <c r="A1861" t="s">
        <v>4547</v>
      </c>
      <c r="B1861" t="s">
        <v>2544</v>
      </c>
      <c r="C1861" t="s">
        <v>647</v>
      </c>
      <c r="D1861" s="3">
        <v>1</v>
      </c>
      <c r="E1861" s="2">
        <v>4200</v>
      </c>
    </row>
    <row r="1862" spans="1:5" x14ac:dyDescent="0.35">
      <c r="A1862" t="s">
        <v>4548</v>
      </c>
      <c r="B1862" t="s">
        <v>2545</v>
      </c>
      <c r="C1862" t="s">
        <v>635</v>
      </c>
      <c r="D1862" s="3">
        <v>1</v>
      </c>
      <c r="E1862" s="2">
        <v>180</v>
      </c>
    </row>
    <row r="1863" spans="1:5" x14ac:dyDescent="0.35">
      <c r="A1863" t="s">
        <v>4549</v>
      </c>
      <c r="B1863" t="s">
        <v>2546</v>
      </c>
      <c r="C1863" t="s">
        <v>645</v>
      </c>
      <c r="D1863" s="3">
        <v>1</v>
      </c>
      <c r="E1863" s="2">
        <v>3500</v>
      </c>
    </row>
    <row r="1864" spans="1:5" x14ac:dyDescent="0.35">
      <c r="A1864" t="s">
        <v>4550</v>
      </c>
      <c r="B1864" t="s">
        <v>2547</v>
      </c>
      <c r="C1864" t="s">
        <v>667</v>
      </c>
      <c r="D1864" s="3">
        <v>1</v>
      </c>
      <c r="E1864" s="2">
        <v>550</v>
      </c>
    </row>
    <row r="1865" spans="1:5" x14ac:dyDescent="0.35">
      <c r="A1865" t="s">
        <v>4551</v>
      </c>
      <c r="B1865" t="s">
        <v>2548</v>
      </c>
      <c r="C1865" t="s">
        <v>671</v>
      </c>
      <c r="D1865" s="3">
        <v>1</v>
      </c>
      <c r="E1865" s="2">
        <v>400</v>
      </c>
    </row>
    <row r="1866" spans="1:5" x14ac:dyDescent="0.35">
      <c r="A1866" t="s">
        <v>4552</v>
      </c>
      <c r="B1866" t="s">
        <v>2549</v>
      </c>
      <c r="C1866" t="s">
        <v>660</v>
      </c>
      <c r="D1866" s="3">
        <v>1</v>
      </c>
      <c r="E1866" s="2">
        <v>6500</v>
      </c>
    </row>
    <row r="1867" spans="1:5" x14ac:dyDescent="0.35">
      <c r="A1867" t="s">
        <v>4553</v>
      </c>
      <c r="B1867" t="s">
        <v>2550</v>
      </c>
      <c r="C1867" t="s">
        <v>617</v>
      </c>
      <c r="D1867" s="3">
        <v>1</v>
      </c>
      <c r="E1867" s="2">
        <v>200</v>
      </c>
    </row>
    <row r="1868" spans="1:5" x14ac:dyDescent="0.35">
      <c r="A1868" t="s">
        <v>4554</v>
      </c>
      <c r="B1868" t="s">
        <v>2551</v>
      </c>
      <c r="C1868" t="s">
        <v>654</v>
      </c>
      <c r="D1868" s="3">
        <v>2</v>
      </c>
      <c r="E1868" s="2">
        <v>200</v>
      </c>
    </row>
    <row r="1869" spans="1:5" x14ac:dyDescent="0.35">
      <c r="A1869" t="s">
        <v>4555</v>
      </c>
      <c r="B1869" t="s">
        <v>2552</v>
      </c>
      <c r="C1869" t="s">
        <v>667</v>
      </c>
      <c r="D1869" s="3">
        <v>1</v>
      </c>
      <c r="E1869" s="2">
        <v>550</v>
      </c>
    </row>
    <row r="1870" spans="1:5" x14ac:dyDescent="0.35">
      <c r="A1870" t="s">
        <v>4556</v>
      </c>
      <c r="B1870" t="s">
        <v>2553</v>
      </c>
      <c r="C1870" t="s">
        <v>656</v>
      </c>
      <c r="D1870" s="3">
        <v>1</v>
      </c>
      <c r="E1870" s="2">
        <v>350</v>
      </c>
    </row>
    <row r="1871" spans="1:5" x14ac:dyDescent="0.35">
      <c r="A1871" t="s">
        <v>4557</v>
      </c>
      <c r="B1871" t="s">
        <v>2554</v>
      </c>
      <c r="C1871" t="s">
        <v>673</v>
      </c>
      <c r="D1871" s="3">
        <v>1</v>
      </c>
      <c r="E1871" s="2">
        <v>300</v>
      </c>
    </row>
    <row r="1872" spans="1:5" x14ac:dyDescent="0.35">
      <c r="A1872" t="s">
        <v>4558</v>
      </c>
      <c r="B1872" t="s">
        <v>2555</v>
      </c>
      <c r="C1872" t="s">
        <v>658</v>
      </c>
      <c r="D1872" s="3">
        <v>2</v>
      </c>
      <c r="E1872" s="2">
        <v>1500</v>
      </c>
    </row>
    <row r="1873" spans="1:5" x14ac:dyDescent="0.35">
      <c r="A1873" t="s">
        <v>4559</v>
      </c>
      <c r="B1873" t="s">
        <v>2556</v>
      </c>
      <c r="C1873" t="s">
        <v>643</v>
      </c>
      <c r="D1873" s="3">
        <v>1</v>
      </c>
      <c r="E1873" s="2">
        <v>2200</v>
      </c>
    </row>
    <row r="1874" spans="1:5" x14ac:dyDescent="0.35">
      <c r="A1874" t="s">
        <v>4560</v>
      </c>
      <c r="B1874" t="s">
        <v>2557</v>
      </c>
      <c r="C1874" t="s">
        <v>658</v>
      </c>
      <c r="D1874" s="3">
        <v>2</v>
      </c>
      <c r="E1874" s="2">
        <v>1500</v>
      </c>
    </row>
    <row r="1875" spans="1:5" x14ac:dyDescent="0.35">
      <c r="A1875" t="s">
        <v>4561</v>
      </c>
      <c r="B1875" t="s">
        <v>2558</v>
      </c>
      <c r="C1875" t="s">
        <v>633</v>
      </c>
      <c r="D1875" s="3">
        <v>1</v>
      </c>
      <c r="E1875" s="2">
        <v>450</v>
      </c>
    </row>
    <row r="1876" spans="1:5" x14ac:dyDescent="0.35">
      <c r="A1876" t="s">
        <v>4562</v>
      </c>
      <c r="B1876" t="s">
        <v>2559</v>
      </c>
      <c r="C1876" t="s">
        <v>658</v>
      </c>
      <c r="D1876" s="3">
        <v>1</v>
      </c>
      <c r="E1876" s="2">
        <v>750</v>
      </c>
    </row>
    <row r="1877" spans="1:5" x14ac:dyDescent="0.35">
      <c r="A1877" t="s">
        <v>4563</v>
      </c>
      <c r="B1877" t="s">
        <v>2560</v>
      </c>
      <c r="C1877" t="s">
        <v>635</v>
      </c>
      <c r="D1877" s="3">
        <v>1</v>
      </c>
      <c r="E1877" s="2">
        <v>180</v>
      </c>
    </row>
    <row r="1878" spans="1:5" x14ac:dyDescent="0.35">
      <c r="A1878" t="s">
        <v>4564</v>
      </c>
      <c r="B1878" t="s">
        <v>2561</v>
      </c>
      <c r="C1878" t="s">
        <v>631</v>
      </c>
      <c r="D1878" s="3">
        <v>1</v>
      </c>
      <c r="E1878" s="2">
        <v>900</v>
      </c>
    </row>
    <row r="1879" spans="1:5" x14ac:dyDescent="0.35">
      <c r="A1879" t="s">
        <v>4565</v>
      </c>
      <c r="B1879" t="s">
        <v>2562</v>
      </c>
      <c r="C1879" t="s">
        <v>633</v>
      </c>
      <c r="D1879" s="3">
        <v>1</v>
      </c>
      <c r="E1879" s="2">
        <v>450</v>
      </c>
    </row>
    <row r="1880" spans="1:5" x14ac:dyDescent="0.35">
      <c r="A1880" t="s">
        <v>4566</v>
      </c>
      <c r="B1880" t="s">
        <v>2563</v>
      </c>
      <c r="C1880" t="s">
        <v>669</v>
      </c>
      <c r="D1880" s="3">
        <v>1</v>
      </c>
      <c r="E1880" s="2">
        <v>600</v>
      </c>
    </row>
    <row r="1881" spans="1:5" x14ac:dyDescent="0.35">
      <c r="A1881" t="s">
        <v>4567</v>
      </c>
      <c r="B1881" t="s">
        <v>2564</v>
      </c>
      <c r="C1881" t="s">
        <v>667</v>
      </c>
      <c r="D1881" s="3">
        <v>1</v>
      </c>
      <c r="E1881" s="2">
        <v>550</v>
      </c>
    </row>
    <row r="1882" spans="1:5" x14ac:dyDescent="0.35">
      <c r="A1882" t="s">
        <v>4568</v>
      </c>
      <c r="B1882" t="s">
        <v>2565</v>
      </c>
      <c r="C1882" t="s">
        <v>641</v>
      </c>
      <c r="D1882" s="3">
        <v>1</v>
      </c>
      <c r="E1882" s="2">
        <v>1800</v>
      </c>
    </row>
    <row r="1883" spans="1:5" x14ac:dyDescent="0.35">
      <c r="A1883" t="s">
        <v>4569</v>
      </c>
      <c r="B1883" t="s">
        <v>2566</v>
      </c>
      <c r="C1883" t="s">
        <v>643</v>
      </c>
      <c r="D1883" s="3">
        <v>1</v>
      </c>
      <c r="E1883" s="2">
        <v>2200</v>
      </c>
    </row>
    <row r="1884" spans="1:5" x14ac:dyDescent="0.35">
      <c r="A1884" t="s">
        <v>4570</v>
      </c>
      <c r="B1884" t="s">
        <v>2567</v>
      </c>
      <c r="C1884" t="s">
        <v>673</v>
      </c>
      <c r="D1884" s="3">
        <v>1</v>
      </c>
      <c r="E1884" s="2">
        <v>300</v>
      </c>
    </row>
    <row r="1885" spans="1:5" x14ac:dyDescent="0.35">
      <c r="A1885" t="s">
        <v>4571</v>
      </c>
      <c r="B1885" t="s">
        <v>2568</v>
      </c>
      <c r="C1885" t="s">
        <v>647</v>
      </c>
      <c r="D1885" s="3">
        <v>1</v>
      </c>
      <c r="E1885" s="2">
        <v>4200</v>
      </c>
    </row>
    <row r="1886" spans="1:5" x14ac:dyDescent="0.35">
      <c r="A1886" t="s">
        <v>4572</v>
      </c>
      <c r="B1886" t="s">
        <v>2569</v>
      </c>
      <c r="C1886" t="s">
        <v>638</v>
      </c>
      <c r="D1886" s="3">
        <v>1</v>
      </c>
      <c r="E1886" s="2">
        <v>150</v>
      </c>
    </row>
    <row r="1887" spans="1:5" x14ac:dyDescent="0.35">
      <c r="A1887" t="s">
        <v>4573</v>
      </c>
      <c r="B1887" t="s">
        <v>2570</v>
      </c>
      <c r="C1887" t="s">
        <v>633</v>
      </c>
      <c r="D1887" s="3">
        <v>1</v>
      </c>
      <c r="E1887" s="2">
        <v>450</v>
      </c>
    </row>
    <row r="1888" spans="1:5" x14ac:dyDescent="0.35">
      <c r="A1888" t="s">
        <v>4574</v>
      </c>
      <c r="B1888" t="s">
        <v>2571</v>
      </c>
      <c r="C1888" t="s">
        <v>638</v>
      </c>
      <c r="D1888" s="3">
        <v>2</v>
      </c>
      <c r="E1888" s="2">
        <v>300</v>
      </c>
    </row>
    <row r="1889" spans="1:5" x14ac:dyDescent="0.35">
      <c r="A1889" t="s">
        <v>4575</v>
      </c>
      <c r="B1889" t="s">
        <v>2572</v>
      </c>
      <c r="C1889" t="s">
        <v>647</v>
      </c>
      <c r="D1889" s="3">
        <v>1</v>
      </c>
      <c r="E1889" s="2">
        <v>4200</v>
      </c>
    </row>
    <row r="1890" spans="1:5" x14ac:dyDescent="0.35">
      <c r="A1890" t="s">
        <v>4576</v>
      </c>
      <c r="B1890" t="s">
        <v>2573</v>
      </c>
      <c r="C1890" t="s">
        <v>623</v>
      </c>
      <c r="D1890" s="3">
        <v>1</v>
      </c>
      <c r="E1890" s="2">
        <v>1200</v>
      </c>
    </row>
    <row r="1891" spans="1:5" x14ac:dyDescent="0.35">
      <c r="A1891" t="s">
        <v>4577</v>
      </c>
      <c r="B1891" t="s">
        <v>2574</v>
      </c>
      <c r="C1891" t="s">
        <v>623</v>
      </c>
      <c r="D1891" s="3">
        <v>1</v>
      </c>
      <c r="E1891" s="2">
        <v>1200</v>
      </c>
    </row>
    <row r="1892" spans="1:5" x14ac:dyDescent="0.35">
      <c r="A1892" t="s">
        <v>4578</v>
      </c>
      <c r="B1892" t="s">
        <v>2575</v>
      </c>
      <c r="C1892" t="s">
        <v>617</v>
      </c>
      <c r="D1892" s="3">
        <v>1</v>
      </c>
      <c r="E1892" s="2">
        <v>200</v>
      </c>
    </row>
    <row r="1893" spans="1:5" x14ac:dyDescent="0.35">
      <c r="A1893" t="s">
        <v>4579</v>
      </c>
      <c r="B1893" t="s">
        <v>2576</v>
      </c>
      <c r="C1893" t="s">
        <v>665</v>
      </c>
      <c r="D1893" s="3">
        <v>1</v>
      </c>
      <c r="E1893" s="2">
        <v>700</v>
      </c>
    </row>
    <row r="1894" spans="1:5" x14ac:dyDescent="0.35">
      <c r="A1894" t="s">
        <v>4580</v>
      </c>
      <c r="B1894" t="s">
        <v>2577</v>
      </c>
      <c r="C1894" t="s">
        <v>663</v>
      </c>
      <c r="D1894" s="3">
        <v>1</v>
      </c>
      <c r="E1894" s="2">
        <v>1400</v>
      </c>
    </row>
    <row r="1895" spans="1:5" x14ac:dyDescent="0.35">
      <c r="A1895" t="s">
        <v>4581</v>
      </c>
      <c r="B1895" t="s">
        <v>2578</v>
      </c>
      <c r="C1895" t="s">
        <v>620</v>
      </c>
      <c r="D1895" s="3">
        <v>1</v>
      </c>
      <c r="E1895" s="2">
        <v>50</v>
      </c>
    </row>
    <row r="1896" spans="1:5" x14ac:dyDescent="0.35">
      <c r="A1896" t="s">
        <v>4582</v>
      </c>
      <c r="B1896" t="s">
        <v>2579</v>
      </c>
      <c r="C1896" t="s">
        <v>673</v>
      </c>
      <c r="D1896" s="3">
        <v>1</v>
      </c>
      <c r="E1896" s="2">
        <v>300</v>
      </c>
    </row>
    <row r="1897" spans="1:5" x14ac:dyDescent="0.35">
      <c r="A1897" t="s">
        <v>4583</v>
      </c>
      <c r="B1897" t="s">
        <v>2580</v>
      </c>
      <c r="C1897" t="s">
        <v>623</v>
      </c>
      <c r="D1897" s="3">
        <v>1</v>
      </c>
      <c r="E1897" s="2">
        <v>1200</v>
      </c>
    </row>
    <row r="1898" spans="1:5" x14ac:dyDescent="0.35">
      <c r="A1898" t="s">
        <v>4584</v>
      </c>
      <c r="B1898" t="s">
        <v>2581</v>
      </c>
      <c r="C1898" t="s">
        <v>651</v>
      </c>
      <c r="D1898" s="3">
        <v>1</v>
      </c>
      <c r="E1898" s="2">
        <v>120</v>
      </c>
    </row>
    <row r="1899" spans="1:5" x14ac:dyDescent="0.35">
      <c r="A1899" t="s">
        <v>4585</v>
      </c>
      <c r="B1899" t="s">
        <v>2582</v>
      </c>
      <c r="C1899" t="s">
        <v>671</v>
      </c>
      <c r="D1899" s="3">
        <v>1</v>
      </c>
      <c r="E1899" s="2">
        <v>400</v>
      </c>
    </row>
    <row r="1900" spans="1:5" x14ac:dyDescent="0.35">
      <c r="A1900" t="s">
        <v>4586</v>
      </c>
      <c r="B1900" t="s">
        <v>2583</v>
      </c>
      <c r="C1900" t="s">
        <v>631</v>
      </c>
      <c r="D1900" s="3">
        <v>1</v>
      </c>
      <c r="E1900" s="2">
        <v>900</v>
      </c>
    </row>
    <row r="1901" spans="1:5" x14ac:dyDescent="0.35">
      <c r="A1901" t="s">
        <v>4587</v>
      </c>
      <c r="B1901" t="s">
        <v>2584</v>
      </c>
      <c r="C1901" t="s">
        <v>647</v>
      </c>
      <c r="D1901" s="3">
        <v>1</v>
      </c>
      <c r="E1901" s="2">
        <v>4200</v>
      </c>
    </row>
    <row r="1902" spans="1:5" x14ac:dyDescent="0.35">
      <c r="A1902" t="s">
        <v>4588</v>
      </c>
      <c r="B1902" t="s">
        <v>2585</v>
      </c>
      <c r="C1902" t="s">
        <v>665</v>
      </c>
      <c r="D1902" s="3">
        <v>1</v>
      </c>
      <c r="E1902" s="2">
        <v>700</v>
      </c>
    </row>
    <row r="1903" spans="1:5" x14ac:dyDescent="0.35">
      <c r="A1903" t="s">
        <v>4589</v>
      </c>
      <c r="B1903" t="s">
        <v>2586</v>
      </c>
      <c r="C1903" t="s">
        <v>617</v>
      </c>
      <c r="D1903" s="3">
        <v>3</v>
      </c>
      <c r="E1903" s="2">
        <v>600</v>
      </c>
    </row>
    <row r="1904" spans="1:5" x14ac:dyDescent="0.35">
      <c r="A1904" t="s">
        <v>4590</v>
      </c>
      <c r="B1904" t="s">
        <v>2587</v>
      </c>
      <c r="C1904" t="s">
        <v>663</v>
      </c>
      <c r="D1904" s="3">
        <v>1</v>
      </c>
      <c r="E1904" s="2">
        <v>1400</v>
      </c>
    </row>
    <row r="1905" spans="1:5" x14ac:dyDescent="0.35">
      <c r="A1905" t="s">
        <v>4591</v>
      </c>
      <c r="B1905" t="s">
        <v>2588</v>
      </c>
      <c r="C1905" t="s">
        <v>660</v>
      </c>
      <c r="D1905" s="3">
        <v>3</v>
      </c>
      <c r="E1905" s="2">
        <v>19500</v>
      </c>
    </row>
    <row r="1906" spans="1:5" x14ac:dyDescent="0.35">
      <c r="A1906" t="s">
        <v>4592</v>
      </c>
      <c r="B1906" t="s">
        <v>2589</v>
      </c>
      <c r="C1906" t="s">
        <v>617</v>
      </c>
      <c r="D1906" s="3">
        <v>1</v>
      </c>
      <c r="E1906" s="2">
        <v>200</v>
      </c>
    </row>
    <row r="1907" spans="1:5" x14ac:dyDescent="0.35">
      <c r="A1907" t="s">
        <v>4593</v>
      </c>
      <c r="B1907" t="s">
        <v>2590</v>
      </c>
      <c r="C1907" t="s">
        <v>665</v>
      </c>
      <c r="D1907" s="3">
        <v>1</v>
      </c>
      <c r="E1907" s="2">
        <v>700</v>
      </c>
    </row>
    <row r="1908" spans="1:5" x14ac:dyDescent="0.35">
      <c r="A1908" t="s">
        <v>4594</v>
      </c>
      <c r="B1908" t="s">
        <v>2591</v>
      </c>
      <c r="C1908" t="s">
        <v>667</v>
      </c>
      <c r="D1908" s="3">
        <v>2</v>
      </c>
      <c r="E1908" s="2">
        <v>1100</v>
      </c>
    </row>
    <row r="1909" spans="1:5" x14ac:dyDescent="0.35">
      <c r="A1909" t="s">
        <v>4595</v>
      </c>
      <c r="B1909" t="s">
        <v>2592</v>
      </c>
      <c r="C1909" t="s">
        <v>620</v>
      </c>
      <c r="D1909" s="3">
        <v>1</v>
      </c>
      <c r="E1909" s="2">
        <v>50</v>
      </c>
    </row>
    <row r="1910" spans="1:5" x14ac:dyDescent="0.35">
      <c r="A1910" t="s">
        <v>4596</v>
      </c>
      <c r="B1910" t="s">
        <v>2593</v>
      </c>
      <c r="C1910" t="s">
        <v>651</v>
      </c>
      <c r="D1910" s="3">
        <v>1</v>
      </c>
      <c r="E1910" s="2">
        <v>120</v>
      </c>
    </row>
    <row r="1911" spans="1:5" x14ac:dyDescent="0.35">
      <c r="A1911" t="s">
        <v>4597</v>
      </c>
      <c r="B1911" t="s">
        <v>2594</v>
      </c>
      <c r="C1911" t="s">
        <v>649</v>
      </c>
      <c r="D1911" s="3">
        <v>2</v>
      </c>
      <c r="E1911" s="2">
        <v>1600</v>
      </c>
    </row>
    <row r="1912" spans="1:5" x14ac:dyDescent="0.35">
      <c r="A1912" t="s">
        <v>4598</v>
      </c>
      <c r="B1912" t="s">
        <v>2595</v>
      </c>
      <c r="C1912" t="s">
        <v>660</v>
      </c>
      <c r="D1912" s="3">
        <v>1</v>
      </c>
      <c r="E1912" s="2">
        <v>6500</v>
      </c>
    </row>
    <row r="1913" spans="1:5" x14ac:dyDescent="0.35">
      <c r="A1913" t="s">
        <v>4599</v>
      </c>
      <c r="B1913" t="s">
        <v>2596</v>
      </c>
      <c r="C1913" t="s">
        <v>643</v>
      </c>
      <c r="D1913" s="3">
        <v>1</v>
      </c>
      <c r="E1913" s="2">
        <v>2200</v>
      </c>
    </row>
    <row r="1914" spans="1:5" x14ac:dyDescent="0.35">
      <c r="A1914" t="s">
        <v>4600</v>
      </c>
      <c r="B1914" t="s">
        <v>2597</v>
      </c>
      <c r="C1914" t="s">
        <v>651</v>
      </c>
      <c r="D1914" s="3">
        <v>2</v>
      </c>
      <c r="E1914" s="2">
        <v>240</v>
      </c>
    </row>
    <row r="1915" spans="1:5" x14ac:dyDescent="0.35">
      <c r="A1915" t="s">
        <v>4601</v>
      </c>
      <c r="B1915" t="s">
        <v>2598</v>
      </c>
      <c r="C1915" t="s">
        <v>631</v>
      </c>
      <c r="D1915" s="3">
        <v>1</v>
      </c>
      <c r="E1915" s="2">
        <v>900</v>
      </c>
    </row>
    <row r="1916" spans="1:5" x14ac:dyDescent="0.35">
      <c r="A1916" t="s">
        <v>4602</v>
      </c>
      <c r="B1916" t="s">
        <v>2599</v>
      </c>
      <c r="C1916" t="s">
        <v>663</v>
      </c>
      <c r="D1916" s="3">
        <v>1</v>
      </c>
      <c r="E1916" s="2">
        <v>1400</v>
      </c>
    </row>
    <row r="1917" spans="1:5" x14ac:dyDescent="0.35">
      <c r="A1917" t="s">
        <v>4603</v>
      </c>
      <c r="B1917" t="s">
        <v>2600</v>
      </c>
      <c r="C1917" t="s">
        <v>638</v>
      </c>
      <c r="D1917" s="3">
        <v>1</v>
      </c>
      <c r="E1917" s="2">
        <v>150</v>
      </c>
    </row>
    <row r="1918" spans="1:5" x14ac:dyDescent="0.35">
      <c r="A1918" t="s">
        <v>4604</v>
      </c>
      <c r="B1918" t="s">
        <v>2601</v>
      </c>
      <c r="C1918" t="s">
        <v>629</v>
      </c>
      <c r="D1918" s="3">
        <v>1</v>
      </c>
      <c r="E1918" s="2">
        <v>300</v>
      </c>
    </row>
    <row r="1919" spans="1:5" x14ac:dyDescent="0.35">
      <c r="A1919" t="s">
        <v>4605</v>
      </c>
      <c r="B1919" t="s">
        <v>2602</v>
      </c>
      <c r="C1919" t="s">
        <v>663</v>
      </c>
      <c r="D1919" s="3">
        <v>1</v>
      </c>
      <c r="E1919" s="2">
        <v>1400</v>
      </c>
    </row>
    <row r="1920" spans="1:5" x14ac:dyDescent="0.35">
      <c r="A1920" t="s">
        <v>4606</v>
      </c>
      <c r="B1920" t="s">
        <v>2603</v>
      </c>
      <c r="C1920" t="s">
        <v>620</v>
      </c>
      <c r="D1920" s="3">
        <v>1</v>
      </c>
      <c r="E1920" s="2">
        <v>50</v>
      </c>
    </row>
    <row r="1921" spans="1:5" x14ac:dyDescent="0.35">
      <c r="A1921" t="s">
        <v>4607</v>
      </c>
      <c r="B1921" t="s">
        <v>2604</v>
      </c>
      <c r="C1921" t="s">
        <v>631</v>
      </c>
      <c r="D1921" s="3">
        <v>1</v>
      </c>
      <c r="E1921" s="2">
        <v>900</v>
      </c>
    </row>
    <row r="1922" spans="1:5" x14ac:dyDescent="0.35">
      <c r="A1922" t="s">
        <v>4608</v>
      </c>
      <c r="B1922" t="s">
        <v>2605</v>
      </c>
      <c r="C1922" t="s">
        <v>658</v>
      </c>
      <c r="D1922" s="3">
        <v>1</v>
      </c>
      <c r="E1922" s="2">
        <v>750</v>
      </c>
    </row>
    <row r="1923" spans="1:5" x14ac:dyDescent="0.35">
      <c r="A1923" t="s">
        <v>4609</v>
      </c>
      <c r="B1923" t="s">
        <v>2606</v>
      </c>
      <c r="C1923" t="s">
        <v>669</v>
      </c>
      <c r="D1923" s="3">
        <v>2</v>
      </c>
      <c r="E1923" s="2">
        <v>1200</v>
      </c>
    </row>
    <row r="1924" spans="1:5" x14ac:dyDescent="0.35">
      <c r="A1924" t="s">
        <v>4610</v>
      </c>
      <c r="B1924" t="s">
        <v>2607</v>
      </c>
      <c r="C1924" t="s">
        <v>660</v>
      </c>
      <c r="D1924" s="3">
        <v>1</v>
      </c>
      <c r="E1924" s="2">
        <v>6500</v>
      </c>
    </row>
    <row r="1925" spans="1:5" x14ac:dyDescent="0.35">
      <c r="A1925" t="s">
        <v>4611</v>
      </c>
      <c r="B1925" t="s">
        <v>2608</v>
      </c>
      <c r="C1925" t="s">
        <v>638</v>
      </c>
      <c r="D1925" s="3">
        <v>1</v>
      </c>
      <c r="E1925" s="2">
        <v>150</v>
      </c>
    </row>
    <row r="1926" spans="1:5" x14ac:dyDescent="0.35">
      <c r="A1926" t="s">
        <v>4612</v>
      </c>
      <c r="B1926" t="s">
        <v>2609</v>
      </c>
      <c r="C1926" t="s">
        <v>665</v>
      </c>
      <c r="D1926" s="3">
        <v>1</v>
      </c>
      <c r="E1926" s="2">
        <v>700</v>
      </c>
    </row>
    <row r="1927" spans="1:5" x14ac:dyDescent="0.35">
      <c r="A1927" t="s">
        <v>4613</v>
      </c>
      <c r="B1927" t="s">
        <v>2610</v>
      </c>
      <c r="C1927" t="s">
        <v>671</v>
      </c>
      <c r="D1927" s="3">
        <v>1</v>
      </c>
      <c r="E1927" s="2">
        <v>400</v>
      </c>
    </row>
    <row r="1928" spans="1:5" x14ac:dyDescent="0.35">
      <c r="A1928" t="s">
        <v>4614</v>
      </c>
      <c r="B1928" t="s">
        <v>2611</v>
      </c>
      <c r="C1928" t="s">
        <v>631</v>
      </c>
      <c r="D1928" s="3">
        <v>2</v>
      </c>
      <c r="E1928" s="2">
        <v>1800</v>
      </c>
    </row>
    <row r="1929" spans="1:5" x14ac:dyDescent="0.35">
      <c r="A1929" t="s">
        <v>4615</v>
      </c>
      <c r="B1929" t="s">
        <v>2612</v>
      </c>
      <c r="C1929" t="s">
        <v>649</v>
      </c>
      <c r="D1929" s="3">
        <v>1</v>
      </c>
      <c r="E1929" s="2">
        <v>800</v>
      </c>
    </row>
    <row r="1930" spans="1:5" x14ac:dyDescent="0.35">
      <c r="A1930" t="s">
        <v>4616</v>
      </c>
      <c r="B1930" t="s">
        <v>2613</v>
      </c>
      <c r="C1930" t="s">
        <v>671</v>
      </c>
      <c r="D1930" s="3">
        <v>1</v>
      </c>
      <c r="E1930" s="2">
        <v>400</v>
      </c>
    </row>
    <row r="1931" spans="1:5" x14ac:dyDescent="0.35">
      <c r="A1931" t="s">
        <v>4617</v>
      </c>
      <c r="B1931" t="s">
        <v>2614</v>
      </c>
      <c r="C1931" t="s">
        <v>647</v>
      </c>
      <c r="D1931" s="3">
        <v>1</v>
      </c>
      <c r="E1931" s="2">
        <v>4200</v>
      </c>
    </row>
    <row r="1932" spans="1:5" x14ac:dyDescent="0.35">
      <c r="A1932" t="s">
        <v>4618</v>
      </c>
      <c r="B1932" t="s">
        <v>2615</v>
      </c>
      <c r="C1932" t="s">
        <v>643</v>
      </c>
      <c r="D1932" s="3">
        <v>1</v>
      </c>
      <c r="E1932" s="2">
        <v>2200</v>
      </c>
    </row>
    <row r="1933" spans="1:5" x14ac:dyDescent="0.35">
      <c r="A1933" t="s">
        <v>4619</v>
      </c>
      <c r="B1933" t="s">
        <v>2616</v>
      </c>
      <c r="C1933" t="s">
        <v>645</v>
      </c>
      <c r="D1933" s="3">
        <v>1</v>
      </c>
      <c r="E1933" s="2">
        <v>3500</v>
      </c>
    </row>
    <row r="1934" spans="1:5" x14ac:dyDescent="0.35">
      <c r="A1934" t="s">
        <v>4620</v>
      </c>
      <c r="B1934" t="s">
        <v>2617</v>
      </c>
      <c r="C1934" t="s">
        <v>660</v>
      </c>
      <c r="D1934" s="3">
        <v>1</v>
      </c>
      <c r="E1934" s="2">
        <v>6500</v>
      </c>
    </row>
    <row r="1935" spans="1:5" x14ac:dyDescent="0.35">
      <c r="A1935" t="s">
        <v>4621</v>
      </c>
      <c r="B1935" t="s">
        <v>2618</v>
      </c>
      <c r="C1935" t="s">
        <v>660</v>
      </c>
      <c r="D1935" s="3">
        <v>1</v>
      </c>
      <c r="E1935" s="2">
        <v>6500</v>
      </c>
    </row>
    <row r="1936" spans="1:5" x14ac:dyDescent="0.35">
      <c r="A1936" t="s">
        <v>4622</v>
      </c>
      <c r="B1936" t="s">
        <v>2619</v>
      </c>
      <c r="C1936" t="s">
        <v>665</v>
      </c>
      <c r="D1936" s="3">
        <v>1</v>
      </c>
      <c r="E1936" s="2">
        <v>700</v>
      </c>
    </row>
    <row r="1937" spans="1:5" x14ac:dyDescent="0.35">
      <c r="A1937" t="s">
        <v>4623</v>
      </c>
      <c r="B1937" t="s">
        <v>2620</v>
      </c>
      <c r="C1937" t="s">
        <v>660</v>
      </c>
      <c r="D1937" s="3">
        <v>1</v>
      </c>
      <c r="E1937" s="2">
        <v>6500</v>
      </c>
    </row>
    <row r="1938" spans="1:5" x14ac:dyDescent="0.35">
      <c r="A1938" t="s">
        <v>4624</v>
      </c>
      <c r="B1938" t="s">
        <v>2621</v>
      </c>
      <c r="C1938" t="s">
        <v>671</v>
      </c>
      <c r="D1938" s="3">
        <v>1</v>
      </c>
      <c r="E1938" s="2">
        <v>400</v>
      </c>
    </row>
    <row r="1939" spans="1:5" x14ac:dyDescent="0.35">
      <c r="A1939" t="s">
        <v>4625</v>
      </c>
      <c r="B1939" t="s">
        <v>2622</v>
      </c>
      <c r="C1939" t="s">
        <v>647</v>
      </c>
      <c r="D1939" s="3">
        <v>2</v>
      </c>
      <c r="E1939" s="2">
        <v>8400</v>
      </c>
    </row>
    <row r="1940" spans="1:5" x14ac:dyDescent="0.35">
      <c r="A1940" t="s">
        <v>4626</v>
      </c>
      <c r="B1940" t="s">
        <v>2623</v>
      </c>
      <c r="C1940" t="s">
        <v>649</v>
      </c>
      <c r="D1940" s="3">
        <v>1</v>
      </c>
      <c r="E1940" s="2">
        <v>800</v>
      </c>
    </row>
    <row r="1941" spans="1:5" x14ac:dyDescent="0.35">
      <c r="A1941" t="s">
        <v>4627</v>
      </c>
      <c r="B1941" t="s">
        <v>2624</v>
      </c>
      <c r="C1941" t="s">
        <v>671</v>
      </c>
      <c r="D1941" s="3">
        <v>1</v>
      </c>
      <c r="E1941" s="2">
        <v>400</v>
      </c>
    </row>
    <row r="1942" spans="1:5" x14ac:dyDescent="0.35">
      <c r="A1942" t="s">
        <v>4628</v>
      </c>
      <c r="B1942" t="s">
        <v>2625</v>
      </c>
      <c r="C1942" t="s">
        <v>658</v>
      </c>
      <c r="D1942" s="3">
        <v>2</v>
      </c>
      <c r="E1942" s="2">
        <v>1500</v>
      </c>
    </row>
    <row r="1943" spans="1:5" x14ac:dyDescent="0.35">
      <c r="A1943" t="s">
        <v>4629</v>
      </c>
      <c r="B1943" t="s">
        <v>2626</v>
      </c>
      <c r="C1943" t="s">
        <v>645</v>
      </c>
      <c r="D1943" s="3">
        <v>1</v>
      </c>
      <c r="E1943" s="2">
        <v>3500</v>
      </c>
    </row>
    <row r="1944" spans="1:5" x14ac:dyDescent="0.35">
      <c r="A1944" t="s">
        <v>4630</v>
      </c>
      <c r="B1944" t="s">
        <v>2627</v>
      </c>
      <c r="C1944" t="s">
        <v>626</v>
      </c>
      <c r="D1944" s="3">
        <v>1</v>
      </c>
      <c r="E1944" s="2">
        <v>5000</v>
      </c>
    </row>
    <row r="1945" spans="1:5" x14ac:dyDescent="0.35">
      <c r="A1945" t="s">
        <v>4631</v>
      </c>
      <c r="B1945" t="s">
        <v>2628</v>
      </c>
      <c r="C1945" t="s">
        <v>641</v>
      </c>
      <c r="D1945" s="3">
        <v>1</v>
      </c>
      <c r="E1945" s="2">
        <v>1800</v>
      </c>
    </row>
    <row r="1946" spans="1:5" x14ac:dyDescent="0.35">
      <c r="A1946" t="s">
        <v>4632</v>
      </c>
      <c r="B1946" t="s">
        <v>2629</v>
      </c>
      <c r="C1946" t="s">
        <v>656</v>
      </c>
      <c r="D1946" s="3">
        <v>2</v>
      </c>
      <c r="E1946" s="2">
        <v>700</v>
      </c>
    </row>
    <row r="1947" spans="1:5" x14ac:dyDescent="0.35">
      <c r="A1947" t="s">
        <v>4633</v>
      </c>
      <c r="B1947" t="s">
        <v>2630</v>
      </c>
      <c r="C1947" t="s">
        <v>626</v>
      </c>
      <c r="D1947" s="3">
        <v>1</v>
      </c>
      <c r="E1947" s="2">
        <v>5000</v>
      </c>
    </row>
    <row r="1948" spans="1:5" x14ac:dyDescent="0.35">
      <c r="A1948" t="s">
        <v>4634</v>
      </c>
      <c r="B1948" t="s">
        <v>2631</v>
      </c>
      <c r="C1948" t="s">
        <v>645</v>
      </c>
      <c r="D1948" s="3">
        <v>1</v>
      </c>
      <c r="E1948" s="2">
        <v>3500</v>
      </c>
    </row>
    <row r="1949" spans="1:5" x14ac:dyDescent="0.35">
      <c r="A1949" t="s">
        <v>4635</v>
      </c>
      <c r="B1949" t="s">
        <v>2632</v>
      </c>
      <c r="C1949" t="s">
        <v>647</v>
      </c>
      <c r="D1949" s="3">
        <v>1</v>
      </c>
      <c r="E1949" s="2">
        <v>4200</v>
      </c>
    </row>
    <row r="1950" spans="1:5" x14ac:dyDescent="0.35">
      <c r="A1950" t="s">
        <v>4636</v>
      </c>
      <c r="B1950" t="s">
        <v>2633</v>
      </c>
      <c r="C1950" t="s">
        <v>626</v>
      </c>
      <c r="D1950" s="3">
        <v>1</v>
      </c>
      <c r="E1950" s="2">
        <v>5000</v>
      </c>
    </row>
    <row r="1951" spans="1:5" x14ac:dyDescent="0.35">
      <c r="A1951" t="s">
        <v>4637</v>
      </c>
      <c r="B1951" t="s">
        <v>2634</v>
      </c>
      <c r="C1951" t="s">
        <v>641</v>
      </c>
      <c r="D1951" s="3">
        <v>1</v>
      </c>
      <c r="E1951" s="2">
        <v>1800</v>
      </c>
    </row>
    <row r="1952" spans="1:5" x14ac:dyDescent="0.35">
      <c r="A1952" t="s">
        <v>4638</v>
      </c>
      <c r="B1952" t="s">
        <v>2635</v>
      </c>
      <c r="C1952" t="s">
        <v>673</v>
      </c>
      <c r="D1952" s="3">
        <v>1</v>
      </c>
      <c r="E1952" s="2">
        <v>300</v>
      </c>
    </row>
    <row r="1953" spans="1:5" x14ac:dyDescent="0.35">
      <c r="A1953" t="s">
        <v>4639</v>
      </c>
      <c r="B1953" t="s">
        <v>2636</v>
      </c>
      <c r="C1953" t="s">
        <v>623</v>
      </c>
      <c r="D1953" s="3">
        <v>1</v>
      </c>
      <c r="E1953" s="2">
        <v>1200</v>
      </c>
    </row>
    <row r="1954" spans="1:5" x14ac:dyDescent="0.35">
      <c r="A1954" t="s">
        <v>4640</v>
      </c>
      <c r="B1954" t="s">
        <v>2637</v>
      </c>
      <c r="C1954" t="s">
        <v>651</v>
      </c>
      <c r="D1954" s="3">
        <v>1</v>
      </c>
      <c r="E1954" s="2">
        <v>120</v>
      </c>
    </row>
    <row r="1955" spans="1:5" x14ac:dyDescent="0.35">
      <c r="A1955" t="s">
        <v>4641</v>
      </c>
      <c r="B1955" t="s">
        <v>2638</v>
      </c>
      <c r="C1955" t="s">
        <v>620</v>
      </c>
      <c r="D1955" s="3">
        <v>1</v>
      </c>
      <c r="E1955" s="2">
        <v>50</v>
      </c>
    </row>
    <row r="1956" spans="1:5" x14ac:dyDescent="0.35">
      <c r="A1956" t="s">
        <v>4642</v>
      </c>
      <c r="B1956" t="s">
        <v>2639</v>
      </c>
      <c r="C1956" t="s">
        <v>673</v>
      </c>
      <c r="D1956" s="3">
        <v>3</v>
      </c>
      <c r="E1956" s="2">
        <v>900</v>
      </c>
    </row>
    <row r="1957" spans="1:5" x14ac:dyDescent="0.35">
      <c r="A1957" t="s">
        <v>4643</v>
      </c>
      <c r="B1957" t="s">
        <v>2640</v>
      </c>
      <c r="C1957" t="s">
        <v>673</v>
      </c>
      <c r="D1957" s="3">
        <v>1</v>
      </c>
      <c r="E1957" s="2">
        <v>300</v>
      </c>
    </row>
    <row r="1958" spans="1:5" x14ac:dyDescent="0.35">
      <c r="A1958" t="s">
        <v>4644</v>
      </c>
      <c r="B1958" t="s">
        <v>2641</v>
      </c>
      <c r="C1958" t="s">
        <v>656</v>
      </c>
      <c r="D1958" s="3">
        <v>1</v>
      </c>
      <c r="E1958" s="2">
        <v>350</v>
      </c>
    </row>
    <row r="1959" spans="1:5" x14ac:dyDescent="0.35">
      <c r="A1959" t="s">
        <v>4645</v>
      </c>
      <c r="B1959" t="s">
        <v>2642</v>
      </c>
      <c r="C1959" t="s">
        <v>631</v>
      </c>
      <c r="D1959" s="3">
        <v>1</v>
      </c>
      <c r="E1959" s="2">
        <v>900</v>
      </c>
    </row>
    <row r="1960" spans="1:5" x14ac:dyDescent="0.35">
      <c r="A1960" t="s">
        <v>4646</v>
      </c>
      <c r="B1960" t="s">
        <v>2643</v>
      </c>
      <c r="C1960" t="s">
        <v>635</v>
      </c>
      <c r="D1960" s="3">
        <v>1</v>
      </c>
      <c r="E1960" s="2">
        <v>180</v>
      </c>
    </row>
    <row r="1961" spans="1:5" x14ac:dyDescent="0.35">
      <c r="A1961" t="s">
        <v>4647</v>
      </c>
      <c r="B1961" t="s">
        <v>2644</v>
      </c>
      <c r="C1961" t="s">
        <v>623</v>
      </c>
      <c r="D1961" s="3">
        <v>1</v>
      </c>
      <c r="E1961" s="2">
        <v>1200</v>
      </c>
    </row>
    <row r="1962" spans="1:5" x14ac:dyDescent="0.35">
      <c r="A1962" t="s">
        <v>4648</v>
      </c>
      <c r="B1962" t="s">
        <v>2645</v>
      </c>
      <c r="C1962" t="s">
        <v>673</v>
      </c>
      <c r="D1962" s="3">
        <v>1</v>
      </c>
      <c r="E1962" s="2">
        <v>300</v>
      </c>
    </row>
    <row r="1963" spans="1:5" x14ac:dyDescent="0.35">
      <c r="A1963" t="s">
        <v>4649</v>
      </c>
      <c r="B1963" t="s">
        <v>2646</v>
      </c>
      <c r="C1963" t="s">
        <v>658</v>
      </c>
      <c r="D1963" s="3">
        <v>2</v>
      </c>
      <c r="E1963" s="2">
        <v>1500</v>
      </c>
    </row>
    <row r="1964" spans="1:5" x14ac:dyDescent="0.35">
      <c r="A1964" t="s">
        <v>4650</v>
      </c>
      <c r="B1964" t="s">
        <v>2647</v>
      </c>
      <c r="C1964" t="s">
        <v>667</v>
      </c>
      <c r="D1964" s="3">
        <v>1</v>
      </c>
      <c r="E1964" s="2">
        <v>550</v>
      </c>
    </row>
    <row r="1965" spans="1:5" x14ac:dyDescent="0.35">
      <c r="A1965" t="s">
        <v>4651</v>
      </c>
      <c r="B1965" t="s">
        <v>2648</v>
      </c>
      <c r="C1965" t="s">
        <v>617</v>
      </c>
      <c r="D1965" s="3">
        <v>1</v>
      </c>
      <c r="E1965" s="2">
        <v>200</v>
      </c>
    </row>
    <row r="1966" spans="1:5" x14ac:dyDescent="0.35">
      <c r="A1966" t="s">
        <v>4652</v>
      </c>
      <c r="B1966" t="s">
        <v>2649</v>
      </c>
      <c r="C1966" t="s">
        <v>654</v>
      </c>
      <c r="D1966" s="3">
        <v>1</v>
      </c>
      <c r="E1966" s="2">
        <v>100</v>
      </c>
    </row>
    <row r="1967" spans="1:5" x14ac:dyDescent="0.35">
      <c r="A1967" t="s">
        <v>4653</v>
      </c>
      <c r="B1967" t="s">
        <v>2650</v>
      </c>
      <c r="C1967" t="s">
        <v>633</v>
      </c>
      <c r="D1967" s="3">
        <v>2</v>
      </c>
      <c r="E1967" s="2">
        <v>900</v>
      </c>
    </row>
    <row r="1968" spans="1:5" x14ac:dyDescent="0.35">
      <c r="A1968" t="s">
        <v>4654</v>
      </c>
      <c r="B1968" t="s">
        <v>2651</v>
      </c>
      <c r="C1968" t="s">
        <v>623</v>
      </c>
      <c r="D1968" s="3">
        <v>1</v>
      </c>
      <c r="E1968" s="2">
        <v>1200</v>
      </c>
    </row>
    <row r="1969" spans="1:5" x14ac:dyDescent="0.35">
      <c r="A1969" t="s">
        <v>4655</v>
      </c>
      <c r="B1969" t="s">
        <v>2652</v>
      </c>
      <c r="C1969" t="s">
        <v>669</v>
      </c>
      <c r="D1969" s="3">
        <v>1</v>
      </c>
      <c r="E1969" s="2">
        <v>600</v>
      </c>
    </row>
    <row r="1970" spans="1:5" x14ac:dyDescent="0.35">
      <c r="A1970" t="s">
        <v>4656</v>
      </c>
      <c r="B1970" t="s">
        <v>2653</v>
      </c>
      <c r="C1970" t="s">
        <v>626</v>
      </c>
      <c r="D1970" s="3">
        <v>1</v>
      </c>
      <c r="E1970" s="2">
        <v>5000</v>
      </c>
    </row>
    <row r="1971" spans="1:5" x14ac:dyDescent="0.35">
      <c r="A1971" t="s">
        <v>4657</v>
      </c>
      <c r="B1971" t="s">
        <v>2654</v>
      </c>
      <c r="C1971" t="s">
        <v>638</v>
      </c>
      <c r="D1971" s="3">
        <v>1</v>
      </c>
      <c r="E1971" s="2">
        <v>150</v>
      </c>
    </row>
    <row r="1972" spans="1:5" x14ac:dyDescent="0.35">
      <c r="A1972" t="s">
        <v>4658</v>
      </c>
      <c r="B1972" t="s">
        <v>2655</v>
      </c>
      <c r="C1972" t="s">
        <v>629</v>
      </c>
      <c r="D1972" s="3">
        <v>2</v>
      </c>
      <c r="E1972" s="2">
        <v>600</v>
      </c>
    </row>
    <row r="1973" spans="1:5" x14ac:dyDescent="0.35">
      <c r="A1973" t="s">
        <v>4659</v>
      </c>
      <c r="B1973" t="s">
        <v>2656</v>
      </c>
      <c r="C1973" t="s">
        <v>660</v>
      </c>
      <c r="D1973" s="3">
        <v>1</v>
      </c>
      <c r="E1973" s="2">
        <v>6500</v>
      </c>
    </row>
    <row r="1974" spans="1:5" x14ac:dyDescent="0.35">
      <c r="A1974" t="s">
        <v>4660</v>
      </c>
      <c r="B1974" t="s">
        <v>2657</v>
      </c>
      <c r="C1974" t="s">
        <v>651</v>
      </c>
      <c r="D1974" s="3">
        <v>1</v>
      </c>
      <c r="E1974" s="2">
        <v>120</v>
      </c>
    </row>
    <row r="1975" spans="1:5" x14ac:dyDescent="0.35">
      <c r="A1975" t="s">
        <v>4661</v>
      </c>
      <c r="B1975" t="s">
        <v>2658</v>
      </c>
      <c r="C1975" t="s">
        <v>635</v>
      </c>
      <c r="D1975" s="3">
        <v>1</v>
      </c>
      <c r="E1975" s="2">
        <v>180</v>
      </c>
    </row>
    <row r="1976" spans="1:5" x14ac:dyDescent="0.35">
      <c r="A1976" t="s">
        <v>4662</v>
      </c>
      <c r="B1976" t="s">
        <v>2659</v>
      </c>
      <c r="C1976" t="s">
        <v>631</v>
      </c>
      <c r="D1976" s="3">
        <v>1</v>
      </c>
      <c r="E1976" s="2">
        <v>900</v>
      </c>
    </row>
    <row r="1977" spans="1:5" x14ac:dyDescent="0.35">
      <c r="A1977" t="s">
        <v>4663</v>
      </c>
      <c r="B1977" t="s">
        <v>2660</v>
      </c>
      <c r="C1977" t="s">
        <v>658</v>
      </c>
      <c r="D1977" s="3">
        <v>1</v>
      </c>
      <c r="E1977" s="2">
        <v>750</v>
      </c>
    </row>
    <row r="1978" spans="1:5" x14ac:dyDescent="0.35">
      <c r="A1978" t="s">
        <v>4664</v>
      </c>
      <c r="B1978" t="s">
        <v>2661</v>
      </c>
      <c r="C1978" t="s">
        <v>660</v>
      </c>
      <c r="D1978" s="3">
        <v>1</v>
      </c>
      <c r="E1978" s="2">
        <v>6500</v>
      </c>
    </row>
    <row r="1979" spans="1:5" x14ac:dyDescent="0.35">
      <c r="A1979" t="s">
        <v>4665</v>
      </c>
      <c r="B1979" t="s">
        <v>2662</v>
      </c>
      <c r="C1979" t="s">
        <v>671</v>
      </c>
      <c r="D1979" s="3">
        <v>1</v>
      </c>
      <c r="E1979" s="2">
        <v>400</v>
      </c>
    </row>
    <row r="1980" spans="1:5" x14ac:dyDescent="0.35">
      <c r="A1980" t="s">
        <v>4666</v>
      </c>
      <c r="B1980" t="s">
        <v>2663</v>
      </c>
      <c r="C1980" t="s">
        <v>651</v>
      </c>
      <c r="D1980" s="3">
        <v>2</v>
      </c>
      <c r="E1980" s="2">
        <v>240</v>
      </c>
    </row>
    <row r="1981" spans="1:5" x14ac:dyDescent="0.35">
      <c r="A1981" t="s">
        <v>4667</v>
      </c>
      <c r="B1981" t="s">
        <v>2664</v>
      </c>
      <c r="C1981" t="s">
        <v>633</v>
      </c>
      <c r="D1981" s="3">
        <v>1</v>
      </c>
      <c r="E1981" s="2">
        <v>450</v>
      </c>
    </row>
    <row r="1982" spans="1:5" x14ac:dyDescent="0.35">
      <c r="A1982" t="s">
        <v>4668</v>
      </c>
      <c r="B1982" t="s">
        <v>2665</v>
      </c>
      <c r="C1982" t="s">
        <v>641</v>
      </c>
      <c r="D1982" s="3">
        <v>1</v>
      </c>
      <c r="E1982" s="2">
        <v>1800</v>
      </c>
    </row>
    <row r="1983" spans="1:5" x14ac:dyDescent="0.35">
      <c r="A1983" t="s">
        <v>4669</v>
      </c>
      <c r="B1983" t="s">
        <v>2666</v>
      </c>
      <c r="C1983" t="s">
        <v>631</v>
      </c>
      <c r="D1983" s="3">
        <v>1</v>
      </c>
      <c r="E1983" s="2">
        <v>900</v>
      </c>
    </row>
    <row r="1984" spans="1:5" x14ac:dyDescent="0.35">
      <c r="A1984" t="s">
        <v>4670</v>
      </c>
      <c r="B1984" t="s">
        <v>2667</v>
      </c>
      <c r="C1984" t="s">
        <v>649</v>
      </c>
      <c r="D1984" s="3">
        <v>2</v>
      </c>
      <c r="E1984" s="2">
        <v>1600</v>
      </c>
    </row>
    <row r="1985" spans="1:5" x14ac:dyDescent="0.35">
      <c r="A1985" t="s">
        <v>4671</v>
      </c>
      <c r="B1985" t="s">
        <v>2668</v>
      </c>
      <c r="C1985" t="s">
        <v>656</v>
      </c>
      <c r="D1985" s="3">
        <v>1</v>
      </c>
      <c r="E1985" s="2">
        <v>350</v>
      </c>
    </row>
    <row r="1986" spans="1:5" x14ac:dyDescent="0.35">
      <c r="A1986" t="s">
        <v>4672</v>
      </c>
      <c r="B1986" t="s">
        <v>2669</v>
      </c>
      <c r="C1986" t="s">
        <v>638</v>
      </c>
      <c r="D1986" s="3">
        <v>1</v>
      </c>
      <c r="E1986" s="2">
        <v>150</v>
      </c>
    </row>
    <row r="1987" spans="1:5" x14ac:dyDescent="0.35">
      <c r="A1987" t="s">
        <v>4673</v>
      </c>
      <c r="B1987" t="s">
        <v>2670</v>
      </c>
      <c r="C1987" t="s">
        <v>660</v>
      </c>
      <c r="D1987" s="3">
        <v>1</v>
      </c>
      <c r="E1987" s="2">
        <v>6500</v>
      </c>
    </row>
    <row r="1988" spans="1:5" x14ac:dyDescent="0.35">
      <c r="A1988" t="s">
        <v>4674</v>
      </c>
      <c r="B1988" t="s">
        <v>2671</v>
      </c>
      <c r="C1988" t="s">
        <v>629</v>
      </c>
      <c r="D1988" s="3">
        <v>1</v>
      </c>
      <c r="E1988" s="2">
        <v>300</v>
      </c>
    </row>
    <row r="1989" spans="1:5" x14ac:dyDescent="0.35">
      <c r="A1989" t="s">
        <v>4675</v>
      </c>
      <c r="B1989" t="s">
        <v>2672</v>
      </c>
      <c r="C1989" t="s">
        <v>669</v>
      </c>
      <c r="D1989" s="3">
        <v>1</v>
      </c>
      <c r="E1989" s="2">
        <v>600</v>
      </c>
    </row>
    <row r="1990" spans="1:5" x14ac:dyDescent="0.35">
      <c r="A1990" t="s">
        <v>4676</v>
      </c>
      <c r="B1990" t="s">
        <v>2673</v>
      </c>
      <c r="C1990" t="s">
        <v>633</v>
      </c>
      <c r="D1990" s="3">
        <v>1</v>
      </c>
      <c r="E1990" s="2">
        <v>450</v>
      </c>
    </row>
    <row r="1991" spans="1:5" x14ac:dyDescent="0.35">
      <c r="A1991" t="s">
        <v>4677</v>
      </c>
      <c r="B1991" t="s">
        <v>2674</v>
      </c>
      <c r="C1991" t="s">
        <v>660</v>
      </c>
      <c r="D1991" s="3">
        <v>1</v>
      </c>
      <c r="E1991" s="2">
        <v>6500</v>
      </c>
    </row>
    <row r="1992" spans="1:5" x14ac:dyDescent="0.35">
      <c r="A1992" t="s">
        <v>4678</v>
      </c>
      <c r="B1992" t="s">
        <v>2675</v>
      </c>
      <c r="C1992" t="s">
        <v>663</v>
      </c>
      <c r="D1992" s="3">
        <v>1</v>
      </c>
      <c r="E1992" s="2">
        <v>1400</v>
      </c>
    </row>
    <row r="1993" spans="1:5" x14ac:dyDescent="0.35">
      <c r="A1993" t="s">
        <v>4679</v>
      </c>
      <c r="B1993" t="s">
        <v>2676</v>
      </c>
      <c r="C1993" t="s">
        <v>633</v>
      </c>
      <c r="D1993" s="3">
        <v>1</v>
      </c>
      <c r="E1993" s="2">
        <v>450</v>
      </c>
    </row>
    <row r="1994" spans="1:5" x14ac:dyDescent="0.35">
      <c r="A1994" t="s">
        <v>4680</v>
      </c>
      <c r="B1994" t="s">
        <v>2677</v>
      </c>
      <c r="C1994" t="s">
        <v>671</v>
      </c>
      <c r="D1994" s="3">
        <v>1</v>
      </c>
      <c r="E1994" s="2">
        <v>400</v>
      </c>
    </row>
    <row r="1995" spans="1:5" x14ac:dyDescent="0.35">
      <c r="A1995" t="s">
        <v>4681</v>
      </c>
      <c r="B1995" t="s">
        <v>2678</v>
      </c>
      <c r="C1995" t="s">
        <v>620</v>
      </c>
      <c r="D1995" s="3">
        <v>1</v>
      </c>
      <c r="E1995" s="2">
        <v>50</v>
      </c>
    </row>
    <row r="1996" spans="1:5" x14ac:dyDescent="0.35">
      <c r="A1996" t="s">
        <v>4682</v>
      </c>
      <c r="B1996" t="s">
        <v>2679</v>
      </c>
      <c r="C1996" t="s">
        <v>673</v>
      </c>
      <c r="D1996" s="3">
        <v>1</v>
      </c>
      <c r="E1996" s="2">
        <v>300</v>
      </c>
    </row>
    <row r="1997" spans="1:5" x14ac:dyDescent="0.35">
      <c r="A1997" t="s">
        <v>4683</v>
      </c>
      <c r="B1997" t="s">
        <v>2680</v>
      </c>
      <c r="C1997" t="s">
        <v>669</v>
      </c>
      <c r="D1997" s="3">
        <v>1</v>
      </c>
      <c r="E1997" s="2">
        <v>600</v>
      </c>
    </row>
    <row r="1998" spans="1:5" x14ac:dyDescent="0.35">
      <c r="A1998" t="s">
        <v>4684</v>
      </c>
      <c r="B1998" t="s">
        <v>2681</v>
      </c>
      <c r="C1998" t="s">
        <v>654</v>
      </c>
      <c r="D1998" s="3">
        <v>1</v>
      </c>
      <c r="E1998" s="2">
        <v>100</v>
      </c>
    </row>
    <row r="1999" spans="1:5" x14ac:dyDescent="0.35">
      <c r="A1999" t="s">
        <v>4685</v>
      </c>
      <c r="B1999" t="s">
        <v>2682</v>
      </c>
      <c r="C1999" t="s">
        <v>647</v>
      </c>
      <c r="D1999" s="3">
        <v>1</v>
      </c>
      <c r="E1999" s="2">
        <v>4200</v>
      </c>
    </row>
    <row r="2000" spans="1:5" x14ac:dyDescent="0.35">
      <c r="A2000" t="s">
        <v>4686</v>
      </c>
      <c r="B2000" t="s">
        <v>2683</v>
      </c>
      <c r="C2000" t="s">
        <v>635</v>
      </c>
      <c r="D2000" s="3">
        <v>1</v>
      </c>
      <c r="E2000" s="2">
        <v>180</v>
      </c>
    </row>
    <row r="2001" spans="1:5" x14ac:dyDescent="0.35">
      <c r="A2001" t="s">
        <v>4687</v>
      </c>
      <c r="B2001" t="s">
        <v>2684</v>
      </c>
      <c r="C2001" t="s">
        <v>631</v>
      </c>
      <c r="D2001" s="3">
        <v>1</v>
      </c>
      <c r="E2001" s="2">
        <v>900</v>
      </c>
    </row>
  </sheetData>
  <conditionalFormatting sqref="A2">
    <cfRule type="duplicateValues" dxfId="7" priority="2"/>
  </conditionalFormatting>
  <conditionalFormatting sqref="A2:A2001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A683-D9E7-4C6F-B6CF-21ADB5FA162A}">
  <dimension ref="A1:M2001"/>
  <sheetViews>
    <sheetView topLeftCell="A2" zoomScale="85" zoomScaleNormal="85" workbookViewId="0">
      <selection activeCell="J6" sqref="J6"/>
    </sheetView>
  </sheetViews>
  <sheetFormatPr defaultRowHeight="14.5" x14ac:dyDescent="0.35"/>
  <cols>
    <col min="1" max="1" width="10.26953125" bestFit="1" customWidth="1"/>
    <col min="2" max="2" width="11.54296875" bestFit="1" customWidth="1"/>
    <col min="3" max="3" width="12.453125" bestFit="1" customWidth="1"/>
    <col min="4" max="4" width="11.54296875" bestFit="1" customWidth="1"/>
    <col min="5" max="5" width="12.36328125" bestFit="1" customWidth="1"/>
    <col min="6" max="6" width="17.453125" bestFit="1" customWidth="1"/>
    <col min="7" max="7" width="16.36328125" bestFit="1" customWidth="1"/>
    <col min="8" max="9" width="16.36328125" style="4" customWidth="1"/>
    <col min="10" max="10" width="16" bestFit="1" customWidth="1"/>
    <col min="11" max="11" width="15.26953125" bestFit="1" customWidth="1"/>
    <col min="12" max="12" width="8.26953125" bestFit="1" customWidth="1"/>
    <col min="13" max="13" width="11.6328125" customWidth="1"/>
  </cols>
  <sheetData>
    <row r="1" spans="1:13" x14ac:dyDescent="0.35">
      <c r="A1" t="s">
        <v>675</v>
      </c>
      <c r="B1" t="s">
        <v>0</v>
      </c>
      <c r="C1" t="s">
        <v>517</v>
      </c>
      <c r="D1" t="s">
        <v>613</v>
      </c>
      <c r="E1" t="s">
        <v>676</v>
      </c>
      <c r="F1" t="s">
        <v>677</v>
      </c>
      <c r="G1" t="s">
        <v>678</v>
      </c>
      <c r="H1" s="4" t="s">
        <v>6532</v>
      </c>
      <c r="I1" s="4" t="s">
        <v>6533</v>
      </c>
      <c r="J1" t="s">
        <v>4</v>
      </c>
      <c r="K1" t="s">
        <v>679</v>
      </c>
      <c r="L1" t="s">
        <v>680</v>
      </c>
      <c r="M1" t="s">
        <v>681</v>
      </c>
    </row>
    <row r="2" spans="1:13" x14ac:dyDescent="0.35">
      <c r="A2" t="s">
        <v>1069</v>
      </c>
      <c r="B2" t="s">
        <v>329</v>
      </c>
      <c r="C2" t="s">
        <v>585</v>
      </c>
      <c r="D2" t="s">
        <v>660</v>
      </c>
      <c r="E2" s="1">
        <v>45327</v>
      </c>
      <c r="F2" s="1">
        <v>45329</v>
      </c>
      <c r="G2" s="1">
        <v>45333</v>
      </c>
      <c r="H2" s="4">
        <f>IF(Claims_Cleaned[[#This Row],[processed_date]]="","",Claims_Cleaned[[#This Row],[processed_date]]-Claims_Cleaned[[#This Row],[submission_date]])</f>
        <v>4</v>
      </c>
      <c r="I2" s="4" t="str">
        <f>TEXT(Claims_Cleaned[[#This Row],[claim_date]],"mmm-yyyy")</f>
        <v>Feb-2024</v>
      </c>
      <c r="J2" t="s">
        <v>13</v>
      </c>
      <c r="K2">
        <v>8119.14</v>
      </c>
      <c r="L2" t="s">
        <v>683</v>
      </c>
      <c r="M2">
        <v>4</v>
      </c>
    </row>
    <row r="3" spans="1:13" x14ac:dyDescent="0.35">
      <c r="A3" t="s">
        <v>2292</v>
      </c>
      <c r="B3" t="s">
        <v>259</v>
      </c>
      <c r="C3" t="s">
        <v>543</v>
      </c>
      <c r="D3" t="s">
        <v>660</v>
      </c>
      <c r="E3" s="1">
        <v>44943</v>
      </c>
      <c r="F3" s="1">
        <v>44945</v>
      </c>
      <c r="G3" s="1">
        <v>44960</v>
      </c>
      <c r="H3" s="4">
        <f>IF(Claims_Cleaned[[#This Row],[processed_date]]="","",Claims_Cleaned[[#This Row],[processed_date]]-Claims_Cleaned[[#This Row],[submission_date]])</f>
        <v>15</v>
      </c>
      <c r="I3" s="4" t="str">
        <f>TEXT(Claims_Cleaned[[#This Row],[claim_date]],"mmm-yyyy")</f>
        <v>Jan-2023</v>
      </c>
      <c r="J3" t="s">
        <v>20</v>
      </c>
      <c r="K3">
        <v>8108.63</v>
      </c>
      <c r="L3" t="s">
        <v>683</v>
      </c>
      <c r="M3">
        <v>15</v>
      </c>
    </row>
    <row r="4" spans="1:13" x14ac:dyDescent="0.35">
      <c r="A4" t="s">
        <v>2588</v>
      </c>
      <c r="B4" t="s">
        <v>494</v>
      </c>
      <c r="C4" t="s">
        <v>597</v>
      </c>
      <c r="D4" t="s">
        <v>660</v>
      </c>
      <c r="E4" s="1">
        <v>45215</v>
      </c>
      <c r="F4" s="1">
        <v>45220</v>
      </c>
      <c r="G4" s="1">
        <v>45237</v>
      </c>
      <c r="H4" s="4">
        <f>IF(Claims_Cleaned[[#This Row],[processed_date]]="","",Claims_Cleaned[[#This Row],[processed_date]]-Claims_Cleaned[[#This Row],[submission_date]])</f>
        <v>17</v>
      </c>
      <c r="I4" s="4" t="str">
        <f>TEXT(Claims_Cleaned[[#This Row],[claim_date]],"mmm-yyyy")</f>
        <v>Oct-2023</v>
      </c>
      <c r="J4" t="s">
        <v>11</v>
      </c>
      <c r="K4">
        <v>8093.13</v>
      </c>
      <c r="L4" t="s">
        <v>683</v>
      </c>
      <c r="M4">
        <v>17</v>
      </c>
    </row>
    <row r="5" spans="1:13" x14ac:dyDescent="0.35">
      <c r="A5" t="s">
        <v>1882</v>
      </c>
      <c r="B5" t="s">
        <v>267</v>
      </c>
      <c r="C5" t="s">
        <v>559</v>
      </c>
      <c r="D5" t="s">
        <v>660</v>
      </c>
      <c r="E5" s="1">
        <v>45495</v>
      </c>
      <c r="F5" s="1">
        <v>45499</v>
      </c>
      <c r="G5" s="1">
        <v>45528</v>
      </c>
      <c r="H5" s="4">
        <f>IF(Claims_Cleaned[[#This Row],[processed_date]]="","",Claims_Cleaned[[#This Row],[processed_date]]-Claims_Cleaned[[#This Row],[submission_date]])</f>
        <v>29</v>
      </c>
      <c r="I5" s="4" t="str">
        <f>TEXT(Claims_Cleaned[[#This Row],[claim_date]],"mmm-yyyy")</f>
        <v>Jul-2024</v>
      </c>
      <c r="J5" t="s">
        <v>25</v>
      </c>
      <c r="K5">
        <v>8080.97</v>
      </c>
      <c r="L5" t="s">
        <v>687</v>
      </c>
      <c r="M5">
        <v>29</v>
      </c>
    </row>
    <row r="6" spans="1:13" x14ac:dyDescent="0.35">
      <c r="A6" t="s">
        <v>1535</v>
      </c>
      <c r="B6" t="s">
        <v>121</v>
      </c>
      <c r="C6" t="s">
        <v>555</v>
      </c>
      <c r="D6" t="s">
        <v>660</v>
      </c>
      <c r="E6" s="1">
        <v>45203</v>
      </c>
      <c r="F6" s="1">
        <v>45205</v>
      </c>
      <c r="G6" s="1">
        <v>45225</v>
      </c>
      <c r="H6" s="4">
        <f>IF(Claims_Cleaned[[#This Row],[processed_date]]="","",Claims_Cleaned[[#This Row],[processed_date]]-Claims_Cleaned[[#This Row],[submission_date]])</f>
        <v>20</v>
      </c>
      <c r="I6" s="4" t="str">
        <f>TEXT(Claims_Cleaned[[#This Row],[claim_date]],"mmm-yyyy")</f>
        <v>Oct-2023</v>
      </c>
      <c r="J6" t="s">
        <v>13</v>
      </c>
      <c r="K6">
        <v>8046.86</v>
      </c>
      <c r="L6" t="s">
        <v>683</v>
      </c>
      <c r="M6">
        <v>20</v>
      </c>
    </row>
    <row r="7" spans="1:13" x14ac:dyDescent="0.35">
      <c r="A7" t="s">
        <v>1954</v>
      </c>
      <c r="B7" t="s">
        <v>499</v>
      </c>
      <c r="C7" t="s">
        <v>531</v>
      </c>
      <c r="D7" t="s">
        <v>660</v>
      </c>
      <c r="E7" s="1">
        <v>45171</v>
      </c>
      <c r="F7" s="1">
        <v>45175</v>
      </c>
      <c r="G7" s="1">
        <v>45181</v>
      </c>
      <c r="H7" s="4">
        <f>IF(Claims_Cleaned[[#This Row],[processed_date]]="","",Claims_Cleaned[[#This Row],[processed_date]]-Claims_Cleaned[[#This Row],[submission_date]])</f>
        <v>6</v>
      </c>
      <c r="I7" s="4" t="str">
        <f>TEXT(Claims_Cleaned[[#This Row],[claim_date]],"mmm-yyyy")</f>
        <v>Sep-2023</v>
      </c>
      <c r="J7" t="s">
        <v>11</v>
      </c>
      <c r="K7">
        <v>7970.6</v>
      </c>
      <c r="L7" t="s">
        <v>683</v>
      </c>
      <c r="M7">
        <v>6</v>
      </c>
    </row>
    <row r="8" spans="1:13" x14ac:dyDescent="0.35">
      <c r="A8" t="s">
        <v>2661</v>
      </c>
      <c r="B8" t="s">
        <v>265</v>
      </c>
      <c r="C8" t="s">
        <v>546</v>
      </c>
      <c r="D8" t="s">
        <v>660</v>
      </c>
      <c r="E8" s="1">
        <v>45642</v>
      </c>
      <c r="F8" s="1">
        <v>45645</v>
      </c>
      <c r="G8" s="1">
        <v>45650</v>
      </c>
      <c r="H8" s="4">
        <f>IF(Claims_Cleaned[[#This Row],[processed_date]]="","",Claims_Cleaned[[#This Row],[processed_date]]-Claims_Cleaned[[#This Row],[submission_date]])</f>
        <v>5</v>
      </c>
      <c r="I8" s="4" t="str">
        <f>TEXT(Claims_Cleaned[[#This Row],[claim_date]],"mmm-yyyy")</f>
        <v>Dec-2024</v>
      </c>
      <c r="J8" t="s">
        <v>11</v>
      </c>
      <c r="K8">
        <v>7906.56</v>
      </c>
      <c r="L8" t="s">
        <v>683</v>
      </c>
      <c r="M8">
        <v>5</v>
      </c>
    </row>
    <row r="9" spans="1:13" x14ac:dyDescent="0.35">
      <c r="A9" t="s">
        <v>695</v>
      </c>
      <c r="B9" t="s">
        <v>78</v>
      </c>
      <c r="C9" t="s">
        <v>567</v>
      </c>
      <c r="D9" t="s">
        <v>660</v>
      </c>
      <c r="E9" s="1">
        <v>45624</v>
      </c>
      <c r="F9" s="1">
        <v>45626</v>
      </c>
      <c r="G9" s="1"/>
      <c r="H9" s="4" t="str">
        <f>IF(Claims_Cleaned[[#This Row],[processed_date]]="","",Claims_Cleaned[[#This Row],[processed_date]]-Claims_Cleaned[[#This Row],[submission_date]])</f>
        <v/>
      </c>
      <c r="I9" s="4" t="str">
        <f>TEXT(Claims_Cleaned[[#This Row],[claim_date]],"mmm-yyyy")</f>
        <v>Nov-2024</v>
      </c>
      <c r="J9" t="s">
        <v>11</v>
      </c>
      <c r="K9">
        <v>7886.32</v>
      </c>
      <c r="L9" t="s">
        <v>689</v>
      </c>
    </row>
    <row r="10" spans="1:13" x14ac:dyDescent="0.35">
      <c r="A10" t="s">
        <v>1162</v>
      </c>
      <c r="B10" t="s">
        <v>144</v>
      </c>
      <c r="C10" t="s">
        <v>575</v>
      </c>
      <c r="D10" t="s">
        <v>660</v>
      </c>
      <c r="E10" s="1">
        <v>45654</v>
      </c>
      <c r="F10" s="1">
        <v>45656</v>
      </c>
      <c r="G10" s="1">
        <v>45665</v>
      </c>
      <c r="H10" s="4">
        <f>IF(Claims_Cleaned[[#This Row],[processed_date]]="","",Claims_Cleaned[[#This Row],[processed_date]]-Claims_Cleaned[[#This Row],[submission_date]])</f>
        <v>9</v>
      </c>
      <c r="I10" s="4" t="str">
        <f>TEXT(Claims_Cleaned[[#This Row],[claim_date]],"mmm-yyyy")</f>
        <v>Dec-2024</v>
      </c>
      <c r="J10" t="s">
        <v>8</v>
      </c>
      <c r="K10">
        <v>7854.51</v>
      </c>
      <c r="L10" t="s">
        <v>683</v>
      </c>
      <c r="M10">
        <v>9</v>
      </c>
    </row>
    <row r="11" spans="1:13" x14ac:dyDescent="0.35">
      <c r="A11" t="s">
        <v>779</v>
      </c>
      <c r="B11" t="s">
        <v>387</v>
      </c>
      <c r="C11" t="s">
        <v>567</v>
      </c>
      <c r="D11" t="s">
        <v>660</v>
      </c>
      <c r="E11" s="1">
        <v>45489</v>
      </c>
      <c r="F11" s="1">
        <v>45490</v>
      </c>
      <c r="G11" s="1">
        <v>45510</v>
      </c>
      <c r="H11" s="4">
        <f>IF(Claims_Cleaned[[#This Row],[processed_date]]="","",Claims_Cleaned[[#This Row],[processed_date]]-Claims_Cleaned[[#This Row],[submission_date]])</f>
        <v>20</v>
      </c>
      <c r="I11" s="4" t="str">
        <f>TEXT(Claims_Cleaned[[#This Row],[claim_date]],"mmm-yyyy")</f>
        <v>Jul-2024</v>
      </c>
      <c r="J11" t="s">
        <v>11</v>
      </c>
      <c r="K11">
        <v>7645.64</v>
      </c>
      <c r="L11" t="s">
        <v>683</v>
      </c>
      <c r="M11">
        <v>20</v>
      </c>
    </row>
    <row r="12" spans="1:13" x14ac:dyDescent="0.35">
      <c r="A12" t="s">
        <v>2004</v>
      </c>
      <c r="B12" t="s">
        <v>134</v>
      </c>
      <c r="C12" t="s">
        <v>546</v>
      </c>
      <c r="D12" t="s">
        <v>660</v>
      </c>
      <c r="E12" s="1">
        <v>45527</v>
      </c>
      <c r="F12" s="1">
        <v>45530</v>
      </c>
      <c r="G12" s="1">
        <v>45546</v>
      </c>
      <c r="H12" s="4">
        <f>IF(Claims_Cleaned[[#This Row],[processed_date]]="","",Claims_Cleaned[[#This Row],[processed_date]]-Claims_Cleaned[[#This Row],[submission_date]])</f>
        <v>16</v>
      </c>
      <c r="I12" s="4" t="str">
        <f>TEXT(Claims_Cleaned[[#This Row],[claim_date]],"mmm-yyyy")</f>
        <v>Aug-2024</v>
      </c>
      <c r="J12" t="s">
        <v>11</v>
      </c>
      <c r="K12">
        <v>7641.22</v>
      </c>
      <c r="L12" t="s">
        <v>683</v>
      </c>
      <c r="M12">
        <v>16</v>
      </c>
    </row>
    <row r="13" spans="1:13" x14ac:dyDescent="0.35">
      <c r="A13" t="s">
        <v>1580</v>
      </c>
      <c r="B13" t="s">
        <v>393</v>
      </c>
      <c r="C13" t="s">
        <v>591</v>
      </c>
      <c r="D13" t="s">
        <v>660</v>
      </c>
      <c r="E13" s="1">
        <v>45281</v>
      </c>
      <c r="F13" s="1">
        <v>45283</v>
      </c>
      <c r="G13" s="1">
        <v>45294</v>
      </c>
      <c r="H13" s="4">
        <f>IF(Claims_Cleaned[[#This Row],[processed_date]]="","",Claims_Cleaned[[#This Row],[processed_date]]-Claims_Cleaned[[#This Row],[submission_date]])</f>
        <v>11</v>
      </c>
      <c r="I13" s="4" t="str">
        <f>TEXT(Claims_Cleaned[[#This Row],[claim_date]],"mmm-yyyy")</f>
        <v>Dec-2023</v>
      </c>
      <c r="J13" t="s">
        <v>11</v>
      </c>
      <c r="K13">
        <v>7602.69</v>
      </c>
      <c r="L13" t="s">
        <v>683</v>
      </c>
      <c r="M13">
        <v>11</v>
      </c>
    </row>
    <row r="14" spans="1:13" x14ac:dyDescent="0.35">
      <c r="A14" t="s">
        <v>1147</v>
      </c>
      <c r="B14" t="s">
        <v>487</v>
      </c>
      <c r="C14" t="s">
        <v>537</v>
      </c>
      <c r="D14" t="s">
        <v>660</v>
      </c>
      <c r="E14" s="1">
        <v>44961</v>
      </c>
      <c r="F14" s="1">
        <v>44966</v>
      </c>
      <c r="G14" s="1">
        <v>44992</v>
      </c>
      <c r="H14" s="4">
        <f>IF(Claims_Cleaned[[#This Row],[processed_date]]="","",Claims_Cleaned[[#This Row],[processed_date]]-Claims_Cleaned[[#This Row],[submission_date]])</f>
        <v>26</v>
      </c>
      <c r="I14" s="4" t="str">
        <f>TEXT(Claims_Cleaned[[#This Row],[claim_date]],"mmm-yyyy")</f>
        <v>Feb-2023</v>
      </c>
      <c r="J14" t="s">
        <v>20</v>
      </c>
      <c r="K14">
        <v>7554.69</v>
      </c>
      <c r="L14" t="s">
        <v>687</v>
      </c>
      <c r="M14">
        <v>26</v>
      </c>
    </row>
    <row r="15" spans="1:13" x14ac:dyDescent="0.35">
      <c r="A15" t="s">
        <v>1418</v>
      </c>
      <c r="B15" t="s">
        <v>357</v>
      </c>
      <c r="C15" t="s">
        <v>527</v>
      </c>
      <c r="D15" t="s">
        <v>660</v>
      </c>
      <c r="E15" s="1">
        <v>45003</v>
      </c>
      <c r="F15" s="1">
        <v>45006</v>
      </c>
      <c r="G15" s="1">
        <v>45017</v>
      </c>
      <c r="H15" s="4">
        <f>IF(Claims_Cleaned[[#This Row],[processed_date]]="","",Claims_Cleaned[[#This Row],[processed_date]]-Claims_Cleaned[[#This Row],[submission_date]])</f>
        <v>11</v>
      </c>
      <c r="I15" s="4" t="str">
        <f>TEXT(Claims_Cleaned[[#This Row],[claim_date]],"mmm-yyyy")</f>
        <v>Mar-2023</v>
      </c>
      <c r="J15" t="s">
        <v>8</v>
      </c>
      <c r="K15">
        <v>7508.18</v>
      </c>
      <c r="L15" t="s">
        <v>683</v>
      </c>
      <c r="M15">
        <v>11</v>
      </c>
    </row>
    <row r="16" spans="1:13" x14ac:dyDescent="0.35">
      <c r="A16" t="s">
        <v>2549</v>
      </c>
      <c r="B16" t="s">
        <v>197</v>
      </c>
      <c r="C16" t="s">
        <v>555</v>
      </c>
      <c r="D16" t="s">
        <v>660</v>
      </c>
      <c r="E16" s="1">
        <v>45542</v>
      </c>
      <c r="F16" s="1">
        <v>45546</v>
      </c>
      <c r="G16" s="1">
        <v>45549</v>
      </c>
      <c r="H16" s="4">
        <f>IF(Claims_Cleaned[[#This Row],[processed_date]]="","",Claims_Cleaned[[#This Row],[processed_date]]-Claims_Cleaned[[#This Row],[submission_date]])</f>
        <v>3</v>
      </c>
      <c r="I16" s="4" t="str">
        <f>TEXT(Claims_Cleaned[[#This Row],[claim_date]],"mmm-yyyy")</f>
        <v>Sep-2024</v>
      </c>
      <c r="J16" t="s">
        <v>13</v>
      </c>
      <c r="K16">
        <v>7493.94</v>
      </c>
      <c r="L16" t="s">
        <v>683</v>
      </c>
      <c r="M16">
        <v>3</v>
      </c>
    </row>
    <row r="17" spans="1:13" x14ac:dyDescent="0.35">
      <c r="A17" t="s">
        <v>2656</v>
      </c>
      <c r="B17" t="s">
        <v>418</v>
      </c>
      <c r="C17" t="s">
        <v>537</v>
      </c>
      <c r="D17" t="s">
        <v>660</v>
      </c>
      <c r="E17" s="1">
        <v>45486</v>
      </c>
      <c r="F17" s="1">
        <v>45491</v>
      </c>
      <c r="G17" s="1">
        <v>45517</v>
      </c>
      <c r="H17" s="4">
        <f>IF(Claims_Cleaned[[#This Row],[processed_date]]="","",Claims_Cleaned[[#This Row],[processed_date]]-Claims_Cleaned[[#This Row],[submission_date]])</f>
        <v>26</v>
      </c>
      <c r="I17" s="4" t="str">
        <f>TEXT(Claims_Cleaned[[#This Row],[claim_date]],"mmm-yyyy")</f>
        <v>Jul-2024</v>
      </c>
      <c r="J17" t="s">
        <v>13</v>
      </c>
      <c r="K17">
        <v>7490.03</v>
      </c>
      <c r="L17" t="s">
        <v>687</v>
      </c>
      <c r="M17">
        <v>26</v>
      </c>
    </row>
    <row r="18" spans="1:13" x14ac:dyDescent="0.35">
      <c r="A18" t="s">
        <v>1864</v>
      </c>
      <c r="B18" t="s">
        <v>463</v>
      </c>
      <c r="C18" t="s">
        <v>543</v>
      </c>
      <c r="D18" t="s">
        <v>660</v>
      </c>
      <c r="E18" s="1">
        <v>45433</v>
      </c>
      <c r="F18" s="1">
        <v>45434</v>
      </c>
      <c r="G18" s="1">
        <v>45457</v>
      </c>
      <c r="H18" s="4">
        <f>IF(Claims_Cleaned[[#This Row],[processed_date]]="","",Claims_Cleaned[[#This Row],[processed_date]]-Claims_Cleaned[[#This Row],[submission_date]])</f>
        <v>23</v>
      </c>
      <c r="I18" s="4" t="str">
        <f>TEXT(Claims_Cleaned[[#This Row],[claim_date]],"mmm-yyyy")</f>
        <v>May-2024</v>
      </c>
      <c r="J18" t="s">
        <v>8</v>
      </c>
      <c r="K18">
        <v>7478.13</v>
      </c>
      <c r="L18" t="s">
        <v>683</v>
      </c>
      <c r="M18">
        <v>23</v>
      </c>
    </row>
    <row r="19" spans="1:13" x14ac:dyDescent="0.35">
      <c r="A19" t="s">
        <v>1916</v>
      </c>
      <c r="B19" t="s">
        <v>222</v>
      </c>
      <c r="C19" t="s">
        <v>599</v>
      </c>
      <c r="D19" t="s">
        <v>660</v>
      </c>
      <c r="E19" s="1">
        <v>45354</v>
      </c>
      <c r="F19" s="1">
        <v>45359</v>
      </c>
      <c r="G19" s="1">
        <v>45381</v>
      </c>
      <c r="H19" s="4">
        <f>IF(Claims_Cleaned[[#This Row],[processed_date]]="","",Claims_Cleaned[[#This Row],[processed_date]]-Claims_Cleaned[[#This Row],[submission_date]])</f>
        <v>22</v>
      </c>
      <c r="I19" s="4" t="str">
        <f>TEXT(Claims_Cleaned[[#This Row],[claim_date]],"mmm-yyyy")</f>
        <v>Mar-2024</v>
      </c>
      <c r="J19" t="s">
        <v>20</v>
      </c>
      <c r="K19">
        <v>7417.72</v>
      </c>
      <c r="L19" t="s">
        <v>683</v>
      </c>
      <c r="M19">
        <v>22</v>
      </c>
    </row>
    <row r="20" spans="1:13" x14ac:dyDescent="0.35">
      <c r="A20" t="s">
        <v>1222</v>
      </c>
      <c r="B20" t="s">
        <v>34</v>
      </c>
      <c r="C20" t="s">
        <v>579</v>
      </c>
      <c r="D20" t="s">
        <v>660</v>
      </c>
      <c r="E20" s="1">
        <v>45627</v>
      </c>
      <c r="F20" s="1">
        <v>45630</v>
      </c>
      <c r="G20" s="1">
        <v>45639</v>
      </c>
      <c r="H20" s="4">
        <f>IF(Claims_Cleaned[[#This Row],[processed_date]]="","",Claims_Cleaned[[#This Row],[processed_date]]-Claims_Cleaned[[#This Row],[submission_date]])</f>
        <v>9</v>
      </c>
      <c r="I20" s="4" t="str">
        <f>TEXT(Claims_Cleaned[[#This Row],[claim_date]],"mmm-yyyy")</f>
        <v>Dec-2024</v>
      </c>
      <c r="J20" t="s">
        <v>11</v>
      </c>
      <c r="K20">
        <v>7415.47</v>
      </c>
      <c r="L20" t="s">
        <v>683</v>
      </c>
      <c r="M20">
        <v>9</v>
      </c>
    </row>
    <row r="21" spans="1:13" x14ac:dyDescent="0.35">
      <c r="A21" t="s">
        <v>1023</v>
      </c>
      <c r="B21" t="s">
        <v>308</v>
      </c>
      <c r="C21" t="s">
        <v>587</v>
      </c>
      <c r="D21" t="s">
        <v>660</v>
      </c>
      <c r="E21" s="1">
        <v>45203</v>
      </c>
      <c r="F21" s="1">
        <v>45205</v>
      </c>
      <c r="G21" s="1">
        <v>45217</v>
      </c>
      <c r="H21" s="4">
        <f>IF(Claims_Cleaned[[#This Row],[processed_date]]="","",Claims_Cleaned[[#This Row],[processed_date]]-Claims_Cleaned[[#This Row],[submission_date]])</f>
        <v>12</v>
      </c>
      <c r="I21" s="4" t="str">
        <f>TEXT(Claims_Cleaned[[#This Row],[claim_date]],"mmm-yyyy")</f>
        <v>Oct-2023</v>
      </c>
      <c r="J21" t="s">
        <v>25</v>
      </c>
      <c r="K21">
        <v>7355.98</v>
      </c>
      <c r="L21" t="s">
        <v>687</v>
      </c>
      <c r="M21">
        <v>12</v>
      </c>
    </row>
    <row r="22" spans="1:13" x14ac:dyDescent="0.35">
      <c r="A22" t="s">
        <v>2607</v>
      </c>
      <c r="B22" t="s">
        <v>172</v>
      </c>
      <c r="C22" t="s">
        <v>597</v>
      </c>
      <c r="D22" t="s">
        <v>660</v>
      </c>
      <c r="E22" s="1">
        <v>45208</v>
      </c>
      <c r="F22" s="1">
        <v>45212</v>
      </c>
      <c r="G22" s="1">
        <v>45236</v>
      </c>
      <c r="H22" s="4">
        <f>IF(Claims_Cleaned[[#This Row],[processed_date]]="","",Claims_Cleaned[[#This Row],[processed_date]]-Claims_Cleaned[[#This Row],[submission_date]])</f>
        <v>24</v>
      </c>
      <c r="I22" s="4" t="str">
        <f>TEXT(Claims_Cleaned[[#This Row],[claim_date]],"mmm-yyyy")</f>
        <v>Oct-2023</v>
      </c>
      <c r="J22" t="s">
        <v>13</v>
      </c>
      <c r="K22">
        <v>7353.72</v>
      </c>
      <c r="L22" t="s">
        <v>683</v>
      </c>
      <c r="M22">
        <v>24</v>
      </c>
    </row>
    <row r="23" spans="1:13" x14ac:dyDescent="0.35">
      <c r="A23" t="s">
        <v>1173</v>
      </c>
      <c r="B23" t="s">
        <v>263</v>
      </c>
      <c r="C23" t="s">
        <v>521</v>
      </c>
      <c r="D23" t="s">
        <v>660</v>
      </c>
      <c r="E23" s="1">
        <v>45100</v>
      </c>
      <c r="F23" s="1">
        <v>45104</v>
      </c>
      <c r="G23" s="1">
        <v>45133</v>
      </c>
      <c r="H23" s="4">
        <f>IF(Claims_Cleaned[[#This Row],[processed_date]]="","",Claims_Cleaned[[#This Row],[processed_date]]-Claims_Cleaned[[#This Row],[submission_date]])</f>
        <v>29</v>
      </c>
      <c r="I23" s="4" t="str">
        <f>TEXT(Claims_Cleaned[[#This Row],[claim_date]],"mmm-yyyy")</f>
        <v>Jun-2023</v>
      </c>
      <c r="J23" t="s">
        <v>20</v>
      </c>
      <c r="K23">
        <v>7316.74</v>
      </c>
      <c r="L23" t="s">
        <v>683</v>
      </c>
      <c r="M23">
        <v>29</v>
      </c>
    </row>
    <row r="24" spans="1:13" x14ac:dyDescent="0.35">
      <c r="A24" t="s">
        <v>1927</v>
      </c>
      <c r="B24" t="s">
        <v>132</v>
      </c>
      <c r="C24" t="s">
        <v>540</v>
      </c>
      <c r="D24" t="s">
        <v>660</v>
      </c>
      <c r="E24" s="1">
        <v>45418</v>
      </c>
      <c r="F24" s="1">
        <v>45420</v>
      </c>
      <c r="G24" s="1">
        <v>45436</v>
      </c>
      <c r="H24" s="4">
        <f>IF(Claims_Cleaned[[#This Row],[processed_date]]="","",Claims_Cleaned[[#This Row],[processed_date]]-Claims_Cleaned[[#This Row],[submission_date]])</f>
        <v>16</v>
      </c>
      <c r="I24" s="4" t="str">
        <f>TEXT(Claims_Cleaned[[#This Row],[claim_date]],"mmm-yyyy")</f>
        <v>May-2024</v>
      </c>
      <c r="J24" t="s">
        <v>8</v>
      </c>
      <c r="K24">
        <v>7312.45</v>
      </c>
      <c r="L24" t="s">
        <v>683</v>
      </c>
      <c r="M24">
        <v>16</v>
      </c>
    </row>
    <row r="25" spans="1:13" x14ac:dyDescent="0.35">
      <c r="A25" t="s">
        <v>1531</v>
      </c>
      <c r="B25" t="s">
        <v>129</v>
      </c>
      <c r="C25" t="s">
        <v>601</v>
      </c>
      <c r="D25" t="s">
        <v>660</v>
      </c>
      <c r="E25" s="1">
        <v>45609</v>
      </c>
      <c r="F25" s="1">
        <v>45613</v>
      </c>
      <c r="G25" s="1">
        <v>45625</v>
      </c>
      <c r="H25" s="4">
        <f>IF(Claims_Cleaned[[#This Row],[processed_date]]="","",Claims_Cleaned[[#This Row],[processed_date]]-Claims_Cleaned[[#This Row],[submission_date]])</f>
        <v>12</v>
      </c>
      <c r="I25" s="4" t="str">
        <f>TEXT(Claims_Cleaned[[#This Row],[claim_date]],"mmm-yyyy")</f>
        <v>Nov-2024</v>
      </c>
      <c r="J25" t="s">
        <v>8</v>
      </c>
      <c r="K25">
        <v>7287.29</v>
      </c>
      <c r="L25" t="s">
        <v>683</v>
      </c>
      <c r="M25">
        <v>12</v>
      </c>
    </row>
    <row r="26" spans="1:13" x14ac:dyDescent="0.35">
      <c r="A26" t="s">
        <v>2393</v>
      </c>
      <c r="B26" t="s">
        <v>147</v>
      </c>
      <c r="C26" t="s">
        <v>577</v>
      </c>
      <c r="D26" t="s">
        <v>660</v>
      </c>
      <c r="E26" s="1">
        <v>45174</v>
      </c>
      <c r="F26" s="1">
        <v>45177</v>
      </c>
      <c r="G26" s="1">
        <v>45190</v>
      </c>
      <c r="H26" s="4">
        <f>IF(Claims_Cleaned[[#This Row],[processed_date]]="","",Claims_Cleaned[[#This Row],[processed_date]]-Claims_Cleaned[[#This Row],[submission_date]])</f>
        <v>13</v>
      </c>
      <c r="I26" s="4" t="str">
        <f>TEXT(Claims_Cleaned[[#This Row],[claim_date]],"mmm-yyyy")</f>
        <v>Sep-2023</v>
      </c>
      <c r="J26" t="s">
        <v>8</v>
      </c>
      <c r="K26">
        <v>7249.61</v>
      </c>
      <c r="L26" t="s">
        <v>683</v>
      </c>
      <c r="M26">
        <v>13</v>
      </c>
    </row>
    <row r="27" spans="1:13" x14ac:dyDescent="0.35">
      <c r="A27" t="s">
        <v>750</v>
      </c>
      <c r="B27" t="s">
        <v>442</v>
      </c>
      <c r="C27" t="s">
        <v>559</v>
      </c>
      <c r="D27" t="s">
        <v>660</v>
      </c>
      <c r="E27" s="1">
        <v>45039</v>
      </c>
      <c r="F27" s="1">
        <v>45041</v>
      </c>
      <c r="G27" s="1">
        <v>45063</v>
      </c>
      <c r="H27" s="4">
        <f>IF(Claims_Cleaned[[#This Row],[processed_date]]="","",Claims_Cleaned[[#This Row],[processed_date]]-Claims_Cleaned[[#This Row],[submission_date]])</f>
        <v>22</v>
      </c>
      <c r="I27" s="4" t="str">
        <f>TEXT(Claims_Cleaned[[#This Row],[claim_date]],"mmm-yyyy")</f>
        <v>Apr-2023</v>
      </c>
      <c r="J27" t="s">
        <v>11</v>
      </c>
      <c r="K27">
        <v>7228.68</v>
      </c>
      <c r="L27" t="s">
        <v>683</v>
      </c>
      <c r="M27">
        <v>22</v>
      </c>
    </row>
    <row r="28" spans="1:13" x14ac:dyDescent="0.35">
      <c r="A28" t="s">
        <v>2442</v>
      </c>
      <c r="B28" t="s">
        <v>55</v>
      </c>
      <c r="C28" t="s">
        <v>593</v>
      </c>
      <c r="D28" t="s">
        <v>660</v>
      </c>
      <c r="E28" s="1">
        <v>45316</v>
      </c>
      <c r="F28" s="1">
        <v>45317</v>
      </c>
      <c r="G28" s="1">
        <v>45343</v>
      </c>
      <c r="H28" s="4">
        <f>IF(Claims_Cleaned[[#This Row],[processed_date]]="","",Claims_Cleaned[[#This Row],[processed_date]]-Claims_Cleaned[[#This Row],[submission_date]])</f>
        <v>26</v>
      </c>
      <c r="I28" s="4" t="str">
        <f>TEXT(Claims_Cleaned[[#This Row],[claim_date]],"mmm-yyyy")</f>
        <v>Jan-2024</v>
      </c>
      <c r="J28" t="s">
        <v>11</v>
      </c>
      <c r="K28">
        <v>7206.98</v>
      </c>
      <c r="L28" t="s">
        <v>687</v>
      </c>
      <c r="M28">
        <v>26</v>
      </c>
    </row>
    <row r="29" spans="1:13" x14ac:dyDescent="0.35">
      <c r="A29" t="s">
        <v>2670</v>
      </c>
      <c r="B29" t="s">
        <v>439</v>
      </c>
      <c r="C29" t="s">
        <v>585</v>
      </c>
      <c r="D29" t="s">
        <v>660</v>
      </c>
      <c r="E29" s="1">
        <v>45483</v>
      </c>
      <c r="F29" s="1">
        <v>45487</v>
      </c>
      <c r="G29" s="1">
        <v>45494</v>
      </c>
      <c r="H29" s="4">
        <f>IF(Claims_Cleaned[[#This Row],[processed_date]]="","",Claims_Cleaned[[#This Row],[processed_date]]-Claims_Cleaned[[#This Row],[submission_date]])</f>
        <v>7</v>
      </c>
      <c r="I29" s="4" t="str">
        <f>TEXT(Claims_Cleaned[[#This Row],[claim_date]],"mmm-yyyy")</f>
        <v>Jul-2024</v>
      </c>
      <c r="J29" t="s">
        <v>11</v>
      </c>
      <c r="K29">
        <v>7148.03</v>
      </c>
      <c r="L29" t="s">
        <v>687</v>
      </c>
      <c r="M29">
        <v>7</v>
      </c>
    </row>
    <row r="30" spans="1:13" x14ac:dyDescent="0.35">
      <c r="A30" t="s">
        <v>1475</v>
      </c>
      <c r="B30" t="s">
        <v>510</v>
      </c>
      <c r="C30" t="s">
        <v>524</v>
      </c>
      <c r="D30" t="s">
        <v>660</v>
      </c>
      <c r="E30" s="1">
        <v>45066</v>
      </c>
      <c r="F30" s="1">
        <v>45071</v>
      </c>
      <c r="G30" s="1">
        <v>45085</v>
      </c>
      <c r="H30" s="4">
        <f>IF(Claims_Cleaned[[#This Row],[processed_date]]="","",Claims_Cleaned[[#This Row],[processed_date]]-Claims_Cleaned[[#This Row],[submission_date]])</f>
        <v>14</v>
      </c>
      <c r="I30" s="4" t="str">
        <f>TEXT(Claims_Cleaned[[#This Row],[claim_date]],"mmm-yyyy")</f>
        <v>May-2023</v>
      </c>
      <c r="J30" t="s">
        <v>11</v>
      </c>
      <c r="K30">
        <v>7143.27</v>
      </c>
      <c r="L30" t="s">
        <v>683</v>
      </c>
      <c r="M30">
        <v>14</v>
      </c>
    </row>
    <row r="31" spans="1:13" x14ac:dyDescent="0.35">
      <c r="A31" t="s">
        <v>2255</v>
      </c>
      <c r="B31" t="s">
        <v>232</v>
      </c>
      <c r="C31" t="s">
        <v>537</v>
      </c>
      <c r="D31" t="s">
        <v>660</v>
      </c>
      <c r="E31" s="1">
        <v>44995</v>
      </c>
      <c r="F31" s="1">
        <v>44998</v>
      </c>
      <c r="G31" s="1">
        <v>45024</v>
      </c>
      <c r="H31" s="4">
        <f>IF(Claims_Cleaned[[#This Row],[processed_date]]="","",Claims_Cleaned[[#This Row],[processed_date]]-Claims_Cleaned[[#This Row],[submission_date]])</f>
        <v>26</v>
      </c>
      <c r="I31" s="4" t="str">
        <f>TEXT(Claims_Cleaned[[#This Row],[claim_date]],"mmm-yyyy")</f>
        <v>Mar-2023</v>
      </c>
      <c r="J31" t="s">
        <v>8</v>
      </c>
      <c r="K31">
        <v>7138.66</v>
      </c>
      <c r="L31" t="s">
        <v>683</v>
      </c>
      <c r="M31">
        <v>26</v>
      </c>
    </row>
    <row r="32" spans="1:13" x14ac:dyDescent="0.35">
      <c r="A32" t="s">
        <v>2620</v>
      </c>
      <c r="B32" t="s">
        <v>446</v>
      </c>
      <c r="C32" t="s">
        <v>607</v>
      </c>
      <c r="D32" t="s">
        <v>660</v>
      </c>
      <c r="E32" s="1">
        <v>45097</v>
      </c>
      <c r="F32" s="1">
        <v>45099</v>
      </c>
      <c r="G32" s="1"/>
      <c r="H32" s="4" t="str">
        <f>IF(Claims_Cleaned[[#This Row],[processed_date]]="","",Claims_Cleaned[[#This Row],[processed_date]]-Claims_Cleaned[[#This Row],[submission_date]])</f>
        <v/>
      </c>
      <c r="I32" s="4" t="str">
        <f>TEXT(Claims_Cleaned[[#This Row],[claim_date]],"mmm-yyyy")</f>
        <v>Jun-2023</v>
      </c>
      <c r="J32" t="s">
        <v>8</v>
      </c>
      <c r="K32">
        <v>7088.01</v>
      </c>
      <c r="L32" t="s">
        <v>689</v>
      </c>
    </row>
    <row r="33" spans="1:13" x14ac:dyDescent="0.35">
      <c r="A33" t="s">
        <v>1609</v>
      </c>
      <c r="B33" t="s">
        <v>77</v>
      </c>
      <c r="C33" t="s">
        <v>585</v>
      </c>
      <c r="D33" t="s">
        <v>660</v>
      </c>
      <c r="E33" s="1">
        <v>45141</v>
      </c>
      <c r="F33" s="1">
        <v>45145</v>
      </c>
      <c r="G33" s="1">
        <v>45151</v>
      </c>
      <c r="H33" s="4">
        <f>IF(Claims_Cleaned[[#This Row],[processed_date]]="","",Claims_Cleaned[[#This Row],[processed_date]]-Claims_Cleaned[[#This Row],[submission_date]])</f>
        <v>6</v>
      </c>
      <c r="I33" s="4" t="str">
        <f>TEXT(Claims_Cleaned[[#This Row],[claim_date]],"mmm-yyyy")</f>
        <v>Aug-2023</v>
      </c>
      <c r="J33" t="s">
        <v>20</v>
      </c>
      <c r="K33">
        <v>7076.18</v>
      </c>
      <c r="L33" t="s">
        <v>683</v>
      </c>
      <c r="M33">
        <v>6</v>
      </c>
    </row>
    <row r="34" spans="1:13" x14ac:dyDescent="0.35">
      <c r="A34" t="s">
        <v>782</v>
      </c>
      <c r="B34" t="s">
        <v>162</v>
      </c>
      <c r="C34" t="s">
        <v>595</v>
      </c>
      <c r="D34" t="s">
        <v>660</v>
      </c>
      <c r="E34" s="1">
        <v>45228</v>
      </c>
      <c r="F34" s="1">
        <v>45230</v>
      </c>
      <c r="G34" s="1">
        <v>45240</v>
      </c>
      <c r="H34" s="4">
        <f>IF(Claims_Cleaned[[#This Row],[processed_date]]="","",Claims_Cleaned[[#This Row],[processed_date]]-Claims_Cleaned[[#This Row],[submission_date]])</f>
        <v>10</v>
      </c>
      <c r="I34" s="4" t="str">
        <f>TEXT(Claims_Cleaned[[#This Row],[claim_date]],"mmm-yyyy")</f>
        <v>Oct-2023</v>
      </c>
      <c r="J34" t="s">
        <v>11</v>
      </c>
      <c r="K34">
        <v>7048</v>
      </c>
      <c r="L34" t="s">
        <v>683</v>
      </c>
      <c r="M34">
        <v>10</v>
      </c>
    </row>
    <row r="35" spans="1:13" x14ac:dyDescent="0.35">
      <c r="A35" t="s">
        <v>2215</v>
      </c>
      <c r="B35" t="s">
        <v>27</v>
      </c>
      <c r="C35" t="s">
        <v>589</v>
      </c>
      <c r="D35" t="s">
        <v>660</v>
      </c>
      <c r="E35" s="1">
        <v>45451</v>
      </c>
      <c r="F35" s="1">
        <v>45453</v>
      </c>
      <c r="G35" s="1">
        <v>45476</v>
      </c>
      <c r="H35" s="4">
        <f>IF(Claims_Cleaned[[#This Row],[processed_date]]="","",Claims_Cleaned[[#This Row],[processed_date]]-Claims_Cleaned[[#This Row],[submission_date]])</f>
        <v>23</v>
      </c>
      <c r="I35" s="4" t="str">
        <f>TEXT(Claims_Cleaned[[#This Row],[claim_date]],"mmm-yyyy")</f>
        <v>Jun-2024</v>
      </c>
      <c r="J35" t="s">
        <v>20</v>
      </c>
      <c r="K35">
        <v>7025.14</v>
      </c>
      <c r="L35" t="s">
        <v>683</v>
      </c>
      <c r="M35">
        <v>23</v>
      </c>
    </row>
    <row r="36" spans="1:13" x14ac:dyDescent="0.35">
      <c r="A36" t="s">
        <v>1286</v>
      </c>
      <c r="B36" t="s">
        <v>365</v>
      </c>
      <c r="C36" t="s">
        <v>595</v>
      </c>
      <c r="D36" t="s">
        <v>660</v>
      </c>
      <c r="E36" s="1">
        <v>45338</v>
      </c>
      <c r="F36" s="1">
        <v>45341</v>
      </c>
      <c r="G36" s="1">
        <v>45350</v>
      </c>
      <c r="H36" s="4">
        <f>IF(Claims_Cleaned[[#This Row],[processed_date]]="","",Claims_Cleaned[[#This Row],[processed_date]]-Claims_Cleaned[[#This Row],[submission_date]])</f>
        <v>9</v>
      </c>
      <c r="I36" s="4" t="str">
        <f>TEXT(Claims_Cleaned[[#This Row],[claim_date]],"mmm-yyyy")</f>
        <v>Feb-2024</v>
      </c>
      <c r="J36" t="s">
        <v>11</v>
      </c>
      <c r="K36">
        <v>7023.78</v>
      </c>
      <c r="L36" t="s">
        <v>683</v>
      </c>
      <c r="M36">
        <v>9</v>
      </c>
    </row>
    <row r="37" spans="1:13" x14ac:dyDescent="0.35">
      <c r="A37" t="s">
        <v>992</v>
      </c>
      <c r="B37" t="s">
        <v>225</v>
      </c>
      <c r="C37" t="s">
        <v>557</v>
      </c>
      <c r="D37" t="s">
        <v>660</v>
      </c>
      <c r="E37" s="1">
        <v>45173</v>
      </c>
      <c r="F37" s="1">
        <v>45175</v>
      </c>
      <c r="G37" s="1">
        <v>45202</v>
      </c>
      <c r="H37" s="4">
        <f>IF(Claims_Cleaned[[#This Row],[processed_date]]="","",Claims_Cleaned[[#This Row],[processed_date]]-Claims_Cleaned[[#This Row],[submission_date]])</f>
        <v>27</v>
      </c>
      <c r="I37" s="4" t="str">
        <f>TEXT(Claims_Cleaned[[#This Row],[claim_date]],"mmm-yyyy")</f>
        <v>Sep-2023</v>
      </c>
      <c r="J37" t="s">
        <v>8</v>
      </c>
      <c r="K37">
        <v>7000.72</v>
      </c>
      <c r="L37" t="s">
        <v>683</v>
      </c>
      <c r="M37">
        <v>27</v>
      </c>
    </row>
    <row r="38" spans="1:13" x14ac:dyDescent="0.35">
      <c r="A38" t="s">
        <v>2364</v>
      </c>
      <c r="B38" t="s">
        <v>439</v>
      </c>
      <c r="C38" t="s">
        <v>557</v>
      </c>
      <c r="D38" t="s">
        <v>660</v>
      </c>
      <c r="E38" s="1">
        <v>44994</v>
      </c>
      <c r="F38" s="1">
        <v>44997</v>
      </c>
      <c r="G38" s="1">
        <v>45015</v>
      </c>
      <c r="H38" s="4">
        <f>IF(Claims_Cleaned[[#This Row],[processed_date]]="","",Claims_Cleaned[[#This Row],[processed_date]]-Claims_Cleaned[[#This Row],[submission_date]])</f>
        <v>18</v>
      </c>
      <c r="I38" s="4" t="str">
        <f>TEXT(Claims_Cleaned[[#This Row],[claim_date]],"mmm-yyyy")</f>
        <v>Mar-2023</v>
      </c>
      <c r="J38" t="s">
        <v>11</v>
      </c>
      <c r="K38">
        <v>6973.5</v>
      </c>
      <c r="L38" t="s">
        <v>683</v>
      </c>
      <c r="M38">
        <v>18</v>
      </c>
    </row>
    <row r="39" spans="1:13" x14ac:dyDescent="0.35">
      <c r="A39" t="s">
        <v>2386</v>
      </c>
      <c r="B39" t="s">
        <v>356</v>
      </c>
      <c r="C39" t="s">
        <v>601</v>
      </c>
      <c r="D39" t="s">
        <v>660</v>
      </c>
      <c r="E39" s="1">
        <v>45335</v>
      </c>
      <c r="F39" s="1">
        <v>45337</v>
      </c>
      <c r="G39" s="1">
        <v>45354</v>
      </c>
      <c r="H39" s="4">
        <f>IF(Claims_Cleaned[[#This Row],[processed_date]]="","",Claims_Cleaned[[#This Row],[processed_date]]-Claims_Cleaned[[#This Row],[submission_date]])</f>
        <v>17</v>
      </c>
      <c r="I39" s="4" t="str">
        <f>TEXT(Claims_Cleaned[[#This Row],[claim_date]],"mmm-yyyy")</f>
        <v>Feb-2024</v>
      </c>
      <c r="J39" t="s">
        <v>13</v>
      </c>
      <c r="K39">
        <v>6948.58</v>
      </c>
      <c r="L39" t="s">
        <v>683</v>
      </c>
      <c r="M39">
        <v>17</v>
      </c>
    </row>
    <row r="40" spans="1:13" x14ac:dyDescent="0.35">
      <c r="A40" t="s">
        <v>2464</v>
      </c>
      <c r="B40" t="s">
        <v>442</v>
      </c>
      <c r="C40" t="s">
        <v>601</v>
      </c>
      <c r="D40" t="s">
        <v>660</v>
      </c>
      <c r="E40" s="1">
        <v>45456</v>
      </c>
      <c r="F40" s="1">
        <v>45458</v>
      </c>
      <c r="G40" s="1">
        <v>45465</v>
      </c>
      <c r="H40" s="4">
        <f>IF(Claims_Cleaned[[#This Row],[processed_date]]="","",Claims_Cleaned[[#This Row],[processed_date]]-Claims_Cleaned[[#This Row],[submission_date]])</f>
        <v>7</v>
      </c>
      <c r="I40" s="4" t="str">
        <f>TEXT(Claims_Cleaned[[#This Row],[claim_date]],"mmm-yyyy")</f>
        <v>Jun-2024</v>
      </c>
      <c r="J40" t="s">
        <v>11</v>
      </c>
      <c r="K40">
        <v>6934.19</v>
      </c>
      <c r="L40" t="s">
        <v>683</v>
      </c>
      <c r="M40">
        <v>7</v>
      </c>
    </row>
    <row r="41" spans="1:13" x14ac:dyDescent="0.35">
      <c r="A41" t="s">
        <v>2674</v>
      </c>
      <c r="B41" t="s">
        <v>348</v>
      </c>
      <c r="C41" t="s">
        <v>555</v>
      </c>
      <c r="D41" t="s">
        <v>660</v>
      </c>
      <c r="E41" s="1">
        <v>45561</v>
      </c>
      <c r="F41" s="1">
        <v>45564</v>
      </c>
      <c r="G41" s="1">
        <v>45582</v>
      </c>
      <c r="H41" s="4">
        <f>IF(Claims_Cleaned[[#This Row],[processed_date]]="","",Claims_Cleaned[[#This Row],[processed_date]]-Claims_Cleaned[[#This Row],[submission_date]])</f>
        <v>18</v>
      </c>
      <c r="I41" s="4" t="str">
        <f>TEXT(Claims_Cleaned[[#This Row],[claim_date]],"mmm-yyyy")</f>
        <v>Sep-2024</v>
      </c>
      <c r="J41" t="s">
        <v>8</v>
      </c>
      <c r="K41">
        <v>6933.67</v>
      </c>
      <c r="L41" t="s">
        <v>683</v>
      </c>
      <c r="M41">
        <v>18</v>
      </c>
    </row>
    <row r="42" spans="1:13" x14ac:dyDescent="0.35">
      <c r="A42" t="s">
        <v>2204</v>
      </c>
      <c r="B42" t="s">
        <v>484</v>
      </c>
      <c r="C42" t="s">
        <v>599</v>
      </c>
      <c r="D42" t="s">
        <v>660</v>
      </c>
      <c r="E42" s="1">
        <v>45600</v>
      </c>
      <c r="F42" s="1">
        <v>45604</v>
      </c>
      <c r="G42" s="1">
        <v>45609</v>
      </c>
      <c r="H42" s="4">
        <f>IF(Claims_Cleaned[[#This Row],[processed_date]]="","",Claims_Cleaned[[#This Row],[processed_date]]-Claims_Cleaned[[#This Row],[submission_date]])</f>
        <v>5</v>
      </c>
      <c r="I42" s="4" t="str">
        <f>TEXT(Claims_Cleaned[[#This Row],[claim_date]],"mmm-yyyy")</f>
        <v>Nov-2024</v>
      </c>
      <c r="J42" t="s">
        <v>8</v>
      </c>
      <c r="K42">
        <v>6883.23</v>
      </c>
      <c r="L42" t="s">
        <v>683</v>
      </c>
      <c r="M42">
        <v>5</v>
      </c>
    </row>
    <row r="43" spans="1:13" x14ac:dyDescent="0.35">
      <c r="A43" t="s">
        <v>1924</v>
      </c>
      <c r="B43" t="s">
        <v>41</v>
      </c>
      <c r="C43" t="s">
        <v>524</v>
      </c>
      <c r="D43" t="s">
        <v>660</v>
      </c>
      <c r="E43" s="1">
        <v>44976</v>
      </c>
      <c r="F43" s="1">
        <v>44979</v>
      </c>
      <c r="G43" s="1">
        <v>44984</v>
      </c>
      <c r="H43" s="4">
        <f>IF(Claims_Cleaned[[#This Row],[processed_date]]="","",Claims_Cleaned[[#This Row],[processed_date]]-Claims_Cleaned[[#This Row],[submission_date]])</f>
        <v>5</v>
      </c>
      <c r="I43" s="4" t="str">
        <f>TEXT(Claims_Cleaned[[#This Row],[claim_date]],"mmm-yyyy")</f>
        <v>Feb-2023</v>
      </c>
      <c r="J43" t="s">
        <v>11</v>
      </c>
      <c r="K43">
        <v>6854.52</v>
      </c>
      <c r="L43" t="s">
        <v>687</v>
      </c>
      <c r="M43">
        <v>5</v>
      </c>
    </row>
    <row r="44" spans="1:13" x14ac:dyDescent="0.35">
      <c r="A44" t="s">
        <v>1189</v>
      </c>
      <c r="B44" t="s">
        <v>387</v>
      </c>
      <c r="C44" t="s">
        <v>567</v>
      </c>
      <c r="D44" t="s">
        <v>660</v>
      </c>
      <c r="E44" s="1">
        <v>45466</v>
      </c>
      <c r="F44" s="1">
        <v>45468</v>
      </c>
      <c r="G44" s="1">
        <v>45497</v>
      </c>
      <c r="H44" s="4">
        <f>IF(Claims_Cleaned[[#This Row],[processed_date]]="","",Claims_Cleaned[[#This Row],[processed_date]]-Claims_Cleaned[[#This Row],[submission_date]])</f>
        <v>29</v>
      </c>
      <c r="I44" s="4" t="str">
        <f>TEXT(Claims_Cleaned[[#This Row],[claim_date]],"mmm-yyyy")</f>
        <v>Jun-2024</v>
      </c>
      <c r="J44" t="s">
        <v>11</v>
      </c>
      <c r="K44">
        <v>6818.91</v>
      </c>
      <c r="L44" t="s">
        <v>683</v>
      </c>
      <c r="M44">
        <v>29</v>
      </c>
    </row>
    <row r="45" spans="1:13" x14ac:dyDescent="0.35">
      <c r="A45" t="s">
        <v>881</v>
      </c>
      <c r="B45" t="s">
        <v>269</v>
      </c>
      <c r="C45" t="s">
        <v>587</v>
      </c>
      <c r="D45" t="s">
        <v>660</v>
      </c>
      <c r="E45" s="1">
        <v>45536</v>
      </c>
      <c r="F45" s="1">
        <v>45540</v>
      </c>
      <c r="G45" s="1">
        <v>45562</v>
      </c>
      <c r="H45" s="4">
        <f>IF(Claims_Cleaned[[#This Row],[processed_date]]="","",Claims_Cleaned[[#This Row],[processed_date]]-Claims_Cleaned[[#This Row],[submission_date]])</f>
        <v>22</v>
      </c>
      <c r="I45" s="4" t="str">
        <f>TEXT(Claims_Cleaned[[#This Row],[claim_date]],"mmm-yyyy")</f>
        <v>Sep-2024</v>
      </c>
      <c r="J45" t="s">
        <v>20</v>
      </c>
      <c r="K45">
        <v>6815.02</v>
      </c>
      <c r="L45" t="s">
        <v>683</v>
      </c>
      <c r="M45">
        <v>22</v>
      </c>
    </row>
    <row r="46" spans="1:13" x14ac:dyDescent="0.35">
      <c r="A46" t="s">
        <v>2132</v>
      </c>
      <c r="B46" t="s">
        <v>104</v>
      </c>
      <c r="C46" t="s">
        <v>583</v>
      </c>
      <c r="D46" t="s">
        <v>660</v>
      </c>
      <c r="E46" s="1">
        <v>45139</v>
      </c>
      <c r="F46" s="1">
        <v>45143</v>
      </c>
      <c r="G46" s="1">
        <v>45171</v>
      </c>
      <c r="H46" s="4">
        <f>IF(Claims_Cleaned[[#This Row],[processed_date]]="","",Claims_Cleaned[[#This Row],[processed_date]]-Claims_Cleaned[[#This Row],[submission_date]])</f>
        <v>28</v>
      </c>
      <c r="I46" s="4" t="str">
        <f>TEXT(Claims_Cleaned[[#This Row],[claim_date]],"mmm-yyyy")</f>
        <v>Aug-2023</v>
      </c>
      <c r="J46" t="s">
        <v>8</v>
      </c>
      <c r="K46">
        <v>6787.51</v>
      </c>
      <c r="L46" t="s">
        <v>683</v>
      </c>
      <c r="M46">
        <v>28</v>
      </c>
    </row>
    <row r="47" spans="1:13" x14ac:dyDescent="0.35">
      <c r="A47" t="s">
        <v>2618</v>
      </c>
      <c r="B47" t="s">
        <v>55</v>
      </c>
      <c r="C47" t="s">
        <v>524</v>
      </c>
      <c r="D47" t="s">
        <v>660</v>
      </c>
      <c r="E47" s="1">
        <v>45500</v>
      </c>
      <c r="F47" s="1">
        <v>45505</v>
      </c>
      <c r="G47" s="1">
        <v>45511</v>
      </c>
      <c r="H47" s="4">
        <f>IF(Claims_Cleaned[[#This Row],[processed_date]]="","",Claims_Cleaned[[#This Row],[processed_date]]-Claims_Cleaned[[#This Row],[submission_date]])</f>
        <v>6</v>
      </c>
      <c r="I47" s="4" t="str">
        <f>TEXT(Claims_Cleaned[[#This Row],[claim_date]],"mmm-yyyy")</f>
        <v>Jul-2024</v>
      </c>
      <c r="J47" t="s">
        <v>11</v>
      </c>
      <c r="K47">
        <v>6776.3</v>
      </c>
      <c r="L47" t="s">
        <v>683</v>
      </c>
      <c r="M47">
        <v>6</v>
      </c>
    </row>
    <row r="48" spans="1:13" x14ac:dyDescent="0.35">
      <c r="A48" t="s">
        <v>1629</v>
      </c>
      <c r="B48" t="s">
        <v>204</v>
      </c>
      <c r="C48" t="s">
        <v>599</v>
      </c>
      <c r="D48" t="s">
        <v>660</v>
      </c>
      <c r="E48" s="1">
        <v>44949</v>
      </c>
      <c r="F48" s="1">
        <v>44952</v>
      </c>
      <c r="G48" s="1">
        <v>44972</v>
      </c>
      <c r="H48" s="4">
        <f>IF(Claims_Cleaned[[#This Row],[processed_date]]="","",Claims_Cleaned[[#This Row],[processed_date]]-Claims_Cleaned[[#This Row],[submission_date]])</f>
        <v>20</v>
      </c>
      <c r="I48" s="4" t="str">
        <f>TEXT(Claims_Cleaned[[#This Row],[claim_date]],"mmm-yyyy")</f>
        <v>Jan-2023</v>
      </c>
      <c r="J48" t="s">
        <v>8</v>
      </c>
      <c r="K48">
        <v>6765.22</v>
      </c>
      <c r="L48" t="s">
        <v>687</v>
      </c>
      <c r="M48">
        <v>20</v>
      </c>
    </row>
    <row r="49" spans="1:13" x14ac:dyDescent="0.35">
      <c r="A49" t="s">
        <v>2595</v>
      </c>
      <c r="B49" t="s">
        <v>424</v>
      </c>
      <c r="C49" t="s">
        <v>543</v>
      </c>
      <c r="D49" t="s">
        <v>660</v>
      </c>
      <c r="E49" s="1">
        <v>45280</v>
      </c>
      <c r="F49" s="1">
        <v>45282</v>
      </c>
      <c r="G49" s="1">
        <v>45295</v>
      </c>
      <c r="H49" s="4">
        <f>IF(Claims_Cleaned[[#This Row],[processed_date]]="","",Claims_Cleaned[[#This Row],[processed_date]]-Claims_Cleaned[[#This Row],[submission_date]])</f>
        <v>13</v>
      </c>
      <c r="I49" s="4" t="str">
        <f>TEXT(Claims_Cleaned[[#This Row],[claim_date]],"mmm-yyyy")</f>
        <v>Dec-2023</v>
      </c>
      <c r="J49" t="s">
        <v>11</v>
      </c>
      <c r="K49">
        <v>6743.96</v>
      </c>
      <c r="L49" t="s">
        <v>683</v>
      </c>
      <c r="M49">
        <v>13</v>
      </c>
    </row>
    <row r="50" spans="1:13" x14ac:dyDescent="0.35">
      <c r="A50" t="s">
        <v>1182</v>
      </c>
      <c r="B50" t="s">
        <v>242</v>
      </c>
      <c r="C50" t="s">
        <v>603</v>
      </c>
      <c r="D50" t="s">
        <v>660</v>
      </c>
      <c r="E50" s="1">
        <v>45476</v>
      </c>
      <c r="F50" s="1">
        <v>45478</v>
      </c>
      <c r="G50" s="1"/>
      <c r="H50" s="4" t="str">
        <f>IF(Claims_Cleaned[[#This Row],[processed_date]]="","",Claims_Cleaned[[#This Row],[processed_date]]-Claims_Cleaned[[#This Row],[submission_date]])</f>
        <v/>
      </c>
      <c r="I50" s="4" t="str">
        <f>TEXT(Claims_Cleaned[[#This Row],[claim_date]],"mmm-yyyy")</f>
        <v>Jul-2024</v>
      </c>
      <c r="J50" t="s">
        <v>11</v>
      </c>
      <c r="K50">
        <v>6684.36</v>
      </c>
      <c r="L50" t="s">
        <v>689</v>
      </c>
    </row>
    <row r="51" spans="1:13" x14ac:dyDescent="0.35">
      <c r="A51" t="s">
        <v>2617</v>
      </c>
      <c r="B51" t="s">
        <v>33</v>
      </c>
      <c r="C51" t="s">
        <v>607</v>
      </c>
      <c r="D51" t="s">
        <v>660</v>
      </c>
      <c r="E51" s="1">
        <v>45119</v>
      </c>
      <c r="F51" s="1">
        <v>45122</v>
      </c>
      <c r="G51" s="1">
        <v>45139</v>
      </c>
      <c r="H51" s="4">
        <f>IF(Claims_Cleaned[[#This Row],[processed_date]]="","",Claims_Cleaned[[#This Row],[processed_date]]-Claims_Cleaned[[#This Row],[submission_date]])</f>
        <v>17</v>
      </c>
      <c r="I51" s="4" t="str">
        <f>TEXT(Claims_Cleaned[[#This Row],[claim_date]],"mmm-yyyy")</f>
        <v>Jul-2023</v>
      </c>
      <c r="J51" t="s">
        <v>8</v>
      </c>
      <c r="K51">
        <v>6657.92</v>
      </c>
      <c r="L51" t="s">
        <v>683</v>
      </c>
      <c r="M51">
        <v>17</v>
      </c>
    </row>
    <row r="52" spans="1:13" x14ac:dyDescent="0.35">
      <c r="A52" t="s">
        <v>963</v>
      </c>
      <c r="B52" t="s">
        <v>198</v>
      </c>
      <c r="C52" t="s">
        <v>553</v>
      </c>
      <c r="D52" t="s">
        <v>660</v>
      </c>
      <c r="E52" s="1">
        <v>45185</v>
      </c>
      <c r="F52" s="1">
        <v>45188</v>
      </c>
      <c r="G52" s="1">
        <v>45191</v>
      </c>
      <c r="H52" s="4">
        <f>IF(Claims_Cleaned[[#This Row],[processed_date]]="","",Claims_Cleaned[[#This Row],[processed_date]]-Claims_Cleaned[[#This Row],[submission_date]])</f>
        <v>3</v>
      </c>
      <c r="I52" s="4" t="str">
        <f>TEXT(Claims_Cleaned[[#This Row],[claim_date]],"mmm-yyyy")</f>
        <v>Sep-2023</v>
      </c>
      <c r="J52" t="s">
        <v>11</v>
      </c>
      <c r="K52">
        <v>6616.33</v>
      </c>
      <c r="L52" t="s">
        <v>683</v>
      </c>
      <c r="M52">
        <v>3</v>
      </c>
    </row>
    <row r="53" spans="1:13" x14ac:dyDescent="0.35">
      <c r="A53" t="s">
        <v>1985</v>
      </c>
      <c r="B53" t="s">
        <v>504</v>
      </c>
      <c r="C53" t="s">
        <v>549</v>
      </c>
      <c r="D53" t="s">
        <v>660</v>
      </c>
      <c r="E53" s="1">
        <v>45248</v>
      </c>
      <c r="F53" s="1">
        <v>45253</v>
      </c>
      <c r="G53" s="1">
        <v>45280</v>
      </c>
      <c r="H53" s="4">
        <f>IF(Claims_Cleaned[[#This Row],[processed_date]]="","",Claims_Cleaned[[#This Row],[processed_date]]-Claims_Cleaned[[#This Row],[submission_date]])</f>
        <v>27</v>
      </c>
      <c r="I53" s="4" t="str">
        <f>TEXT(Claims_Cleaned[[#This Row],[claim_date]],"mmm-yyyy")</f>
        <v>Nov-2023</v>
      </c>
      <c r="J53" t="s">
        <v>13</v>
      </c>
      <c r="K53">
        <v>6576.45</v>
      </c>
      <c r="L53" t="s">
        <v>683</v>
      </c>
      <c r="M53">
        <v>27</v>
      </c>
    </row>
    <row r="54" spans="1:13" x14ac:dyDescent="0.35">
      <c r="A54" t="s">
        <v>2253</v>
      </c>
      <c r="B54" t="s">
        <v>373</v>
      </c>
      <c r="C54" t="s">
        <v>603</v>
      </c>
      <c r="D54" t="s">
        <v>660</v>
      </c>
      <c r="E54" s="1">
        <v>45443</v>
      </c>
      <c r="F54" s="1">
        <v>45447</v>
      </c>
      <c r="G54" s="1">
        <v>45465</v>
      </c>
      <c r="H54" s="4">
        <f>IF(Claims_Cleaned[[#This Row],[processed_date]]="","",Claims_Cleaned[[#This Row],[processed_date]]-Claims_Cleaned[[#This Row],[submission_date]])</f>
        <v>18</v>
      </c>
      <c r="I54" s="4" t="str">
        <f>TEXT(Claims_Cleaned[[#This Row],[claim_date]],"mmm-yyyy")</f>
        <v>May-2024</v>
      </c>
      <c r="J54" t="s">
        <v>20</v>
      </c>
      <c r="K54">
        <v>6552.66</v>
      </c>
      <c r="L54" t="s">
        <v>687</v>
      </c>
      <c r="M54">
        <v>18</v>
      </c>
    </row>
    <row r="55" spans="1:13" x14ac:dyDescent="0.35">
      <c r="A55" t="s">
        <v>1159</v>
      </c>
      <c r="B55" t="s">
        <v>502</v>
      </c>
      <c r="C55" t="s">
        <v>524</v>
      </c>
      <c r="D55" t="s">
        <v>660</v>
      </c>
      <c r="E55" s="1">
        <v>45250</v>
      </c>
      <c r="F55" s="1">
        <v>45251</v>
      </c>
      <c r="G55" s="1">
        <v>45256</v>
      </c>
      <c r="H55" s="4">
        <f>IF(Claims_Cleaned[[#This Row],[processed_date]]="","",Claims_Cleaned[[#This Row],[processed_date]]-Claims_Cleaned[[#This Row],[submission_date]])</f>
        <v>5</v>
      </c>
      <c r="I55" s="4" t="str">
        <f>TEXT(Claims_Cleaned[[#This Row],[claim_date]],"mmm-yyyy")</f>
        <v>Nov-2023</v>
      </c>
      <c r="J55" t="s">
        <v>13</v>
      </c>
      <c r="K55">
        <v>6546.69</v>
      </c>
      <c r="L55" t="s">
        <v>683</v>
      </c>
      <c r="M55">
        <v>5</v>
      </c>
    </row>
    <row r="56" spans="1:13" x14ac:dyDescent="0.35">
      <c r="A56" t="s">
        <v>2105</v>
      </c>
      <c r="B56" t="s">
        <v>400</v>
      </c>
      <c r="C56" t="s">
        <v>611</v>
      </c>
      <c r="D56" t="s">
        <v>660</v>
      </c>
      <c r="E56" s="1">
        <v>45243</v>
      </c>
      <c r="F56" s="1">
        <v>45244</v>
      </c>
      <c r="G56" s="1">
        <v>45251</v>
      </c>
      <c r="H56" s="4">
        <f>IF(Claims_Cleaned[[#This Row],[processed_date]]="","",Claims_Cleaned[[#This Row],[processed_date]]-Claims_Cleaned[[#This Row],[submission_date]])</f>
        <v>7</v>
      </c>
      <c r="I56" s="4" t="str">
        <f>TEXT(Claims_Cleaned[[#This Row],[claim_date]],"mmm-yyyy")</f>
        <v>Nov-2023</v>
      </c>
      <c r="J56" t="s">
        <v>25</v>
      </c>
      <c r="K56">
        <v>6507.91</v>
      </c>
      <c r="L56" t="s">
        <v>683</v>
      </c>
      <c r="M56">
        <v>7</v>
      </c>
    </row>
    <row r="57" spans="1:13" x14ac:dyDescent="0.35">
      <c r="A57" t="s">
        <v>865</v>
      </c>
      <c r="B57" t="s">
        <v>292</v>
      </c>
      <c r="C57" t="s">
        <v>579</v>
      </c>
      <c r="D57" t="s">
        <v>660</v>
      </c>
      <c r="E57" s="1">
        <v>45416</v>
      </c>
      <c r="F57" s="1">
        <v>45417</v>
      </c>
      <c r="G57" s="1">
        <v>45432</v>
      </c>
      <c r="H57" s="4">
        <f>IF(Claims_Cleaned[[#This Row],[processed_date]]="","",Claims_Cleaned[[#This Row],[processed_date]]-Claims_Cleaned[[#This Row],[submission_date]])</f>
        <v>15</v>
      </c>
      <c r="I57" s="4" t="str">
        <f>TEXT(Claims_Cleaned[[#This Row],[claim_date]],"mmm-yyyy")</f>
        <v>May-2024</v>
      </c>
      <c r="J57" t="s">
        <v>13</v>
      </c>
      <c r="K57">
        <v>6482.94</v>
      </c>
      <c r="L57" t="s">
        <v>683</v>
      </c>
      <c r="M57">
        <v>15</v>
      </c>
    </row>
    <row r="58" spans="1:13" x14ac:dyDescent="0.35">
      <c r="A58" t="s">
        <v>1717</v>
      </c>
      <c r="B58" t="s">
        <v>423</v>
      </c>
      <c r="C58" t="s">
        <v>611</v>
      </c>
      <c r="D58" t="s">
        <v>660</v>
      </c>
      <c r="E58" s="1">
        <v>45230</v>
      </c>
      <c r="F58" s="1">
        <v>45232</v>
      </c>
      <c r="G58" s="1">
        <v>45252</v>
      </c>
      <c r="H58" s="4">
        <f>IF(Claims_Cleaned[[#This Row],[processed_date]]="","",Claims_Cleaned[[#This Row],[processed_date]]-Claims_Cleaned[[#This Row],[submission_date]])</f>
        <v>20</v>
      </c>
      <c r="I58" s="4" t="str">
        <f>TEXT(Claims_Cleaned[[#This Row],[claim_date]],"mmm-yyyy")</f>
        <v>Oct-2023</v>
      </c>
      <c r="J58" t="s">
        <v>13</v>
      </c>
      <c r="K58">
        <v>6341.71</v>
      </c>
      <c r="L58" t="s">
        <v>683</v>
      </c>
      <c r="M58">
        <v>20</v>
      </c>
    </row>
    <row r="59" spans="1:13" x14ac:dyDescent="0.35">
      <c r="A59" t="s">
        <v>1901</v>
      </c>
      <c r="B59" t="s">
        <v>85</v>
      </c>
      <c r="C59" t="s">
        <v>573</v>
      </c>
      <c r="D59" t="s">
        <v>660</v>
      </c>
      <c r="E59" s="1">
        <v>45379</v>
      </c>
      <c r="F59" s="1">
        <v>45384</v>
      </c>
      <c r="G59" s="1">
        <v>45393</v>
      </c>
      <c r="H59" s="4">
        <f>IF(Claims_Cleaned[[#This Row],[processed_date]]="","",Claims_Cleaned[[#This Row],[processed_date]]-Claims_Cleaned[[#This Row],[submission_date]])</f>
        <v>9</v>
      </c>
      <c r="I59" s="4" t="str">
        <f>TEXT(Claims_Cleaned[[#This Row],[claim_date]],"mmm-yyyy")</f>
        <v>Mar-2024</v>
      </c>
      <c r="J59" t="s">
        <v>11</v>
      </c>
      <c r="K59">
        <v>6302.91</v>
      </c>
      <c r="L59" t="s">
        <v>683</v>
      </c>
      <c r="M59">
        <v>9</v>
      </c>
    </row>
    <row r="60" spans="1:13" x14ac:dyDescent="0.35">
      <c r="A60" t="s">
        <v>2121</v>
      </c>
      <c r="B60" t="s">
        <v>332</v>
      </c>
      <c r="C60" t="s">
        <v>609</v>
      </c>
      <c r="D60" t="s">
        <v>660</v>
      </c>
      <c r="E60" s="1">
        <v>45337</v>
      </c>
      <c r="F60" s="1">
        <v>45339</v>
      </c>
      <c r="G60" s="1">
        <v>45352</v>
      </c>
      <c r="H60" s="4">
        <f>IF(Claims_Cleaned[[#This Row],[processed_date]]="","",Claims_Cleaned[[#This Row],[processed_date]]-Claims_Cleaned[[#This Row],[submission_date]])</f>
        <v>13</v>
      </c>
      <c r="I60" s="4" t="str">
        <f>TEXT(Claims_Cleaned[[#This Row],[claim_date]],"mmm-yyyy")</f>
        <v>Feb-2024</v>
      </c>
      <c r="J60" t="s">
        <v>20</v>
      </c>
      <c r="K60">
        <v>6298.07</v>
      </c>
      <c r="L60" t="s">
        <v>687</v>
      </c>
      <c r="M60">
        <v>13</v>
      </c>
    </row>
    <row r="61" spans="1:13" x14ac:dyDescent="0.35">
      <c r="A61" t="s">
        <v>1640</v>
      </c>
      <c r="B61" t="s">
        <v>472</v>
      </c>
      <c r="C61" t="s">
        <v>583</v>
      </c>
      <c r="D61" t="s">
        <v>660</v>
      </c>
      <c r="E61" s="1">
        <v>44940</v>
      </c>
      <c r="F61" s="1">
        <v>44944</v>
      </c>
      <c r="G61" s="1">
        <v>44972</v>
      </c>
      <c r="H61" s="4">
        <f>IF(Claims_Cleaned[[#This Row],[processed_date]]="","",Claims_Cleaned[[#This Row],[processed_date]]-Claims_Cleaned[[#This Row],[submission_date]])</f>
        <v>28</v>
      </c>
      <c r="I61" s="4" t="str">
        <f>TEXT(Claims_Cleaned[[#This Row],[claim_date]],"mmm-yyyy")</f>
        <v>Jan-2023</v>
      </c>
      <c r="J61" t="s">
        <v>13</v>
      </c>
      <c r="K61">
        <v>6293.16</v>
      </c>
      <c r="L61" t="s">
        <v>683</v>
      </c>
      <c r="M61">
        <v>28</v>
      </c>
    </row>
    <row r="62" spans="1:13" x14ac:dyDescent="0.35">
      <c r="A62" t="s">
        <v>1830</v>
      </c>
      <c r="B62" t="s">
        <v>469</v>
      </c>
      <c r="C62" t="s">
        <v>571</v>
      </c>
      <c r="D62" t="s">
        <v>660</v>
      </c>
      <c r="E62" s="1">
        <v>45121</v>
      </c>
      <c r="F62" s="1">
        <v>45124</v>
      </c>
      <c r="G62" s="1">
        <v>45152</v>
      </c>
      <c r="H62" s="4">
        <f>IF(Claims_Cleaned[[#This Row],[processed_date]]="","",Claims_Cleaned[[#This Row],[processed_date]]-Claims_Cleaned[[#This Row],[submission_date]])</f>
        <v>28</v>
      </c>
      <c r="I62" s="4" t="str">
        <f>TEXT(Claims_Cleaned[[#This Row],[claim_date]],"mmm-yyyy")</f>
        <v>Jul-2023</v>
      </c>
      <c r="J62" t="s">
        <v>8</v>
      </c>
      <c r="K62">
        <v>6210.67</v>
      </c>
      <c r="L62" t="s">
        <v>683</v>
      </c>
      <c r="M62">
        <v>28</v>
      </c>
    </row>
    <row r="63" spans="1:13" x14ac:dyDescent="0.35">
      <c r="A63" t="s">
        <v>1905</v>
      </c>
      <c r="B63" t="s">
        <v>231</v>
      </c>
      <c r="C63" t="s">
        <v>569</v>
      </c>
      <c r="D63" t="s">
        <v>626</v>
      </c>
      <c r="E63" s="1">
        <v>45524</v>
      </c>
      <c r="F63" s="1">
        <v>45529</v>
      </c>
      <c r="G63" s="1">
        <v>45542</v>
      </c>
      <c r="H63" s="4">
        <f>IF(Claims_Cleaned[[#This Row],[processed_date]]="","",Claims_Cleaned[[#This Row],[processed_date]]-Claims_Cleaned[[#This Row],[submission_date]])</f>
        <v>13</v>
      </c>
      <c r="I63" s="4" t="str">
        <f>TEXT(Claims_Cleaned[[#This Row],[claim_date]],"mmm-yyyy")</f>
        <v>Aug-2024</v>
      </c>
      <c r="J63" t="s">
        <v>8</v>
      </c>
      <c r="K63">
        <v>6182.62</v>
      </c>
      <c r="L63" t="s">
        <v>687</v>
      </c>
      <c r="M63">
        <v>13</v>
      </c>
    </row>
    <row r="64" spans="1:13" x14ac:dyDescent="0.35">
      <c r="A64" t="s">
        <v>1557</v>
      </c>
      <c r="B64" t="s">
        <v>403</v>
      </c>
      <c r="C64" t="s">
        <v>565</v>
      </c>
      <c r="D64" t="s">
        <v>626</v>
      </c>
      <c r="E64" s="1">
        <v>44951</v>
      </c>
      <c r="F64" s="1">
        <v>44953</v>
      </c>
      <c r="G64" s="1">
        <v>44960</v>
      </c>
      <c r="H64" s="4">
        <f>IF(Claims_Cleaned[[#This Row],[processed_date]]="","",Claims_Cleaned[[#This Row],[processed_date]]-Claims_Cleaned[[#This Row],[submission_date]])</f>
        <v>7</v>
      </c>
      <c r="I64" s="4" t="str">
        <f>TEXT(Claims_Cleaned[[#This Row],[claim_date]],"mmm-yyyy")</f>
        <v>Jan-2023</v>
      </c>
      <c r="J64" t="s">
        <v>8</v>
      </c>
      <c r="K64">
        <v>6163.56</v>
      </c>
      <c r="L64" t="s">
        <v>683</v>
      </c>
      <c r="M64">
        <v>7</v>
      </c>
    </row>
    <row r="65" spans="1:13" x14ac:dyDescent="0.35">
      <c r="A65" t="s">
        <v>1698</v>
      </c>
      <c r="B65" t="s">
        <v>382</v>
      </c>
      <c r="C65" t="s">
        <v>540</v>
      </c>
      <c r="D65" t="s">
        <v>660</v>
      </c>
      <c r="E65" s="1">
        <v>45558</v>
      </c>
      <c r="F65" s="1">
        <v>45559</v>
      </c>
      <c r="G65" s="1"/>
      <c r="H65" s="4" t="str">
        <f>IF(Claims_Cleaned[[#This Row],[processed_date]]="","",Claims_Cleaned[[#This Row],[processed_date]]-Claims_Cleaned[[#This Row],[submission_date]])</f>
        <v/>
      </c>
      <c r="I65" s="4" t="str">
        <f>TEXT(Claims_Cleaned[[#This Row],[claim_date]],"mmm-yyyy")</f>
        <v>Sep-2024</v>
      </c>
      <c r="J65" t="s">
        <v>8</v>
      </c>
      <c r="K65">
        <v>6136.2</v>
      </c>
      <c r="L65" t="s">
        <v>689</v>
      </c>
    </row>
    <row r="66" spans="1:13" x14ac:dyDescent="0.35">
      <c r="A66" t="s">
        <v>973</v>
      </c>
      <c r="B66" t="s">
        <v>75</v>
      </c>
      <c r="C66" t="s">
        <v>540</v>
      </c>
      <c r="D66" t="s">
        <v>660</v>
      </c>
      <c r="E66" s="1">
        <v>45545</v>
      </c>
      <c r="F66" s="1">
        <v>45550</v>
      </c>
      <c r="G66" s="1">
        <v>45553</v>
      </c>
      <c r="H66" s="4">
        <f>IF(Claims_Cleaned[[#This Row],[processed_date]]="","",Claims_Cleaned[[#This Row],[processed_date]]-Claims_Cleaned[[#This Row],[submission_date]])</f>
        <v>3</v>
      </c>
      <c r="I66" s="4" t="str">
        <f>TEXT(Claims_Cleaned[[#This Row],[claim_date]],"mmm-yyyy")</f>
        <v>Sep-2024</v>
      </c>
      <c r="J66" t="s">
        <v>8</v>
      </c>
      <c r="K66">
        <v>6134.58</v>
      </c>
      <c r="L66" t="s">
        <v>683</v>
      </c>
      <c r="M66">
        <v>3</v>
      </c>
    </row>
    <row r="67" spans="1:13" x14ac:dyDescent="0.35">
      <c r="A67" t="s">
        <v>2627</v>
      </c>
      <c r="B67" t="s">
        <v>174</v>
      </c>
      <c r="C67" t="s">
        <v>565</v>
      </c>
      <c r="D67" t="s">
        <v>626</v>
      </c>
      <c r="E67" s="1">
        <v>45342</v>
      </c>
      <c r="F67" s="1">
        <v>45346</v>
      </c>
      <c r="G67" s="1">
        <v>45363</v>
      </c>
      <c r="H67" s="4">
        <f>IF(Claims_Cleaned[[#This Row],[processed_date]]="","",Claims_Cleaned[[#This Row],[processed_date]]-Claims_Cleaned[[#This Row],[submission_date]])</f>
        <v>17</v>
      </c>
      <c r="I67" s="4" t="str">
        <f>TEXT(Claims_Cleaned[[#This Row],[claim_date]],"mmm-yyyy")</f>
        <v>Feb-2024</v>
      </c>
      <c r="J67" t="s">
        <v>8</v>
      </c>
      <c r="K67">
        <v>6132.13</v>
      </c>
      <c r="L67" t="s">
        <v>687</v>
      </c>
      <c r="M67">
        <v>17</v>
      </c>
    </row>
    <row r="68" spans="1:13" x14ac:dyDescent="0.35">
      <c r="A68" t="s">
        <v>1623</v>
      </c>
      <c r="B68" t="s">
        <v>89</v>
      </c>
      <c r="C68" t="s">
        <v>597</v>
      </c>
      <c r="D68" t="s">
        <v>660</v>
      </c>
      <c r="E68" s="1">
        <v>45239</v>
      </c>
      <c r="F68" s="1">
        <v>45240</v>
      </c>
      <c r="G68" s="1">
        <v>45244</v>
      </c>
      <c r="H68" s="4">
        <f>IF(Claims_Cleaned[[#This Row],[processed_date]]="","",Claims_Cleaned[[#This Row],[processed_date]]-Claims_Cleaned[[#This Row],[submission_date]])</f>
        <v>4</v>
      </c>
      <c r="I68" s="4" t="str">
        <f>TEXT(Claims_Cleaned[[#This Row],[claim_date]],"mmm-yyyy")</f>
        <v>Nov-2023</v>
      </c>
      <c r="J68" t="s">
        <v>11</v>
      </c>
      <c r="K68">
        <v>6084.66</v>
      </c>
      <c r="L68" t="s">
        <v>683</v>
      </c>
      <c r="M68">
        <v>4</v>
      </c>
    </row>
    <row r="69" spans="1:13" x14ac:dyDescent="0.35">
      <c r="A69" t="s">
        <v>2407</v>
      </c>
      <c r="B69" t="s">
        <v>291</v>
      </c>
      <c r="C69" t="s">
        <v>571</v>
      </c>
      <c r="D69" t="s">
        <v>660</v>
      </c>
      <c r="E69" s="1">
        <v>44973</v>
      </c>
      <c r="F69" s="1">
        <v>44976</v>
      </c>
      <c r="G69" s="1">
        <v>44994</v>
      </c>
      <c r="H69" s="4">
        <f>IF(Claims_Cleaned[[#This Row],[processed_date]]="","",Claims_Cleaned[[#This Row],[processed_date]]-Claims_Cleaned[[#This Row],[submission_date]])</f>
        <v>18</v>
      </c>
      <c r="I69" s="4" t="str">
        <f>TEXT(Claims_Cleaned[[#This Row],[claim_date]],"mmm-yyyy")</f>
        <v>Feb-2023</v>
      </c>
      <c r="J69" t="s">
        <v>13</v>
      </c>
      <c r="K69">
        <v>6050.21</v>
      </c>
      <c r="L69" t="s">
        <v>687</v>
      </c>
      <c r="M69">
        <v>18</v>
      </c>
    </row>
    <row r="70" spans="1:13" x14ac:dyDescent="0.35">
      <c r="A70" t="s">
        <v>1945</v>
      </c>
      <c r="B70" t="s">
        <v>137</v>
      </c>
      <c r="C70" t="s">
        <v>607</v>
      </c>
      <c r="D70" t="s">
        <v>626</v>
      </c>
      <c r="E70" s="1">
        <v>45080</v>
      </c>
      <c r="F70" s="1">
        <v>45085</v>
      </c>
      <c r="G70" s="1">
        <v>45115</v>
      </c>
      <c r="H70" s="4">
        <f>IF(Claims_Cleaned[[#This Row],[processed_date]]="","",Claims_Cleaned[[#This Row],[processed_date]]-Claims_Cleaned[[#This Row],[submission_date]])</f>
        <v>30</v>
      </c>
      <c r="I70" s="4" t="str">
        <f>TEXT(Claims_Cleaned[[#This Row],[claim_date]],"mmm-yyyy")</f>
        <v>Jun-2023</v>
      </c>
      <c r="J70" t="s">
        <v>11</v>
      </c>
      <c r="K70">
        <v>6028.2</v>
      </c>
      <c r="L70" t="s">
        <v>683</v>
      </c>
      <c r="M70">
        <v>30</v>
      </c>
    </row>
    <row r="71" spans="1:13" x14ac:dyDescent="0.35">
      <c r="A71" t="s">
        <v>1759</v>
      </c>
      <c r="B71" t="s">
        <v>424</v>
      </c>
      <c r="C71" t="s">
        <v>531</v>
      </c>
      <c r="D71" t="s">
        <v>660</v>
      </c>
      <c r="E71" s="1">
        <v>44975</v>
      </c>
      <c r="F71" s="1">
        <v>44977</v>
      </c>
      <c r="G71" s="1">
        <v>44996</v>
      </c>
      <c r="H71" s="4">
        <f>IF(Claims_Cleaned[[#This Row],[processed_date]]="","",Claims_Cleaned[[#This Row],[processed_date]]-Claims_Cleaned[[#This Row],[submission_date]])</f>
        <v>19</v>
      </c>
      <c r="I71" s="4" t="str">
        <f>TEXT(Claims_Cleaned[[#This Row],[claim_date]],"mmm-yyyy")</f>
        <v>Feb-2023</v>
      </c>
      <c r="J71" t="s">
        <v>11</v>
      </c>
      <c r="K71">
        <v>6019.51</v>
      </c>
      <c r="L71" t="s">
        <v>683</v>
      </c>
      <c r="M71">
        <v>19</v>
      </c>
    </row>
    <row r="72" spans="1:13" x14ac:dyDescent="0.35">
      <c r="A72" t="s">
        <v>1599</v>
      </c>
      <c r="B72" t="s">
        <v>208</v>
      </c>
      <c r="C72" t="s">
        <v>573</v>
      </c>
      <c r="D72" t="s">
        <v>626</v>
      </c>
      <c r="E72" s="1">
        <v>45248</v>
      </c>
      <c r="F72" s="1">
        <v>45251</v>
      </c>
      <c r="G72" s="1">
        <v>45270</v>
      </c>
      <c r="H72" s="4">
        <f>IF(Claims_Cleaned[[#This Row],[processed_date]]="","",Claims_Cleaned[[#This Row],[processed_date]]-Claims_Cleaned[[#This Row],[submission_date]])</f>
        <v>19</v>
      </c>
      <c r="I72" s="4" t="str">
        <f>TEXT(Claims_Cleaned[[#This Row],[claim_date]],"mmm-yyyy")</f>
        <v>Nov-2023</v>
      </c>
      <c r="J72" t="s">
        <v>13</v>
      </c>
      <c r="K72">
        <v>6017.87</v>
      </c>
      <c r="L72" t="s">
        <v>683</v>
      </c>
      <c r="M72">
        <v>19</v>
      </c>
    </row>
    <row r="73" spans="1:13" x14ac:dyDescent="0.35">
      <c r="A73" t="s">
        <v>2145</v>
      </c>
      <c r="B73" t="s">
        <v>241</v>
      </c>
      <c r="C73" t="s">
        <v>571</v>
      </c>
      <c r="D73" t="s">
        <v>660</v>
      </c>
      <c r="E73" s="1">
        <v>44936</v>
      </c>
      <c r="F73" s="1">
        <v>44941</v>
      </c>
      <c r="G73" s="1">
        <v>44951</v>
      </c>
      <c r="H73" s="4">
        <f>IF(Claims_Cleaned[[#This Row],[processed_date]]="","",Claims_Cleaned[[#This Row],[processed_date]]-Claims_Cleaned[[#This Row],[submission_date]])</f>
        <v>10</v>
      </c>
      <c r="I73" s="4" t="str">
        <f>TEXT(Claims_Cleaned[[#This Row],[claim_date]],"mmm-yyyy")</f>
        <v>Jan-2023</v>
      </c>
      <c r="J73" t="s">
        <v>11</v>
      </c>
      <c r="K73">
        <v>5986.67</v>
      </c>
      <c r="L73" t="s">
        <v>683</v>
      </c>
      <c r="M73">
        <v>10</v>
      </c>
    </row>
    <row r="74" spans="1:13" x14ac:dyDescent="0.35">
      <c r="A74" t="s">
        <v>1038</v>
      </c>
      <c r="B74" t="s">
        <v>225</v>
      </c>
      <c r="C74" t="s">
        <v>537</v>
      </c>
      <c r="D74" t="s">
        <v>660</v>
      </c>
      <c r="E74" s="1">
        <v>45588</v>
      </c>
      <c r="F74" s="1">
        <v>45591</v>
      </c>
      <c r="G74" s="1">
        <v>45614</v>
      </c>
      <c r="H74" s="4">
        <f>IF(Claims_Cleaned[[#This Row],[processed_date]]="","",Claims_Cleaned[[#This Row],[processed_date]]-Claims_Cleaned[[#This Row],[submission_date]])</f>
        <v>23</v>
      </c>
      <c r="I74" s="4" t="str">
        <f>TEXT(Claims_Cleaned[[#This Row],[claim_date]],"mmm-yyyy")</f>
        <v>Oct-2024</v>
      </c>
      <c r="J74" t="s">
        <v>8</v>
      </c>
      <c r="K74">
        <v>5975.48</v>
      </c>
      <c r="L74" t="s">
        <v>687</v>
      </c>
      <c r="M74">
        <v>23</v>
      </c>
    </row>
    <row r="75" spans="1:13" x14ac:dyDescent="0.35">
      <c r="A75" t="s">
        <v>1180</v>
      </c>
      <c r="B75" t="s">
        <v>197</v>
      </c>
      <c r="C75" t="s">
        <v>597</v>
      </c>
      <c r="D75" t="s">
        <v>626</v>
      </c>
      <c r="E75" s="1">
        <v>45158</v>
      </c>
      <c r="F75" s="1">
        <v>45159</v>
      </c>
      <c r="G75" s="1">
        <v>45167</v>
      </c>
      <c r="H75" s="4">
        <f>IF(Claims_Cleaned[[#This Row],[processed_date]]="","",Claims_Cleaned[[#This Row],[processed_date]]-Claims_Cleaned[[#This Row],[submission_date]])</f>
        <v>8</v>
      </c>
      <c r="I75" s="4" t="str">
        <f>TEXT(Claims_Cleaned[[#This Row],[claim_date]],"mmm-yyyy")</f>
        <v>Aug-2023</v>
      </c>
      <c r="J75" t="s">
        <v>13</v>
      </c>
      <c r="K75">
        <v>5971.37</v>
      </c>
      <c r="L75" t="s">
        <v>683</v>
      </c>
      <c r="M75">
        <v>8</v>
      </c>
    </row>
    <row r="76" spans="1:13" x14ac:dyDescent="0.35">
      <c r="A76" t="s">
        <v>2320</v>
      </c>
      <c r="B76" t="s">
        <v>359</v>
      </c>
      <c r="C76" t="s">
        <v>557</v>
      </c>
      <c r="D76" t="s">
        <v>660</v>
      </c>
      <c r="E76" s="1">
        <v>45145</v>
      </c>
      <c r="F76" s="1">
        <v>45150</v>
      </c>
      <c r="G76" s="1">
        <v>45178</v>
      </c>
      <c r="H76" s="4">
        <f>IF(Claims_Cleaned[[#This Row],[processed_date]]="","",Claims_Cleaned[[#This Row],[processed_date]]-Claims_Cleaned[[#This Row],[submission_date]])</f>
        <v>28</v>
      </c>
      <c r="I76" s="4" t="str">
        <f>TEXT(Claims_Cleaned[[#This Row],[claim_date]],"mmm-yyyy")</f>
        <v>Aug-2023</v>
      </c>
      <c r="J76" t="s">
        <v>25</v>
      </c>
      <c r="K76">
        <v>5952.1</v>
      </c>
      <c r="L76" t="s">
        <v>683</v>
      </c>
      <c r="M76">
        <v>28</v>
      </c>
    </row>
    <row r="77" spans="1:13" x14ac:dyDescent="0.35">
      <c r="A77" t="s">
        <v>787</v>
      </c>
      <c r="B77" t="s">
        <v>78</v>
      </c>
      <c r="C77" t="s">
        <v>587</v>
      </c>
      <c r="D77" t="s">
        <v>660</v>
      </c>
      <c r="E77" s="1">
        <v>45630</v>
      </c>
      <c r="F77" s="1">
        <v>45633</v>
      </c>
      <c r="G77" s="1"/>
      <c r="H77" s="4" t="str">
        <f>IF(Claims_Cleaned[[#This Row],[processed_date]]="","",Claims_Cleaned[[#This Row],[processed_date]]-Claims_Cleaned[[#This Row],[submission_date]])</f>
        <v/>
      </c>
      <c r="I77" s="4" t="str">
        <f>TEXT(Claims_Cleaned[[#This Row],[claim_date]],"mmm-yyyy")</f>
        <v>Dec-2024</v>
      </c>
      <c r="J77" t="s">
        <v>11</v>
      </c>
      <c r="K77">
        <v>5939.39</v>
      </c>
      <c r="L77" t="s">
        <v>689</v>
      </c>
    </row>
    <row r="78" spans="1:13" x14ac:dyDescent="0.35">
      <c r="A78" t="s">
        <v>2489</v>
      </c>
      <c r="B78" t="s">
        <v>437</v>
      </c>
      <c r="C78" t="s">
        <v>553</v>
      </c>
      <c r="D78" t="s">
        <v>660</v>
      </c>
      <c r="E78" s="1">
        <v>45381</v>
      </c>
      <c r="F78" s="1">
        <v>45385</v>
      </c>
      <c r="G78" s="1">
        <v>45415</v>
      </c>
      <c r="H78" s="4">
        <f>IF(Claims_Cleaned[[#This Row],[processed_date]]="","",Claims_Cleaned[[#This Row],[processed_date]]-Claims_Cleaned[[#This Row],[submission_date]])</f>
        <v>30</v>
      </c>
      <c r="I78" s="4" t="str">
        <f>TEXT(Claims_Cleaned[[#This Row],[claim_date]],"mmm-yyyy")</f>
        <v>Mar-2024</v>
      </c>
      <c r="J78" t="s">
        <v>20</v>
      </c>
      <c r="K78">
        <v>5938.44</v>
      </c>
      <c r="L78" t="s">
        <v>683</v>
      </c>
      <c r="M78">
        <v>30</v>
      </c>
    </row>
    <row r="79" spans="1:13" x14ac:dyDescent="0.35">
      <c r="A79" t="s">
        <v>2133</v>
      </c>
      <c r="B79" t="s">
        <v>145</v>
      </c>
      <c r="C79" t="s">
        <v>553</v>
      </c>
      <c r="D79" t="s">
        <v>660</v>
      </c>
      <c r="E79" s="1">
        <v>45236</v>
      </c>
      <c r="F79" s="1">
        <v>45237</v>
      </c>
      <c r="G79" s="1">
        <v>45255</v>
      </c>
      <c r="H79" s="4">
        <f>IF(Claims_Cleaned[[#This Row],[processed_date]]="","",Claims_Cleaned[[#This Row],[processed_date]]-Claims_Cleaned[[#This Row],[submission_date]])</f>
        <v>18</v>
      </c>
      <c r="I79" s="4" t="str">
        <f>TEXT(Claims_Cleaned[[#This Row],[claim_date]],"mmm-yyyy")</f>
        <v>Nov-2023</v>
      </c>
      <c r="J79" t="s">
        <v>8</v>
      </c>
      <c r="K79">
        <v>5931.02</v>
      </c>
      <c r="L79" t="s">
        <v>687</v>
      </c>
      <c r="M79">
        <v>18</v>
      </c>
    </row>
    <row r="80" spans="1:13" x14ac:dyDescent="0.35">
      <c r="A80" t="s">
        <v>1181</v>
      </c>
      <c r="B80" t="s">
        <v>200</v>
      </c>
      <c r="C80" t="s">
        <v>587</v>
      </c>
      <c r="D80" t="s">
        <v>660</v>
      </c>
      <c r="E80" s="1">
        <v>45459</v>
      </c>
      <c r="F80" s="1">
        <v>45463</v>
      </c>
      <c r="G80" s="1">
        <v>45482</v>
      </c>
      <c r="H80" s="4">
        <f>IF(Claims_Cleaned[[#This Row],[processed_date]]="","",Claims_Cleaned[[#This Row],[processed_date]]-Claims_Cleaned[[#This Row],[submission_date]])</f>
        <v>19</v>
      </c>
      <c r="I80" s="4" t="str">
        <f>TEXT(Claims_Cleaned[[#This Row],[claim_date]],"mmm-yyyy")</f>
        <v>Jun-2024</v>
      </c>
      <c r="J80" t="s">
        <v>20</v>
      </c>
      <c r="K80">
        <v>5926.05</v>
      </c>
      <c r="L80" t="s">
        <v>683</v>
      </c>
      <c r="M80">
        <v>19</v>
      </c>
    </row>
    <row r="81" spans="1:13" x14ac:dyDescent="0.35">
      <c r="A81" t="s">
        <v>1575</v>
      </c>
      <c r="B81" t="s">
        <v>479</v>
      </c>
      <c r="C81" t="s">
        <v>555</v>
      </c>
      <c r="D81" t="s">
        <v>626</v>
      </c>
      <c r="E81" s="1">
        <v>45310</v>
      </c>
      <c r="F81" s="1">
        <v>45315</v>
      </c>
      <c r="G81" s="1">
        <v>45320</v>
      </c>
      <c r="H81" s="4">
        <f>IF(Claims_Cleaned[[#This Row],[processed_date]]="","",Claims_Cleaned[[#This Row],[processed_date]]-Claims_Cleaned[[#This Row],[submission_date]])</f>
        <v>5</v>
      </c>
      <c r="I81" s="4" t="str">
        <f>TEXT(Claims_Cleaned[[#This Row],[claim_date]],"mmm-yyyy")</f>
        <v>Jan-2024</v>
      </c>
      <c r="J81" t="s">
        <v>20</v>
      </c>
      <c r="K81">
        <v>5902.05</v>
      </c>
      <c r="L81" t="s">
        <v>683</v>
      </c>
      <c r="M81">
        <v>5</v>
      </c>
    </row>
    <row r="82" spans="1:13" x14ac:dyDescent="0.35">
      <c r="A82" t="s">
        <v>1536</v>
      </c>
      <c r="B82" t="s">
        <v>197</v>
      </c>
      <c r="C82" t="s">
        <v>607</v>
      </c>
      <c r="D82" t="s">
        <v>660</v>
      </c>
      <c r="E82" s="1">
        <v>45130</v>
      </c>
      <c r="F82" s="1">
        <v>45133</v>
      </c>
      <c r="G82" s="1">
        <v>45159</v>
      </c>
      <c r="H82" s="4">
        <f>IF(Claims_Cleaned[[#This Row],[processed_date]]="","",Claims_Cleaned[[#This Row],[processed_date]]-Claims_Cleaned[[#This Row],[submission_date]])</f>
        <v>26</v>
      </c>
      <c r="I82" s="4" t="str">
        <f>TEXT(Claims_Cleaned[[#This Row],[claim_date]],"mmm-yyyy")</f>
        <v>Jul-2023</v>
      </c>
      <c r="J82" t="s">
        <v>13</v>
      </c>
      <c r="K82">
        <v>5883.8</v>
      </c>
      <c r="L82" t="s">
        <v>683</v>
      </c>
      <c r="M82">
        <v>26</v>
      </c>
    </row>
    <row r="83" spans="1:13" x14ac:dyDescent="0.35">
      <c r="A83" t="s">
        <v>701</v>
      </c>
      <c r="B83" t="s">
        <v>140</v>
      </c>
      <c r="C83" t="s">
        <v>524</v>
      </c>
      <c r="D83" t="s">
        <v>660</v>
      </c>
      <c r="E83" s="1">
        <v>45462</v>
      </c>
      <c r="F83" s="1">
        <v>45467</v>
      </c>
      <c r="G83" s="1">
        <v>45496</v>
      </c>
      <c r="H83" s="4">
        <f>IF(Claims_Cleaned[[#This Row],[processed_date]]="","",Claims_Cleaned[[#This Row],[processed_date]]-Claims_Cleaned[[#This Row],[submission_date]])</f>
        <v>29</v>
      </c>
      <c r="I83" s="4" t="str">
        <f>TEXT(Claims_Cleaned[[#This Row],[claim_date]],"mmm-yyyy")</f>
        <v>Jun-2024</v>
      </c>
      <c r="J83" t="s">
        <v>20</v>
      </c>
      <c r="K83">
        <v>5871.18</v>
      </c>
      <c r="L83" t="s">
        <v>683</v>
      </c>
      <c r="M83">
        <v>29</v>
      </c>
    </row>
    <row r="84" spans="1:13" x14ac:dyDescent="0.35">
      <c r="A84" t="s">
        <v>1630</v>
      </c>
      <c r="B84" t="s">
        <v>323</v>
      </c>
      <c r="C84" t="s">
        <v>571</v>
      </c>
      <c r="D84" t="s">
        <v>626</v>
      </c>
      <c r="E84" s="1">
        <v>45470</v>
      </c>
      <c r="F84" s="1">
        <v>45473</v>
      </c>
      <c r="G84" s="1"/>
      <c r="H84" s="4" t="str">
        <f>IF(Claims_Cleaned[[#This Row],[processed_date]]="","",Claims_Cleaned[[#This Row],[processed_date]]-Claims_Cleaned[[#This Row],[submission_date]])</f>
        <v/>
      </c>
      <c r="I84" s="4" t="str">
        <f>TEXT(Claims_Cleaned[[#This Row],[claim_date]],"mmm-yyyy")</f>
        <v>Jun-2024</v>
      </c>
      <c r="J84" t="s">
        <v>20</v>
      </c>
      <c r="K84">
        <v>5870.76</v>
      </c>
      <c r="L84" t="s">
        <v>689</v>
      </c>
    </row>
    <row r="85" spans="1:13" x14ac:dyDescent="0.35">
      <c r="A85" t="s">
        <v>1045</v>
      </c>
      <c r="B85" t="s">
        <v>334</v>
      </c>
      <c r="C85" t="s">
        <v>599</v>
      </c>
      <c r="D85" t="s">
        <v>660</v>
      </c>
      <c r="E85" s="1">
        <v>44992</v>
      </c>
      <c r="F85" s="1">
        <v>44996</v>
      </c>
      <c r="G85" s="1">
        <v>45023</v>
      </c>
      <c r="H85" s="4">
        <f>IF(Claims_Cleaned[[#This Row],[processed_date]]="","",Claims_Cleaned[[#This Row],[processed_date]]-Claims_Cleaned[[#This Row],[submission_date]])</f>
        <v>27</v>
      </c>
      <c r="I85" s="4" t="str">
        <f>TEXT(Claims_Cleaned[[#This Row],[claim_date]],"mmm-yyyy")</f>
        <v>Mar-2023</v>
      </c>
      <c r="J85" t="s">
        <v>11</v>
      </c>
      <c r="K85">
        <v>5869.01</v>
      </c>
      <c r="L85" t="s">
        <v>683</v>
      </c>
      <c r="M85">
        <v>27</v>
      </c>
    </row>
    <row r="86" spans="1:13" x14ac:dyDescent="0.35">
      <c r="A86" t="s">
        <v>1133</v>
      </c>
      <c r="B86" t="s">
        <v>496</v>
      </c>
      <c r="C86" t="s">
        <v>571</v>
      </c>
      <c r="D86" t="s">
        <v>626</v>
      </c>
      <c r="E86" s="1">
        <v>45440</v>
      </c>
      <c r="F86" s="1">
        <v>45445</v>
      </c>
      <c r="G86" s="1">
        <v>45451</v>
      </c>
      <c r="H86" s="4">
        <f>IF(Claims_Cleaned[[#This Row],[processed_date]]="","",Claims_Cleaned[[#This Row],[processed_date]]-Claims_Cleaned[[#This Row],[submission_date]])</f>
        <v>6</v>
      </c>
      <c r="I86" s="4" t="str">
        <f>TEXT(Claims_Cleaned[[#This Row],[claim_date]],"mmm-yyyy")</f>
        <v>May-2024</v>
      </c>
      <c r="J86" t="s">
        <v>13</v>
      </c>
      <c r="K86">
        <v>5861.29</v>
      </c>
      <c r="L86" t="s">
        <v>683</v>
      </c>
      <c r="M86">
        <v>6</v>
      </c>
    </row>
    <row r="87" spans="1:13" x14ac:dyDescent="0.35">
      <c r="A87" t="s">
        <v>1385</v>
      </c>
      <c r="B87" t="s">
        <v>60</v>
      </c>
      <c r="C87" t="s">
        <v>567</v>
      </c>
      <c r="D87" t="s">
        <v>660</v>
      </c>
      <c r="E87" s="1">
        <v>44957</v>
      </c>
      <c r="F87" s="1">
        <v>44962</v>
      </c>
      <c r="G87" s="1">
        <v>44970</v>
      </c>
      <c r="H87" s="4">
        <f>IF(Claims_Cleaned[[#This Row],[processed_date]]="","",Claims_Cleaned[[#This Row],[processed_date]]-Claims_Cleaned[[#This Row],[submission_date]])</f>
        <v>8</v>
      </c>
      <c r="I87" s="4" t="str">
        <f>TEXT(Claims_Cleaned[[#This Row],[claim_date]],"mmm-yyyy")</f>
        <v>Jan-2023</v>
      </c>
      <c r="J87" t="s">
        <v>11</v>
      </c>
      <c r="K87">
        <v>5855.34</v>
      </c>
      <c r="L87" t="s">
        <v>683</v>
      </c>
      <c r="M87">
        <v>8</v>
      </c>
    </row>
    <row r="88" spans="1:13" x14ac:dyDescent="0.35">
      <c r="A88" t="s">
        <v>2633</v>
      </c>
      <c r="B88" t="s">
        <v>238</v>
      </c>
      <c r="C88" t="s">
        <v>583</v>
      </c>
      <c r="D88" t="s">
        <v>626</v>
      </c>
      <c r="E88" s="1">
        <v>45558</v>
      </c>
      <c r="F88" s="1">
        <v>45561</v>
      </c>
      <c r="G88" s="1"/>
      <c r="H88" s="4" t="str">
        <f>IF(Claims_Cleaned[[#This Row],[processed_date]]="","",Claims_Cleaned[[#This Row],[processed_date]]-Claims_Cleaned[[#This Row],[submission_date]])</f>
        <v/>
      </c>
      <c r="I88" s="4" t="str">
        <f>TEXT(Claims_Cleaned[[#This Row],[claim_date]],"mmm-yyyy")</f>
        <v>Sep-2024</v>
      </c>
      <c r="J88" t="s">
        <v>20</v>
      </c>
      <c r="K88">
        <v>5846.05</v>
      </c>
      <c r="L88" t="s">
        <v>689</v>
      </c>
    </row>
    <row r="89" spans="1:13" x14ac:dyDescent="0.35">
      <c r="A89" t="s">
        <v>2177</v>
      </c>
      <c r="B89" t="s">
        <v>160</v>
      </c>
      <c r="C89" t="s">
        <v>561</v>
      </c>
      <c r="D89" t="s">
        <v>626</v>
      </c>
      <c r="E89" s="1">
        <v>45067</v>
      </c>
      <c r="F89" s="1">
        <v>45072</v>
      </c>
      <c r="G89" s="1">
        <v>45086</v>
      </c>
      <c r="H89" s="4">
        <f>IF(Claims_Cleaned[[#This Row],[processed_date]]="","",Claims_Cleaned[[#This Row],[processed_date]]-Claims_Cleaned[[#This Row],[submission_date]])</f>
        <v>14</v>
      </c>
      <c r="I89" s="4" t="str">
        <f>TEXT(Claims_Cleaned[[#This Row],[claim_date]],"mmm-yyyy")</f>
        <v>May-2023</v>
      </c>
      <c r="J89" t="s">
        <v>20</v>
      </c>
      <c r="K89">
        <v>5802.09</v>
      </c>
      <c r="L89" t="s">
        <v>683</v>
      </c>
      <c r="M89">
        <v>14</v>
      </c>
    </row>
    <row r="90" spans="1:13" x14ac:dyDescent="0.35">
      <c r="A90" t="s">
        <v>2148</v>
      </c>
      <c r="B90" t="s">
        <v>496</v>
      </c>
      <c r="C90" t="s">
        <v>581</v>
      </c>
      <c r="D90" t="s">
        <v>626</v>
      </c>
      <c r="E90" s="1">
        <v>45486</v>
      </c>
      <c r="F90" s="1">
        <v>45487</v>
      </c>
      <c r="G90" s="1">
        <v>45492</v>
      </c>
      <c r="H90" s="4">
        <f>IF(Claims_Cleaned[[#This Row],[processed_date]]="","",Claims_Cleaned[[#This Row],[processed_date]]-Claims_Cleaned[[#This Row],[submission_date]])</f>
        <v>5</v>
      </c>
      <c r="I90" s="4" t="str">
        <f>TEXT(Claims_Cleaned[[#This Row],[claim_date]],"mmm-yyyy")</f>
        <v>Jul-2024</v>
      </c>
      <c r="J90" t="s">
        <v>13</v>
      </c>
      <c r="K90">
        <v>5742.38</v>
      </c>
      <c r="L90" t="s">
        <v>683</v>
      </c>
      <c r="M90">
        <v>5</v>
      </c>
    </row>
    <row r="91" spans="1:13" x14ac:dyDescent="0.35">
      <c r="A91" t="s">
        <v>1740</v>
      </c>
      <c r="B91" t="s">
        <v>391</v>
      </c>
      <c r="C91" t="s">
        <v>557</v>
      </c>
      <c r="D91" t="s">
        <v>626</v>
      </c>
      <c r="E91" s="1">
        <v>45088</v>
      </c>
      <c r="F91" s="1">
        <v>45091</v>
      </c>
      <c r="G91" s="1">
        <v>45119</v>
      </c>
      <c r="H91" s="4">
        <f>IF(Claims_Cleaned[[#This Row],[processed_date]]="","",Claims_Cleaned[[#This Row],[processed_date]]-Claims_Cleaned[[#This Row],[submission_date]])</f>
        <v>28</v>
      </c>
      <c r="I91" s="4" t="str">
        <f>TEXT(Claims_Cleaned[[#This Row],[claim_date]],"mmm-yyyy")</f>
        <v>Jun-2023</v>
      </c>
      <c r="J91" t="s">
        <v>11</v>
      </c>
      <c r="K91">
        <v>5718.05</v>
      </c>
      <c r="L91" t="s">
        <v>683</v>
      </c>
      <c r="M91">
        <v>28</v>
      </c>
    </row>
    <row r="92" spans="1:13" x14ac:dyDescent="0.35">
      <c r="A92" t="s">
        <v>1999</v>
      </c>
      <c r="B92" t="s">
        <v>341</v>
      </c>
      <c r="C92" t="s">
        <v>599</v>
      </c>
      <c r="D92" t="s">
        <v>626</v>
      </c>
      <c r="E92" s="1">
        <v>45593</v>
      </c>
      <c r="F92" s="1">
        <v>45594</v>
      </c>
      <c r="G92" s="1"/>
      <c r="H92" s="4" t="str">
        <f>IF(Claims_Cleaned[[#This Row],[processed_date]]="","",Claims_Cleaned[[#This Row],[processed_date]]-Claims_Cleaned[[#This Row],[submission_date]])</f>
        <v/>
      </c>
      <c r="I92" s="4" t="str">
        <f>TEXT(Claims_Cleaned[[#This Row],[claim_date]],"mmm-yyyy")</f>
        <v>Oct-2024</v>
      </c>
      <c r="J92" t="s">
        <v>11</v>
      </c>
      <c r="K92">
        <v>5690.08</v>
      </c>
      <c r="L92" t="s">
        <v>689</v>
      </c>
    </row>
    <row r="93" spans="1:13" x14ac:dyDescent="0.35">
      <c r="A93" t="s">
        <v>2070</v>
      </c>
      <c r="B93" t="s">
        <v>54</v>
      </c>
      <c r="C93" t="s">
        <v>549</v>
      </c>
      <c r="D93" t="s">
        <v>626</v>
      </c>
      <c r="E93" s="1">
        <v>45431</v>
      </c>
      <c r="F93" s="1">
        <v>45434</v>
      </c>
      <c r="G93" s="1">
        <v>45443</v>
      </c>
      <c r="H93" s="4">
        <f>IF(Claims_Cleaned[[#This Row],[processed_date]]="","",Claims_Cleaned[[#This Row],[processed_date]]-Claims_Cleaned[[#This Row],[submission_date]])</f>
        <v>9</v>
      </c>
      <c r="I93" s="4" t="str">
        <f>TEXT(Claims_Cleaned[[#This Row],[claim_date]],"mmm-yyyy")</f>
        <v>May-2024</v>
      </c>
      <c r="J93" t="s">
        <v>11</v>
      </c>
      <c r="K93">
        <v>5646.92</v>
      </c>
      <c r="L93" t="s">
        <v>683</v>
      </c>
      <c r="M93">
        <v>9</v>
      </c>
    </row>
    <row r="94" spans="1:13" x14ac:dyDescent="0.35">
      <c r="A94" t="s">
        <v>2406</v>
      </c>
      <c r="B94" t="s">
        <v>259</v>
      </c>
      <c r="C94" t="s">
        <v>531</v>
      </c>
      <c r="D94" t="s">
        <v>626</v>
      </c>
      <c r="E94" s="1">
        <v>45362</v>
      </c>
      <c r="F94" s="1">
        <v>45365</v>
      </c>
      <c r="G94" s="1">
        <v>45375</v>
      </c>
      <c r="H94" s="4">
        <f>IF(Claims_Cleaned[[#This Row],[processed_date]]="","",Claims_Cleaned[[#This Row],[processed_date]]-Claims_Cleaned[[#This Row],[submission_date]])</f>
        <v>10</v>
      </c>
      <c r="I94" s="4" t="str">
        <f>TEXT(Claims_Cleaned[[#This Row],[claim_date]],"mmm-yyyy")</f>
        <v>Mar-2024</v>
      </c>
      <c r="J94" t="s">
        <v>20</v>
      </c>
      <c r="K94">
        <v>5626.22</v>
      </c>
      <c r="L94" t="s">
        <v>683</v>
      </c>
      <c r="M94">
        <v>10</v>
      </c>
    </row>
    <row r="95" spans="1:13" x14ac:dyDescent="0.35">
      <c r="A95" t="s">
        <v>1576</v>
      </c>
      <c r="B95" t="s">
        <v>318</v>
      </c>
      <c r="C95" t="s">
        <v>559</v>
      </c>
      <c r="D95" t="s">
        <v>626</v>
      </c>
      <c r="E95" s="1">
        <v>45186</v>
      </c>
      <c r="F95" s="1">
        <v>45189</v>
      </c>
      <c r="G95" s="1">
        <v>45214</v>
      </c>
      <c r="H95" s="4">
        <f>IF(Claims_Cleaned[[#This Row],[processed_date]]="","",Claims_Cleaned[[#This Row],[processed_date]]-Claims_Cleaned[[#This Row],[submission_date]])</f>
        <v>25</v>
      </c>
      <c r="I95" s="4" t="str">
        <f>TEXT(Claims_Cleaned[[#This Row],[claim_date]],"mmm-yyyy")</f>
        <v>Sep-2023</v>
      </c>
      <c r="J95" t="s">
        <v>13</v>
      </c>
      <c r="K95">
        <v>5557.67</v>
      </c>
      <c r="L95" t="s">
        <v>683</v>
      </c>
      <c r="M95">
        <v>25</v>
      </c>
    </row>
    <row r="96" spans="1:13" x14ac:dyDescent="0.35">
      <c r="A96" t="s">
        <v>844</v>
      </c>
      <c r="B96" t="s">
        <v>72</v>
      </c>
      <c r="C96" t="s">
        <v>583</v>
      </c>
      <c r="D96" t="s">
        <v>626</v>
      </c>
      <c r="E96" s="1">
        <v>45592</v>
      </c>
      <c r="F96" s="1">
        <v>45593</v>
      </c>
      <c r="G96" s="1">
        <v>45603</v>
      </c>
      <c r="H96" s="4">
        <f>IF(Claims_Cleaned[[#This Row],[processed_date]]="","",Claims_Cleaned[[#This Row],[processed_date]]-Claims_Cleaned[[#This Row],[submission_date]])</f>
        <v>10</v>
      </c>
      <c r="I96" s="4" t="str">
        <f>TEXT(Claims_Cleaned[[#This Row],[claim_date]],"mmm-yyyy")</f>
        <v>Oct-2024</v>
      </c>
      <c r="J96" t="s">
        <v>20</v>
      </c>
      <c r="K96">
        <v>5557.3</v>
      </c>
      <c r="L96" t="s">
        <v>687</v>
      </c>
      <c r="M96">
        <v>10</v>
      </c>
    </row>
    <row r="97" spans="1:13" x14ac:dyDescent="0.35">
      <c r="A97" t="s">
        <v>1902</v>
      </c>
      <c r="B97" t="s">
        <v>63</v>
      </c>
      <c r="C97" t="s">
        <v>567</v>
      </c>
      <c r="D97" t="s">
        <v>626</v>
      </c>
      <c r="E97" s="1">
        <v>45316</v>
      </c>
      <c r="F97" s="1">
        <v>45320</v>
      </c>
      <c r="G97" s="1">
        <v>45350</v>
      </c>
      <c r="H97" s="4">
        <f>IF(Claims_Cleaned[[#This Row],[processed_date]]="","",Claims_Cleaned[[#This Row],[processed_date]]-Claims_Cleaned[[#This Row],[submission_date]])</f>
        <v>30</v>
      </c>
      <c r="I97" s="4" t="str">
        <f>TEXT(Claims_Cleaned[[#This Row],[claim_date]],"mmm-yyyy")</f>
        <v>Jan-2024</v>
      </c>
      <c r="J97" t="s">
        <v>25</v>
      </c>
      <c r="K97">
        <v>5528.48</v>
      </c>
      <c r="L97" t="s">
        <v>683</v>
      </c>
      <c r="M97">
        <v>30</v>
      </c>
    </row>
    <row r="98" spans="1:13" x14ac:dyDescent="0.35">
      <c r="A98" t="s">
        <v>2124</v>
      </c>
      <c r="B98" t="s">
        <v>368</v>
      </c>
      <c r="C98" t="s">
        <v>557</v>
      </c>
      <c r="D98" t="s">
        <v>626</v>
      </c>
      <c r="E98" s="1">
        <v>45308</v>
      </c>
      <c r="F98" s="1">
        <v>45312</v>
      </c>
      <c r="G98" s="1">
        <v>45331</v>
      </c>
      <c r="H98" s="4">
        <f>IF(Claims_Cleaned[[#This Row],[processed_date]]="","",Claims_Cleaned[[#This Row],[processed_date]]-Claims_Cleaned[[#This Row],[submission_date]])</f>
        <v>19</v>
      </c>
      <c r="I98" s="4" t="str">
        <f>TEXT(Claims_Cleaned[[#This Row],[claim_date]],"mmm-yyyy")</f>
        <v>Jan-2024</v>
      </c>
      <c r="J98" t="s">
        <v>20</v>
      </c>
      <c r="K98">
        <v>5521.75</v>
      </c>
      <c r="L98" t="s">
        <v>683</v>
      </c>
      <c r="M98">
        <v>19</v>
      </c>
    </row>
    <row r="99" spans="1:13" x14ac:dyDescent="0.35">
      <c r="A99" t="s">
        <v>1669</v>
      </c>
      <c r="B99" t="s">
        <v>337</v>
      </c>
      <c r="C99" t="s">
        <v>555</v>
      </c>
      <c r="D99" t="s">
        <v>626</v>
      </c>
      <c r="E99" s="1">
        <v>45269</v>
      </c>
      <c r="F99" s="1">
        <v>45271</v>
      </c>
      <c r="G99" s="1">
        <v>45283</v>
      </c>
      <c r="H99" s="4">
        <f>IF(Claims_Cleaned[[#This Row],[processed_date]]="","",Claims_Cleaned[[#This Row],[processed_date]]-Claims_Cleaned[[#This Row],[submission_date]])</f>
        <v>12</v>
      </c>
      <c r="I99" s="4" t="str">
        <f>TEXT(Claims_Cleaned[[#This Row],[claim_date]],"mmm-yyyy")</f>
        <v>Dec-2023</v>
      </c>
      <c r="J99" t="s">
        <v>11</v>
      </c>
      <c r="K99">
        <v>5510.1</v>
      </c>
      <c r="L99" t="s">
        <v>683</v>
      </c>
      <c r="M99">
        <v>12</v>
      </c>
    </row>
    <row r="100" spans="1:13" x14ac:dyDescent="0.35">
      <c r="A100" t="s">
        <v>2390</v>
      </c>
      <c r="B100" t="s">
        <v>128</v>
      </c>
      <c r="C100" t="s">
        <v>567</v>
      </c>
      <c r="D100" t="s">
        <v>626</v>
      </c>
      <c r="E100" s="1">
        <v>45531</v>
      </c>
      <c r="F100" s="1">
        <v>45532</v>
      </c>
      <c r="G100" s="1">
        <v>45562</v>
      </c>
      <c r="H100" s="4">
        <f>IF(Claims_Cleaned[[#This Row],[processed_date]]="","",Claims_Cleaned[[#This Row],[processed_date]]-Claims_Cleaned[[#This Row],[submission_date]])</f>
        <v>30</v>
      </c>
      <c r="I100" s="4" t="str">
        <f>TEXT(Claims_Cleaned[[#This Row],[claim_date]],"mmm-yyyy")</f>
        <v>Aug-2024</v>
      </c>
      <c r="J100" t="s">
        <v>8</v>
      </c>
      <c r="K100">
        <v>5498.99</v>
      </c>
      <c r="L100" t="s">
        <v>683</v>
      </c>
      <c r="M100">
        <v>30</v>
      </c>
    </row>
    <row r="101" spans="1:13" x14ac:dyDescent="0.35">
      <c r="A101" t="s">
        <v>971</v>
      </c>
      <c r="B101" t="s">
        <v>359</v>
      </c>
      <c r="C101" t="s">
        <v>549</v>
      </c>
      <c r="D101" t="s">
        <v>626</v>
      </c>
      <c r="E101" s="1">
        <v>45539</v>
      </c>
      <c r="F101" s="1">
        <v>45540</v>
      </c>
      <c r="G101" s="1">
        <v>45548</v>
      </c>
      <c r="H101" s="4">
        <f>IF(Claims_Cleaned[[#This Row],[processed_date]]="","",Claims_Cleaned[[#This Row],[processed_date]]-Claims_Cleaned[[#This Row],[submission_date]])</f>
        <v>8</v>
      </c>
      <c r="I101" s="4" t="str">
        <f>TEXT(Claims_Cleaned[[#This Row],[claim_date]],"mmm-yyyy")</f>
        <v>Sep-2024</v>
      </c>
      <c r="J101" t="s">
        <v>25</v>
      </c>
      <c r="K101">
        <v>5450.04</v>
      </c>
      <c r="L101" t="s">
        <v>683</v>
      </c>
      <c r="M101">
        <v>8</v>
      </c>
    </row>
    <row r="102" spans="1:13" x14ac:dyDescent="0.35">
      <c r="A102" t="s">
        <v>2127</v>
      </c>
      <c r="B102" t="s">
        <v>318</v>
      </c>
      <c r="C102" t="s">
        <v>611</v>
      </c>
      <c r="D102" t="s">
        <v>626</v>
      </c>
      <c r="E102" s="1">
        <v>44973</v>
      </c>
      <c r="F102" s="1">
        <v>44977</v>
      </c>
      <c r="G102" s="1">
        <v>45003</v>
      </c>
      <c r="H102" s="4">
        <f>IF(Claims_Cleaned[[#This Row],[processed_date]]="","",Claims_Cleaned[[#This Row],[processed_date]]-Claims_Cleaned[[#This Row],[submission_date]])</f>
        <v>26</v>
      </c>
      <c r="I102" s="4" t="str">
        <f>TEXT(Claims_Cleaned[[#This Row],[claim_date]],"mmm-yyyy")</f>
        <v>Feb-2023</v>
      </c>
      <c r="J102" t="s">
        <v>13</v>
      </c>
      <c r="K102">
        <v>5440.05</v>
      </c>
      <c r="L102" t="s">
        <v>683</v>
      </c>
      <c r="M102">
        <v>26</v>
      </c>
    </row>
    <row r="103" spans="1:13" x14ac:dyDescent="0.35">
      <c r="A103" t="s">
        <v>1055</v>
      </c>
      <c r="B103" t="s">
        <v>197</v>
      </c>
      <c r="C103" t="s">
        <v>543</v>
      </c>
      <c r="D103" t="s">
        <v>626</v>
      </c>
      <c r="E103" s="1">
        <v>45566</v>
      </c>
      <c r="F103" s="1">
        <v>45568</v>
      </c>
      <c r="G103" s="1">
        <v>45581</v>
      </c>
      <c r="H103" s="4">
        <f>IF(Claims_Cleaned[[#This Row],[processed_date]]="","",Claims_Cleaned[[#This Row],[processed_date]]-Claims_Cleaned[[#This Row],[submission_date]])</f>
        <v>13</v>
      </c>
      <c r="I103" s="4" t="str">
        <f>TEXT(Claims_Cleaned[[#This Row],[claim_date]],"mmm-yyyy")</f>
        <v>Oct-2024</v>
      </c>
      <c r="J103" t="s">
        <v>13</v>
      </c>
      <c r="K103">
        <v>5435.47</v>
      </c>
      <c r="L103" t="s">
        <v>687</v>
      </c>
      <c r="M103">
        <v>13</v>
      </c>
    </row>
    <row r="104" spans="1:13" x14ac:dyDescent="0.35">
      <c r="A104" t="s">
        <v>1426</v>
      </c>
      <c r="B104" t="s">
        <v>437</v>
      </c>
      <c r="C104" t="s">
        <v>583</v>
      </c>
      <c r="D104" t="s">
        <v>626</v>
      </c>
      <c r="E104" s="1">
        <v>44995</v>
      </c>
      <c r="F104" s="1">
        <v>44999</v>
      </c>
      <c r="G104" s="1">
        <v>45028</v>
      </c>
      <c r="H104" s="4">
        <f>IF(Claims_Cleaned[[#This Row],[processed_date]]="","",Claims_Cleaned[[#This Row],[processed_date]]-Claims_Cleaned[[#This Row],[submission_date]])</f>
        <v>29</v>
      </c>
      <c r="I104" s="4" t="str">
        <f>TEXT(Claims_Cleaned[[#This Row],[claim_date]],"mmm-yyyy")</f>
        <v>Mar-2023</v>
      </c>
      <c r="J104" t="s">
        <v>20</v>
      </c>
      <c r="K104">
        <v>5427.17</v>
      </c>
      <c r="L104" t="s">
        <v>683</v>
      </c>
      <c r="M104">
        <v>29</v>
      </c>
    </row>
    <row r="105" spans="1:13" x14ac:dyDescent="0.35">
      <c r="A105" t="s">
        <v>1659</v>
      </c>
      <c r="B105" t="s">
        <v>68</v>
      </c>
      <c r="C105" t="s">
        <v>567</v>
      </c>
      <c r="D105" t="s">
        <v>626</v>
      </c>
      <c r="E105" s="1">
        <v>45642</v>
      </c>
      <c r="F105" s="1">
        <v>45646</v>
      </c>
      <c r="G105" s="1">
        <v>45665</v>
      </c>
      <c r="H105" s="4">
        <f>IF(Claims_Cleaned[[#This Row],[processed_date]]="","",Claims_Cleaned[[#This Row],[processed_date]]-Claims_Cleaned[[#This Row],[submission_date]])</f>
        <v>19</v>
      </c>
      <c r="I105" s="4" t="str">
        <f>TEXT(Claims_Cleaned[[#This Row],[claim_date]],"mmm-yyyy")</f>
        <v>Dec-2024</v>
      </c>
      <c r="J105" t="s">
        <v>25</v>
      </c>
      <c r="K105">
        <v>5410.28</v>
      </c>
      <c r="L105" t="s">
        <v>683</v>
      </c>
      <c r="M105">
        <v>19</v>
      </c>
    </row>
    <row r="106" spans="1:13" x14ac:dyDescent="0.35">
      <c r="A106" t="s">
        <v>2538</v>
      </c>
      <c r="B106" t="s">
        <v>430</v>
      </c>
      <c r="C106" t="s">
        <v>599</v>
      </c>
      <c r="D106" t="s">
        <v>626</v>
      </c>
      <c r="E106" s="1">
        <v>45603</v>
      </c>
      <c r="F106" s="1">
        <v>45606</v>
      </c>
      <c r="G106" s="1">
        <v>45611</v>
      </c>
      <c r="H106" s="4">
        <f>IF(Claims_Cleaned[[#This Row],[processed_date]]="","",Claims_Cleaned[[#This Row],[processed_date]]-Claims_Cleaned[[#This Row],[submission_date]])</f>
        <v>5</v>
      </c>
      <c r="I106" s="4" t="str">
        <f>TEXT(Claims_Cleaned[[#This Row],[claim_date]],"mmm-yyyy")</f>
        <v>Nov-2024</v>
      </c>
      <c r="J106" t="s">
        <v>20</v>
      </c>
      <c r="K106">
        <v>5383.8</v>
      </c>
      <c r="L106" t="s">
        <v>683</v>
      </c>
      <c r="M106">
        <v>5</v>
      </c>
    </row>
    <row r="107" spans="1:13" x14ac:dyDescent="0.35">
      <c r="A107" t="s">
        <v>2479</v>
      </c>
      <c r="B107" t="s">
        <v>340</v>
      </c>
      <c r="C107" t="s">
        <v>581</v>
      </c>
      <c r="D107" t="s">
        <v>626</v>
      </c>
      <c r="E107" s="1">
        <v>44929</v>
      </c>
      <c r="F107" s="1">
        <v>44934</v>
      </c>
      <c r="G107" s="1">
        <v>44938</v>
      </c>
      <c r="H107" s="4">
        <f>IF(Claims_Cleaned[[#This Row],[processed_date]]="","",Claims_Cleaned[[#This Row],[processed_date]]-Claims_Cleaned[[#This Row],[submission_date]])</f>
        <v>4</v>
      </c>
      <c r="I107" s="4" t="str">
        <f>TEXT(Claims_Cleaned[[#This Row],[claim_date]],"mmm-yyyy")</f>
        <v>Jan-2023</v>
      </c>
      <c r="J107" t="s">
        <v>11</v>
      </c>
      <c r="K107">
        <v>5371.73</v>
      </c>
      <c r="L107" t="s">
        <v>683</v>
      </c>
      <c r="M107">
        <v>4</v>
      </c>
    </row>
    <row r="108" spans="1:13" x14ac:dyDescent="0.35">
      <c r="A108" t="s">
        <v>832</v>
      </c>
      <c r="B108" t="s">
        <v>421</v>
      </c>
      <c r="C108" t="s">
        <v>611</v>
      </c>
      <c r="D108" t="s">
        <v>626</v>
      </c>
      <c r="E108" s="1">
        <v>45616</v>
      </c>
      <c r="F108" s="1">
        <v>45619</v>
      </c>
      <c r="G108" s="1"/>
      <c r="H108" s="4" t="str">
        <f>IF(Claims_Cleaned[[#This Row],[processed_date]]="","",Claims_Cleaned[[#This Row],[processed_date]]-Claims_Cleaned[[#This Row],[submission_date]])</f>
        <v/>
      </c>
      <c r="I108" s="4" t="str">
        <f>TEXT(Claims_Cleaned[[#This Row],[claim_date]],"mmm-yyyy")</f>
        <v>Nov-2024</v>
      </c>
      <c r="J108" t="s">
        <v>8</v>
      </c>
      <c r="K108">
        <v>5294.23</v>
      </c>
      <c r="L108" t="s">
        <v>689</v>
      </c>
    </row>
    <row r="109" spans="1:13" x14ac:dyDescent="0.35">
      <c r="A109" t="s">
        <v>1991</v>
      </c>
      <c r="B109" t="s">
        <v>33</v>
      </c>
      <c r="C109" t="s">
        <v>585</v>
      </c>
      <c r="D109" t="s">
        <v>626</v>
      </c>
      <c r="E109" s="1">
        <v>45275</v>
      </c>
      <c r="F109" s="1">
        <v>45277</v>
      </c>
      <c r="G109" s="1">
        <v>45287</v>
      </c>
      <c r="H109" s="4">
        <f>IF(Claims_Cleaned[[#This Row],[processed_date]]="","",Claims_Cleaned[[#This Row],[processed_date]]-Claims_Cleaned[[#This Row],[submission_date]])</f>
        <v>10</v>
      </c>
      <c r="I109" s="4" t="str">
        <f>TEXT(Claims_Cleaned[[#This Row],[claim_date]],"mmm-yyyy")</f>
        <v>Dec-2023</v>
      </c>
      <c r="J109" t="s">
        <v>8</v>
      </c>
      <c r="K109">
        <v>5291.57</v>
      </c>
      <c r="L109" t="s">
        <v>683</v>
      </c>
      <c r="M109">
        <v>10</v>
      </c>
    </row>
    <row r="110" spans="1:13" x14ac:dyDescent="0.35">
      <c r="A110" t="s">
        <v>1837</v>
      </c>
      <c r="B110" t="s">
        <v>14</v>
      </c>
      <c r="C110" t="s">
        <v>561</v>
      </c>
      <c r="D110" t="s">
        <v>626</v>
      </c>
      <c r="E110" s="1">
        <v>45005</v>
      </c>
      <c r="F110" s="1">
        <v>45006</v>
      </c>
      <c r="G110" s="1"/>
      <c r="H110" s="4" t="str">
        <f>IF(Claims_Cleaned[[#This Row],[processed_date]]="","",Claims_Cleaned[[#This Row],[processed_date]]-Claims_Cleaned[[#This Row],[submission_date]])</f>
        <v/>
      </c>
      <c r="I110" s="4" t="str">
        <f>TEXT(Claims_Cleaned[[#This Row],[claim_date]],"mmm-yyyy")</f>
        <v>Mar-2023</v>
      </c>
      <c r="J110" t="s">
        <v>8</v>
      </c>
      <c r="K110">
        <v>5282.83</v>
      </c>
      <c r="L110" t="s">
        <v>689</v>
      </c>
    </row>
    <row r="111" spans="1:13" x14ac:dyDescent="0.35">
      <c r="A111" t="s">
        <v>1943</v>
      </c>
      <c r="B111" t="s">
        <v>274</v>
      </c>
      <c r="C111" t="s">
        <v>611</v>
      </c>
      <c r="D111" t="s">
        <v>626</v>
      </c>
      <c r="E111" s="1">
        <v>44945</v>
      </c>
      <c r="F111" s="1">
        <v>44946</v>
      </c>
      <c r="G111" s="1">
        <v>44959</v>
      </c>
      <c r="H111" s="4">
        <f>IF(Claims_Cleaned[[#This Row],[processed_date]]="","",Claims_Cleaned[[#This Row],[processed_date]]-Claims_Cleaned[[#This Row],[submission_date]])</f>
        <v>13</v>
      </c>
      <c r="I111" s="4" t="str">
        <f>TEXT(Claims_Cleaned[[#This Row],[claim_date]],"mmm-yyyy")</f>
        <v>Jan-2023</v>
      </c>
      <c r="J111" t="s">
        <v>13</v>
      </c>
      <c r="K111">
        <v>5276.3</v>
      </c>
      <c r="L111" t="s">
        <v>687</v>
      </c>
      <c r="M111">
        <v>13</v>
      </c>
    </row>
    <row r="112" spans="1:13" x14ac:dyDescent="0.35">
      <c r="A112" t="s">
        <v>1113</v>
      </c>
      <c r="B112" t="s">
        <v>312</v>
      </c>
      <c r="C112" t="s">
        <v>561</v>
      </c>
      <c r="D112" t="s">
        <v>626</v>
      </c>
      <c r="E112" s="1">
        <v>45559</v>
      </c>
      <c r="F112" s="1">
        <v>45560</v>
      </c>
      <c r="G112" s="1">
        <v>45584</v>
      </c>
      <c r="H112" s="4">
        <f>IF(Claims_Cleaned[[#This Row],[processed_date]]="","",Claims_Cleaned[[#This Row],[processed_date]]-Claims_Cleaned[[#This Row],[submission_date]])</f>
        <v>24</v>
      </c>
      <c r="I112" s="4" t="str">
        <f>TEXT(Claims_Cleaned[[#This Row],[claim_date]],"mmm-yyyy")</f>
        <v>Sep-2024</v>
      </c>
      <c r="J112" t="s">
        <v>11</v>
      </c>
      <c r="K112">
        <v>5267.02</v>
      </c>
      <c r="L112" t="s">
        <v>683</v>
      </c>
      <c r="M112">
        <v>24</v>
      </c>
    </row>
    <row r="113" spans="1:13" x14ac:dyDescent="0.35">
      <c r="A113" t="s">
        <v>2474</v>
      </c>
      <c r="B113" t="s">
        <v>392</v>
      </c>
      <c r="C113" t="s">
        <v>603</v>
      </c>
      <c r="D113" t="s">
        <v>626</v>
      </c>
      <c r="E113" s="1">
        <v>45061</v>
      </c>
      <c r="F113" s="1">
        <v>45064</v>
      </c>
      <c r="G113" s="1">
        <v>45079</v>
      </c>
      <c r="H113" s="4">
        <f>IF(Claims_Cleaned[[#This Row],[processed_date]]="","",Claims_Cleaned[[#This Row],[processed_date]]-Claims_Cleaned[[#This Row],[submission_date]])</f>
        <v>15</v>
      </c>
      <c r="I113" s="4" t="str">
        <f>TEXT(Claims_Cleaned[[#This Row],[claim_date]],"mmm-yyyy")</f>
        <v>May-2023</v>
      </c>
      <c r="J113" t="s">
        <v>13</v>
      </c>
      <c r="K113">
        <v>5263.08</v>
      </c>
      <c r="L113" t="s">
        <v>683</v>
      </c>
      <c r="M113">
        <v>15</v>
      </c>
    </row>
    <row r="114" spans="1:13" x14ac:dyDescent="0.35">
      <c r="A114" t="s">
        <v>1992</v>
      </c>
      <c r="B114" t="s">
        <v>79</v>
      </c>
      <c r="C114" t="s">
        <v>587</v>
      </c>
      <c r="D114" t="s">
        <v>626</v>
      </c>
      <c r="E114" s="1">
        <v>45377</v>
      </c>
      <c r="F114" s="1">
        <v>45378</v>
      </c>
      <c r="G114" s="1">
        <v>45401</v>
      </c>
      <c r="H114" s="4">
        <f>IF(Claims_Cleaned[[#This Row],[processed_date]]="","",Claims_Cleaned[[#This Row],[processed_date]]-Claims_Cleaned[[#This Row],[submission_date]])</f>
        <v>23</v>
      </c>
      <c r="I114" s="4" t="str">
        <f>TEXT(Claims_Cleaned[[#This Row],[claim_date]],"mmm-yyyy")</f>
        <v>Mar-2024</v>
      </c>
      <c r="J114" t="s">
        <v>11</v>
      </c>
      <c r="K114">
        <v>5242.68</v>
      </c>
      <c r="L114" t="s">
        <v>683</v>
      </c>
      <c r="M114">
        <v>23</v>
      </c>
    </row>
    <row r="115" spans="1:13" x14ac:dyDescent="0.35">
      <c r="A115" t="s">
        <v>1376</v>
      </c>
      <c r="B115" t="s">
        <v>196</v>
      </c>
      <c r="C115" t="s">
        <v>546</v>
      </c>
      <c r="D115" t="s">
        <v>647</v>
      </c>
      <c r="E115" s="1">
        <v>45321</v>
      </c>
      <c r="F115" s="1">
        <v>45322</v>
      </c>
      <c r="G115" s="1">
        <v>45338</v>
      </c>
      <c r="H115" s="4">
        <f>IF(Claims_Cleaned[[#This Row],[processed_date]]="","",Claims_Cleaned[[#This Row],[processed_date]]-Claims_Cleaned[[#This Row],[submission_date]])</f>
        <v>16</v>
      </c>
      <c r="I115" s="4" t="str">
        <f>TEXT(Claims_Cleaned[[#This Row],[claim_date]],"mmm-yyyy")</f>
        <v>Jan-2024</v>
      </c>
      <c r="J115" t="s">
        <v>13</v>
      </c>
      <c r="K115">
        <v>5238.38</v>
      </c>
      <c r="L115" t="s">
        <v>683</v>
      </c>
      <c r="M115">
        <v>16</v>
      </c>
    </row>
    <row r="116" spans="1:13" x14ac:dyDescent="0.35">
      <c r="A116" t="s">
        <v>2212</v>
      </c>
      <c r="B116" t="s">
        <v>490</v>
      </c>
      <c r="C116" t="s">
        <v>609</v>
      </c>
      <c r="D116" t="s">
        <v>626</v>
      </c>
      <c r="E116" s="1">
        <v>45209</v>
      </c>
      <c r="F116" s="1">
        <v>45210</v>
      </c>
      <c r="G116" s="1">
        <v>45231</v>
      </c>
      <c r="H116" s="4">
        <f>IF(Claims_Cleaned[[#This Row],[processed_date]]="","",Claims_Cleaned[[#This Row],[processed_date]]-Claims_Cleaned[[#This Row],[submission_date]])</f>
        <v>21</v>
      </c>
      <c r="I116" s="4" t="str">
        <f>TEXT(Claims_Cleaned[[#This Row],[claim_date]],"mmm-yyyy")</f>
        <v>Oct-2023</v>
      </c>
      <c r="J116" t="s">
        <v>11</v>
      </c>
      <c r="K116">
        <v>5232.83</v>
      </c>
      <c r="L116" t="s">
        <v>683</v>
      </c>
      <c r="M116">
        <v>21</v>
      </c>
    </row>
    <row r="117" spans="1:13" x14ac:dyDescent="0.35">
      <c r="A117" t="s">
        <v>1779</v>
      </c>
      <c r="B117" t="s">
        <v>340</v>
      </c>
      <c r="C117" t="s">
        <v>561</v>
      </c>
      <c r="D117" t="s">
        <v>626</v>
      </c>
      <c r="E117" s="1">
        <v>45462</v>
      </c>
      <c r="F117" s="1">
        <v>45467</v>
      </c>
      <c r="G117" s="1">
        <v>45481</v>
      </c>
      <c r="H117" s="4">
        <f>IF(Claims_Cleaned[[#This Row],[processed_date]]="","",Claims_Cleaned[[#This Row],[processed_date]]-Claims_Cleaned[[#This Row],[submission_date]])</f>
        <v>14</v>
      </c>
      <c r="I117" s="4" t="str">
        <f>TEXT(Claims_Cleaned[[#This Row],[claim_date]],"mmm-yyyy")</f>
        <v>Jun-2024</v>
      </c>
      <c r="J117" t="s">
        <v>11</v>
      </c>
      <c r="K117">
        <v>5232.29</v>
      </c>
      <c r="L117" t="s">
        <v>687</v>
      </c>
      <c r="M117">
        <v>14</v>
      </c>
    </row>
    <row r="118" spans="1:13" x14ac:dyDescent="0.35">
      <c r="A118" t="s">
        <v>2071</v>
      </c>
      <c r="B118" t="s">
        <v>86</v>
      </c>
      <c r="C118" t="s">
        <v>609</v>
      </c>
      <c r="D118" t="s">
        <v>626</v>
      </c>
      <c r="E118" s="1">
        <v>45401</v>
      </c>
      <c r="F118" s="1">
        <v>45402</v>
      </c>
      <c r="G118" s="1">
        <v>45422</v>
      </c>
      <c r="H118" s="4">
        <f>IF(Claims_Cleaned[[#This Row],[processed_date]]="","",Claims_Cleaned[[#This Row],[processed_date]]-Claims_Cleaned[[#This Row],[submission_date]])</f>
        <v>20</v>
      </c>
      <c r="I118" s="4" t="str">
        <f>TEXT(Claims_Cleaned[[#This Row],[claim_date]],"mmm-yyyy")</f>
        <v>Apr-2024</v>
      </c>
      <c r="J118" t="s">
        <v>20</v>
      </c>
      <c r="K118">
        <v>5232.1400000000003</v>
      </c>
      <c r="L118" t="s">
        <v>683</v>
      </c>
      <c r="M118">
        <v>20</v>
      </c>
    </row>
    <row r="119" spans="1:13" x14ac:dyDescent="0.35">
      <c r="A119" t="s">
        <v>2244</v>
      </c>
      <c r="B119" t="s">
        <v>172</v>
      </c>
      <c r="C119" t="s">
        <v>549</v>
      </c>
      <c r="D119" t="s">
        <v>626</v>
      </c>
      <c r="E119" s="1">
        <v>45039</v>
      </c>
      <c r="F119" s="1">
        <v>45040</v>
      </c>
      <c r="G119" s="1">
        <v>45054</v>
      </c>
      <c r="H119" s="4">
        <f>IF(Claims_Cleaned[[#This Row],[processed_date]]="","",Claims_Cleaned[[#This Row],[processed_date]]-Claims_Cleaned[[#This Row],[submission_date]])</f>
        <v>14</v>
      </c>
      <c r="I119" s="4" t="str">
        <f>TEXT(Claims_Cleaned[[#This Row],[claim_date]],"mmm-yyyy")</f>
        <v>Apr-2023</v>
      </c>
      <c r="J119" t="s">
        <v>13</v>
      </c>
      <c r="K119">
        <v>5219.97</v>
      </c>
      <c r="L119" t="s">
        <v>683</v>
      </c>
      <c r="M119">
        <v>14</v>
      </c>
    </row>
    <row r="120" spans="1:13" x14ac:dyDescent="0.35">
      <c r="A120" t="s">
        <v>2247</v>
      </c>
      <c r="B120" t="s">
        <v>375</v>
      </c>
      <c r="C120" t="s">
        <v>524</v>
      </c>
      <c r="D120" t="s">
        <v>647</v>
      </c>
      <c r="E120" s="1">
        <v>45491</v>
      </c>
      <c r="F120" s="1">
        <v>45492</v>
      </c>
      <c r="G120" s="1">
        <v>45516</v>
      </c>
      <c r="H120" s="4">
        <f>IF(Claims_Cleaned[[#This Row],[processed_date]]="","",Claims_Cleaned[[#This Row],[processed_date]]-Claims_Cleaned[[#This Row],[submission_date]])</f>
        <v>24</v>
      </c>
      <c r="I120" s="4" t="str">
        <f>TEXT(Claims_Cleaned[[#This Row],[claim_date]],"mmm-yyyy")</f>
        <v>Jul-2024</v>
      </c>
      <c r="J120" t="s">
        <v>20</v>
      </c>
      <c r="K120">
        <v>5211.33</v>
      </c>
      <c r="L120" t="s">
        <v>683</v>
      </c>
      <c r="M120">
        <v>24</v>
      </c>
    </row>
    <row r="121" spans="1:13" x14ac:dyDescent="0.35">
      <c r="A121" t="s">
        <v>1510</v>
      </c>
      <c r="B121" t="s">
        <v>41</v>
      </c>
      <c r="C121" t="s">
        <v>534</v>
      </c>
      <c r="D121" t="s">
        <v>647</v>
      </c>
      <c r="E121" s="1">
        <v>45291</v>
      </c>
      <c r="F121" s="1">
        <v>45296</v>
      </c>
      <c r="G121" s="1">
        <v>45321</v>
      </c>
      <c r="H121" s="4">
        <f>IF(Claims_Cleaned[[#This Row],[processed_date]]="","",Claims_Cleaned[[#This Row],[processed_date]]-Claims_Cleaned[[#This Row],[submission_date]])</f>
        <v>25</v>
      </c>
      <c r="I121" s="4" t="str">
        <f>TEXT(Claims_Cleaned[[#This Row],[claim_date]],"mmm-yyyy")</f>
        <v>Dec-2023</v>
      </c>
      <c r="J121" t="s">
        <v>11</v>
      </c>
      <c r="K121">
        <v>5210.38</v>
      </c>
      <c r="L121" t="s">
        <v>683</v>
      </c>
      <c r="M121">
        <v>25</v>
      </c>
    </row>
    <row r="122" spans="1:13" x14ac:dyDescent="0.35">
      <c r="A122" t="s">
        <v>2630</v>
      </c>
      <c r="B122" t="s">
        <v>82</v>
      </c>
      <c r="C122" t="s">
        <v>559</v>
      </c>
      <c r="D122" t="s">
        <v>626</v>
      </c>
      <c r="E122" s="1">
        <v>44951</v>
      </c>
      <c r="F122" s="1">
        <v>44952</v>
      </c>
      <c r="G122" s="1">
        <v>44982</v>
      </c>
      <c r="H122" s="4">
        <f>IF(Claims_Cleaned[[#This Row],[processed_date]]="","",Claims_Cleaned[[#This Row],[processed_date]]-Claims_Cleaned[[#This Row],[submission_date]])</f>
        <v>30</v>
      </c>
      <c r="I122" s="4" t="str">
        <f>TEXT(Claims_Cleaned[[#This Row],[claim_date]],"mmm-yyyy")</f>
        <v>Jan-2023</v>
      </c>
      <c r="J122" t="s">
        <v>11</v>
      </c>
      <c r="K122">
        <v>5203.1400000000003</v>
      </c>
      <c r="L122" t="s">
        <v>683</v>
      </c>
      <c r="M122">
        <v>30</v>
      </c>
    </row>
    <row r="123" spans="1:13" x14ac:dyDescent="0.35">
      <c r="A123" t="s">
        <v>781</v>
      </c>
      <c r="B123" t="s">
        <v>295</v>
      </c>
      <c r="C123" t="s">
        <v>585</v>
      </c>
      <c r="D123" t="s">
        <v>647</v>
      </c>
      <c r="E123" s="1">
        <v>45473</v>
      </c>
      <c r="F123" s="1">
        <v>45474</v>
      </c>
      <c r="G123" s="1">
        <v>45480</v>
      </c>
      <c r="H123" s="4">
        <f>IF(Claims_Cleaned[[#This Row],[processed_date]]="","",Claims_Cleaned[[#This Row],[processed_date]]-Claims_Cleaned[[#This Row],[submission_date]])</f>
        <v>6</v>
      </c>
      <c r="I123" s="4" t="str">
        <f>TEXT(Claims_Cleaned[[#This Row],[claim_date]],"mmm-yyyy")</f>
        <v>Jun-2024</v>
      </c>
      <c r="J123" t="s">
        <v>8</v>
      </c>
      <c r="K123">
        <v>5201.29</v>
      </c>
      <c r="L123" t="s">
        <v>683</v>
      </c>
      <c r="M123">
        <v>6</v>
      </c>
    </row>
    <row r="124" spans="1:13" x14ac:dyDescent="0.35">
      <c r="A124" t="s">
        <v>945</v>
      </c>
      <c r="B124" t="s">
        <v>165</v>
      </c>
      <c r="C124" t="s">
        <v>563</v>
      </c>
      <c r="D124" t="s">
        <v>626</v>
      </c>
      <c r="E124" s="1">
        <v>45434</v>
      </c>
      <c r="F124" s="1">
        <v>45439</v>
      </c>
      <c r="G124" s="1">
        <v>45456</v>
      </c>
      <c r="H124" s="4">
        <f>IF(Claims_Cleaned[[#This Row],[processed_date]]="","",Claims_Cleaned[[#This Row],[processed_date]]-Claims_Cleaned[[#This Row],[submission_date]])</f>
        <v>17</v>
      </c>
      <c r="I124" s="4" t="str">
        <f>TEXT(Claims_Cleaned[[#This Row],[claim_date]],"mmm-yyyy")</f>
        <v>May-2024</v>
      </c>
      <c r="J124" t="s">
        <v>25</v>
      </c>
      <c r="K124">
        <v>5196.9399999999996</v>
      </c>
      <c r="L124" t="s">
        <v>687</v>
      </c>
      <c r="M124">
        <v>17</v>
      </c>
    </row>
    <row r="125" spans="1:13" x14ac:dyDescent="0.35">
      <c r="A125" t="s">
        <v>1846</v>
      </c>
      <c r="B125" t="s">
        <v>394</v>
      </c>
      <c r="C125" t="s">
        <v>603</v>
      </c>
      <c r="D125" t="s">
        <v>626</v>
      </c>
      <c r="E125" s="1">
        <v>45571</v>
      </c>
      <c r="F125" s="1">
        <v>45572</v>
      </c>
      <c r="G125" s="1">
        <v>45595</v>
      </c>
      <c r="H125" s="4">
        <f>IF(Claims_Cleaned[[#This Row],[processed_date]]="","",Claims_Cleaned[[#This Row],[processed_date]]-Claims_Cleaned[[#This Row],[submission_date]])</f>
        <v>23</v>
      </c>
      <c r="I125" s="4" t="str">
        <f>TEXT(Claims_Cleaned[[#This Row],[claim_date]],"mmm-yyyy")</f>
        <v>Oct-2024</v>
      </c>
      <c r="J125" t="s">
        <v>8</v>
      </c>
      <c r="K125">
        <v>5179.2299999999996</v>
      </c>
      <c r="L125" t="s">
        <v>683</v>
      </c>
      <c r="M125">
        <v>23</v>
      </c>
    </row>
    <row r="126" spans="1:13" x14ac:dyDescent="0.35">
      <c r="A126" t="s">
        <v>2019</v>
      </c>
      <c r="B126" t="s">
        <v>309</v>
      </c>
      <c r="C126" t="s">
        <v>524</v>
      </c>
      <c r="D126" t="s">
        <v>626</v>
      </c>
      <c r="E126" s="1">
        <v>45042</v>
      </c>
      <c r="F126" s="1">
        <v>45044</v>
      </c>
      <c r="G126" s="1">
        <v>45066</v>
      </c>
      <c r="H126" s="4">
        <f>IF(Claims_Cleaned[[#This Row],[processed_date]]="","",Claims_Cleaned[[#This Row],[processed_date]]-Claims_Cleaned[[#This Row],[submission_date]])</f>
        <v>22</v>
      </c>
      <c r="I126" s="4" t="str">
        <f>TEXT(Claims_Cleaned[[#This Row],[claim_date]],"mmm-yyyy")</f>
        <v>Apr-2023</v>
      </c>
      <c r="J126" t="s">
        <v>13</v>
      </c>
      <c r="K126">
        <v>5179.21</v>
      </c>
      <c r="L126" t="s">
        <v>683</v>
      </c>
      <c r="M126">
        <v>22</v>
      </c>
    </row>
    <row r="127" spans="1:13" x14ac:dyDescent="0.35">
      <c r="A127" t="s">
        <v>1309</v>
      </c>
      <c r="B127" t="s">
        <v>292</v>
      </c>
      <c r="C127" t="s">
        <v>563</v>
      </c>
      <c r="D127" t="s">
        <v>626</v>
      </c>
      <c r="E127" s="1">
        <v>45531</v>
      </c>
      <c r="F127" s="1">
        <v>45536</v>
      </c>
      <c r="G127" s="1"/>
      <c r="H127" s="4" t="str">
        <f>IF(Claims_Cleaned[[#This Row],[processed_date]]="","",Claims_Cleaned[[#This Row],[processed_date]]-Claims_Cleaned[[#This Row],[submission_date]])</f>
        <v/>
      </c>
      <c r="I127" s="4" t="str">
        <f>TEXT(Claims_Cleaned[[#This Row],[claim_date]],"mmm-yyyy")</f>
        <v>Aug-2024</v>
      </c>
      <c r="J127" t="s">
        <v>13</v>
      </c>
      <c r="K127">
        <v>5170.37</v>
      </c>
      <c r="L127" t="s">
        <v>689</v>
      </c>
    </row>
    <row r="128" spans="1:13" x14ac:dyDescent="0.35">
      <c r="A128" t="s">
        <v>2682</v>
      </c>
      <c r="B128" t="s">
        <v>274</v>
      </c>
      <c r="C128" t="s">
        <v>603</v>
      </c>
      <c r="D128" t="s">
        <v>647</v>
      </c>
      <c r="E128" s="1">
        <v>45570</v>
      </c>
      <c r="F128" s="1">
        <v>45572</v>
      </c>
      <c r="G128" s="1"/>
      <c r="H128" s="4" t="str">
        <f>IF(Claims_Cleaned[[#This Row],[processed_date]]="","",Claims_Cleaned[[#This Row],[processed_date]]-Claims_Cleaned[[#This Row],[submission_date]])</f>
        <v/>
      </c>
      <c r="I128" s="4" t="str">
        <f>TEXT(Claims_Cleaned[[#This Row],[claim_date]],"mmm-yyyy")</f>
        <v>Oct-2024</v>
      </c>
      <c r="J128" t="s">
        <v>13</v>
      </c>
      <c r="K128">
        <v>5164.7299999999996</v>
      </c>
      <c r="L128" t="s">
        <v>689</v>
      </c>
    </row>
    <row r="129" spans="1:13" x14ac:dyDescent="0.35">
      <c r="A129" t="s">
        <v>1685</v>
      </c>
      <c r="B129" t="s">
        <v>191</v>
      </c>
      <c r="C129" t="s">
        <v>563</v>
      </c>
      <c r="D129" t="s">
        <v>626</v>
      </c>
      <c r="E129" s="1">
        <v>45067</v>
      </c>
      <c r="F129" s="1">
        <v>45069</v>
      </c>
      <c r="G129" s="1">
        <v>45084</v>
      </c>
      <c r="H129" s="4">
        <f>IF(Claims_Cleaned[[#This Row],[processed_date]]="","",Claims_Cleaned[[#This Row],[processed_date]]-Claims_Cleaned[[#This Row],[submission_date]])</f>
        <v>15</v>
      </c>
      <c r="I129" s="4" t="str">
        <f>TEXT(Claims_Cleaned[[#This Row],[claim_date]],"mmm-yyyy")</f>
        <v>May-2023</v>
      </c>
      <c r="J129" t="s">
        <v>20</v>
      </c>
      <c r="K129">
        <v>5164.0600000000004</v>
      </c>
      <c r="L129" t="s">
        <v>687</v>
      </c>
      <c r="M129">
        <v>15</v>
      </c>
    </row>
    <row r="130" spans="1:13" x14ac:dyDescent="0.35">
      <c r="A130" t="s">
        <v>1288</v>
      </c>
      <c r="B130" t="s">
        <v>341</v>
      </c>
      <c r="C130" t="s">
        <v>521</v>
      </c>
      <c r="D130" t="s">
        <v>647</v>
      </c>
      <c r="E130" s="1">
        <v>45039</v>
      </c>
      <c r="F130" s="1">
        <v>45041</v>
      </c>
      <c r="G130" s="1">
        <v>45070</v>
      </c>
      <c r="H130" s="4">
        <f>IF(Claims_Cleaned[[#This Row],[processed_date]]="","",Claims_Cleaned[[#This Row],[processed_date]]-Claims_Cleaned[[#This Row],[submission_date]])</f>
        <v>29</v>
      </c>
      <c r="I130" s="4" t="str">
        <f>TEXT(Claims_Cleaned[[#This Row],[claim_date]],"mmm-yyyy")</f>
        <v>Apr-2023</v>
      </c>
      <c r="J130" t="s">
        <v>11</v>
      </c>
      <c r="K130">
        <v>5162.59</v>
      </c>
      <c r="L130" t="s">
        <v>683</v>
      </c>
      <c r="M130">
        <v>29</v>
      </c>
    </row>
    <row r="131" spans="1:13" x14ac:dyDescent="0.35">
      <c r="A131" t="s">
        <v>724</v>
      </c>
      <c r="B131" t="s">
        <v>208</v>
      </c>
      <c r="C131" t="s">
        <v>527</v>
      </c>
      <c r="D131" t="s">
        <v>647</v>
      </c>
      <c r="E131" s="1">
        <v>45088</v>
      </c>
      <c r="F131" s="1">
        <v>45091</v>
      </c>
      <c r="G131" s="1">
        <v>45120</v>
      </c>
      <c r="H131" s="4">
        <f>IF(Claims_Cleaned[[#This Row],[processed_date]]="","",Claims_Cleaned[[#This Row],[processed_date]]-Claims_Cleaned[[#This Row],[submission_date]])</f>
        <v>29</v>
      </c>
      <c r="I131" s="4" t="str">
        <f>TEXT(Claims_Cleaned[[#This Row],[claim_date]],"mmm-yyyy")</f>
        <v>Jun-2023</v>
      </c>
      <c r="J131" t="s">
        <v>13</v>
      </c>
      <c r="K131">
        <v>5108.8100000000004</v>
      </c>
      <c r="L131" t="s">
        <v>683</v>
      </c>
      <c r="M131">
        <v>29</v>
      </c>
    </row>
    <row r="132" spans="1:13" x14ac:dyDescent="0.35">
      <c r="A132" t="s">
        <v>2185</v>
      </c>
      <c r="B132" t="s">
        <v>297</v>
      </c>
      <c r="C132" t="s">
        <v>587</v>
      </c>
      <c r="D132" t="s">
        <v>647</v>
      </c>
      <c r="E132" s="1">
        <v>45501</v>
      </c>
      <c r="F132" s="1">
        <v>45504</v>
      </c>
      <c r="G132" s="1">
        <v>45517</v>
      </c>
      <c r="H132" s="4">
        <f>IF(Claims_Cleaned[[#This Row],[processed_date]]="","",Claims_Cleaned[[#This Row],[processed_date]]-Claims_Cleaned[[#This Row],[submission_date]])</f>
        <v>13</v>
      </c>
      <c r="I132" s="4" t="str">
        <f>TEXT(Claims_Cleaned[[#This Row],[claim_date]],"mmm-yyyy")</f>
        <v>Jul-2024</v>
      </c>
      <c r="J132" t="s">
        <v>8</v>
      </c>
      <c r="K132">
        <v>5087.01</v>
      </c>
      <c r="L132" t="s">
        <v>687</v>
      </c>
      <c r="M132">
        <v>13</v>
      </c>
    </row>
    <row r="133" spans="1:13" x14ac:dyDescent="0.35">
      <c r="A133" t="s">
        <v>2348</v>
      </c>
      <c r="B133" t="s">
        <v>425</v>
      </c>
      <c r="C133" t="s">
        <v>575</v>
      </c>
      <c r="D133" t="s">
        <v>626</v>
      </c>
      <c r="E133" s="1">
        <v>45378</v>
      </c>
      <c r="F133" s="1">
        <v>45383</v>
      </c>
      <c r="G133" s="1">
        <v>45411</v>
      </c>
      <c r="H133" s="4">
        <f>IF(Claims_Cleaned[[#This Row],[processed_date]]="","",Claims_Cleaned[[#This Row],[processed_date]]-Claims_Cleaned[[#This Row],[submission_date]])</f>
        <v>28</v>
      </c>
      <c r="I133" s="4" t="str">
        <f>TEXT(Claims_Cleaned[[#This Row],[claim_date]],"mmm-yyyy")</f>
        <v>Mar-2024</v>
      </c>
      <c r="J133" t="s">
        <v>25</v>
      </c>
      <c r="K133">
        <v>5082.76</v>
      </c>
      <c r="L133" t="s">
        <v>683</v>
      </c>
      <c r="M133">
        <v>28</v>
      </c>
    </row>
    <row r="134" spans="1:13" x14ac:dyDescent="0.35">
      <c r="A134" t="s">
        <v>2034</v>
      </c>
      <c r="B134" t="s">
        <v>327</v>
      </c>
      <c r="C134" t="s">
        <v>534</v>
      </c>
      <c r="D134" t="s">
        <v>647</v>
      </c>
      <c r="E134" s="1">
        <v>45119</v>
      </c>
      <c r="F134" s="1">
        <v>45122</v>
      </c>
      <c r="G134" s="1">
        <v>45130</v>
      </c>
      <c r="H134" s="4">
        <f>IF(Claims_Cleaned[[#This Row],[processed_date]]="","",Claims_Cleaned[[#This Row],[processed_date]]-Claims_Cleaned[[#This Row],[submission_date]])</f>
        <v>8</v>
      </c>
      <c r="I134" s="4" t="str">
        <f>TEXT(Claims_Cleaned[[#This Row],[claim_date]],"mmm-yyyy")</f>
        <v>Jul-2023</v>
      </c>
      <c r="J134" t="s">
        <v>13</v>
      </c>
      <c r="K134">
        <v>5076.33</v>
      </c>
      <c r="L134" t="s">
        <v>683</v>
      </c>
      <c r="M134">
        <v>8</v>
      </c>
    </row>
    <row r="135" spans="1:13" x14ac:dyDescent="0.35">
      <c r="A135" t="s">
        <v>2413</v>
      </c>
      <c r="B135" t="s">
        <v>413</v>
      </c>
      <c r="C135" t="s">
        <v>601</v>
      </c>
      <c r="D135" t="s">
        <v>647</v>
      </c>
      <c r="E135" s="1">
        <v>45129</v>
      </c>
      <c r="F135" s="1">
        <v>45134</v>
      </c>
      <c r="G135" s="1">
        <v>45145</v>
      </c>
      <c r="H135" s="4">
        <f>IF(Claims_Cleaned[[#This Row],[processed_date]]="","",Claims_Cleaned[[#This Row],[processed_date]]-Claims_Cleaned[[#This Row],[submission_date]])</f>
        <v>11</v>
      </c>
      <c r="I135" s="4" t="str">
        <f>TEXT(Claims_Cleaned[[#This Row],[claim_date]],"mmm-yyyy")</f>
        <v>Jul-2023</v>
      </c>
      <c r="J135" t="s">
        <v>8</v>
      </c>
      <c r="K135">
        <v>5049.46</v>
      </c>
      <c r="L135" t="s">
        <v>683</v>
      </c>
      <c r="M135">
        <v>11</v>
      </c>
    </row>
    <row r="136" spans="1:13" x14ac:dyDescent="0.35">
      <c r="A136" t="s">
        <v>2410</v>
      </c>
      <c r="B136" t="s">
        <v>189</v>
      </c>
      <c r="C136" t="s">
        <v>587</v>
      </c>
      <c r="D136" t="s">
        <v>626</v>
      </c>
      <c r="E136" s="1">
        <v>44995</v>
      </c>
      <c r="F136" s="1">
        <v>44999</v>
      </c>
      <c r="G136" s="1">
        <v>45016</v>
      </c>
      <c r="H136" s="4">
        <f>IF(Claims_Cleaned[[#This Row],[processed_date]]="","",Claims_Cleaned[[#This Row],[processed_date]]-Claims_Cleaned[[#This Row],[submission_date]])</f>
        <v>17</v>
      </c>
      <c r="I136" s="4" t="str">
        <f>TEXT(Claims_Cleaned[[#This Row],[claim_date]],"mmm-yyyy")</f>
        <v>Mar-2023</v>
      </c>
      <c r="J136" t="s">
        <v>8</v>
      </c>
      <c r="K136">
        <v>5048.3999999999996</v>
      </c>
      <c r="L136" t="s">
        <v>683</v>
      </c>
      <c r="M136">
        <v>17</v>
      </c>
    </row>
    <row r="137" spans="1:13" x14ac:dyDescent="0.35">
      <c r="A137" t="s">
        <v>1904</v>
      </c>
      <c r="B137" t="s">
        <v>272</v>
      </c>
      <c r="C137" t="s">
        <v>589</v>
      </c>
      <c r="D137" t="s">
        <v>647</v>
      </c>
      <c r="E137" s="1">
        <v>45500</v>
      </c>
      <c r="F137" s="1">
        <v>45505</v>
      </c>
      <c r="G137" s="1">
        <v>45514</v>
      </c>
      <c r="H137" s="4">
        <f>IF(Claims_Cleaned[[#This Row],[processed_date]]="","",Claims_Cleaned[[#This Row],[processed_date]]-Claims_Cleaned[[#This Row],[submission_date]])</f>
        <v>9</v>
      </c>
      <c r="I137" s="4" t="str">
        <f>TEXT(Claims_Cleaned[[#This Row],[claim_date]],"mmm-yyyy")</f>
        <v>Jul-2024</v>
      </c>
      <c r="J137" t="s">
        <v>11</v>
      </c>
      <c r="K137">
        <v>5047.78</v>
      </c>
      <c r="L137" t="s">
        <v>683</v>
      </c>
      <c r="M137">
        <v>9</v>
      </c>
    </row>
    <row r="138" spans="1:13" x14ac:dyDescent="0.35">
      <c r="A138" t="s">
        <v>1854</v>
      </c>
      <c r="B138" t="s">
        <v>392</v>
      </c>
      <c r="C138" t="s">
        <v>549</v>
      </c>
      <c r="D138" t="s">
        <v>647</v>
      </c>
      <c r="E138" s="1">
        <v>45455</v>
      </c>
      <c r="F138" s="1">
        <v>45456</v>
      </c>
      <c r="G138" s="1">
        <v>45472</v>
      </c>
      <c r="H138" s="4">
        <f>IF(Claims_Cleaned[[#This Row],[processed_date]]="","",Claims_Cleaned[[#This Row],[processed_date]]-Claims_Cleaned[[#This Row],[submission_date]])</f>
        <v>16</v>
      </c>
      <c r="I138" s="4" t="str">
        <f>TEXT(Claims_Cleaned[[#This Row],[claim_date]],"mmm-yyyy")</f>
        <v>Jun-2024</v>
      </c>
      <c r="J138" t="s">
        <v>13</v>
      </c>
      <c r="K138">
        <v>5033.2299999999996</v>
      </c>
      <c r="L138" t="s">
        <v>687</v>
      </c>
      <c r="M138">
        <v>16</v>
      </c>
    </row>
    <row r="139" spans="1:13" x14ac:dyDescent="0.35">
      <c r="A139" t="s">
        <v>987</v>
      </c>
      <c r="B139" t="s">
        <v>476</v>
      </c>
      <c r="C139" t="s">
        <v>593</v>
      </c>
      <c r="D139" t="s">
        <v>626</v>
      </c>
      <c r="E139" s="1">
        <v>45088</v>
      </c>
      <c r="F139" s="1">
        <v>45092</v>
      </c>
      <c r="G139" s="1">
        <v>45109</v>
      </c>
      <c r="H139" s="4">
        <f>IF(Claims_Cleaned[[#This Row],[processed_date]]="","",Claims_Cleaned[[#This Row],[processed_date]]-Claims_Cleaned[[#This Row],[submission_date]])</f>
        <v>17</v>
      </c>
      <c r="I139" s="4" t="str">
        <f>TEXT(Claims_Cleaned[[#This Row],[claim_date]],"mmm-yyyy")</f>
        <v>Jun-2023</v>
      </c>
      <c r="J139" t="s">
        <v>20</v>
      </c>
      <c r="K139">
        <v>4999.18</v>
      </c>
      <c r="L139" t="s">
        <v>683</v>
      </c>
      <c r="M139">
        <v>17</v>
      </c>
    </row>
    <row r="140" spans="1:13" x14ac:dyDescent="0.35">
      <c r="A140" t="s">
        <v>909</v>
      </c>
      <c r="B140" t="s">
        <v>458</v>
      </c>
      <c r="C140" t="s">
        <v>589</v>
      </c>
      <c r="D140" t="s">
        <v>626</v>
      </c>
      <c r="E140" s="1">
        <v>45203</v>
      </c>
      <c r="F140" s="1">
        <v>45208</v>
      </c>
      <c r="G140" s="1">
        <v>45235</v>
      </c>
      <c r="H140" s="4">
        <f>IF(Claims_Cleaned[[#This Row],[processed_date]]="","",Claims_Cleaned[[#This Row],[processed_date]]-Claims_Cleaned[[#This Row],[submission_date]])</f>
        <v>27</v>
      </c>
      <c r="I140" s="4" t="str">
        <f>TEXT(Claims_Cleaned[[#This Row],[claim_date]],"mmm-yyyy")</f>
        <v>Oct-2023</v>
      </c>
      <c r="J140" t="s">
        <v>11</v>
      </c>
      <c r="K140">
        <v>4989.3</v>
      </c>
      <c r="L140" t="s">
        <v>683</v>
      </c>
      <c r="M140">
        <v>27</v>
      </c>
    </row>
    <row r="141" spans="1:13" x14ac:dyDescent="0.35">
      <c r="A141" t="s">
        <v>723</v>
      </c>
      <c r="B141" t="s">
        <v>227</v>
      </c>
      <c r="C141" t="s">
        <v>589</v>
      </c>
      <c r="D141" t="s">
        <v>626</v>
      </c>
      <c r="E141" s="1">
        <v>45462</v>
      </c>
      <c r="F141" s="1">
        <v>45467</v>
      </c>
      <c r="G141" s="1">
        <v>45470</v>
      </c>
      <c r="H141" s="4">
        <f>IF(Claims_Cleaned[[#This Row],[processed_date]]="","",Claims_Cleaned[[#This Row],[processed_date]]-Claims_Cleaned[[#This Row],[submission_date]])</f>
        <v>3</v>
      </c>
      <c r="I141" s="4" t="str">
        <f>TEXT(Claims_Cleaned[[#This Row],[claim_date]],"mmm-yyyy")</f>
        <v>Jun-2024</v>
      </c>
      <c r="J141" t="s">
        <v>8</v>
      </c>
      <c r="K141">
        <v>4964.25</v>
      </c>
      <c r="L141" t="s">
        <v>683</v>
      </c>
      <c r="M141">
        <v>3</v>
      </c>
    </row>
    <row r="142" spans="1:13" x14ac:dyDescent="0.35">
      <c r="A142" t="s">
        <v>1114</v>
      </c>
      <c r="B142" t="s">
        <v>252</v>
      </c>
      <c r="C142" t="s">
        <v>559</v>
      </c>
      <c r="D142" t="s">
        <v>626</v>
      </c>
      <c r="E142" s="1">
        <v>45434</v>
      </c>
      <c r="F142" s="1">
        <v>45437</v>
      </c>
      <c r="G142" s="1">
        <v>45461</v>
      </c>
      <c r="H142" s="4">
        <f>IF(Claims_Cleaned[[#This Row],[processed_date]]="","",Claims_Cleaned[[#This Row],[processed_date]]-Claims_Cleaned[[#This Row],[submission_date]])</f>
        <v>24</v>
      </c>
      <c r="I142" s="4" t="str">
        <f>TEXT(Claims_Cleaned[[#This Row],[claim_date]],"mmm-yyyy")</f>
        <v>May-2024</v>
      </c>
      <c r="J142" t="s">
        <v>11</v>
      </c>
      <c r="K142">
        <v>4959.71</v>
      </c>
      <c r="L142" t="s">
        <v>683</v>
      </c>
      <c r="M142">
        <v>24</v>
      </c>
    </row>
    <row r="143" spans="1:13" x14ac:dyDescent="0.35">
      <c r="A143" t="s">
        <v>1708</v>
      </c>
      <c r="B143" t="s">
        <v>431</v>
      </c>
      <c r="C143" t="s">
        <v>531</v>
      </c>
      <c r="D143" t="s">
        <v>647</v>
      </c>
      <c r="E143" s="1">
        <v>45357</v>
      </c>
      <c r="F143" s="1">
        <v>45362</v>
      </c>
      <c r="G143" s="1">
        <v>45388</v>
      </c>
      <c r="H143" s="4">
        <f>IF(Claims_Cleaned[[#This Row],[processed_date]]="","",Claims_Cleaned[[#This Row],[processed_date]]-Claims_Cleaned[[#This Row],[submission_date]])</f>
        <v>26</v>
      </c>
      <c r="I143" s="4" t="str">
        <f>TEXT(Claims_Cleaned[[#This Row],[claim_date]],"mmm-yyyy")</f>
        <v>Mar-2024</v>
      </c>
      <c r="J143" t="s">
        <v>20</v>
      </c>
      <c r="K143">
        <v>4945.2700000000004</v>
      </c>
      <c r="L143" t="s">
        <v>683</v>
      </c>
      <c r="M143">
        <v>26</v>
      </c>
    </row>
    <row r="144" spans="1:13" x14ac:dyDescent="0.35">
      <c r="A144" t="s">
        <v>2572</v>
      </c>
      <c r="B144" t="s">
        <v>491</v>
      </c>
      <c r="C144" t="s">
        <v>561</v>
      </c>
      <c r="D144" t="s">
        <v>647</v>
      </c>
      <c r="E144" s="1">
        <v>44937</v>
      </c>
      <c r="F144" s="1">
        <v>44942</v>
      </c>
      <c r="G144" s="1"/>
      <c r="H144" s="4" t="str">
        <f>IF(Claims_Cleaned[[#This Row],[processed_date]]="","",Claims_Cleaned[[#This Row],[processed_date]]-Claims_Cleaned[[#This Row],[submission_date]])</f>
        <v/>
      </c>
      <c r="I144" s="4" t="str">
        <f>TEXT(Claims_Cleaned[[#This Row],[claim_date]],"mmm-yyyy")</f>
        <v>Jan-2023</v>
      </c>
      <c r="J144" t="s">
        <v>11</v>
      </c>
      <c r="K144">
        <v>4944.24</v>
      </c>
      <c r="L144" t="s">
        <v>689</v>
      </c>
    </row>
    <row r="145" spans="1:13" x14ac:dyDescent="0.35">
      <c r="A145" t="s">
        <v>1323</v>
      </c>
      <c r="B145" t="s">
        <v>514</v>
      </c>
      <c r="C145" t="s">
        <v>577</v>
      </c>
      <c r="D145" t="s">
        <v>647</v>
      </c>
      <c r="E145" s="1">
        <v>44975</v>
      </c>
      <c r="F145" s="1">
        <v>44980</v>
      </c>
      <c r="G145" s="1">
        <v>45006</v>
      </c>
      <c r="H145" s="4">
        <f>IF(Claims_Cleaned[[#This Row],[processed_date]]="","",Claims_Cleaned[[#This Row],[processed_date]]-Claims_Cleaned[[#This Row],[submission_date]])</f>
        <v>26</v>
      </c>
      <c r="I145" s="4" t="str">
        <f>TEXT(Claims_Cleaned[[#This Row],[claim_date]],"mmm-yyyy")</f>
        <v>Feb-2023</v>
      </c>
      <c r="J145" t="s">
        <v>13</v>
      </c>
      <c r="K145">
        <v>4941.68</v>
      </c>
      <c r="L145" t="s">
        <v>683</v>
      </c>
      <c r="M145">
        <v>26</v>
      </c>
    </row>
    <row r="146" spans="1:13" x14ac:dyDescent="0.35">
      <c r="A146" t="s">
        <v>1328</v>
      </c>
      <c r="B146" t="s">
        <v>344</v>
      </c>
      <c r="C146" t="s">
        <v>567</v>
      </c>
      <c r="D146" t="s">
        <v>626</v>
      </c>
      <c r="E146" s="1">
        <v>45431</v>
      </c>
      <c r="F146" s="1">
        <v>45433</v>
      </c>
      <c r="G146" s="1">
        <v>45461</v>
      </c>
      <c r="H146" s="4">
        <f>IF(Claims_Cleaned[[#This Row],[processed_date]]="","",Claims_Cleaned[[#This Row],[processed_date]]-Claims_Cleaned[[#This Row],[submission_date]])</f>
        <v>28</v>
      </c>
      <c r="I146" s="4" t="str">
        <f>TEXT(Claims_Cleaned[[#This Row],[claim_date]],"mmm-yyyy")</f>
        <v>May-2024</v>
      </c>
      <c r="J146" t="s">
        <v>25</v>
      </c>
      <c r="K146">
        <v>4904.8599999999997</v>
      </c>
      <c r="L146" t="s">
        <v>683</v>
      </c>
      <c r="M146">
        <v>28</v>
      </c>
    </row>
    <row r="147" spans="1:13" x14ac:dyDescent="0.35">
      <c r="A147" t="s">
        <v>2058</v>
      </c>
      <c r="B147" t="s">
        <v>390</v>
      </c>
      <c r="C147" t="s">
        <v>527</v>
      </c>
      <c r="D147" t="s">
        <v>647</v>
      </c>
      <c r="E147" s="1">
        <v>45010</v>
      </c>
      <c r="F147" s="1">
        <v>45014</v>
      </c>
      <c r="G147" s="1"/>
      <c r="H147" s="4" t="str">
        <f>IF(Claims_Cleaned[[#This Row],[processed_date]]="","",Claims_Cleaned[[#This Row],[processed_date]]-Claims_Cleaned[[#This Row],[submission_date]])</f>
        <v/>
      </c>
      <c r="I147" s="4" t="str">
        <f>TEXT(Claims_Cleaned[[#This Row],[claim_date]],"mmm-yyyy")</f>
        <v>Mar-2023</v>
      </c>
      <c r="J147" t="s">
        <v>11</v>
      </c>
      <c r="K147">
        <v>4901.3100000000004</v>
      </c>
      <c r="L147" t="s">
        <v>689</v>
      </c>
    </row>
    <row r="148" spans="1:13" x14ac:dyDescent="0.35">
      <c r="A148" t="s">
        <v>1801</v>
      </c>
      <c r="B148" t="s">
        <v>217</v>
      </c>
      <c r="C148" t="s">
        <v>540</v>
      </c>
      <c r="D148" t="s">
        <v>647</v>
      </c>
      <c r="E148" s="1">
        <v>45317</v>
      </c>
      <c r="F148" s="1">
        <v>45321</v>
      </c>
      <c r="G148" s="1"/>
      <c r="H148" s="4" t="str">
        <f>IF(Claims_Cleaned[[#This Row],[processed_date]]="","",Claims_Cleaned[[#This Row],[processed_date]]-Claims_Cleaned[[#This Row],[submission_date]])</f>
        <v/>
      </c>
      <c r="I148" s="4" t="str">
        <f>TEXT(Claims_Cleaned[[#This Row],[claim_date]],"mmm-yyyy")</f>
        <v>Jan-2024</v>
      </c>
      <c r="J148" t="s">
        <v>13</v>
      </c>
      <c r="K148">
        <v>4874.22</v>
      </c>
      <c r="L148" t="s">
        <v>689</v>
      </c>
    </row>
    <row r="149" spans="1:13" x14ac:dyDescent="0.35">
      <c r="A149" t="s">
        <v>2229</v>
      </c>
      <c r="B149" t="s">
        <v>337</v>
      </c>
      <c r="C149" t="s">
        <v>553</v>
      </c>
      <c r="D149" t="s">
        <v>626</v>
      </c>
      <c r="E149" s="1">
        <v>45440</v>
      </c>
      <c r="F149" s="1">
        <v>45443</v>
      </c>
      <c r="G149" s="1">
        <v>45454</v>
      </c>
      <c r="H149" s="4">
        <f>IF(Claims_Cleaned[[#This Row],[processed_date]]="","",Claims_Cleaned[[#This Row],[processed_date]]-Claims_Cleaned[[#This Row],[submission_date]])</f>
        <v>11</v>
      </c>
      <c r="I149" s="4" t="str">
        <f>TEXT(Claims_Cleaned[[#This Row],[claim_date]],"mmm-yyyy")</f>
        <v>May-2024</v>
      </c>
      <c r="J149" t="s">
        <v>11</v>
      </c>
      <c r="K149">
        <v>4867.3100000000004</v>
      </c>
      <c r="L149" t="s">
        <v>683</v>
      </c>
      <c r="M149">
        <v>11</v>
      </c>
    </row>
    <row r="150" spans="1:13" x14ac:dyDescent="0.35">
      <c r="A150" t="s">
        <v>1031</v>
      </c>
      <c r="B150" t="s">
        <v>166</v>
      </c>
      <c r="C150" t="s">
        <v>599</v>
      </c>
      <c r="D150" t="s">
        <v>647</v>
      </c>
      <c r="E150" s="1">
        <v>44967</v>
      </c>
      <c r="F150" s="1">
        <v>44969</v>
      </c>
      <c r="G150" s="1"/>
      <c r="H150" s="4" t="str">
        <f>IF(Claims_Cleaned[[#This Row],[processed_date]]="","",Claims_Cleaned[[#This Row],[processed_date]]-Claims_Cleaned[[#This Row],[submission_date]])</f>
        <v/>
      </c>
      <c r="I150" s="4" t="str">
        <f>TEXT(Claims_Cleaned[[#This Row],[claim_date]],"mmm-yyyy")</f>
        <v>Feb-2023</v>
      </c>
      <c r="J150" t="s">
        <v>8</v>
      </c>
      <c r="K150">
        <v>4861.22</v>
      </c>
      <c r="L150" t="s">
        <v>689</v>
      </c>
    </row>
    <row r="151" spans="1:13" x14ac:dyDescent="0.35">
      <c r="A151" t="s">
        <v>2258</v>
      </c>
      <c r="B151" t="s">
        <v>144</v>
      </c>
      <c r="C151" t="s">
        <v>534</v>
      </c>
      <c r="D151" t="s">
        <v>647</v>
      </c>
      <c r="E151" s="1">
        <v>44959</v>
      </c>
      <c r="F151" s="1">
        <v>44961</v>
      </c>
      <c r="G151" s="1">
        <v>44979</v>
      </c>
      <c r="H151" s="4">
        <f>IF(Claims_Cleaned[[#This Row],[processed_date]]="","",Claims_Cleaned[[#This Row],[processed_date]]-Claims_Cleaned[[#This Row],[submission_date]])</f>
        <v>18</v>
      </c>
      <c r="I151" s="4" t="str">
        <f>TEXT(Claims_Cleaned[[#This Row],[claim_date]],"mmm-yyyy")</f>
        <v>Feb-2023</v>
      </c>
      <c r="J151" t="s">
        <v>8</v>
      </c>
      <c r="K151">
        <v>4856.3900000000003</v>
      </c>
      <c r="L151" t="s">
        <v>683</v>
      </c>
      <c r="M151">
        <v>18</v>
      </c>
    </row>
    <row r="152" spans="1:13" x14ac:dyDescent="0.35">
      <c r="A152" t="s">
        <v>1392</v>
      </c>
      <c r="B152" t="s">
        <v>287</v>
      </c>
      <c r="C152" t="s">
        <v>605</v>
      </c>
      <c r="D152" t="s">
        <v>647</v>
      </c>
      <c r="E152" s="1">
        <v>45505</v>
      </c>
      <c r="F152" s="1">
        <v>45510</v>
      </c>
      <c r="G152" s="1">
        <v>45529</v>
      </c>
      <c r="H152" s="4">
        <f>IF(Claims_Cleaned[[#This Row],[processed_date]]="","",Claims_Cleaned[[#This Row],[processed_date]]-Claims_Cleaned[[#This Row],[submission_date]])</f>
        <v>19</v>
      </c>
      <c r="I152" s="4" t="str">
        <f>TEXT(Claims_Cleaned[[#This Row],[claim_date]],"mmm-yyyy")</f>
        <v>Aug-2024</v>
      </c>
      <c r="J152" t="s">
        <v>20</v>
      </c>
      <c r="K152">
        <v>4826.75</v>
      </c>
      <c r="L152" t="s">
        <v>687</v>
      </c>
      <c r="M152">
        <v>19</v>
      </c>
    </row>
    <row r="153" spans="1:13" x14ac:dyDescent="0.35">
      <c r="A153" t="s">
        <v>1711</v>
      </c>
      <c r="B153" t="s">
        <v>76</v>
      </c>
      <c r="C153" t="s">
        <v>605</v>
      </c>
      <c r="D153" t="s">
        <v>647</v>
      </c>
      <c r="E153" s="1">
        <v>45459</v>
      </c>
      <c r="F153" s="1">
        <v>45462</v>
      </c>
      <c r="G153" s="1">
        <v>45482</v>
      </c>
      <c r="H153" s="4">
        <f>IF(Claims_Cleaned[[#This Row],[processed_date]]="","",Claims_Cleaned[[#This Row],[processed_date]]-Claims_Cleaned[[#This Row],[submission_date]])</f>
        <v>20</v>
      </c>
      <c r="I153" s="4" t="str">
        <f>TEXT(Claims_Cleaned[[#This Row],[claim_date]],"mmm-yyyy")</f>
        <v>Jun-2024</v>
      </c>
      <c r="J153" t="s">
        <v>8</v>
      </c>
      <c r="K153">
        <v>4823.95</v>
      </c>
      <c r="L153" t="s">
        <v>683</v>
      </c>
      <c r="M153">
        <v>20</v>
      </c>
    </row>
    <row r="154" spans="1:13" x14ac:dyDescent="0.35">
      <c r="A154" t="s">
        <v>1946</v>
      </c>
      <c r="B154" t="s">
        <v>314</v>
      </c>
      <c r="C154" t="s">
        <v>581</v>
      </c>
      <c r="D154" t="s">
        <v>647</v>
      </c>
      <c r="E154" s="1">
        <v>45316</v>
      </c>
      <c r="F154" s="1">
        <v>45317</v>
      </c>
      <c r="G154" s="1">
        <v>45344</v>
      </c>
      <c r="H154" s="4">
        <f>IF(Claims_Cleaned[[#This Row],[processed_date]]="","",Claims_Cleaned[[#This Row],[processed_date]]-Claims_Cleaned[[#This Row],[submission_date]])</f>
        <v>27</v>
      </c>
      <c r="I154" s="4" t="str">
        <f>TEXT(Claims_Cleaned[[#This Row],[claim_date]],"mmm-yyyy")</f>
        <v>Jan-2024</v>
      </c>
      <c r="J154" t="s">
        <v>8</v>
      </c>
      <c r="K154">
        <v>4816.22</v>
      </c>
      <c r="L154" t="s">
        <v>683</v>
      </c>
      <c r="M154">
        <v>27</v>
      </c>
    </row>
    <row r="155" spans="1:13" x14ac:dyDescent="0.35">
      <c r="A155" t="s">
        <v>794</v>
      </c>
      <c r="B155" t="s">
        <v>77</v>
      </c>
      <c r="C155" t="s">
        <v>537</v>
      </c>
      <c r="D155" t="s">
        <v>647</v>
      </c>
      <c r="E155" s="1">
        <v>45221</v>
      </c>
      <c r="F155" s="1">
        <v>45226</v>
      </c>
      <c r="G155" s="1">
        <v>45237</v>
      </c>
      <c r="H155" s="4">
        <f>IF(Claims_Cleaned[[#This Row],[processed_date]]="","",Claims_Cleaned[[#This Row],[processed_date]]-Claims_Cleaned[[#This Row],[submission_date]])</f>
        <v>11</v>
      </c>
      <c r="I155" s="4" t="str">
        <f>TEXT(Claims_Cleaned[[#This Row],[claim_date]],"mmm-yyyy")</f>
        <v>Oct-2023</v>
      </c>
      <c r="J155" t="s">
        <v>20</v>
      </c>
      <c r="K155">
        <v>4813.21</v>
      </c>
      <c r="L155" t="s">
        <v>683</v>
      </c>
      <c r="M155">
        <v>11</v>
      </c>
    </row>
    <row r="156" spans="1:13" x14ac:dyDescent="0.35">
      <c r="A156" t="s">
        <v>1522</v>
      </c>
      <c r="B156" t="s">
        <v>23</v>
      </c>
      <c r="C156" t="s">
        <v>565</v>
      </c>
      <c r="D156" t="s">
        <v>626</v>
      </c>
      <c r="E156" s="1">
        <v>45420</v>
      </c>
      <c r="F156" s="1">
        <v>45425</v>
      </c>
      <c r="G156" s="1">
        <v>45435</v>
      </c>
      <c r="H156" s="4">
        <f>IF(Claims_Cleaned[[#This Row],[processed_date]]="","",Claims_Cleaned[[#This Row],[processed_date]]-Claims_Cleaned[[#This Row],[submission_date]])</f>
        <v>10</v>
      </c>
      <c r="I156" s="4" t="str">
        <f>TEXT(Claims_Cleaned[[#This Row],[claim_date]],"mmm-yyyy")</f>
        <v>May-2024</v>
      </c>
      <c r="J156" t="s">
        <v>25</v>
      </c>
      <c r="K156">
        <v>4807.43</v>
      </c>
      <c r="L156" t="s">
        <v>683</v>
      </c>
      <c r="M156">
        <v>10</v>
      </c>
    </row>
    <row r="157" spans="1:13" x14ac:dyDescent="0.35">
      <c r="A157" t="s">
        <v>2403</v>
      </c>
      <c r="B157" t="s">
        <v>89</v>
      </c>
      <c r="C157" t="s">
        <v>524</v>
      </c>
      <c r="D157" t="s">
        <v>626</v>
      </c>
      <c r="E157" s="1">
        <v>45077</v>
      </c>
      <c r="F157" s="1">
        <v>45078</v>
      </c>
      <c r="G157" s="1">
        <v>45089</v>
      </c>
      <c r="H157" s="4">
        <f>IF(Claims_Cleaned[[#This Row],[processed_date]]="","",Claims_Cleaned[[#This Row],[processed_date]]-Claims_Cleaned[[#This Row],[submission_date]])</f>
        <v>11</v>
      </c>
      <c r="I157" s="4" t="str">
        <f>TEXT(Claims_Cleaned[[#This Row],[claim_date]],"mmm-yyyy")</f>
        <v>May-2023</v>
      </c>
      <c r="J157" t="s">
        <v>11</v>
      </c>
      <c r="K157">
        <v>4799.82</v>
      </c>
      <c r="L157" t="s">
        <v>683</v>
      </c>
      <c r="M157">
        <v>11</v>
      </c>
    </row>
    <row r="158" spans="1:13" x14ac:dyDescent="0.35">
      <c r="A158" t="s">
        <v>2240</v>
      </c>
      <c r="B158" t="s">
        <v>301</v>
      </c>
      <c r="C158" t="s">
        <v>571</v>
      </c>
      <c r="D158" t="s">
        <v>626</v>
      </c>
      <c r="E158" s="1">
        <v>45136</v>
      </c>
      <c r="F158" s="1">
        <v>45139</v>
      </c>
      <c r="G158" s="1">
        <v>45165</v>
      </c>
      <c r="H158" s="4">
        <f>IF(Claims_Cleaned[[#This Row],[processed_date]]="","",Claims_Cleaned[[#This Row],[processed_date]]-Claims_Cleaned[[#This Row],[submission_date]])</f>
        <v>26</v>
      </c>
      <c r="I158" s="4" t="str">
        <f>TEXT(Claims_Cleaned[[#This Row],[claim_date]],"mmm-yyyy")</f>
        <v>Jul-2023</v>
      </c>
      <c r="J158" t="s">
        <v>8</v>
      </c>
      <c r="K158">
        <v>4797.7700000000004</v>
      </c>
      <c r="L158" t="s">
        <v>683</v>
      </c>
      <c r="M158">
        <v>26</v>
      </c>
    </row>
    <row r="159" spans="1:13" x14ac:dyDescent="0.35">
      <c r="A159" t="s">
        <v>869</v>
      </c>
      <c r="B159" t="s">
        <v>303</v>
      </c>
      <c r="C159" t="s">
        <v>585</v>
      </c>
      <c r="D159" t="s">
        <v>647</v>
      </c>
      <c r="E159" s="1">
        <v>45519</v>
      </c>
      <c r="F159" s="1">
        <v>45521</v>
      </c>
      <c r="G159" s="1">
        <v>45544</v>
      </c>
      <c r="H159" s="4">
        <f>IF(Claims_Cleaned[[#This Row],[processed_date]]="","",Claims_Cleaned[[#This Row],[processed_date]]-Claims_Cleaned[[#This Row],[submission_date]])</f>
        <v>23</v>
      </c>
      <c r="I159" s="4" t="str">
        <f>TEXT(Claims_Cleaned[[#This Row],[claim_date]],"mmm-yyyy")</f>
        <v>Aug-2024</v>
      </c>
      <c r="J159" t="s">
        <v>8</v>
      </c>
      <c r="K159">
        <v>4788.46</v>
      </c>
      <c r="L159" t="s">
        <v>683</v>
      </c>
      <c r="M159">
        <v>23</v>
      </c>
    </row>
    <row r="160" spans="1:13" x14ac:dyDescent="0.35">
      <c r="A160" t="s">
        <v>1166</v>
      </c>
      <c r="B160" t="s">
        <v>444</v>
      </c>
      <c r="C160" t="s">
        <v>589</v>
      </c>
      <c r="D160" t="s">
        <v>647</v>
      </c>
      <c r="E160" s="1">
        <v>45227</v>
      </c>
      <c r="F160" s="1">
        <v>45230</v>
      </c>
      <c r="G160" s="1">
        <v>45251</v>
      </c>
      <c r="H160" s="4">
        <f>IF(Claims_Cleaned[[#This Row],[processed_date]]="","",Claims_Cleaned[[#This Row],[processed_date]]-Claims_Cleaned[[#This Row],[submission_date]])</f>
        <v>21</v>
      </c>
      <c r="I160" s="4" t="str">
        <f>TEXT(Claims_Cleaned[[#This Row],[claim_date]],"mmm-yyyy")</f>
        <v>Oct-2023</v>
      </c>
      <c r="J160" t="s">
        <v>25</v>
      </c>
      <c r="K160">
        <v>4776.84</v>
      </c>
      <c r="L160" t="s">
        <v>683</v>
      </c>
      <c r="M160">
        <v>21</v>
      </c>
    </row>
    <row r="161" spans="1:13" x14ac:dyDescent="0.35">
      <c r="A161" t="s">
        <v>2047</v>
      </c>
      <c r="B161" t="s">
        <v>469</v>
      </c>
      <c r="C161" t="s">
        <v>609</v>
      </c>
      <c r="D161" t="s">
        <v>647</v>
      </c>
      <c r="E161" s="1">
        <v>45035</v>
      </c>
      <c r="F161" s="1">
        <v>45040</v>
      </c>
      <c r="G161" s="1">
        <v>45070</v>
      </c>
      <c r="H161" s="4">
        <f>IF(Claims_Cleaned[[#This Row],[processed_date]]="","",Claims_Cleaned[[#This Row],[processed_date]]-Claims_Cleaned[[#This Row],[submission_date]])</f>
        <v>30</v>
      </c>
      <c r="I161" s="4" t="str">
        <f>TEXT(Claims_Cleaned[[#This Row],[claim_date]],"mmm-yyyy")</f>
        <v>Apr-2023</v>
      </c>
      <c r="J161" t="s">
        <v>8</v>
      </c>
      <c r="K161">
        <v>4776.09</v>
      </c>
      <c r="L161" t="s">
        <v>687</v>
      </c>
      <c r="M161">
        <v>30</v>
      </c>
    </row>
    <row r="162" spans="1:13" x14ac:dyDescent="0.35">
      <c r="A162" t="s">
        <v>1347</v>
      </c>
      <c r="B162" t="s">
        <v>302</v>
      </c>
      <c r="C162" t="s">
        <v>595</v>
      </c>
      <c r="D162" t="s">
        <v>647</v>
      </c>
      <c r="E162" s="1">
        <v>44967</v>
      </c>
      <c r="F162" s="1">
        <v>44971</v>
      </c>
      <c r="G162" s="1">
        <v>44997</v>
      </c>
      <c r="H162" s="4">
        <f>IF(Claims_Cleaned[[#This Row],[processed_date]]="","",Claims_Cleaned[[#This Row],[processed_date]]-Claims_Cleaned[[#This Row],[submission_date]])</f>
        <v>26</v>
      </c>
      <c r="I162" s="4" t="str">
        <f>TEXT(Claims_Cleaned[[#This Row],[claim_date]],"mmm-yyyy")</f>
        <v>Feb-2023</v>
      </c>
      <c r="J162" t="s">
        <v>8</v>
      </c>
      <c r="K162">
        <v>4741.05</v>
      </c>
      <c r="L162" t="s">
        <v>683</v>
      </c>
      <c r="M162">
        <v>26</v>
      </c>
    </row>
    <row r="163" spans="1:13" x14ac:dyDescent="0.35">
      <c r="A163" t="s">
        <v>1948</v>
      </c>
      <c r="B163" t="s">
        <v>70</v>
      </c>
      <c r="C163" t="s">
        <v>591</v>
      </c>
      <c r="D163" t="s">
        <v>647</v>
      </c>
      <c r="E163" s="1">
        <v>45546</v>
      </c>
      <c r="F163" s="1">
        <v>45550</v>
      </c>
      <c r="G163" s="1">
        <v>45562</v>
      </c>
      <c r="H163" s="4">
        <f>IF(Claims_Cleaned[[#This Row],[processed_date]]="","",Claims_Cleaned[[#This Row],[processed_date]]-Claims_Cleaned[[#This Row],[submission_date]])</f>
        <v>12</v>
      </c>
      <c r="I163" s="4" t="str">
        <f>TEXT(Claims_Cleaned[[#This Row],[claim_date]],"mmm-yyyy")</f>
        <v>Sep-2024</v>
      </c>
      <c r="J163" t="s">
        <v>11</v>
      </c>
      <c r="K163">
        <v>4735.6400000000003</v>
      </c>
      <c r="L163" t="s">
        <v>683</v>
      </c>
      <c r="M163">
        <v>12</v>
      </c>
    </row>
    <row r="164" spans="1:13" x14ac:dyDescent="0.35">
      <c r="A164" t="s">
        <v>2339</v>
      </c>
      <c r="B164" t="s">
        <v>440</v>
      </c>
      <c r="C164" t="s">
        <v>581</v>
      </c>
      <c r="D164" t="s">
        <v>647</v>
      </c>
      <c r="E164" s="1">
        <v>45278</v>
      </c>
      <c r="F164" s="1">
        <v>45280</v>
      </c>
      <c r="G164" s="1">
        <v>45296</v>
      </c>
      <c r="H164" s="4">
        <f>IF(Claims_Cleaned[[#This Row],[processed_date]]="","",Claims_Cleaned[[#This Row],[processed_date]]-Claims_Cleaned[[#This Row],[submission_date]])</f>
        <v>16</v>
      </c>
      <c r="I164" s="4" t="str">
        <f>TEXT(Claims_Cleaned[[#This Row],[claim_date]],"mmm-yyyy")</f>
        <v>Dec-2023</v>
      </c>
      <c r="J164" t="s">
        <v>20</v>
      </c>
      <c r="K164">
        <v>4734.1499999999996</v>
      </c>
      <c r="L164" t="s">
        <v>683</v>
      </c>
      <c r="M164">
        <v>16</v>
      </c>
    </row>
    <row r="165" spans="1:13" x14ac:dyDescent="0.35">
      <c r="A165" t="s">
        <v>1613</v>
      </c>
      <c r="B165" t="s">
        <v>253</v>
      </c>
      <c r="C165" t="s">
        <v>581</v>
      </c>
      <c r="D165" t="s">
        <v>647</v>
      </c>
      <c r="E165" s="1">
        <v>45556</v>
      </c>
      <c r="F165" s="1">
        <v>45559</v>
      </c>
      <c r="G165" s="1">
        <v>45577</v>
      </c>
      <c r="H165" s="4">
        <f>IF(Claims_Cleaned[[#This Row],[processed_date]]="","",Claims_Cleaned[[#This Row],[processed_date]]-Claims_Cleaned[[#This Row],[submission_date]])</f>
        <v>18</v>
      </c>
      <c r="I165" s="4" t="str">
        <f>TEXT(Claims_Cleaned[[#This Row],[claim_date]],"mmm-yyyy")</f>
        <v>Sep-2024</v>
      </c>
      <c r="J165" t="s">
        <v>8</v>
      </c>
      <c r="K165">
        <v>4727.9399999999996</v>
      </c>
      <c r="L165" t="s">
        <v>687</v>
      </c>
      <c r="M165">
        <v>18</v>
      </c>
    </row>
    <row r="166" spans="1:13" x14ac:dyDescent="0.35">
      <c r="A166" t="s">
        <v>2632</v>
      </c>
      <c r="B166" t="s">
        <v>284</v>
      </c>
      <c r="C166" t="s">
        <v>537</v>
      </c>
      <c r="D166" t="s">
        <v>647</v>
      </c>
      <c r="E166" s="1">
        <v>44999</v>
      </c>
      <c r="F166" s="1">
        <v>45002</v>
      </c>
      <c r="G166" s="1">
        <v>45018</v>
      </c>
      <c r="H166" s="4">
        <f>IF(Claims_Cleaned[[#This Row],[processed_date]]="","",Claims_Cleaned[[#This Row],[processed_date]]-Claims_Cleaned[[#This Row],[submission_date]])</f>
        <v>16</v>
      </c>
      <c r="I166" s="4" t="str">
        <f>TEXT(Claims_Cleaned[[#This Row],[claim_date]],"mmm-yyyy")</f>
        <v>Mar-2023</v>
      </c>
      <c r="J166" t="s">
        <v>8</v>
      </c>
      <c r="K166">
        <v>4717.76</v>
      </c>
      <c r="L166" t="s">
        <v>683</v>
      </c>
      <c r="M166">
        <v>16</v>
      </c>
    </row>
    <row r="167" spans="1:13" x14ac:dyDescent="0.35">
      <c r="A167" t="s">
        <v>1319</v>
      </c>
      <c r="B167" t="s">
        <v>289</v>
      </c>
      <c r="C167" t="s">
        <v>577</v>
      </c>
      <c r="D167" t="s">
        <v>626</v>
      </c>
      <c r="E167" s="1">
        <v>45237</v>
      </c>
      <c r="F167" s="1">
        <v>45241</v>
      </c>
      <c r="G167" s="1">
        <v>45247</v>
      </c>
      <c r="H167" s="4">
        <f>IF(Claims_Cleaned[[#This Row],[processed_date]]="","",Claims_Cleaned[[#This Row],[processed_date]]-Claims_Cleaned[[#This Row],[submission_date]])</f>
        <v>6</v>
      </c>
      <c r="I167" s="4" t="str">
        <f>TEXT(Claims_Cleaned[[#This Row],[claim_date]],"mmm-yyyy")</f>
        <v>Nov-2023</v>
      </c>
      <c r="J167" t="s">
        <v>13</v>
      </c>
      <c r="K167">
        <v>4707.3100000000004</v>
      </c>
      <c r="L167" t="s">
        <v>683</v>
      </c>
      <c r="M167">
        <v>6</v>
      </c>
    </row>
    <row r="168" spans="1:13" x14ac:dyDescent="0.35">
      <c r="A168" t="s">
        <v>2653</v>
      </c>
      <c r="B168" t="s">
        <v>102</v>
      </c>
      <c r="C168" t="s">
        <v>601</v>
      </c>
      <c r="D168" t="s">
        <v>626</v>
      </c>
      <c r="E168" s="1">
        <v>45584</v>
      </c>
      <c r="F168" s="1">
        <v>45585</v>
      </c>
      <c r="G168" s="1">
        <v>45614</v>
      </c>
      <c r="H168" s="4">
        <f>IF(Claims_Cleaned[[#This Row],[processed_date]]="","",Claims_Cleaned[[#This Row],[processed_date]]-Claims_Cleaned[[#This Row],[submission_date]])</f>
        <v>29</v>
      </c>
      <c r="I168" s="4" t="str">
        <f>TEXT(Claims_Cleaned[[#This Row],[claim_date]],"mmm-yyyy")</f>
        <v>Oct-2024</v>
      </c>
      <c r="J168" t="s">
        <v>11</v>
      </c>
      <c r="K168">
        <v>4699.3999999999996</v>
      </c>
      <c r="L168" t="s">
        <v>683</v>
      </c>
      <c r="M168">
        <v>29</v>
      </c>
    </row>
    <row r="169" spans="1:13" x14ac:dyDescent="0.35">
      <c r="A169" t="s">
        <v>1033</v>
      </c>
      <c r="B169" t="s">
        <v>21</v>
      </c>
      <c r="C169" t="s">
        <v>581</v>
      </c>
      <c r="D169" t="s">
        <v>626</v>
      </c>
      <c r="E169" s="1">
        <v>45264</v>
      </c>
      <c r="F169" s="1">
        <v>45267</v>
      </c>
      <c r="G169" s="1">
        <v>45279</v>
      </c>
      <c r="H169" s="4">
        <f>IF(Claims_Cleaned[[#This Row],[processed_date]]="","",Claims_Cleaned[[#This Row],[processed_date]]-Claims_Cleaned[[#This Row],[submission_date]])</f>
        <v>12</v>
      </c>
      <c r="I169" s="4" t="str">
        <f>TEXT(Claims_Cleaned[[#This Row],[claim_date]],"mmm-yyyy")</f>
        <v>Dec-2023</v>
      </c>
      <c r="J169" t="s">
        <v>11</v>
      </c>
      <c r="K169">
        <v>4698.43</v>
      </c>
      <c r="L169" t="s">
        <v>683</v>
      </c>
      <c r="M169">
        <v>12</v>
      </c>
    </row>
    <row r="170" spans="1:13" x14ac:dyDescent="0.35">
      <c r="A170" t="s">
        <v>2096</v>
      </c>
      <c r="B170" t="s">
        <v>153</v>
      </c>
      <c r="C170" t="s">
        <v>611</v>
      </c>
      <c r="D170" t="s">
        <v>647</v>
      </c>
      <c r="E170" s="1">
        <v>45626</v>
      </c>
      <c r="F170" s="1">
        <v>45627</v>
      </c>
      <c r="G170" s="1">
        <v>45646</v>
      </c>
      <c r="H170" s="4">
        <f>IF(Claims_Cleaned[[#This Row],[processed_date]]="","",Claims_Cleaned[[#This Row],[processed_date]]-Claims_Cleaned[[#This Row],[submission_date]])</f>
        <v>19</v>
      </c>
      <c r="I170" s="4" t="str">
        <f>TEXT(Claims_Cleaned[[#This Row],[claim_date]],"mmm-yyyy")</f>
        <v>Nov-2024</v>
      </c>
      <c r="J170" t="s">
        <v>13</v>
      </c>
      <c r="K170">
        <v>4668.6000000000004</v>
      </c>
      <c r="L170" t="s">
        <v>683</v>
      </c>
      <c r="M170">
        <v>19</v>
      </c>
    </row>
    <row r="171" spans="1:13" x14ac:dyDescent="0.35">
      <c r="A171" t="s">
        <v>889</v>
      </c>
      <c r="B171" t="s">
        <v>515</v>
      </c>
      <c r="C171" t="s">
        <v>537</v>
      </c>
      <c r="D171" t="s">
        <v>626</v>
      </c>
      <c r="E171" s="1">
        <v>45038</v>
      </c>
      <c r="F171" s="1">
        <v>45040</v>
      </c>
      <c r="G171" s="1">
        <v>45070</v>
      </c>
      <c r="H171" s="4">
        <f>IF(Claims_Cleaned[[#This Row],[processed_date]]="","",Claims_Cleaned[[#This Row],[processed_date]]-Claims_Cleaned[[#This Row],[submission_date]])</f>
        <v>30</v>
      </c>
      <c r="I171" s="4" t="str">
        <f>TEXT(Claims_Cleaned[[#This Row],[claim_date]],"mmm-yyyy")</f>
        <v>Apr-2023</v>
      </c>
      <c r="J171" t="s">
        <v>11</v>
      </c>
      <c r="K171">
        <v>4650.34</v>
      </c>
      <c r="L171" t="s">
        <v>683</v>
      </c>
      <c r="M171">
        <v>30</v>
      </c>
    </row>
    <row r="172" spans="1:13" x14ac:dyDescent="0.35">
      <c r="A172" t="s">
        <v>1670</v>
      </c>
      <c r="B172" t="s">
        <v>265</v>
      </c>
      <c r="C172" t="s">
        <v>524</v>
      </c>
      <c r="D172" t="s">
        <v>626</v>
      </c>
      <c r="E172" s="1">
        <v>45014</v>
      </c>
      <c r="F172" s="1">
        <v>45018</v>
      </c>
      <c r="G172" s="1">
        <v>45026</v>
      </c>
      <c r="H172" s="4">
        <f>IF(Claims_Cleaned[[#This Row],[processed_date]]="","",Claims_Cleaned[[#This Row],[processed_date]]-Claims_Cleaned[[#This Row],[submission_date]])</f>
        <v>8</v>
      </c>
      <c r="I172" s="4" t="str">
        <f>TEXT(Claims_Cleaned[[#This Row],[claim_date]],"mmm-yyyy")</f>
        <v>Mar-2023</v>
      </c>
      <c r="J172" t="s">
        <v>11</v>
      </c>
      <c r="K172">
        <v>4615.3100000000004</v>
      </c>
      <c r="L172" t="s">
        <v>683</v>
      </c>
      <c r="M172">
        <v>8</v>
      </c>
    </row>
    <row r="173" spans="1:13" x14ac:dyDescent="0.35">
      <c r="A173" t="s">
        <v>1351</v>
      </c>
      <c r="B173" t="s">
        <v>514</v>
      </c>
      <c r="C173" t="s">
        <v>565</v>
      </c>
      <c r="D173" t="s">
        <v>626</v>
      </c>
      <c r="E173" s="1">
        <v>45001</v>
      </c>
      <c r="F173" s="1">
        <v>45004</v>
      </c>
      <c r="G173" s="1">
        <v>45025</v>
      </c>
      <c r="H173" s="4">
        <f>IF(Claims_Cleaned[[#This Row],[processed_date]]="","",Claims_Cleaned[[#This Row],[processed_date]]-Claims_Cleaned[[#This Row],[submission_date]])</f>
        <v>21</v>
      </c>
      <c r="I173" s="4" t="str">
        <f>TEXT(Claims_Cleaned[[#This Row],[claim_date]],"mmm-yyyy")</f>
        <v>Mar-2023</v>
      </c>
      <c r="J173" t="s">
        <v>13</v>
      </c>
      <c r="K173">
        <v>4594.58</v>
      </c>
      <c r="L173" t="s">
        <v>683</v>
      </c>
      <c r="M173">
        <v>21</v>
      </c>
    </row>
    <row r="174" spans="1:13" x14ac:dyDescent="0.35">
      <c r="A174" t="s">
        <v>1513</v>
      </c>
      <c r="B174" t="s">
        <v>266</v>
      </c>
      <c r="C174" t="s">
        <v>527</v>
      </c>
      <c r="D174" t="s">
        <v>626</v>
      </c>
      <c r="E174" s="1">
        <v>45437</v>
      </c>
      <c r="F174" s="1">
        <v>45438</v>
      </c>
      <c r="G174" s="1">
        <v>45464</v>
      </c>
      <c r="H174" s="4">
        <f>IF(Claims_Cleaned[[#This Row],[processed_date]]="","",Claims_Cleaned[[#This Row],[processed_date]]-Claims_Cleaned[[#This Row],[submission_date]])</f>
        <v>26</v>
      </c>
      <c r="I174" s="4" t="str">
        <f>TEXT(Claims_Cleaned[[#This Row],[claim_date]],"mmm-yyyy")</f>
        <v>May-2024</v>
      </c>
      <c r="J174" t="s">
        <v>20</v>
      </c>
      <c r="K174">
        <v>4571.71</v>
      </c>
      <c r="L174" t="s">
        <v>683</v>
      </c>
      <c r="M174">
        <v>26</v>
      </c>
    </row>
    <row r="175" spans="1:13" x14ac:dyDescent="0.35">
      <c r="A175" t="s">
        <v>1769</v>
      </c>
      <c r="B175" t="s">
        <v>180</v>
      </c>
      <c r="C175" t="s">
        <v>603</v>
      </c>
      <c r="D175" t="s">
        <v>626</v>
      </c>
      <c r="E175" s="1">
        <v>45603</v>
      </c>
      <c r="F175" s="1">
        <v>45608</v>
      </c>
      <c r="G175" s="1">
        <v>45612</v>
      </c>
      <c r="H175" s="4">
        <f>IF(Claims_Cleaned[[#This Row],[processed_date]]="","",Claims_Cleaned[[#This Row],[processed_date]]-Claims_Cleaned[[#This Row],[submission_date]])</f>
        <v>4</v>
      </c>
      <c r="I175" s="4" t="str">
        <f>TEXT(Claims_Cleaned[[#This Row],[claim_date]],"mmm-yyyy")</f>
        <v>Nov-2024</v>
      </c>
      <c r="J175" t="s">
        <v>11</v>
      </c>
      <c r="K175">
        <v>4549.59</v>
      </c>
      <c r="L175" t="s">
        <v>683</v>
      </c>
      <c r="M175">
        <v>4</v>
      </c>
    </row>
    <row r="176" spans="1:13" x14ac:dyDescent="0.35">
      <c r="A176" t="s">
        <v>2544</v>
      </c>
      <c r="B176" t="s">
        <v>233</v>
      </c>
      <c r="C176" t="s">
        <v>557</v>
      </c>
      <c r="D176" t="s">
        <v>647</v>
      </c>
      <c r="E176" s="1">
        <v>45421</v>
      </c>
      <c r="F176" s="1">
        <v>45422</v>
      </c>
      <c r="G176" s="1">
        <v>45442</v>
      </c>
      <c r="H176" s="4">
        <f>IF(Claims_Cleaned[[#This Row],[processed_date]]="","",Claims_Cleaned[[#This Row],[processed_date]]-Claims_Cleaned[[#This Row],[submission_date]])</f>
        <v>20</v>
      </c>
      <c r="I176" s="4" t="str">
        <f>TEXT(Claims_Cleaned[[#This Row],[claim_date]],"mmm-yyyy")</f>
        <v>May-2024</v>
      </c>
      <c r="J176" t="s">
        <v>20</v>
      </c>
      <c r="K176">
        <v>4540.21</v>
      </c>
      <c r="L176" t="s">
        <v>683</v>
      </c>
      <c r="M176">
        <v>20</v>
      </c>
    </row>
    <row r="177" spans="1:13" x14ac:dyDescent="0.35">
      <c r="A177" t="s">
        <v>1996</v>
      </c>
      <c r="B177" t="s">
        <v>308</v>
      </c>
      <c r="C177" t="s">
        <v>567</v>
      </c>
      <c r="D177" t="s">
        <v>626</v>
      </c>
      <c r="E177" s="1">
        <v>45191</v>
      </c>
      <c r="F177" s="1">
        <v>45196</v>
      </c>
      <c r="G177" s="1">
        <v>45222</v>
      </c>
      <c r="H177" s="4">
        <f>IF(Claims_Cleaned[[#This Row],[processed_date]]="","",Claims_Cleaned[[#This Row],[processed_date]]-Claims_Cleaned[[#This Row],[submission_date]])</f>
        <v>26</v>
      </c>
      <c r="I177" s="4" t="str">
        <f>TEXT(Claims_Cleaned[[#This Row],[claim_date]],"mmm-yyyy")</f>
        <v>Sep-2023</v>
      </c>
      <c r="J177" t="s">
        <v>25</v>
      </c>
      <c r="K177">
        <v>4539.38</v>
      </c>
      <c r="L177" t="s">
        <v>687</v>
      </c>
      <c r="M177">
        <v>26</v>
      </c>
    </row>
    <row r="178" spans="1:13" x14ac:dyDescent="0.35">
      <c r="A178" t="s">
        <v>1851</v>
      </c>
      <c r="B178" t="s">
        <v>228</v>
      </c>
      <c r="C178" t="s">
        <v>599</v>
      </c>
      <c r="D178" t="s">
        <v>647</v>
      </c>
      <c r="E178" s="1">
        <v>45466</v>
      </c>
      <c r="F178" s="1">
        <v>45467</v>
      </c>
      <c r="G178" s="1">
        <v>45471</v>
      </c>
      <c r="H178" s="4">
        <f>IF(Claims_Cleaned[[#This Row],[processed_date]]="","",Claims_Cleaned[[#This Row],[processed_date]]-Claims_Cleaned[[#This Row],[submission_date]])</f>
        <v>4</v>
      </c>
      <c r="I178" s="4" t="str">
        <f>TEXT(Claims_Cleaned[[#This Row],[claim_date]],"mmm-yyyy")</f>
        <v>Jun-2024</v>
      </c>
      <c r="J178" t="s">
        <v>25</v>
      </c>
      <c r="K178">
        <v>4536.9399999999996</v>
      </c>
      <c r="L178" t="s">
        <v>687</v>
      </c>
      <c r="M178">
        <v>4</v>
      </c>
    </row>
    <row r="179" spans="1:13" x14ac:dyDescent="0.35">
      <c r="A179" t="s">
        <v>815</v>
      </c>
      <c r="B179" t="s">
        <v>295</v>
      </c>
      <c r="C179" t="s">
        <v>579</v>
      </c>
      <c r="D179" t="s">
        <v>647</v>
      </c>
      <c r="E179" s="1">
        <v>45196</v>
      </c>
      <c r="F179" s="1">
        <v>45199</v>
      </c>
      <c r="G179" s="1">
        <v>45202</v>
      </c>
      <c r="H179" s="4">
        <f>IF(Claims_Cleaned[[#This Row],[processed_date]]="","",Claims_Cleaned[[#This Row],[processed_date]]-Claims_Cleaned[[#This Row],[submission_date]])</f>
        <v>3</v>
      </c>
      <c r="I179" s="4" t="str">
        <f>TEXT(Claims_Cleaned[[#This Row],[claim_date]],"mmm-yyyy")</f>
        <v>Sep-2023</v>
      </c>
      <c r="J179" t="s">
        <v>8</v>
      </c>
      <c r="K179">
        <v>4533.49</v>
      </c>
      <c r="L179" t="s">
        <v>683</v>
      </c>
      <c r="M179">
        <v>3</v>
      </c>
    </row>
    <row r="180" spans="1:13" x14ac:dyDescent="0.35">
      <c r="A180" t="s">
        <v>2614</v>
      </c>
      <c r="B180" t="s">
        <v>47</v>
      </c>
      <c r="C180" t="s">
        <v>597</v>
      </c>
      <c r="D180" t="s">
        <v>647</v>
      </c>
      <c r="E180" s="1">
        <v>44933</v>
      </c>
      <c r="F180" s="1">
        <v>44936</v>
      </c>
      <c r="G180" s="1"/>
      <c r="H180" s="4" t="str">
        <f>IF(Claims_Cleaned[[#This Row],[processed_date]]="","",Claims_Cleaned[[#This Row],[processed_date]]-Claims_Cleaned[[#This Row],[submission_date]])</f>
        <v/>
      </c>
      <c r="I180" s="4" t="str">
        <f>TEXT(Claims_Cleaned[[#This Row],[claim_date]],"mmm-yyyy")</f>
        <v>Jan-2023</v>
      </c>
      <c r="J180" t="s">
        <v>20</v>
      </c>
      <c r="K180">
        <v>4531.8599999999997</v>
      </c>
      <c r="L180" t="s">
        <v>689</v>
      </c>
    </row>
    <row r="181" spans="1:13" x14ac:dyDescent="0.35">
      <c r="A181" t="s">
        <v>1747</v>
      </c>
      <c r="B181" t="s">
        <v>435</v>
      </c>
      <c r="C181" t="s">
        <v>540</v>
      </c>
      <c r="D181" t="s">
        <v>647</v>
      </c>
      <c r="E181" s="1">
        <v>45075</v>
      </c>
      <c r="F181" s="1">
        <v>45078</v>
      </c>
      <c r="G181" s="1">
        <v>45107</v>
      </c>
      <c r="H181" s="4">
        <f>IF(Claims_Cleaned[[#This Row],[processed_date]]="","",Claims_Cleaned[[#This Row],[processed_date]]-Claims_Cleaned[[#This Row],[submission_date]])</f>
        <v>29</v>
      </c>
      <c r="I181" s="4" t="str">
        <f>TEXT(Claims_Cleaned[[#This Row],[claim_date]],"mmm-yyyy")</f>
        <v>May-2023</v>
      </c>
      <c r="J181" t="s">
        <v>20</v>
      </c>
      <c r="K181">
        <v>4529.3100000000004</v>
      </c>
      <c r="L181" t="s">
        <v>683</v>
      </c>
      <c r="M181">
        <v>29</v>
      </c>
    </row>
    <row r="182" spans="1:13" x14ac:dyDescent="0.35">
      <c r="A182" t="s">
        <v>2622</v>
      </c>
      <c r="B182" t="s">
        <v>448</v>
      </c>
      <c r="C182" t="s">
        <v>567</v>
      </c>
      <c r="D182" t="s">
        <v>647</v>
      </c>
      <c r="E182" s="1">
        <v>45177</v>
      </c>
      <c r="F182" s="1">
        <v>45182</v>
      </c>
      <c r="G182" s="1">
        <v>45188</v>
      </c>
      <c r="H182" s="4">
        <f>IF(Claims_Cleaned[[#This Row],[processed_date]]="","",Claims_Cleaned[[#This Row],[processed_date]]-Claims_Cleaned[[#This Row],[submission_date]])</f>
        <v>6</v>
      </c>
      <c r="I182" s="4" t="str">
        <f>TEXT(Claims_Cleaned[[#This Row],[claim_date]],"mmm-yyyy")</f>
        <v>Sep-2023</v>
      </c>
      <c r="J182" t="s">
        <v>8</v>
      </c>
      <c r="K182">
        <v>4510.82</v>
      </c>
      <c r="L182" t="s">
        <v>683</v>
      </c>
      <c r="M182">
        <v>6</v>
      </c>
    </row>
    <row r="183" spans="1:13" x14ac:dyDescent="0.35">
      <c r="A183" t="s">
        <v>2257</v>
      </c>
      <c r="B183" t="s">
        <v>178</v>
      </c>
      <c r="C183" t="s">
        <v>549</v>
      </c>
      <c r="D183" t="s">
        <v>647</v>
      </c>
      <c r="E183" s="1">
        <v>44985</v>
      </c>
      <c r="F183" s="1">
        <v>44988</v>
      </c>
      <c r="G183" s="1">
        <v>45010</v>
      </c>
      <c r="H183" s="4">
        <f>IF(Claims_Cleaned[[#This Row],[processed_date]]="","",Claims_Cleaned[[#This Row],[processed_date]]-Claims_Cleaned[[#This Row],[submission_date]])</f>
        <v>22</v>
      </c>
      <c r="I183" s="4" t="str">
        <f>TEXT(Claims_Cleaned[[#This Row],[claim_date]],"mmm-yyyy")</f>
        <v>Feb-2023</v>
      </c>
      <c r="J183" t="s">
        <v>8</v>
      </c>
      <c r="K183">
        <v>4508.8500000000004</v>
      </c>
      <c r="L183" t="s">
        <v>683</v>
      </c>
      <c r="M183">
        <v>22</v>
      </c>
    </row>
    <row r="184" spans="1:13" x14ac:dyDescent="0.35">
      <c r="A184" t="s">
        <v>1578</v>
      </c>
      <c r="B184" t="s">
        <v>293</v>
      </c>
      <c r="C184" t="s">
        <v>575</v>
      </c>
      <c r="D184" t="s">
        <v>647</v>
      </c>
      <c r="E184" s="1">
        <v>45284</v>
      </c>
      <c r="F184" s="1">
        <v>45288</v>
      </c>
      <c r="G184" s="1">
        <v>45304</v>
      </c>
      <c r="H184" s="4">
        <f>IF(Claims_Cleaned[[#This Row],[processed_date]]="","",Claims_Cleaned[[#This Row],[processed_date]]-Claims_Cleaned[[#This Row],[submission_date]])</f>
        <v>16</v>
      </c>
      <c r="I184" s="4" t="str">
        <f>TEXT(Claims_Cleaned[[#This Row],[claim_date]],"mmm-yyyy")</f>
        <v>Dec-2023</v>
      </c>
      <c r="J184" t="s">
        <v>20</v>
      </c>
      <c r="K184">
        <v>4507.3999999999996</v>
      </c>
      <c r="L184" t="s">
        <v>683</v>
      </c>
      <c r="M184">
        <v>16</v>
      </c>
    </row>
    <row r="185" spans="1:13" x14ac:dyDescent="0.35">
      <c r="A185" t="s">
        <v>764</v>
      </c>
      <c r="B185" t="s">
        <v>459</v>
      </c>
      <c r="C185" t="s">
        <v>581</v>
      </c>
      <c r="D185" t="s">
        <v>647</v>
      </c>
      <c r="E185" s="1">
        <v>45050</v>
      </c>
      <c r="F185" s="1">
        <v>45052</v>
      </c>
      <c r="G185" s="1">
        <v>45055</v>
      </c>
      <c r="H185" s="4">
        <f>IF(Claims_Cleaned[[#This Row],[processed_date]]="","",Claims_Cleaned[[#This Row],[processed_date]]-Claims_Cleaned[[#This Row],[submission_date]])</f>
        <v>3</v>
      </c>
      <c r="I185" s="4" t="str">
        <f>TEXT(Claims_Cleaned[[#This Row],[claim_date]],"mmm-yyyy")</f>
        <v>May-2023</v>
      </c>
      <c r="J185" t="s">
        <v>25</v>
      </c>
      <c r="K185">
        <v>4504.3900000000003</v>
      </c>
      <c r="L185" t="s">
        <v>683</v>
      </c>
      <c r="M185">
        <v>3</v>
      </c>
    </row>
    <row r="186" spans="1:13" x14ac:dyDescent="0.35">
      <c r="A186" t="s">
        <v>814</v>
      </c>
      <c r="B186" t="s">
        <v>496</v>
      </c>
      <c r="C186" t="s">
        <v>559</v>
      </c>
      <c r="D186" t="s">
        <v>647</v>
      </c>
      <c r="E186" s="1">
        <v>45146</v>
      </c>
      <c r="F186" s="1">
        <v>45149</v>
      </c>
      <c r="G186" s="1"/>
      <c r="H186" s="4" t="str">
        <f>IF(Claims_Cleaned[[#This Row],[processed_date]]="","",Claims_Cleaned[[#This Row],[processed_date]]-Claims_Cleaned[[#This Row],[submission_date]])</f>
        <v/>
      </c>
      <c r="I186" s="4" t="str">
        <f>TEXT(Claims_Cleaned[[#This Row],[claim_date]],"mmm-yyyy")</f>
        <v>Aug-2023</v>
      </c>
      <c r="J186" t="s">
        <v>13</v>
      </c>
      <c r="K186">
        <v>4499.3</v>
      </c>
      <c r="L186" t="s">
        <v>689</v>
      </c>
    </row>
    <row r="187" spans="1:13" x14ac:dyDescent="0.35">
      <c r="A187" t="s">
        <v>1550</v>
      </c>
      <c r="B187" t="s">
        <v>199</v>
      </c>
      <c r="C187" t="s">
        <v>575</v>
      </c>
      <c r="D187" t="s">
        <v>647</v>
      </c>
      <c r="E187" s="1">
        <v>45414</v>
      </c>
      <c r="F187" s="1">
        <v>45418</v>
      </c>
      <c r="G187" s="1">
        <v>45426</v>
      </c>
      <c r="H187" s="4">
        <f>IF(Claims_Cleaned[[#This Row],[processed_date]]="","",Claims_Cleaned[[#This Row],[processed_date]]-Claims_Cleaned[[#This Row],[submission_date]])</f>
        <v>8</v>
      </c>
      <c r="I187" s="4" t="str">
        <f>TEXT(Claims_Cleaned[[#This Row],[claim_date]],"mmm-yyyy")</f>
        <v>May-2024</v>
      </c>
      <c r="J187" t="s">
        <v>11</v>
      </c>
      <c r="K187">
        <v>4494.5</v>
      </c>
      <c r="L187" t="s">
        <v>687</v>
      </c>
      <c r="M187">
        <v>8</v>
      </c>
    </row>
    <row r="188" spans="1:13" x14ac:dyDescent="0.35">
      <c r="A188" t="s">
        <v>2273</v>
      </c>
      <c r="B188" t="s">
        <v>233</v>
      </c>
      <c r="C188" t="s">
        <v>557</v>
      </c>
      <c r="D188" t="s">
        <v>647</v>
      </c>
      <c r="E188" s="1">
        <v>45317</v>
      </c>
      <c r="F188" s="1">
        <v>45321</v>
      </c>
      <c r="G188" s="1">
        <v>45334</v>
      </c>
      <c r="H188" s="4">
        <f>IF(Claims_Cleaned[[#This Row],[processed_date]]="","",Claims_Cleaned[[#This Row],[processed_date]]-Claims_Cleaned[[#This Row],[submission_date]])</f>
        <v>13</v>
      </c>
      <c r="I188" s="4" t="str">
        <f>TEXT(Claims_Cleaned[[#This Row],[claim_date]],"mmm-yyyy")</f>
        <v>Jan-2024</v>
      </c>
      <c r="J188" t="s">
        <v>20</v>
      </c>
      <c r="K188">
        <v>4486.76</v>
      </c>
      <c r="L188" t="s">
        <v>683</v>
      </c>
      <c r="M188">
        <v>13</v>
      </c>
    </row>
    <row r="189" spans="1:13" x14ac:dyDescent="0.35">
      <c r="A189" t="s">
        <v>2584</v>
      </c>
      <c r="B189" t="s">
        <v>234</v>
      </c>
      <c r="C189" t="s">
        <v>597</v>
      </c>
      <c r="D189" t="s">
        <v>647</v>
      </c>
      <c r="E189" s="1">
        <v>45289</v>
      </c>
      <c r="F189" s="1">
        <v>45290</v>
      </c>
      <c r="G189" s="1">
        <v>45297</v>
      </c>
      <c r="H189" s="4">
        <f>IF(Claims_Cleaned[[#This Row],[processed_date]]="","",Claims_Cleaned[[#This Row],[processed_date]]-Claims_Cleaned[[#This Row],[submission_date]])</f>
        <v>7</v>
      </c>
      <c r="I189" s="4" t="str">
        <f>TEXT(Claims_Cleaned[[#This Row],[claim_date]],"mmm-yyyy")</f>
        <v>Dec-2023</v>
      </c>
      <c r="J189" t="s">
        <v>20</v>
      </c>
      <c r="K189">
        <v>4457.72</v>
      </c>
      <c r="L189" t="s">
        <v>683</v>
      </c>
      <c r="M189">
        <v>7</v>
      </c>
    </row>
    <row r="190" spans="1:13" x14ac:dyDescent="0.35">
      <c r="A190" t="s">
        <v>1057</v>
      </c>
      <c r="B190" t="s">
        <v>104</v>
      </c>
      <c r="C190" t="s">
        <v>595</v>
      </c>
      <c r="D190" t="s">
        <v>647</v>
      </c>
      <c r="E190" s="1">
        <v>45505</v>
      </c>
      <c r="F190" s="1">
        <v>45510</v>
      </c>
      <c r="G190" s="1">
        <v>45519</v>
      </c>
      <c r="H190" s="4">
        <f>IF(Claims_Cleaned[[#This Row],[processed_date]]="","",Claims_Cleaned[[#This Row],[processed_date]]-Claims_Cleaned[[#This Row],[submission_date]])</f>
        <v>9</v>
      </c>
      <c r="I190" s="4" t="str">
        <f>TEXT(Claims_Cleaned[[#This Row],[claim_date]],"mmm-yyyy")</f>
        <v>Aug-2024</v>
      </c>
      <c r="J190" t="s">
        <v>8</v>
      </c>
      <c r="K190">
        <v>4393.6499999999996</v>
      </c>
      <c r="L190" t="s">
        <v>683</v>
      </c>
      <c r="M190">
        <v>9</v>
      </c>
    </row>
    <row r="191" spans="1:13" x14ac:dyDescent="0.35">
      <c r="A191" t="s">
        <v>1382</v>
      </c>
      <c r="B191" t="s">
        <v>198</v>
      </c>
      <c r="C191" t="s">
        <v>553</v>
      </c>
      <c r="D191" t="s">
        <v>647</v>
      </c>
      <c r="E191" s="1">
        <v>45366</v>
      </c>
      <c r="F191" s="1">
        <v>45370</v>
      </c>
      <c r="G191" s="1">
        <v>45378</v>
      </c>
      <c r="H191" s="4">
        <f>IF(Claims_Cleaned[[#This Row],[processed_date]]="","",Claims_Cleaned[[#This Row],[processed_date]]-Claims_Cleaned[[#This Row],[submission_date]])</f>
        <v>8</v>
      </c>
      <c r="I191" s="4" t="str">
        <f>TEXT(Claims_Cleaned[[#This Row],[claim_date]],"mmm-yyyy")</f>
        <v>Mar-2024</v>
      </c>
      <c r="J191" t="s">
        <v>11</v>
      </c>
      <c r="K191">
        <v>4386.9799999999996</v>
      </c>
      <c r="L191" t="s">
        <v>687</v>
      </c>
      <c r="M191">
        <v>8</v>
      </c>
    </row>
    <row r="192" spans="1:13" x14ac:dyDescent="0.35">
      <c r="A192" t="s">
        <v>1171</v>
      </c>
      <c r="B192" t="s">
        <v>161</v>
      </c>
      <c r="C192" t="s">
        <v>521</v>
      </c>
      <c r="D192" t="s">
        <v>645</v>
      </c>
      <c r="E192" s="1">
        <v>45364</v>
      </c>
      <c r="F192" s="1">
        <v>45369</v>
      </c>
      <c r="G192" s="1">
        <v>45385</v>
      </c>
      <c r="H192" s="4">
        <f>IF(Claims_Cleaned[[#This Row],[processed_date]]="","",Claims_Cleaned[[#This Row],[processed_date]]-Claims_Cleaned[[#This Row],[submission_date]])</f>
        <v>16</v>
      </c>
      <c r="I192" s="4" t="str">
        <f>TEXT(Claims_Cleaned[[#This Row],[claim_date]],"mmm-yyyy")</f>
        <v>Mar-2024</v>
      </c>
      <c r="J192" t="s">
        <v>13</v>
      </c>
      <c r="K192">
        <v>4370.9399999999996</v>
      </c>
      <c r="L192" t="s">
        <v>687</v>
      </c>
      <c r="M192">
        <v>16</v>
      </c>
    </row>
    <row r="193" spans="1:13" x14ac:dyDescent="0.35">
      <c r="A193" t="s">
        <v>982</v>
      </c>
      <c r="B193" t="s">
        <v>343</v>
      </c>
      <c r="C193" t="s">
        <v>559</v>
      </c>
      <c r="D193" t="s">
        <v>645</v>
      </c>
      <c r="E193" s="1">
        <v>45501</v>
      </c>
      <c r="F193" s="1">
        <v>45505</v>
      </c>
      <c r="G193" s="1">
        <v>45530</v>
      </c>
      <c r="H193" s="4">
        <f>IF(Claims_Cleaned[[#This Row],[processed_date]]="","",Claims_Cleaned[[#This Row],[processed_date]]-Claims_Cleaned[[#This Row],[submission_date]])</f>
        <v>25</v>
      </c>
      <c r="I193" s="4" t="str">
        <f>TEXT(Claims_Cleaned[[#This Row],[claim_date]],"mmm-yyyy")</f>
        <v>Jul-2024</v>
      </c>
      <c r="J193" t="s">
        <v>8</v>
      </c>
      <c r="K193">
        <v>4369.47</v>
      </c>
      <c r="L193" t="s">
        <v>683</v>
      </c>
      <c r="M193">
        <v>25</v>
      </c>
    </row>
    <row r="194" spans="1:13" x14ac:dyDescent="0.35">
      <c r="A194" t="s">
        <v>1511</v>
      </c>
      <c r="B194" t="s">
        <v>306</v>
      </c>
      <c r="C194" t="s">
        <v>553</v>
      </c>
      <c r="D194" t="s">
        <v>645</v>
      </c>
      <c r="E194" s="1">
        <v>45089</v>
      </c>
      <c r="F194" s="1">
        <v>45093</v>
      </c>
      <c r="G194" s="1">
        <v>45101</v>
      </c>
      <c r="H194" s="4">
        <f>IF(Claims_Cleaned[[#This Row],[processed_date]]="","",Claims_Cleaned[[#This Row],[processed_date]]-Claims_Cleaned[[#This Row],[submission_date]])</f>
        <v>8</v>
      </c>
      <c r="I194" s="4" t="str">
        <f>TEXT(Claims_Cleaned[[#This Row],[claim_date]],"mmm-yyyy")</f>
        <v>Jun-2023</v>
      </c>
      <c r="J194" t="s">
        <v>25</v>
      </c>
      <c r="K194">
        <v>4350.17</v>
      </c>
      <c r="L194" t="s">
        <v>687</v>
      </c>
      <c r="M194">
        <v>8</v>
      </c>
    </row>
    <row r="195" spans="1:13" x14ac:dyDescent="0.35">
      <c r="A195" t="s">
        <v>2042</v>
      </c>
      <c r="B195" t="s">
        <v>402</v>
      </c>
      <c r="C195" t="s">
        <v>591</v>
      </c>
      <c r="D195" t="s">
        <v>647</v>
      </c>
      <c r="E195" s="1">
        <v>45587</v>
      </c>
      <c r="F195" s="1">
        <v>45592</v>
      </c>
      <c r="G195" s="1"/>
      <c r="H195" s="4" t="str">
        <f>IF(Claims_Cleaned[[#This Row],[processed_date]]="","",Claims_Cleaned[[#This Row],[processed_date]]-Claims_Cleaned[[#This Row],[submission_date]])</f>
        <v/>
      </c>
      <c r="I195" s="4" t="str">
        <f>TEXT(Claims_Cleaned[[#This Row],[claim_date]],"mmm-yyyy")</f>
        <v>Oct-2024</v>
      </c>
      <c r="J195" t="s">
        <v>11</v>
      </c>
      <c r="K195">
        <v>4350.01</v>
      </c>
      <c r="L195" t="s">
        <v>689</v>
      </c>
    </row>
    <row r="196" spans="1:13" x14ac:dyDescent="0.35">
      <c r="A196" t="s">
        <v>1348</v>
      </c>
      <c r="B196" t="s">
        <v>375</v>
      </c>
      <c r="C196" t="s">
        <v>561</v>
      </c>
      <c r="D196" t="s">
        <v>647</v>
      </c>
      <c r="E196" s="1">
        <v>44989</v>
      </c>
      <c r="F196" s="1">
        <v>44992</v>
      </c>
      <c r="G196" s="1">
        <v>45016</v>
      </c>
      <c r="H196" s="4">
        <f>IF(Claims_Cleaned[[#This Row],[processed_date]]="","",Claims_Cleaned[[#This Row],[processed_date]]-Claims_Cleaned[[#This Row],[submission_date]])</f>
        <v>24</v>
      </c>
      <c r="I196" s="4" t="str">
        <f>TEXT(Claims_Cleaned[[#This Row],[claim_date]],"mmm-yyyy")</f>
        <v>Mar-2023</v>
      </c>
      <c r="J196" t="s">
        <v>20</v>
      </c>
      <c r="K196">
        <v>4348.96</v>
      </c>
      <c r="L196" t="s">
        <v>683</v>
      </c>
      <c r="M196">
        <v>24</v>
      </c>
    </row>
    <row r="197" spans="1:13" x14ac:dyDescent="0.35">
      <c r="A197" t="s">
        <v>1722</v>
      </c>
      <c r="B197" t="s">
        <v>16</v>
      </c>
      <c r="C197" t="s">
        <v>531</v>
      </c>
      <c r="D197" t="s">
        <v>645</v>
      </c>
      <c r="E197" s="1">
        <v>45422</v>
      </c>
      <c r="F197" s="1">
        <v>45426</v>
      </c>
      <c r="G197" s="1">
        <v>45441</v>
      </c>
      <c r="H197" s="4">
        <f>IF(Claims_Cleaned[[#This Row],[processed_date]]="","",Claims_Cleaned[[#This Row],[processed_date]]-Claims_Cleaned[[#This Row],[submission_date]])</f>
        <v>15</v>
      </c>
      <c r="I197" s="4" t="str">
        <f>TEXT(Claims_Cleaned[[#This Row],[claim_date]],"mmm-yyyy")</f>
        <v>May-2024</v>
      </c>
      <c r="J197" t="s">
        <v>8</v>
      </c>
      <c r="K197">
        <v>4348.67</v>
      </c>
      <c r="L197" t="s">
        <v>683</v>
      </c>
      <c r="M197">
        <v>15</v>
      </c>
    </row>
    <row r="198" spans="1:13" x14ac:dyDescent="0.35">
      <c r="A198" t="s">
        <v>1089</v>
      </c>
      <c r="B198" t="s">
        <v>510</v>
      </c>
      <c r="C198" t="s">
        <v>565</v>
      </c>
      <c r="D198" t="s">
        <v>645</v>
      </c>
      <c r="E198" s="1">
        <v>45585</v>
      </c>
      <c r="F198" s="1">
        <v>45586</v>
      </c>
      <c r="G198" s="1">
        <v>45606</v>
      </c>
      <c r="H198" s="4">
        <f>IF(Claims_Cleaned[[#This Row],[processed_date]]="","",Claims_Cleaned[[#This Row],[processed_date]]-Claims_Cleaned[[#This Row],[submission_date]])</f>
        <v>20</v>
      </c>
      <c r="I198" s="4" t="str">
        <f>TEXT(Claims_Cleaned[[#This Row],[claim_date]],"mmm-yyyy")</f>
        <v>Oct-2024</v>
      </c>
      <c r="J198" t="s">
        <v>11</v>
      </c>
      <c r="K198">
        <v>4339.74</v>
      </c>
      <c r="L198" t="s">
        <v>683</v>
      </c>
      <c r="M198">
        <v>20</v>
      </c>
    </row>
    <row r="199" spans="1:13" x14ac:dyDescent="0.35">
      <c r="A199" t="s">
        <v>1674</v>
      </c>
      <c r="B199" t="s">
        <v>442</v>
      </c>
      <c r="C199" t="s">
        <v>557</v>
      </c>
      <c r="D199" t="s">
        <v>647</v>
      </c>
      <c r="E199" s="1">
        <v>45594</v>
      </c>
      <c r="F199" s="1">
        <v>45597</v>
      </c>
      <c r="G199" s="1">
        <v>45608</v>
      </c>
      <c r="H199" s="4">
        <f>IF(Claims_Cleaned[[#This Row],[processed_date]]="","",Claims_Cleaned[[#This Row],[processed_date]]-Claims_Cleaned[[#This Row],[submission_date]])</f>
        <v>11</v>
      </c>
      <c r="I199" s="4" t="str">
        <f>TEXT(Claims_Cleaned[[#This Row],[claim_date]],"mmm-yyyy")</f>
        <v>Oct-2024</v>
      </c>
      <c r="J199" t="s">
        <v>11</v>
      </c>
      <c r="K199">
        <v>4334.5600000000004</v>
      </c>
      <c r="L199" t="s">
        <v>683</v>
      </c>
      <c r="M199">
        <v>11</v>
      </c>
    </row>
    <row r="200" spans="1:13" x14ac:dyDescent="0.35">
      <c r="A200" t="s">
        <v>1608</v>
      </c>
      <c r="B200" t="s">
        <v>219</v>
      </c>
      <c r="C200" t="s">
        <v>555</v>
      </c>
      <c r="D200" t="s">
        <v>645</v>
      </c>
      <c r="E200" s="1">
        <v>45377</v>
      </c>
      <c r="F200" s="1">
        <v>45379</v>
      </c>
      <c r="G200" s="1">
        <v>45392</v>
      </c>
      <c r="H200" s="4">
        <f>IF(Claims_Cleaned[[#This Row],[processed_date]]="","",Claims_Cleaned[[#This Row],[processed_date]]-Claims_Cleaned[[#This Row],[submission_date]])</f>
        <v>13</v>
      </c>
      <c r="I200" s="4" t="str">
        <f>TEXT(Claims_Cleaned[[#This Row],[claim_date]],"mmm-yyyy")</f>
        <v>Mar-2024</v>
      </c>
      <c r="J200" t="s">
        <v>11</v>
      </c>
      <c r="K200">
        <v>4330.68</v>
      </c>
      <c r="L200" t="s">
        <v>683</v>
      </c>
      <c r="M200">
        <v>13</v>
      </c>
    </row>
    <row r="201" spans="1:13" x14ac:dyDescent="0.35">
      <c r="A201" t="s">
        <v>1604</v>
      </c>
      <c r="B201" t="s">
        <v>361</v>
      </c>
      <c r="C201" t="s">
        <v>597</v>
      </c>
      <c r="D201" t="s">
        <v>647</v>
      </c>
      <c r="E201" s="1">
        <v>45037</v>
      </c>
      <c r="F201" s="1">
        <v>45042</v>
      </c>
      <c r="G201" s="1">
        <v>45058</v>
      </c>
      <c r="H201" s="4">
        <f>IF(Claims_Cleaned[[#This Row],[processed_date]]="","",Claims_Cleaned[[#This Row],[processed_date]]-Claims_Cleaned[[#This Row],[submission_date]])</f>
        <v>16</v>
      </c>
      <c r="I201" s="4" t="str">
        <f>TEXT(Claims_Cleaned[[#This Row],[claim_date]],"mmm-yyyy")</f>
        <v>Apr-2023</v>
      </c>
      <c r="J201" t="s">
        <v>20</v>
      </c>
      <c r="K201">
        <v>4329.2</v>
      </c>
      <c r="L201" t="s">
        <v>683</v>
      </c>
      <c r="M201">
        <v>16</v>
      </c>
    </row>
    <row r="202" spans="1:13" x14ac:dyDescent="0.35">
      <c r="A202" t="s">
        <v>934</v>
      </c>
      <c r="B202" t="s">
        <v>424</v>
      </c>
      <c r="C202" t="s">
        <v>579</v>
      </c>
      <c r="D202" t="s">
        <v>647</v>
      </c>
      <c r="E202" s="1">
        <v>45362</v>
      </c>
      <c r="F202" s="1">
        <v>45366</v>
      </c>
      <c r="G202" s="1">
        <v>45375</v>
      </c>
      <c r="H202" s="4">
        <f>IF(Claims_Cleaned[[#This Row],[processed_date]]="","",Claims_Cleaned[[#This Row],[processed_date]]-Claims_Cleaned[[#This Row],[submission_date]])</f>
        <v>9</v>
      </c>
      <c r="I202" s="4" t="str">
        <f>TEXT(Claims_Cleaned[[#This Row],[claim_date]],"mmm-yyyy")</f>
        <v>Mar-2024</v>
      </c>
      <c r="J202" t="s">
        <v>11</v>
      </c>
      <c r="K202">
        <v>4321.3900000000003</v>
      </c>
      <c r="L202" t="s">
        <v>683</v>
      </c>
      <c r="M202">
        <v>9</v>
      </c>
    </row>
    <row r="203" spans="1:13" x14ac:dyDescent="0.35">
      <c r="A203" t="s">
        <v>2245</v>
      </c>
      <c r="B203" t="s">
        <v>356</v>
      </c>
      <c r="C203" t="s">
        <v>534</v>
      </c>
      <c r="D203" t="s">
        <v>645</v>
      </c>
      <c r="E203" s="1">
        <v>44938</v>
      </c>
      <c r="F203" s="1">
        <v>44941</v>
      </c>
      <c r="G203" s="1">
        <v>44958</v>
      </c>
      <c r="H203" s="4">
        <f>IF(Claims_Cleaned[[#This Row],[processed_date]]="","",Claims_Cleaned[[#This Row],[processed_date]]-Claims_Cleaned[[#This Row],[submission_date]])</f>
        <v>17</v>
      </c>
      <c r="I203" s="4" t="str">
        <f>TEXT(Claims_Cleaned[[#This Row],[claim_date]],"mmm-yyyy")</f>
        <v>Jan-2023</v>
      </c>
      <c r="J203" t="s">
        <v>13</v>
      </c>
      <c r="K203">
        <v>4310.97</v>
      </c>
      <c r="L203" t="s">
        <v>683</v>
      </c>
      <c r="M203">
        <v>17</v>
      </c>
    </row>
    <row r="204" spans="1:13" x14ac:dyDescent="0.35">
      <c r="A204" t="s">
        <v>2418</v>
      </c>
      <c r="B204" t="s">
        <v>68</v>
      </c>
      <c r="C204" t="s">
        <v>569</v>
      </c>
      <c r="D204" t="s">
        <v>645</v>
      </c>
      <c r="E204" s="1">
        <v>45454</v>
      </c>
      <c r="F204" s="1">
        <v>45458</v>
      </c>
      <c r="G204" s="1">
        <v>45487</v>
      </c>
      <c r="H204" s="4">
        <f>IF(Claims_Cleaned[[#This Row],[processed_date]]="","",Claims_Cleaned[[#This Row],[processed_date]]-Claims_Cleaned[[#This Row],[submission_date]])</f>
        <v>29</v>
      </c>
      <c r="I204" s="4" t="str">
        <f>TEXT(Claims_Cleaned[[#This Row],[claim_date]],"mmm-yyyy")</f>
        <v>Jun-2024</v>
      </c>
      <c r="J204" t="s">
        <v>25</v>
      </c>
      <c r="K204">
        <v>4290.24</v>
      </c>
      <c r="L204" t="s">
        <v>687</v>
      </c>
      <c r="M204">
        <v>29</v>
      </c>
    </row>
    <row r="205" spans="1:13" x14ac:dyDescent="0.35">
      <c r="A205" t="s">
        <v>2414</v>
      </c>
      <c r="B205" t="s">
        <v>204</v>
      </c>
      <c r="C205" t="s">
        <v>591</v>
      </c>
      <c r="D205" t="s">
        <v>645</v>
      </c>
      <c r="E205" s="1">
        <v>44987</v>
      </c>
      <c r="F205" s="1">
        <v>44988</v>
      </c>
      <c r="G205" s="1">
        <v>44991</v>
      </c>
      <c r="H205" s="4">
        <f>IF(Claims_Cleaned[[#This Row],[processed_date]]="","",Claims_Cleaned[[#This Row],[processed_date]]-Claims_Cleaned[[#This Row],[submission_date]])</f>
        <v>3</v>
      </c>
      <c r="I205" s="4" t="str">
        <f>TEXT(Claims_Cleaned[[#This Row],[claim_date]],"mmm-yyyy")</f>
        <v>Mar-2023</v>
      </c>
      <c r="J205" t="s">
        <v>8</v>
      </c>
      <c r="K205">
        <v>4288.34</v>
      </c>
      <c r="L205" t="s">
        <v>683</v>
      </c>
      <c r="M205">
        <v>3</v>
      </c>
    </row>
    <row r="206" spans="1:13" x14ac:dyDescent="0.35">
      <c r="A206" t="s">
        <v>2301</v>
      </c>
      <c r="B206" t="s">
        <v>509</v>
      </c>
      <c r="C206" t="s">
        <v>563</v>
      </c>
      <c r="D206" t="s">
        <v>647</v>
      </c>
      <c r="E206" s="1">
        <v>45400</v>
      </c>
      <c r="F206" s="1">
        <v>45405</v>
      </c>
      <c r="G206" s="1">
        <v>45423</v>
      </c>
      <c r="H206" s="4">
        <f>IF(Claims_Cleaned[[#This Row],[processed_date]]="","",Claims_Cleaned[[#This Row],[processed_date]]-Claims_Cleaned[[#This Row],[submission_date]])</f>
        <v>18</v>
      </c>
      <c r="I206" s="4" t="str">
        <f>TEXT(Claims_Cleaned[[#This Row],[claim_date]],"mmm-yyyy")</f>
        <v>Apr-2024</v>
      </c>
      <c r="J206" t="s">
        <v>25</v>
      </c>
      <c r="K206">
        <v>4284.2700000000004</v>
      </c>
      <c r="L206" t="s">
        <v>683</v>
      </c>
      <c r="M206">
        <v>18</v>
      </c>
    </row>
    <row r="207" spans="1:13" x14ac:dyDescent="0.35">
      <c r="A207" t="s">
        <v>722</v>
      </c>
      <c r="B207" t="s">
        <v>501</v>
      </c>
      <c r="C207" t="s">
        <v>540</v>
      </c>
      <c r="D207" t="s">
        <v>645</v>
      </c>
      <c r="E207" s="1">
        <v>45426</v>
      </c>
      <c r="F207" s="1">
        <v>45431</v>
      </c>
      <c r="G207" s="1">
        <v>45449</v>
      </c>
      <c r="H207" s="4">
        <f>IF(Claims_Cleaned[[#This Row],[processed_date]]="","",Claims_Cleaned[[#This Row],[processed_date]]-Claims_Cleaned[[#This Row],[submission_date]])</f>
        <v>18</v>
      </c>
      <c r="I207" s="4" t="str">
        <f>TEXT(Claims_Cleaned[[#This Row],[claim_date]],"mmm-yyyy")</f>
        <v>May-2024</v>
      </c>
      <c r="J207" t="s">
        <v>8</v>
      </c>
      <c r="K207">
        <v>4270.07</v>
      </c>
      <c r="L207" t="s">
        <v>683</v>
      </c>
      <c r="M207">
        <v>18</v>
      </c>
    </row>
    <row r="208" spans="1:13" x14ac:dyDescent="0.35">
      <c r="A208" t="s">
        <v>2372</v>
      </c>
      <c r="B208" t="s">
        <v>32</v>
      </c>
      <c r="C208" t="s">
        <v>563</v>
      </c>
      <c r="D208" t="s">
        <v>645</v>
      </c>
      <c r="E208" s="1">
        <v>45163</v>
      </c>
      <c r="F208" s="1">
        <v>45168</v>
      </c>
      <c r="G208" s="1">
        <v>45187</v>
      </c>
      <c r="H208" s="4">
        <f>IF(Claims_Cleaned[[#This Row],[processed_date]]="","",Claims_Cleaned[[#This Row],[processed_date]]-Claims_Cleaned[[#This Row],[submission_date]])</f>
        <v>19</v>
      </c>
      <c r="I208" s="4" t="str">
        <f>TEXT(Claims_Cleaned[[#This Row],[claim_date]],"mmm-yyyy")</f>
        <v>Aug-2023</v>
      </c>
      <c r="J208" t="s">
        <v>25</v>
      </c>
      <c r="K208">
        <v>4267.92</v>
      </c>
      <c r="L208" t="s">
        <v>683</v>
      </c>
      <c r="M208">
        <v>19</v>
      </c>
    </row>
    <row r="209" spans="1:13" x14ac:dyDescent="0.35">
      <c r="A209" t="s">
        <v>2631</v>
      </c>
      <c r="B209" t="s">
        <v>124</v>
      </c>
      <c r="C209" t="s">
        <v>575</v>
      </c>
      <c r="D209" t="s">
        <v>645</v>
      </c>
      <c r="E209" s="1">
        <v>45594</v>
      </c>
      <c r="F209" s="1">
        <v>45595</v>
      </c>
      <c r="G209" s="1">
        <v>45624</v>
      </c>
      <c r="H209" s="4">
        <f>IF(Claims_Cleaned[[#This Row],[processed_date]]="","",Claims_Cleaned[[#This Row],[processed_date]]-Claims_Cleaned[[#This Row],[submission_date]])</f>
        <v>29</v>
      </c>
      <c r="I209" s="4" t="str">
        <f>TEXT(Claims_Cleaned[[#This Row],[claim_date]],"mmm-yyyy")</f>
        <v>Oct-2024</v>
      </c>
      <c r="J209" t="s">
        <v>13</v>
      </c>
      <c r="K209">
        <v>4263.5</v>
      </c>
      <c r="L209" t="s">
        <v>683</v>
      </c>
      <c r="M209">
        <v>29</v>
      </c>
    </row>
    <row r="210" spans="1:13" x14ac:dyDescent="0.35">
      <c r="A210" t="s">
        <v>2234</v>
      </c>
      <c r="B210" t="s">
        <v>427</v>
      </c>
      <c r="C210" t="s">
        <v>593</v>
      </c>
      <c r="D210" t="s">
        <v>645</v>
      </c>
      <c r="E210" s="1">
        <v>45132</v>
      </c>
      <c r="F210" s="1">
        <v>45133</v>
      </c>
      <c r="G210" s="1">
        <v>45157</v>
      </c>
      <c r="H210" s="4">
        <f>IF(Claims_Cleaned[[#This Row],[processed_date]]="","",Claims_Cleaned[[#This Row],[processed_date]]-Claims_Cleaned[[#This Row],[submission_date]])</f>
        <v>24</v>
      </c>
      <c r="I210" s="4" t="str">
        <f>TEXT(Claims_Cleaned[[#This Row],[claim_date]],"mmm-yyyy")</f>
        <v>Jul-2023</v>
      </c>
      <c r="J210" t="s">
        <v>20</v>
      </c>
      <c r="K210">
        <v>4250.83</v>
      </c>
      <c r="L210" t="s">
        <v>683</v>
      </c>
      <c r="M210">
        <v>24</v>
      </c>
    </row>
    <row r="211" spans="1:13" x14ac:dyDescent="0.35">
      <c r="A211" t="s">
        <v>2157</v>
      </c>
      <c r="B211" t="s">
        <v>296</v>
      </c>
      <c r="C211" t="s">
        <v>537</v>
      </c>
      <c r="D211" t="s">
        <v>647</v>
      </c>
      <c r="E211" s="1">
        <v>45007</v>
      </c>
      <c r="F211" s="1">
        <v>45010</v>
      </c>
      <c r="G211" s="1">
        <v>45014</v>
      </c>
      <c r="H211" s="4">
        <f>IF(Claims_Cleaned[[#This Row],[processed_date]]="","",Claims_Cleaned[[#This Row],[processed_date]]-Claims_Cleaned[[#This Row],[submission_date]])</f>
        <v>4</v>
      </c>
      <c r="I211" s="4" t="str">
        <f>TEXT(Claims_Cleaned[[#This Row],[claim_date]],"mmm-yyyy")</f>
        <v>Mar-2023</v>
      </c>
      <c r="J211" t="s">
        <v>11</v>
      </c>
      <c r="K211">
        <v>4244.01</v>
      </c>
      <c r="L211" t="s">
        <v>683</v>
      </c>
      <c r="M211">
        <v>4</v>
      </c>
    </row>
    <row r="212" spans="1:13" x14ac:dyDescent="0.35">
      <c r="A212" t="s">
        <v>1354</v>
      </c>
      <c r="B212" t="s">
        <v>110</v>
      </c>
      <c r="C212" t="s">
        <v>540</v>
      </c>
      <c r="D212" t="s">
        <v>645</v>
      </c>
      <c r="E212" s="1">
        <v>45044</v>
      </c>
      <c r="F212" s="1">
        <v>45045</v>
      </c>
      <c r="G212" s="1">
        <v>45052</v>
      </c>
      <c r="H212" s="4">
        <f>IF(Claims_Cleaned[[#This Row],[processed_date]]="","",Claims_Cleaned[[#This Row],[processed_date]]-Claims_Cleaned[[#This Row],[submission_date]])</f>
        <v>7</v>
      </c>
      <c r="I212" s="4" t="str">
        <f>TEXT(Claims_Cleaned[[#This Row],[claim_date]],"mmm-yyyy")</f>
        <v>Apr-2023</v>
      </c>
      <c r="J212" t="s">
        <v>25</v>
      </c>
      <c r="K212">
        <v>4237.58</v>
      </c>
      <c r="L212" t="s">
        <v>687</v>
      </c>
      <c r="M212">
        <v>7</v>
      </c>
    </row>
    <row r="213" spans="1:13" x14ac:dyDescent="0.35">
      <c r="A213" t="s">
        <v>1143</v>
      </c>
      <c r="B213" t="s">
        <v>399</v>
      </c>
      <c r="C213" t="s">
        <v>573</v>
      </c>
      <c r="D213" t="s">
        <v>645</v>
      </c>
      <c r="E213" s="1">
        <v>44988</v>
      </c>
      <c r="F213" s="1">
        <v>44992</v>
      </c>
      <c r="G213" s="1">
        <v>45022</v>
      </c>
      <c r="H213" s="4">
        <f>IF(Claims_Cleaned[[#This Row],[processed_date]]="","",Claims_Cleaned[[#This Row],[processed_date]]-Claims_Cleaned[[#This Row],[submission_date]])</f>
        <v>30</v>
      </c>
      <c r="I213" s="4" t="str">
        <f>TEXT(Claims_Cleaned[[#This Row],[claim_date]],"mmm-yyyy")</f>
        <v>Mar-2023</v>
      </c>
      <c r="J213" t="s">
        <v>13</v>
      </c>
      <c r="K213">
        <v>4231.47</v>
      </c>
      <c r="L213" t="s">
        <v>683</v>
      </c>
      <c r="M213">
        <v>30</v>
      </c>
    </row>
    <row r="214" spans="1:13" x14ac:dyDescent="0.35">
      <c r="A214" t="s">
        <v>2295</v>
      </c>
      <c r="B214" t="s">
        <v>495</v>
      </c>
      <c r="C214" t="s">
        <v>546</v>
      </c>
      <c r="D214" t="s">
        <v>645</v>
      </c>
      <c r="E214" s="1">
        <v>45496</v>
      </c>
      <c r="F214" s="1">
        <v>45497</v>
      </c>
      <c r="G214" s="1"/>
      <c r="H214" s="4" t="str">
        <f>IF(Claims_Cleaned[[#This Row],[processed_date]]="","",Claims_Cleaned[[#This Row],[processed_date]]-Claims_Cleaned[[#This Row],[submission_date]])</f>
        <v/>
      </c>
      <c r="I214" s="4" t="str">
        <f>TEXT(Claims_Cleaned[[#This Row],[claim_date]],"mmm-yyyy")</f>
        <v>Jul-2024</v>
      </c>
      <c r="J214" t="s">
        <v>13</v>
      </c>
      <c r="K214">
        <v>4226.2</v>
      </c>
      <c r="L214" t="s">
        <v>689</v>
      </c>
    </row>
    <row r="215" spans="1:13" x14ac:dyDescent="0.35">
      <c r="A215" t="s">
        <v>2416</v>
      </c>
      <c r="B215" t="s">
        <v>102</v>
      </c>
      <c r="C215" t="s">
        <v>581</v>
      </c>
      <c r="D215" t="s">
        <v>645</v>
      </c>
      <c r="E215" s="1">
        <v>45087</v>
      </c>
      <c r="F215" s="1">
        <v>45092</v>
      </c>
      <c r="G215" s="1">
        <v>45100</v>
      </c>
      <c r="H215" s="4">
        <f>IF(Claims_Cleaned[[#This Row],[processed_date]]="","",Claims_Cleaned[[#This Row],[processed_date]]-Claims_Cleaned[[#This Row],[submission_date]])</f>
        <v>8</v>
      </c>
      <c r="I215" s="4" t="str">
        <f>TEXT(Claims_Cleaned[[#This Row],[claim_date]],"mmm-yyyy")</f>
        <v>Jun-2023</v>
      </c>
      <c r="J215" t="s">
        <v>11</v>
      </c>
      <c r="K215">
        <v>4208.32</v>
      </c>
      <c r="L215" t="s">
        <v>683</v>
      </c>
      <c r="M215">
        <v>8</v>
      </c>
    </row>
    <row r="216" spans="1:13" x14ac:dyDescent="0.35">
      <c r="A216" t="s">
        <v>1591</v>
      </c>
      <c r="B216" t="s">
        <v>107</v>
      </c>
      <c r="C216" t="s">
        <v>575</v>
      </c>
      <c r="D216" t="s">
        <v>647</v>
      </c>
      <c r="E216" s="1">
        <v>44992</v>
      </c>
      <c r="F216" s="1">
        <v>44993</v>
      </c>
      <c r="G216" s="1">
        <v>45020</v>
      </c>
      <c r="H216" s="4">
        <f>IF(Claims_Cleaned[[#This Row],[processed_date]]="","",Claims_Cleaned[[#This Row],[processed_date]]-Claims_Cleaned[[#This Row],[submission_date]])</f>
        <v>27</v>
      </c>
      <c r="I216" s="4" t="str">
        <f>TEXT(Claims_Cleaned[[#This Row],[claim_date]],"mmm-yyyy")</f>
        <v>Mar-2023</v>
      </c>
      <c r="J216" t="s">
        <v>20</v>
      </c>
      <c r="K216">
        <v>4206.28</v>
      </c>
      <c r="L216" t="s">
        <v>683</v>
      </c>
      <c r="M216">
        <v>27</v>
      </c>
    </row>
    <row r="217" spans="1:13" x14ac:dyDescent="0.35">
      <c r="A217" t="s">
        <v>2283</v>
      </c>
      <c r="B217" t="s">
        <v>496</v>
      </c>
      <c r="C217" t="s">
        <v>543</v>
      </c>
      <c r="D217" t="s">
        <v>645</v>
      </c>
      <c r="E217" s="1">
        <v>45264</v>
      </c>
      <c r="F217" s="1">
        <v>45267</v>
      </c>
      <c r="G217" s="1">
        <v>45286</v>
      </c>
      <c r="H217" s="4">
        <f>IF(Claims_Cleaned[[#This Row],[processed_date]]="","",Claims_Cleaned[[#This Row],[processed_date]]-Claims_Cleaned[[#This Row],[submission_date]])</f>
        <v>19</v>
      </c>
      <c r="I217" s="4" t="str">
        <f>TEXT(Claims_Cleaned[[#This Row],[claim_date]],"mmm-yyyy")</f>
        <v>Dec-2023</v>
      </c>
      <c r="J217" t="s">
        <v>13</v>
      </c>
      <c r="K217">
        <v>4186.04</v>
      </c>
      <c r="L217" t="s">
        <v>683</v>
      </c>
      <c r="M217">
        <v>19</v>
      </c>
    </row>
    <row r="218" spans="1:13" x14ac:dyDescent="0.35">
      <c r="A218" t="s">
        <v>2491</v>
      </c>
      <c r="B218" t="s">
        <v>325</v>
      </c>
      <c r="C218" t="s">
        <v>527</v>
      </c>
      <c r="D218" t="s">
        <v>647</v>
      </c>
      <c r="E218" s="1">
        <v>45229</v>
      </c>
      <c r="F218" s="1">
        <v>45233</v>
      </c>
      <c r="G218" s="1"/>
      <c r="H218" s="4" t="str">
        <f>IF(Claims_Cleaned[[#This Row],[processed_date]]="","",Claims_Cleaned[[#This Row],[processed_date]]-Claims_Cleaned[[#This Row],[submission_date]])</f>
        <v/>
      </c>
      <c r="I218" s="4" t="str">
        <f>TEXT(Claims_Cleaned[[#This Row],[claim_date]],"mmm-yyyy")</f>
        <v>Oct-2023</v>
      </c>
      <c r="J218" t="s">
        <v>25</v>
      </c>
      <c r="K218">
        <v>4180.66</v>
      </c>
      <c r="L218" t="s">
        <v>689</v>
      </c>
    </row>
    <row r="219" spans="1:13" x14ac:dyDescent="0.35">
      <c r="A219" t="s">
        <v>1782</v>
      </c>
      <c r="B219" t="s">
        <v>224</v>
      </c>
      <c r="C219" t="s">
        <v>555</v>
      </c>
      <c r="D219" t="s">
        <v>647</v>
      </c>
      <c r="E219" s="1">
        <v>45335</v>
      </c>
      <c r="F219" s="1">
        <v>45337</v>
      </c>
      <c r="G219" s="1">
        <v>45349</v>
      </c>
      <c r="H219" s="4">
        <f>IF(Claims_Cleaned[[#This Row],[processed_date]]="","",Claims_Cleaned[[#This Row],[processed_date]]-Claims_Cleaned[[#This Row],[submission_date]])</f>
        <v>12</v>
      </c>
      <c r="I219" s="4" t="str">
        <f>TEXT(Claims_Cleaned[[#This Row],[claim_date]],"mmm-yyyy")</f>
        <v>Feb-2024</v>
      </c>
      <c r="J219" t="s">
        <v>11</v>
      </c>
      <c r="K219">
        <v>4177.8900000000003</v>
      </c>
      <c r="L219" t="s">
        <v>683</v>
      </c>
      <c r="M219">
        <v>12</v>
      </c>
    </row>
    <row r="220" spans="1:13" x14ac:dyDescent="0.35">
      <c r="A220" t="s">
        <v>1373</v>
      </c>
      <c r="B220" t="s">
        <v>69</v>
      </c>
      <c r="C220" t="s">
        <v>524</v>
      </c>
      <c r="D220" t="s">
        <v>647</v>
      </c>
      <c r="E220" s="1">
        <v>45405</v>
      </c>
      <c r="F220" s="1">
        <v>45410</v>
      </c>
      <c r="G220" s="1">
        <v>45415</v>
      </c>
      <c r="H220" s="4">
        <f>IF(Claims_Cleaned[[#This Row],[processed_date]]="","",Claims_Cleaned[[#This Row],[processed_date]]-Claims_Cleaned[[#This Row],[submission_date]])</f>
        <v>5</v>
      </c>
      <c r="I220" s="4" t="str">
        <f>TEXT(Claims_Cleaned[[#This Row],[claim_date]],"mmm-yyyy")</f>
        <v>Apr-2024</v>
      </c>
      <c r="J220" t="s">
        <v>25</v>
      </c>
      <c r="K220">
        <v>4175.6099999999997</v>
      </c>
      <c r="L220" t="s">
        <v>683</v>
      </c>
      <c r="M220">
        <v>5</v>
      </c>
    </row>
    <row r="221" spans="1:13" x14ac:dyDescent="0.35">
      <c r="A221" t="s">
        <v>1428</v>
      </c>
      <c r="B221" t="s">
        <v>208</v>
      </c>
      <c r="C221" t="s">
        <v>543</v>
      </c>
      <c r="D221" t="s">
        <v>645</v>
      </c>
      <c r="E221" s="1">
        <v>45415</v>
      </c>
      <c r="F221" s="1">
        <v>45419</v>
      </c>
      <c r="G221" s="1"/>
      <c r="H221" s="4" t="str">
        <f>IF(Claims_Cleaned[[#This Row],[processed_date]]="","",Claims_Cleaned[[#This Row],[processed_date]]-Claims_Cleaned[[#This Row],[submission_date]])</f>
        <v/>
      </c>
      <c r="I221" s="4" t="str">
        <f>TEXT(Claims_Cleaned[[#This Row],[claim_date]],"mmm-yyyy")</f>
        <v>May-2024</v>
      </c>
      <c r="J221" t="s">
        <v>13</v>
      </c>
      <c r="K221">
        <v>4168.68</v>
      </c>
      <c r="L221" t="s">
        <v>689</v>
      </c>
    </row>
    <row r="222" spans="1:13" x14ac:dyDescent="0.35">
      <c r="A222" t="s">
        <v>2242</v>
      </c>
      <c r="B222" t="s">
        <v>27</v>
      </c>
      <c r="C222" t="s">
        <v>524</v>
      </c>
      <c r="D222" t="s">
        <v>647</v>
      </c>
      <c r="E222" s="1">
        <v>45390</v>
      </c>
      <c r="F222" s="1">
        <v>45395</v>
      </c>
      <c r="G222" s="1">
        <v>45405</v>
      </c>
      <c r="H222" s="4">
        <f>IF(Claims_Cleaned[[#This Row],[processed_date]]="","",Claims_Cleaned[[#This Row],[processed_date]]-Claims_Cleaned[[#This Row],[submission_date]])</f>
        <v>10</v>
      </c>
      <c r="I222" s="4" t="str">
        <f>TEXT(Claims_Cleaned[[#This Row],[claim_date]],"mmm-yyyy")</f>
        <v>Apr-2024</v>
      </c>
      <c r="J222" t="s">
        <v>20</v>
      </c>
      <c r="K222">
        <v>4166.97</v>
      </c>
      <c r="L222" t="s">
        <v>683</v>
      </c>
      <c r="M222">
        <v>10</v>
      </c>
    </row>
    <row r="223" spans="1:13" x14ac:dyDescent="0.35">
      <c r="A223" t="s">
        <v>1770</v>
      </c>
      <c r="B223" t="s">
        <v>157</v>
      </c>
      <c r="C223" t="s">
        <v>605</v>
      </c>
      <c r="D223" t="s">
        <v>645</v>
      </c>
      <c r="E223" s="1">
        <v>45028</v>
      </c>
      <c r="F223" s="1">
        <v>45033</v>
      </c>
      <c r="G223" s="1"/>
      <c r="H223" s="4" t="str">
        <f>IF(Claims_Cleaned[[#This Row],[processed_date]]="","",Claims_Cleaned[[#This Row],[processed_date]]-Claims_Cleaned[[#This Row],[submission_date]])</f>
        <v/>
      </c>
      <c r="I223" s="4" t="str">
        <f>TEXT(Claims_Cleaned[[#This Row],[claim_date]],"mmm-yyyy")</f>
        <v>Apr-2023</v>
      </c>
      <c r="J223" t="s">
        <v>11</v>
      </c>
      <c r="K223">
        <v>4164.95</v>
      </c>
      <c r="L223" t="s">
        <v>689</v>
      </c>
    </row>
    <row r="224" spans="1:13" x14ac:dyDescent="0.35">
      <c r="A224" t="s">
        <v>930</v>
      </c>
      <c r="B224" t="s">
        <v>292</v>
      </c>
      <c r="C224" t="s">
        <v>593</v>
      </c>
      <c r="D224" t="s">
        <v>647</v>
      </c>
      <c r="E224" s="1">
        <v>45023</v>
      </c>
      <c r="F224" s="1">
        <v>45024</v>
      </c>
      <c r="G224" s="1">
        <v>45038</v>
      </c>
      <c r="H224" s="4">
        <f>IF(Claims_Cleaned[[#This Row],[processed_date]]="","",Claims_Cleaned[[#This Row],[processed_date]]-Claims_Cleaned[[#This Row],[submission_date]])</f>
        <v>14</v>
      </c>
      <c r="I224" s="4" t="str">
        <f>TEXT(Claims_Cleaned[[#This Row],[claim_date]],"mmm-yyyy")</f>
        <v>Apr-2023</v>
      </c>
      <c r="J224" t="s">
        <v>13</v>
      </c>
      <c r="K224">
        <v>4157.93</v>
      </c>
      <c r="L224" t="s">
        <v>683</v>
      </c>
      <c r="M224">
        <v>14</v>
      </c>
    </row>
    <row r="225" spans="1:13" x14ac:dyDescent="0.35">
      <c r="A225" t="s">
        <v>1279</v>
      </c>
      <c r="B225" t="s">
        <v>403</v>
      </c>
      <c r="C225" t="s">
        <v>524</v>
      </c>
      <c r="D225" t="s">
        <v>647</v>
      </c>
      <c r="E225" s="1">
        <v>45250</v>
      </c>
      <c r="F225" s="1">
        <v>45255</v>
      </c>
      <c r="G225" s="1">
        <v>45270</v>
      </c>
      <c r="H225" s="4">
        <f>IF(Claims_Cleaned[[#This Row],[processed_date]]="","",Claims_Cleaned[[#This Row],[processed_date]]-Claims_Cleaned[[#This Row],[submission_date]])</f>
        <v>15</v>
      </c>
      <c r="I225" s="4" t="str">
        <f>TEXT(Claims_Cleaned[[#This Row],[claim_date]],"mmm-yyyy")</f>
        <v>Nov-2023</v>
      </c>
      <c r="J225" t="s">
        <v>8</v>
      </c>
      <c r="K225">
        <v>4157.72</v>
      </c>
      <c r="L225" t="s">
        <v>687</v>
      </c>
      <c r="M225">
        <v>15</v>
      </c>
    </row>
    <row r="226" spans="1:13" x14ac:dyDescent="0.35">
      <c r="A226" t="s">
        <v>1647</v>
      </c>
      <c r="B226" t="s">
        <v>394</v>
      </c>
      <c r="C226" t="s">
        <v>569</v>
      </c>
      <c r="D226" t="s">
        <v>647</v>
      </c>
      <c r="E226" s="1">
        <v>45629</v>
      </c>
      <c r="F226" s="1">
        <v>45632</v>
      </c>
      <c r="G226" s="1">
        <v>45643</v>
      </c>
      <c r="H226" s="4">
        <f>IF(Claims_Cleaned[[#This Row],[processed_date]]="","",Claims_Cleaned[[#This Row],[processed_date]]-Claims_Cleaned[[#This Row],[submission_date]])</f>
        <v>11</v>
      </c>
      <c r="I226" s="4" t="str">
        <f>TEXT(Claims_Cleaned[[#This Row],[claim_date]],"mmm-yyyy")</f>
        <v>Dec-2024</v>
      </c>
      <c r="J226" t="s">
        <v>8</v>
      </c>
      <c r="K226">
        <v>4126.93</v>
      </c>
      <c r="L226" t="s">
        <v>683</v>
      </c>
      <c r="M226">
        <v>11</v>
      </c>
    </row>
    <row r="227" spans="1:13" x14ac:dyDescent="0.35">
      <c r="A227" t="s">
        <v>1838</v>
      </c>
      <c r="B227" t="s">
        <v>109</v>
      </c>
      <c r="C227" t="s">
        <v>565</v>
      </c>
      <c r="D227" t="s">
        <v>645</v>
      </c>
      <c r="E227" s="1">
        <v>45050</v>
      </c>
      <c r="F227" s="1">
        <v>45055</v>
      </c>
      <c r="G227" s="1">
        <v>45069</v>
      </c>
      <c r="H227" s="4">
        <f>IF(Claims_Cleaned[[#This Row],[processed_date]]="","",Claims_Cleaned[[#This Row],[processed_date]]-Claims_Cleaned[[#This Row],[submission_date]])</f>
        <v>14</v>
      </c>
      <c r="I227" s="4" t="str">
        <f>TEXT(Claims_Cleaned[[#This Row],[claim_date]],"mmm-yyyy")</f>
        <v>May-2023</v>
      </c>
      <c r="J227" t="s">
        <v>11</v>
      </c>
      <c r="K227">
        <v>4117.58</v>
      </c>
      <c r="L227" t="s">
        <v>683</v>
      </c>
      <c r="M227">
        <v>14</v>
      </c>
    </row>
    <row r="228" spans="1:13" x14ac:dyDescent="0.35">
      <c r="A228" t="s">
        <v>1486</v>
      </c>
      <c r="B228" t="s">
        <v>226</v>
      </c>
      <c r="C228" t="s">
        <v>555</v>
      </c>
      <c r="D228" t="s">
        <v>645</v>
      </c>
      <c r="E228" s="1">
        <v>45508</v>
      </c>
      <c r="F228" s="1">
        <v>45512</v>
      </c>
      <c r="G228" s="1">
        <v>45541</v>
      </c>
      <c r="H228" s="4">
        <f>IF(Claims_Cleaned[[#This Row],[processed_date]]="","",Claims_Cleaned[[#This Row],[processed_date]]-Claims_Cleaned[[#This Row],[submission_date]])</f>
        <v>29</v>
      </c>
      <c r="I228" s="4" t="str">
        <f>TEXT(Claims_Cleaned[[#This Row],[claim_date]],"mmm-yyyy")</f>
        <v>Aug-2024</v>
      </c>
      <c r="J228" t="s">
        <v>20</v>
      </c>
      <c r="K228">
        <v>4095.99</v>
      </c>
      <c r="L228" t="s">
        <v>683</v>
      </c>
      <c r="M228">
        <v>29</v>
      </c>
    </row>
    <row r="229" spans="1:13" x14ac:dyDescent="0.35">
      <c r="A229" t="s">
        <v>1357</v>
      </c>
      <c r="B229" t="s">
        <v>187</v>
      </c>
      <c r="C229" t="s">
        <v>581</v>
      </c>
      <c r="D229" t="s">
        <v>647</v>
      </c>
      <c r="E229" s="1">
        <v>45605</v>
      </c>
      <c r="F229" s="1">
        <v>45606</v>
      </c>
      <c r="G229" s="1"/>
      <c r="H229" s="4" t="str">
        <f>IF(Claims_Cleaned[[#This Row],[processed_date]]="","",Claims_Cleaned[[#This Row],[processed_date]]-Claims_Cleaned[[#This Row],[submission_date]])</f>
        <v/>
      </c>
      <c r="I229" s="4" t="str">
        <f>TEXT(Claims_Cleaned[[#This Row],[claim_date]],"mmm-yyyy")</f>
        <v>Nov-2024</v>
      </c>
      <c r="J229" t="s">
        <v>11</v>
      </c>
      <c r="K229">
        <v>4088.77</v>
      </c>
      <c r="L229" t="s">
        <v>689</v>
      </c>
    </row>
    <row r="230" spans="1:13" x14ac:dyDescent="0.35">
      <c r="A230" t="s">
        <v>829</v>
      </c>
      <c r="B230" t="s">
        <v>38</v>
      </c>
      <c r="C230" t="s">
        <v>601</v>
      </c>
      <c r="D230" t="s">
        <v>647</v>
      </c>
      <c r="E230" s="1">
        <v>45367</v>
      </c>
      <c r="F230" s="1">
        <v>45370</v>
      </c>
      <c r="G230" s="1"/>
      <c r="H230" s="4" t="str">
        <f>IF(Claims_Cleaned[[#This Row],[processed_date]]="","",Claims_Cleaned[[#This Row],[processed_date]]-Claims_Cleaned[[#This Row],[submission_date]])</f>
        <v/>
      </c>
      <c r="I230" s="4" t="str">
        <f>TEXT(Claims_Cleaned[[#This Row],[claim_date]],"mmm-yyyy")</f>
        <v>Mar-2024</v>
      </c>
      <c r="J230" t="s">
        <v>8</v>
      </c>
      <c r="K230">
        <v>4069.75</v>
      </c>
      <c r="L230" t="s">
        <v>689</v>
      </c>
    </row>
    <row r="231" spans="1:13" x14ac:dyDescent="0.35">
      <c r="A231" t="s">
        <v>1088</v>
      </c>
      <c r="B231" t="s">
        <v>419</v>
      </c>
      <c r="C231" t="s">
        <v>593</v>
      </c>
      <c r="D231" t="s">
        <v>645</v>
      </c>
      <c r="E231" s="1">
        <v>45473</v>
      </c>
      <c r="F231" s="1">
        <v>45475</v>
      </c>
      <c r="G231" s="1">
        <v>45497</v>
      </c>
      <c r="H231" s="4">
        <f>IF(Claims_Cleaned[[#This Row],[processed_date]]="","",Claims_Cleaned[[#This Row],[processed_date]]-Claims_Cleaned[[#This Row],[submission_date]])</f>
        <v>22</v>
      </c>
      <c r="I231" s="4" t="str">
        <f>TEXT(Claims_Cleaned[[#This Row],[claim_date]],"mmm-yyyy")</f>
        <v>Jun-2024</v>
      </c>
      <c r="J231" t="s">
        <v>8</v>
      </c>
      <c r="K231">
        <v>4061.91</v>
      </c>
      <c r="L231" t="s">
        <v>687</v>
      </c>
      <c r="M231">
        <v>22</v>
      </c>
    </row>
    <row r="232" spans="1:13" x14ac:dyDescent="0.35">
      <c r="A232" t="s">
        <v>2546</v>
      </c>
      <c r="B232" t="s">
        <v>374</v>
      </c>
      <c r="C232" t="s">
        <v>583</v>
      </c>
      <c r="D232" t="s">
        <v>645</v>
      </c>
      <c r="E232" s="1">
        <v>44971</v>
      </c>
      <c r="F232" s="1">
        <v>44972</v>
      </c>
      <c r="G232" s="1">
        <v>44988</v>
      </c>
      <c r="H232" s="4">
        <f>IF(Claims_Cleaned[[#This Row],[processed_date]]="","",Claims_Cleaned[[#This Row],[processed_date]]-Claims_Cleaned[[#This Row],[submission_date]])</f>
        <v>16</v>
      </c>
      <c r="I232" s="4" t="str">
        <f>TEXT(Claims_Cleaned[[#This Row],[claim_date]],"mmm-yyyy")</f>
        <v>Feb-2023</v>
      </c>
      <c r="J232" t="s">
        <v>8</v>
      </c>
      <c r="K232">
        <v>4057.46</v>
      </c>
      <c r="L232" t="s">
        <v>683</v>
      </c>
      <c r="M232">
        <v>16</v>
      </c>
    </row>
    <row r="233" spans="1:13" x14ac:dyDescent="0.35">
      <c r="A233" t="s">
        <v>2160</v>
      </c>
      <c r="B233" t="s">
        <v>35</v>
      </c>
      <c r="C233" t="s">
        <v>575</v>
      </c>
      <c r="D233" t="s">
        <v>647</v>
      </c>
      <c r="E233" s="1">
        <v>45120</v>
      </c>
      <c r="F233" s="1">
        <v>45123</v>
      </c>
      <c r="G233" s="1">
        <v>45139</v>
      </c>
      <c r="H233" s="4">
        <f>IF(Claims_Cleaned[[#This Row],[processed_date]]="","",Claims_Cleaned[[#This Row],[processed_date]]-Claims_Cleaned[[#This Row],[submission_date]])</f>
        <v>16</v>
      </c>
      <c r="I233" s="4" t="str">
        <f>TEXT(Claims_Cleaned[[#This Row],[claim_date]],"mmm-yyyy")</f>
        <v>Jul-2023</v>
      </c>
      <c r="J233" t="s">
        <v>11</v>
      </c>
      <c r="K233">
        <v>4056.45</v>
      </c>
      <c r="L233" t="s">
        <v>683</v>
      </c>
      <c r="M233">
        <v>16</v>
      </c>
    </row>
    <row r="234" spans="1:13" x14ac:dyDescent="0.35">
      <c r="A234" t="s">
        <v>1976</v>
      </c>
      <c r="B234" t="s">
        <v>299</v>
      </c>
      <c r="C234" t="s">
        <v>601</v>
      </c>
      <c r="D234" t="s">
        <v>645</v>
      </c>
      <c r="E234" s="1">
        <v>45000</v>
      </c>
      <c r="F234" s="1">
        <v>45004</v>
      </c>
      <c r="G234" s="1">
        <v>45013</v>
      </c>
      <c r="H234" s="4">
        <f>IF(Claims_Cleaned[[#This Row],[processed_date]]="","",Claims_Cleaned[[#This Row],[processed_date]]-Claims_Cleaned[[#This Row],[submission_date]])</f>
        <v>9</v>
      </c>
      <c r="I234" s="4" t="str">
        <f>TEXT(Claims_Cleaned[[#This Row],[claim_date]],"mmm-yyyy")</f>
        <v>Mar-2023</v>
      </c>
      <c r="J234" t="s">
        <v>25</v>
      </c>
      <c r="K234">
        <v>4048.33</v>
      </c>
      <c r="L234" t="s">
        <v>683</v>
      </c>
      <c r="M234">
        <v>9</v>
      </c>
    </row>
    <row r="235" spans="1:13" x14ac:dyDescent="0.35">
      <c r="A235" t="s">
        <v>1587</v>
      </c>
      <c r="B235" t="s">
        <v>380</v>
      </c>
      <c r="C235" t="s">
        <v>521</v>
      </c>
      <c r="D235" t="s">
        <v>645</v>
      </c>
      <c r="E235" s="1">
        <v>45009</v>
      </c>
      <c r="F235" s="1">
        <v>45014</v>
      </c>
      <c r="G235" s="1">
        <v>45026</v>
      </c>
      <c r="H235" s="4">
        <f>IF(Claims_Cleaned[[#This Row],[processed_date]]="","",Claims_Cleaned[[#This Row],[processed_date]]-Claims_Cleaned[[#This Row],[submission_date]])</f>
        <v>12</v>
      </c>
      <c r="I235" s="4" t="str">
        <f>TEXT(Claims_Cleaned[[#This Row],[claim_date]],"mmm-yyyy")</f>
        <v>Mar-2023</v>
      </c>
      <c r="J235" t="s">
        <v>8</v>
      </c>
      <c r="K235">
        <v>4045.6</v>
      </c>
      <c r="L235" t="s">
        <v>683</v>
      </c>
      <c r="M235">
        <v>12</v>
      </c>
    </row>
    <row r="236" spans="1:13" x14ac:dyDescent="0.35">
      <c r="A236" t="s">
        <v>729</v>
      </c>
      <c r="B236" t="s">
        <v>108</v>
      </c>
      <c r="C236" t="s">
        <v>561</v>
      </c>
      <c r="D236" t="s">
        <v>645</v>
      </c>
      <c r="E236" s="1">
        <v>44986</v>
      </c>
      <c r="F236" s="1">
        <v>44989</v>
      </c>
      <c r="G236" s="1">
        <v>44994</v>
      </c>
      <c r="H236" s="4">
        <f>IF(Claims_Cleaned[[#This Row],[processed_date]]="","",Claims_Cleaned[[#This Row],[processed_date]]-Claims_Cleaned[[#This Row],[submission_date]])</f>
        <v>5</v>
      </c>
      <c r="I236" s="4" t="str">
        <f>TEXT(Claims_Cleaned[[#This Row],[claim_date]],"mmm-yyyy")</f>
        <v>Mar-2023</v>
      </c>
      <c r="J236" t="s">
        <v>25</v>
      </c>
      <c r="K236">
        <v>4032.46</v>
      </c>
      <c r="L236" t="s">
        <v>687</v>
      </c>
      <c r="M236">
        <v>5</v>
      </c>
    </row>
    <row r="237" spans="1:13" x14ac:dyDescent="0.35">
      <c r="A237" t="s">
        <v>2398</v>
      </c>
      <c r="B237" t="s">
        <v>380</v>
      </c>
      <c r="C237" t="s">
        <v>540</v>
      </c>
      <c r="D237" t="s">
        <v>647</v>
      </c>
      <c r="E237" s="1">
        <v>45138</v>
      </c>
      <c r="F237" s="1">
        <v>45140</v>
      </c>
      <c r="G237" s="1">
        <v>45144</v>
      </c>
      <c r="H237" s="4">
        <f>IF(Claims_Cleaned[[#This Row],[processed_date]]="","",Claims_Cleaned[[#This Row],[processed_date]]-Claims_Cleaned[[#This Row],[submission_date]])</f>
        <v>4</v>
      </c>
      <c r="I237" s="4" t="str">
        <f>TEXT(Claims_Cleaned[[#This Row],[claim_date]],"mmm-yyyy")</f>
        <v>Jul-2023</v>
      </c>
      <c r="J237" t="s">
        <v>8</v>
      </c>
      <c r="K237">
        <v>4021.35</v>
      </c>
      <c r="L237" t="s">
        <v>683</v>
      </c>
      <c r="M237">
        <v>4</v>
      </c>
    </row>
    <row r="238" spans="1:13" x14ac:dyDescent="0.35">
      <c r="A238" t="s">
        <v>2502</v>
      </c>
      <c r="B238" t="s">
        <v>134</v>
      </c>
      <c r="C238" t="s">
        <v>605</v>
      </c>
      <c r="D238" t="s">
        <v>645</v>
      </c>
      <c r="E238" s="1">
        <v>45591</v>
      </c>
      <c r="F238" s="1">
        <v>45594</v>
      </c>
      <c r="G238" s="1">
        <v>45598</v>
      </c>
      <c r="H238" s="4">
        <f>IF(Claims_Cleaned[[#This Row],[processed_date]]="","",Claims_Cleaned[[#This Row],[processed_date]]-Claims_Cleaned[[#This Row],[submission_date]])</f>
        <v>4</v>
      </c>
      <c r="I238" s="4" t="str">
        <f>TEXT(Claims_Cleaned[[#This Row],[claim_date]],"mmm-yyyy")</f>
        <v>Oct-2024</v>
      </c>
      <c r="J238" t="s">
        <v>11</v>
      </c>
      <c r="K238">
        <v>4020.01</v>
      </c>
      <c r="L238" t="s">
        <v>683</v>
      </c>
      <c r="M238">
        <v>4</v>
      </c>
    </row>
    <row r="239" spans="1:13" x14ac:dyDescent="0.35">
      <c r="A239" t="s">
        <v>1773</v>
      </c>
      <c r="B239" t="s">
        <v>144</v>
      </c>
      <c r="C239" t="s">
        <v>567</v>
      </c>
      <c r="D239" t="s">
        <v>645</v>
      </c>
      <c r="E239" s="1">
        <v>45601</v>
      </c>
      <c r="F239" s="1">
        <v>45606</v>
      </c>
      <c r="G239" s="1">
        <v>45615</v>
      </c>
      <c r="H239" s="4">
        <f>IF(Claims_Cleaned[[#This Row],[processed_date]]="","",Claims_Cleaned[[#This Row],[processed_date]]-Claims_Cleaned[[#This Row],[submission_date]])</f>
        <v>9</v>
      </c>
      <c r="I239" s="4" t="str">
        <f>TEXT(Claims_Cleaned[[#This Row],[claim_date]],"mmm-yyyy")</f>
        <v>Nov-2024</v>
      </c>
      <c r="J239" t="s">
        <v>8</v>
      </c>
      <c r="K239">
        <v>4018.13</v>
      </c>
      <c r="L239" t="s">
        <v>683</v>
      </c>
      <c r="M239">
        <v>9</v>
      </c>
    </row>
    <row r="240" spans="1:13" x14ac:dyDescent="0.35">
      <c r="A240" t="s">
        <v>1221</v>
      </c>
      <c r="B240" t="s">
        <v>64</v>
      </c>
      <c r="C240" t="s">
        <v>521</v>
      </c>
      <c r="D240" t="s">
        <v>647</v>
      </c>
      <c r="E240" s="1">
        <v>45579</v>
      </c>
      <c r="F240" s="1">
        <v>45581</v>
      </c>
      <c r="G240" s="1">
        <v>45602</v>
      </c>
      <c r="H240" s="4">
        <f>IF(Claims_Cleaned[[#This Row],[processed_date]]="","",Claims_Cleaned[[#This Row],[processed_date]]-Claims_Cleaned[[#This Row],[submission_date]])</f>
        <v>21</v>
      </c>
      <c r="I240" s="4" t="str">
        <f>TEXT(Claims_Cleaned[[#This Row],[claim_date]],"mmm-yyyy")</f>
        <v>Oct-2024</v>
      </c>
      <c r="J240" t="s">
        <v>8</v>
      </c>
      <c r="K240">
        <v>4012.68</v>
      </c>
      <c r="L240" t="s">
        <v>683</v>
      </c>
      <c r="M240">
        <v>21</v>
      </c>
    </row>
    <row r="241" spans="1:13" x14ac:dyDescent="0.35">
      <c r="A241" t="s">
        <v>2395</v>
      </c>
      <c r="B241" t="s">
        <v>179</v>
      </c>
      <c r="C241" t="s">
        <v>609</v>
      </c>
      <c r="D241" t="s">
        <v>647</v>
      </c>
      <c r="E241" s="1">
        <v>45303</v>
      </c>
      <c r="F241" s="1">
        <v>45307</v>
      </c>
      <c r="G241" s="1">
        <v>45332</v>
      </c>
      <c r="H241" s="4">
        <f>IF(Claims_Cleaned[[#This Row],[processed_date]]="","",Claims_Cleaned[[#This Row],[processed_date]]-Claims_Cleaned[[#This Row],[submission_date]])</f>
        <v>25</v>
      </c>
      <c r="I241" s="4" t="str">
        <f>TEXT(Claims_Cleaned[[#This Row],[claim_date]],"mmm-yyyy")</f>
        <v>Jan-2024</v>
      </c>
      <c r="J241" t="s">
        <v>11</v>
      </c>
      <c r="K241">
        <v>4011.53</v>
      </c>
      <c r="L241" t="s">
        <v>683</v>
      </c>
      <c r="M241">
        <v>25</v>
      </c>
    </row>
    <row r="242" spans="1:13" x14ac:dyDescent="0.35">
      <c r="A242" t="s">
        <v>813</v>
      </c>
      <c r="B242" t="s">
        <v>404</v>
      </c>
      <c r="C242" t="s">
        <v>583</v>
      </c>
      <c r="D242" t="s">
        <v>645</v>
      </c>
      <c r="E242" s="1">
        <v>45089</v>
      </c>
      <c r="F242" s="1">
        <v>45091</v>
      </c>
      <c r="G242" s="1"/>
      <c r="H242" s="4" t="str">
        <f>IF(Claims_Cleaned[[#This Row],[processed_date]]="","",Claims_Cleaned[[#This Row],[processed_date]]-Claims_Cleaned[[#This Row],[submission_date]])</f>
        <v/>
      </c>
      <c r="I242" s="4" t="str">
        <f>TEXT(Claims_Cleaned[[#This Row],[claim_date]],"mmm-yyyy")</f>
        <v>Jun-2023</v>
      </c>
      <c r="J242" t="s">
        <v>8</v>
      </c>
      <c r="K242">
        <v>3999.98</v>
      </c>
      <c r="L242" t="s">
        <v>689</v>
      </c>
    </row>
    <row r="243" spans="1:13" x14ac:dyDescent="0.35">
      <c r="A243" t="s">
        <v>2251</v>
      </c>
      <c r="B243" t="s">
        <v>126</v>
      </c>
      <c r="C243" t="s">
        <v>549</v>
      </c>
      <c r="D243" t="s">
        <v>647</v>
      </c>
      <c r="E243" s="1">
        <v>45327</v>
      </c>
      <c r="F243" s="1">
        <v>45329</v>
      </c>
      <c r="G243" s="1">
        <v>45353</v>
      </c>
      <c r="H243" s="4">
        <f>IF(Claims_Cleaned[[#This Row],[processed_date]]="","",Claims_Cleaned[[#This Row],[processed_date]]-Claims_Cleaned[[#This Row],[submission_date]])</f>
        <v>24</v>
      </c>
      <c r="I243" s="4" t="str">
        <f>TEXT(Claims_Cleaned[[#This Row],[claim_date]],"mmm-yyyy")</f>
        <v>Feb-2024</v>
      </c>
      <c r="J243" t="s">
        <v>8</v>
      </c>
      <c r="K243">
        <v>3990.33</v>
      </c>
      <c r="L243" t="s">
        <v>687</v>
      </c>
      <c r="M243">
        <v>24</v>
      </c>
    </row>
    <row r="244" spans="1:13" x14ac:dyDescent="0.35">
      <c r="A244" t="s">
        <v>2263</v>
      </c>
      <c r="B244" t="s">
        <v>52</v>
      </c>
      <c r="C244" t="s">
        <v>583</v>
      </c>
      <c r="D244" t="s">
        <v>647</v>
      </c>
      <c r="E244" s="1">
        <v>45652</v>
      </c>
      <c r="F244" s="1">
        <v>45655</v>
      </c>
      <c r="G244" s="1"/>
      <c r="H244" s="4" t="str">
        <f>IF(Claims_Cleaned[[#This Row],[processed_date]]="","",Claims_Cleaned[[#This Row],[processed_date]]-Claims_Cleaned[[#This Row],[submission_date]])</f>
        <v/>
      </c>
      <c r="I244" s="4" t="str">
        <f>TEXT(Claims_Cleaned[[#This Row],[claim_date]],"mmm-yyyy")</f>
        <v>Dec-2024</v>
      </c>
      <c r="J244" t="s">
        <v>20</v>
      </c>
      <c r="K244">
        <v>3986.76</v>
      </c>
      <c r="L244" t="s">
        <v>689</v>
      </c>
    </row>
    <row r="245" spans="1:13" x14ac:dyDescent="0.35">
      <c r="A245" t="s">
        <v>1056</v>
      </c>
      <c r="B245" t="s">
        <v>231</v>
      </c>
      <c r="C245" t="s">
        <v>571</v>
      </c>
      <c r="D245" t="s">
        <v>645</v>
      </c>
      <c r="E245" s="1">
        <v>45117</v>
      </c>
      <c r="F245" s="1">
        <v>45120</v>
      </c>
      <c r="G245" s="1"/>
      <c r="H245" s="4" t="str">
        <f>IF(Claims_Cleaned[[#This Row],[processed_date]]="","",Claims_Cleaned[[#This Row],[processed_date]]-Claims_Cleaned[[#This Row],[submission_date]])</f>
        <v/>
      </c>
      <c r="I245" s="4" t="str">
        <f>TEXT(Claims_Cleaned[[#This Row],[claim_date]],"mmm-yyyy")</f>
        <v>Jul-2023</v>
      </c>
      <c r="J245" t="s">
        <v>8</v>
      </c>
      <c r="K245">
        <v>3977.03</v>
      </c>
      <c r="L245" t="s">
        <v>689</v>
      </c>
    </row>
    <row r="246" spans="1:13" x14ac:dyDescent="0.35">
      <c r="A246" t="s">
        <v>1427</v>
      </c>
      <c r="B246" t="s">
        <v>509</v>
      </c>
      <c r="C246" t="s">
        <v>601</v>
      </c>
      <c r="D246" t="s">
        <v>645</v>
      </c>
      <c r="E246" s="1">
        <v>45091</v>
      </c>
      <c r="F246" s="1">
        <v>45096</v>
      </c>
      <c r="G246" s="1">
        <v>45118</v>
      </c>
      <c r="H246" s="4">
        <f>IF(Claims_Cleaned[[#This Row],[processed_date]]="","",Claims_Cleaned[[#This Row],[processed_date]]-Claims_Cleaned[[#This Row],[submission_date]])</f>
        <v>22</v>
      </c>
      <c r="I246" s="4" t="str">
        <f>TEXT(Claims_Cleaned[[#This Row],[claim_date]],"mmm-yyyy")</f>
        <v>Jun-2023</v>
      </c>
      <c r="J246" t="s">
        <v>25</v>
      </c>
      <c r="K246">
        <v>3969.95</v>
      </c>
      <c r="L246" t="s">
        <v>687</v>
      </c>
      <c r="M246">
        <v>22</v>
      </c>
    </row>
    <row r="247" spans="1:13" x14ac:dyDescent="0.35">
      <c r="A247" t="s">
        <v>2487</v>
      </c>
      <c r="B247" t="s">
        <v>67</v>
      </c>
      <c r="C247" t="s">
        <v>609</v>
      </c>
      <c r="D247" t="s">
        <v>647</v>
      </c>
      <c r="E247" s="1">
        <v>44947</v>
      </c>
      <c r="F247" s="1">
        <v>44948</v>
      </c>
      <c r="G247" s="1">
        <v>44960</v>
      </c>
      <c r="H247" s="4">
        <f>IF(Claims_Cleaned[[#This Row],[processed_date]]="","",Claims_Cleaned[[#This Row],[processed_date]]-Claims_Cleaned[[#This Row],[submission_date]])</f>
        <v>12</v>
      </c>
      <c r="I247" s="4" t="str">
        <f>TEXT(Claims_Cleaned[[#This Row],[claim_date]],"mmm-yyyy")</f>
        <v>Jan-2023</v>
      </c>
      <c r="J247" t="s">
        <v>11</v>
      </c>
      <c r="K247">
        <v>3932.55</v>
      </c>
      <c r="L247" t="s">
        <v>683</v>
      </c>
      <c r="M247">
        <v>12</v>
      </c>
    </row>
    <row r="248" spans="1:13" x14ac:dyDescent="0.35">
      <c r="A248" t="s">
        <v>1442</v>
      </c>
      <c r="B248" t="s">
        <v>79</v>
      </c>
      <c r="C248" t="s">
        <v>587</v>
      </c>
      <c r="D248" t="s">
        <v>645</v>
      </c>
      <c r="E248" s="1">
        <v>45459</v>
      </c>
      <c r="F248" s="1">
        <v>45464</v>
      </c>
      <c r="G248" s="1">
        <v>45476</v>
      </c>
      <c r="H248" s="4">
        <f>IF(Claims_Cleaned[[#This Row],[processed_date]]="","",Claims_Cleaned[[#This Row],[processed_date]]-Claims_Cleaned[[#This Row],[submission_date]])</f>
        <v>12</v>
      </c>
      <c r="I248" s="4" t="str">
        <f>TEXT(Claims_Cleaned[[#This Row],[claim_date]],"mmm-yyyy")</f>
        <v>Jun-2024</v>
      </c>
      <c r="J248" t="s">
        <v>11</v>
      </c>
      <c r="K248">
        <v>3930.38</v>
      </c>
      <c r="L248" t="s">
        <v>687</v>
      </c>
      <c r="M248">
        <v>12</v>
      </c>
    </row>
    <row r="249" spans="1:13" x14ac:dyDescent="0.35">
      <c r="A249" t="s">
        <v>2568</v>
      </c>
      <c r="B249" t="s">
        <v>512</v>
      </c>
      <c r="C249" t="s">
        <v>581</v>
      </c>
      <c r="D249" t="s">
        <v>647</v>
      </c>
      <c r="E249" s="1">
        <v>45600</v>
      </c>
      <c r="F249" s="1">
        <v>45603</v>
      </c>
      <c r="G249" s="1"/>
      <c r="H249" s="4" t="str">
        <f>IF(Claims_Cleaned[[#This Row],[processed_date]]="","",Claims_Cleaned[[#This Row],[processed_date]]-Claims_Cleaned[[#This Row],[submission_date]])</f>
        <v/>
      </c>
      <c r="I249" s="4" t="str">
        <f>TEXT(Claims_Cleaned[[#This Row],[claim_date]],"mmm-yyyy")</f>
        <v>Nov-2024</v>
      </c>
      <c r="J249" t="s">
        <v>11</v>
      </c>
      <c r="K249">
        <v>3906.79</v>
      </c>
      <c r="L249" t="s">
        <v>689</v>
      </c>
    </row>
    <row r="250" spans="1:13" x14ac:dyDescent="0.35">
      <c r="A250" t="s">
        <v>2385</v>
      </c>
      <c r="B250" t="s">
        <v>429</v>
      </c>
      <c r="C250" t="s">
        <v>534</v>
      </c>
      <c r="D250" t="s">
        <v>647</v>
      </c>
      <c r="E250" s="1">
        <v>45053</v>
      </c>
      <c r="F250" s="1">
        <v>45058</v>
      </c>
      <c r="G250" s="1">
        <v>45075</v>
      </c>
      <c r="H250" s="4">
        <f>IF(Claims_Cleaned[[#This Row],[processed_date]]="","",Claims_Cleaned[[#This Row],[processed_date]]-Claims_Cleaned[[#This Row],[submission_date]])</f>
        <v>17</v>
      </c>
      <c r="I250" s="4" t="str">
        <f>TEXT(Claims_Cleaned[[#This Row],[claim_date]],"mmm-yyyy")</f>
        <v>May-2023</v>
      </c>
      <c r="J250" t="s">
        <v>13</v>
      </c>
      <c r="K250">
        <v>3903.19</v>
      </c>
      <c r="L250" t="s">
        <v>687</v>
      </c>
      <c r="M250">
        <v>17</v>
      </c>
    </row>
    <row r="251" spans="1:13" x14ac:dyDescent="0.35">
      <c r="A251" t="s">
        <v>1211</v>
      </c>
      <c r="B251" t="s">
        <v>217</v>
      </c>
      <c r="C251" t="s">
        <v>583</v>
      </c>
      <c r="D251" t="s">
        <v>645</v>
      </c>
      <c r="E251" s="1">
        <v>45288</v>
      </c>
      <c r="F251" s="1">
        <v>45290</v>
      </c>
      <c r="G251" s="1">
        <v>45314</v>
      </c>
      <c r="H251" s="4">
        <f>IF(Claims_Cleaned[[#This Row],[processed_date]]="","",Claims_Cleaned[[#This Row],[processed_date]]-Claims_Cleaned[[#This Row],[submission_date]])</f>
        <v>24</v>
      </c>
      <c r="I251" s="4" t="str">
        <f>TEXT(Claims_Cleaned[[#This Row],[claim_date]],"mmm-yyyy")</f>
        <v>Dec-2023</v>
      </c>
      <c r="J251" t="s">
        <v>13</v>
      </c>
      <c r="K251">
        <v>3889.6</v>
      </c>
      <c r="L251" t="s">
        <v>683</v>
      </c>
      <c r="M251">
        <v>24</v>
      </c>
    </row>
    <row r="252" spans="1:13" x14ac:dyDescent="0.35">
      <c r="A252" t="s">
        <v>1110</v>
      </c>
      <c r="B252" t="s">
        <v>142</v>
      </c>
      <c r="C252" t="s">
        <v>557</v>
      </c>
      <c r="D252" t="s">
        <v>647</v>
      </c>
      <c r="E252" s="1">
        <v>44999</v>
      </c>
      <c r="F252" s="1">
        <v>45003</v>
      </c>
      <c r="G252" s="1">
        <v>45013</v>
      </c>
      <c r="H252" s="4">
        <f>IF(Claims_Cleaned[[#This Row],[processed_date]]="","",Claims_Cleaned[[#This Row],[processed_date]]-Claims_Cleaned[[#This Row],[submission_date]])</f>
        <v>10</v>
      </c>
      <c r="I252" s="4" t="str">
        <f>TEXT(Claims_Cleaned[[#This Row],[claim_date]],"mmm-yyyy")</f>
        <v>Mar-2023</v>
      </c>
      <c r="J252" t="s">
        <v>8</v>
      </c>
      <c r="K252">
        <v>3815.11</v>
      </c>
      <c r="L252" t="s">
        <v>683</v>
      </c>
      <c r="M252">
        <v>10</v>
      </c>
    </row>
    <row r="253" spans="1:13" x14ac:dyDescent="0.35">
      <c r="A253" t="s">
        <v>948</v>
      </c>
      <c r="B253" t="s">
        <v>404</v>
      </c>
      <c r="C253" t="s">
        <v>534</v>
      </c>
      <c r="D253" t="s">
        <v>647</v>
      </c>
      <c r="E253" s="1">
        <v>45090</v>
      </c>
      <c r="F253" s="1">
        <v>45094</v>
      </c>
      <c r="G253" s="1">
        <v>45117</v>
      </c>
      <c r="H253" s="4">
        <f>IF(Claims_Cleaned[[#This Row],[processed_date]]="","",Claims_Cleaned[[#This Row],[processed_date]]-Claims_Cleaned[[#This Row],[submission_date]])</f>
        <v>23</v>
      </c>
      <c r="I253" s="4" t="str">
        <f>TEXT(Claims_Cleaned[[#This Row],[claim_date]],"mmm-yyyy")</f>
        <v>Jun-2023</v>
      </c>
      <c r="J253" t="s">
        <v>8</v>
      </c>
      <c r="K253">
        <v>3798.77</v>
      </c>
      <c r="L253" t="s">
        <v>687</v>
      </c>
      <c r="M253">
        <v>23</v>
      </c>
    </row>
    <row r="254" spans="1:13" x14ac:dyDescent="0.35">
      <c r="A254" t="s">
        <v>2151</v>
      </c>
      <c r="B254" t="s">
        <v>492</v>
      </c>
      <c r="C254" t="s">
        <v>609</v>
      </c>
      <c r="D254" t="s">
        <v>647</v>
      </c>
      <c r="E254" s="1">
        <v>45079</v>
      </c>
      <c r="F254" s="1">
        <v>45082</v>
      </c>
      <c r="G254" s="1">
        <v>45090</v>
      </c>
      <c r="H254" s="4">
        <f>IF(Claims_Cleaned[[#This Row],[processed_date]]="","",Claims_Cleaned[[#This Row],[processed_date]]-Claims_Cleaned[[#This Row],[submission_date]])</f>
        <v>8</v>
      </c>
      <c r="I254" s="4" t="str">
        <f>TEXT(Claims_Cleaned[[#This Row],[claim_date]],"mmm-yyyy")</f>
        <v>Jun-2023</v>
      </c>
      <c r="J254" t="s">
        <v>13</v>
      </c>
      <c r="K254">
        <v>3793.59</v>
      </c>
      <c r="L254" t="s">
        <v>683</v>
      </c>
      <c r="M254">
        <v>8</v>
      </c>
    </row>
    <row r="255" spans="1:13" x14ac:dyDescent="0.35">
      <c r="A255" t="s">
        <v>1028</v>
      </c>
      <c r="B255" t="s">
        <v>380</v>
      </c>
      <c r="C255" t="s">
        <v>540</v>
      </c>
      <c r="D255" t="s">
        <v>645</v>
      </c>
      <c r="E255" s="1">
        <v>45601</v>
      </c>
      <c r="F255" s="1">
        <v>45606</v>
      </c>
      <c r="G255" s="1">
        <v>45624</v>
      </c>
      <c r="H255" s="4">
        <f>IF(Claims_Cleaned[[#This Row],[processed_date]]="","",Claims_Cleaned[[#This Row],[processed_date]]-Claims_Cleaned[[#This Row],[submission_date]])</f>
        <v>18</v>
      </c>
      <c r="I255" s="4" t="str">
        <f>TEXT(Claims_Cleaned[[#This Row],[claim_date]],"mmm-yyyy")</f>
        <v>Nov-2024</v>
      </c>
      <c r="J255" t="s">
        <v>8</v>
      </c>
      <c r="K255">
        <v>3772.17</v>
      </c>
      <c r="L255" t="s">
        <v>683</v>
      </c>
      <c r="M255">
        <v>18</v>
      </c>
    </row>
    <row r="256" spans="1:13" x14ac:dyDescent="0.35">
      <c r="A256" t="s">
        <v>823</v>
      </c>
      <c r="B256" t="s">
        <v>177</v>
      </c>
      <c r="C256" t="s">
        <v>587</v>
      </c>
      <c r="D256" t="s">
        <v>645</v>
      </c>
      <c r="E256" s="1">
        <v>45482</v>
      </c>
      <c r="F256" s="1">
        <v>45483</v>
      </c>
      <c r="G256" s="1"/>
      <c r="H256" s="4" t="str">
        <f>IF(Claims_Cleaned[[#This Row],[processed_date]]="","",Claims_Cleaned[[#This Row],[processed_date]]-Claims_Cleaned[[#This Row],[submission_date]])</f>
        <v/>
      </c>
      <c r="I256" s="4" t="str">
        <f>TEXT(Claims_Cleaned[[#This Row],[claim_date]],"mmm-yyyy")</f>
        <v>Jul-2024</v>
      </c>
      <c r="J256" t="s">
        <v>11</v>
      </c>
      <c r="K256">
        <v>3757.96</v>
      </c>
      <c r="L256" t="s">
        <v>689</v>
      </c>
    </row>
    <row r="257" spans="1:13" x14ac:dyDescent="0.35">
      <c r="A257" t="s">
        <v>2230</v>
      </c>
      <c r="B257" t="s">
        <v>451</v>
      </c>
      <c r="C257" t="s">
        <v>567</v>
      </c>
      <c r="D257" t="s">
        <v>645</v>
      </c>
      <c r="E257" s="1">
        <v>45302</v>
      </c>
      <c r="F257" s="1">
        <v>45307</v>
      </c>
      <c r="G257" s="1">
        <v>45326</v>
      </c>
      <c r="H257" s="4">
        <f>IF(Claims_Cleaned[[#This Row],[processed_date]]="","",Claims_Cleaned[[#This Row],[processed_date]]-Claims_Cleaned[[#This Row],[submission_date]])</f>
        <v>19</v>
      </c>
      <c r="I257" s="4" t="str">
        <f>TEXT(Claims_Cleaned[[#This Row],[claim_date]],"mmm-yyyy")</f>
        <v>Jan-2024</v>
      </c>
      <c r="J257" t="s">
        <v>11</v>
      </c>
      <c r="K257">
        <v>3752.55</v>
      </c>
      <c r="L257" t="s">
        <v>683</v>
      </c>
      <c r="M257">
        <v>19</v>
      </c>
    </row>
    <row r="258" spans="1:13" x14ac:dyDescent="0.35">
      <c r="A258" t="s">
        <v>1365</v>
      </c>
      <c r="B258" t="s">
        <v>483</v>
      </c>
      <c r="C258" t="s">
        <v>605</v>
      </c>
      <c r="D258" t="s">
        <v>645</v>
      </c>
      <c r="E258" s="1">
        <v>45119</v>
      </c>
      <c r="F258" s="1">
        <v>45120</v>
      </c>
      <c r="G258" s="1">
        <v>45130</v>
      </c>
      <c r="H258" s="4">
        <f>IF(Claims_Cleaned[[#This Row],[processed_date]]="","",Claims_Cleaned[[#This Row],[processed_date]]-Claims_Cleaned[[#This Row],[submission_date]])</f>
        <v>10</v>
      </c>
      <c r="I258" s="4" t="str">
        <f>TEXT(Claims_Cleaned[[#This Row],[claim_date]],"mmm-yyyy")</f>
        <v>Jul-2023</v>
      </c>
      <c r="J258" t="s">
        <v>11</v>
      </c>
      <c r="K258">
        <v>3751</v>
      </c>
      <c r="L258" t="s">
        <v>683</v>
      </c>
      <c r="M258">
        <v>10</v>
      </c>
    </row>
    <row r="259" spans="1:13" x14ac:dyDescent="0.35">
      <c r="A259" t="s">
        <v>2515</v>
      </c>
      <c r="B259" t="s">
        <v>445</v>
      </c>
      <c r="C259" t="s">
        <v>527</v>
      </c>
      <c r="D259" t="s">
        <v>645</v>
      </c>
      <c r="E259" s="1">
        <v>45288</v>
      </c>
      <c r="F259" s="1">
        <v>45292</v>
      </c>
      <c r="G259" s="1">
        <v>45307</v>
      </c>
      <c r="H259" s="4">
        <f>IF(Claims_Cleaned[[#This Row],[processed_date]]="","",Claims_Cleaned[[#This Row],[processed_date]]-Claims_Cleaned[[#This Row],[submission_date]])</f>
        <v>15</v>
      </c>
      <c r="I259" s="4" t="str">
        <f>TEXT(Claims_Cleaned[[#This Row],[claim_date]],"mmm-yyyy")</f>
        <v>Dec-2023</v>
      </c>
      <c r="J259" t="s">
        <v>20</v>
      </c>
      <c r="K259">
        <v>3708.76</v>
      </c>
      <c r="L259" t="s">
        <v>683</v>
      </c>
      <c r="M259">
        <v>15</v>
      </c>
    </row>
    <row r="260" spans="1:13" x14ac:dyDescent="0.35">
      <c r="A260" t="s">
        <v>789</v>
      </c>
      <c r="B260" t="s">
        <v>255</v>
      </c>
      <c r="C260" t="s">
        <v>531</v>
      </c>
      <c r="D260" t="s">
        <v>645</v>
      </c>
      <c r="E260" s="1">
        <v>45282</v>
      </c>
      <c r="F260" s="1">
        <v>45283</v>
      </c>
      <c r="G260" s="1">
        <v>45294</v>
      </c>
      <c r="H260" s="4">
        <f>IF(Claims_Cleaned[[#This Row],[processed_date]]="","",Claims_Cleaned[[#This Row],[processed_date]]-Claims_Cleaned[[#This Row],[submission_date]])</f>
        <v>11</v>
      </c>
      <c r="I260" s="4" t="str">
        <f>TEXT(Claims_Cleaned[[#This Row],[claim_date]],"mmm-yyyy")</f>
        <v>Dec-2023</v>
      </c>
      <c r="J260" t="s">
        <v>20</v>
      </c>
      <c r="K260">
        <v>3692.35</v>
      </c>
      <c r="L260" t="s">
        <v>683</v>
      </c>
      <c r="M260">
        <v>11</v>
      </c>
    </row>
    <row r="261" spans="1:13" x14ac:dyDescent="0.35">
      <c r="A261" t="s">
        <v>2184</v>
      </c>
      <c r="B261" t="s">
        <v>300</v>
      </c>
      <c r="C261" t="s">
        <v>599</v>
      </c>
      <c r="D261" t="s">
        <v>645</v>
      </c>
      <c r="E261" s="1">
        <v>45263</v>
      </c>
      <c r="F261" s="1">
        <v>45268</v>
      </c>
      <c r="G261" s="1"/>
      <c r="H261" s="4" t="str">
        <f>IF(Claims_Cleaned[[#This Row],[processed_date]]="","",Claims_Cleaned[[#This Row],[processed_date]]-Claims_Cleaned[[#This Row],[submission_date]])</f>
        <v/>
      </c>
      <c r="I261" s="4" t="str">
        <f>TEXT(Claims_Cleaned[[#This Row],[claim_date]],"mmm-yyyy")</f>
        <v>Dec-2023</v>
      </c>
      <c r="J261" t="s">
        <v>20</v>
      </c>
      <c r="K261">
        <v>3672.58</v>
      </c>
      <c r="L261" t="s">
        <v>689</v>
      </c>
    </row>
    <row r="262" spans="1:13" x14ac:dyDescent="0.35">
      <c r="A262" t="s">
        <v>1198</v>
      </c>
      <c r="B262" t="s">
        <v>183</v>
      </c>
      <c r="C262" t="s">
        <v>599</v>
      </c>
      <c r="D262" t="s">
        <v>645</v>
      </c>
      <c r="E262" s="1">
        <v>45510</v>
      </c>
      <c r="F262" s="1">
        <v>45515</v>
      </c>
      <c r="G262" s="1">
        <v>45519</v>
      </c>
      <c r="H262" s="4">
        <f>IF(Claims_Cleaned[[#This Row],[processed_date]]="","",Claims_Cleaned[[#This Row],[processed_date]]-Claims_Cleaned[[#This Row],[submission_date]])</f>
        <v>4</v>
      </c>
      <c r="I262" s="4" t="str">
        <f>TEXT(Claims_Cleaned[[#This Row],[claim_date]],"mmm-yyyy")</f>
        <v>Aug-2024</v>
      </c>
      <c r="J262" t="s">
        <v>8</v>
      </c>
      <c r="K262">
        <v>3670.1</v>
      </c>
      <c r="L262" t="s">
        <v>683</v>
      </c>
      <c r="M262">
        <v>4</v>
      </c>
    </row>
    <row r="263" spans="1:13" x14ac:dyDescent="0.35">
      <c r="A263" t="s">
        <v>1910</v>
      </c>
      <c r="B263" t="s">
        <v>253</v>
      </c>
      <c r="C263" t="s">
        <v>601</v>
      </c>
      <c r="D263" t="s">
        <v>645</v>
      </c>
      <c r="E263" s="1">
        <v>45228</v>
      </c>
      <c r="F263" s="1">
        <v>45233</v>
      </c>
      <c r="G263" s="1">
        <v>45241</v>
      </c>
      <c r="H263" s="4">
        <f>IF(Claims_Cleaned[[#This Row],[processed_date]]="","",Claims_Cleaned[[#This Row],[processed_date]]-Claims_Cleaned[[#This Row],[submission_date]])</f>
        <v>8</v>
      </c>
      <c r="I263" s="4" t="str">
        <f>TEXT(Claims_Cleaned[[#This Row],[claim_date]],"mmm-yyyy")</f>
        <v>Oct-2023</v>
      </c>
      <c r="J263" t="s">
        <v>8</v>
      </c>
      <c r="K263">
        <v>3657.06</v>
      </c>
      <c r="L263" t="s">
        <v>683</v>
      </c>
      <c r="M263">
        <v>8</v>
      </c>
    </row>
    <row r="264" spans="1:13" x14ac:dyDescent="0.35">
      <c r="A264" t="s">
        <v>2616</v>
      </c>
      <c r="B264" t="s">
        <v>437</v>
      </c>
      <c r="C264" t="s">
        <v>521</v>
      </c>
      <c r="D264" t="s">
        <v>645</v>
      </c>
      <c r="E264" s="1">
        <v>45029</v>
      </c>
      <c r="F264" s="1">
        <v>45034</v>
      </c>
      <c r="G264" s="1">
        <v>45054</v>
      </c>
      <c r="H264" s="4">
        <f>IF(Claims_Cleaned[[#This Row],[processed_date]]="","",Claims_Cleaned[[#This Row],[processed_date]]-Claims_Cleaned[[#This Row],[submission_date]])</f>
        <v>20</v>
      </c>
      <c r="I264" s="4" t="str">
        <f>TEXT(Claims_Cleaned[[#This Row],[claim_date]],"mmm-yyyy")</f>
        <v>Apr-2023</v>
      </c>
      <c r="J264" t="s">
        <v>20</v>
      </c>
      <c r="K264">
        <v>3653.53</v>
      </c>
      <c r="L264" t="s">
        <v>683</v>
      </c>
      <c r="M264">
        <v>20</v>
      </c>
    </row>
    <row r="265" spans="1:13" x14ac:dyDescent="0.35">
      <c r="A265" t="s">
        <v>1009</v>
      </c>
      <c r="B265" t="s">
        <v>238</v>
      </c>
      <c r="C265" t="s">
        <v>581</v>
      </c>
      <c r="D265" t="s">
        <v>645</v>
      </c>
      <c r="E265" s="1">
        <v>45572</v>
      </c>
      <c r="F265" s="1">
        <v>45573</v>
      </c>
      <c r="G265" s="1">
        <v>45594</v>
      </c>
      <c r="H265" s="4">
        <f>IF(Claims_Cleaned[[#This Row],[processed_date]]="","",Claims_Cleaned[[#This Row],[processed_date]]-Claims_Cleaned[[#This Row],[submission_date]])</f>
        <v>21</v>
      </c>
      <c r="I265" s="4" t="str">
        <f>TEXT(Claims_Cleaned[[#This Row],[claim_date]],"mmm-yyyy")</f>
        <v>Oct-2024</v>
      </c>
      <c r="J265" t="s">
        <v>20</v>
      </c>
      <c r="K265">
        <v>3645.7</v>
      </c>
      <c r="L265" t="s">
        <v>683</v>
      </c>
      <c r="M265">
        <v>21</v>
      </c>
    </row>
    <row r="266" spans="1:13" x14ac:dyDescent="0.35">
      <c r="A266" t="s">
        <v>2401</v>
      </c>
      <c r="B266" t="s">
        <v>125</v>
      </c>
      <c r="C266" t="s">
        <v>605</v>
      </c>
      <c r="D266" t="s">
        <v>645</v>
      </c>
      <c r="E266" s="1">
        <v>44965</v>
      </c>
      <c r="F266" s="1">
        <v>44966</v>
      </c>
      <c r="G266" s="1"/>
      <c r="H266" s="4" t="str">
        <f>IF(Claims_Cleaned[[#This Row],[processed_date]]="","",Claims_Cleaned[[#This Row],[processed_date]]-Claims_Cleaned[[#This Row],[submission_date]])</f>
        <v/>
      </c>
      <c r="I266" s="4" t="str">
        <f>TEXT(Claims_Cleaned[[#This Row],[claim_date]],"mmm-yyyy")</f>
        <v>Feb-2023</v>
      </c>
      <c r="J266" t="s">
        <v>11</v>
      </c>
      <c r="K266">
        <v>3632.31</v>
      </c>
      <c r="L266" t="s">
        <v>689</v>
      </c>
    </row>
    <row r="267" spans="1:13" x14ac:dyDescent="0.35">
      <c r="A267" t="s">
        <v>1010</v>
      </c>
      <c r="B267" t="s">
        <v>182</v>
      </c>
      <c r="C267" t="s">
        <v>601</v>
      </c>
      <c r="D267" t="s">
        <v>645</v>
      </c>
      <c r="E267" s="1">
        <v>45137</v>
      </c>
      <c r="F267" s="1">
        <v>45141</v>
      </c>
      <c r="G267" s="1">
        <v>45167</v>
      </c>
      <c r="H267" s="4">
        <f>IF(Claims_Cleaned[[#This Row],[processed_date]]="","",Claims_Cleaned[[#This Row],[processed_date]]-Claims_Cleaned[[#This Row],[submission_date]])</f>
        <v>26</v>
      </c>
      <c r="I267" s="4" t="str">
        <f>TEXT(Claims_Cleaned[[#This Row],[claim_date]],"mmm-yyyy")</f>
        <v>Jul-2023</v>
      </c>
      <c r="J267" t="s">
        <v>11</v>
      </c>
      <c r="K267">
        <v>3632.26</v>
      </c>
      <c r="L267" t="s">
        <v>683</v>
      </c>
      <c r="M267">
        <v>26</v>
      </c>
    </row>
    <row r="268" spans="1:13" x14ac:dyDescent="0.35">
      <c r="A268" t="s">
        <v>1573</v>
      </c>
      <c r="B268" t="s">
        <v>382</v>
      </c>
      <c r="C268" t="s">
        <v>603</v>
      </c>
      <c r="D268" t="s">
        <v>645</v>
      </c>
      <c r="E268" s="1">
        <v>45461</v>
      </c>
      <c r="F268" s="1">
        <v>45462</v>
      </c>
      <c r="G268" s="1">
        <v>45483</v>
      </c>
      <c r="H268" s="4">
        <f>IF(Claims_Cleaned[[#This Row],[processed_date]]="","",Claims_Cleaned[[#This Row],[processed_date]]-Claims_Cleaned[[#This Row],[submission_date]])</f>
        <v>21</v>
      </c>
      <c r="I268" s="4" t="str">
        <f>TEXT(Claims_Cleaned[[#This Row],[claim_date]],"mmm-yyyy")</f>
        <v>Jun-2024</v>
      </c>
      <c r="J268" t="s">
        <v>8</v>
      </c>
      <c r="K268">
        <v>3626.34</v>
      </c>
      <c r="L268" t="s">
        <v>687</v>
      </c>
      <c r="M268">
        <v>21</v>
      </c>
    </row>
    <row r="269" spans="1:13" x14ac:dyDescent="0.35">
      <c r="A269" t="s">
        <v>2457</v>
      </c>
      <c r="B269" t="s">
        <v>291</v>
      </c>
      <c r="C269" t="s">
        <v>563</v>
      </c>
      <c r="D269" t="s">
        <v>645</v>
      </c>
      <c r="E269" s="1">
        <v>45346</v>
      </c>
      <c r="F269" s="1">
        <v>45351</v>
      </c>
      <c r="G269" s="1">
        <v>45368</v>
      </c>
      <c r="H269" s="4">
        <f>IF(Claims_Cleaned[[#This Row],[processed_date]]="","",Claims_Cleaned[[#This Row],[processed_date]]-Claims_Cleaned[[#This Row],[submission_date]])</f>
        <v>17</v>
      </c>
      <c r="I269" s="4" t="str">
        <f>TEXT(Claims_Cleaned[[#This Row],[claim_date]],"mmm-yyyy")</f>
        <v>Feb-2024</v>
      </c>
      <c r="J269" t="s">
        <v>13</v>
      </c>
      <c r="K269">
        <v>3610.65</v>
      </c>
      <c r="L269" t="s">
        <v>683</v>
      </c>
      <c r="M269">
        <v>17</v>
      </c>
    </row>
    <row r="270" spans="1:13" x14ac:dyDescent="0.35">
      <c r="A270" t="s">
        <v>1549</v>
      </c>
      <c r="B270" t="s">
        <v>192</v>
      </c>
      <c r="C270" t="s">
        <v>573</v>
      </c>
      <c r="D270" t="s">
        <v>645</v>
      </c>
      <c r="E270" s="1">
        <v>45039</v>
      </c>
      <c r="F270" s="1">
        <v>45044</v>
      </c>
      <c r="G270" s="1">
        <v>45059</v>
      </c>
      <c r="H270" s="4">
        <f>IF(Claims_Cleaned[[#This Row],[processed_date]]="","",Claims_Cleaned[[#This Row],[processed_date]]-Claims_Cleaned[[#This Row],[submission_date]])</f>
        <v>15</v>
      </c>
      <c r="I270" s="4" t="str">
        <f>TEXT(Claims_Cleaned[[#This Row],[claim_date]],"mmm-yyyy")</f>
        <v>Apr-2023</v>
      </c>
      <c r="J270" t="s">
        <v>11</v>
      </c>
      <c r="K270">
        <v>3602.93</v>
      </c>
      <c r="L270" t="s">
        <v>683</v>
      </c>
      <c r="M270">
        <v>15</v>
      </c>
    </row>
    <row r="271" spans="1:13" x14ac:dyDescent="0.35">
      <c r="A271" t="s">
        <v>2512</v>
      </c>
      <c r="B271" t="s">
        <v>454</v>
      </c>
      <c r="C271" t="s">
        <v>591</v>
      </c>
      <c r="D271" t="s">
        <v>645</v>
      </c>
      <c r="E271" s="1">
        <v>45474</v>
      </c>
      <c r="F271" s="1">
        <v>45478</v>
      </c>
      <c r="G271" s="1">
        <v>45485</v>
      </c>
      <c r="H271" s="4">
        <f>IF(Claims_Cleaned[[#This Row],[processed_date]]="","",Claims_Cleaned[[#This Row],[processed_date]]-Claims_Cleaned[[#This Row],[submission_date]])</f>
        <v>7</v>
      </c>
      <c r="I271" s="4" t="str">
        <f>TEXT(Claims_Cleaned[[#This Row],[claim_date]],"mmm-yyyy")</f>
        <v>Jul-2024</v>
      </c>
      <c r="J271" t="s">
        <v>20</v>
      </c>
      <c r="K271">
        <v>3537.46</v>
      </c>
      <c r="L271" t="s">
        <v>683</v>
      </c>
      <c r="M271">
        <v>7</v>
      </c>
    </row>
    <row r="272" spans="1:13" x14ac:dyDescent="0.35">
      <c r="A272" t="s">
        <v>783</v>
      </c>
      <c r="B272" t="s">
        <v>334</v>
      </c>
      <c r="C272" t="s">
        <v>546</v>
      </c>
      <c r="D272" t="s">
        <v>645</v>
      </c>
      <c r="E272" s="1">
        <v>45507</v>
      </c>
      <c r="F272" s="1">
        <v>45511</v>
      </c>
      <c r="G272" s="1">
        <v>45515</v>
      </c>
      <c r="H272" s="4">
        <f>IF(Claims_Cleaned[[#This Row],[processed_date]]="","",Claims_Cleaned[[#This Row],[processed_date]]-Claims_Cleaned[[#This Row],[submission_date]])</f>
        <v>4</v>
      </c>
      <c r="I272" s="4" t="str">
        <f>TEXT(Claims_Cleaned[[#This Row],[claim_date]],"mmm-yyyy")</f>
        <v>Aug-2024</v>
      </c>
      <c r="J272" t="s">
        <v>11</v>
      </c>
      <c r="K272">
        <v>3521.52</v>
      </c>
      <c r="L272" t="s">
        <v>683</v>
      </c>
      <c r="M272">
        <v>4</v>
      </c>
    </row>
    <row r="273" spans="1:13" x14ac:dyDescent="0.35">
      <c r="A273" t="s">
        <v>1219</v>
      </c>
      <c r="B273" t="s">
        <v>265</v>
      </c>
      <c r="C273" t="s">
        <v>607</v>
      </c>
      <c r="D273" t="s">
        <v>645</v>
      </c>
      <c r="E273" s="1">
        <v>45358</v>
      </c>
      <c r="F273" s="1">
        <v>45363</v>
      </c>
      <c r="G273" s="1">
        <v>45371</v>
      </c>
      <c r="H273" s="4">
        <f>IF(Claims_Cleaned[[#This Row],[processed_date]]="","",Claims_Cleaned[[#This Row],[processed_date]]-Claims_Cleaned[[#This Row],[submission_date]])</f>
        <v>8</v>
      </c>
      <c r="I273" s="4" t="str">
        <f>TEXT(Claims_Cleaned[[#This Row],[claim_date]],"mmm-yyyy")</f>
        <v>Mar-2024</v>
      </c>
      <c r="J273" t="s">
        <v>11</v>
      </c>
      <c r="K273">
        <v>3520.73</v>
      </c>
      <c r="L273" t="s">
        <v>683</v>
      </c>
      <c r="M273">
        <v>8</v>
      </c>
    </row>
    <row r="274" spans="1:13" x14ac:dyDescent="0.35">
      <c r="A274" t="s">
        <v>2099</v>
      </c>
      <c r="B274" t="s">
        <v>151</v>
      </c>
      <c r="C274" t="s">
        <v>559</v>
      </c>
      <c r="D274" t="s">
        <v>645</v>
      </c>
      <c r="E274" s="1">
        <v>45283</v>
      </c>
      <c r="F274" s="1">
        <v>45287</v>
      </c>
      <c r="G274" s="1">
        <v>45290</v>
      </c>
      <c r="H274" s="4">
        <f>IF(Claims_Cleaned[[#This Row],[processed_date]]="","",Claims_Cleaned[[#This Row],[processed_date]]-Claims_Cleaned[[#This Row],[submission_date]])</f>
        <v>3</v>
      </c>
      <c r="I274" s="4" t="str">
        <f>TEXT(Claims_Cleaned[[#This Row],[claim_date]],"mmm-yyyy")</f>
        <v>Dec-2023</v>
      </c>
      <c r="J274" t="s">
        <v>8</v>
      </c>
      <c r="K274">
        <v>3497.24</v>
      </c>
      <c r="L274" t="s">
        <v>683</v>
      </c>
      <c r="M274">
        <v>3</v>
      </c>
    </row>
    <row r="275" spans="1:13" x14ac:dyDescent="0.35">
      <c r="A275" t="s">
        <v>1136</v>
      </c>
      <c r="B275" t="s">
        <v>298</v>
      </c>
      <c r="C275" t="s">
        <v>601</v>
      </c>
      <c r="D275" t="s">
        <v>645</v>
      </c>
      <c r="E275" s="1">
        <v>45524</v>
      </c>
      <c r="F275" s="1">
        <v>45527</v>
      </c>
      <c r="G275" s="1">
        <v>45555</v>
      </c>
      <c r="H275" s="4">
        <f>IF(Claims_Cleaned[[#This Row],[processed_date]]="","",Claims_Cleaned[[#This Row],[processed_date]]-Claims_Cleaned[[#This Row],[submission_date]])</f>
        <v>28</v>
      </c>
      <c r="I275" s="4" t="str">
        <f>TEXT(Claims_Cleaned[[#This Row],[claim_date]],"mmm-yyyy")</f>
        <v>Aug-2024</v>
      </c>
      <c r="J275" t="s">
        <v>11</v>
      </c>
      <c r="K275">
        <v>3489.85</v>
      </c>
      <c r="L275" t="s">
        <v>683</v>
      </c>
      <c r="M275">
        <v>28</v>
      </c>
    </row>
    <row r="276" spans="1:13" x14ac:dyDescent="0.35">
      <c r="A276" t="s">
        <v>1405</v>
      </c>
      <c r="B276" t="s">
        <v>248</v>
      </c>
      <c r="C276" t="s">
        <v>585</v>
      </c>
      <c r="D276" t="s">
        <v>645</v>
      </c>
      <c r="E276" s="1">
        <v>45468</v>
      </c>
      <c r="F276" s="1">
        <v>45472</v>
      </c>
      <c r="G276" s="1">
        <v>45481</v>
      </c>
      <c r="H276" s="4">
        <f>IF(Claims_Cleaned[[#This Row],[processed_date]]="","",Claims_Cleaned[[#This Row],[processed_date]]-Claims_Cleaned[[#This Row],[submission_date]])</f>
        <v>9</v>
      </c>
      <c r="I276" s="4" t="str">
        <f>TEXT(Claims_Cleaned[[#This Row],[claim_date]],"mmm-yyyy")</f>
        <v>Jun-2024</v>
      </c>
      <c r="J276" t="s">
        <v>11</v>
      </c>
      <c r="K276">
        <v>3471.57</v>
      </c>
      <c r="L276" t="s">
        <v>683</v>
      </c>
      <c r="M276">
        <v>9</v>
      </c>
    </row>
    <row r="277" spans="1:13" x14ac:dyDescent="0.35">
      <c r="A277" t="s">
        <v>731</v>
      </c>
      <c r="B277" t="s">
        <v>399</v>
      </c>
      <c r="C277" t="s">
        <v>537</v>
      </c>
      <c r="D277" t="s">
        <v>645</v>
      </c>
      <c r="E277" s="1">
        <v>45137</v>
      </c>
      <c r="F277" s="1">
        <v>45142</v>
      </c>
      <c r="G277" s="1">
        <v>45150</v>
      </c>
      <c r="H277" s="4">
        <f>IF(Claims_Cleaned[[#This Row],[processed_date]]="","",Claims_Cleaned[[#This Row],[processed_date]]-Claims_Cleaned[[#This Row],[submission_date]])</f>
        <v>8</v>
      </c>
      <c r="I277" s="4" t="str">
        <f>TEXT(Claims_Cleaned[[#This Row],[claim_date]],"mmm-yyyy")</f>
        <v>Jul-2023</v>
      </c>
      <c r="J277" t="s">
        <v>13</v>
      </c>
      <c r="K277">
        <v>3463.96</v>
      </c>
      <c r="L277" t="s">
        <v>683</v>
      </c>
      <c r="M277">
        <v>8</v>
      </c>
    </row>
    <row r="278" spans="1:13" x14ac:dyDescent="0.35">
      <c r="A278" t="s">
        <v>2537</v>
      </c>
      <c r="B278" t="s">
        <v>254</v>
      </c>
      <c r="C278" t="s">
        <v>581</v>
      </c>
      <c r="D278" t="s">
        <v>645</v>
      </c>
      <c r="E278" s="1">
        <v>45165</v>
      </c>
      <c r="F278" s="1">
        <v>45168</v>
      </c>
      <c r="G278" s="1">
        <v>45172</v>
      </c>
      <c r="H278" s="4">
        <f>IF(Claims_Cleaned[[#This Row],[processed_date]]="","",Claims_Cleaned[[#This Row],[processed_date]]-Claims_Cleaned[[#This Row],[submission_date]])</f>
        <v>4</v>
      </c>
      <c r="I278" s="4" t="str">
        <f>TEXT(Claims_Cleaned[[#This Row],[claim_date]],"mmm-yyyy")</f>
        <v>Aug-2023</v>
      </c>
      <c r="J278" t="s">
        <v>13</v>
      </c>
      <c r="K278">
        <v>3460.41</v>
      </c>
      <c r="L278" t="s">
        <v>683</v>
      </c>
      <c r="M278">
        <v>4</v>
      </c>
    </row>
    <row r="279" spans="1:13" x14ac:dyDescent="0.35">
      <c r="A279" t="s">
        <v>2078</v>
      </c>
      <c r="B279" t="s">
        <v>304</v>
      </c>
      <c r="C279" t="s">
        <v>549</v>
      </c>
      <c r="D279" t="s">
        <v>645</v>
      </c>
      <c r="E279" s="1">
        <v>44966</v>
      </c>
      <c r="F279" s="1">
        <v>44971</v>
      </c>
      <c r="G279" s="1">
        <v>44992</v>
      </c>
      <c r="H279" s="4">
        <f>IF(Claims_Cleaned[[#This Row],[processed_date]]="","",Claims_Cleaned[[#This Row],[processed_date]]-Claims_Cleaned[[#This Row],[submission_date]])</f>
        <v>21</v>
      </c>
      <c r="I279" s="4" t="str">
        <f>TEXT(Claims_Cleaned[[#This Row],[claim_date]],"mmm-yyyy")</f>
        <v>Feb-2023</v>
      </c>
      <c r="J279" t="s">
        <v>20</v>
      </c>
      <c r="K279">
        <v>3456.09</v>
      </c>
      <c r="L279" t="s">
        <v>687</v>
      </c>
      <c r="M279">
        <v>21</v>
      </c>
    </row>
    <row r="280" spans="1:13" x14ac:dyDescent="0.35">
      <c r="A280" t="s">
        <v>1503</v>
      </c>
      <c r="B280" t="s">
        <v>200</v>
      </c>
      <c r="C280" t="s">
        <v>595</v>
      </c>
      <c r="D280" t="s">
        <v>645</v>
      </c>
      <c r="E280" s="1">
        <v>45425</v>
      </c>
      <c r="F280" s="1">
        <v>45427</v>
      </c>
      <c r="G280" s="1">
        <v>45447</v>
      </c>
      <c r="H280" s="4">
        <f>IF(Claims_Cleaned[[#This Row],[processed_date]]="","",Claims_Cleaned[[#This Row],[processed_date]]-Claims_Cleaned[[#This Row],[submission_date]])</f>
        <v>20</v>
      </c>
      <c r="I280" s="4" t="str">
        <f>TEXT(Claims_Cleaned[[#This Row],[claim_date]],"mmm-yyyy")</f>
        <v>May-2024</v>
      </c>
      <c r="J280" t="s">
        <v>20</v>
      </c>
      <c r="K280">
        <v>3450.9</v>
      </c>
      <c r="L280" t="s">
        <v>687</v>
      </c>
      <c r="M280">
        <v>20</v>
      </c>
    </row>
    <row r="281" spans="1:13" x14ac:dyDescent="0.35">
      <c r="A281" t="s">
        <v>2313</v>
      </c>
      <c r="B281" t="s">
        <v>511</v>
      </c>
      <c r="C281" t="s">
        <v>607</v>
      </c>
      <c r="D281" t="s">
        <v>645</v>
      </c>
      <c r="E281" s="1">
        <v>45562</v>
      </c>
      <c r="F281" s="1">
        <v>45566</v>
      </c>
      <c r="G281" s="1"/>
      <c r="H281" s="4" t="str">
        <f>IF(Claims_Cleaned[[#This Row],[processed_date]]="","",Claims_Cleaned[[#This Row],[processed_date]]-Claims_Cleaned[[#This Row],[submission_date]])</f>
        <v/>
      </c>
      <c r="I281" s="4" t="str">
        <f>TEXT(Claims_Cleaned[[#This Row],[claim_date]],"mmm-yyyy")</f>
        <v>Sep-2024</v>
      </c>
      <c r="J281" t="s">
        <v>11</v>
      </c>
      <c r="K281">
        <v>3446.36</v>
      </c>
      <c r="L281" t="s">
        <v>689</v>
      </c>
    </row>
    <row r="282" spans="1:13" x14ac:dyDescent="0.35">
      <c r="A282" t="s">
        <v>1878</v>
      </c>
      <c r="B282" t="s">
        <v>384</v>
      </c>
      <c r="C282" t="s">
        <v>569</v>
      </c>
      <c r="D282" t="s">
        <v>645</v>
      </c>
      <c r="E282" s="1">
        <v>45028</v>
      </c>
      <c r="F282" s="1">
        <v>45032</v>
      </c>
      <c r="G282" s="1">
        <v>45052</v>
      </c>
      <c r="H282" s="4">
        <f>IF(Claims_Cleaned[[#This Row],[processed_date]]="","",Claims_Cleaned[[#This Row],[processed_date]]-Claims_Cleaned[[#This Row],[submission_date]])</f>
        <v>20</v>
      </c>
      <c r="I282" s="4" t="str">
        <f>TEXT(Claims_Cleaned[[#This Row],[claim_date]],"mmm-yyyy")</f>
        <v>Apr-2023</v>
      </c>
      <c r="J282" t="s">
        <v>13</v>
      </c>
      <c r="K282">
        <v>3445.85</v>
      </c>
      <c r="L282" t="s">
        <v>683</v>
      </c>
      <c r="M282">
        <v>20</v>
      </c>
    </row>
    <row r="283" spans="1:13" x14ac:dyDescent="0.35">
      <c r="A283" t="s">
        <v>1528</v>
      </c>
      <c r="B283" t="s">
        <v>458</v>
      </c>
      <c r="C283" t="s">
        <v>607</v>
      </c>
      <c r="D283" t="s">
        <v>645</v>
      </c>
      <c r="E283" s="1">
        <v>44948</v>
      </c>
      <c r="F283" s="1">
        <v>44952</v>
      </c>
      <c r="G283" s="1">
        <v>44957</v>
      </c>
      <c r="H283" s="4">
        <f>IF(Claims_Cleaned[[#This Row],[processed_date]]="","",Claims_Cleaned[[#This Row],[processed_date]]-Claims_Cleaned[[#This Row],[submission_date]])</f>
        <v>5</v>
      </c>
      <c r="I283" s="4" t="str">
        <f>TEXT(Claims_Cleaned[[#This Row],[claim_date]],"mmm-yyyy")</f>
        <v>Jan-2023</v>
      </c>
      <c r="J283" t="s">
        <v>11</v>
      </c>
      <c r="K283">
        <v>3437.24</v>
      </c>
      <c r="L283" t="s">
        <v>683</v>
      </c>
      <c r="M283">
        <v>5</v>
      </c>
    </row>
    <row r="284" spans="1:13" x14ac:dyDescent="0.35">
      <c r="A284" t="s">
        <v>1462</v>
      </c>
      <c r="B284" t="s">
        <v>193</v>
      </c>
      <c r="C284" t="s">
        <v>591</v>
      </c>
      <c r="D284" t="s">
        <v>645</v>
      </c>
      <c r="E284" s="1">
        <v>45446</v>
      </c>
      <c r="F284" s="1">
        <v>45451</v>
      </c>
      <c r="G284" s="1">
        <v>45463</v>
      </c>
      <c r="H284" s="4">
        <f>IF(Claims_Cleaned[[#This Row],[processed_date]]="","",Claims_Cleaned[[#This Row],[processed_date]]-Claims_Cleaned[[#This Row],[submission_date]])</f>
        <v>12</v>
      </c>
      <c r="I284" s="4" t="str">
        <f>TEXT(Claims_Cleaned[[#This Row],[claim_date]],"mmm-yyyy")</f>
        <v>Jun-2024</v>
      </c>
      <c r="J284" t="s">
        <v>20</v>
      </c>
      <c r="K284">
        <v>3429.82</v>
      </c>
      <c r="L284" t="s">
        <v>683</v>
      </c>
      <c r="M284">
        <v>12</v>
      </c>
    </row>
    <row r="285" spans="1:13" x14ac:dyDescent="0.35">
      <c r="A285" t="s">
        <v>1301</v>
      </c>
      <c r="B285" t="s">
        <v>422</v>
      </c>
      <c r="C285" t="s">
        <v>583</v>
      </c>
      <c r="D285" t="s">
        <v>645</v>
      </c>
      <c r="E285" s="1">
        <v>45303</v>
      </c>
      <c r="F285" s="1">
        <v>45305</v>
      </c>
      <c r="G285" s="1">
        <v>45310</v>
      </c>
      <c r="H285" s="4">
        <f>IF(Claims_Cleaned[[#This Row],[processed_date]]="","",Claims_Cleaned[[#This Row],[processed_date]]-Claims_Cleaned[[#This Row],[submission_date]])</f>
        <v>5</v>
      </c>
      <c r="I285" s="4" t="str">
        <f>TEXT(Claims_Cleaned[[#This Row],[claim_date]],"mmm-yyyy")</f>
        <v>Jan-2024</v>
      </c>
      <c r="J285" t="s">
        <v>11</v>
      </c>
      <c r="K285">
        <v>3395.57</v>
      </c>
      <c r="L285" t="s">
        <v>683</v>
      </c>
      <c r="M285">
        <v>5</v>
      </c>
    </row>
    <row r="286" spans="1:13" x14ac:dyDescent="0.35">
      <c r="A286" t="s">
        <v>1337</v>
      </c>
      <c r="B286" t="s">
        <v>513</v>
      </c>
      <c r="C286" t="s">
        <v>583</v>
      </c>
      <c r="D286" t="s">
        <v>645</v>
      </c>
      <c r="E286" s="1">
        <v>45301</v>
      </c>
      <c r="F286" s="1">
        <v>45306</v>
      </c>
      <c r="G286" s="1">
        <v>45336</v>
      </c>
      <c r="H286" s="4">
        <f>IF(Claims_Cleaned[[#This Row],[processed_date]]="","",Claims_Cleaned[[#This Row],[processed_date]]-Claims_Cleaned[[#This Row],[submission_date]])</f>
        <v>30</v>
      </c>
      <c r="I286" s="4" t="str">
        <f>TEXT(Claims_Cleaned[[#This Row],[claim_date]],"mmm-yyyy")</f>
        <v>Jan-2024</v>
      </c>
      <c r="J286" t="s">
        <v>20</v>
      </c>
      <c r="K286">
        <v>3387.3</v>
      </c>
      <c r="L286" t="s">
        <v>683</v>
      </c>
      <c r="M286">
        <v>30</v>
      </c>
    </row>
    <row r="287" spans="1:13" x14ac:dyDescent="0.35">
      <c r="A287" t="s">
        <v>903</v>
      </c>
      <c r="B287" t="s">
        <v>372</v>
      </c>
      <c r="C287" t="s">
        <v>603</v>
      </c>
      <c r="D287" t="s">
        <v>645</v>
      </c>
      <c r="E287" s="1">
        <v>45537</v>
      </c>
      <c r="F287" s="1">
        <v>45542</v>
      </c>
      <c r="G287" s="1"/>
      <c r="H287" s="4" t="str">
        <f>IF(Claims_Cleaned[[#This Row],[processed_date]]="","",Claims_Cleaned[[#This Row],[processed_date]]-Claims_Cleaned[[#This Row],[submission_date]])</f>
        <v/>
      </c>
      <c r="I287" s="4" t="str">
        <f>TEXT(Claims_Cleaned[[#This Row],[claim_date]],"mmm-yyyy")</f>
        <v>Sep-2024</v>
      </c>
      <c r="J287" t="s">
        <v>13</v>
      </c>
      <c r="K287">
        <v>3386.97</v>
      </c>
      <c r="L287" t="s">
        <v>689</v>
      </c>
    </row>
    <row r="288" spans="1:13" x14ac:dyDescent="0.35">
      <c r="A288" t="s">
        <v>1268</v>
      </c>
      <c r="B288" t="s">
        <v>438</v>
      </c>
      <c r="C288" t="s">
        <v>540</v>
      </c>
      <c r="D288" t="s">
        <v>645</v>
      </c>
      <c r="E288" s="1">
        <v>45379</v>
      </c>
      <c r="F288" s="1">
        <v>45380</v>
      </c>
      <c r="G288" s="1">
        <v>45384</v>
      </c>
      <c r="H288" s="4">
        <f>IF(Claims_Cleaned[[#This Row],[processed_date]]="","",Claims_Cleaned[[#This Row],[processed_date]]-Claims_Cleaned[[#This Row],[submission_date]])</f>
        <v>4</v>
      </c>
      <c r="I288" s="4" t="str">
        <f>TEXT(Claims_Cleaned[[#This Row],[claim_date]],"mmm-yyyy")</f>
        <v>Mar-2024</v>
      </c>
      <c r="J288" t="s">
        <v>11</v>
      </c>
      <c r="K288">
        <v>3351.54</v>
      </c>
      <c r="L288" t="s">
        <v>683</v>
      </c>
      <c r="M288">
        <v>4</v>
      </c>
    </row>
    <row r="289" spans="1:13" x14ac:dyDescent="0.35">
      <c r="A289" t="s">
        <v>2090</v>
      </c>
      <c r="B289" t="s">
        <v>340</v>
      </c>
      <c r="C289" t="s">
        <v>531</v>
      </c>
      <c r="D289" t="s">
        <v>645</v>
      </c>
      <c r="E289" s="1">
        <v>45205</v>
      </c>
      <c r="F289" s="1">
        <v>45207</v>
      </c>
      <c r="G289" s="1">
        <v>45228</v>
      </c>
      <c r="H289" s="4">
        <f>IF(Claims_Cleaned[[#This Row],[processed_date]]="","",Claims_Cleaned[[#This Row],[processed_date]]-Claims_Cleaned[[#This Row],[submission_date]])</f>
        <v>21</v>
      </c>
      <c r="I289" s="4" t="str">
        <f>TEXT(Claims_Cleaned[[#This Row],[claim_date]],"mmm-yyyy")</f>
        <v>Oct-2023</v>
      </c>
      <c r="J289" t="s">
        <v>11</v>
      </c>
      <c r="K289">
        <v>3347.35</v>
      </c>
      <c r="L289" t="s">
        <v>683</v>
      </c>
      <c r="M289">
        <v>21</v>
      </c>
    </row>
    <row r="290" spans="1:13" x14ac:dyDescent="0.35">
      <c r="A290" t="s">
        <v>974</v>
      </c>
      <c r="B290" t="s">
        <v>361</v>
      </c>
      <c r="C290" t="s">
        <v>524</v>
      </c>
      <c r="D290" t="s">
        <v>645</v>
      </c>
      <c r="E290" s="1">
        <v>45539</v>
      </c>
      <c r="F290" s="1">
        <v>45541</v>
      </c>
      <c r="G290" s="1">
        <v>45564</v>
      </c>
      <c r="H290" s="4">
        <f>IF(Claims_Cleaned[[#This Row],[processed_date]]="","",Claims_Cleaned[[#This Row],[processed_date]]-Claims_Cleaned[[#This Row],[submission_date]])</f>
        <v>23</v>
      </c>
      <c r="I290" s="4" t="str">
        <f>TEXT(Claims_Cleaned[[#This Row],[claim_date]],"mmm-yyyy")</f>
        <v>Sep-2024</v>
      </c>
      <c r="J290" t="s">
        <v>20</v>
      </c>
      <c r="K290">
        <v>3308.98</v>
      </c>
      <c r="L290" t="s">
        <v>687</v>
      </c>
      <c r="M290">
        <v>23</v>
      </c>
    </row>
    <row r="291" spans="1:13" x14ac:dyDescent="0.35">
      <c r="A291" t="s">
        <v>2626</v>
      </c>
      <c r="B291" t="s">
        <v>46</v>
      </c>
      <c r="C291" t="s">
        <v>549</v>
      </c>
      <c r="D291" t="s">
        <v>645</v>
      </c>
      <c r="E291" s="1">
        <v>45555</v>
      </c>
      <c r="F291" s="1">
        <v>45559</v>
      </c>
      <c r="G291" s="1">
        <v>45582</v>
      </c>
      <c r="H291" s="4">
        <f>IF(Claims_Cleaned[[#This Row],[processed_date]]="","",Claims_Cleaned[[#This Row],[processed_date]]-Claims_Cleaned[[#This Row],[submission_date]])</f>
        <v>23</v>
      </c>
      <c r="I291" s="4" t="str">
        <f>TEXT(Claims_Cleaned[[#This Row],[claim_date]],"mmm-yyyy")</f>
        <v>Sep-2024</v>
      </c>
      <c r="J291" t="s">
        <v>11</v>
      </c>
      <c r="K291">
        <v>3304.52</v>
      </c>
      <c r="L291" t="s">
        <v>683</v>
      </c>
      <c r="M291">
        <v>23</v>
      </c>
    </row>
    <row r="292" spans="1:13" x14ac:dyDescent="0.35">
      <c r="A292" t="s">
        <v>1054</v>
      </c>
      <c r="B292" t="s">
        <v>171</v>
      </c>
      <c r="C292" t="s">
        <v>591</v>
      </c>
      <c r="D292" t="s">
        <v>645</v>
      </c>
      <c r="E292" s="1">
        <v>44927</v>
      </c>
      <c r="F292" s="1">
        <v>44929</v>
      </c>
      <c r="G292" s="1">
        <v>44949</v>
      </c>
      <c r="H292" s="4">
        <f>IF(Claims_Cleaned[[#This Row],[processed_date]]="","",Claims_Cleaned[[#This Row],[processed_date]]-Claims_Cleaned[[#This Row],[submission_date]])</f>
        <v>20</v>
      </c>
      <c r="I292" s="4" t="str">
        <f>TEXT(Claims_Cleaned[[#This Row],[claim_date]],"mmm-yyyy")</f>
        <v>Jan-2023</v>
      </c>
      <c r="J292" t="s">
        <v>8</v>
      </c>
      <c r="K292">
        <v>3297.2</v>
      </c>
      <c r="L292" t="s">
        <v>683</v>
      </c>
      <c r="M292">
        <v>20</v>
      </c>
    </row>
    <row r="293" spans="1:13" x14ac:dyDescent="0.35">
      <c r="A293" t="s">
        <v>1065</v>
      </c>
      <c r="B293" t="s">
        <v>481</v>
      </c>
      <c r="C293" t="s">
        <v>601</v>
      </c>
      <c r="D293" t="s">
        <v>645</v>
      </c>
      <c r="E293" s="1">
        <v>45555</v>
      </c>
      <c r="F293" s="1">
        <v>45557</v>
      </c>
      <c r="G293" s="1">
        <v>45586</v>
      </c>
      <c r="H293" s="4">
        <f>IF(Claims_Cleaned[[#This Row],[processed_date]]="","",Claims_Cleaned[[#This Row],[processed_date]]-Claims_Cleaned[[#This Row],[submission_date]])</f>
        <v>29</v>
      </c>
      <c r="I293" s="4" t="str">
        <f>TEXT(Claims_Cleaned[[#This Row],[claim_date]],"mmm-yyyy")</f>
        <v>Sep-2024</v>
      </c>
      <c r="J293" t="s">
        <v>8</v>
      </c>
      <c r="K293">
        <v>3294.01</v>
      </c>
      <c r="L293" t="s">
        <v>683</v>
      </c>
      <c r="M293">
        <v>29</v>
      </c>
    </row>
    <row r="294" spans="1:13" x14ac:dyDescent="0.35">
      <c r="A294" t="s">
        <v>1504</v>
      </c>
      <c r="B294" t="s">
        <v>92</v>
      </c>
      <c r="C294" t="s">
        <v>569</v>
      </c>
      <c r="D294" t="s">
        <v>645</v>
      </c>
      <c r="E294" s="1">
        <v>45391</v>
      </c>
      <c r="F294" s="1">
        <v>45392</v>
      </c>
      <c r="G294" s="1">
        <v>45400</v>
      </c>
      <c r="H294" s="4">
        <f>IF(Claims_Cleaned[[#This Row],[processed_date]]="","",Claims_Cleaned[[#This Row],[processed_date]]-Claims_Cleaned[[#This Row],[submission_date]])</f>
        <v>8</v>
      </c>
      <c r="I294" s="4" t="str">
        <f>TEXT(Claims_Cleaned[[#This Row],[claim_date]],"mmm-yyyy")</f>
        <v>Apr-2024</v>
      </c>
      <c r="J294" t="s">
        <v>25</v>
      </c>
      <c r="K294">
        <v>3283.87</v>
      </c>
      <c r="L294" t="s">
        <v>687</v>
      </c>
      <c r="M294">
        <v>8</v>
      </c>
    </row>
    <row r="295" spans="1:13" x14ac:dyDescent="0.35">
      <c r="A295" t="s">
        <v>1742</v>
      </c>
      <c r="B295" t="s">
        <v>35</v>
      </c>
      <c r="C295" t="s">
        <v>559</v>
      </c>
      <c r="D295" t="s">
        <v>645</v>
      </c>
      <c r="E295" s="1">
        <v>45189</v>
      </c>
      <c r="F295" s="1">
        <v>45192</v>
      </c>
      <c r="G295" s="1">
        <v>45203</v>
      </c>
      <c r="H295" s="4">
        <f>IF(Claims_Cleaned[[#This Row],[processed_date]]="","",Claims_Cleaned[[#This Row],[processed_date]]-Claims_Cleaned[[#This Row],[submission_date]])</f>
        <v>11</v>
      </c>
      <c r="I295" s="4" t="str">
        <f>TEXT(Claims_Cleaned[[#This Row],[claim_date]],"mmm-yyyy")</f>
        <v>Sep-2023</v>
      </c>
      <c r="J295" t="s">
        <v>11</v>
      </c>
      <c r="K295">
        <v>3282.25</v>
      </c>
      <c r="L295" t="s">
        <v>683</v>
      </c>
      <c r="M295">
        <v>11</v>
      </c>
    </row>
    <row r="296" spans="1:13" x14ac:dyDescent="0.35">
      <c r="A296" t="s">
        <v>2218</v>
      </c>
      <c r="B296" t="s">
        <v>92</v>
      </c>
      <c r="C296" t="s">
        <v>607</v>
      </c>
      <c r="D296" t="s">
        <v>645</v>
      </c>
      <c r="E296" s="1">
        <v>45585</v>
      </c>
      <c r="F296" s="1">
        <v>45589</v>
      </c>
      <c r="G296" s="1">
        <v>45619</v>
      </c>
      <c r="H296" s="4">
        <f>IF(Claims_Cleaned[[#This Row],[processed_date]]="","",Claims_Cleaned[[#This Row],[processed_date]]-Claims_Cleaned[[#This Row],[submission_date]])</f>
        <v>30</v>
      </c>
      <c r="I296" s="4" t="str">
        <f>TEXT(Claims_Cleaned[[#This Row],[claim_date]],"mmm-yyyy")</f>
        <v>Oct-2024</v>
      </c>
      <c r="J296" t="s">
        <v>25</v>
      </c>
      <c r="K296">
        <v>3277.2</v>
      </c>
      <c r="L296" t="s">
        <v>687</v>
      </c>
      <c r="M296">
        <v>30</v>
      </c>
    </row>
    <row r="297" spans="1:13" x14ac:dyDescent="0.35">
      <c r="A297" t="s">
        <v>2209</v>
      </c>
      <c r="B297" t="s">
        <v>352</v>
      </c>
      <c r="C297" t="s">
        <v>569</v>
      </c>
      <c r="D297" t="s">
        <v>645</v>
      </c>
      <c r="E297" s="1">
        <v>45265</v>
      </c>
      <c r="F297" s="1">
        <v>45266</v>
      </c>
      <c r="G297" s="1">
        <v>45284</v>
      </c>
      <c r="H297" s="4">
        <f>IF(Claims_Cleaned[[#This Row],[processed_date]]="","",Claims_Cleaned[[#This Row],[processed_date]]-Claims_Cleaned[[#This Row],[submission_date]])</f>
        <v>18</v>
      </c>
      <c r="I297" s="4" t="str">
        <f>TEXT(Claims_Cleaned[[#This Row],[claim_date]],"mmm-yyyy")</f>
        <v>Dec-2023</v>
      </c>
      <c r="J297" t="s">
        <v>20</v>
      </c>
      <c r="K297">
        <v>3260.04</v>
      </c>
      <c r="L297" t="s">
        <v>683</v>
      </c>
      <c r="M297">
        <v>18</v>
      </c>
    </row>
    <row r="298" spans="1:13" x14ac:dyDescent="0.35">
      <c r="A298" t="s">
        <v>1436</v>
      </c>
      <c r="B298" t="s">
        <v>155</v>
      </c>
      <c r="C298" t="s">
        <v>549</v>
      </c>
      <c r="D298" t="s">
        <v>645</v>
      </c>
      <c r="E298" s="1">
        <v>45342</v>
      </c>
      <c r="F298" s="1">
        <v>45345</v>
      </c>
      <c r="G298" s="1">
        <v>45375</v>
      </c>
      <c r="H298" s="4">
        <f>IF(Claims_Cleaned[[#This Row],[processed_date]]="","",Claims_Cleaned[[#This Row],[processed_date]]-Claims_Cleaned[[#This Row],[submission_date]])</f>
        <v>30</v>
      </c>
      <c r="I298" s="4" t="str">
        <f>TEXT(Claims_Cleaned[[#This Row],[claim_date]],"mmm-yyyy")</f>
        <v>Feb-2024</v>
      </c>
      <c r="J298" t="s">
        <v>20</v>
      </c>
      <c r="K298">
        <v>3187.94</v>
      </c>
      <c r="L298" t="s">
        <v>683</v>
      </c>
      <c r="M298">
        <v>30</v>
      </c>
    </row>
    <row r="299" spans="1:13" x14ac:dyDescent="0.35">
      <c r="A299" t="s">
        <v>2002</v>
      </c>
      <c r="B299" t="s">
        <v>308</v>
      </c>
      <c r="C299" t="s">
        <v>567</v>
      </c>
      <c r="D299" t="s">
        <v>645</v>
      </c>
      <c r="E299" s="1">
        <v>45055</v>
      </c>
      <c r="F299" s="1">
        <v>45058</v>
      </c>
      <c r="G299" s="1">
        <v>45064</v>
      </c>
      <c r="H299" s="4">
        <f>IF(Claims_Cleaned[[#This Row],[processed_date]]="","",Claims_Cleaned[[#This Row],[processed_date]]-Claims_Cleaned[[#This Row],[submission_date]])</f>
        <v>6</v>
      </c>
      <c r="I299" s="4" t="str">
        <f>TEXT(Claims_Cleaned[[#This Row],[claim_date]],"mmm-yyyy")</f>
        <v>May-2023</v>
      </c>
      <c r="J299" t="s">
        <v>25</v>
      </c>
      <c r="K299">
        <v>3172.09</v>
      </c>
      <c r="L299" t="s">
        <v>687</v>
      </c>
      <c r="M299">
        <v>6</v>
      </c>
    </row>
    <row r="300" spans="1:13" x14ac:dyDescent="0.35">
      <c r="A300" t="s">
        <v>1320</v>
      </c>
      <c r="B300" t="s">
        <v>424</v>
      </c>
      <c r="C300" t="s">
        <v>589</v>
      </c>
      <c r="D300" t="s">
        <v>645</v>
      </c>
      <c r="E300" s="1">
        <v>45283</v>
      </c>
      <c r="F300" s="1">
        <v>45285</v>
      </c>
      <c r="G300" s="1">
        <v>45312</v>
      </c>
      <c r="H300" s="4">
        <f>IF(Claims_Cleaned[[#This Row],[processed_date]]="","",Claims_Cleaned[[#This Row],[processed_date]]-Claims_Cleaned[[#This Row],[submission_date]])</f>
        <v>27</v>
      </c>
      <c r="I300" s="4" t="str">
        <f>TEXT(Claims_Cleaned[[#This Row],[claim_date]],"mmm-yyyy")</f>
        <v>Dec-2023</v>
      </c>
      <c r="J300" t="s">
        <v>11</v>
      </c>
      <c r="K300">
        <v>3166.71</v>
      </c>
      <c r="L300" t="s">
        <v>683</v>
      </c>
      <c r="M300">
        <v>27</v>
      </c>
    </row>
    <row r="301" spans="1:13" x14ac:dyDescent="0.35">
      <c r="A301" t="s">
        <v>1723</v>
      </c>
      <c r="B301" t="s">
        <v>490</v>
      </c>
      <c r="C301" t="s">
        <v>611</v>
      </c>
      <c r="D301" t="s">
        <v>645</v>
      </c>
      <c r="E301" s="1">
        <v>45584</v>
      </c>
      <c r="F301" s="1">
        <v>45585</v>
      </c>
      <c r="G301" s="1">
        <v>45611</v>
      </c>
      <c r="H301" s="4">
        <f>IF(Claims_Cleaned[[#This Row],[processed_date]]="","",Claims_Cleaned[[#This Row],[processed_date]]-Claims_Cleaned[[#This Row],[submission_date]])</f>
        <v>26</v>
      </c>
      <c r="I301" s="4" t="str">
        <f>TEXT(Claims_Cleaned[[#This Row],[claim_date]],"mmm-yyyy")</f>
        <v>Oct-2024</v>
      </c>
      <c r="J301" t="s">
        <v>11</v>
      </c>
      <c r="K301">
        <v>3163.07</v>
      </c>
      <c r="L301" t="s">
        <v>683</v>
      </c>
      <c r="M301">
        <v>26</v>
      </c>
    </row>
    <row r="302" spans="1:13" x14ac:dyDescent="0.35">
      <c r="A302" t="s">
        <v>2423</v>
      </c>
      <c r="B302" t="s">
        <v>59</v>
      </c>
      <c r="C302" t="s">
        <v>605</v>
      </c>
      <c r="D302" t="s">
        <v>645</v>
      </c>
      <c r="E302" s="1">
        <v>45576</v>
      </c>
      <c r="F302" s="1">
        <v>45579</v>
      </c>
      <c r="G302" s="1">
        <v>45599</v>
      </c>
      <c r="H302" s="4">
        <f>IF(Claims_Cleaned[[#This Row],[processed_date]]="","",Claims_Cleaned[[#This Row],[processed_date]]-Claims_Cleaned[[#This Row],[submission_date]])</f>
        <v>20</v>
      </c>
      <c r="I302" s="4" t="str">
        <f>TEXT(Claims_Cleaned[[#This Row],[claim_date]],"mmm-yyyy")</f>
        <v>Oct-2024</v>
      </c>
      <c r="J302" t="s">
        <v>25</v>
      </c>
      <c r="K302">
        <v>3156.52</v>
      </c>
      <c r="L302" t="s">
        <v>683</v>
      </c>
      <c r="M302">
        <v>20</v>
      </c>
    </row>
    <row r="303" spans="1:13" x14ac:dyDescent="0.35">
      <c r="A303" t="s">
        <v>1203</v>
      </c>
      <c r="B303" t="s">
        <v>56</v>
      </c>
      <c r="C303" t="s">
        <v>540</v>
      </c>
      <c r="D303" t="s">
        <v>645</v>
      </c>
      <c r="E303" s="1">
        <v>45648</v>
      </c>
      <c r="F303" s="1">
        <v>45650</v>
      </c>
      <c r="G303" s="1">
        <v>45676</v>
      </c>
      <c r="H303" s="4">
        <f>IF(Claims_Cleaned[[#This Row],[processed_date]]="","",Claims_Cleaned[[#This Row],[processed_date]]-Claims_Cleaned[[#This Row],[submission_date]])</f>
        <v>26</v>
      </c>
      <c r="I303" s="4" t="str">
        <f>TEXT(Claims_Cleaned[[#This Row],[claim_date]],"mmm-yyyy")</f>
        <v>Dec-2024</v>
      </c>
      <c r="J303" t="s">
        <v>11</v>
      </c>
      <c r="K303">
        <v>3150.97</v>
      </c>
      <c r="L303" t="s">
        <v>683</v>
      </c>
      <c r="M303">
        <v>26</v>
      </c>
    </row>
    <row r="304" spans="1:13" x14ac:dyDescent="0.35">
      <c r="A304" t="s">
        <v>2400</v>
      </c>
      <c r="B304" t="s">
        <v>228</v>
      </c>
      <c r="C304" t="s">
        <v>597</v>
      </c>
      <c r="D304" t="s">
        <v>643</v>
      </c>
      <c r="E304" s="1">
        <v>45606</v>
      </c>
      <c r="F304" s="1">
        <v>45609</v>
      </c>
      <c r="G304" s="1">
        <v>45634</v>
      </c>
      <c r="H304" s="4">
        <f>IF(Claims_Cleaned[[#This Row],[processed_date]]="","",Claims_Cleaned[[#This Row],[processed_date]]-Claims_Cleaned[[#This Row],[submission_date]])</f>
        <v>25</v>
      </c>
      <c r="I304" s="4" t="str">
        <f>TEXT(Claims_Cleaned[[#This Row],[claim_date]],"mmm-yyyy")</f>
        <v>Nov-2024</v>
      </c>
      <c r="J304" t="s">
        <v>25</v>
      </c>
      <c r="K304">
        <v>2734.64</v>
      </c>
      <c r="L304" t="s">
        <v>687</v>
      </c>
      <c r="M304">
        <v>25</v>
      </c>
    </row>
    <row r="305" spans="1:13" x14ac:dyDescent="0.35">
      <c r="A305" t="s">
        <v>2596</v>
      </c>
      <c r="B305" t="s">
        <v>483</v>
      </c>
      <c r="C305" t="s">
        <v>534</v>
      </c>
      <c r="D305" t="s">
        <v>643</v>
      </c>
      <c r="E305" s="1">
        <v>45425</v>
      </c>
      <c r="F305" s="1">
        <v>45426</v>
      </c>
      <c r="G305" s="1">
        <v>45434</v>
      </c>
      <c r="H305" s="4">
        <f>IF(Claims_Cleaned[[#This Row],[processed_date]]="","",Claims_Cleaned[[#This Row],[processed_date]]-Claims_Cleaned[[#This Row],[submission_date]])</f>
        <v>8</v>
      </c>
      <c r="I305" s="4" t="str">
        <f>TEXT(Claims_Cleaned[[#This Row],[claim_date]],"mmm-yyyy")</f>
        <v>May-2024</v>
      </c>
      <c r="J305" t="s">
        <v>11</v>
      </c>
      <c r="K305">
        <v>2720.56</v>
      </c>
      <c r="L305" t="s">
        <v>683</v>
      </c>
      <c r="M305">
        <v>8</v>
      </c>
    </row>
    <row r="306" spans="1:13" x14ac:dyDescent="0.35">
      <c r="A306" t="s">
        <v>1863</v>
      </c>
      <c r="B306" t="s">
        <v>404</v>
      </c>
      <c r="C306" t="s">
        <v>573</v>
      </c>
      <c r="D306" t="s">
        <v>643</v>
      </c>
      <c r="E306" s="1">
        <v>45320</v>
      </c>
      <c r="F306" s="1">
        <v>45322</v>
      </c>
      <c r="G306" s="1">
        <v>45332</v>
      </c>
      <c r="H306" s="4">
        <f>IF(Claims_Cleaned[[#This Row],[processed_date]]="","",Claims_Cleaned[[#This Row],[processed_date]]-Claims_Cleaned[[#This Row],[submission_date]])</f>
        <v>10</v>
      </c>
      <c r="I306" s="4" t="str">
        <f>TEXT(Claims_Cleaned[[#This Row],[claim_date]],"mmm-yyyy")</f>
        <v>Jan-2024</v>
      </c>
      <c r="J306" t="s">
        <v>8</v>
      </c>
      <c r="K306">
        <v>2718.61</v>
      </c>
      <c r="L306" t="s">
        <v>683</v>
      </c>
      <c r="M306">
        <v>10</v>
      </c>
    </row>
    <row r="307" spans="1:13" x14ac:dyDescent="0.35">
      <c r="A307" t="s">
        <v>976</v>
      </c>
      <c r="B307" t="s">
        <v>198</v>
      </c>
      <c r="C307" t="s">
        <v>609</v>
      </c>
      <c r="D307" t="s">
        <v>643</v>
      </c>
      <c r="E307" s="1">
        <v>45292</v>
      </c>
      <c r="F307" s="1">
        <v>45294</v>
      </c>
      <c r="G307" s="1">
        <v>45300</v>
      </c>
      <c r="H307" s="4">
        <f>IF(Claims_Cleaned[[#This Row],[processed_date]]="","",Claims_Cleaned[[#This Row],[processed_date]]-Claims_Cleaned[[#This Row],[submission_date]])</f>
        <v>6</v>
      </c>
      <c r="I307" s="4" t="str">
        <f>TEXT(Claims_Cleaned[[#This Row],[claim_date]],"mmm-yyyy")</f>
        <v>Jan-2024</v>
      </c>
      <c r="J307" t="s">
        <v>11</v>
      </c>
      <c r="K307">
        <v>2708.71</v>
      </c>
      <c r="L307" t="s">
        <v>683</v>
      </c>
      <c r="M307">
        <v>6</v>
      </c>
    </row>
    <row r="308" spans="1:13" x14ac:dyDescent="0.35">
      <c r="A308" t="s">
        <v>691</v>
      </c>
      <c r="B308" t="s">
        <v>363</v>
      </c>
      <c r="C308" t="s">
        <v>597</v>
      </c>
      <c r="D308" t="s">
        <v>643</v>
      </c>
      <c r="E308" s="1">
        <v>45513</v>
      </c>
      <c r="F308" s="1">
        <v>45516</v>
      </c>
      <c r="G308" s="1">
        <v>45540</v>
      </c>
      <c r="H308" s="4">
        <f>IF(Claims_Cleaned[[#This Row],[processed_date]]="","",Claims_Cleaned[[#This Row],[processed_date]]-Claims_Cleaned[[#This Row],[submission_date]])</f>
        <v>24</v>
      </c>
      <c r="I308" s="4" t="str">
        <f>TEXT(Claims_Cleaned[[#This Row],[claim_date]],"mmm-yyyy")</f>
        <v>Aug-2024</v>
      </c>
      <c r="J308" t="s">
        <v>11</v>
      </c>
      <c r="K308">
        <v>2708.48</v>
      </c>
      <c r="L308" t="s">
        <v>683</v>
      </c>
      <c r="M308">
        <v>24</v>
      </c>
    </row>
    <row r="309" spans="1:13" x14ac:dyDescent="0.35">
      <c r="A309" t="s">
        <v>1021</v>
      </c>
      <c r="B309" t="s">
        <v>246</v>
      </c>
      <c r="C309" t="s">
        <v>543</v>
      </c>
      <c r="D309" t="s">
        <v>643</v>
      </c>
      <c r="E309" s="1">
        <v>45514</v>
      </c>
      <c r="F309" s="1">
        <v>45518</v>
      </c>
      <c r="G309" s="1">
        <v>45540</v>
      </c>
      <c r="H309" s="4">
        <f>IF(Claims_Cleaned[[#This Row],[processed_date]]="","",Claims_Cleaned[[#This Row],[processed_date]]-Claims_Cleaned[[#This Row],[submission_date]])</f>
        <v>22</v>
      </c>
      <c r="I309" s="4" t="str">
        <f>TEXT(Claims_Cleaned[[#This Row],[claim_date]],"mmm-yyyy")</f>
        <v>Aug-2024</v>
      </c>
      <c r="J309" t="s">
        <v>11</v>
      </c>
      <c r="K309">
        <v>2708.17</v>
      </c>
      <c r="L309" t="s">
        <v>683</v>
      </c>
      <c r="M309">
        <v>22</v>
      </c>
    </row>
    <row r="310" spans="1:13" x14ac:dyDescent="0.35">
      <c r="A310" t="s">
        <v>1872</v>
      </c>
      <c r="B310" t="s">
        <v>470</v>
      </c>
      <c r="C310" t="s">
        <v>546</v>
      </c>
      <c r="D310" t="s">
        <v>643</v>
      </c>
      <c r="E310" s="1">
        <v>44994</v>
      </c>
      <c r="F310" s="1">
        <v>44995</v>
      </c>
      <c r="G310" s="1">
        <v>45005</v>
      </c>
      <c r="H310" s="4">
        <f>IF(Claims_Cleaned[[#This Row],[processed_date]]="","",Claims_Cleaned[[#This Row],[processed_date]]-Claims_Cleaned[[#This Row],[submission_date]])</f>
        <v>10</v>
      </c>
      <c r="I310" s="4" t="str">
        <f>TEXT(Claims_Cleaned[[#This Row],[claim_date]],"mmm-yyyy")</f>
        <v>Mar-2023</v>
      </c>
      <c r="J310" t="s">
        <v>11</v>
      </c>
      <c r="K310">
        <v>2697.28</v>
      </c>
      <c r="L310" t="s">
        <v>683</v>
      </c>
      <c r="M310">
        <v>10</v>
      </c>
    </row>
    <row r="311" spans="1:13" x14ac:dyDescent="0.35">
      <c r="A311" t="s">
        <v>2531</v>
      </c>
      <c r="B311" t="s">
        <v>51</v>
      </c>
      <c r="C311" t="s">
        <v>524</v>
      </c>
      <c r="D311" t="s">
        <v>643</v>
      </c>
      <c r="E311" s="1">
        <v>45002</v>
      </c>
      <c r="F311" s="1">
        <v>45005</v>
      </c>
      <c r="G311" s="1"/>
      <c r="H311" s="4" t="str">
        <f>IF(Claims_Cleaned[[#This Row],[processed_date]]="","",Claims_Cleaned[[#This Row],[processed_date]]-Claims_Cleaned[[#This Row],[submission_date]])</f>
        <v/>
      </c>
      <c r="I311" s="4" t="str">
        <f>TEXT(Claims_Cleaned[[#This Row],[claim_date]],"mmm-yyyy")</f>
        <v>Mar-2023</v>
      </c>
      <c r="J311" t="s">
        <v>13</v>
      </c>
      <c r="K311">
        <v>2690.32</v>
      </c>
      <c r="L311" t="s">
        <v>689</v>
      </c>
    </row>
    <row r="312" spans="1:13" x14ac:dyDescent="0.35">
      <c r="A312" t="s">
        <v>1195</v>
      </c>
      <c r="B312" t="s">
        <v>287</v>
      </c>
      <c r="C312" t="s">
        <v>567</v>
      </c>
      <c r="D312" t="s">
        <v>643</v>
      </c>
      <c r="E312" s="1">
        <v>45088</v>
      </c>
      <c r="F312" s="1">
        <v>45092</v>
      </c>
      <c r="G312" s="1">
        <v>45107</v>
      </c>
      <c r="H312" s="4">
        <f>IF(Claims_Cleaned[[#This Row],[processed_date]]="","",Claims_Cleaned[[#This Row],[processed_date]]-Claims_Cleaned[[#This Row],[submission_date]])</f>
        <v>15</v>
      </c>
      <c r="I312" s="4" t="str">
        <f>TEXT(Claims_Cleaned[[#This Row],[claim_date]],"mmm-yyyy")</f>
        <v>Jun-2023</v>
      </c>
      <c r="J312" t="s">
        <v>20</v>
      </c>
      <c r="K312">
        <v>2675.35</v>
      </c>
      <c r="L312" t="s">
        <v>683</v>
      </c>
      <c r="M312">
        <v>15</v>
      </c>
    </row>
    <row r="313" spans="1:13" x14ac:dyDescent="0.35">
      <c r="A313" t="s">
        <v>1097</v>
      </c>
      <c r="B313" t="s">
        <v>267</v>
      </c>
      <c r="C313" t="s">
        <v>585</v>
      </c>
      <c r="D313" t="s">
        <v>643</v>
      </c>
      <c r="E313" s="1">
        <v>45540</v>
      </c>
      <c r="F313" s="1">
        <v>45541</v>
      </c>
      <c r="G313" s="1">
        <v>45551</v>
      </c>
      <c r="H313" s="4">
        <f>IF(Claims_Cleaned[[#This Row],[processed_date]]="","",Claims_Cleaned[[#This Row],[processed_date]]-Claims_Cleaned[[#This Row],[submission_date]])</f>
        <v>10</v>
      </c>
      <c r="I313" s="4" t="str">
        <f>TEXT(Claims_Cleaned[[#This Row],[claim_date]],"mmm-yyyy")</f>
        <v>Sep-2024</v>
      </c>
      <c r="J313" t="s">
        <v>25</v>
      </c>
      <c r="K313">
        <v>2665.06</v>
      </c>
      <c r="L313" t="s">
        <v>683</v>
      </c>
      <c r="M313">
        <v>10</v>
      </c>
    </row>
    <row r="314" spans="1:13" x14ac:dyDescent="0.35">
      <c r="A314" t="s">
        <v>1253</v>
      </c>
      <c r="B314" t="s">
        <v>207</v>
      </c>
      <c r="C314" t="s">
        <v>605</v>
      </c>
      <c r="D314" t="s">
        <v>643</v>
      </c>
      <c r="E314" s="1">
        <v>44927</v>
      </c>
      <c r="F314" s="1">
        <v>44930</v>
      </c>
      <c r="G314" s="1">
        <v>44947</v>
      </c>
      <c r="H314" s="4">
        <f>IF(Claims_Cleaned[[#This Row],[processed_date]]="","",Claims_Cleaned[[#This Row],[processed_date]]-Claims_Cleaned[[#This Row],[submission_date]])</f>
        <v>17</v>
      </c>
      <c r="I314" s="4" t="str">
        <f>TEXT(Claims_Cleaned[[#This Row],[claim_date]],"mmm-yyyy")</f>
        <v>Jan-2023</v>
      </c>
      <c r="J314" t="s">
        <v>11</v>
      </c>
      <c r="K314">
        <v>2656.99</v>
      </c>
      <c r="L314" t="s">
        <v>683</v>
      </c>
      <c r="M314">
        <v>17</v>
      </c>
    </row>
    <row r="315" spans="1:13" x14ac:dyDescent="0.35">
      <c r="A315" t="s">
        <v>2314</v>
      </c>
      <c r="B315" t="s">
        <v>60</v>
      </c>
      <c r="C315" t="s">
        <v>593</v>
      </c>
      <c r="D315" t="s">
        <v>643</v>
      </c>
      <c r="E315" s="1">
        <v>45512</v>
      </c>
      <c r="F315" s="1">
        <v>45517</v>
      </c>
      <c r="G315" s="1">
        <v>45529</v>
      </c>
      <c r="H315" s="4">
        <f>IF(Claims_Cleaned[[#This Row],[processed_date]]="","",Claims_Cleaned[[#This Row],[processed_date]]-Claims_Cleaned[[#This Row],[submission_date]])</f>
        <v>12</v>
      </c>
      <c r="I315" s="4" t="str">
        <f>TEXT(Claims_Cleaned[[#This Row],[claim_date]],"mmm-yyyy")</f>
        <v>Aug-2024</v>
      </c>
      <c r="J315" t="s">
        <v>11</v>
      </c>
      <c r="K315">
        <v>2654.75</v>
      </c>
      <c r="L315" t="s">
        <v>683</v>
      </c>
      <c r="M315">
        <v>12</v>
      </c>
    </row>
    <row r="316" spans="1:13" x14ac:dyDescent="0.35">
      <c r="A316" t="s">
        <v>2566</v>
      </c>
      <c r="B316" t="s">
        <v>457</v>
      </c>
      <c r="C316" t="s">
        <v>571</v>
      </c>
      <c r="D316" t="s">
        <v>643</v>
      </c>
      <c r="E316" s="1">
        <v>45576</v>
      </c>
      <c r="F316" s="1">
        <v>45578</v>
      </c>
      <c r="G316" s="1">
        <v>45582</v>
      </c>
      <c r="H316" s="4">
        <f>IF(Claims_Cleaned[[#This Row],[processed_date]]="","",Claims_Cleaned[[#This Row],[processed_date]]-Claims_Cleaned[[#This Row],[submission_date]])</f>
        <v>4</v>
      </c>
      <c r="I316" s="4" t="str">
        <f>TEXT(Claims_Cleaned[[#This Row],[claim_date]],"mmm-yyyy")</f>
        <v>Oct-2024</v>
      </c>
      <c r="J316" t="s">
        <v>11</v>
      </c>
      <c r="K316">
        <v>2651.52</v>
      </c>
      <c r="L316" t="s">
        <v>683</v>
      </c>
      <c r="M316">
        <v>4</v>
      </c>
    </row>
    <row r="317" spans="1:13" x14ac:dyDescent="0.35">
      <c r="A317" t="s">
        <v>1799</v>
      </c>
      <c r="B317" t="s">
        <v>187</v>
      </c>
      <c r="C317" t="s">
        <v>546</v>
      </c>
      <c r="D317" t="s">
        <v>643</v>
      </c>
      <c r="E317" s="1">
        <v>45347</v>
      </c>
      <c r="F317" s="1">
        <v>45349</v>
      </c>
      <c r="G317" s="1">
        <v>45363</v>
      </c>
      <c r="H317" s="4">
        <f>IF(Claims_Cleaned[[#This Row],[processed_date]]="","",Claims_Cleaned[[#This Row],[processed_date]]-Claims_Cleaned[[#This Row],[submission_date]])</f>
        <v>14</v>
      </c>
      <c r="I317" s="4" t="str">
        <f>TEXT(Claims_Cleaned[[#This Row],[claim_date]],"mmm-yyyy")</f>
        <v>Feb-2024</v>
      </c>
      <c r="J317" t="s">
        <v>11</v>
      </c>
      <c r="K317">
        <v>2645.46</v>
      </c>
      <c r="L317" t="s">
        <v>683</v>
      </c>
      <c r="M317">
        <v>14</v>
      </c>
    </row>
    <row r="318" spans="1:13" x14ac:dyDescent="0.35">
      <c r="A318" t="s">
        <v>1091</v>
      </c>
      <c r="B318" t="s">
        <v>114</v>
      </c>
      <c r="C318" t="s">
        <v>577</v>
      </c>
      <c r="D318" t="s">
        <v>643</v>
      </c>
      <c r="E318" s="1">
        <v>45433</v>
      </c>
      <c r="F318" s="1">
        <v>45435</v>
      </c>
      <c r="G318" s="1">
        <v>45441</v>
      </c>
      <c r="H318" s="4">
        <f>IF(Claims_Cleaned[[#This Row],[processed_date]]="","",Claims_Cleaned[[#This Row],[processed_date]]-Claims_Cleaned[[#This Row],[submission_date]])</f>
        <v>6</v>
      </c>
      <c r="I318" s="4" t="str">
        <f>TEXT(Claims_Cleaned[[#This Row],[claim_date]],"mmm-yyyy")</f>
        <v>May-2024</v>
      </c>
      <c r="J318" t="s">
        <v>20</v>
      </c>
      <c r="K318">
        <v>2643</v>
      </c>
      <c r="L318" t="s">
        <v>683</v>
      </c>
      <c r="M318">
        <v>6</v>
      </c>
    </row>
    <row r="319" spans="1:13" x14ac:dyDescent="0.35">
      <c r="A319" t="s">
        <v>2226</v>
      </c>
      <c r="B319" t="s">
        <v>55</v>
      </c>
      <c r="C319" t="s">
        <v>524</v>
      </c>
      <c r="D319" t="s">
        <v>643</v>
      </c>
      <c r="E319" s="1">
        <v>45378</v>
      </c>
      <c r="F319" s="1">
        <v>45380</v>
      </c>
      <c r="G319" s="1">
        <v>45402</v>
      </c>
      <c r="H319" s="4">
        <f>IF(Claims_Cleaned[[#This Row],[processed_date]]="","",Claims_Cleaned[[#This Row],[processed_date]]-Claims_Cleaned[[#This Row],[submission_date]])</f>
        <v>22</v>
      </c>
      <c r="I319" s="4" t="str">
        <f>TEXT(Claims_Cleaned[[#This Row],[claim_date]],"mmm-yyyy")</f>
        <v>Mar-2024</v>
      </c>
      <c r="J319" t="s">
        <v>11</v>
      </c>
      <c r="K319">
        <v>2638.06</v>
      </c>
      <c r="L319" t="s">
        <v>683</v>
      </c>
      <c r="M319">
        <v>22</v>
      </c>
    </row>
    <row r="320" spans="1:13" x14ac:dyDescent="0.35">
      <c r="A320" t="s">
        <v>1481</v>
      </c>
      <c r="B320" t="s">
        <v>376</v>
      </c>
      <c r="C320" t="s">
        <v>565</v>
      </c>
      <c r="D320" t="s">
        <v>643</v>
      </c>
      <c r="E320" s="1">
        <v>45443</v>
      </c>
      <c r="F320" s="1">
        <v>45444</v>
      </c>
      <c r="G320" s="1">
        <v>45460</v>
      </c>
      <c r="H320" s="4">
        <f>IF(Claims_Cleaned[[#This Row],[processed_date]]="","",Claims_Cleaned[[#This Row],[processed_date]]-Claims_Cleaned[[#This Row],[submission_date]])</f>
        <v>16</v>
      </c>
      <c r="I320" s="4" t="str">
        <f>TEXT(Claims_Cleaned[[#This Row],[claim_date]],"mmm-yyyy")</f>
        <v>May-2024</v>
      </c>
      <c r="J320" t="s">
        <v>8</v>
      </c>
      <c r="K320">
        <v>2626.34</v>
      </c>
      <c r="L320" t="s">
        <v>687</v>
      </c>
      <c r="M320">
        <v>16</v>
      </c>
    </row>
    <row r="321" spans="1:13" x14ac:dyDescent="0.35">
      <c r="A321" t="s">
        <v>981</v>
      </c>
      <c r="B321" t="s">
        <v>80</v>
      </c>
      <c r="C321" t="s">
        <v>589</v>
      </c>
      <c r="D321" t="s">
        <v>643</v>
      </c>
      <c r="E321" s="1">
        <v>45055</v>
      </c>
      <c r="F321" s="1">
        <v>45059</v>
      </c>
      <c r="G321" s="1">
        <v>45081</v>
      </c>
      <c r="H321" s="4">
        <f>IF(Claims_Cleaned[[#This Row],[processed_date]]="","",Claims_Cleaned[[#This Row],[processed_date]]-Claims_Cleaned[[#This Row],[submission_date]])</f>
        <v>22</v>
      </c>
      <c r="I321" s="4" t="str">
        <f>TEXT(Claims_Cleaned[[#This Row],[claim_date]],"mmm-yyyy")</f>
        <v>May-2023</v>
      </c>
      <c r="J321" t="s">
        <v>8</v>
      </c>
      <c r="K321">
        <v>2624.43</v>
      </c>
      <c r="L321" t="s">
        <v>683</v>
      </c>
      <c r="M321">
        <v>22</v>
      </c>
    </row>
    <row r="322" spans="1:13" x14ac:dyDescent="0.35">
      <c r="A322" t="s">
        <v>1545</v>
      </c>
      <c r="B322" t="s">
        <v>156</v>
      </c>
      <c r="C322" t="s">
        <v>609</v>
      </c>
      <c r="D322" t="s">
        <v>643</v>
      </c>
      <c r="E322" s="1">
        <v>45089</v>
      </c>
      <c r="F322" s="1">
        <v>45092</v>
      </c>
      <c r="G322" s="1">
        <v>45104</v>
      </c>
      <c r="H322" s="4">
        <f>IF(Claims_Cleaned[[#This Row],[processed_date]]="","",Claims_Cleaned[[#This Row],[processed_date]]-Claims_Cleaned[[#This Row],[submission_date]])</f>
        <v>12</v>
      </c>
      <c r="I322" s="4" t="str">
        <f>TEXT(Claims_Cleaned[[#This Row],[claim_date]],"mmm-yyyy")</f>
        <v>Jun-2023</v>
      </c>
      <c r="J322" t="s">
        <v>25</v>
      </c>
      <c r="K322">
        <v>2621.62</v>
      </c>
      <c r="L322" t="s">
        <v>687</v>
      </c>
      <c r="M322">
        <v>12</v>
      </c>
    </row>
    <row r="323" spans="1:13" x14ac:dyDescent="0.35">
      <c r="A323" t="s">
        <v>1571</v>
      </c>
      <c r="B323" t="s">
        <v>159</v>
      </c>
      <c r="C323" t="s">
        <v>571</v>
      </c>
      <c r="D323" t="s">
        <v>643</v>
      </c>
      <c r="E323" s="1">
        <v>45629</v>
      </c>
      <c r="F323" s="1">
        <v>45631</v>
      </c>
      <c r="G323" s="1">
        <v>45635</v>
      </c>
      <c r="H323" s="4">
        <f>IF(Claims_Cleaned[[#This Row],[processed_date]]="","",Claims_Cleaned[[#This Row],[processed_date]]-Claims_Cleaned[[#This Row],[submission_date]])</f>
        <v>4</v>
      </c>
      <c r="I323" s="4" t="str">
        <f>TEXT(Claims_Cleaned[[#This Row],[claim_date]],"mmm-yyyy")</f>
        <v>Dec-2024</v>
      </c>
      <c r="J323" t="s">
        <v>11</v>
      </c>
      <c r="K323">
        <v>2608.5</v>
      </c>
      <c r="L323" t="s">
        <v>687</v>
      </c>
      <c r="M323">
        <v>4</v>
      </c>
    </row>
    <row r="324" spans="1:13" x14ac:dyDescent="0.35">
      <c r="A324" t="s">
        <v>2140</v>
      </c>
      <c r="B324" t="s">
        <v>383</v>
      </c>
      <c r="C324" t="s">
        <v>553</v>
      </c>
      <c r="D324" t="s">
        <v>643</v>
      </c>
      <c r="E324" s="1">
        <v>45088</v>
      </c>
      <c r="F324" s="1">
        <v>45092</v>
      </c>
      <c r="G324" s="1">
        <v>45117</v>
      </c>
      <c r="H324" s="4">
        <f>IF(Claims_Cleaned[[#This Row],[processed_date]]="","",Claims_Cleaned[[#This Row],[processed_date]]-Claims_Cleaned[[#This Row],[submission_date]])</f>
        <v>25</v>
      </c>
      <c r="I324" s="4" t="str">
        <f>TEXT(Claims_Cleaned[[#This Row],[claim_date]],"mmm-yyyy")</f>
        <v>Jun-2023</v>
      </c>
      <c r="J324" t="s">
        <v>8</v>
      </c>
      <c r="K324">
        <v>2604.2600000000002</v>
      </c>
      <c r="L324" t="s">
        <v>683</v>
      </c>
      <c r="M324">
        <v>25</v>
      </c>
    </row>
    <row r="325" spans="1:13" x14ac:dyDescent="0.35">
      <c r="A325" t="s">
        <v>2181</v>
      </c>
      <c r="B325" t="s">
        <v>46</v>
      </c>
      <c r="C325" t="s">
        <v>563</v>
      </c>
      <c r="D325" t="s">
        <v>643</v>
      </c>
      <c r="E325" s="1">
        <v>45234</v>
      </c>
      <c r="F325" s="1">
        <v>45239</v>
      </c>
      <c r="G325" s="1">
        <v>45261</v>
      </c>
      <c r="H325" s="4">
        <f>IF(Claims_Cleaned[[#This Row],[processed_date]]="","",Claims_Cleaned[[#This Row],[processed_date]]-Claims_Cleaned[[#This Row],[submission_date]])</f>
        <v>22</v>
      </c>
      <c r="I325" s="4" t="str">
        <f>TEXT(Claims_Cleaned[[#This Row],[claim_date]],"mmm-yyyy")</f>
        <v>Nov-2023</v>
      </c>
      <c r="J325" t="s">
        <v>11</v>
      </c>
      <c r="K325">
        <v>2600.6</v>
      </c>
      <c r="L325" t="s">
        <v>683</v>
      </c>
      <c r="M325">
        <v>22</v>
      </c>
    </row>
    <row r="326" spans="1:13" x14ac:dyDescent="0.35">
      <c r="A326" t="s">
        <v>1625</v>
      </c>
      <c r="B326" t="s">
        <v>256</v>
      </c>
      <c r="C326" t="s">
        <v>524</v>
      </c>
      <c r="D326" t="s">
        <v>643</v>
      </c>
      <c r="E326" s="1">
        <v>45652</v>
      </c>
      <c r="F326" s="1">
        <v>45654</v>
      </c>
      <c r="G326" s="1"/>
      <c r="H326" s="4" t="str">
        <f>IF(Claims_Cleaned[[#This Row],[processed_date]]="","",Claims_Cleaned[[#This Row],[processed_date]]-Claims_Cleaned[[#This Row],[submission_date]])</f>
        <v/>
      </c>
      <c r="I326" s="4" t="str">
        <f>TEXT(Claims_Cleaned[[#This Row],[claim_date]],"mmm-yyyy")</f>
        <v>Dec-2024</v>
      </c>
      <c r="J326" t="s">
        <v>8</v>
      </c>
      <c r="K326">
        <v>2592.21</v>
      </c>
      <c r="L326" t="s">
        <v>689</v>
      </c>
    </row>
    <row r="327" spans="1:13" x14ac:dyDescent="0.35">
      <c r="A327" t="s">
        <v>2615</v>
      </c>
      <c r="B327" t="s">
        <v>276</v>
      </c>
      <c r="C327" t="s">
        <v>583</v>
      </c>
      <c r="D327" t="s">
        <v>643</v>
      </c>
      <c r="E327" s="1">
        <v>45240</v>
      </c>
      <c r="F327" s="1">
        <v>45243</v>
      </c>
      <c r="G327" s="1">
        <v>45258</v>
      </c>
      <c r="H327" s="4">
        <f>IF(Claims_Cleaned[[#This Row],[processed_date]]="","",Claims_Cleaned[[#This Row],[processed_date]]-Claims_Cleaned[[#This Row],[submission_date]])</f>
        <v>15</v>
      </c>
      <c r="I327" s="4" t="str">
        <f>TEXT(Claims_Cleaned[[#This Row],[claim_date]],"mmm-yyyy")</f>
        <v>Nov-2023</v>
      </c>
      <c r="J327" t="s">
        <v>20</v>
      </c>
      <c r="K327">
        <v>2545.12</v>
      </c>
      <c r="L327" t="s">
        <v>683</v>
      </c>
      <c r="M327">
        <v>15</v>
      </c>
    </row>
    <row r="328" spans="1:13" x14ac:dyDescent="0.35">
      <c r="A328" t="s">
        <v>1048</v>
      </c>
      <c r="B328" t="s">
        <v>480</v>
      </c>
      <c r="C328" t="s">
        <v>553</v>
      </c>
      <c r="D328" t="s">
        <v>643</v>
      </c>
      <c r="E328" s="1">
        <v>45082</v>
      </c>
      <c r="F328" s="1">
        <v>45084</v>
      </c>
      <c r="G328" s="1">
        <v>45093</v>
      </c>
      <c r="H328" s="4">
        <f>IF(Claims_Cleaned[[#This Row],[processed_date]]="","",Claims_Cleaned[[#This Row],[processed_date]]-Claims_Cleaned[[#This Row],[submission_date]])</f>
        <v>9</v>
      </c>
      <c r="I328" s="4" t="str">
        <f>TEXT(Claims_Cleaned[[#This Row],[claim_date]],"mmm-yyyy")</f>
        <v>Jun-2023</v>
      </c>
      <c r="J328" t="s">
        <v>11</v>
      </c>
      <c r="K328">
        <v>2530.08</v>
      </c>
      <c r="L328" t="s">
        <v>683</v>
      </c>
      <c r="M328">
        <v>9</v>
      </c>
    </row>
    <row r="329" spans="1:13" x14ac:dyDescent="0.35">
      <c r="A329" t="s">
        <v>1866</v>
      </c>
      <c r="B329" t="s">
        <v>353</v>
      </c>
      <c r="C329" t="s">
        <v>587</v>
      </c>
      <c r="D329" t="s">
        <v>643</v>
      </c>
      <c r="E329" s="1">
        <v>45265</v>
      </c>
      <c r="F329" s="1">
        <v>45269</v>
      </c>
      <c r="G329" s="1"/>
      <c r="H329" s="4" t="str">
        <f>IF(Claims_Cleaned[[#This Row],[processed_date]]="","",Claims_Cleaned[[#This Row],[processed_date]]-Claims_Cleaned[[#This Row],[submission_date]])</f>
        <v/>
      </c>
      <c r="I329" s="4" t="str">
        <f>TEXT(Claims_Cleaned[[#This Row],[claim_date]],"mmm-yyyy")</f>
        <v>Dec-2023</v>
      </c>
      <c r="J329" t="s">
        <v>20</v>
      </c>
      <c r="K329">
        <v>2522.16</v>
      </c>
      <c r="L329" t="s">
        <v>689</v>
      </c>
    </row>
    <row r="330" spans="1:13" x14ac:dyDescent="0.35">
      <c r="A330" t="s">
        <v>861</v>
      </c>
      <c r="B330" t="s">
        <v>272</v>
      </c>
      <c r="C330" t="s">
        <v>609</v>
      </c>
      <c r="D330" t="s">
        <v>643</v>
      </c>
      <c r="E330" s="1">
        <v>45087</v>
      </c>
      <c r="F330" s="1">
        <v>45090</v>
      </c>
      <c r="G330" s="1">
        <v>45098</v>
      </c>
      <c r="H330" s="4">
        <f>IF(Claims_Cleaned[[#This Row],[processed_date]]="","",Claims_Cleaned[[#This Row],[processed_date]]-Claims_Cleaned[[#This Row],[submission_date]])</f>
        <v>8</v>
      </c>
      <c r="I330" s="4" t="str">
        <f>TEXT(Claims_Cleaned[[#This Row],[claim_date]],"mmm-yyyy")</f>
        <v>Jun-2023</v>
      </c>
      <c r="J330" t="s">
        <v>11</v>
      </c>
      <c r="K330">
        <v>2480.4</v>
      </c>
      <c r="L330" t="s">
        <v>687</v>
      </c>
      <c r="M330">
        <v>8</v>
      </c>
    </row>
    <row r="331" spans="1:13" x14ac:dyDescent="0.35">
      <c r="A331" t="s">
        <v>1820</v>
      </c>
      <c r="B331" t="s">
        <v>213</v>
      </c>
      <c r="C331" t="s">
        <v>603</v>
      </c>
      <c r="D331" t="s">
        <v>643</v>
      </c>
      <c r="E331" s="1">
        <v>45257</v>
      </c>
      <c r="F331" s="1">
        <v>45260</v>
      </c>
      <c r="G331" s="1">
        <v>45283</v>
      </c>
      <c r="H331" s="4">
        <f>IF(Claims_Cleaned[[#This Row],[processed_date]]="","",Claims_Cleaned[[#This Row],[processed_date]]-Claims_Cleaned[[#This Row],[submission_date]])</f>
        <v>23</v>
      </c>
      <c r="I331" s="4" t="str">
        <f>TEXT(Claims_Cleaned[[#This Row],[claim_date]],"mmm-yyyy")</f>
        <v>Nov-2023</v>
      </c>
      <c r="J331" t="s">
        <v>8</v>
      </c>
      <c r="K331">
        <v>2477.9</v>
      </c>
      <c r="L331" t="s">
        <v>683</v>
      </c>
      <c r="M331">
        <v>23</v>
      </c>
    </row>
    <row r="332" spans="1:13" x14ac:dyDescent="0.35">
      <c r="A332" t="s">
        <v>1724</v>
      </c>
      <c r="B332" t="s">
        <v>36</v>
      </c>
      <c r="C332" t="s">
        <v>563</v>
      </c>
      <c r="D332" t="s">
        <v>643</v>
      </c>
      <c r="E332" s="1">
        <v>45153</v>
      </c>
      <c r="F332" s="1">
        <v>45156</v>
      </c>
      <c r="G332" s="1">
        <v>45174</v>
      </c>
      <c r="H332" s="4">
        <f>IF(Claims_Cleaned[[#This Row],[processed_date]]="","",Claims_Cleaned[[#This Row],[processed_date]]-Claims_Cleaned[[#This Row],[submission_date]])</f>
        <v>18</v>
      </c>
      <c r="I332" s="4" t="str">
        <f>TEXT(Claims_Cleaned[[#This Row],[claim_date]],"mmm-yyyy")</f>
        <v>Aug-2023</v>
      </c>
      <c r="J332" t="s">
        <v>11</v>
      </c>
      <c r="K332">
        <v>2459.5100000000002</v>
      </c>
      <c r="L332" t="s">
        <v>683</v>
      </c>
      <c r="M332">
        <v>18</v>
      </c>
    </row>
    <row r="333" spans="1:13" x14ac:dyDescent="0.35">
      <c r="A333" t="s">
        <v>1307</v>
      </c>
      <c r="B333" t="s">
        <v>130</v>
      </c>
      <c r="C333" t="s">
        <v>524</v>
      </c>
      <c r="D333" t="s">
        <v>643</v>
      </c>
      <c r="E333" s="1">
        <v>45555</v>
      </c>
      <c r="F333" s="1">
        <v>45557</v>
      </c>
      <c r="G333" s="1">
        <v>45569</v>
      </c>
      <c r="H333" s="4">
        <f>IF(Claims_Cleaned[[#This Row],[processed_date]]="","",Claims_Cleaned[[#This Row],[processed_date]]-Claims_Cleaned[[#This Row],[submission_date]])</f>
        <v>12</v>
      </c>
      <c r="I333" s="4" t="str">
        <f>TEXT(Claims_Cleaned[[#This Row],[claim_date]],"mmm-yyyy")</f>
        <v>Sep-2024</v>
      </c>
      <c r="J333" t="s">
        <v>8</v>
      </c>
      <c r="K333">
        <v>2446.39</v>
      </c>
      <c r="L333" t="s">
        <v>687</v>
      </c>
      <c r="M333">
        <v>12</v>
      </c>
    </row>
    <row r="334" spans="1:13" x14ac:dyDescent="0.35">
      <c r="A334" t="s">
        <v>2110</v>
      </c>
      <c r="B334" t="s">
        <v>431</v>
      </c>
      <c r="C334" t="s">
        <v>524</v>
      </c>
      <c r="D334" t="s">
        <v>643</v>
      </c>
      <c r="E334" s="1">
        <v>45268</v>
      </c>
      <c r="F334" s="1">
        <v>45273</v>
      </c>
      <c r="G334" s="1">
        <v>45303</v>
      </c>
      <c r="H334" s="4">
        <f>IF(Claims_Cleaned[[#This Row],[processed_date]]="","",Claims_Cleaned[[#This Row],[processed_date]]-Claims_Cleaned[[#This Row],[submission_date]])</f>
        <v>30</v>
      </c>
      <c r="I334" s="4" t="str">
        <f>TEXT(Claims_Cleaned[[#This Row],[claim_date]],"mmm-yyyy")</f>
        <v>Dec-2023</v>
      </c>
      <c r="J334" t="s">
        <v>20</v>
      </c>
      <c r="K334">
        <v>2445.2800000000002</v>
      </c>
      <c r="L334" t="s">
        <v>683</v>
      </c>
      <c r="M334">
        <v>30</v>
      </c>
    </row>
    <row r="335" spans="1:13" x14ac:dyDescent="0.35">
      <c r="A335" t="s">
        <v>997</v>
      </c>
      <c r="B335" t="s">
        <v>420</v>
      </c>
      <c r="C335" t="s">
        <v>601</v>
      </c>
      <c r="D335" t="s">
        <v>643</v>
      </c>
      <c r="E335" s="1">
        <v>45122</v>
      </c>
      <c r="F335" s="1">
        <v>45125</v>
      </c>
      <c r="G335" s="1">
        <v>45130</v>
      </c>
      <c r="H335" s="4">
        <f>IF(Claims_Cleaned[[#This Row],[processed_date]]="","",Claims_Cleaned[[#This Row],[processed_date]]-Claims_Cleaned[[#This Row],[submission_date]])</f>
        <v>5</v>
      </c>
      <c r="I335" s="4" t="str">
        <f>TEXT(Claims_Cleaned[[#This Row],[claim_date]],"mmm-yyyy")</f>
        <v>Jul-2023</v>
      </c>
      <c r="J335" t="s">
        <v>20</v>
      </c>
      <c r="K335">
        <v>2430.7399999999998</v>
      </c>
      <c r="L335" t="s">
        <v>687</v>
      </c>
      <c r="M335">
        <v>5</v>
      </c>
    </row>
    <row r="336" spans="1:13" x14ac:dyDescent="0.35">
      <c r="A336" t="s">
        <v>751</v>
      </c>
      <c r="B336" t="s">
        <v>348</v>
      </c>
      <c r="C336" t="s">
        <v>557</v>
      </c>
      <c r="D336" t="s">
        <v>643</v>
      </c>
      <c r="E336" s="1">
        <v>45402</v>
      </c>
      <c r="F336" s="1">
        <v>45406</v>
      </c>
      <c r="G336" s="1">
        <v>45416</v>
      </c>
      <c r="H336" s="4">
        <f>IF(Claims_Cleaned[[#This Row],[processed_date]]="","",Claims_Cleaned[[#This Row],[processed_date]]-Claims_Cleaned[[#This Row],[submission_date]])</f>
        <v>10</v>
      </c>
      <c r="I336" s="4" t="str">
        <f>TEXT(Claims_Cleaned[[#This Row],[claim_date]],"mmm-yyyy")</f>
        <v>Apr-2024</v>
      </c>
      <c r="J336" t="s">
        <v>8</v>
      </c>
      <c r="K336">
        <v>2419.14</v>
      </c>
      <c r="L336" t="s">
        <v>683</v>
      </c>
      <c r="M336">
        <v>10</v>
      </c>
    </row>
    <row r="337" spans="1:13" x14ac:dyDescent="0.35">
      <c r="A337" t="s">
        <v>993</v>
      </c>
      <c r="B337" t="s">
        <v>109</v>
      </c>
      <c r="C337" t="s">
        <v>609</v>
      </c>
      <c r="D337" t="s">
        <v>643</v>
      </c>
      <c r="E337" s="1">
        <v>45566</v>
      </c>
      <c r="F337" s="1">
        <v>45567</v>
      </c>
      <c r="G337" s="1">
        <v>45594</v>
      </c>
      <c r="H337" s="4">
        <f>IF(Claims_Cleaned[[#This Row],[processed_date]]="","",Claims_Cleaned[[#This Row],[processed_date]]-Claims_Cleaned[[#This Row],[submission_date]])</f>
        <v>27</v>
      </c>
      <c r="I337" s="4" t="str">
        <f>TEXT(Claims_Cleaned[[#This Row],[claim_date]],"mmm-yyyy")</f>
        <v>Oct-2024</v>
      </c>
      <c r="J337" t="s">
        <v>11</v>
      </c>
      <c r="K337">
        <v>2411.4699999999998</v>
      </c>
      <c r="L337" t="s">
        <v>687</v>
      </c>
      <c r="M337">
        <v>27</v>
      </c>
    </row>
    <row r="338" spans="1:13" x14ac:dyDescent="0.35">
      <c r="A338" t="s">
        <v>2136</v>
      </c>
      <c r="B338" t="s">
        <v>357</v>
      </c>
      <c r="C338" t="s">
        <v>599</v>
      </c>
      <c r="D338" t="s">
        <v>643</v>
      </c>
      <c r="E338" s="1">
        <v>45497</v>
      </c>
      <c r="F338" s="1">
        <v>45500</v>
      </c>
      <c r="G338" s="1">
        <v>45529</v>
      </c>
      <c r="H338" s="4">
        <f>IF(Claims_Cleaned[[#This Row],[processed_date]]="","",Claims_Cleaned[[#This Row],[processed_date]]-Claims_Cleaned[[#This Row],[submission_date]])</f>
        <v>29</v>
      </c>
      <c r="I338" s="4" t="str">
        <f>TEXT(Claims_Cleaned[[#This Row],[claim_date]],"mmm-yyyy")</f>
        <v>Jul-2024</v>
      </c>
      <c r="J338" t="s">
        <v>8</v>
      </c>
      <c r="K338">
        <v>2410.31</v>
      </c>
      <c r="L338" t="s">
        <v>683</v>
      </c>
      <c r="M338">
        <v>29</v>
      </c>
    </row>
    <row r="339" spans="1:13" x14ac:dyDescent="0.35">
      <c r="A339" t="s">
        <v>1383</v>
      </c>
      <c r="B339" t="s">
        <v>383</v>
      </c>
      <c r="C339" t="s">
        <v>573</v>
      </c>
      <c r="D339" t="s">
        <v>643</v>
      </c>
      <c r="E339" s="1">
        <v>45130</v>
      </c>
      <c r="F339" s="1">
        <v>45131</v>
      </c>
      <c r="G339" s="1">
        <v>45148</v>
      </c>
      <c r="H339" s="4">
        <f>IF(Claims_Cleaned[[#This Row],[processed_date]]="","",Claims_Cleaned[[#This Row],[processed_date]]-Claims_Cleaned[[#This Row],[submission_date]])</f>
        <v>17</v>
      </c>
      <c r="I339" s="4" t="str">
        <f>TEXT(Claims_Cleaned[[#This Row],[claim_date]],"mmm-yyyy")</f>
        <v>Jul-2023</v>
      </c>
      <c r="J339" t="s">
        <v>8</v>
      </c>
      <c r="K339">
        <v>2393.87</v>
      </c>
      <c r="L339" t="s">
        <v>683</v>
      </c>
      <c r="M339">
        <v>17</v>
      </c>
    </row>
    <row r="340" spans="1:13" x14ac:dyDescent="0.35">
      <c r="A340" t="s">
        <v>1590</v>
      </c>
      <c r="B340" t="s">
        <v>468</v>
      </c>
      <c r="C340" t="s">
        <v>607</v>
      </c>
      <c r="D340" t="s">
        <v>643</v>
      </c>
      <c r="E340" s="1">
        <v>45454</v>
      </c>
      <c r="F340" s="1">
        <v>45458</v>
      </c>
      <c r="G340" s="1"/>
      <c r="H340" s="4" t="str">
        <f>IF(Claims_Cleaned[[#This Row],[processed_date]]="","",Claims_Cleaned[[#This Row],[processed_date]]-Claims_Cleaned[[#This Row],[submission_date]])</f>
        <v/>
      </c>
      <c r="I340" s="4" t="str">
        <f>TEXT(Claims_Cleaned[[#This Row],[claim_date]],"mmm-yyyy")</f>
        <v>Jun-2024</v>
      </c>
      <c r="J340" t="s">
        <v>20</v>
      </c>
      <c r="K340">
        <v>2387.9699999999998</v>
      </c>
      <c r="L340" t="s">
        <v>689</v>
      </c>
    </row>
    <row r="341" spans="1:13" x14ac:dyDescent="0.35">
      <c r="A341" t="s">
        <v>1201</v>
      </c>
      <c r="B341" t="s">
        <v>48</v>
      </c>
      <c r="C341" t="s">
        <v>540</v>
      </c>
      <c r="D341" t="s">
        <v>643</v>
      </c>
      <c r="E341" s="1">
        <v>45140</v>
      </c>
      <c r="F341" s="1">
        <v>45141</v>
      </c>
      <c r="G341" s="1">
        <v>45151</v>
      </c>
      <c r="H341" s="4">
        <f>IF(Claims_Cleaned[[#This Row],[processed_date]]="","",Claims_Cleaned[[#This Row],[processed_date]]-Claims_Cleaned[[#This Row],[submission_date]])</f>
        <v>10</v>
      </c>
      <c r="I341" s="4" t="str">
        <f>TEXT(Claims_Cleaned[[#This Row],[claim_date]],"mmm-yyyy")</f>
        <v>Aug-2023</v>
      </c>
      <c r="J341" t="s">
        <v>20</v>
      </c>
      <c r="K341">
        <v>2386.14</v>
      </c>
      <c r="L341" t="s">
        <v>683</v>
      </c>
      <c r="M341">
        <v>10</v>
      </c>
    </row>
    <row r="342" spans="1:13" x14ac:dyDescent="0.35">
      <c r="A342" t="s">
        <v>1938</v>
      </c>
      <c r="B342" t="s">
        <v>407</v>
      </c>
      <c r="C342" t="s">
        <v>567</v>
      </c>
      <c r="D342" t="s">
        <v>643</v>
      </c>
      <c r="E342" s="1">
        <v>45258</v>
      </c>
      <c r="F342" s="1">
        <v>45259</v>
      </c>
      <c r="G342" s="1">
        <v>45263</v>
      </c>
      <c r="H342" s="4">
        <f>IF(Claims_Cleaned[[#This Row],[processed_date]]="","",Claims_Cleaned[[#This Row],[processed_date]]-Claims_Cleaned[[#This Row],[submission_date]])</f>
        <v>4</v>
      </c>
      <c r="I342" s="4" t="str">
        <f>TEXT(Claims_Cleaned[[#This Row],[claim_date]],"mmm-yyyy")</f>
        <v>Nov-2023</v>
      </c>
      <c r="J342" t="s">
        <v>8</v>
      </c>
      <c r="K342">
        <v>2380.54</v>
      </c>
      <c r="L342" t="s">
        <v>683</v>
      </c>
      <c r="M342">
        <v>4</v>
      </c>
    </row>
    <row r="343" spans="1:13" x14ac:dyDescent="0.35">
      <c r="A343" t="s">
        <v>2190</v>
      </c>
      <c r="B343" t="s">
        <v>314</v>
      </c>
      <c r="C343" t="s">
        <v>534</v>
      </c>
      <c r="D343" t="s">
        <v>643</v>
      </c>
      <c r="E343" s="1">
        <v>45109</v>
      </c>
      <c r="F343" s="1">
        <v>45110</v>
      </c>
      <c r="G343" s="1">
        <v>45131</v>
      </c>
      <c r="H343" s="4">
        <f>IF(Claims_Cleaned[[#This Row],[processed_date]]="","",Claims_Cleaned[[#This Row],[processed_date]]-Claims_Cleaned[[#This Row],[submission_date]])</f>
        <v>21</v>
      </c>
      <c r="I343" s="4" t="str">
        <f>TEXT(Claims_Cleaned[[#This Row],[claim_date]],"mmm-yyyy")</f>
        <v>Jul-2023</v>
      </c>
      <c r="J343" t="s">
        <v>8</v>
      </c>
      <c r="K343">
        <v>2361.6999999999998</v>
      </c>
      <c r="L343" t="s">
        <v>683</v>
      </c>
      <c r="M343">
        <v>21</v>
      </c>
    </row>
    <row r="344" spans="1:13" x14ac:dyDescent="0.35">
      <c r="A344" t="s">
        <v>2493</v>
      </c>
      <c r="B344" t="s">
        <v>224</v>
      </c>
      <c r="C344" t="s">
        <v>567</v>
      </c>
      <c r="D344" t="s">
        <v>643</v>
      </c>
      <c r="E344" s="1">
        <v>45521</v>
      </c>
      <c r="F344" s="1">
        <v>45526</v>
      </c>
      <c r="G344" s="1">
        <v>45544</v>
      </c>
      <c r="H344" s="4">
        <f>IF(Claims_Cleaned[[#This Row],[processed_date]]="","",Claims_Cleaned[[#This Row],[processed_date]]-Claims_Cleaned[[#This Row],[submission_date]])</f>
        <v>18</v>
      </c>
      <c r="I344" s="4" t="str">
        <f>TEXT(Claims_Cleaned[[#This Row],[claim_date]],"mmm-yyyy")</f>
        <v>Aug-2024</v>
      </c>
      <c r="J344" t="s">
        <v>11</v>
      </c>
      <c r="K344">
        <v>2353.44</v>
      </c>
      <c r="L344" t="s">
        <v>687</v>
      </c>
      <c r="M344">
        <v>18</v>
      </c>
    </row>
    <row r="345" spans="1:13" x14ac:dyDescent="0.35">
      <c r="A345" t="s">
        <v>2108</v>
      </c>
      <c r="B345" t="s">
        <v>357</v>
      </c>
      <c r="C345" t="s">
        <v>524</v>
      </c>
      <c r="D345" t="s">
        <v>643</v>
      </c>
      <c r="E345" s="1">
        <v>45310</v>
      </c>
      <c r="F345" s="1">
        <v>45315</v>
      </c>
      <c r="G345" s="1">
        <v>45336</v>
      </c>
      <c r="H345" s="4">
        <f>IF(Claims_Cleaned[[#This Row],[processed_date]]="","",Claims_Cleaned[[#This Row],[processed_date]]-Claims_Cleaned[[#This Row],[submission_date]])</f>
        <v>21</v>
      </c>
      <c r="I345" s="4" t="str">
        <f>TEXT(Claims_Cleaned[[#This Row],[claim_date]],"mmm-yyyy")</f>
        <v>Jan-2024</v>
      </c>
      <c r="J345" t="s">
        <v>8</v>
      </c>
      <c r="K345">
        <v>2331.91</v>
      </c>
      <c r="L345" t="s">
        <v>683</v>
      </c>
      <c r="M345">
        <v>21</v>
      </c>
    </row>
    <row r="346" spans="1:13" x14ac:dyDescent="0.35">
      <c r="A346" t="s">
        <v>1458</v>
      </c>
      <c r="B346" t="s">
        <v>260</v>
      </c>
      <c r="C346" t="s">
        <v>583</v>
      </c>
      <c r="D346" t="s">
        <v>643</v>
      </c>
      <c r="E346" s="1">
        <v>45030</v>
      </c>
      <c r="F346" s="1">
        <v>45032</v>
      </c>
      <c r="G346" s="1">
        <v>45040</v>
      </c>
      <c r="H346" s="4">
        <f>IF(Claims_Cleaned[[#This Row],[processed_date]]="","",Claims_Cleaned[[#This Row],[processed_date]]-Claims_Cleaned[[#This Row],[submission_date]])</f>
        <v>8</v>
      </c>
      <c r="I346" s="4" t="str">
        <f>TEXT(Claims_Cleaned[[#This Row],[claim_date]],"mmm-yyyy")</f>
        <v>Apr-2023</v>
      </c>
      <c r="J346" t="s">
        <v>25</v>
      </c>
      <c r="K346">
        <v>2329.0100000000002</v>
      </c>
      <c r="L346" t="s">
        <v>683</v>
      </c>
      <c r="M346">
        <v>8</v>
      </c>
    </row>
    <row r="347" spans="1:13" x14ac:dyDescent="0.35">
      <c r="A347" t="s">
        <v>1224</v>
      </c>
      <c r="B347" t="s">
        <v>455</v>
      </c>
      <c r="C347" t="s">
        <v>569</v>
      </c>
      <c r="D347" t="s">
        <v>643</v>
      </c>
      <c r="E347" s="1">
        <v>45228</v>
      </c>
      <c r="F347" s="1">
        <v>45229</v>
      </c>
      <c r="G347" s="1"/>
      <c r="H347" s="4" t="str">
        <f>IF(Claims_Cleaned[[#This Row],[processed_date]]="","",Claims_Cleaned[[#This Row],[processed_date]]-Claims_Cleaned[[#This Row],[submission_date]])</f>
        <v/>
      </c>
      <c r="I347" s="4" t="str">
        <f>TEXT(Claims_Cleaned[[#This Row],[claim_date]],"mmm-yyyy")</f>
        <v>Oct-2023</v>
      </c>
      <c r="J347" t="s">
        <v>13</v>
      </c>
      <c r="K347">
        <v>2307.52</v>
      </c>
      <c r="L347" t="s">
        <v>689</v>
      </c>
    </row>
    <row r="348" spans="1:13" x14ac:dyDescent="0.35">
      <c r="A348" t="s">
        <v>1326</v>
      </c>
      <c r="B348" t="s">
        <v>295</v>
      </c>
      <c r="C348" t="s">
        <v>595</v>
      </c>
      <c r="D348" t="s">
        <v>643</v>
      </c>
      <c r="E348" s="1">
        <v>45205</v>
      </c>
      <c r="F348" s="1">
        <v>45208</v>
      </c>
      <c r="G348" s="1">
        <v>45217</v>
      </c>
      <c r="H348" s="4">
        <f>IF(Claims_Cleaned[[#This Row],[processed_date]]="","",Claims_Cleaned[[#This Row],[processed_date]]-Claims_Cleaned[[#This Row],[submission_date]])</f>
        <v>9</v>
      </c>
      <c r="I348" s="4" t="str">
        <f>TEXT(Claims_Cleaned[[#This Row],[claim_date]],"mmm-yyyy")</f>
        <v>Oct-2023</v>
      </c>
      <c r="J348" t="s">
        <v>8</v>
      </c>
      <c r="K348">
        <v>2304.2600000000002</v>
      </c>
      <c r="L348" t="s">
        <v>683</v>
      </c>
      <c r="M348">
        <v>9</v>
      </c>
    </row>
    <row r="349" spans="1:13" x14ac:dyDescent="0.35">
      <c r="A349" t="s">
        <v>2081</v>
      </c>
      <c r="B349" t="s">
        <v>354</v>
      </c>
      <c r="C349" t="s">
        <v>557</v>
      </c>
      <c r="D349" t="s">
        <v>643</v>
      </c>
      <c r="E349" s="1">
        <v>45462</v>
      </c>
      <c r="F349" s="1">
        <v>45463</v>
      </c>
      <c r="G349" s="1">
        <v>45490</v>
      </c>
      <c r="H349" s="4">
        <f>IF(Claims_Cleaned[[#This Row],[processed_date]]="","",Claims_Cleaned[[#This Row],[processed_date]]-Claims_Cleaned[[#This Row],[submission_date]])</f>
        <v>27</v>
      </c>
      <c r="I349" s="4" t="str">
        <f>TEXT(Claims_Cleaned[[#This Row],[claim_date]],"mmm-yyyy")</f>
        <v>Jun-2024</v>
      </c>
      <c r="J349" t="s">
        <v>11</v>
      </c>
      <c r="K349">
        <v>2301.96</v>
      </c>
      <c r="L349" t="s">
        <v>683</v>
      </c>
      <c r="M349">
        <v>27</v>
      </c>
    </row>
    <row r="350" spans="1:13" x14ac:dyDescent="0.35">
      <c r="A350" t="s">
        <v>894</v>
      </c>
      <c r="B350" t="s">
        <v>307</v>
      </c>
      <c r="C350" t="s">
        <v>527</v>
      </c>
      <c r="D350" t="s">
        <v>643</v>
      </c>
      <c r="E350" s="1">
        <v>45361</v>
      </c>
      <c r="F350" s="1">
        <v>45366</v>
      </c>
      <c r="G350" s="1">
        <v>45392</v>
      </c>
      <c r="H350" s="4">
        <f>IF(Claims_Cleaned[[#This Row],[processed_date]]="","",Claims_Cleaned[[#This Row],[processed_date]]-Claims_Cleaned[[#This Row],[submission_date]])</f>
        <v>26</v>
      </c>
      <c r="I350" s="4" t="str">
        <f>TEXT(Claims_Cleaned[[#This Row],[claim_date]],"mmm-yyyy")</f>
        <v>Mar-2024</v>
      </c>
      <c r="J350" t="s">
        <v>8</v>
      </c>
      <c r="K350">
        <v>2300.15</v>
      </c>
      <c r="L350" t="s">
        <v>683</v>
      </c>
      <c r="M350">
        <v>26</v>
      </c>
    </row>
    <row r="351" spans="1:13" x14ac:dyDescent="0.35">
      <c r="A351" t="s">
        <v>2063</v>
      </c>
      <c r="B351" t="s">
        <v>452</v>
      </c>
      <c r="C351" t="s">
        <v>555</v>
      </c>
      <c r="D351" t="s">
        <v>643</v>
      </c>
      <c r="E351" s="1">
        <v>45479</v>
      </c>
      <c r="F351" s="1">
        <v>45483</v>
      </c>
      <c r="G351" s="1">
        <v>45502</v>
      </c>
      <c r="H351" s="4">
        <f>IF(Claims_Cleaned[[#This Row],[processed_date]]="","",Claims_Cleaned[[#This Row],[processed_date]]-Claims_Cleaned[[#This Row],[submission_date]])</f>
        <v>19</v>
      </c>
      <c r="I351" s="4" t="str">
        <f>TEXT(Claims_Cleaned[[#This Row],[claim_date]],"mmm-yyyy")</f>
        <v>Jul-2024</v>
      </c>
      <c r="J351" t="s">
        <v>11</v>
      </c>
      <c r="K351">
        <v>2290.23</v>
      </c>
      <c r="L351" t="s">
        <v>683</v>
      </c>
      <c r="M351">
        <v>19</v>
      </c>
    </row>
    <row r="352" spans="1:13" x14ac:dyDescent="0.35">
      <c r="A352" t="s">
        <v>1379</v>
      </c>
      <c r="B352" t="s">
        <v>329</v>
      </c>
      <c r="C352" t="s">
        <v>565</v>
      </c>
      <c r="D352" t="s">
        <v>643</v>
      </c>
      <c r="E352" s="1">
        <v>45318</v>
      </c>
      <c r="F352" s="1">
        <v>45320</v>
      </c>
      <c r="G352" s="1">
        <v>45333</v>
      </c>
      <c r="H352" s="4">
        <f>IF(Claims_Cleaned[[#This Row],[processed_date]]="","",Claims_Cleaned[[#This Row],[processed_date]]-Claims_Cleaned[[#This Row],[submission_date]])</f>
        <v>13</v>
      </c>
      <c r="I352" s="4" t="str">
        <f>TEXT(Claims_Cleaned[[#This Row],[claim_date]],"mmm-yyyy")</f>
        <v>Jan-2024</v>
      </c>
      <c r="J352" t="s">
        <v>13</v>
      </c>
      <c r="K352">
        <v>2283.98</v>
      </c>
      <c r="L352" t="s">
        <v>683</v>
      </c>
      <c r="M352">
        <v>13</v>
      </c>
    </row>
    <row r="353" spans="1:13" x14ac:dyDescent="0.35">
      <c r="A353" t="s">
        <v>1738</v>
      </c>
      <c r="B353" t="s">
        <v>400</v>
      </c>
      <c r="C353" t="s">
        <v>599</v>
      </c>
      <c r="D353" t="s">
        <v>643</v>
      </c>
      <c r="E353" s="1">
        <v>45547</v>
      </c>
      <c r="F353" s="1">
        <v>45548</v>
      </c>
      <c r="G353" s="1">
        <v>45567</v>
      </c>
      <c r="H353" s="4">
        <f>IF(Claims_Cleaned[[#This Row],[processed_date]]="","",Claims_Cleaned[[#This Row],[processed_date]]-Claims_Cleaned[[#This Row],[submission_date]])</f>
        <v>19</v>
      </c>
      <c r="I353" s="4" t="str">
        <f>TEXT(Claims_Cleaned[[#This Row],[claim_date]],"mmm-yyyy")</f>
        <v>Sep-2024</v>
      </c>
      <c r="J353" t="s">
        <v>25</v>
      </c>
      <c r="K353">
        <v>2261.12</v>
      </c>
      <c r="L353" t="s">
        <v>683</v>
      </c>
      <c r="M353">
        <v>19</v>
      </c>
    </row>
    <row r="354" spans="1:13" x14ac:dyDescent="0.35">
      <c r="A354" t="s">
        <v>740</v>
      </c>
      <c r="B354" t="s">
        <v>403</v>
      </c>
      <c r="C354" t="s">
        <v>571</v>
      </c>
      <c r="D354" t="s">
        <v>643</v>
      </c>
      <c r="E354" s="1">
        <v>44945</v>
      </c>
      <c r="F354" s="1">
        <v>44946</v>
      </c>
      <c r="G354" s="1">
        <v>44966</v>
      </c>
      <c r="H354" s="4">
        <f>IF(Claims_Cleaned[[#This Row],[processed_date]]="","",Claims_Cleaned[[#This Row],[processed_date]]-Claims_Cleaned[[#This Row],[submission_date]])</f>
        <v>20</v>
      </c>
      <c r="I354" s="4" t="str">
        <f>TEXT(Claims_Cleaned[[#This Row],[claim_date]],"mmm-yyyy")</f>
        <v>Jan-2023</v>
      </c>
      <c r="J354" t="s">
        <v>8</v>
      </c>
      <c r="K354">
        <v>2253.35</v>
      </c>
      <c r="L354" t="s">
        <v>683</v>
      </c>
      <c r="M354">
        <v>20</v>
      </c>
    </row>
    <row r="355" spans="1:13" x14ac:dyDescent="0.35">
      <c r="A355" t="s">
        <v>1008</v>
      </c>
      <c r="B355" t="s">
        <v>36</v>
      </c>
      <c r="C355" t="s">
        <v>561</v>
      </c>
      <c r="D355" t="s">
        <v>643</v>
      </c>
      <c r="E355" s="1">
        <v>45360</v>
      </c>
      <c r="F355" s="1">
        <v>45365</v>
      </c>
      <c r="G355" s="1">
        <v>45369</v>
      </c>
      <c r="H355" s="4">
        <f>IF(Claims_Cleaned[[#This Row],[processed_date]]="","",Claims_Cleaned[[#This Row],[processed_date]]-Claims_Cleaned[[#This Row],[submission_date]])</f>
        <v>4</v>
      </c>
      <c r="I355" s="4" t="str">
        <f>TEXT(Claims_Cleaned[[#This Row],[claim_date]],"mmm-yyyy")</f>
        <v>Mar-2024</v>
      </c>
      <c r="J355" t="s">
        <v>11</v>
      </c>
      <c r="K355">
        <v>2250.25</v>
      </c>
      <c r="L355" t="s">
        <v>683</v>
      </c>
      <c r="M355">
        <v>4</v>
      </c>
    </row>
    <row r="356" spans="1:13" x14ac:dyDescent="0.35">
      <c r="A356" t="s">
        <v>2049</v>
      </c>
      <c r="B356" t="s">
        <v>372</v>
      </c>
      <c r="C356" t="s">
        <v>537</v>
      </c>
      <c r="D356" t="s">
        <v>643</v>
      </c>
      <c r="E356" s="1">
        <v>45125</v>
      </c>
      <c r="F356" s="1">
        <v>45126</v>
      </c>
      <c r="G356" s="1">
        <v>45140</v>
      </c>
      <c r="H356" s="4">
        <f>IF(Claims_Cleaned[[#This Row],[processed_date]]="","",Claims_Cleaned[[#This Row],[processed_date]]-Claims_Cleaned[[#This Row],[submission_date]])</f>
        <v>14</v>
      </c>
      <c r="I356" s="4" t="str">
        <f>TEXT(Claims_Cleaned[[#This Row],[claim_date]],"mmm-yyyy")</f>
        <v>Jul-2023</v>
      </c>
      <c r="J356" t="s">
        <v>13</v>
      </c>
      <c r="K356">
        <v>2245.27</v>
      </c>
      <c r="L356" t="s">
        <v>683</v>
      </c>
      <c r="M356">
        <v>14</v>
      </c>
    </row>
    <row r="357" spans="1:13" x14ac:dyDescent="0.35">
      <c r="A357" t="s">
        <v>2290</v>
      </c>
      <c r="B357" t="s">
        <v>165</v>
      </c>
      <c r="C357" t="s">
        <v>573</v>
      </c>
      <c r="D357" t="s">
        <v>643</v>
      </c>
      <c r="E357" s="1">
        <v>45595</v>
      </c>
      <c r="F357" s="1">
        <v>45598</v>
      </c>
      <c r="G357" s="1">
        <v>45610</v>
      </c>
      <c r="H357" s="4">
        <f>IF(Claims_Cleaned[[#This Row],[processed_date]]="","",Claims_Cleaned[[#This Row],[processed_date]]-Claims_Cleaned[[#This Row],[submission_date]])</f>
        <v>12</v>
      </c>
      <c r="I357" s="4" t="str">
        <f>TEXT(Claims_Cleaned[[#This Row],[claim_date]],"mmm-yyyy")</f>
        <v>Oct-2024</v>
      </c>
      <c r="J357" t="s">
        <v>25</v>
      </c>
      <c r="K357">
        <v>2243.54</v>
      </c>
      <c r="L357" t="s">
        <v>683</v>
      </c>
      <c r="M357">
        <v>12</v>
      </c>
    </row>
    <row r="358" spans="1:13" x14ac:dyDescent="0.35">
      <c r="A358" t="s">
        <v>1257</v>
      </c>
      <c r="B358" t="s">
        <v>69</v>
      </c>
      <c r="C358" t="s">
        <v>573</v>
      </c>
      <c r="D358" t="s">
        <v>643</v>
      </c>
      <c r="E358" s="1">
        <v>45258</v>
      </c>
      <c r="F358" s="1">
        <v>45260</v>
      </c>
      <c r="G358" s="1">
        <v>45280</v>
      </c>
      <c r="H358" s="4">
        <f>IF(Claims_Cleaned[[#This Row],[processed_date]]="","",Claims_Cleaned[[#This Row],[processed_date]]-Claims_Cleaned[[#This Row],[submission_date]])</f>
        <v>20</v>
      </c>
      <c r="I358" s="4" t="str">
        <f>TEXT(Claims_Cleaned[[#This Row],[claim_date]],"mmm-yyyy")</f>
        <v>Nov-2023</v>
      </c>
      <c r="J358" t="s">
        <v>25</v>
      </c>
      <c r="K358">
        <v>2243.29</v>
      </c>
      <c r="L358" t="s">
        <v>683</v>
      </c>
      <c r="M358">
        <v>20</v>
      </c>
    </row>
    <row r="359" spans="1:13" x14ac:dyDescent="0.35">
      <c r="A359" t="s">
        <v>1778</v>
      </c>
      <c r="B359" t="s">
        <v>255</v>
      </c>
      <c r="C359" t="s">
        <v>589</v>
      </c>
      <c r="D359" t="s">
        <v>643</v>
      </c>
      <c r="E359" s="1">
        <v>45108</v>
      </c>
      <c r="F359" s="1">
        <v>45111</v>
      </c>
      <c r="G359" s="1">
        <v>45126</v>
      </c>
      <c r="H359" s="4">
        <f>IF(Claims_Cleaned[[#This Row],[processed_date]]="","",Claims_Cleaned[[#This Row],[processed_date]]-Claims_Cleaned[[#This Row],[submission_date]])</f>
        <v>15</v>
      </c>
      <c r="I359" s="4" t="str">
        <f>TEXT(Claims_Cleaned[[#This Row],[claim_date]],"mmm-yyyy")</f>
        <v>Jul-2023</v>
      </c>
      <c r="J359" t="s">
        <v>20</v>
      </c>
      <c r="K359">
        <v>2240.0700000000002</v>
      </c>
      <c r="L359" t="s">
        <v>683</v>
      </c>
      <c r="M359">
        <v>15</v>
      </c>
    </row>
    <row r="360" spans="1:13" x14ac:dyDescent="0.35">
      <c r="A360" t="s">
        <v>2468</v>
      </c>
      <c r="B360" t="s">
        <v>248</v>
      </c>
      <c r="C360" t="s">
        <v>549</v>
      </c>
      <c r="D360" t="s">
        <v>641</v>
      </c>
      <c r="E360" s="1">
        <v>45065</v>
      </c>
      <c r="F360" s="1">
        <v>45066</v>
      </c>
      <c r="G360" s="1">
        <v>45075</v>
      </c>
      <c r="H360" s="4">
        <f>IF(Claims_Cleaned[[#This Row],[processed_date]]="","",Claims_Cleaned[[#This Row],[processed_date]]-Claims_Cleaned[[#This Row],[submission_date]])</f>
        <v>9</v>
      </c>
      <c r="I360" s="4" t="str">
        <f>TEXT(Claims_Cleaned[[#This Row],[claim_date]],"mmm-yyyy")</f>
        <v>May-2023</v>
      </c>
      <c r="J360" t="s">
        <v>11</v>
      </c>
      <c r="K360">
        <v>2235.96</v>
      </c>
      <c r="L360" t="s">
        <v>683</v>
      </c>
      <c r="M360">
        <v>9</v>
      </c>
    </row>
    <row r="361" spans="1:13" x14ac:dyDescent="0.35">
      <c r="A361" t="s">
        <v>2426</v>
      </c>
      <c r="B361" t="s">
        <v>516</v>
      </c>
      <c r="C361" t="s">
        <v>531</v>
      </c>
      <c r="D361" t="s">
        <v>643</v>
      </c>
      <c r="E361" s="1">
        <v>45565</v>
      </c>
      <c r="F361" s="1">
        <v>45569</v>
      </c>
      <c r="G361" s="1"/>
      <c r="H361" s="4" t="str">
        <f>IF(Claims_Cleaned[[#This Row],[processed_date]]="","",Claims_Cleaned[[#This Row],[processed_date]]-Claims_Cleaned[[#This Row],[submission_date]])</f>
        <v/>
      </c>
      <c r="I361" s="4" t="str">
        <f>TEXT(Claims_Cleaned[[#This Row],[claim_date]],"mmm-yyyy")</f>
        <v>Sep-2024</v>
      </c>
      <c r="J361" t="s">
        <v>8</v>
      </c>
      <c r="K361">
        <v>2228.4699999999998</v>
      </c>
      <c r="L361" t="s">
        <v>689</v>
      </c>
    </row>
    <row r="362" spans="1:13" x14ac:dyDescent="0.35">
      <c r="A362" t="s">
        <v>1617</v>
      </c>
      <c r="B362" t="s">
        <v>72</v>
      </c>
      <c r="C362" t="s">
        <v>611</v>
      </c>
      <c r="D362" t="s">
        <v>643</v>
      </c>
      <c r="E362" s="1">
        <v>45159</v>
      </c>
      <c r="F362" s="1">
        <v>45164</v>
      </c>
      <c r="G362" s="1"/>
      <c r="H362" s="4" t="str">
        <f>IF(Claims_Cleaned[[#This Row],[processed_date]]="","",Claims_Cleaned[[#This Row],[processed_date]]-Claims_Cleaned[[#This Row],[submission_date]])</f>
        <v/>
      </c>
      <c r="I362" s="4" t="str">
        <f>TEXT(Claims_Cleaned[[#This Row],[claim_date]],"mmm-yyyy")</f>
        <v>Aug-2023</v>
      </c>
      <c r="J362" t="s">
        <v>20</v>
      </c>
      <c r="K362">
        <v>2213.87</v>
      </c>
      <c r="L362" t="s">
        <v>689</v>
      </c>
    </row>
    <row r="363" spans="1:13" x14ac:dyDescent="0.35">
      <c r="A363" t="s">
        <v>2415</v>
      </c>
      <c r="B363" t="s">
        <v>457</v>
      </c>
      <c r="C363" t="s">
        <v>603</v>
      </c>
      <c r="D363" t="s">
        <v>643</v>
      </c>
      <c r="E363" s="1">
        <v>45240</v>
      </c>
      <c r="F363" s="1">
        <v>45244</v>
      </c>
      <c r="G363" s="1">
        <v>45273</v>
      </c>
      <c r="H363" s="4">
        <f>IF(Claims_Cleaned[[#This Row],[processed_date]]="","",Claims_Cleaned[[#This Row],[processed_date]]-Claims_Cleaned[[#This Row],[submission_date]])</f>
        <v>29</v>
      </c>
      <c r="I363" s="4" t="str">
        <f>TEXT(Claims_Cleaned[[#This Row],[claim_date]],"mmm-yyyy")</f>
        <v>Nov-2023</v>
      </c>
      <c r="J363" t="s">
        <v>11</v>
      </c>
      <c r="K363">
        <v>2213.66</v>
      </c>
      <c r="L363" t="s">
        <v>683</v>
      </c>
      <c r="M363">
        <v>29</v>
      </c>
    </row>
    <row r="364" spans="1:13" x14ac:dyDescent="0.35">
      <c r="A364" t="s">
        <v>688</v>
      </c>
      <c r="B364" t="s">
        <v>123</v>
      </c>
      <c r="C364" t="s">
        <v>607</v>
      </c>
      <c r="D364" t="s">
        <v>641</v>
      </c>
      <c r="E364" s="1">
        <v>45303</v>
      </c>
      <c r="F364" s="1">
        <v>45308</v>
      </c>
      <c r="G364" s="1"/>
      <c r="H364" s="4" t="str">
        <f>IF(Claims_Cleaned[[#This Row],[processed_date]]="","",Claims_Cleaned[[#This Row],[processed_date]]-Claims_Cleaned[[#This Row],[submission_date]])</f>
        <v/>
      </c>
      <c r="I364" s="4" t="str">
        <f>TEXT(Claims_Cleaned[[#This Row],[claim_date]],"mmm-yyyy")</f>
        <v>Jan-2024</v>
      </c>
      <c r="J364" t="s">
        <v>8</v>
      </c>
      <c r="K364">
        <v>2210.75</v>
      </c>
      <c r="L364" t="s">
        <v>689</v>
      </c>
    </row>
    <row r="365" spans="1:13" x14ac:dyDescent="0.35">
      <c r="A365" t="s">
        <v>1644</v>
      </c>
      <c r="B365" t="s">
        <v>397</v>
      </c>
      <c r="C365" t="s">
        <v>611</v>
      </c>
      <c r="D365" t="s">
        <v>643</v>
      </c>
      <c r="E365" s="1">
        <v>45334</v>
      </c>
      <c r="F365" s="1">
        <v>45339</v>
      </c>
      <c r="G365" s="1">
        <v>45347</v>
      </c>
      <c r="H365" s="4">
        <f>IF(Claims_Cleaned[[#This Row],[processed_date]]="","",Claims_Cleaned[[#This Row],[processed_date]]-Claims_Cleaned[[#This Row],[submission_date]])</f>
        <v>8</v>
      </c>
      <c r="I365" s="4" t="str">
        <f>TEXT(Claims_Cleaned[[#This Row],[claim_date]],"mmm-yyyy")</f>
        <v>Feb-2024</v>
      </c>
      <c r="J365" t="s">
        <v>11</v>
      </c>
      <c r="K365">
        <v>2209.81</v>
      </c>
      <c r="L365" t="s">
        <v>683</v>
      </c>
      <c r="M365">
        <v>8</v>
      </c>
    </row>
    <row r="366" spans="1:13" x14ac:dyDescent="0.35">
      <c r="A366" t="s">
        <v>1188</v>
      </c>
      <c r="B366" t="s">
        <v>34</v>
      </c>
      <c r="C366" t="s">
        <v>557</v>
      </c>
      <c r="D366" t="s">
        <v>641</v>
      </c>
      <c r="E366" s="1">
        <v>45274</v>
      </c>
      <c r="F366" s="1">
        <v>45278</v>
      </c>
      <c r="G366" s="1">
        <v>45293</v>
      </c>
      <c r="H366" s="4">
        <f>IF(Claims_Cleaned[[#This Row],[processed_date]]="","",Claims_Cleaned[[#This Row],[processed_date]]-Claims_Cleaned[[#This Row],[submission_date]])</f>
        <v>15</v>
      </c>
      <c r="I366" s="4" t="str">
        <f>TEXT(Claims_Cleaned[[#This Row],[claim_date]],"mmm-yyyy")</f>
        <v>Dec-2023</v>
      </c>
      <c r="J366" t="s">
        <v>11</v>
      </c>
      <c r="K366">
        <v>2201.0500000000002</v>
      </c>
      <c r="L366" t="s">
        <v>683</v>
      </c>
      <c r="M366">
        <v>15</v>
      </c>
    </row>
    <row r="367" spans="1:13" x14ac:dyDescent="0.35">
      <c r="A367" t="s">
        <v>2043</v>
      </c>
      <c r="B367" t="s">
        <v>422</v>
      </c>
      <c r="C367" t="s">
        <v>565</v>
      </c>
      <c r="D367" t="s">
        <v>643</v>
      </c>
      <c r="E367" s="1">
        <v>45025</v>
      </c>
      <c r="F367" s="1">
        <v>45030</v>
      </c>
      <c r="G367" s="1">
        <v>45051</v>
      </c>
      <c r="H367" s="4">
        <f>IF(Claims_Cleaned[[#This Row],[processed_date]]="","",Claims_Cleaned[[#This Row],[processed_date]]-Claims_Cleaned[[#This Row],[submission_date]])</f>
        <v>21</v>
      </c>
      <c r="I367" s="4" t="str">
        <f>TEXT(Claims_Cleaned[[#This Row],[claim_date]],"mmm-yyyy")</f>
        <v>Apr-2023</v>
      </c>
      <c r="J367" t="s">
        <v>11</v>
      </c>
      <c r="K367">
        <v>2200.89</v>
      </c>
      <c r="L367" t="s">
        <v>683</v>
      </c>
      <c r="M367">
        <v>21</v>
      </c>
    </row>
    <row r="368" spans="1:13" x14ac:dyDescent="0.35">
      <c r="A368" t="s">
        <v>2021</v>
      </c>
      <c r="B368" t="s">
        <v>211</v>
      </c>
      <c r="C368" t="s">
        <v>575</v>
      </c>
      <c r="D368" t="s">
        <v>641</v>
      </c>
      <c r="E368" s="1">
        <v>45017</v>
      </c>
      <c r="F368" s="1">
        <v>45020</v>
      </c>
      <c r="G368" s="1">
        <v>45045</v>
      </c>
      <c r="H368" s="4">
        <f>IF(Claims_Cleaned[[#This Row],[processed_date]]="","",Claims_Cleaned[[#This Row],[processed_date]]-Claims_Cleaned[[#This Row],[submission_date]])</f>
        <v>25</v>
      </c>
      <c r="I368" s="4" t="str">
        <f>TEXT(Claims_Cleaned[[#This Row],[claim_date]],"mmm-yyyy")</f>
        <v>Apr-2023</v>
      </c>
      <c r="J368" t="s">
        <v>11</v>
      </c>
      <c r="K368">
        <v>2196.19</v>
      </c>
      <c r="L368" t="s">
        <v>683</v>
      </c>
      <c r="M368">
        <v>25</v>
      </c>
    </row>
    <row r="369" spans="1:13" x14ac:dyDescent="0.35">
      <c r="A369" t="s">
        <v>2082</v>
      </c>
      <c r="B369" t="s">
        <v>16</v>
      </c>
      <c r="C369" t="s">
        <v>569</v>
      </c>
      <c r="D369" t="s">
        <v>641</v>
      </c>
      <c r="E369" s="1">
        <v>45462</v>
      </c>
      <c r="F369" s="1">
        <v>45464</v>
      </c>
      <c r="G369" s="1">
        <v>45492</v>
      </c>
      <c r="H369" s="4">
        <f>IF(Claims_Cleaned[[#This Row],[processed_date]]="","",Claims_Cleaned[[#This Row],[processed_date]]-Claims_Cleaned[[#This Row],[submission_date]])</f>
        <v>28</v>
      </c>
      <c r="I369" s="4" t="str">
        <f>TEXT(Claims_Cleaned[[#This Row],[claim_date]],"mmm-yyyy")</f>
        <v>Jun-2024</v>
      </c>
      <c r="J369" t="s">
        <v>8</v>
      </c>
      <c r="K369">
        <v>2193.94</v>
      </c>
      <c r="L369" t="s">
        <v>683</v>
      </c>
      <c r="M369">
        <v>28</v>
      </c>
    </row>
    <row r="370" spans="1:13" x14ac:dyDescent="0.35">
      <c r="A370" t="s">
        <v>1099</v>
      </c>
      <c r="B370" t="s">
        <v>66</v>
      </c>
      <c r="C370" t="s">
        <v>603</v>
      </c>
      <c r="D370" t="s">
        <v>641</v>
      </c>
      <c r="E370" s="1">
        <v>45588</v>
      </c>
      <c r="F370" s="1">
        <v>45591</v>
      </c>
      <c r="G370" s="1">
        <v>45605</v>
      </c>
      <c r="H370" s="4">
        <f>IF(Claims_Cleaned[[#This Row],[processed_date]]="","",Claims_Cleaned[[#This Row],[processed_date]]-Claims_Cleaned[[#This Row],[submission_date]])</f>
        <v>14</v>
      </c>
      <c r="I370" s="4" t="str">
        <f>TEXT(Claims_Cleaned[[#This Row],[claim_date]],"mmm-yyyy")</f>
        <v>Oct-2024</v>
      </c>
      <c r="J370" t="s">
        <v>11</v>
      </c>
      <c r="K370">
        <v>2187.7399999999998</v>
      </c>
      <c r="L370" t="s">
        <v>683</v>
      </c>
      <c r="M370">
        <v>14</v>
      </c>
    </row>
    <row r="371" spans="1:13" x14ac:dyDescent="0.35">
      <c r="A371" t="s">
        <v>2261</v>
      </c>
      <c r="B371" t="s">
        <v>166</v>
      </c>
      <c r="C371" t="s">
        <v>583</v>
      </c>
      <c r="D371" t="s">
        <v>641</v>
      </c>
      <c r="E371" s="1">
        <v>45415</v>
      </c>
      <c r="F371" s="1">
        <v>45420</v>
      </c>
      <c r="G371" s="1"/>
      <c r="H371" s="4" t="str">
        <f>IF(Claims_Cleaned[[#This Row],[processed_date]]="","",Claims_Cleaned[[#This Row],[processed_date]]-Claims_Cleaned[[#This Row],[submission_date]])</f>
        <v/>
      </c>
      <c r="I371" s="4" t="str">
        <f>TEXT(Claims_Cleaned[[#This Row],[claim_date]],"mmm-yyyy")</f>
        <v>May-2024</v>
      </c>
      <c r="J371" t="s">
        <v>8</v>
      </c>
      <c r="K371">
        <v>2184.36</v>
      </c>
      <c r="L371" t="s">
        <v>689</v>
      </c>
    </row>
    <row r="372" spans="1:13" x14ac:dyDescent="0.35">
      <c r="A372" t="s">
        <v>1772</v>
      </c>
      <c r="B372" t="s">
        <v>330</v>
      </c>
      <c r="C372" t="s">
        <v>546</v>
      </c>
      <c r="D372" t="s">
        <v>643</v>
      </c>
      <c r="E372" s="1">
        <v>45064</v>
      </c>
      <c r="F372" s="1">
        <v>45067</v>
      </c>
      <c r="G372" s="1">
        <v>45092</v>
      </c>
      <c r="H372" s="4">
        <f>IF(Claims_Cleaned[[#This Row],[processed_date]]="","",Claims_Cleaned[[#This Row],[processed_date]]-Claims_Cleaned[[#This Row],[submission_date]])</f>
        <v>25</v>
      </c>
      <c r="I372" s="4" t="str">
        <f>TEXT(Claims_Cleaned[[#This Row],[claim_date]],"mmm-yyyy")</f>
        <v>May-2023</v>
      </c>
      <c r="J372" t="s">
        <v>25</v>
      </c>
      <c r="K372">
        <v>2179.46</v>
      </c>
      <c r="L372" t="s">
        <v>687</v>
      </c>
      <c r="M372">
        <v>25</v>
      </c>
    </row>
    <row r="373" spans="1:13" x14ac:dyDescent="0.35">
      <c r="A373" t="s">
        <v>2241</v>
      </c>
      <c r="B373" t="s">
        <v>31</v>
      </c>
      <c r="C373" t="s">
        <v>527</v>
      </c>
      <c r="D373" t="s">
        <v>643</v>
      </c>
      <c r="E373" s="1">
        <v>45426</v>
      </c>
      <c r="F373" s="1">
        <v>45431</v>
      </c>
      <c r="G373" s="1">
        <v>45457</v>
      </c>
      <c r="H373" s="4">
        <f>IF(Claims_Cleaned[[#This Row],[processed_date]]="","",Claims_Cleaned[[#This Row],[processed_date]]-Claims_Cleaned[[#This Row],[submission_date]])</f>
        <v>26</v>
      </c>
      <c r="I373" s="4" t="str">
        <f>TEXT(Claims_Cleaned[[#This Row],[claim_date]],"mmm-yyyy")</f>
        <v>May-2024</v>
      </c>
      <c r="J373" t="s">
        <v>11</v>
      </c>
      <c r="K373">
        <v>2176.13</v>
      </c>
      <c r="L373" t="s">
        <v>683</v>
      </c>
      <c r="M373">
        <v>26</v>
      </c>
    </row>
    <row r="374" spans="1:13" x14ac:dyDescent="0.35">
      <c r="A374" t="s">
        <v>2010</v>
      </c>
      <c r="B374" t="s">
        <v>167</v>
      </c>
      <c r="C374" t="s">
        <v>559</v>
      </c>
      <c r="D374" t="s">
        <v>641</v>
      </c>
      <c r="E374" s="1">
        <v>45601</v>
      </c>
      <c r="F374" s="1">
        <v>45603</v>
      </c>
      <c r="G374" s="1">
        <v>45612</v>
      </c>
      <c r="H374" s="4">
        <f>IF(Claims_Cleaned[[#This Row],[processed_date]]="","",Claims_Cleaned[[#This Row],[processed_date]]-Claims_Cleaned[[#This Row],[submission_date]])</f>
        <v>9</v>
      </c>
      <c r="I374" s="4" t="str">
        <f>TEXT(Claims_Cleaned[[#This Row],[claim_date]],"mmm-yyyy")</f>
        <v>Nov-2024</v>
      </c>
      <c r="J374" t="s">
        <v>11</v>
      </c>
      <c r="K374">
        <v>2173.21</v>
      </c>
      <c r="L374" t="s">
        <v>683</v>
      </c>
      <c r="M374">
        <v>9</v>
      </c>
    </row>
    <row r="375" spans="1:13" x14ac:dyDescent="0.35">
      <c r="A375" t="s">
        <v>1600</v>
      </c>
      <c r="B375" t="s">
        <v>467</v>
      </c>
      <c r="C375" t="s">
        <v>537</v>
      </c>
      <c r="D375" t="s">
        <v>643</v>
      </c>
      <c r="E375" s="1">
        <v>45376</v>
      </c>
      <c r="F375" s="1">
        <v>45381</v>
      </c>
      <c r="G375" s="1"/>
      <c r="H375" s="4" t="str">
        <f>IF(Claims_Cleaned[[#This Row],[processed_date]]="","",Claims_Cleaned[[#This Row],[processed_date]]-Claims_Cleaned[[#This Row],[submission_date]])</f>
        <v/>
      </c>
      <c r="I375" s="4" t="str">
        <f>TEXT(Claims_Cleaned[[#This Row],[claim_date]],"mmm-yyyy")</f>
        <v>Mar-2024</v>
      </c>
      <c r="J375" t="s">
        <v>13</v>
      </c>
      <c r="K375">
        <v>2159.88</v>
      </c>
      <c r="L375" t="s">
        <v>689</v>
      </c>
    </row>
    <row r="376" spans="1:13" x14ac:dyDescent="0.35">
      <c r="A376" t="s">
        <v>1823</v>
      </c>
      <c r="B376" t="s">
        <v>439</v>
      </c>
      <c r="C376" t="s">
        <v>575</v>
      </c>
      <c r="D376" t="s">
        <v>641</v>
      </c>
      <c r="E376" s="1">
        <v>45430</v>
      </c>
      <c r="F376" s="1">
        <v>45434</v>
      </c>
      <c r="G376" s="1">
        <v>45438</v>
      </c>
      <c r="H376" s="4">
        <f>IF(Claims_Cleaned[[#This Row],[processed_date]]="","",Claims_Cleaned[[#This Row],[processed_date]]-Claims_Cleaned[[#This Row],[submission_date]])</f>
        <v>4</v>
      </c>
      <c r="I376" s="4" t="str">
        <f>TEXT(Claims_Cleaned[[#This Row],[claim_date]],"mmm-yyyy")</f>
        <v>May-2024</v>
      </c>
      <c r="J376" t="s">
        <v>11</v>
      </c>
      <c r="K376">
        <v>2157.04</v>
      </c>
      <c r="L376" t="s">
        <v>683</v>
      </c>
      <c r="M376">
        <v>4</v>
      </c>
    </row>
    <row r="377" spans="1:13" x14ac:dyDescent="0.35">
      <c r="A377" t="s">
        <v>908</v>
      </c>
      <c r="B377" t="s">
        <v>251</v>
      </c>
      <c r="C377" t="s">
        <v>599</v>
      </c>
      <c r="D377" t="s">
        <v>643</v>
      </c>
      <c r="E377" s="1">
        <v>45317</v>
      </c>
      <c r="F377" s="1">
        <v>45321</v>
      </c>
      <c r="G377" s="1">
        <v>45348</v>
      </c>
      <c r="H377" s="4">
        <f>IF(Claims_Cleaned[[#This Row],[processed_date]]="","",Claims_Cleaned[[#This Row],[processed_date]]-Claims_Cleaned[[#This Row],[submission_date]])</f>
        <v>27</v>
      </c>
      <c r="I377" s="4" t="str">
        <f>TEXT(Claims_Cleaned[[#This Row],[claim_date]],"mmm-yyyy")</f>
        <v>Jan-2024</v>
      </c>
      <c r="J377" t="s">
        <v>13</v>
      </c>
      <c r="K377">
        <v>2155.1999999999998</v>
      </c>
      <c r="L377" t="s">
        <v>683</v>
      </c>
      <c r="M377">
        <v>27</v>
      </c>
    </row>
    <row r="378" spans="1:13" x14ac:dyDescent="0.35">
      <c r="A378" t="s">
        <v>1848</v>
      </c>
      <c r="B378" t="s">
        <v>473</v>
      </c>
      <c r="C378" t="s">
        <v>569</v>
      </c>
      <c r="D378" t="s">
        <v>643</v>
      </c>
      <c r="E378" s="1">
        <v>45360</v>
      </c>
      <c r="F378" s="1">
        <v>45365</v>
      </c>
      <c r="G378" s="1">
        <v>45380</v>
      </c>
      <c r="H378" s="4">
        <f>IF(Claims_Cleaned[[#This Row],[processed_date]]="","",Claims_Cleaned[[#This Row],[processed_date]]-Claims_Cleaned[[#This Row],[submission_date]])</f>
        <v>15</v>
      </c>
      <c r="I378" s="4" t="str">
        <f>TEXT(Claims_Cleaned[[#This Row],[claim_date]],"mmm-yyyy")</f>
        <v>Mar-2024</v>
      </c>
      <c r="J378" t="s">
        <v>11</v>
      </c>
      <c r="K378">
        <v>2154.66</v>
      </c>
      <c r="L378" t="s">
        <v>683</v>
      </c>
      <c r="M378">
        <v>15</v>
      </c>
    </row>
    <row r="379" spans="1:13" x14ac:dyDescent="0.35">
      <c r="A379" t="s">
        <v>1766</v>
      </c>
      <c r="B379" t="s">
        <v>81</v>
      </c>
      <c r="C379" t="s">
        <v>577</v>
      </c>
      <c r="D379" t="s">
        <v>641</v>
      </c>
      <c r="E379" s="1">
        <v>45512</v>
      </c>
      <c r="F379" s="1">
        <v>45517</v>
      </c>
      <c r="G379" s="1">
        <v>45529</v>
      </c>
      <c r="H379" s="4">
        <f>IF(Claims_Cleaned[[#This Row],[processed_date]]="","",Claims_Cleaned[[#This Row],[processed_date]]-Claims_Cleaned[[#This Row],[submission_date]])</f>
        <v>12</v>
      </c>
      <c r="I379" s="4" t="str">
        <f>TEXT(Claims_Cleaned[[#This Row],[claim_date]],"mmm-yyyy")</f>
        <v>Aug-2024</v>
      </c>
      <c r="J379" t="s">
        <v>20</v>
      </c>
      <c r="K379">
        <v>2150.11</v>
      </c>
      <c r="L379" t="s">
        <v>687</v>
      </c>
      <c r="M379">
        <v>12</v>
      </c>
    </row>
    <row r="380" spans="1:13" x14ac:dyDescent="0.35">
      <c r="A380" t="s">
        <v>1341</v>
      </c>
      <c r="B380" t="s">
        <v>288</v>
      </c>
      <c r="C380" t="s">
        <v>573</v>
      </c>
      <c r="D380" t="s">
        <v>641</v>
      </c>
      <c r="E380" s="1">
        <v>45114</v>
      </c>
      <c r="F380" s="1">
        <v>45116</v>
      </c>
      <c r="G380" s="1">
        <v>45141</v>
      </c>
      <c r="H380" s="4">
        <f>IF(Claims_Cleaned[[#This Row],[processed_date]]="","",Claims_Cleaned[[#This Row],[processed_date]]-Claims_Cleaned[[#This Row],[submission_date]])</f>
        <v>25</v>
      </c>
      <c r="I380" s="4" t="str">
        <f>TEXT(Claims_Cleaned[[#This Row],[claim_date]],"mmm-yyyy")</f>
        <v>Jul-2023</v>
      </c>
      <c r="J380" t="s">
        <v>11</v>
      </c>
      <c r="K380">
        <v>2148.6999999999998</v>
      </c>
      <c r="L380" t="s">
        <v>683</v>
      </c>
      <c r="M380">
        <v>25</v>
      </c>
    </row>
    <row r="381" spans="1:13" x14ac:dyDescent="0.35">
      <c r="A381" t="s">
        <v>2665</v>
      </c>
      <c r="B381" t="s">
        <v>245</v>
      </c>
      <c r="C381" t="s">
        <v>553</v>
      </c>
      <c r="D381" t="s">
        <v>641</v>
      </c>
      <c r="E381" s="1">
        <v>45042</v>
      </c>
      <c r="F381" s="1">
        <v>45046</v>
      </c>
      <c r="G381" s="1">
        <v>45066</v>
      </c>
      <c r="H381" s="4">
        <f>IF(Claims_Cleaned[[#This Row],[processed_date]]="","",Claims_Cleaned[[#This Row],[processed_date]]-Claims_Cleaned[[#This Row],[submission_date]])</f>
        <v>20</v>
      </c>
      <c r="I381" s="4" t="str">
        <f>TEXT(Claims_Cleaned[[#This Row],[claim_date]],"mmm-yyyy")</f>
        <v>Apr-2023</v>
      </c>
      <c r="J381" t="s">
        <v>8</v>
      </c>
      <c r="K381">
        <v>2147.4499999999998</v>
      </c>
      <c r="L381" t="s">
        <v>683</v>
      </c>
      <c r="M381">
        <v>20</v>
      </c>
    </row>
    <row r="382" spans="1:13" x14ac:dyDescent="0.35">
      <c r="A382" t="s">
        <v>2030</v>
      </c>
      <c r="B382" t="s">
        <v>37</v>
      </c>
      <c r="C382" t="s">
        <v>521</v>
      </c>
      <c r="D382" t="s">
        <v>641</v>
      </c>
      <c r="E382" s="1">
        <v>45241</v>
      </c>
      <c r="F382" s="1">
        <v>45244</v>
      </c>
      <c r="G382" s="1">
        <v>45250</v>
      </c>
      <c r="H382" s="4">
        <f>IF(Claims_Cleaned[[#This Row],[processed_date]]="","",Claims_Cleaned[[#This Row],[processed_date]]-Claims_Cleaned[[#This Row],[submission_date]])</f>
        <v>6</v>
      </c>
      <c r="I382" s="4" t="str">
        <f>TEXT(Claims_Cleaned[[#This Row],[claim_date]],"mmm-yyyy")</f>
        <v>Nov-2023</v>
      </c>
      <c r="J382" t="s">
        <v>8</v>
      </c>
      <c r="K382">
        <v>2141.77</v>
      </c>
      <c r="L382" t="s">
        <v>687</v>
      </c>
      <c r="M382">
        <v>6</v>
      </c>
    </row>
    <row r="383" spans="1:13" x14ac:dyDescent="0.35">
      <c r="A383" t="s">
        <v>1912</v>
      </c>
      <c r="B383" t="s">
        <v>384</v>
      </c>
      <c r="C383" t="s">
        <v>527</v>
      </c>
      <c r="D383" t="s">
        <v>643</v>
      </c>
      <c r="E383" s="1">
        <v>44929</v>
      </c>
      <c r="F383" s="1">
        <v>44934</v>
      </c>
      <c r="G383" s="1"/>
      <c r="H383" s="4" t="str">
        <f>IF(Claims_Cleaned[[#This Row],[processed_date]]="","",Claims_Cleaned[[#This Row],[processed_date]]-Claims_Cleaned[[#This Row],[submission_date]])</f>
        <v/>
      </c>
      <c r="I383" s="4" t="str">
        <f>TEXT(Claims_Cleaned[[#This Row],[claim_date]],"mmm-yyyy")</f>
        <v>Jan-2023</v>
      </c>
      <c r="J383" t="s">
        <v>13</v>
      </c>
      <c r="K383">
        <v>2139.2600000000002</v>
      </c>
      <c r="L383" t="s">
        <v>689</v>
      </c>
    </row>
    <row r="384" spans="1:13" x14ac:dyDescent="0.35">
      <c r="A384" t="s">
        <v>941</v>
      </c>
      <c r="B384" t="s">
        <v>207</v>
      </c>
      <c r="C384" t="s">
        <v>546</v>
      </c>
      <c r="D384" t="s">
        <v>641</v>
      </c>
      <c r="E384" s="1">
        <v>45430</v>
      </c>
      <c r="F384" s="1">
        <v>45434</v>
      </c>
      <c r="G384" s="1">
        <v>45459</v>
      </c>
      <c r="H384" s="4">
        <f>IF(Claims_Cleaned[[#This Row],[processed_date]]="","",Claims_Cleaned[[#This Row],[processed_date]]-Claims_Cleaned[[#This Row],[submission_date]])</f>
        <v>25</v>
      </c>
      <c r="I384" s="4" t="str">
        <f>TEXT(Claims_Cleaned[[#This Row],[claim_date]],"mmm-yyyy")</f>
        <v>May-2024</v>
      </c>
      <c r="J384" t="s">
        <v>11</v>
      </c>
      <c r="K384">
        <v>2135.2800000000002</v>
      </c>
      <c r="L384" t="s">
        <v>683</v>
      </c>
      <c r="M384">
        <v>25</v>
      </c>
    </row>
    <row r="385" spans="1:13" x14ac:dyDescent="0.35">
      <c r="A385" t="s">
        <v>1825</v>
      </c>
      <c r="B385" t="s">
        <v>114</v>
      </c>
      <c r="C385" t="s">
        <v>573</v>
      </c>
      <c r="D385" t="s">
        <v>643</v>
      </c>
      <c r="E385" s="1">
        <v>44971</v>
      </c>
      <c r="F385" s="1">
        <v>44973</v>
      </c>
      <c r="G385" s="1">
        <v>45000</v>
      </c>
      <c r="H385" s="4">
        <f>IF(Claims_Cleaned[[#This Row],[processed_date]]="","",Claims_Cleaned[[#This Row],[processed_date]]-Claims_Cleaned[[#This Row],[submission_date]])</f>
        <v>27</v>
      </c>
      <c r="I385" s="4" t="str">
        <f>TEXT(Claims_Cleaned[[#This Row],[claim_date]],"mmm-yyyy")</f>
        <v>Feb-2023</v>
      </c>
      <c r="J385" t="s">
        <v>20</v>
      </c>
      <c r="K385">
        <v>2131.9299999999998</v>
      </c>
      <c r="L385" t="s">
        <v>683</v>
      </c>
      <c r="M385">
        <v>27</v>
      </c>
    </row>
    <row r="386" spans="1:13" x14ac:dyDescent="0.35">
      <c r="A386" t="s">
        <v>1961</v>
      </c>
      <c r="B386" t="s">
        <v>507</v>
      </c>
      <c r="C386" t="s">
        <v>567</v>
      </c>
      <c r="D386" t="s">
        <v>641</v>
      </c>
      <c r="E386" s="1">
        <v>45404</v>
      </c>
      <c r="F386" s="1">
        <v>45405</v>
      </c>
      <c r="G386" s="1">
        <v>45423</v>
      </c>
      <c r="H386" s="4">
        <f>IF(Claims_Cleaned[[#This Row],[processed_date]]="","",Claims_Cleaned[[#This Row],[processed_date]]-Claims_Cleaned[[#This Row],[submission_date]])</f>
        <v>18</v>
      </c>
      <c r="I386" s="4" t="str">
        <f>TEXT(Claims_Cleaned[[#This Row],[claim_date]],"mmm-yyyy")</f>
        <v>Apr-2024</v>
      </c>
      <c r="J386" t="s">
        <v>8</v>
      </c>
      <c r="K386">
        <v>2130.4899999999998</v>
      </c>
      <c r="L386" t="s">
        <v>683</v>
      </c>
      <c r="M386">
        <v>18</v>
      </c>
    </row>
    <row r="387" spans="1:13" x14ac:dyDescent="0.35">
      <c r="A387" t="s">
        <v>1803</v>
      </c>
      <c r="B387" t="s">
        <v>61</v>
      </c>
      <c r="C387" t="s">
        <v>524</v>
      </c>
      <c r="D387" t="s">
        <v>641</v>
      </c>
      <c r="E387" s="1">
        <v>45591</v>
      </c>
      <c r="F387" s="1">
        <v>45592</v>
      </c>
      <c r="G387" s="1">
        <v>45609</v>
      </c>
      <c r="H387" s="4">
        <f>IF(Claims_Cleaned[[#This Row],[processed_date]]="","",Claims_Cleaned[[#This Row],[processed_date]]-Claims_Cleaned[[#This Row],[submission_date]])</f>
        <v>17</v>
      </c>
      <c r="I387" s="4" t="str">
        <f>TEXT(Claims_Cleaned[[#This Row],[claim_date]],"mmm-yyyy")</f>
        <v>Oct-2024</v>
      </c>
      <c r="J387" t="s">
        <v>11</v>
      </c>
      <c r="K387">
        <v>2125.94</v>
      </c>
      <c r="L387" t="s">
        <v>683</v>
      </c>
      <c r="M387">
        <v>17</v>
      </c>
    </row>
    <row r="388" spans="1:13" x14ac:dyDescent="0.35">
      <c r="A388" t="s">
        <v>1703</v>
      </c>
      <c r="B388" t="s">
        <v>159</v>
      </c>
      <c r="C388" t="s">
        <v>561</v>
      </c>
      <c r="D388" t="s">
        <v>641</v>
      </c>
      <c r="E388" s="1">
        <v>44939</v>
      </c>
      <c r="F388" s="1">
        <v>44943</v>
      </c>
      <c r="G388" s="1"/>
      <c r="H388" s="4" t="str">
        <f>IF(Claims_Cleaned[[#This Row],[processed_date]]="","",Claims_Cleaned[[#This Row],[processed_date]]-Claims_Cleaned[[#This Row],[submission_date]])</f>
        <v/>
      </c>
      <c r="I388" s="4" t="str">
        <f>TEXT(Claims_Cleaned[[#This Row],[claim_date]],"mmm-yyyy")</f>
        <v>Jan-2023</v>
      </c>
      <c r="J388" t="s">
        <v>11</v>
      </c>
      <c r="K388">
        <v>2122.08</v>
      </c>
      <c r="L388" t="s">
        <v>689</v>
      </c>
    </row>
    <row r="389" spans="1:13" x14ac:dyDescent="0.35">
      <c r="A389" t="s">
        <v>1732</v>
      </c>
      <c r="B389" t="s">
        <v>289</v>
      </c>
      <c r="C389" t="s">
        <v>546</v>
      </c>
      <c r="D389" t="s">
        <v>643</v>
      </c>
      <c r="E389" s="1">
        <v>45454</v>
      </c>
      <c r="F389" s="1">
        <v>45457</v>
      </c>
      <c r="G389" s="1"/>
      <c r="H389" s="4" t="str">
        <f>IF(Claims_Cleaned[[#This Row],[processed_date]]="","",Claims_Cleaned[[#This Row],[processed_date]]-Claims_Cleaned[[#This Row],[submission_date]])</f>
        <v/>
      </c>
      <c r="I389" s="4" t="str">
        <f>TEXT(Claims_Cleaned[[#This Row],[claim_date]],"mmm-yyyy")</f>
        <v>Jun-2024</v>
      </c>
      <c r="J389" t="s">
        <v>13</v>
      </c>
      <c r="K389">
        <v>2121.2600000000002</v>
      </c>
      <c r="L389" t="s">
        <v>689</v>
      </c>
    </row>
    <row r="390" spans="1:13" x14ac:dyDescent="0.35">
      <c r="A390" t="s">
        <v>1626</v>
      </c>
      <c r="B390" t="s">
        <v>9</v>
      </c>
      <c r="C390" t="s">
        <v>567</v>
      </c>
      <c r="D390" t="s">
        <v>643</v>
      </c>
      <c r="E390" s="1">
        <v>44957</v>
      </c>
      <c r="F390" s="1">
        <v>44959</v>
      </c>
      <c r="G390" s="1">
        <v>44984</v>
      </c>
      <c r="H390" s="4">
        <f>IF(Claims_Cleaned[[#This Row],[processed_date]]="","",Claims_Cleaned[[#This Row],[processed_date]]-Claims_Cleaned[[#This Row],[submission_date]])</f>
        <v>25</v>
      </c>
      <c r="I390" s="4" t="str">
        <f>TEXT(Claims_Cleaned[[#This Row],[claim_date]],"mmm-yyyy")</f>
        <v>Jan-2023</v>
      </c>
      <c r="J390" t="s">
        <v>11</v>
      </c>
      <c r="K390">
        <v>2119.56</v>
      </c>
      <c r="L390" t="s">
        <v>683</v>
      </c>
      <c r="M390">
        <v>25</v>
      </c>
    </row>
    <row r="391" spans="1:13" x14ac:dyDescent="0.35">
      <c r="A391" t="s">
        <v>1459</v>
      </c>
      <c r="B391" t="s">
        <v>84</v>
      </c>
      <c r="C391" t="s">
        <v>553</v>
      </c>
      <c r="D391" t="s">
        <v>641</v>
      </c>
      <c r="E391" s="1">
        <v>45140</v>
      </c>
      <c r="F391" s="1">
        <v>45145</v>
      </c>
      <c r="G391" s="1">
        <v>45168</v>
      </c>
      <c r="H391" s="4">
        <f>IF(Claims_Cleaned[[#This Row],[processed_date]]="","",Claims_Cleaned[[#This Row],[processed_date]]-Claims_Cleaned[[#This Row],[submission_date]])</f>
        <v>23</v>
      </c>
      <c r="I391" s="4" t="str">
        <f>TEXT(Claims_Cleaned[[#This Row],[claim_date]],"mmm-yyyy")</f>
        <v>Aug-2023</v>
      </c>
      <c r="J391" t="s">
        <v>25</v>
      </c>
      <c r="K391">
        <v>2119.08</v>
      </c>
      <c r="L391" t="s">
        <v>683</v>
      </c>
      <c r="M391">
        <v>23</v>
      </c>
    </row>
    <row r="392" spans="1:13" x14ac:dyDescent="0.35">
      <c r="A392" t="s">
        <v>1082</v>
      </c>
      <c r="B392" t="s">
        <v>449</v>
      </c>
      <c r="C392" t="s">
        <v>534</v>
      </c>
      <c r="D392" t="s">
        <v>643</v>
      </c>
      <c r="E392" s="1">
        <v>45484</v>
      </c>
      <c r="F392" s="1">
        <v>45487</v>
      </c>
      <c r="G392" s="1">
        <v>45506</v>
      </c>
      <c r="H392" s="4">
        <f>IF(Claims_Cleaned[[#This Row],[processed_date]]="","",Claims_Cleaned[[#This Row],[processed_date]]-Claims_Cleaned[[#This Row],[submission_date]])</f>
        <v>19</v>
      </c>
      <c r="I392" s="4" t="str">
        <f>TEXT(Claims_Cleaned[[#This Row],[claim_date]],"mmm-yyyy")</f>
        <v>Jul-2024</v>
      </c>
      <c r="J392" t="s">
        <v>13</v>
      </c>
      <c r="K392">
        <v>2117.71</v>
      </c>
      <c r="L392" t="s">
        <v>683</v>
      </c>
      <c r="M392">
        <v>19</v>
      </c>
    </row>
    <row r="393" spans="1:13" x14ac:dyDescent="0.35">
      <c r="A393" t="s">
        <v>1443</v>
      </c>
      <c r="B393" t="s">
        <v>120</v>
      </c>
      <c r="C393" t="s">
        <v>537</v>
      </c>
      <c r="D393" t="s">
        <v>643</v>
      </c>
      <c r="E393" s="1">
        <v>45226</v>
      </c>
      <c r="F393" s="1">
        <v>45230</v>
      </c>
      <c r="G393" s="1">
        <v>45241</v>
      </c>
      <c r="H393" s="4">
        <f>IF(Claims_Cleaned[[#This Row],[processed_date]]="","",Claims_Cleaned[[#This Row],[processed_date]]-Claims_Cleaned[[#This Row],[submission_date]])</f>
        <v>11</v>
      </c>
      <c r="I393" s="4" t="str">
        <f>TEXT(Claims_Cleaned[[#This Row],[claim_date]],"mmm-yyyy")</f>
        <v>Oct-2023</v>
      </c>
      <c r="J393" t="s">
        <v>13</v>
      </c>
      <c r="K393">
        <v>2104.46</v>
      </c>
      <c r="L393" t="s">
        <v>687</v>
      </c>
      <c r="M393">
        <v>11</v>
      </c>
    </row>
    <row r="394" spans="1:13" x14ac:dyDescent="0.35">
      <c r="A394" t="s">
        <v>2542</v>
      </c>
      <c r="B394" t="s">
        <v>95</v>
      </c>
      <c r="C394" t="s">
        <v>537</v>
      </c>
      <c r="D394" t="s">
        <v>641</v>
      </c>
      <c r="E394" s="1">
        <v>45484</v>
      </c>
      <c r="F394" s="1">
        <v>45486</v>
      </c>
      <c r="G394" s="1">
        <v>45512</v>
      </c>
      <c r="H394" s="4">
        <f>IF(Claims_Cleaned[[#This Row],[processed_date]]="","",Claims_Cleaned[[#This Row],[processed_date]]-Claims_Cleaned[[#This Row],[submission_date]])</f>
        <v>26</v>
      </c>
      <c r="I394" s="4" t="str">
        <f>TEXT(Claims_Cleaned[[#This Row],[claim_date]],"mmm-yyyy")</f>
        <v>Jul-2024</v>
      </c>
      <c r="J394" t="s">
        <v>20</v>
      </c>
      <c r="K394">
        <v>2093.56</v>
      </c>
      <c r="L394" t="s">
        <v>687</v>
      </c>
      <c r="M394">
        <v>26</v>
      </c>
    </row>
    <row r="395" spans="1:13" x14ac:dyDescent="0.35">
      <c r="A395" t="s">
        <v>2556</v>
      </c>
      <c r="B395" t="s">
        <v>233</v>
      </c>
      <c r="C395" t="s">
        <v>567</v>
      </c>
      <c r="D395" t="s">
        <v>643</v>
      </c>
      <c r="E395" s="1">
        <v>45532</v>
      </c>
      <c r="F395" s="1">
        <v>45534</v>
      </c>
      <c r="G395" s="1">
        <v>45537</v>
      </c>
      <c r="H395" s="4">
        <f>IF(Claims_Cleaned[[#This Row],[processed_date]]="","",Claims_Cleaned[[#This Row],[processed_date]]-Claims_Cleaned[[#This Row],[submission_date]])</f>
        <v>3</v>
      </c>
      <c r="I395" s="4" t="str">
        <f>TEXT(Claims_Cleaned[[#This Row],[claim_date]],"mmm-yyyy")</f>
        <v>Aug-2024</v>
      </c>
      <c r="J395" t="s">
        <v>20</v>
      </c>
      <c r="K395">
        <v>2086.44</v>
      </c>
      <c r="L395" t="s">
        <v>683</v>
      </c>
      <c r="M395">
        <v>3</v>
      </c>
    </row>
    <row r="396" spans="1:13" x14ac:dyDescent="0.35">
      <c r="A396" t="s">
        <v>890</v>
      </c>
      <c r="B396" t="s">
        <v>454</v>
      </c>
      <c r="C396" t="s">
        <v>553</v>
      </c>
      <c r="D396" t="s">
        <v>641</v>
      </c>
      <c r="E396" s="1">
        <v>44983</v>
      </c>
      <c r="F396" s="1">
        <v>44986</v>
      </c>
      <c r="G396" s="1">
        <v>45006</v>
      </c>
      <c r="H396" s="4">
        <f>IF(Claims_Cleaned[[#This Row],[processed_date]]="","",Claims_Cleaned[[#This Row],[processed_date]]-Claims_Cleaned[[#This Row],[submission_date]])</f>
        <v>20</v>
      </c>
      <c r="I396" s="4" t="str">
        <f>TEXT(Claims_Cleaned[[#This Row],[claim_date]],"mmm-yyyy")</f>
        <v>Feb-2023</v>
      </c>
      <c r="J396" t="s">
        <v>20</v>
      </c>
      <c r="K396">
        <v>2069.9</v>
      </c>
      <c r="L396" t="s">
        <v>683</v>
      </c>
      <c r="M396">
        <v>20</v>
      </c>
    </row>
    <row r="397" spans="1:13" x14ac:dyDescent="0.35">
      <c r="A397" t="s">
        <v>1020</v>
      </c>
      <c r="B397" t="s">
        <v>449</v>
      </c>
      <c r="C397" t="s">
        <v>611</v>
      </c>
      <c r="D397" t="s">
        <v>641</v>
      </c>
      <c r="E397" s="1">
        <v>45057</v>
      </c>
      <c r="F397" s="1">
        <v>45059</v>
      </c>
      <c r="G397" s="1">
        <v>45064</v>
      </c>
      <c r="H397" s="4">
        <f>IF(Claims_Cleaned[[#This Row],[processed_date]]="","",Claims_Cleaned[[#This Row],[processed_date]]-Claims_Cleaned[[#This Row],[submission_date]])</f>
        <v>5</v>
      </c>
      <c r="I397" s="4" t="str">
        <f>TEXT(Claims_Cleaned[[#This Row],[claim_date]],"mmm-yyyy")</f>
        <v>May-2023</v>
      </c>
      <c r="J397" t="s">
        <v>13</v>
      </c>
      <c r="K397">
        <v>2063.48</v>
      </c>
      <c r="L397" t="s">
        <v>687</v>
      </c>
      <c r="M397">
        <v>5</v>
      </c>
    </row>
    <row r="398" spans="1:13" x14ac:dyDescent="0.35">
      <c r="A398" t="s">
        <v>2220</v>
      </c>
      <c r="B398" t="s">
        <v>217</v>
      </c>
      <c r="C398" t="s">
        <v>585</v>
      </c>
      <c r="D398" t="s">
        <v>643</v>
      </c>
      <c r="E398" s="1">
        <v>45518</v>
      </c>
      <c r="F398" s="1">
        <v>45523</v>
      </c>
      <c r="G398" s="1">
        <v>45526</v>
      </c>
      <c r="H398" s="4">
        <f>IF(Claims_Cleaned[[#This Row],[processed_date]]="","",Claims_Cleaned[[#This Row],[processed_date]]-Claims_Cleaned[[#This Row],[submission_date]])</f>
        <v>3</v>
      </c>
      <c r="I398" s="4" t="str">
        <f>TEXT(Claims_Cleaned[[#This Row],[claim_date]],"mmm-yyyy")</f>
        <v>Aug-2024</v>
      </c>
      <c r="J398" t="s">
        <v>13</v>
      </c>
      <c r="K398">
        <v>2057.79</v>
      </c>
      <c r="L398" t="s">
        <v>683</v>
      </c>
      <c r="M398">
        <v>3</v>
      </c>
    </row>
    <row r="399" spans="1:13" x14ac:dyDescent="0.35">
      <c r="A399" t="s">
        <v>1516</v>
      </c>
      <c r="B399" t="s">
        <v>506</v>
      </c>
      <c r="C399" t="s">
        <v>605</v>
      </c>
      <c r="D399" t="s">
        <v>643</v>
      </c>
      <c r="E399" s="1">
        <v>45263</v>
      </c>
      <c r="F399" s="1">
        <v>45267</v>
      </c>
      <c r="G399" s="1">
        <v>45277</v>
      </c>
      <c r="H399" s="4">
        <f>IF(Claims_Cleaned[[#This Row],[processed_date]]="","",Claims_Cleaned[[#This Row],[processed_date]]-Claims_Cleaned[[#This Row],[submission_date]])</f>
        <v>10</v>
      </c>
      <c r="I399" s="4" t="str">
        <f>TEXT(Claims_Cleaned[[#This Row],[claim_date]],"mmm-yyyy")</f>
        <v>Dec-2023</v>
      </c>
      <c r="J399" t="s">
        <v>11</v>
      </c>
      <c r="K399">
        <v>2057.58</v>
      </c>
      <c r="L399" t="s">
        <v>683</v>
      </c>
      <c r="M399">
        <v>10</v>
      </c>
    </row>
    <row r="400" spans="1:13" x14ac:dyDescent="0.35">
      <c r="A400" t="s">
        <v>2360</v>
      </c>
      <c r="B400" t="s">
        <v>444</v>
      </c>
      <c r="C400" t="s">
        <v>553</v>
      </c>
      <c r="D400" t="s">
        <v>643</v>
      </c>
      <c r="E400" s="1">
        <v>44951</v>
      </c>
      <c r="F400" s="1">
        <v>44952</v>
      </c>
      <c r="G400" s="1">
        <v>44977</v>
      </c>
      <c r="H400" s="4">
        <f>IF(Claims_Cleaned[[#This Row],[processed_date]]="","",Claims_Cleaned[[#This Row],[processed_date]]-Claims_Cleaned[[#This Row],[submission_date]])</f>
        <v>25</v>
      </c>
      <c r="I400" s="4" t="str">
        <f>TEXT(Claims_Cleaned[[#This Row],[claim_date]],"mmm-yyyy")</f>
        <v>Jan-2023</v>
      </c>
      <c r="J400" t="s">
        <v>25</v>
      </c>
      <c r="K400">
        <v>2056.7399999999998</v>
      </c>
      <c r="L400" t="s">
        <v>683</v>
      </c>
      <c r="M400">
        <v>25</v>
      </c>
    </row>
    <row r="401" spans="1:13" x14ac:dyDescent="0.35">
      <c r="A401" t="s">
        <v>1300</v>
      </c>
      <c r="B401" t="s">
        <v>399</v>
      </c>
      <c r="C401" t="s">
        <v>585</v>
      </c>
      <c r="D401" t="s">
        <v>643</v>
      </c>
      <c r="E401" s="1">
        <v>45639</v>
      </c>
      <c r="F401" s="1">
        <v>45643</v>
      </c>
      <c r="G401" s="1">
        <v>45660</v>
      </c>
      <c r="H401" s="4">
        <f>IF(Claims_Cleaned[[#This Row],[processed_date]]="","",Claims_Cleaned[[#This Row],[processed_date]]-Claims_Cleaned[[#This Row],[submission_date]])</f>
        <v>17</v>
      </c>
      <c r="I401" s="4" t="str">
        <f>TEXT(Claims_Cleaned[[#This Row],[claim_date]],"mmm-yyyy")</f>
        <v>Dec-2024</v>
      </c>
      <c r="J401" t="s">
        <v>13</v>
      </c>
      <c r="K401">
        <v>2053.19</v>
      </c>
      <c r="L401" t="s">
        <v>683</v>
      </c>
      <c r="M401">
        <v>17</v>
      </c>
    </row>
    <row r="402" spans="1:13" x14ac:dyDescent="0.35">
      <c r="A402" t="s">
        <v>2101</v>
      </c>
      <c r="B402" t="s">
        <v>163</v>
      </c>
      <c r="C402" t="s">
        <v>585</v>
      </c>
      <c r="D402" t="s">
        <v>641</v>
      </c>
      <c r="E402" s="1">
        <v>45606</v>
      </c>
      <c r="F402" s="1">
        <v>45610</v>
      </c>
      <c r="G402" s="1">
        <v>45634</v>
      </c>
      <c r="H402" s="4">
        <f>IF(Claims_Cleaned[[#This Row],[processed_date]]="","",Claims_Cleaned[[#This Row],[processed_date]]-Claims_Cleaned[[#This Row],[submission_date]])</f>
        <v>24</v>
      </c>
      <c r="I402" s="4" t="str">
        <f>TEXT(Claims_Cleaned[[#This Row],[claim_date]],"mmm-yyyy")</f>
        <v>Nov-2024</v>
      </c>
      <c r="J402" t="s">
        <v>25</v>
      </c>
      <c r="K402">
        <v>2044.76</v>
      </c>
      <c r="L402" t="s">
        <v>683</v>
      </c>
      <c r="M402">
        <v>24</v>
      </c>
    </row>
    <row r="403" spans="1:13" x14ac:dyDescent="0.35">
      <c r="A403" t="s">
        <v>966</v>
      </c>
      <c r="B403" t="s">
        <v>487</v>
      </c>
      <c r="C403" t="s">
        <v>557</v>
      </c>
      <c r="D403" t="s">
        <v>643</v>
      </c>
      <c r="E403" s="1">
        <v>44966</v>
      </c>
      <c r="F403" s="1">
        <v>44968</v>
      </c>
      <c r="G403" s="1">
        <v>44984</v>
      </c>
      <c r="H403" s="4">
        <f>IF(Claims_Cleaned[[#This Row],[processed_date]]="","",Claims_Cleaned[[#This Row],[processed_date]]-Claims_Cleaned[[#This Row],[submission_date]])</f>
        <v>16</v>
      </c>
      <c r="I403" s="4" t="str">
        <f>TEXT(Claims_Cleaned[[#This Row],[claim_date]],"mmm-yyyy")</f>
        <v>Feb-2023</v>
      </c>
      <c r="J403" t="s">
        <v>20</v>
      </c>
      <c r="K403">
        <v>2040.32</v>
      </c>
      <c r="L403" t="s">
        <v>683</v>
      </c>
      <c r="M403">
        <v>16</v>
      </c>
    </row>
    <row r="404" spans="1:13" x14ac:dyDescent="0.35">
      <c r="A404" t="s">
        <v>1209</v>
      </c>
      <c r="B404" t="s">
        <v>349</v>
      </c>
      <c r="C404" t="s">
        <v>589</v>
      </c>
      <c r="D404" t="s">
        <v>641</v>
      </c>
      <c r="E404" s="1">
        <v>45393</v>
      </c>
      <c r="F404" s="1">
        <v>45396</v>
      </c>
      <c r="G404" s="1">
        <v>45400</v>
      </c>
      <c r="H404" s="4">
        <f>IF(Claims_Cleaned[[#This Row],[processed_date]]="","",Claims_Cleaned[[#This Row],[processed_date]]-Claims_Cleaned[[#This Row],[submission_date]])</f>
        <v>4</v>
      </c>
      <c r="I404" s="4" t="str">
        <f>TEXT(Claims_Cleaned[[#This Row],[claim_date]],"mmm-yyyy")</f>
        <v>Apr-2024</v>
      </c>
      <c r="J404" t="s">
        <v>11</v>
      </c>
      <c r="K404">
        <v>2039.12</v>
      </c>
      <c r="L404" t="s">
        <v>683</v>
      </c>
      <c r="M404">
        <v>4</v>
      </c>
    </row>
    <row r="405" spans="1:13" x14ac:dyDescent="0.35">
      <c r="A405" t="s">
        <v>1149</v>
      </c>
      <c r="B405" t="s">
        <v>146</v>
      </c>
      <c r="C405" t="s">
        <v>609</v>
      </c>
      <c r="D405" t="s">
        <v>643</v>
      </c>
      <c r="E405" s="1">
        <v>45420</v>
      </c>
      <c r="F405" s="1">
        <v>45425</v>
      </c>
      <c r="G405" s="1">
        <v>45444</v>
      </c>
      <c r="H405" s="4">
        <f>IF(Claims_Cleaned[[#This Row],[processed_date]]="","",Claims_Cleaned[[#This Row],[processed_date]]-Claims_Cleaned[[#This Row],[submission_date]])</f>
        <v>19</v>
      </c>
      <c r="I405" s="4" t="str">
        <f>TEXT(Claims_Cleaned[[#This Row],[claim_date]],"mmm-yyyy")</f>
        <v>May-2024</v>
      </c>
      <c r="J405" t="s">
        <v>11</v>
      </c>
      <c r="K405">
        <v>2036.64</v>
      </c>
      <c r="L405" t="s">
        <v>683</v>
      </c>
      <c r="M405">
        <v>19</v>
      </c>
    </row>
    <row r="406" spans="1:13" x14ac:dyDescent="0.35">
      <c r="A406" t="s">
        <v>967</v>
      </c>
      <c r="B406" t="s">
        <v>91</v>
      </c>
      <c r="C406" t="s">
        <v>603</v>
      </c>
      <c r="D406" t="s">
        <v>643</v>
      </c>
      <c r="E406" s="1">
        <v>45412</v>
      </c>
      <c r="F406" s="1">
        <v>45415</v>
      </c>
      <c r="G406" s="1">
        <v>45433</v>
      </c>
      <c r="H406" s="4">
        <f>IF(Claims_Cleaned[[#This Row],[processed_date]]="","",Claims_Cleaned[[#This Row],[processed_date]]-Claims_Cleaned[[#This Row],[submission_date]])</f>
        <v>18</v>
      </c>
      <c r="I406" s="4" t="str">
        <f>TEXT(Claims_Cleaned[[#This Row],[claim_date]],"mmm-yyyy")</f>
        <v>Apr-2024</v>
      </c>
      <c r="J406" t="s">
        <v>13</v>
      </c>
      <c r="K406">
        <v>2035.88</v>
      </c>
      <c r="L406" t="s">
        <v>683</v>
      </c>
      <c r="M406">
        <v>18</v>
      </c>
    </row>
    <row r="407" spans="1:13" x14ac:dyDescent="0.35">
      <c r="A407" t="s">
        <v>1737</v>
      </c>
      <c r="B407" t="s">
        <v>407</v>
      </c>
      <c r="C407" t="s">
        <v>534</v>
      </c>
      <c r="D407" t="s">
        <v>641</v>
      </c>
      <c r="E407" s="1">
        <v>45026</v>
      </c>
      <c r="F407" s="1">
        <v>45029</v>
      </c>
      <c r="G407" s="1">
        <v>45049</v>
      </c>
      <c r="H407" s="4">
        <f>IF(Claims_Cleaned[[#This Row],[processed_date]]="","",Claims_Cleaned[[#This Row],[processed_date]]-Claims_Cleaned[[#This Row],[submission_date]])</f>
        <v>20</v>
      </c>
      <c r="I407" s="4" t="str">
        <f>TEXT(Claims_Cleaned[[#This Row],[claim_date]],"mmm-yyyy")</f>
        <v>Apr-2023</v>
      </c>
      <c r="J407" t="s">
        <v>8</v>
      </c>
      <c r="K407">
        <v>2033.98</v>
      </c>
      <c r="L407" t="s">
        <v>683</v>
      </c>
      <c r="M407">
        <v>20</v>
      </c>
    </row>
    <row r="408" spans="1:13" x14ac:dyDescent="0.35">
      <c r="A408" t="s">
        <v>1743</v>
      </c>
      <c r="B408" t="s">
        <v>79</v>
      </c>
      <c r="C408" t="s">
        <v>553</v>
      </c>
      <c r="D408" t="s">
        <v>643</v>
      </c>
      <c r="E408" s="1">
        <v>45200</v>
      </c>
      <c r="F408" s="1">
        <v>45202</v>
      </c>
      <c r="G408" s="1">
        <v>45221</v>
      </c>
      <c r="H408" s="4">
        <f>IF(Claims_Cleaned[[#This Row],[processed_date]]="","",Claims_Cleaned[[#This Row],[processed_date]]-Claims_Cleaned[[#This Row],[submission_date]])</f>
        <v>19</v>
      </c>
      <c r="I408" s="4" t="str">
        <f>TEXT(Claims_Cleaned[[#This Row],[claim_date]],"mmm-yyyy")</f>
        <v>Oct-2023</v>
      </c>
      <c r="J408" t="s">
        <v>11</v>
      </c>
      <c r="K408">
        <v>2033.63</v>
      </c>
      <c r="L408" t="s">
        <v>687</v>
      </c>
      <c r="M408">
        <v>19</v>
      </c>
    </row>
    <row r="409" spans="1:13" x14ac:dyDescent="0.35">
      <c r="A409" t="s">
        <v>1795</v>
      </c>
      <c r="B409" t="s">
        <v>262</v>
      </c>
      <c r="C409" t="s">
        <v>607</v>
      </c>
      <c r="D409" t="s">
        <v>643</v>
      </c>
      <c r="E409" s="1">
        <v>45608</v>
      </c>
      <c r="F409" s="1">
        <v>45612</v>
      </c>
      <c r="G409" s="1">
        <v>45618</v>
      </c>
      <c r="H409" s="4">
        <f>IF(Claims_Cleaned[[#This Row],[processed_date]]="","",Claims_Cleaned[[#This Row],[processed_date]]-Claims_Cleaned[[#This Row],[submission_date]])</f>
        <v>6</v>
      </c>
      <c r="I409" s="4" t="str">
        <f>TEXT(Claims_Cleaned[[#This Row],[claim_date]],"mmm-yyyy")</f>
        <v>Nov-2024</v>
      </c>
      <c r="J409" t="s">
        <v>20</v>
      </c>
      <c r="K409">
        <v>2030.05</v>
      </c>
      <c r="L409" t="s">
        <v>683</v>
      </c>
      <c r="M409">
        <v>6</v>
      </c>
    </row>
    <row r="410" spans="1:13" x14ac:dyDescent="0.35">
      <c r="A410" t="s">
        <v>2079</v>
      </c>
      <c r="B410" t="s">
        <v>404</v>
      </c>
      <c r="C410" t="s">
        <v>546</v>
      </c>
      <c r="D410" t="s">
        <v>641</v>
      </c>
      <c r="E410" s="1">
        <v>45115</v>
      </c>
      <c r="F410" s="1">
        <v>45116</v>
      </c>
      <c r="G410" s="1">
        <v>45119</v>
      </c>
      <c r="H410" s="4">
        <f>IF(Claims_Cleaned[[#This Row],[processed_date]]="","",Claims_Cleaned[[#This Row],[processed_date]]-Claims_Cleaned[[#This Row],[submission_date]])</f>
        <v>3</v>
      </c>
      <c r="I410" s="4" t="str">
        <f>TEXT(Claims_Cleaned[[#This Row],[claim_date]],"mmm-yyyy")</f>
        <v>Jul-2023</v>
      </c>
      <c r="J410" t="s">
        <v>8</v>
      </c>
      <c r="K410">
        <v>2023.36</v>
      </c>
      <c r="L410" t="s">
        <v>683</v>
      </c>
      <c r="M410">
        <v>3</v>
      </c>
    </row>
    <row r="411" spans="1:13" x14ac:dyDescent="0.35">
      <c r="A411" t="s">
        <v>1016</v>
      </c>
      <c r="B411" t="s">
        <v>29</v>
      </c>
      <c r="C411" t="s">
        <v>591</v>
      </c>
      <c r="D411" t="s">
        <v>643</v>
      </c>
      <c r="E411" s="1">
        <v>45383</v>
      </c>
      <c r="F411" s="1">
        <v>45388</v>
      </c>
      <c r="G411" s="1">
        <v>45399</v>
      </c>
      <c r="H411" s="4">
        <f>IF(Claims_Cleaned[[#This Row],[processed_date]]="","",Claims_Cleaned[[#This Row],[processed_date]]-Claims_Cleaned[[#This Row],[submission_date]])</f>
        <v>11</v>
      </c>
      <c r="I411" s="4" t="str">
        <f>TEXT(Claims_Cleaned[[#This Row],[claim_date]],"mmm-yyyy")</f>
        <v>Apr-2024</v>
      </c>
      <c r="J411" t="s">
        <v>8</v>
      </c>
      <c r="K411">
        <v>2015.95</v>
      </c>
      <c r="L411" t="s">
        <v>683</v>
      </c>
      <c r="M411">
        <v>11</v>
      </c>
    </row>
    <row r="412" spans="1:13" x14ac:dyDescent="0.35">
      <c r="A412" t="s">
        <v>1108</v>
      </c>
      <c r="B412" t="s">
        <v>403</v>
      </c>
      <c r="C412" t="s">
        <v>595</v>
      </c>
      <c r="D412" t="s">
        <v>641</v>
      </c>
      <c r="E412" s="1">
        <v>45644</v>
      </c>
      <c r="F412" s="1">
        <v>45646</v>
      </c>
      <c r="G412" s="1">
        <v>45669</v>
      </c>
      <c r="H412" s="4">
        <f>IF(Claims_Cleaned[[#This Row],[processed_date]]="","",Claims_Cleaned[[#This Row],[processed_date]]-Claims_Cleaned[[#This Row],[submission_date]])</f>
        <v>23</v>
      </c>
      <c r="I412" s="4" t="str">
        <f>TEXT(Claims_Cleaned[[#This Row],[claim_date]],"mmm-yyyy")</f>
        <v>Dec-2024</v>
      </c>
      <c r="J412" t="s">
        <v>8</v>
      </c>
      <c r="K412">
        <v>2012.69</v>
      </c>
      <c r="L412" t="s">
        <v>683</v>
      </c>
      <c r="M412">
        <v>23</v>
      </c>
    </row>
    <row r="413" spans="1:13" x14ac:dyDescent="0.35">
      <c r="A413" t="s">
        <v>2279</v>
      </c>
      <c r="B413" t="s">
        <v>34</v>
      </c>
      <c r="C413" t="s">
        <v>583</v>
      </c>
      <c r="D413" t="s">
        <v>643</v>
      </c>
      <c r="E413" s="1">
        <v>45054</v>
      </c>
      <c r="F413" s="1">
        <v>45056</v>
      </c>
      <c r="G413" s="1">
        <v>45070</v>
      </c>
      <c r="H413" s="4">
        <f>IF(Claims_Cleaned[[#This Row],[processed_date]]="","",Claims_Cleaned[[#This Row],[processed_date]]-Claims_Cleaned[[#This Row],[submission_date]])</f>
        <v>14</v>
      </c>
      <c r="I413" s="4" t="str">
        <f>TEXT(Claims_Cleaned[[#This Row],[claim_date]],"mmm-yyyy")</f>
        <v>May-2023</v>
      </c>
      <c r="J413" t="s">
        <v>11</v>
      </c>
      <c r="K413">
        <v>2011.19</v>
      </c>
      <c r="L413" t="s">
        <v>683</v>
      </c>
      <c r="M413">
        <v>14</v>
      </c>
    </row>
    <row r="414" spans="1:13" x14ac:dyDescent="0.35">
      <c r="A414" t="s">
        <v>2628</v>
      </c>
      <c r="B414" t="s">
        <v>294</v>
      </c>
      <c r="C414" t="s">
        <v>589</v>
      </c>
      <c r="D414" t="s">
        <v>641</v>
      </c>
      <c r="E414" s="1">
        <v>45306</v>
      </c>
      <c r="F414" s="1">
        <v>45311</v>
      </c>
      <c r="G414" s="1">
        <v>45337</v>
      </c>
      <c r="H414" s="4">
        <f>IF(Claims_Cleaned[[#This Row],[processed_date]]="","",Claims_Cleaned[[#This Row],[processed_date]]-Claims_Cleaned[[#This Row],[submission_date]])</f>
        <v>26</v>
      </c>
      <c r="I414" s="4" t="str">
        <f>TEXT(Claims_Cleaned[[#This Row],[claim_date]],"mmm-yyyy")</f>
        <v>Jan-2024</v>
      </c>
      <c r="J414" t="s">
        <v>11</v>
      </c>
      <c r="K414">
        <v>2001.12</v>
      </c>
      <c r="L414" t="s">
        <v>683</v>
      </c>
      <c r="M414">
        <v>26</v>
      </c>
    </row>
    <row r="415" spans="1:13" x14ac:dyDescent="0.35">
      <c r="A415" t="s">
        <v>1102</v>
      </c>
      <c r="B415" t="s">
        <v>410</v>
      </c>
      <c r="C415" t="s">
        <v>527</v>
      </c>
      <c r="D415" t="s">
        <v>641</v>
      </c>
      <c r="E415" s="1">
        <v>45352</v>
      </c>
      <c r="F415" s="1">
        <v>45353</v>
      </c>
      <c r="G415" s="1">
        <v>45380</v>
      </c>
      <c r="H415" s="4">
        <f>IF(Claims_Cleaned[[#This Row],[processed_date]]="","",Claims_Cleaned[[#This Row],[processed_date]]-Claims_Cleaned[[#This Row],[submission_date]])</f>
        <v>27</v>
      </c>
      <c r="I415" s="4" t="str">
        <f>TEXT(Claims_Cleaned[[#This Row],[claim_date]],"mmm-yyyy")</f>
        <v>Mar-2024</v>
      </c>
      <c r="J415" t="s">
        <v>20</v>
      </c>
      <c r="K415">
        <v>2000.03</v>
      </c>
      <c r="L415" t="s">
        <v>683</v>
      </c>
      <c r="M415">
        <v>27</v>
      </c>
    </row>
    <row r="416" spans="1:13" x14ac:dyDescent="0.35">
      <c r="A416" t="s">
        <v>2011</v>
      </c>
      <c r="B416" t="s">
        <v>416</v>
      </c>
      <c r="C416" t="s">
        <v>587</v>
      </c>
      <c r="D416" t="s">
        <v>641</v>
      </c>
      <c r="E416" s="1">
        <v>45537</v>
      </c>
      <c r="F416" s="1">
        <v>45538</v>
      </c>
      <c r="G416" s="1">
        <v>45552</v>
      </c>
      <c r="H416" s="4">
        <f>IF(Claims_Cleaned[[#This Row],[processed_date]]="","",Claims_Cleaned[[#This Row],[processed_date]]-Claims_Cleaned[[#This Row],[submission_date]])</f>
        <v>14</v>
      </c>
      <c r="I416" s="4" t="str">
        <f>TEXT(Claims_Cleaned[[#This Row],[claim_date]],"mmm-yyyy")</f>
        <v>Sep-2024</v>
      </c>
      <c r="J416" t="s">
        <v>13</v>
      </c>
      <c r="K416">
        <v>1989.09</v>
      </c>
      <c r="L416" t="s">
        <v>683</v>
      </c>
      <c r="M416">
        <v>14</v>
      </c>
    </row>
    <row r="417" spans="1:13" x14ac:dyDescent="0.35">
      <c r="A417" t="s">
        <v>1333</v>
      </c>
      <c r="B417" t="s">
        <v>203</v>
      </c>
      <c r="C417" t="s">
        <v>537</v>
      </c>
      <c r="D417" t="s">
        <v>643</v>
      </c>
      <c r="E417" s="1">
        <v>45584</v>
      </c>
      <c r="F417" s="1">
        <v>45589</v>
      </c>
      <c r="G417" s="1">
        <v>45606</v>
      </c>
      <c r="H417" s="4">
        <f>IF(Claims_Cleaned[[#This Row],[processed_date]]="","",Claims_Cleaned[[#This Row],[processed_date]]-Claims_Cleaned[[#This Row],[submission_date]])</f>
        <v>17</v>
      </c>
      <c r="I417" s="4" t="str">
        <f>TEXT(Claims_Cleaned[[#This Row],[claim_date]],"mmm-yyyy")</f>
        <v>Oct-2024</v>
      </c>
      <c r="J417" t="s">
        <v>25</v>
      </c>
      <c r="K417">
        <v>1987.08</v>
      </c>
      <c r="L417" t="s">
        <v>687</v>
      </c>
      <c r="M417">
        <v>17</v>
      </c>
    </row>
    <row r="418" spans="1:13" x14ac:dyDescent="0.35">
      <c r="A418" t="s">
        <v>838</v>
      </c>
      <c r="B418" t="s">
        <v>136</v>
      </c>
      <c r="C418" t="s">
        <v>563</v>
      </c>
      <c r="D418" t="s">
        <v>641</v>
      </c>
      <c r="E418" s="1">
        <v>45129</v>
      </c>
      <c r="F418" s="1">
        <v>45133</v>
      </c>
      <c r="G418" s="1"/>
      <c r="H418" s="4" t="str">
        <f>IF(Claims_Cleaned[[#This Row],[processed_date]]="","",Claims_Cleaned[[#This Row],[processed_date]]-Claims_Cleaned[[#This Row],[submission_date]])</f>
        <v/>
      </c>
      <c r="I418" s="4" t="str">
        <f>TEXT(Claims_Cleaned[[#This Row],[claim_date]],"mmm-yyyy")</f>
        <v>Jul-2023</v>
      </c>
      <c r="J418" t="s">
        <v>11</v>
      </c>
      <c r="K418">
        <v>1984.85</v>
      </c>
      <c r="L418" t="s">
        <v>689</v>
      </c>
    </row>
    <row r="419" spans="1:13" x14ac:dyDescent="0.35">
      <c r="A419" t="s">
        <v>1596</v>
      </c>
      <c r="B419" t="s">
        <v>230</v>
      </c>
      <c r="C419" t="s">
        <v>579</v>
      </c>
      <c r="D419" t="s">
        <v>643</v>
      </c>
      <c r="E419" s="1">
        <v>45582</v>
      </c>
      <c r="F419" s="1">
        <v>45584</v>
      </c>
      <c r="G419" s="1"/>
      <c r="H419" s="4" t="str">
        <f>IF(Claims_Cleaned[[#This Row],[processed_date]]="","",Claims_Cleaned[[#This Row],[processed_date]]-Claims_Cleaned[[#This Row],[submission_date]])</f>
        <v/>
      </c>
      <c r="I419" s="4" t="str">
        <f>TEXT(Claims_Cleaned[[#This Row],[claim_date]],"mmm-yyyy")</f>
        <v>Oct-2024</v>
      </c>
      <c r="J419" t="s">
        <v>20</v>
      </c>
      <c r="K419">
        <v>1980.19</v>
      </c>
      <c r="L419" t="s">
        <v>689</v>
      </c>
    </row>
    <row r="420" spans="1:13" x14ac:dyDescent="0.35">
      <c r="A420" t="s">
        <v>1179</v>
      </c>
      <c r="B420" t="s">
        <v>122</v>
      </c>
      <c r="C420" t="s">
        <v>595</v>
      </c>
      <c r="D420" t="s">
        <v>641</v>
      </c>
      <c r="E420" s="1">
        <v>45332</v>
      </c>
      <c r="F420" s="1">
        <v>45333</v>
      </c>
      <c r="G420" s="1">
        <v>45357</v>
      </c>
      <c r="H420" s="4">
        <f>IF(Claims_Cleaned[[#This Row],[processed_date]]="","",Claims_Cleaned[[#This Row],[processed_date]]-Claims_Cleaned[[#This Row],[submission_date]])</f>
        <v>24</v>
      </c>
      <c r="I420" s="4" t="str">
        <f>TEXT(Claims_Cleaned[[#This Row],[claim_date]],"mmm-yyyy")</f>
        <v>Feb-2024</v>
      </c>
      <c r="J420" t="s">
        <v>13</v>
      </c>
      <c r="K420">
        <v>1958.55</v>
      </c>
      <c r="L420" t="s">
        <v>683</v>
      </c>
      <c r="M420">
        <v>24</v>
      </c>
    </row>
    <row r="421" spans="1:13" x14ac:dyDescent="0.35">
      <c r="A421" t="s">
        <v>1565</v>
      </c>
      <c r="B421" t="s">
        <v>485</v>
      </c>
      <c r="C421" t="s">
        <v>524</v>
      </c>
      <c r="D421" t="s">
        <v>641</v>
      </c>
      <c r="E421" s="1">
        <v>45127</v>
      </c>
      <c r="F421" s="1">
        <v>45132</v>
      </c>
      <c r="G421" s="1"/>
      <c r="H421" s="4" t="str">
        <f>IF(Claims_Cleaned[[#This Row],[processed_date]]="","",Claims_Cleaned[[#This Row],[processed_date]]-Claims_Cleaned[[#This Row],[submission_date]])</f>
        <v/>
      </c>
      <c r="I421" s="4" t="str">
        <f>TEXT(Claims_Cleaned[[#This Row],[claim_date]],"mmm-yyyy")</f>
        <v>Jul-2023</v>
      </c>
      <c r="J421" t="s">
        <v>8</v>
      </c>
      <c r="K421">
        <v>1955.35</v>
      </c>
      <c r="L421" t="s">
        <v>689</v>
      </c>
    </row>
    <row r="422" spans="1:13" x14ac:dyDescent="0.35">
      <c r="A422" t="s">
        <v>1145</v>
      </c>
      <c r="B422" t="s">
        <v>399</v>
      </c>
      <c r="C422" t="s">
        <v>599</v>
      </c>
      <c r="D422" t="s">
        <v>641</v>
      </c>
      <c r="E422" s="1">
        <v>45596</v>
      </c>
      <c r="F422" s="1">
        <v>45600</v>
      </c>
      <c r="G422" s="1">
        <v>45623</v>
      </c>
      <c r="H422" s="4">
        <f>IF(Claims_Cleaned[[#This Row],[processed_date]]="","",Claims_Cleaned[[#This Row],[processed_date]]-Claims_Cleaned[[#This Row],[submission_date]])</f>
        <v>23</v>
      </c>
      <c r="I422" s="4" t="str">
        <f>TEXT(Claims_Cleaned[[#This Row],[claim_date]],"mmm-yyyy")</f>
        <v>Oct-2024</v>
      </c>
      <c r="J422" t="s">
        <v>13</v>
      </c>
      <c r="K422">
        <v>1946.11</v>
      </c>
      <c r="L422" t="s">
        <v>683</v>
      </c>
      <c r="M422">
        <v>23</v>
      </c>
    </row>
    <row r="423" spans="1:13" x14ac:dyDescent="0.35">
      <c r="A423" t="s">
        <v>2565</v>
      </c>
      <c r="B423" t="s">
        <v>154</v>
      </c>
      <c r="C423" t="s">
        <v>546</v>
      </c>
      <c r="D423" t="s">
        <v>641</v>
      </c>
      <c r="E423" s="1">
        <v>45560</v>
      </c>
      <c r="F423" s="1">
        <v>45563</v>
      </c>
      <c r="G423" s="1">
        <v>45590</v>
      </c>
      <c r="H423" s="4">
        <f>IF(Claims_Cleaned[[#This Row],[processed_date]]="","",Claims_Cleaned[[#This Row],[processed_date]]-Claims_Cleaned[[#This Row],[submission_date]])</f>
        <v>27</v>
      </c>
      <c r="I423" s="4" t="str">
        <f>TEXT(Claims_Cleaned[[#This Row],[claim_date]],"mmm-yyyy")</f>
        <v>Sep-2024</v>
      </c>
      <c r="J423" t="s">
        <v>13</v>
      </c>
      <c r="K423">
        <v>1943.33</v>
      </c>
      <c r="L423" t="s">
        <v>683</v>
      </c>
      <c r="M423">
        <v>27</v>
      </c>
    </row>
    <row r="424" spans="1:13" x14ac:dyDescent="0.35">
      <c r="A424" t="s">
        <v>1134</v>
      </c>
      <c r="B424" t="s">
        <v>52</v>
      </c>
      <c r="C424" t="s">
        <v>573</v>
      </c>
      <c r="D424" t="s">
        <v>641</v>
      </c>
      <c r="E424" s="1">
        <v>45563</v>
      </c>
      <c r="F424" s="1">
        <v>45565</v>
      </c>
      <c r="G424" s="1">
        <v>45591</v>
      </c>
      <c r="H424" s="4">
        <f>IF(Claims_Cleaned[[#This Row],[processed_date]]="","",Claims_Cleaned[[#This Row],[processed_date]]-Claims_Cleaned[[#This Row],[submission_date]])</f>
        <v>26</v>
      </c>
      <c r="I424" s="4" t="str">
        <f>TEXT(Claims_Cleaned[[#This Row],[claim_date]],"mmm-yyyy")</f>
        <v>Sep-2024</v>
      </c>
      <c r="J424" t="s">
        <v>20</v>
      </c>
      <c r="K424">
        <v>1935.23</v>
      </c>
      <c r="L424" t="s">
        <v>683</v>
      </c>
      <c r="M424">
        <v>26</v>
      </c>
    </row>
    <row r="425" spans="1:13" x14ac:dyDescent="0.35">
      <c r="A425" t="s">
        <v>1004</v>
      </c>
      <c r="B425" t="s">
        <v>223</v>
      </c>
      <c r="C425" t="s">
        <v>569</v>
      </c>
      <c r="D425" t="s">
        <v>641</v>
      </c>
      <c r="E425" s="1">
        <v>45403</v>
      </c>
      <c r="F425" s="1">
        <v>45407</v>
      </c>
      <c r="G425" s="1"/>
      <c r="H425" s="4" t="str">
        <f>IF(Claims_Cleaned[[#This Row],[processed_date]]="","",Claims_Cleaned[[#This Row],[processed_date]]-Claims_Cleaned[[#This Row],[submission_date]])</f>
        <v/>
      </c>
      <c r="I425" s="4" t="str">
        <f>TEXT(Claims_Cleaned[[#This Row],[claim_date]],"mmm-yyyy")</f>
        <v>Apr-2024</v>
      </c>
      <c r="J425" t="s">
        <v>8</v>
      </c>
      <c r="K425">
        <v>1935.12</v>
      </c>
      <c r="L425" t="s">
        <v>689</v>
      </c>
    </row>
    <row r="426" spans="1:13" x14ac:dyDescent="0.35">
      <c r="A426" t="s">
        <v>1581</v>
      </c>
      <c r="B426" t="s">
        <v>394</v>
      </c>
      <c r="C426" t="s">
        <v>609</v>
      </c>
      <c r="D426" t="s">
        <v>641</v>
      </c>
      <c r="E426" s="1">
        <v>45510</v>
      </c>
      <c r="F426" s="1">
        <v>45515</v>
      </c>
      <c r="G426" s="1">
        <v>45525</v>
      </c>
      <c r="H426" s="4">
        <f>IF(Claims_Cleaned[[#This Row],[processed_date]]="","",Claims_Cleaned[[#This Row],[processed_date]]-Claims_Cleaned[[#This Row],[submission_date]])</f>
        <v>10</v>
      </c>
      <c r="I426" s="4" t="str">
        <f>TEXT(Claims_Cleaned[[#This Row],[claim_date]],"mmm-yyyy")</f>
        <v>Aug-2024</v>
      </c>
      <c r="J426" t="s">
        <v>8</v>
      </c>
      <c r="K426">
        <v>1934.76</v>
      </c>
      <c r="L426" t="s">
        <v>683</v>
      </c>
      <c r="M426">
        <v>10</v>
      </c>
    </row>
    <row r="427" spans="1:13" x14ac:dyDescent="0.35">
      <c r="A427" t="s">
        <v>1871</v>
      </c>
      <c r="B427" t="s">
        <v>230</v>
      </c>
      <c r="C427" t="s">
        <v>573</v>
      </c>
      <c r="D427" t="s">
        <v>641</v>
      </c>
      <c r="E427" s="1">
        <v>45286</v>
      </c>
      <c r="F427" s="1">
        <v>45290</v>
      </c>
      <c r="G427" s="1">
        <v>45319</v>
      </c>
      <c r="H427" s="4">
        <f>IF(Claims_Cleaned[[#This Row],[processed_date]]="","",Claims_Cleaned[[#This Row],[processed_date]]-Claims_Cleaned[[#This Row],[submission_date]])</f>
        <v>29</v>
      </c>
      <c r="I427" s="4" t="str">
        <f>TEXT(Claims_Cleaned[[#This Row],[claim_date]],"mmm-yyyy")</f>
        <v>Dec-2023</v>
      </c>
      <c r="J427" t="s">
        <v>20</v>
      </c>
      <c r="K427">
        <v>1934.39</v>
      </c>
      <c r="L427" t="s">
        <v>683</v>
      </c>
      <c r="M427">
        <v>29</v>
      </c>
    </row>
    <row r="428" spans="1:13" x14ac:dyDescent="0.35">
      <c r="A428" t="s">
        <v>1790</v>
      </c>
      <c r="B428" t="s">
        <v>368</v>
      </c>
      <c r="C428" t="s">
        <v>585</v>
      </c>
      <c r="D428" t="s">
        <v>641</v>
      </c>
      <c r="E428" s="1">
        <v>45030</v>
      </c>
      <c r="F428" s="1">
        <v>45031</v>
      </c>
      <c r="G428" s="1">
        <v>45045</v>
      </c>
      <c r="H428" s="4">
        <f>IF(Claims_Cleaned[[#This Row],[processed_date]]="","",Claims_Cleaned[[#This Row],[processed_date]]-Claims_Cleaned[[#This Row],[submission_date]])</f>
        <v>14</v>
      </c>
      <c r="I428" s="4" t="str">
        <f>TEXT(Claims_Cleaned[[#This Row],[claim_date]],"mmm-yyyy")</f>
        <v>Apr-2023</v>
      </c>
      <c r="J428" t="s">
        <v>20</v>
      </c>
      <c r="K428">
        <v>1931.84</v>
      </c>
      <c r="L428" t="s">
        <v>683</v>
      </c>
      <c r="M428">
        <v>14</v>
      </c>
    </row>
    <row r="429" spans="1:13" x14ac:dyDescent="0.35">
      <c r="A429" t="s">
        <v>1643</v>
      </c>
      <c r="B429" t="s">
        <v>461</v>
      </c>
      <c r="C429" t="s">
        <v>557</v>
      </c>
      <c r="D429" t="s">
        <v>641</v>
      </c>
      <c r="E429" s="1">
        <v>44979</v>
      </c>
      <c r="F429" s="1">
        <v>44982</v>
      </c>
      <c r="G429" s="1">
        <v>44987</v>
      </c>
      <c r="H429" s="4">
        <f>IF(Claims_Cleaned[[#This Row],[processed_date]]="","",Claims_Cleaned[[#This Row],[processed_date]]-Claims_Cleaned[[#This Row],[submission_date]])</f>
        <v>5</v>
      </c>
      <c r="I429" s="4" t="str">
        <f>TEXT(Claims_Cleaned[[#This Row],[claim_date]],"mmm-yyyy")</f>
        <v>Feb-2023</v>
      </c>
      <c r="J429" t="s">
        <v>13</v>
      </c>
      <c r="K429">
        <v>1926.43</v>
      </c>
      <c r="L429" t="s">
        <v>683</v>
      </c>
      <c r="M429">
        <v>5</v>
      </c>
    </row>
    <row r="430" spans="1:13" x14ac:dyDescent="0.35">
      <c r="A430" t="s">
        <v>1434</v>
      </c>
      <c r="B430" t="s">
        <v>243</v>
      </c>
      <c r="C430" t="s">
        <v>521</v>
      </c>
      <c r="D430" t="s">
        <v>641</v>
      </c>
      <c r="E430" s="1">
        <v>45480</v>
      </c>
      <c r="F430" s="1">
        <v>45483</v>
      </c>
      <c r="G430" s="1">
        <v>45502</v>
      </c>
      <c r="H430" s="4">
        <f>IF(Claims_Cleaned[[#This Row],[processed_date]]="","",Claims_Cleaned[[#This Row],[processed_date]]-Claims_Cleaned[[#This Row],[submission_date]])</f>
        <v>19</v>
      </c>
      <c r="I430" s="4" t="str">
        <f>TEXT(Claims_Cleaned[[#This Row],[claim_date]],"mmm-yyyy")</f>
        <v>Jul-2024</v>
      </c>
      <c r="J430" t="s">
        <v>13</v>
      </c>
      <c r="K430">
        <v>1915.13</v>
      </c>
      <c r="L430" t="s">
        <v>683</v>
      </c>
      <c r="M430">
        <v>19</v>
      </c>
    </row>
    <row r="431" spans="1:13" x14ac:dyDescent="0.35">
      <c r="A431" t="s">
        <v>2055</v>
      </c>
      <c r="B431" t="s">
        <v>157</v>
      </c>
      <c r="C431" t="s">
        <v>605</v>
      </c>
      <c r="D431" t="s">
        <v>641</v>
      </c>
      <c r="E431" s="1">
        <v>45331</v>
      </c>
      <c r="F431" s="1">
        <v>45336</v>
      </c>
      <c r="G431" s="1">
        <v>45366</v>
      </c>
      <c r="H431" s="4">
        <f>IF(Claims_Cleaned[[#This Row],[processed_date]]="","",Claims_Cleaned[[#This Row],[processed_date]]-Claims_Cleaned[[#This Row],[submission_date]])</f>
        <v>30</v>
      </c>
      <c r="I431" s="4" t="str">
        <f>TEXT(Claims_Cleaned[[#This Row],[claim_date]],"mmm-yyyy")</f>
        <v>Feb-2024</v>
      </c>
      <c r="J431" t="s">
        <v>11</v>
      </c>
      <c r="K431">
        <v>1912.04</v>
      </c>
      <c r="L431" t="s">
        <v>683</v>
      </c>
      <c r="M431">
        <v>30</v>
      </c>
    </row>
    <row r="432" spans="1:13" x14ac:dyDescent="0.35">
      <c r="A432" t="s">
        <v>1875</v>
      </c>
      <c r="B432" t="s">
        <v>209</v>
      </c>
      <c r="C432" t="s">
        <v>593</v>
      </c>
      <c r="D432" t="s">
        <v>641</v>
      </c>
      <c r="E432" s="1">
        <v>44975</v>
      </c>
      <c r="F432" s="1">
        <v>44977</v>
      </c>
      <c r="G432" s="1">
        <v>44988</v>
      </c>
      <c r="H432" s="4">
        <f>IF(Claims_Cleaned[[#This Row],[processed_date]]="","",Claims_Cleaned[[#This Row],[processed_date]]-Claims_Cleaned[[#This Row],[submission_date]])</f>
        <v>11</v>
      </c>
      <c r="I432" s="4" t="str">
        <f>TEXT(Claims_Cleaned[[#This Row],[claim_date]],"mmm-yyyy")</f>
        <v>Feb-2023</v>
      </c>
      <c r="J432" t="s">
        <v>8</v>
      </c>
      <c r="K432">
        <v>1906.32</v>
      </c>
      <c r="L432" t="s">
        <v>687</v>
      </c>
      <c r="M432">
        <v>11</v>
      </c>
    </row>
    <row r="433" spans="1:13" x14ac:dyDescent="0.35">
      <c r="A433" t="s">
        <v>1295</v>
      </c>
      <c r="B433" t="s">
        <v>270</v>
      </c>
      <c r="C433" t="s">
        <v>577</v>
      </c>
      <c r="D433" t="s">
        <v>641</v>
      </c>
      <c r="E433" s="1">
        <v>45376</v>
      </c>
      <c r="F433" s="1">
        <v>45378</v>
      </c>
      <c r="G433" s="1">
        <v>45403</v>
      </c>
      <c r="H433" s="4">
        <f>IF(Claims_Cleaned[[#This Row],[processed_date]]="","",Claims_Cleaned[[#This Row],[processed_date]]-Claims_Cleaned[[#This Row],[submission_date]])</f>
        <v>25</v>
      </c>
      <c r="I433" s="4" t="str">
        <f>TEXT(Claims_Cleaned[[#This Row],[claim_date]],"mmm-yyyy")</f>
        <v>Mar-2024</v>
      </c>
      <c r="J433" t="s">
        <v>11</v>
      </c>
      <c r="K433">
        <v>1904.53</v>
      </c>
      <c r="L433" t="s">
        <v>683</v>
      </c>
      <c r="M433">
        <v>25</v>
      </c>
    </row>
    <row r="434" spans="1:13" x14ac:dyDescent="0.35">
      <c r="A434" t="s">
        <v>1515</v>
      </c>
      <c r="B434" t="s">
        <v>134</v>
      </c>
      <c r="C434" t="s">
        <v>577</v>
      </c>
      <c r="D434" t="s">
        <v>641</v>
      </c>
      <c r="E434" s="1">
        <v>45042</v>
      </c>
      <c r="F434" s="1">
        <v>45043</v>
      </c>
      <c r="G434" s="1">
        <v>45054</v>
      </c>
      <c r="H434" s="4">
        <f>IF(Claims_Cleaned[[#This Row],[processed_date]]="","",Claims_Cleaned[[#This Row],[processed_date]]-Claims_Cleaned[[#This Row],[submission_date]])</f>
        <v>11</v>
      </c>
      <c r="I434" s="4" t="str">
        <f>TEXT(Claims_Cleaned[[#This Row],[claim_date]],"mmm-yyyy")</f>
        <v>Apr-2023</v>
      </c>
      <c r="J434" t="s">
        <v>11</v>
      </c>
      <c r="K434">
        <v>1904.12</v>
      </c>
      <c r="L434" t="s">
        <v>683</v>
      </c>
      <c r="M434">
        <v>11</v>
      </c>
    </row>
    <row r="435" spans="1:13" x14ac:dyDescent="0.35">
      <c r="A435" t="s">
        <v>1881</v>
      </c>
      <c r="B435" t="s">
        <v>477</v>
      </c>
      <c r="C435" t="s">
        <v>557</v>
      </c>
      <c r="D435" t="s">
        <v>641</v>
      </c>
      <c r="E435" s="1">
        <v>45626</v>
      </c>
      <c r="F435" s="1">
        <v>45627</v>
      </c>
      <c r="G435" s="1"/>
      <c r="H435" s="4" t="str">
        <f>IF(Claims_Cleaned[[#This Row],[processed_date]]="","",Claims_Cleaned[[#This Row],[processed_date]]-Claims_Cleaned[[#This Row],[submission_date]])</f>
        <v/>
      </c>
      <c r="I435" s="4" t="str">
        <f>TEXT(Claims_Cleaned[[#This Row],[claim_date]],"mmm-yyyy")</f>
        <v>Nov-2024</v>
      </c>
      <c r="J435" t="s">
        <v>20</v>
      </c>
      <c r="K435">
        <v>1902.55</v>
      </c>
      <c r="L435" t="s">
        <v>689</v>
      </c>
    </row>
    <row r="436" spans="1:13" x14ac:dyDescent="0.35">
      <c r="A436" t="s">
        <v>1364</v>
      </c>
      <c r="B436" t="s">
        <v>440</v>
      </c>
      <c r="C436" t="s">
        <v>581</v>
      </c>
      <c r="D436" t="s">
        <v>641</v>
      </c>
      <c r="E436" s="1">
        <v>45494</v>
      </c>
      <c r="F436" s="1">
        <v>45495</v>
      </c>
      <c r="G436" s="1">
        <v>45514</v>
      </c>
      <c r="H436" s="4">
        <f>IF(Claims_Cleaned[[#This Row],[processed_date]]="","",Claims_Cleaned[[#This Row],[processed_date]]-Claims_Cleaned[[#This Row],[submission_date]])</f>
        <v>19</v>
      </c>
      <c r="I436" s="4" t="str">
        <f>TEXT(Claims_Cleaned[[#This Row],[claim_date]],"mmm-yyyy")</f>
        <v>Jul-2024</v>
      </c>
      <c r="J436" t="s">
        <v>20</v>
      </c>
      <c r="K436">
        <v>1898.17</v>
      </c>
      <c r="L436" t="s">
        <v>683</v>
      </c>
      <c r="M436">
        <v>19</v>
      </c>
    </row>
    <row r="437" spans="1:13" x14ac:dyDescent="0.35">
      <c r="A437" t="s">
        <v>2117</v>
      </c>
      <c r="B437" t="s">
        <v>388</v>
      </c>
      <c r="C437" t="s">
        <v>579</v>
      </c>
      <c r="D437" t="s">
        <v>641</v>
      </c>
      <c r="E437" s="1">
        <v>45468</v>
      </c>
      <c r="F437" s="1">
        <v>45472</v>
      </c>
      <c r="G437" s="1">
        <v>45496</v>
      </c>
      <c r="H437" s="4">
        <f>IF(Claims_Cleaned[[#This Row],[processed_date]]="","",Claims_Cleaned[[#This Row],[processed_date]]-Claims_Cleaned[[#This Row],[submission_date]])</f>
        <v>24</v>
      </c>
      <c r="I437" s="4" t="str">
        <f>TEXT(Claims_Cleaned[[#This Row],[claim_date]],"mmm-yyyy")</f>
        <v>Jun-2024</v>
      </c>
      <c r="J437" t="s">
        <v>8</v>
      </c>
      <c r="K437">
        <v>1897.28</v>
      </c>
      <c r="L437" t="s">
        <v>687</v>
      </c>
      <c r="M437">
        <v>24</v>
      </c>
    </row>
    <row r="438" spans="1:13" x14ac:dyDescent="0.35">
      <c r="A438" t="s">
        <v>1167</v>
      </c>
      <c r="B438" t="s">
        <v>128</v>
      </c>
      <c r="C438" t="s">
        <v>607</v>
      </c>
      <c r="D438" t="s">
        <v>641</v>
      </c>
      <c r="E438" s="1">
        <v>45269</v>
      </c>
      <c r="F438" s="1">
        <v>45270</v>
      </c>
      <c r="G438" s="1">
        <v>45298</v>
      </c>
      <c r="H438" s="4">
        <f>IF(Claims_Cleaned[[#This Row],[processed_date]]="","",Claims_Cleaned[[#This Row],[processed_date]]-Claims_Cleaned[[#This Row],[submission_date]])</f>
        <v>28</v>
      </c>
      <c r="I438" s="4" t="str">
        <f>TEXT(Claims_Cleaned[[#This Row],[claim_date]],"mmm-yyyy")</f>
        <v>Dec-2023</v>
      </c>
      <c r="J438" t="s">
        <v>8</v>
      </c>
      <c r="K438">
        <v>1881.09</v>
      </c>
      <c r="L438" t="s">
        <v>683</v>
      </c>
      <c r="M438">
        <v>28</v>
      </c>
    </row>
    <row r="439" spans="1:13" x14ac:dyDescent="0.35">
      <c r="A439" t="s">
        <v>1302</v>
      </c>
      <c r="B439" t="s">
        <v>404</v>
      </c>
      <c r="C439" t="s">
        <v>597</v>
      </c>
      <c r="D439" t="s">
        <v>641</v>
      </c>
      <c r="E439" s="1">
        <v>45477</v>
      </c>
      <c r="F439" s="1">
        <v>45480</v>
      </c>
      <c r="G439" s="1">
        <v>45486</v>
      </c>
      <c r="H439" s="4">
        <f>IF(Claims_Cleaned[[#This Row],[processed_date]]="","",Claims_Cleaned[[#This Row],[processed_date]]-Claims_Cleaned[[#This Row],[submission_date]])</f>
        <v>6</v>
      </c>
      <c r="I439" s="4" t="str">
        <f>TEXT(Claims_Cleaned[[#This Row],[claim_date]],"mmm-yyyy")</f>
        <v>Jul-2024</v>
      </c>
      <c r="J439" t="s">
        <v>8</v>
      </c>
      <c r="K439">
        <v>1880.48</v>
      </c>
      <c r="L439" t="s">
        <v>687</v>
      </c>
      <c r="M439">
        <v>6</v>
      </c>
    </row>
    <row r="440" spans="1:13" x14ac:dyDescent="0.35">
      <c r="A440" t="s">
        <v>2122</v>
      </c>
      <c r="B440" t="s">
        <v>488</v>
      </c>
      <c r="C440" t="s">
        <v>557</v>
      </c>
      <c r="D440" t="s">
        <v>641</v>
      </c>
      <c r="E440" s="1">
        <v>45132</v>
      </c>
      <c r="F440" s="1">
        <v>45134</v>
      </c>
      <c r="G440" s="1">
        <v>45159</v>
      </c>
      <c r="H440" s="4">
        <f>IF(Claims_Cleaned[[#This Row],[processed_date]]="","",Claims_Cleaned[[#This Row],[processed_date]]-Claims_Cleaned[[#This Row],[submission_date]])</f>
        <v>25</v>
      </c>
      <c r="I440" s="4" t="str">
        <f>TEXT(Claims_Cleaned[[#This Row],[claim_date]],"mmm-yyyy")</f>
        <v>Jul-2023</v>
      </c>
      <c r="J440" t="s">
        <v>25</v>
      </c>
      <c r="K440">
        <v>1880.04</v>
      </c>
      <c r="L440" t="s">
        <v>687</v>
      </c>
      <c r="M440">
        <v>25</v>
      </c>
    </row>
    <row r="441" spans="1:13" x14ac:dyDescent="0.35">
      <c r="A441" t="s">
        <v>2517</v>
      </c>
      <c r="B441" t="s">
        <v>514</v>
      </c>
      <c r="C441" t="s">
        <v>591</v>
      </c>
      <c r="D441" t="s">
        <v>641</v>
      </c>
      <c r="E441" s="1">
        <v>45023</v>
      </c>
      <c r="F441" s="1">
        <v>45027</v>
      </c>
      <c r="G441" s="1">
        <v>45046</v>
      </c>
      <c r="H441" s="4">
        <f>IF(Claims_Cleaned[[#This Row],[processed_date]]="","",Claims_Cleaned[[#This Row],[processed_date]]-Claims_Cleaned[[#This Row],[submission_date]])</f>
        <v>19</v>
      </c>
      <c r="I441" s="4" t="str">
        <f>TEXT(Claims_Cleaned[[#This Row],[claim_date]],"mmm-yyyy")</f>
        <v>Apr-2023</v>
      </c>
      <c r="J441" t="s">
        <v>13</v>
      </c>
      <c r="K441">
        <v>1870.25</v>
      </c>
      <c r="L441" t="s">
        <v>683</v>
      </c>
      <c r="M441">
        <v>19</v>
      </c>
    </row>
    <row r="442" spans="1:13" x14ac:dyDescent="0.35">
      <c r="A442" t="s">
        <v>2409</v>
      </c>
      <c r="B442" t="s">
        <v>491</v>
      </c>
      <c r="C442" t="s">
        <v>595</v>
      </c>
      <c r="D442" t="s">
        <v>641</v>
      </c>
      <c r="E442" s="1">
        <v>45292</v>
      </c>
      <c r="F442" s="1">
        <v>45293</v>
      </c>
      <c r="G442" s="1">
        <v>45309</v>
      </c>
      <c r="H442" s="4">
        <f>IF(Claims_Cleaned[[#This Row],[processed_date]]="","",Claims_Cleaned[[#This Row],[processed_date]]-Claims_Cleaned[[#This Row],[submission_date]])</f>
        <v>16</v>
      </c>
      <c r="I442" s="4" t="str">
        <f>TEXT(Claims_Cleaned[[#This Row],[claim_date]],"mmm-yyyy")</f>
        <v>Jan-2024</v>
      </c>
      <c r="J442" t="s">
        <v>11</v>
      </c>
      <c r="K442">
        <v>1865.24</v>
      </c>
      <c r="L442" t="s">
        <v>683</v>
      </c>
      <c r="M442">
        <v>16</v>
      </c>
    </row>
    <row r="443" spans="1:13" x14ac:dyDescent="0.35">
      <c r="A443" t="s">
        <v>2496</v>
      </c>
      <c r="B443" t="s">
        <v>105</v>
      </c>
      <c r="C443" t="s">
        <v>607</v>
      </c>
      <c r="D443" t="s">
        <v>641</v>
      </c>
      <c r="E443" s="1">
        <v>45122</v>
      </c>
      <c r="F443" s="1">
        <v>45127</v>
      </c>
      <c r="G443" s="1">
        <v>45144</v>
      </c>
      <c r="H443" s="4">
        <f>IF(Claims_Cleaned[[#This Row],[processed_date]]="","",Claims_Cleaned[[#This Row],[processed_date]]-Claims_Cleaned[[#This Row],[submission_date]])</f>
        <v>17</v>
      </c>
      <c r="I443" s="4" t="str">
        <f>TEXT(Claims_Cleaned[[#This Row],[claim_date]],"mmm-yyyy")</f>
        <v>Jul-2023</v>
      </c>
      <c r="J443" t="s">
        <v>20</v>
      </c>
      <c r="K443">
        <v>1860.63</v>
      </c>
      <c r="L443" t="s">
        <v>683</v>
      </c>
      <c r="M443">
        <v>17</v>
      </c>
    </row>
    <row r="444" spans="1:13" x14ac:dyDescent="0.35">
      <c r="A444" t="s">
        <v>1880</v>
      </c>
      <c r="B444" t="s">
        <v>283</v>
      </c>
      <c r="C444" t="s">
        <v>597</v>
      </c>
      <c r="D444" t="s">
        <v>641</v>
      </c>
      <c r="E444" s="1">
        <v>45364</v>
      </c>
      <c r="F444" s="1">
        <v>45366</v>
      </c>
      <c r="G444" s="1">
        <v>45373</v>
      </c>
      <c r="H444" s="4">
        <f>IF(Claims_Cleaned[[#This Row],[processed_date]]="","",Claims_Cleaned[[#This Row],[processed_date]]-Claims_Cleaned[[#This Row],[submission_date]])</f>
        <v>7</v>
      </c>
      <c r="I444" s="4" t="str">
        <f>TEXT(Claims_Cleaned[[#This Row],[claim_date]],"mmm-yyyy")</f>
        <v>Mar-2024</v>
      </c>
      <c r="J444" t="s">
        <v>25</v>
      </c>
      <c r="K444">
        <v>1859.37</v>
      </c>
      <c r="L444" t="s">
        <v>683</v>
      </c>
      <c r="M444">
        <v>7</v>
      </c>
    </row>
    <row r="445" spans="1:13" x14ac:dyDescent="0.35">
      <c r="A445" t="s">
        <v>2634</v>
      </c>
      <c r="B445" t="s">
        <v>308</v>
      </c>
      <c r="C445" t="s">
        <v>609</v>
      </c>
      <c r="D445" t="s">
        <v>641</v>
      </c>
      <c r="E445" s="1">
        <v>45019</v>
      </c>
      <c r="F445" s="1">
        <v>45022</v>
      </c>
      <c r="G445" s="1">
        <v>45027</v>
      </c>
      <c r="H445" s="4">
        <f>IF(Claims_Cleaned[[#This Row],[processed_date]]="","",Claims_Cleaned[[#This Row],[processed_date]]-Claims_Cleaned[[#This Row],[submission_date]])</f>
        <v>5</v>
      </c>
      <c r="I445" s="4" t="str">
        <f>TEXT(Claims_Cleaned[[#This Row],[claim_date]],"mmm-yyyy")</f>
        <v>Apr-2023</v>
      </c>
      <c r="J445" t="s">
        <v>25</v>
      </c>
      <c r="K445">
        <v>1852.19</v>
      </c>
      <c r="L445" t="s">
        <v>687</v>
      </c>
      <c r="M445">
        <v>5</v>
      </c>
    </row>
    <row r="446" spans="1:13" x14ac:dyDescent="0.35">
      <c r="A446" t="s">
        <v>2503</v>
      </c>
      <c r="B446" t="s">
        <v>276</v>
      </c>
      <c r="C446" t="s">
        <v>543</v>
      </c>
      <c r="D446" t="s">
        <v>641</v>
      </c>
      <c r="E446" s="1">
        <v>45203</v>
      </c>
      <c r="F446" s="1">
        <v>45207</v>
      </c>
      <c r="G446" s="1">
        <v>45226</v>
      </c>
      <c r="H446" s="4">
        <f>IF(Claims_Cleaned[[#This Row],[processed_date]]="","",Claims_Cleaned[[#This Row],[processed_date]]-Claims_Cleaned[[#This Row],[submission_date]])</f>
        <v>19</v>
      </c>
      <c r="I446" s="4" t="str">
        <f>TEXT(Claims_Cleaned[[#This Row],[claim_date]],"mmm-yyyy")</f>
        <v>Oct-2023</v>
      </c>
      <c r="J446" t="s">
        <v>20</v>
      </c>
      <c r="K446">
        <v>1849.26</v>
      </c>
      <c r="L446" t="s">
        <v>683</v>
      </c>
      <c r="M446">
        <v>19</v>
      </c>
    </row>
    <row r="447" spans="1:13" x14ac:dyDescent="0.35">
      <c r="A447" t="s">
        <v>1411</v>
      </c>
      <c r="B447" t="s">
        <v>187</v>
      </c>
      <c r="C447" t="s">
        <v>583</v>
      </c>
      <c r="D447" t="s">
        <v>641</v>
      </c>
      <c r="E447" s="1">
        <v>45050</v>
      </c>
      <c r="F447" s="1">
        <v>45051</v>
      </c>
      <c r="G447" s="1">
        <v>45076</v>
      </c>
      <c r="H447" s="4">
        <f>IF(Claims_Cleaned[[#This Row],[processed_date]]="","",Claims_Cleaned[[#This Row],[processed_date]]-Claims_Cleaned[[#This Row],[submission_date]])</f>
        <v>25</v>
      </c>
      <c r="I447" s="4" t="str">
        <f>TEXT(Claims_Cleaned[[#This Row],[claim_date]],"mmm-yyyy")</f>
        <v>May-2023</v>
      </c>
      <c r="J447" t="s">
        <v>11</v>
      </c>
      <c r="K447">
        <v>1849.01</v>
      </c>
      <c r="L447" t="s">
        <v>687</v>
      </c>
      <c r="M447">
        <v>25</v>
      </c>
    </row>
    <row r="448" spans="1:13" x14ac:dyDescent="0.35">
      <c r="A448" t="s">
        <v>2250</v>
      </c>
      <c r="B448" t="s">
        <v>410</v>
      </c>
      <c r="C448" t="s">
        <v>593</v>
      </c>
      <c r="D448" t="s">
        <v>641</v>
      </c>
      <c r="E448" s="1">
        <v>45066</v>
      </c>
      <c r="F448" s="1">
        <v>45068</v>
      </c>
      <c r="G448" s="1">
        <v>45073</v>
      </c>
      <c r="H448" s="4">
        <f>IF(Claims_Cleaned[[#This Row],[processed_date]]="","",Claims_Cleaned[[#This Row],[processed_date]]-Claims_Cleaned[[#This Row],[submission_date]])</f>
        <v>5</v>
      </c>
      <c r="I448" s="4" t="str">
        <f>TEXT(Claims_Cleaned[[#This Row],[claim_date]],"mmm-yyyy")</f>
        <v>May-2023</v>
      </c>
      <c r="J448" t="s">
        <v>20</v>
      </c>
      <c r="K448">
        <v>1833.55</v>
      </c>
      <c r="L448" t="s">
        <v>683</v>
      </c>
      <c r="M448">
        <v>5</v>
      </c>
    </row>
    <row r="449" spans="1:13" x14ac:dyDescent="0.35">
      <c r="A449" t="s">
        <v>1404</v>
      </c>
      <c r="B449" t="s">
        <v>123</v>
      </c>
      <c r="C449" t="s">
        <v>561</v>
      </c>
      <c r="D449" t="s">
        <v>641</v>
      </c>
      <c r="E449" s="1">
        <v>45171</v>
      </c>
      <c r="F449" s="1">
        <v>45172</v>
      </c>
      <c r="G449" s="1">
        <v>45189</v>
      </c>
      <c r="H449" s="4">
        <f>IF(Claims_Cleaned[[#This Row],[processed_date]]="","",Claims_Cleaned[[#This Row],[processed_date]]-Claims_Cleaned[[#This Row],[submission_date]])</f>
        <v>17</v>
      </c>
      <c r="I449" s="4" t="str">
        <f>TEXT(Claims_Cleaned[[#This Row],[claim_date]],"mmm-yyyy")</f>
        <v>Sep-2023</v>
      </c>
      <c r="J449" t="s">
        <v>8</v>
      </c>
      <c r="K449">
        <v>1832.44</v>
      </c>
      <c r="L449" t="s">
        <v>683</v>
      </c>
      <c r="M449">
        <v>17</v>
      </c>
    </row>
    <row r="450" spans="1:13" x14ac:dyDescent="0.35">
      <c r="A450" t="s">
        <v>2146</v>
      </c>
      <c r="B450" t="s">
        <v>475</v>
      </c>
      <c r="C450" t="s">
        <v>599</v>
      </c>
      <c r="D450" t="s">
        <v>641</v>
      </c>
      <c r="E450" s="1">
        <v>45652</v>
      </c>
      <c r="F450" s="1">
        <v>45654</v>
      </c>
      <c r="G450" s="1"/>
      <c r="H450" s="4" t="str">
        <f>IF(Claims_Cleaned[[#This Row],[processed_date]]="","",Claims_Cleaned[[#This Row],[processed_date]]-Claims_Cleaned[[#This Row],[submission_date]])</f>
        <v/>
      </c>
      <c r="I450" s="4" t="str">
        <f>TEXT(Claims_Cleaned[[#This Row],[claim_date]],"mmm-yyyy")</f>
        <v>Dec-2024</v>
      </c>
      <c r="J450" t="s">
        <v>20</v>
      </c>
      <c r="K450">
        <v>1825.07</v>
      </c>
      <c r="L450" t="s">
        <v>689</v>
      </c>
    </row>
    <row r="451" spans="1:13" x14ac:dyDescent="0.35">
      <c r="A451" t="s">
        <v>2354</v>
      </c>
      <c r="B451" t="s">
        <v>235</v>
      </c>
      <c r="C451" t="s">
        <v>521</v>
      </c>
      <c r="D451" t="s">
        <v>641</v>
      </c>
      <c r="E451" s="1">
        <v>45241</v>
      </c>
      <c r="F451" s="1">
        <v>45245</v>
      </c>
      <c r="G451" s="1">
        <v>45254</v>
      </c>
      <c r="H451" s="4">
        <f>IF(Claims_Cleaned[[#This Row],[processed_date]]="","",Claims_Cleaned[[#This Row],[processed_date]]-Claims_Cleaned[[#This Row],[submission_date]])</f>
        <v>9</v>
      </c>
      <c r="I451" s="4" t="str">
        <f>TEXT(Claims_Cleaned[[#This Row],[claim_date]],"mmm-yyyy")</f>
        <v>Nov-2023</v>
      </c>
      <c r="J451" t="s">
        <v>25</v>
      </c>
      <c r="K451">
        <v>1821.38</v>
      </c>
      <c r="L451" t="s">
        <v>683</v>
      </c>
      <c r="M451">
        <v>9</v>
      </c>
    </row>
    <row r="452" spans="1:13" x14ac:dyDescent="0.35">
      <c r="A452" t="s">
        <v>2524</v>
      </c>
      <c r="B452" t="s">
        <v>70</v>
      </c>
      <c r="C452" t="s">
        <v>557</v>
      </c>
      <c r="D452" t="s">
        <v>641</v>
      </c>
      <c r="E452" s="1">
        <v>45588</v>
      </c>
      <c r="F452" s="1">
        <v>45590</v>
      </c>
      <c r="G452" s="1"/>
      <c r="H452" s="4" t="str">
        <f>IF(Claims_Cleaned[[#This Row],[processed_date]]="","",Claims_Cleaned[[#This Row],[processed_date]]-Claims_Cleaned[[#This Row],[submission_date]])</f>
        <v/>
      </c>
      <c r="I452" s="4" t="str">
        <f>TEXT(Claims_Cleaned[[#This Row],[claim_date]],"mmm-yyyy")</f>
        <v>Oct-2024</v>
      </c>
      <c r="J452" t="s">
        <v>11</v>
      </c>
      <c r="K452">
        <v>1818.46</v>
      </c>
      <c r="L452" t="s">
        <v>689</v>
      </c>
    </row>
    <row r="453" spans="1:13" x14ac:dyDescent="0.35">
      <c r="A453" t="s">
        <v>1551</v>
      </c>
      <c r="B453" t="s">
        <v>384</v>
      </c>
      <c r="C453" t="s">
        <v>531</v>
      </c>
      <c r="D453" t="s">
        <v>641</v>
      </c>
      <c r="E453" s="1">
        <v>45253</v>
      </c>
      <c r="F453" s="1">
        <v>45258</v>
      </c>
      <c r="G453" s="1">
        <v>45287</v>
      </c>
      <c r="H453" s="4">
        <f>IF(Claims_Cleaned[[#This Row],[processed_date]]="","",Claims_Cleaned[[#This Row],[processed_date]]-Claims_Cleaned[[#This Row],[submission_date]])</f>
        <v>29</v>
      </c>
      <c r="I453" s="4" t="str">
        <f>TEXT(Claims_Cleaned[[#This Row],[claim_date]],"mmm-yyyy")</f>
        <v>Nov-2023</v>
      </c>
      <c r="J453" t="s">
        <v>13</v>
      </c>
      <c r="K453">
        <v>1817.68</v>
      </c>
      <c r="L453" t="s">
        <v>683</v>
      </c>
      <c r="M453">
        <v>29</v>
      </c>
    </row>
    <row r="454" spans="1:13" x14ac:dyDescent="0.35">
      <c r="A454" t="s">
        <v>1158</v>
      </c>
      <c r="B454" t="s">
        <v>208</v>
      </c>
      <c r="C454" t="s">
        <v>534</v>
      </c>
      <c r="D454" t="s">
        <v>641</v>
      </c>
      <c r="E454" s="1">
        <v>45371</v>
      </c>
      <c r="F454" s="1">
        <v>45376</v>
      </c>
      <c r="G454" s="1">
        <v>45388</v>
      </c>
      <c r="H454" s="4">
        <f>IF(Claims_Cleaned[[#This Row],[processed_date]]="","",Claims_Cleaned[[#This Row],[processed_date]]-Claims_Cleaned[[#This Row],[submission_date]])</f>
        <v>12</v>
      </c>
      <c r="I454" s="4" t="str">
        <f>TEXT(Claims_Cleaned[[#This Row],[claim_date]],"mmm-yyyy")</f>
        <v>Mar-2024</v>
      </c>
      <c r="J454" t="s">
        <v>13</v>
      </c>
      <c r="K454">
        <v>1816.37</v>
      </c>
      <c r="L454" t="s">
        <v>683</v>
      </c>
      <c r="M454">
        <v>12</v>
      </c>
    </row>
    <row r="455" spans="1:13" x14ac:dyDescent="0.35">
      <c r="A455" t="s">
        <v>2477</v>
      </c>
      <c r="B455" t="s">
        <v>375</v>
      </c>
      <c r="C455" t="s">
        <v>589</v>
      </c>
      <c r="D455" t="s">
        <v>641</v>
      </c>
      <c r="E455" s="1">
        <v>45133</v>
      </c>
      <c r="F455" s="1">
        <v>45138</v>
      </c>
      <c r="G455" s="1">
        <v>45151</v>
      </c>
      <c r="H455" s="4">
        <f>IF(Claims_Cleaned[[#This Row],[processed_date]]="","",Claims_Cleaned[[#This Row],[processed_date]]-Claims_Cleaned[[#This Row],[submission_date]])</f>
        <v>13</v>
      </c>
      <c r="I455" s="4" t="str">
        <f>TEXT(Claims_Cleaned[[#This Row],[claim_date]],"mmm-yyyy")</f>
        <v>Jul-2023</v>
      </c>
      <c r="J455" t="s">
        <v>20</v>
      </c>
      <c r="K455">
        <v>1809.73</v>
      </c>
      <c r="L455" t="s">
        <v>683</v>
      </c>
      <c r="M455">
        <v>13</v>
      </c>
    </row>
    <row r="456" spans="1:13" x14ac:dyDescent="0.35">
      <c r="A456" t="s">
        <v>1911</v>
      </c>
      <c r="B456" t="s">
        <v>264</v>
      </c>
      <c r="C456" t="s">
        <v>611</v>
      </c>
      <c r="D456" t="s">
        <v>641</v>
      </c>
      <c r="E456" s="1">
        <v>45149</v>
      </c>
      <c r="F456" s="1">
        <v>45154</v>
      </c>
      <c r="G456" s="1">
        <v>45179</v>
      </c>
      <c r="H456" s="4">
        <f>IF(Claims_Cleaned[[#This Row],[processed_date]]="","",Claims_Cleaned[[#This Row],[processed_date]]-Claims_Cleaned[[#This Row],[submission_date]])</f>
        <v>25</v>
      </c>
      <c r="I456" s="4" t="str">
        <f>TEXT(Claims_Cleaned[[#This Row],[claim_date]],"mmm-yyyy")</f>
        <v>Aug-2023</v>
      </c>
      <c r="J456" t="s">
        <v>8</v>
      </c>
      <c r="K456">
        <v>1790.14</v>
      </c>
      <c r="L456" t="s">
        <v>683</v>
      </c>
      <c r="M456">
        <v>25</v>
      </c>
    </row>
    <row r="457" spans="1:13" x14ac:dyDescent="0.35">
      <c r="A457" t="s">
        <v>816</v>
      </c>
      <c r="B457" t="s">
        <v>391</v>
      </c>
      <c r="C457" t="s">
        <v>521</v>
      </c>
      <c r="D457" t="s">
        <v>641</v>
      </c>
      <c r="E457" s="1">
        <v>45558</v>
      </c>
      <c r="F457" s="1">
        <v>45561</v>
      </c>
      <c r="G457" s="1">
        <v>45591</v>
      </c>
      <c r="H457" s="4">
        <f>IF(Claims_Cleaned[[#This Row],[processed_date]]="","",Claims_Cleaned[[#This Row],[processed_date]]-Claims_Cleaned[[#This Row],[submission_date]])</f>
        <v>30</v>
      </c>
      <c r="I457" s="4" t="str">
        <f>TEXT(Claims_Cleaned[[#This Row],[claim_date]],"mmm-yyyy")</f>
        <v>Sep-2024</v>
      </c>
      <c r="J457" t="s">
        <v>11</v>
      </c>
      <c r="K457">
        <v>1788.7</v>
      </c>
      <c r="L457" t="s">
        <v>687</v>
      </c>
      <c r="M457">
        <v>30</v>
      </c>
    </row>
    <row r="458" spans="1:13" x14ac:dyDescent="0.35">
      <c r="A458" t="s">
        <v>2175</v>
      </c>
      <c r="B458" t="s">
        <v>466</v>
      </c>
      <c r="C458" t="s">
        <v>593</v>
      </c>
      <c r="D458" t="s">
        <v>641</v>
      </c>
      <c r="E458" s="1">
        <v>45403</v>
      </c>
      <c r="F458" s="1">
        <v>45404</v>
      </c>
      <c r="G458" s="1">
        <v>45418</v>
      </c>
      <c r="H458" s="4">
        <f>IF(Claims_Cleaned[[#This Row],[processed_date]]="","",Claims_Cleaned[[#This Row],[processed_date]]-Claims_Cleaned[[#This Row],[submission_date]])</f>
        <v>14</v>
      </c>
      <c r="I458" s="4" t="str">
        <f>TEXT(Claims_Cleaned[[#This Row],[claim_date]],"mmm-yyyy")</f>
        <v>Apr-2024</v>
      </c>
      <c r="J458" t="s">
        <v>20</v>
      </c>
      <c r="K458">
        <v>1785.46</v>
      </c>
      <c r="L458" t="s">
        <v>683</v>
      </c>
      <c r="M458">
        <v>14</v>
      </c>
    </row>
    <row r="459" spans="1:13" x14ac:dyDescent="0.35">
      <c r="A459" t="s">
        <v>1959</v>
      </c>
      <c r="B459" t="s">
        <v>457</v>
      </c>
      <c r="C459" t="s">
        <v>569</v>
      </c>
      <c r="D459" t="s">
        <v>641</v>
      </c>
      <c r="E459" s="1">
        <v>45288</v>
      </c>
      <c r="F459" s="1">
        <v>45290</v>
      </c>
      <c r="G459" s="1">
        <v>45306</v>
      </c>
      <c r="H459" s="4">
        <f>IF(Claims_Cleaned[[#This Row],[processed_date]]="","",Claims_Cleaned[[#This Row],[processed_date]]-Claims_Cleaned[[#This Row],[submission_date]])</f>
        <v>16</v>
      </c>
      <c r="I459" s="4" t="str">
        <f>TEXT(Claims_Cleaned[[#This Row],[claim_date]],"mmm-yyyy")</f>
        <v>Dec-2023</v>
      </c>
      <c r="J459" t="s">
        <v>11</v>
      </c>
      <c r="K459">
        <v>1765.9</v>
      </c>
      <c r="L459" t="s">
        <v>683</v>
      </c>
      <c r="M459">
        <v>16</v>
      </c>
    </row>
    <row r="460" spans="1:13" x14ac:dyDescent="0.35">
      <c r="A460" t="s">
        <v>1774</v>
      </c>
      <c r="B460" t="s">
        <v>414</v>
      </c>
      <c r="C460" t="s">
        <v>601</v>
      </c>
      <c r="D460" t="s">
        <v>641</v>
      </c>
      <c r="E460" s="1">
        <v>45313</v>
      </c>
      <c r="F460" s="1">
        <v>45315</v>
      </c>
      <c r="G460" s="1">
        <v>45323</v>
      </c>
      <c r="H460" s="4">
        <f>IF(Claims_Cleaned[[#This Row],[processed_date]]="","",Claims_Cleaned[[#This Row],[processed_date]]-Claims_Cleaned[[#This Row],[submission_date]])</f>
        <v>8</v>
      </c>
      <c r="I460" s="4" t="str">
        <f>TEXT(Claims_Cleaned[[#This Row],[claim_date]],"mmm-yyyy")</f>
        <v>Jan-2024</v>
      </c>
      <c r="J460" t="s">
        <v>8</v>
      </c>
      <c r="K460">
        <v>1755.36</v>
      </c>
      <c r="L460" t="s">
        <v>687</v>
      </c>
      <c r="M460">
        <v>8</v>
      </c>
    </row>
    <row r="461" spans="1:13" x14ac:dyDescent="0.35">
      <c r="A461" t="s">
        <v>1876</v>
      </c>
      <c r="B461" t="s">
        <v>484</v>
      </c>
      <c r="C461" t="s">
        <v>611</v>
      </c>
      <c r="D461" t="s">
        <v>641</v>
      </c>
      <c r="E461" s="1">
        <v>45613</v>
      </c>
      <c r="F461" s="1">
        <v>45616</v>
      </c>
      <c r="G461" s="1">
        <v>45631</v>
      </c>
      <c r="H461" s="4">
        <f>IF(Claims_Cleaned[[#This Row],[processed_date]]="","",Claims_Cleaned[[#This Row],[processed_date]]-Claims_Cleaned[[#This Row],[submission_date]])</f>
        <v>15</v>
      </c>
      <c r="I461" s="4" t="str">
        <f>TEXT(Claims_Cleaned[[#This Row],[claim_date]],"mmm-yyyy")</f>
        <v>Nov-2024</v>
      </c>
      <c r="J461" t="s">
        <v>8</v>
      </c>
      <c r="K461">
        <v>1751.85</v>
      </c>
      <c r="L461" t="s">
        <v>683</v>
      </c>
      <c r="M461">
        <v>15</v>
      </c>
    </row>
    <row r="462" spans="1:13" x14ac:dyDescent="0.35">
      <c r="A462" t="s">
        <v>2499</v>
      </c>
      <c r="B462" t="s">
        <v>70</v>
      </c>
      <c r="C462" t="s">
        <v>559</v>
      </c>
      <c r="D462" t="s">
        <v>663</v>
      </c>
      <c r="E462" s="1">
        <v>45209</v>
      </c>
      <c r="F462" s="1">
        <v>45210</v>
      </c>
      <c r="G462" s="1"/>
      <c r="H462" s="4" t="str">
        <f>IF(Claims_Cleaned[[#This Row],[processed_date]]="","",Claims_Cleaned[[#This Row],[processed_date]]-Claims_Cleaned[[#This Row],[submission_date]])</f>
        <v/>
      </c>
      <c r="I462" s="4" t="str">
        <f>TEXT(Claims_Cleaned[[#This Row],[claim_date]],"mmm-yyyy")</f>
        <v>Oct-2023</v>
      </c>
      <c r="J462" t="s">
        <v>11</v>
      </c>
      <c r="K462">
        <v>1748.53</v>
      </c>
      <c r="L462" t="s">
        <v>689</v>
      </c>
    </row>
    <row r="463" spans="1:13" x14ac:dyDescent="0.35">
      <c r="A463" t="s">
        <v>891</v>
      </c>
      <c r="B463" t="s">
        <v>475</v>
      </c>
      <c r="C463" t="s">
        <v>559</v>
      </c>
      <c r="D463" t="s">
        <v>641</v>
      </c>
      <c r="E463" s="1">
        <v>44992</v>
      </c>
      <c r="F463" s="1">
        <v>44994</v>
      </c>
      <c r="G463" s="1">
        <v>45023</v>
      </c>
      <c r="H463" s="4">
        <f>IF(Claims_Cleaned[[#This Row],[processed_date]]="","",Claims_Cleaned[[#This Row],[processed_date]]-Claims_Cleaned[[#This Row],[submission_date]])</f>
        <v>29</v>
      </c>
      <c r="I463" s="4" t="str">
        <f>TEXT(Claims_Cleaned[[#This Row],[claim_date]],"mmm-yyyy")</f>
        <v>Mar-2023</v>
      </c>
      <c r="J463" t="s">
        <v>20</v>
      </c>
      <c r="K463">
        <v>1743.63</v>
      </c>
      <c r="L463" t="s">
        <v>687</v>
      </c>
      <c r="M463">
        <v>29</v>
      </c>
    </row>
    <row r="464" spans="1:13" x14ac:dyDescent="0.35">
      <c r="A464" t="s">
        <v>1273</v>
      </c>
      <c r="B464" t="s">
        <v>201</v>
      </c>
      <c r="C464" t="s">
        <v>559</v>
      </c>
      <c r="D464" t="s">
        <v>663</v>
      </c>
      <c r="E464" s="1">
        <v>45596</v>
      </c>
      <c r="F464" s="1">
        <v>45601</v>
      </c>
      <c r="G464" s="1">
        <v>45609</v>
      </c>
      <c r="H464" s="4">
        <f>IF(Claims_Cleaned[[#This Row],[processed_date]]="","",Claims_Cleaned[[#This Row],[processed_date]]-Claims_Cleaned[[#This Row],[submission_date]])</f>
        <v>8</v>
      </c>
      <c r="I464" s="4" t="str">
        <f>TEXT(Claims_Cleaned[[#This Row],[claim_date]],"mmm-yyyy")</f>
        <v>Oct-2024</v>
      </c>
      <c r="J464" t="s">
        <v>8</v>
      </c>
      <c r="K464">
        <v>1743.31</v>
      </c>
      <c r="L464" t="s">
        <v>683</v>
      </c>
      <c r="M464">
        <v>8</v>
      </c>
    </row>
    <row r="465" spans="1:13" x14ac:dyDescent="0.35">
      <c r="A465" t="s">
        <v>766</v>
      </c>
      <c r="B465" t="s">
        <v>110</v>
      </c>
      <c r="C465" t="s">
        <v>581</v>
      </c>
      <c r="D465" t="s">
        <v>663</v>
      </c>
      <c r="E465" s="1">
        <v>45063</v>
      </c>
      <c r="F465" s="1">
        <v>45065</v>
      </c>
      <c r="G465" s="1">
        <v>45093</v>
      </c>
      <c r="H465" s="4">
        <f>IF(Claims_Cleaned[[#This Row],[processed_date]]="","",Claims_Cleaned[[#This Row],[processed_date]]-Claims_Cleaned[[#This Row],[submission_date]])</f>
        <v>28</v>
      </c>
      <c r="I465" s="4" t="str">
        <f>TEXT(Claims_Cleaned[[#This Row],[claim_date]],"mmm-yyyy")</f>
        <v>May-2023</v>
      </c>
      <c r="J465" t="s">
        <v>25</v>
      </c>
      <c r="K465">
        <v>1739.35</v>
      </c>
      <c r="L465" t="s">
        <v>687</v>
      </c>
      <c r="M465">
        <v>28</v>
      </c>
    </row>
    <row r="466" spans="1:13" x14ac:dyDescent="0.35">
      <c r="A466" t="s">
        <v>2201</v>
      </c>
      <c r="B466" t="s">
        <v>253</v>
      </c>
      <c r="C466" t="s">
        <v>534</v>
      </c>
      <c r="D466" t="s">
        <v>641</v>
      </c>
      <c r="E466" s="1">
        <v>45414</v>
      </c>
      <c r="F466" s="1">
        <v>45416</v>
      </c>
      <c r="G466" s="1">
        <v>45431</v>
      </c>
      <c r="H466" s="4">
        <f>IF(Claims_Cleaned[[#This Row],[processed_date]]="","",Claims_Cleaned[[#This Row],[processed_date]]-Claims_Cleaned[[#This Row],[submission_date]])</f>
        <v>15</v>
      </c>
      <c r="I466" s="4" t="str">
        <f>TEXT(Claims_Cleaned[[#This Row],[claim_date]],"mmm-yyyy")</f>
        <v>May-2024</v>
      </c>
      <c r="J466" t="s">
        <v>8</v>
      </c>
      <c r="K466">
        <v>1730.94</v>
      </c>
      <c r="L466" t="s">
        <v>683</v>
      </c>
      <c r="M466">
        <v>15</v>
      </c>
    </row>
    <row r="467" spans="1:13" x14ac:dyDescent="0.35">
      <c r="A467" t="s">
        <v>2519</v>
      </c>
      <c r="B467" t="s">
        <v>251</v>
      </c>
      <c r="C467" t="s">
        <v>583</v>
      </c>
      <c r="D467" t="s">
        <v>663</v>
      </c>
      <c r="E467" s="1">
        <v>45063</v>
      </c>
      <c r="F467" s="1">
        <v>45066</v>
      </c>
      <c r="G467" s="1">
        <v>45086</v>
      </c>
      <c r="H467" s="4">
        <f>IF(Claims_Cleaned[[#This Row],[processed_date]]="","",Claims_Cleaned[[#This Row],[processed_date]]-Claims_Cleaned[[#This Row],[submission_date]])</f>
        <v>20</v>
      </c>
      <c r="I467" s="4" t="str">
        <f>TEXT(Claims_Cleaned[[#This Row],[claim_date]],"mmm-yyyy")</f>
        <v>May-2023</v>
      </c>
      <c r="J467" t="s">
        <v>13</v>
      </c>
      <c r="K467">
        <v>1727.03</v>
      </c>
      <c r="L467" t="s">
        <v>683</v>
      </c>
      <c r="M467">
        <v>20</v>
      </c>
    </row>
    <row r="468" spans="1:13" x14ac:dyDescent="0.35">
      <c r="A468" t="s">
        <v>719</v>
      </c>
      <c r="B468" t="s">
        <v>516</v>
      </c>
      <c r="C468" t="s">
        <v>549</v>
      </c>
      <c r="D468" t="s">
        <v>641</v>
      </c>
      <c r="E468" s="1">
        <v>45262</v>
      </c>
      <c r="F468" s="1">
        <v>45265</v>
      </c>
      <c r="G468" s="1">
        <v>45288</v>
      </c>
      <c r="H468" s="4">
        <f>IF(Claims_Cleaned[[#This Row],[processed_date]]="","",Claims_Cleaned[[#This Row],[processed_date]]-Claims_Cleaned[[#This Row],[submission_date]])</f>
        <v>23</v>
      </c>
      <c r="I468" s="4" t="str">
        <f>TEXT(Claims_Cleaned[[#This Row],[claim_date]],"mmm-yyyy")</f>
        <v>Dec-2023</v>
      </c>
      <c r="J468" t="s">
        <v>8</v>
      </c>
      <c r="K468">
        <v>1722.63</v>
      </c>
      <c r="L468" t="s">
        <v>683</v>
      </c>
      <c r="M468">
        <v>23</v>
      </c>
    </row>
    <row r="469" spans="1:13" x14ac:dyDescent="0.35">
      <c r="A469" t="s">
        <v>2305</v>
      </c>
      <c r="B469" t="s">
        <v>215</v>
      </c>
      <c r="C469" t="s">
        <v>575</v>
      </c>
      <c r="D469" t="s">
        <v>663</v>
      </c>
      <c r="E469" s="1">
        <v>45615</v>
      </c>
      <c r="F469" s="1">
        <v>45616</v>
      </c>
      <c r="G469" s="1">
        <v>45625</v>
      </c>
      <c r="H469" s="4">
        <f>IF(Claims_Cleaned[[#This Row],[processed_date]]="","",Claims_Cleaned[[#This Row],[processed_date]]-Claims_Cleaned[[#This Row],[submission_date]])</f>
        <v>9</v>
      </c>
      <c r="I469" s="4" t="str">
        <f>TEXT(Claims_Cleaned[[#This Row],[claim_date]],"mmm-yyyy")</f>
        <v>Nov-2024</v>
      </c>
      <c r="J469" t="s">
        <v>11</v>
      </c>
      <c r="K469">
        <v>1722.35</v>
      </c>
      <c r="L469" t="s">
        <v>683</v>
      </c>
      <c r="M469">
        <v>9</v>
      </c>
    </row>
    <row r="470" spans="1:13" x14ac:dyDescent="0.35">
      <c r="A470" t="s">
        <v>2675</v>
      </c>
      <c r="B470" t="s">
        <v>263</v>
      </c>
      <c r="C470" t="s">
        <v>557</v>
      </c>
      <c r="D470" t="s">
        <v>663</v>
      </c>
      <c r="E470" s="1">
        <v>45249</v>
      </c>
      <c r="F470" s="1">
        <v>45251</v>
      </c>
      <c r="G470" s="1">
        <v>45269</v>
      </c>
      <c r="H470" s="4">
        <f>IF(Claims_Cleaned[[#This Row],[processed_date]]="","",Claims_Cleaned[[#This Row],[processed_date]]-Claims_Cleaned[[#This Row],[submission_date]])</f>
        <v>18</v>
      </c>
      <c r="I470" s="4" t="str">
        <f>TEXT(Claims_Cleaned[[#This Row],[claim_date]],"mmm-yyyy")</f>
        <v>Nov-2023</v>
      </c>
      <c r="J470" t="s">
        <v>20</v>
      </c>
      <c r="K470">
        <v>1717.09</v>
      </c>
      <c r="L470" t="s">
        <v>687</v>
      </c>
      <c r="M470">
        <v>18</v>
      </c>
    </row>
    <row r="471" spans="1:13" x14ac:dyDescent="0.35">
      <c r="A471" t="s">
        <v>1474</v>
      </c>
      <c r="B471" t="s">
        <v>204</v>
      </c>
      <c r="C471" t="s">
        <v>611</v>
      </c>
      <c r="D471" t="s">
        <v>663</v>
      </c>
      <c r="E471" s="1">
        <v>45485</v>
      </c>
      <c r="F471" s="1">
        <v>45487</v>
      </c>
      <c r="G471" s="1">
        <v>45507</v>
      </c>
      <c r="H471" s="4">
        <f>IF(Claims_Cleaned[[#This Row],[processed_date]]="","",Claims_Cleaned[[#This Row],[processed_date]]-Claims_Cleaned[[#This Row],[submission_date]])</f>
        <v>20</v>
      </c>
      <c r="I471" s="4" t="str">
        <f>TEXT(Claims_Cleaned[[#This Row],[claim_date]],"mmm-yyyy")</f>
        <v>Jul-2024</v>
      </c>
      <c r="J471" t="s">
        <v>8</v>
      </c>
      <c r="K471">
        <v>1712.06</v>
      </c>
      <c r="L471" t="s">
        <v>683</v>
      </c>
      <c r="M471">
        <v>20</v>
      </c>
    </row>
    <row r="472" spans="1:13" x14ac:dyDescent="0.35">
      <c r="A472" t="s">
        <v>2007</v>
      </c>
      <c r="B472" t="s">
        <v>92</v>
      </c>
      <c r="C472" t="s">
        <v>601</v>
      </c>
      <c r="D472" t="s">
        <v>641</v>
      </c>
      <c r="E472" s="1">
        <v>45330</v>
      </c>
      <c r="F472" s="1">
        <v>45334</v>
      </c>
      <c r="G472" s="1">
        <v>45363</v>
      </c>
      <c r="H472" s="4">
        <f>IF(Claims_Cleaned[[#This Row],[processed_date]]="","",Claims_Cleaned[[#This Row],[processed_date]]-Claims_Cleaned[[#This Row],[submission_date]])</f>
        <v>29</v>
      </c>
      <c r="I472" s="4" t="str">
        <f>TEXT(Claims_Cleaned[[#This Row],[claim_date]],"mmm-yyyy")</f>
        <v>Feb-2024</v>
      </c>
      <c r="J472" t="s">
        <v>25</v>
      </c>
      <c r="K472">
        <v>1705.84</v>
      </c>
      <c r="L472" t="s">
        <v>683</v>
      </c>
      <c r="M472">
        <v>29</v>
      </c>
    </row>
    <row r="473" spans="1:13" x14ac:dyDescent="0.35">
      <c r="A473" t="s">
        <v>2064</v>
      </c>
      <c r="B473" t="s">
        <v>383</v>
      </c>
      <c r="C473" t="s">
        <v>589</v>
      </c>
      <c r="D473" t="s">
        <v>663</v>
      </c>
      <c r="E473" s="1">
        <v>45294</v>
      </c>
      <c r="F473" s="1">
        <v>45295</v>
      </c>
      <c r="G473" s="1">
        <v>45315</v>
      </c>
      <c r="H473" s="4">
        <f>IF(Claims_Cleaned[[#This Row],[processed_date]]="","",Claims_Cleaned[[#This Row],[processed_date]]-Claims_Cleaned[[#This Row],[submission_date]])</f>
        <v>20</v>
      </c>
      <c r="I473" s="4" t="str">
        <f>TEXT(Claims_Cleaned[[#This Row],[claim_date]],"mmm-yyyy")</f>
        <v>Jan-2024</v>
      </c>
      <c r="J473" t="s">
        <v>8</v>
      </c>
      <c r="K473">
        <v>1704.55</v>
      </c>
      <c r="L473" t="s">
        <v>683</v>
      </c>
      <c r="M473">
        <v>20</v>
      </c>
    </row>
    <row r="474" spans="1:13" x14ac:dyDescent="0.35">
      <c r="A474" t="s">
        <v>1885</v>
      </c>
      <c r="B474" t="s">
        <v>409</v>
      </c>
      <c r="C474" t="s">
        <v>603</v>
      </c>
      <c r="D474" t="s">
        <v>641</v>
      </c>
      <c r="E474" s="1">
        <v>45415</v>
      </c>
      <c r="F474" s="1">
        <v>45420</v>
      </c>
      <c r="G474" s="1">
        <v>45430</v>
      </c>
      <c r="H474" s="4">
        <f>IF(Claims_Cleaned[[#This Row],[processed_date]]="","",Claims_Cleaned[[#This Row],[processed_date]]-Claims_Cleaned[[#This Row],[submission_date]])</f>
        <v>10</v>
      </c>
      <c r="I474" s="4" t="str">
        <f>TEXT(Claims_Cleaned[[#This Row],[claim_date]],"mmm-yyyy")</f>
        <v>May-2024</v>
      </c>
      <c r="J474" t="s">
        <v>8</v>
      </c>
      <c r="K474">
        <v>1704.11</v>
      </c>
      <c r="L474" t="s">
        <v>687</v>
      </c>
      <c r="M474">
        <v>10</v>
      </c>
    </row>
    <row r="475" spans="1:13" x14ac:dyDescent="0.35">
      <c r="A475" t="s">
        <v>1444</v>
      </c>
      <c r="B475" t="s">
        <v>355</v>
      </c>
      <c r="C475" t="s">
        <v>563</v>
      </c>
      <c r="D475" t="s">
        <v>663</v>
      </c>
      <c r="E475" s="1">
        <v>45065</v>
      </c>
      <c r="F475" s="1">
        <v>45069</v>
      </c>
      <c r="G475" s="1">
        <v>45099</v>
      </c>
      <c r="H475" s="4">
        <f>IF(Claims_Cleaned[[#This Row],[processed_date]]="","",Claims_Cleaned[[#This Row],[processed_date]]-Claims_Cleaned[[#This Row],[submission_date]])</f>
        <v>30</v>
      </c>
      <c r="I475" s="4" t="str">
        <f>TEXT(Claims_Cleaned[[#This Row],[claim_date]],"mmm-yyyy")</f>
        <v>May-2023</v>
      </c>
      <c r="J475" t="s">
        <v>11</v>
      </c>
      <c r="K475">
        <v>1703.87</v>
      </c>
      <c r="L475" t="s">
        <v>683</v>
      </c>
      <c r="M475">
        <v>30</v>
      </c>
    </row>
    <row r="476" spans="1:13" x14ac:dyDescent="0.35">
      <c r="A476" t="s">
        <v>693</v>
      </c>
      <c r="B476" t="s">
        <v>251</v>
      </c>
      <c r="C476" t="s">
        <v>553</v>
      </c>
      <c r="D476" t="s">
        <v>641</v>
      </c>
      <c r="E476" s="1">
        <v>45137</v>
      </c>
      <c r="F476" s="1">
        <v>45142</v>
      </c>
      <c r="G476" s="1">
        <v>45156</v>
      </c>
      <c r="H476" s="4">
        <f>IF(Claims_Cleaned[[#This Row],[processed_date]]="","",Claims_Cleaned[[#This Row],[processed_date]]-Claims_Cleaned[[#This Row],[submission_date]])</f>
        <v>14</v>
      </c>
      <c r="I476" s="4" t="str">
        <f>TEXT(Claims_Cleaned[[#This Row],[claim_date]],"mmm-yyyy")</f>
        <v>Jul-2023</v>
      </c>
      <c r="J476" t="s">
        <v>13</v>
      </c>
      <c r="K476">
        <v>1702.89</v>
      </c>
      <c r="L476" t="s">
        <v>683</v>
      </c>
      <c r="M476">
        <v>14</v>
      </c>
    </row>
    <row r="477" spans="1:13" x14ac:dyDescent="0.35">
      <c r="A477" t="s">
        <v>2032</v>
      </c>
      <c r="B477" t="s">
        <v>181</v>
      </c>
      <c r="C477" t="s">
        <v>593</v>
      </c>
      <c r="D477" t="s">
        <v>663</v>
      </c>
      <c r="E477" s="1">
        <v>44967</v>
      </c>
      <c r="F477" s="1">
        <v>44971</v>
      </c>
      <c r="G477" s="1">
        <v>44992</v>
      </c>
      <c r="H477" s="4">
        <f>IF(Claims_Cleaned[[#This Row],[processed_date]]="","",Claims_Cleaned[[#This Row],[processed_date]]-Claims_Cleaned[[#This Row],[submission_date]])</f>
        <v>21</v>
      </c>
      <c r="I477" s="4" t="str">
        <f>TEXT(Claims_Cleaned[[#This Row],[claim_date]],"mmm-yyyy")</f>
        <v>Feb-2023</v>
      </c>
      <c r="J477" t="s">
        <v>20</v>
      </c>
      <c r="K477">
        <v>1699.74</v>
      </c>
      <c r="L477" t="s">
        <v>687</v>
      </c>
      <c r="M477">
        <v>21</v>
      </c>
    </row>
    <row r="478" spans="1:13" x14ac:dyDescent="0.35">
      <c r="A478" t="s">
        <v>1560</v>
      </c>
      <c r="B478" t="s">
        <v>489</v>
      </c>
      <c r="C478" t="s">
        <v>537</v>
      </c>
      <c r="D478" t="s">
        <v>663</v>
      </c>
      <c r="E478" s="1">
        <v>45475</v>
      </c>
      <c r="F478" s="1">
        <v>45478</v>
      </c>
      <c r="G478" s="1">
        <v>45493</v>
      </c>
      <c r="H478" s="4">
        <f>IF(Claims_Cleaned[[#This Row],[processed_date]]="","",Claims_Cleaned[[#This Row],[processed_date]]-Claims_Cleaned[[#This Row],[submission_date]])</f>
        <v>15</v>
      </c>
      <c r="I478" s="4" t="str">
        <f>TEXT(Claims_Cleaned[[#This Row],[claim_date]],"mmm-yyyy")</f>
        <v>Jul-2024</v>
      </c>
      <c r="J478" t="s">
        <v>11</v>
      </c>
      <c r="K478">
        <v>1693.28</v>
      </c>
      <c r="L478" t="s">
        <v>683</v>
      </c>
      <c r="M478">
        <v>15</v>
      </c>
    </row>
    <row r="479" spans="1:13" x14ac:dyDescent="0.35">
      <c r="A479" t="s">
        <v>961</v>
      </c>
      <c r="B479" t="s">
        <v>171</v>
      </c>
      <c r="C479" t="s">
        <v>546</v>
      </c>
      <c r="D479" t="s">
        <v>641</v>
      </c>
      <c r="E479" s="1">
        <v>45312</v>
      </c>
      <c r="F479" s="1">
        <v>45316</v>
      </c>
      <c r="G479" s="1">
        <v>45333</v>
      </c>
      <c r="H479" s="4">
        <f>IF(Claims_Cleaned[[#This Row],[processed_date]]="","",Claims_Cleaned[[#This Row],[processed_date]]-Claims_Cleaned[[#This Row],[submission_date]])</f>
        <v>17</v>
      </c>
      <c r="I479" s="4" t="str">
        <f>TEXT(Claims_Cleaned[[#This Row],[claim_date]],"mmm-yyyy")</f>
        <v>Jan-2024</v>
      </c>
      <c r="J479" t="s">
        <v>8</v>
      </c>
      <c r="K479">
        <v>1688.89</v>
      </c>
      <c r="L479" t="s">
        <v>683</v>
      </c>
      <c r="M479">
        <v>17</v>
      </c>
    </row>
    <row r="480" spans="1:13" x14ac:dyDescent="0.35">
      <c r="A480" t="s">
        <v>1283</v>
      </c>
      <c r="B480" t="s">
        <v>193</v>
      </c>
      <c r="C480" t="s">
        <v>555</v>
      </c>
      <c r="D480" t="s">
        <v>641</v>
      </c>
      <c r="E480" s="1">
        <v>45520</v>
      </c>
      <c r="F480" s="1">
        <v>45523</v>
      </c>
      <c r="G480" s="1">
        <v>45526</v>
      </c>
      <c r="H480" s="4">
        <f>IF(Claims_Cleaned[[#This Row],[processed_date]]="","",Claims_Cleaned[[#This Row],[processed_date]]-Claims_Cleaned[[#This Row],[submission_date]])</f>
        <v>3</v>
      </c>
      <c r="I480" s="4" t="str">
        <f>TEXT(Claims_Cleaned[[#This Row],[claim_date]],"mmm-yyyy")</f>
        <v>Aug-2024</v>
      </c>
      <c r="J480" t="s">
        <v>20</v>
      </c>
      <c r="K480">
        <v>1685.14</v>
      </c>
      <c r="L480" t="s">
        <v>683</v>
      </c>
      <c r="M480">
        <v>3</v>
      </c>
    </row>
    <row r="481" spans="1:13" x14ac:dyDescent="0.35">
      <c r="A481" t="s">
        <v>1506</v>
      </c>
      <c r="B481" t="s">
        <v>488</v>
      </c>
      <c r="C481" t="s">
        <v>571</v>
      </c>
      <c r="D481" t="s">
        <v>641</v>
      </c>
      <c r="E481" s="1">
        <v>45657</v>
      </c>
      <c r="F481" s="1">
        <v>45659</v>
      </c>
      <c r="G481" s="1">
        <v>45673</v>
      </c>
      <c r="H481" s="4">
        <f>IF(Claims_Cleaned[[#This Row],[processed_date]]="","",Claims_Cleaned[[#This Row],[processed_date]]-Claims_Cleaned[[#This Row],[submission_date]])</f>
        <v>14</v>
      </c>
      <c r="I481" s="4" t="str">
        <f>TEXT(Claims_Cleaned[[#This Row],[claim_date]],"mmm-yyyy")</f>
        <v>Dec-2024</v>
      </c>
      <c r="J481" t="s">
        <v>25</v>
      </c>
      <c r="K481">
        <v>1682.35</v>
      </c>
      <c r="L481" t="s">
        <v>683</v>
      </c>
      <c r="M481">
        <v>14</v>
      </c>
    </row>
    <row r="482" spans="1:13" x14ac:dyDescent="0.35">
      <c r="A482" t="s">
        <v>2088</v>
      </c>
      <c r="B482" t="s">
        <v>294</v>
      </c>
      <c r="C482" t="s">
        <v>601</v>
      </c>
      <c r="D482" t="s">
        <v>641</v>
      </c>
      <c r="E482" s="1">
        <v>45174</v>
      </c>
      <c r="F482" s="1">
        <v>45176</v>
      </c>
      <c r="G482" s="1"/>
      <c r="H482" s="4" t="str">
        <f>IF(Claims_Cleaned[[#This Row],[processed_date]]="","",Claims_Cleaned[[#This Row],[processed_date]]-Claims_Cleaned[[#This Row],[submission_date]])</f>
        <v/>
      </c>
      <c r="I482" s="4" t="str">
        <f>TEXT(Claims_Cleaned[[#This Row],[claim_date]],"mmm-yyyy")</f>
        <v>Sep-2023</v>
      </c>
      <c r="J482" t="s">
        <v>11</v>
      </c>
      <c r="K482">
        <v>1681.56</v>
      </c>
      <c r="L482" t="s">
        <v>689</v>
      </c>
    </row>
    <row r="483" spans="1:13" x14ac:dyDescent="0.35">
      <c r="A483" t="s">
        <v>1508</v>
      </c>
      <c r="B483" t="s">
        <v>158</v>
      </c>
      <c r="C483" t="s">
        <v>605</v>
      </c>
      <c r="D483" t="s">
        <v>663</v>
      </c>
      <c r="E483" s="1">
        <v>45530</v>
      </c>
      <c r="F483" s="1">
        <v>45534</v>
      </c>
      <c r="G483" s="1">
        <v>45551</v>
      </c>
      <c r="H483" s="4">
        <f>IF(Claims_Cleaned[[#This Row],[processed_date]]="","",Claims_Cleaned[[#This Row],[processed_date]]-Claims_Cleaned[[#This Row],[submission_date]])</f>
        <v>17</v>
      </c>
      <c r="I483" s="4" t="str">
        <f>TEXT(Claims_Cleaned[[#This Row],[claim_date]],"mmm-yyyy")</f>
        <v>Aug-2024</v>
      </c>
      <c r="J483" t="s">
        <v>11</v>
      </c>
      <c r="K483">
        <v>1679</v>
      </c>
      <c r="L483" t="s">
        <v>683</v>
      </c>
      <c r="M483">
        <v>17</v>
      </c>
    </row>
    <row r="484" spans="1:13" x14ac:dyDescent="0.35">
      <c r="A484" t="s">
        <v>1232</v>
      </c>
      <c r="B484" t="s">
        <v>413</v>
      </c>
      <c r="C484" t="s">
        <v>589</v>
      </c>
      <c r="D484" t="s">
        <v>641</v>
      </c>
      <c r="E484" s="1">
        <v>45244</v>
      </c>
      <c r="F484" s="1">
        <v>45249</v>
      </c>
      <c r="G484" s="1">
        <v>45275</v>
      </c>
      <c r="H484" s="4">
        <f>IF(Claims_Cleaned[[#This Row],[processed_date]]="","",Claims_Cleaned[[#This Row],[processed_date]]-Claims_Cleaned[[#This Row],[submission_date]])</f>
        <v>26</v>
      </c>
      <c r="I484" s="4" t="str">
        <f>TEXT(Claims_Cleaned[[#This Row],[claim_date]],"mmm-yyyy")</f>
        <v>Nov-2023</v>
      </c>
      <c r="J484" t="s">
        <v>8</v>
      </c>
      <c r="K484">
        <v>1675.26</v>
      </c>
      <c r="L484" t="s">
        <v>683</v>
      </c>
      <c r="M484">
        <v>26</v>
      </c>
    </row>
    <row r="485" spans="1:13" x14ac:dyDescent="0.35">
      <c r="A485" t="s">
        <v>2111</v>
      </c>
      <c r="B485" t="s">
        <v>355</v>
      </c>
      <c r="C485" t="s">
        <v>587</v>
      </c>
      <c r="D485" t="s">
        <v>663</v>
      </c>
      <c r="E485" s="1">
        <v>44964</v>
      </c>
      <c r="F485" s="1">
        <v>44967</v>
      </c>
      <c r="G485" s="1">
        <v>44993</v>
      </c>
      <c r="H485" s="4">
        <f>IF(Claims_Cleaned[[#This Row],[processed_date]]="","",Claims_Cleaned[[#This Row],[processed_date]]-Claims_Cleaned[[#This Row],[submission_date]])</f>
        <v>26</v>
      </c>
      <c r="I485" s="4" t="str">
        <f>TEXT(Claims_Cleaned[[#This Row],[claim_date]],"mmm-yyyy")</f>
        <v>Feb-2023</v>
      </c>
      <c r="J485" t="s">
        <v>11</v>
      </c>
      <c r="K485">
        <v>1665.31</v>
      </c>
      <c r="L485" t="s">
        <v>683</v>
      </c>
      <c r="M485">
        <v>26</v>
      </c>
    </row>
    <row r="486" spans="1:13" x14ac:dyDescent="0.35">
      <c r="A486" t="s">
        <v>2179</v>
      </c>
      <c r="B486" t="s">
        <v>332</v>
      </c>
      <c r="C486" t="s">
        <v>577</v>
      </c>
      <c r="D486" t="s">
        <v>641</v>
      </c>
      <c r="E486" s="1">
        <v>45188</v>
      </c>
      <c r="F486" s="1">
        <v>45189</v>
      </c>
      <c r="G486" s="1">
        <v>45192</v>
      </c>
      <c r="H486" s="4">
        <f>IF(Claims_Cleaned[[#This Row],[processed_date]]="","",Claims_Cleaned[[#This Row],[processed_date]]-Claims_Cleaned[[#This Row],[submission_date]])</f>
        <v>3</v>
      </c>
      <c r="I486" s="4" t="str">
        <f>TEXT(Claims_Cleaned[[#This Row],[claim_date]],"mmm-yyyy")</f>
        <v>Sep-2023</v>
      </c>
      <c r="J486" t="s">
        <v>20</v>
      </c>
      <c r="K486">
        <v>1662.71</v>
      </c>
      <c r="L486" t="s">
        <v>683</v>
      </c>
      <c r="M486">
        <v>3</v>
      </c>
    </row>
    <row r="487" spans="1:13" x14ac:dyDescent="0.35">
      <c r="A487" t="s">
        <v>986</v>
      </c>
      <c r="B487" t="s">
        <v>120</v>
      </c>
      <c r="C487" t="s">
        <v>581</v>
      </c>
      <c r="D487" t="s">
        <v>663</v>
      </c>
      <c r="E487" s="1">
        <v>45195</v>
      </c>
      <c r="F487" s="1">
        <v>45196</v>
      </c>
      <c r="G487" s="1">
        <v>45223</v>
      </c>
      <c r="H487" s="4">
        <f>IF(Claims_Cleaned[[#This Row],[processed_date]]="","",Claims_Cleaned[[#This Row],[processed_date]]-Claims_Cleaned[[#This Row],[submission_date]])</f>
        <v>27</v>
      </c>
      <c r="I487" s="4" t="str">
        <f>TEXT(Claims_Cleaned[[#This Row],[claim_date]],"mmm-yyyy")</f>
        <v>Sep-2023</v>
      </c>
      <c r="J487" t="s">
        <v>13</v>
      </c>
      <c r="K487">
        <v>1662.08</v>
      </c>
      <c r="L487" t="s">
        <v>683</v>
      </c>
      <c r="M487">
        <v>27</v>
      </c>
    </row>
    <row r="488" spans="1:13" x14ac:dyDescent="0.35">
      <c r="A488" t="s">
        <v>2050</v>
      </c>
      <c r="B488" t="s">
        <v>46</v>
      </c>
      <c r="C488" t="s">
        <v>607</v>
      </c>
      <c r="D488" t="s">
        <v>641</v>
      </c>
      <c r="E488" s="1">
        <v>45229</v>
      </c>
      <c r="F488" s="1">
        <v>45234</v>
      </c>
      <c r="G488" s="1"/>
      <c r="H488" s="4" t="str">
        <f>IF(Claims_Cleaned[[#This Row],[processed_date]]="","",Claims_Cleaned[[#This Row],[processed_date]]-Claims_Cleaned[[#This Row],[submission_date]])</f>
        <v/>
      </c>
      <c r="I488" s="4" t="str">
        <f>TEXT(Claims_Cleaned[[#This Row],[claim_date]],"mmm-yyyy")</f>
        <v>Oct-2023</v>
      </c>
      <c r="J488" t="s">
        <v>11</v>
      </c>
      <c r="K488">
        <v>1658.77</v>
      </c>
      <c r="L488" t="s">
        <v>689</v>
      </c>
    </row>
    <row r="489" spans="1:13" x14ac:dyDescent="0.35">
      <c r="A489" t="s">
        <v>1500</v>
      </c>
      <c r="B489" t="s">
        <v>153</v>
      </c>
      <c r="C489" t="s">
        <v>591</v>
      </c>
      <c r="D489" t="s">
        <v>663</v>
      </c>
      <c r="E489" s="1">
        <v>45325</v>
      </c>
      <c r="F489" s="1">
        <v>45326</v>
      </c>
      <c r="G489" s="1"/>
      <c r="H489" s="4" t="str">
        <f>IF(Claims_Cleaned[[#This Row],[processed_date]]="","",Claims_Cleaned[[#This Row],[processed_date]]-Claims_Cleaned[[#This Row],[submission_date]])</f>
        <v/>
      </c>
      <c r="I489" s="4" t="str">
        <f>TEXT(Claims_Cleaned[[#This Row],[claim_date]],"mmm-yyyy")</f>
        <v>Feb-2024</v>
      </c>
      <c r="J489" t="s">
        <v>13</v>
      </c>
      <c r="K489">
        <v>1654.99</v>
      </c>
      <c r="L489" t="s">
        <v>689</v>
      </c>
    </row>
    <row r="490" spans="1:13" x14ac:dyDescent="0.35">
      <c r="A490" t="s">
        <v>1363</v>
      </c>
      <c r="B490" t="s">
        <v>353</v>
      </c>
      <c r="C490" t="s">
        <v>549</v>
      </c>
      <c r="D490" t="s">
        <v>663</v>
      </c>
      <c r="E490" s="1">
        <v>45347</v>
      </c>
      <c r="F490" s="1">
        <v>45348</v>
      </c>
      <c r="G490" s="1"/>
      <c r="H490" s="4" t="str">
        <f>IF(Claims_Cleaned[[#This Row],[processed_date]]="","",Claims_Cleaned[[#This Row],[processed_date]]-Claims_Cleaned[[#This Row],[submission_date]])</f>
        <v/>
      </c>
      <c r="I490" s="4" t="str">
        <f>TEXT(Claims_Cleaned[[#This Row],[claim_date]],"mmm-yyyy")</f>
        <v>Feb-2024</v>
      </c>
      <c r="J490" t="s">
        <v>20</v>
      </c>
      <c r="K490">
        <v>1652.8</v>
      </c>
      <c r="L490" t="s">
        <v>689</v>
      </c>
    </row>
    <row r="491" spans="1:13" x14ac:dyDescent="0.35">
      <c r="A491" t="s">
        <v>2306</v>
      </c>
      <c r="B491" t="s">
        <v>62</v>
      </c>
      <c r="C491" t="s">
        <v>540</v>
      </c>
      <c r="D491" t="s">
        <v>641</v>
      </c>
      <c r="E491" s="1">
        <v>45130</v>
      </c>
      <c r="F491" s="1">
        <v>45134</v>
      </c>
      <c r="G491" s="1">
        <v>45153</v>
      </c>
      <c r="H491" s="4">
        <f>IF(Claims_Cleaned[[#This Row],[processed_date]]="","",Claims_Cleaned[[#This Row],[processed_date]]-Claims_Cleaned[[#This Row],[submission_date]])</f>
        <v>19</v>
      </c>
      <c r="I491" s="4" t="str">
        <f>TEXT(Claims_Cleaned[[#This Row],[claim_date]],"mmm-yyyy")</f>
        <v>Jul-2023</v>
      </c>
      <c r="J491" t="s">
        <v>8</v>
      </c>
      <c r="K491">
        <v>1646.38</v>
      </c>
      <c r="L491" t="s">
        <v>687</v>
      </c>
      <c r="M491">
        <v>19</v>
      </c>
    </row>
    <row r="492" spans="1:13" x14ac:dyDescent="0.35">
      <c r="A492" t="s">
        <v>2523</v>
      </c>
      <c r="B492" t="s">
        <v>425</v>
      </c>
      <c r="C492" t="s">
        <v>581</v>
      </c>
      <c r="D492" t="s">
        <v>641</v>
      </c>
      <c r="E492" s="1">
        <v>44965</v>
      </c>
      <c r="F492" s="1">
        <v>44966</v>
      </c>
      <c r="G492" s="1"/>
      <c r="H492" s="4" t="str">
        <f>IF(Claims_Cleaned[[#This Row],[processed_date]]="","",Claims_Cleaned[[#This Row],[processed_date]]-Claims_Cleaned[[#This Row],[submission_date]])</f>
        <v/>
      </c>
      <c r="I492" s="4" t="str">
        <f>TEXT(Claims_Cleaned[[#This Row],[claim_date]],"mmm-yyyy")</f>
        <v>Feb-2023</v>
      </c>
      <c r="J492" t="s">
        <v>25</v>
      </c>
      <c r="K492">
        <v>1645.69</v>
      </c>
      <c r="L492" t="s">
        <v>689</v>
      </c>
    </row>
    <row r="493" spans="1:13" x14ac:dyDescent="0.35">
      <c r="A493" t="s">
        <v>1456</v>
      </c>
      <c r="B493" t="s">
        <v>309</v>
      </c>
      <c r="C493" t="s">
        <v>527</v>
      </c>
      <c r="D493" t="s">
        <v>663</v>
      </c>
      <c r="E493" s="1">
        <v>45199</v>
      </c>
      <c r="F493" s="1">
        <v>45201</v>
      </c>
      <c r="G493" s="1">
        <v>45226</v>
      </c>
      <c r="H493" s="4">
        <f>IF(Claims_Cleaned[[#This Row],[processed_date]]="","",Claims_Cleaned[[#This Row],[processed_date]]-Claims_Cleaned[[#This Row],[submission_date]])</f>
        <v>25</v>
      </c>
      <c r="I493" s="4" t="str">
        <f>TEXT(Claims_Cleaned[[#This Row],[claim_date]],"mmm-yyyy")</f>
        <v>Sep-2023</v>
      </c>
      <c r="J493" t="s">
        <v>13</v>
      </c>
      <c r="K493">
        <v>1643.18</v>
      </c>
      <c r="L493" t="s">
        <v>683</v>
      </c>
      <c r="M493">
        <v>25</v>
      </c>
    </row>
    <row r="494" spans="1:13" x14ac:dyDescent="0.35">
      <c r="A494" t="s">
        <v>2373</v>
      </c>
      <c r="B494" t="s">
        <v>115</v>
      </c>
      <c r="C494" t="s">
        <v>611</v>
      </c>
      <c r="D494" t="s">
        <v>663</v>
      </c>
      <c r="E494" s="1">
        <v>44972</v>
      </c>
      <c r="F494" s="1">
        <v>44973</v>
      </c>
      <c r="G494" s="1"/>
      <c r="H494" s="4" t="str">
        <f>IF(Claims_Cleaned[[#This Row],[processed_date]]="","",Claims_Cleaned[[#This Row],[processed_date]]-Claims_Cleaned[[#This Row],[submission_date]])</f>
        <v/>
      </c>
      <c r="I494" s="4" t="str">
        <f>TEXT(Claims_Cleaned[[#This Row],[claim_date]],"mmm-yyyy")</f>
        <v>Feb-2023</v>
      </c>
      <c r="J494" t="s">
        <v>20</v>
      </c>
      <c r="K494">
        <v>1642.46</v>
      </c>
      <c r="L494" t="s">
        <v>689</v>
      </c>
    </row>
    <row r="495" spans="1:13" x14ac:dyDescent="0.35">
      <c r="A495" t="s">
        <v>1940</v>
      </c>
      <c r="B495" t="s">
        <v>464</v>
      </c>
      <c r="C495" t="s">
        <v>565</v>
      </c>
      <c r="D495" t="s">
        <v>641</v>
      </c>
      <c r="E495" s="1">
        <v>45283</v>
      </c>
      <c r="F495" s="1">
        <v>45284</v>
      </c>
      <c r="G495" s="1">
        <v>45314</v>
      </c>
      <c r="H495" s="4">
        <f>IF(Claims_Cleaned[[#This Row],[processed_date]]="","",Claims_Cleaned[[#This Row],[processed_date]]-Claims_Cleaned[[#This Row],[submission_date]])</f>
        <v>30</v>
      </c>
      <c r="I495" s="4" t="str">
        <f>TEXT(Claims_Cleaned[[#This Row],[claim_date]],"mmm-yyyy")</f>
        <v>Dec-2023</v>
      </c>
      <c r="J495" t="s">
        <v>11</v>
      </c>
      <c r="K495">
        <v>1629.62</v>
      </c>
      <c r="L495" t="s">
        <v>683</v>
      </c>
      <c r="M495">
        <v>30</v>
      </c>
    </row>
    <row r="496" spans="1:13" x14ac:dyDescent="0.35">
      <c r="A496" t="s">
        <v>1736</v>
      </c>
      <c r="B496" t="s">
        <v>29</v>
      </c>
      <c r="C496" t="s">
        <v>601</v>
      </c>
      <c r="D496" t="s">
        <v>641</v>
      </c>
      <c r="E496" s="1">
        <v>45385</v>
      </c>
      <c r="F496" s="1">
        <v>45388</v>
      </c>
      <c r="G496" s="1">
        <v>45399</v>
      </c>
      <c r="H496" s="4">
        <f>IF(Claims_Cleaned[[#This Row],[processed_date]]="","",Claims_Cleaned[[#This Row],[processed_date]]-Claims_Cleaned[[#This Row],[submission_date]])</f>
        <v>11</v>
      </c>
      <c r="I496" s="4" t="str">
        <f>TEXT(Claims_Cleaned[[#This Row],[claim_date]],"mmm-yyyy")</f>
        <v>Apr-2024</v>
      </c>
      <c r="J496" t="s">
        <v>8</v>
      </c>
      <c r="K496">
        <v>1628.79</v>
      </c>
      <c r="L496" t="s">
        <v>683</v>
      </c>
      <c r="M496">
        <v>11</v>
      </c>
    </row>
    <row r="497" spans="1:13" x14ac:dyDescent="0.35">
      <c r="A497" t="s">
        <v>2602</v>
      </c>
      <c r="B497" t="s">
        <v>299</v>
      </c>
      <c r="C497" t="s">
        <v>561</v>
      </c>
      <c r="D497" t="s">
        <v>663</v>
      </c>
      <c r="E497" s="1">
        <v>45359</v>
      </c>
      <c r="F497" s="1">
        <v>45364</v>
      </c>
      <c r="G497" s="1">
        <v>45368</v>
      </c>
      <c r="H497" s="4">
        <f>IF(Claims_Cleaned[[#This Row],[processed_date]]="","",Claims_Cleaned[[#This Row],[processed_date]]-Claims_Cleaned[[#This Row],[submission_date]])</f>
        <v>4</v>
      </c>
      <c r="I497" s="4" t="str">
        <f>TEXT(Claims_Cleaned[[#This Row],[claim_date]],"mmm-yyyy")</f>
        <v>Mar-2024</v>
      </c>
      <c r="J497" t="s">
        <v>25</v>
      </c>
      <c r="K497">
        <v>1625.6</v>
      </c>
      <c r="L497" t="s">
        <v>683</v>
      </c>
      <c r="M497">
        <v>4</v>
      </c>
    </row>
    <row r="498" spans="1:13" x14ac:dyDescent="0.35">
      <c r="A498" t="s">
        <v>1543</v>
      </c>
      <c r="B498" t="s">
        <v>450</v>
      </c>
      <c r="C498" t="s">
        <v>521</v>
      </c>
      <c r="D498" t="s">
        <v>663</v>
      </c>
      <c r="E498" s="1">
        <v>44983</v>
      </c>
      <c r="F498" s="1">
        <v>44985</v>
      </c>
      <c r="G498" s="1">
        <v>45010</v>
      </c>
      <c r="H498" s="4">
        <f>IF(Claims_Cleaned[[#This Row],[processed_date]]="","",Claims_Cleaned[[#This Row],[processed_date]]-Claims_Cleaned[[#This Row],[submission_date]])</f>
        <v>25</v>
      </c>
      <c r="I498" s="4" t="str">
        <f>TEXT(Claims_Cleaned[[#This Row],[claim_date]],"mmm-yyyy")</f>
        <v>Feb-2023</v>
      </c>
      <c r="J498" t="s">
        <v>20</v>
      </c>
      <c r="K498">
        <v>1619.03</v>
      </c>
      <c r="L498" t="s">
        <v>683</v>
      </c>
      <c r="M498">
        <v>25</v>
      </c>
    </row>
    <row r="499" spans="1:13" x14ac:dyDescent="0.35">
      <c r="A499" t="s">
        <v>2316</v>
      </c>
      <c r="B499" t="s">
        <v>277</v>
      </c>
      <c r="C499" t="s">
        <v>597</v>
      </c>
      <c r="D499" t="s">
        <v>663</v>
      </c>
      <c r="E499" s="1">
        <v>44948</v>
      </c>
      <c r="F499" s="1">
        <v>44953</v>
      </c>
      <c r="G499" s="1">
        <v>44965</v>
      </c>
      <c r="H499" s="4">
        <f>IF(Claims_Cleaned[[#This Row],[processed_date]]="","",Claims_Cleaned[[#This Row],[processed_date]]-Claims_Cleaned[[#This Row],[submission_date]])</f>
        <v>12</v>
      </c>
      <c r="I499" s="4" t="str">
        <f>TEXT(Claims_Cleaned[[#This Row],[claim_date]],"mmm-yyyy")</f>
        <v>Jan-2023</v>
      </c>
      <c r="J499" t="s">
        <v>13</v>
      </c>
      <c r="K499">
        <v>1618.9</v>
      </c>
      <c r="L499" t="s">
        <v>687</v>
      </c>
      <c r="M499">
        <v>12</v>
      </c>
    </row>
    <row r="500" spans="1:13" x14ac:dyDescent="0.35">
      <c r="A500" t="s">
        <v>2599</v>
      </c>
      <c r="B500" t="s">
        <v>260</v>
      </c>
      <c r="C500" t="s">
        <v>583</v>
      </c>
      <c r="D500" t="s">
        <v>663</v>
      </c>
      <c r="E500" s="1">
        <v>45165</v>
      </c>
      <c r="F500" s="1">
        <v>45168</v>
      </c>
      <c r="G500" s="1">
        <v>45178</v>
      </c>
      <c r="H500" s="4">
        <f>IF(Claims_Cleaned[[#This Row],[processed_date]]="","",Claims_Cleaned[[#This Row],[processed_date]]-Claims_Cleaned[[#This Row],[submission_date]])</f>
        <v>10</v>
      </c>
      <c r="I500" s="4" t="str">
        <f>TEXT(Claims_Cleaned[[#This Row],[claim_date]],"mmm-yyyy")</f>
        <v>Aug-2023</v>
      </c>
      <c r="J500" t="s">
        <v>25</v>
      </c>
      <c r="K500">
        <v>1607.8</v>
      </c>
      <c r="L500" t="s">
        <v>683</v>
      </c>
      <c r="M500">
        <v>10</v>
      </c>
    </row>
    <row r="501" spans="1:13" x14ac:dyDescent="0.35">
      <c r="A501" t="s">
        <v>809</v>
      </c>
      <c r="B501" t="s">
        <v>503</v>
      </c>
      <c r="C501" t="s">
        <v>553</v>
      </c>
      <c r="D501" t="s">
        <v>663</v>
      </c>
      <c r="E501" s="1">
        <v>45544</v>
      </c>
      <c r="F501" s="1">
        <v>45549</v>
      </c>
      <c r="G501" s="1">
        <v>45578</v>
      </c>
      <c r="H501" s="4">
        <f>IF(Claims_Cleaned[[#This Row],[processed_date]]="","",Claims_Cleaned[[#This Row],[processed_date]]-Claims_Cleaned[[#This Row],[submission_date]])</f>
        <v>29</v>
      </c>
      <c r="I501" s="4" t="str">
        <f>TEXT(Claims_Cleaned[[#This Row],[claim_date]],"mmm-yyyy")</f>
        <v>Sep-2024</v>
      </c>
      <c r="J501" t="s">
        <v>20</v>
      </c>
      <c r="K501">
        <v>1580.58</v>
      </c>
      <c r="L501" t="s">
        <v>683</v>
      </c>
      <c r="M501">
        <v>29</v>
      </c>
    </row>
    <row r="502" spans="1:13" x14ac:dyDescent="0.35">
      <c r="A502" t="s">
        <v>1802</v>
      </c>
      <c r="B502" t="s">
        <v>503</v>
      </c>
      <c r="C502" t="s">
        <v>577</v>
      </c>
      <c r="D502" t="s">
        <v>663</v>
      </c>
      <c r="E502" s="1">
        <v>45427</v>
      </c>
      <c r="F502" s="1">
        <v>45431</v>
      </c>
      <c r="G502" s="1">
        <v>45435</v>
      </c>
      <c r="H502" s="4">
        <f>IF(Claims_Cleaned[[#This Row],[processed_date]]="","",Claims_Cleaned[[#This Row],[processed_date]]-Claims_Cleaned[[#This Row],[submission_date]])</f>
        <v>4</v>
      </c>
      <c r="I502" s="4" t="str">
        <f>TEXT(Claims_Cleaned[[#This Row],[claim_date]],"mmm-yyyy")</f>
        <v>May-2024</v>
      </c>
      <c r="J502" t="s">
        <v>20</v>
      </c>
      <c r="K502">
        <v>1563.53</v>
      </c>
      <c r="L502" t="s">
        <v>683</v>
      </c>
      <c r="M502">
        <v>4</v>
      </c>
    </row>
    <row r="503" spans="1:13" x14ac:dyDescent="0.35">
      <c r="A503" t="s">
        <v>2221</v>
      </c>
      <c r="B503" t="s">
        <v>23</v>
      </c>
      <c r="C503" t="s">
        <v>597</v>
      </c>
      <c r="D503" t="s">
        <v>663</v>
      </c>
      <c r="E503" s="1">
        <v>45481</v>
      </c>
      <c r="F503" s="1">
        <v>45483</v>
      </c>
      <c r="G503" s="1">
        <v>45505</v>
      </c>
      <c r="H503" s="4">
        <f>IF(Claims_Cleaned[[#This Row],[processed_date]]="","",Claims_Cleaned[[#This Row],[processed_date]]-Claims_Cleaned[[#This Row],[submission_date]])</f>
        <v>22</v>
      </c>
      <c r="I503" s="4" t="str">
        <f>TEXT(Claims_Cleaned[[#This Row],[claim_date]],"mmm-yyyy")</f>
        <v>Jul-2024</v>
      </c>
      <c r="J503" t="s">
        <v>25</v>
      </c>
      <c r="K503">
        <v>1558.76</v>
      </c>
      <c r="L503" t="s">
        <v>683</v>
      </c>
      <c r="M503">
        <v>22</v>
      </c>
    </row>
    <row r="504" spans="1:13" x14ac:dyDescent="0.35">
      <c r="A504" t="s">
        <v>2587</v>
      </c>
      <c r="B504" t="s">
        <v>87</v>
      </c>
      <c r="C504" t="s">
        <v>569</v>
      </c>
      <c r="D504" t="s">
        <v>663</v>
      </c>
      <c r="E504" s="1">
        <v>45101</v>
      </c>
      <c r="F504" s="1">
        <v>45106</v>
      </c>
      <c r="G504" s="1">
        <v>45130</v>
      </c>
      <c r="H504" s="4">
        <f>IF(Claims_Cleaned[[#This Row],[processed_date]]="","",Claims_Cleaned[[#This Row],[processed_date]]-Claims_Cleaned[[#This Row],[submission_date]])</f>
        <v>24</v>
      </c>
      <c r="I504" s="4" t="str">
        <f>TEXT(Claims_Cleaned[[#This Row],[claim_date]],"mmm-yyyy")</f>
        <v>Jun-2023</v>
      </c>
      <c r="J504" t="s">
        <v>8</v>
      </c>
      <c r="K504">
        <v>1555.38</v>
      </c>
      <c r="L504" t="s">
        <v>687</v>
      </c>
      <c r="M504">
        <v>24</v>
      </c>
    </row>
    <row r="505" spans="1:13" x14ac:dyDescent="0.35">
      <c r="A505" t="s">
        <v>959</v>
      </c>
      <c r="B505" t="s">
        <v>205</v>
      </c>
      <c r="C505" t="s">
        <v>543</v>
      </c>
      <c r="D505" t="s">
        <v>663</v>
      </c>
      <c r="E505" s="1">
        <v>45380</v>
      </c>
      <c r="F505" s="1">
        <v>45381</v>
      </c>
      <c r="G505" s="1">
        <v>45397</v>
      </c>
      <c r="H505" s="4">
        <f>IF(Claims_Cleaned[[#This Row],[processed_date]]="","",Claims_Cleaned[[#This Row],[processed_date]]-Claims_Cleaned[[#This Row],[submission_date]])</f>
        <v>16</v>
      </c>
      <c r="I505" s="4" t="str">
        <f>TEXT(Claims_Cleaned[[#This Row],[claim_date]],"mmm-yyyy")</f>
        <v>Mar-2024</v>
      </c>
      <c r="J505" t="s">
        <v>11</v>
      </c>
      <c r="K505">
        <v>1553.65</v>
      </c>
      <c r="L505" t="s">
        <v>683</v>
      </c>
      <c r="M505">
        <v>16</v>
      </c>
    </row>
    <row r="506" spans="1:13" x14ac:dyDescent="0.35">
      <c r="A506" t="s">
        <v>1146</v>
      </c>
      <c r="B506" t="s">
        <v>392</v>
      </c>
      <c r="C506" t="s">
        <v>591</v>
      </c>
      <c r="D506" t="s">
        <v>663</v>
      </c>
      <c r="E506" s="1">
        <v>45194</v>
      </c>
      <c r="F506" s="1">
        <v>45197</v>
      </c>
      <c r="G506" s="1">
        <v>45216</v>
      </c>
      <c r="H506" s="4">
        <f>IF(Claims_Cleaned[[#This Row],[processed_date]]="","",Claims_Cleaned[[#This Row],[processed_date]]-Claims_Cleaned[[#This Row],[submission_date]])</f>
        <v>19</v>
      </c>
      <c r="I506" s="4" t="str">
        <f>TEXT(Claims_Cleaned[[#This Row],[claim_date]],"mmm-yyyy")</f>
        <v>Sep-2023</v>
      </c>
      <c r="J506" t="s">
        <v>13</v>
      </c>
      <c r="K506">
        <v>1543.16</v>
      </c>
      <c r="L506" t="s">
        <v>683</v>
      </c>
      <c r="M506">
        <v>19</v>
      </c>
    </row>
    <row r="507" spans="1:13" x14ac:dyDescent="0.35">
      <c r="A507" t="s">
        <v>800</v>
      </c>
      <c r="B507" t="s">
        <v>421</v>
      </c>
      <c r="C507" t="s">
        <v>534</v>
      </c>
      <c r="D507" t="s">
        <v>663</v>
      </c>
      <c r="E507" s="1">
        <v>45290</v>
      </c>
      <c r="F507" s="1">
        <v>45291</v>
      </c>
      <c r="G507" s="1"/>
      <c r="H507" s="4" t="str">
        <f>IF(Claims_Cleaned[[#This Row],[processed_date]]="","",Claims_Cleaned[[#This Row],[processed_date]]-Claims_Cleaned[[#This Row],[submission_date]])</f>
        <v/>
      </c>
      <c r="I507" s="4" t="str">
        <f>TEXT(Claims_Cleaned[[#This Row],[claim_date]],"mmm-yyyy")</f>
        <v>Dec-2023</v>
      </c>
      <c r="J507" t="s">
        <v>8</v>
      </c>
      <c r="K507">
        <v>1541.01</v>
      </c>
      <c r="L507" t="s">
        <v>689</v>
      </c>
    </row>
    <row r="508" spans="1:13" x14ac:dyDescent="0.35">
      <c r="A508" t="s">
        <v>1891</v>
      </c>
      <c r="B508" t="s">
        <v>34</v>
      </c>
      <c r="C508" t="s">
        <v>585</v>
      </c>
      <c r="D508" t="s">
        <v>663</v>
      </c>
      <c r="E508" s="1">
        <v>45385</v>
      </c>
      <c r="F508" s="1">
        <v>45386</v>
      </c>
      <c r="G508" s="1">
        <v>45406</v>
      </c>
      <c r="H508" s="4">
        <f>IF(Claims_Cleaned[[#This Row],[processed_date]]="","",Claims_Cleaned[[#This Row],[processed_date]]-Claims_Cleaned[[#This Row],[submission_date]])</f>
        <v>20</v>
      </c>
      <c r="I508" s="4" t="str">
        <f>TEXT(Claims_Cleaned[[#This Row],[claim_date]],"mmm-yyyy")</f>
        <v>Apr-2024</v>
      </c>
      <c r="J508" t="s">
        <v>11</v>
      </c>
      <c r="K508">
        <v>1540.2</v>
      </c>
      <c r="L508" t="s">
        <v>683</v>
      </c>
      <c r="M508">
        <v>20</v>
      </c>
    </row>
    <row r="509" spans="1:13" x14ac:dyDescent="0.35">
      <c r="A509" t="s">
        <v>1290</v>
      </c>
      <c r="B509" t="s">
        <v>324</v>
      </c>
      <c r="C509" t="s">
        <v>569</v>
      </c>
      <c r="D509" t="s">
        <v>663</v>
      </c>
      <c r="E509" s="1">
        <v>45304</v>
      </c>
      <c r="F509" s="1">
        <v>45309</v>
      </c>
      <c r="G509" s="1">
        <v>45331</v>
      </c>
      <c r="H509" s="4">
        <f>IF(Claims_Cleaned[[#This Row],[processed_date]]="","",Claims_Cleaned[[#This Row],[processed_date]]-Claims_Cleaned[[#This Row],[submission_date]])</f>
        <v>22</v>
      </c>
      <c r="I509" s="4" t="str">
        <f>TEXT(Claims_Cleaned[[#This Row],[claim_date]],"mmm-yyyy")</f>
        <v>Jan-2024</v>
      </c>
      <c r="J509" t="s">
        <v>8</v>
      </c>
      <c r="K509">
        <v>1537.73</v>
      </c>
      <c r="L509" t="s">
        <v>683</v>
      </c>
      <c r="M509">
        <v>22</v>
      </c>
    </row>
    <row r="510" spans="1:13" x14ac:dyDescent="0.35">
      <c r="A510" t="s">
        <v>1874</v>
      </c>
      <c r="B510" t="s">
        <v>38</v>
      </c>
      <c r="C510" t="s">
        <v>534</v>
      </c>
      <c r="D510" t="s">
        <v>663</v>
      </c>
      <c r="E510" s="1">
        <v>45417</v>
      </c>
      <c r="F510" s="1">
        <v>45418</v>
      </c>
      <c r="G510" s="1">
        <v>45442</v>
      </c>
      <c r="H510" s="4">
        <f>IF(Claims_Cleaned[[#This Row],[processed_date]]="","",Claims_Cleaned[[#This Row],[processed_date]]-Claims_Cleaned[[#This Row],[submission_date]])</f>
        <v>24</v>
      </c>
      <c r="I510" s="4" t="str">
        <f>TEXT(Claims_Cleaned[[#This Row],[claim_date]],"mmm-yyyy")</f>
        <v>May-2024</v>
      </c>
      <c r="J510" t="s">
        <v>8</v>
      </c>
      <c r="K510">
        <v>1523.81</v>
      </c>
      <c r="L510" t="s">
        <v>683</v>
      </c>
      <c r="M510">
        <v>24</v>
      </c>
    </row>
    <row r="511" spans="1:13" x14ac:dyDescent="0.35">
      <c r="A511" t="s">
        <v>864</v>
      </c>
      <c r="B511" t="s">
        <v>43</v>
      </c>
      <c r="C511" t="s">
        <v>567</v>
      </c>
      <c r="D511" t="s">
        <v>663</v>
      </c>
      <c r="E511" s="1">
        <v>45634</v>
      </c>
      <c r="F511" s="1">
        <v>45635</v>
      </c>
      <c r="G511" s="1">
        <v>45652</v>
      </c>
      <c r="H511" s="4">
        <f>IF(Claims_Cleaned[[#This Row],[processed_date]]="","",Claims_Cleaned[[#This Row],[processed_date]]-Claims_Cleaned[[#This Row],[submission_date]])</f>
        <v>17</v>
      </c>
      <c r="I511" s="4" t="str">
        <f>TEXT(Claims_Cleaned[[#This Row],[claim_date]],"mmm-yyyy")</f>
        <v>Dec-2024</v>
      </c>
      <c r="J511" t="s">
        <v>20</v>
      </c>
      <c r="K511">
        <v>1522.92</v>
      </c>
      <c r="L511" t="s">
        <v>683</v>
      </c>
      <c r="M511">
        <v>17</v>
      </c>
    </row>
    <row r="512" spans="1:13" x14ac:dyDescent="0.35">
      <c r="A512" t="s">
        <v>2387</v>
      </c>
      <c r="B512" t="s">
        <v>342</v>
      </c>
      <c r="C512" t="s">
        <v>557</v>
      </c>
      <c r="D512" t="s">
        <v>663</v>
      </c>
      <c r="E512" s="1">
        <v>45293</v>
      </c>
      <c r="F512" s="1">
        <v>45295</v>
      </c>
      <c r="G512" s="1">
        <v>45317</v>
      </c>
      <c r="H512" s="4">
        <f>IF(Claims_Cleaned[[#This Row],[processed_date]]="","",Claims_Cleaned[[#This Row],[processed_date]]-Claims_Cleaned[[#This Row],[submission_date]])</f>
        <v>22</v>
      </c>
      <c r="I512" s="4" t="str">
        <f>TEXT(Claims_Cleaned[[#This Row],[claim_date]],"mmm-yyyy")</f>
        <v>Jan-2024</v>
      </c>
      <c r="J512" t="s">
        <v>25</v>
      </c>
      <c r="K512">
        <v>1511.9</v>
      </c>
      <c r="L512" t="s">
        <v>683</v>
      </c>
      <c r="M512">
        <v>22</v>
      </c>
    </row>
    <row r="513" spans="1:13" x14ac:dyDescent="0.35">
      <c r="A513" t="s">
        <v>1780</v>
      </c>
      <c r="B513" t="s">
        <v>312</v>
      </c>
      <c r="C513" t="s">
        <v>587</v>
      </c>
      <c r="D513" t="s">
        <v>663</v>
      </c>
      <c r="E513" s="1">
        <v>45467</v>
      </c>
      <c r="F513" s="1">
        <v>45468</v>
      </c>
      <c r="G513" s="1">
        <v>45489</v>
      </c>
      <c r="H513" s="4">
        <f>IF(Claims_Cleaned[[#This Row],[processed_date]]="","",Claims_Cleaned[[#This Row],[processed_date]]-Claims_Cleaned[[#This Row],[submission_date]])</f>
        <v>21</v>
      </c>
      <c r="I513" s="4" t="str">
        <f>TEXT(Claims_Cleaned[[#This Row],[claim_date]],"mmm-yyyy")</f>
        <v>Jun-2024</v>
      </c>
      <c r="J513" t="s">
        <v>11</v>
      </c>
      <c r="K513">
        <v>1509.18</v>
      </c>
      <c r="L513" t="s">
        <v>683</v>
      </c>
      <c r="M513">
        <v>21</v>
      </c>
    </row>
    <row r="514" spans="1:13" x14ac:dyDescent="0.35">
      <c r="A514" t="s">
        <v>2268</v>
      </c>
      <c r="B514" t="s">
        <v>143</v>
      </c>
      <c r="C514" t="s">
        <v>521</v>
      </c>
      <c r="D514" t="s">
        <v>663</v>
      </c>
      <c r="E514" s="1">
        <v>45378</v>
      </c>
      <c r="F514" s="1">
        <v>45380</v>
      </c>
      <c r="G514" s="1">
        <v>45388</v>
      </c>
      <c r="H514" s="4">
        <f>IF(Claims_Cleaned[[#This Row],[processed_date]]="","",Claims_Cleaned[[#This Row],[processed_date]]-Claims_Cleaned[[#This Row],[submission_date]])</f>
        <v>8</v>
      </c>
      <c r="I514" s="4" t="str">
        <f>TEXT(Claims_Cleaned[[#This Row],[claim_date]],"mmm-yyyy")</f>
        <v>Mar-2024</v>
      </c>
      <c r="J514" t="s">
        <v>13</v>
      </c>
      <c r="K514">
        <v>1508.32</v>
      </c>
      <c r="L514" t="s">
        <v>683</v>
      </c>
      <c r="M514">
        <v>8</v>
      </c>
    </row>
    <row r="515" spans="1:13" x14ac:dyDescent="0.35">
      <c r="A515" t="s">
        <v>1101</v>
      </c>
      <c r="B515" t="s">
        <v>232</v>
      </c>
      <c r="C515" t="s">
        <v>561</v>
      </c>
      <c r="D515" t="s">
        <v>663</v>
      </c>
      <c r="E515" s="1">
        <v>45548</v>
      </c>
      <c r="F515" s="1">
        <v>45550</v>
      </c>
      <c r="G515" s="1">
        <v>45567</v>
      </c>
      <c r="H515" s="4">
        <f>IF(Claims_Cleaned[[#This Row],[processed_date]]="","",Claims_Cleaned[[#This Row],[processed_date]]-Claims_Cleaned[[#This Row],[submission_date]])</f>
        <v>17</v>
      </c>
      <c r="I515" s="4" t="str">
        <f>TEXT(Claims_Cleaned[[#This Row],[claim_date]],"mmm-yyyy")</f>
        <v>Sep-2024</v>
      </c>
      <c r="J515" t="s">
        <v>8</v>
      </c>
      <c r="K515">
        <v>1499.42</v>
      </c>
      <c r="L515" t="s">
        <v>683</v>
      </c>
      <c r="M515">
        <v>17</v>
      </c>
    </row>
    <row r="516" spans="1:13" x14ac:dyDescent="0.35">
      <c r="A516" t="s">
        <v>768</v>
      </c>
      <c r="B516" t="s">
        <v>220</v>
      </c>
      <c r="C516" t="s">
        <v>583</v>
      </c>
      <c r="D516" t="s">
        <v>663</v>
      </c>
      <c r="E516" s="1">
        <v>45326</v>
      </c>
      <c r="F516" s="1">
        <v>45330</v>
      </c>
      <c r="G516" s="1"/>
      <c r="H516" s="4" t="str">
        <f>IF(Claims_Cleaned[[#This Row],[processed_date]]="","",Claims_Cleaned[[#This Row],[processed_date]]-Claims_Cleaned[[#This Row],[submission_date]])</f>
        <v/>
      </c>
      <c r="I516" s="4" t="str">
        <f>TEXT(Claims_Cleaned[[#This Row],[claim_date]],"mmm-yyyy")</f>
        <v>Feb-2024</v>
      </c>
      <c r="J516" t="s">
        <v>11</v>
      </c>
      <c r="K516">
        <v>1498.86</v>
      </c>
      <c r="L516" t="s">
        <v>689</v>
      </c>
    </row>
    <row r="517" spans="1:13" x14ac:dyDescent="0.35">
      <c r="A517" t="s">
        <v>1966</v>
      </c>
      <c r="B517" t="s">
        <v>92</v>
      </c>
      <c r="C517" t="s">
        <v>601</v>
      </c>
      <c r="D517" t="s">
        <v>623</v>
      </c>
      <c r="E517" s="1">
        <v>44965</v>
      </c>
      <c r="F517" s="1">
        <v>44966</v>
      </c>
      <c r="G517" s="1">
        <v>44971</v>
      </c>
      <c r="H517" s="4">
        <f>IF(Claims_Cleaned[[#This Row],[processed_date]]="","",Claims_Cleaned[[#This Row],[processed_date]]-Claims_Cleaned[[#This Row],[submission_date]])</f>
        <v>5</v>
      </c>
      <c r="I517" s="4" t="str">
        <f>TEXT(Claims_Cleaned[[#This Row],[claim_date]],"mmm-yyyy")</f>
        <v>Feb-2023</v>
      </c>
      <c r="J517" t="s">
        <v>25</v>
      </c>
      <c r="K517">
        <v>1490.76</v>
      </c>
      <c r="L517" t="s">
        <v>683</v>
      </c>
      <c r="M517">
        <v>5</v>
      </c>
    </row>
    <row r="518" spans="1:13" x14ac:dyDescent="0.35">
      <c r="A518" t="s">
        <v>2411</v>
      </c>
      <c r="B518" t="s">
        <v>187</v>
      </c>
      <c r="C518" t="s">
        <v>557</v>
      </c>
      <c r="D518" t="s">
        <v>663</v>
      </c>
      <c r="E518" s="1">
        <v>45225</v>
      </c>
      <c r="F518" s="1">
        <v>45227</v>
      </c>
      <c r="G518" s="1">
        <v>45249</v>
      </c>
      <c r="H518" s="4">
        <f>IF(Claims_Cleaned[[#This Row],[processed_date]]="","",Claims_Cleaned[[#This Row],[processed_date]]-Claims_Cleaned[[#This Row],[submission_date]])</f>
        <v>22</v>
      </c>
      <c r="I518" s="4" t="str">
        <f>TEXT(Claims_Cleaned[[#This Row],[claim_date]],"mmm-yyyy")</f>
        <v>Oct-2023</v>
      </c>
      <c r="J518" t="s">
        <v>11</v>
      </c>
      <c r="K518">
        <v>1486.56</v>
      </c>
      <c r="L518" t="s">
        <v>683</v>
      </c>
      <c r="M518">
        <v>22</v>
      </c>
    </row>
    <row r="519" spans="1:13" x14ac:dyDescent="0.35">
      <c r="A519" t="s">
        <v>742</v>
      </c>
      <c r="B519" t="s">
        <v>80</v>
      </c>
      <c r="C519" t="s">
        <v>573</v>
      </c>
      <c r="D519" t="s">
        <v>623</v>
      </c>
      <c r="E519" s="1">
        <v>45611</v>
      </c>
      <c r="F519" s="1">
        <v>45615</v>
      </c>
      <c r="G519" s="1">
        <v>45641</v>
      </c>
      <c r="H519" s="4">
        <f>IF(Claims_Cleaned[[#This Row],[processed_date]]="","",Claims_Cleaned[[#This Row],[processed_date]]-Claims_Cleaned[[#This Row],[submission_date]])</f>
        <v>26</v>
      </c>
      <c r="I519" s="4" t="str">
        <f>TEXT(Claims_Cleaned[[#This Row],[claim_date]],"mmm-yyyy")</f>
        <v>Nov-2024</v>
      </c>
      <c r="J519" t="s">
        <v>8</v>
      </c>
      <c r="K519">
        <v>1484.84</v>
      </c>
      <c r="L519" t="s">
        <v>683</v>
      </c>
      <c r="M519">
        <v>26</v>
      </c>
    </row>
    <row r="520" spans="1:13" x14ac:dyDescent="0.35">
      <c r="A520" t="s">
        <v>922</v>
      </c>
      <c r="B520" t="s">
        <v>399</v>
      </c>
      <c r="C520" t="s">
        <v>567</v>
      </c>
      <c r="D520" t="s">
        <v>663</v>
      </c>
      <c r="E520" s="1">
        <v>45307</v>
      </c>
      <c r="F520" s="1">
        <v>45309</v>
      </c>
      <c r="G520" s="1">
        <v>45319</v>
      </c>
      <c r="H520" s="4">
        <f>IF(Claims_Cleaned[[#This Row],[processed_date]]="","",Claims_Cleaned[[#This Row],[processed_date]]-Claims_Cleaned[[#This Row],[submission_date]])</f>
        <v>10</v>
      </c>
      <c r="I520" s="4" t="str">
        <f>TEXT(Claims_Cleaned[[#This Row],[claim_date]],"mmm-yyyy")</f>
        <v>Jan-2024</v>
      </c>
      <c r="J520" t="s">
        <v>13</v>
      </c>
      <c r="K520">
        <v>1474.2</v>
      </c>
      <c r="L520" t="s">
        <v>683</v>
      </c>
      <c r="M520">
        <v>10</v>
      </c>
    </row>
    <row r="521" spans="1:13" x14ac:dyDescent="0.35">
      <c r="A521" t="s">
        <v>1151</v>
      </c>
      <c r="B521" t="s">
        <v>391</v>
      </c>
      <c r="C521" t="s">
        <v>534</v>
      </c>
      <c r="D521" t="s">
        <v>623</v>
      </c>
      <c r="E521" s="1">
        <v>45395</v>
      </c>
      <c r="F521" s="1">
        <v>45400</v>
      </c>
      <c r="G521" s="1">
        <v>45428</v>
      </c>
      <c r="H521" s="4">
        <f>IF(Claims_Cleaned[[#This Row],[processed_date]]="","",Claims_Cleaned[[#This Row],[processed_date]]-Claims_Cleaned[[#This Row],[submission_date]])</f>
        <v>28</v>
      </c>
      <c r="I521" s="4" t="str">
        <f>TEXT(Claims_Cleaned[[#This Row],[claim_date]],"mmm-yyyy")</f>
        <v>Apr-2024</v>
      </c>
      <c r="J521" t="s">
        <v>11</v>
      </c>
      <c r="K521">
        <v>1473.77</v>
      </c>
      <c r="L521" t="s">
        <v>683</v>
      </c>
      <c r="M521">
        <v>28</v>
      </c>
    </row>
    <row r="522" spans="1:13" x14ac:dyDescent="0.35">
      <c r="A522" t="s">
        <v>2112</v>
      </c>
      <c r="B522" t="s">
        <v>111</v>
      </c>
      <c r="C522" t="s">
        <v>583</v>
      </c>
      <c r="D522" t="s">
        <v>663</v>
      </c>
      <c r="E522" s="1">
        <v>45437</v>
      </c>
      <c r="F522" s="1">
        <v>45442</v>
      </c>
      <c r="G522" s="1">
        <v>45454</v>
      </c>
      <c r="H522" s="4">
        <f>IF(Claims_Cleaned[[#This Row],[processed_date]]="","",Claims_Cleaned[[#This Row],[processed_date]]-Claims_Cleaned[[#This Row],[submission_date]])</f>
        <v>12</v>
      </c>
      <c r="I522" s="4" t="str">
        <f>TEXT(Claims_Cleaned[[#This Row],[claim_date]],"mmm-yyyy")</f>
        <v>May-2024</v>
      </c>
      <c r="J522" t="s">
        <v>8</v>
      </c>
      <c r="K522">
        <v>1468.25</v>
      </c>
      <c r="L522" t="s">
        <v>687</v>
      </c>
      <c r="M522">
        <v>12</v>
      </c>
    </row>
    <row r="523" spans="1:13" x14ac:dyDescent="0.35">
      <c r="A523" t="s">
        <v>1258</v>
      </c>
      <c r="B523" t="s">
        <v>238</v>
      </c>
      <c r="C523" t="s">
        <v>563</v>
      </c>
      <c r="D523" t="s">
        <v>623</v>
      </c>
      <c r="E523" s="1">
        <v>45510</v>
      </c>
      <c r="F523" s="1">
        <v>45512</v>
      </c>
      <c r="G523" s="1">
        <v>45529</v>
      </c>
      <c r="H523" s="4">
        <f>IF(Claims_Cleaned[[#This Row],[processed_date]]="","",Claims_Cleaned[[#This Row],[processed_date]]-Claims_Cleaned[[#This Row],[submission_date]])</f>
        <v>17</v>
      </c>
      <c r="I523" s="4" t="str">
        <f>TEXT(Claims_Cleaned[[#This Row],[claim_date]],"mmm-yyyy")</f>
        <v>Aug-2024</v>
      </c>
      <c r="J523" t="s">
        <v>20</v>
      </c>
      <c r="K523">
        <v>1468.17</v>
      </c>
      <c r="L523" t="s">
        <v>683</v>
      </c>
      <c r="M523">
        <v>17</v>
      </c>
    </row>
    <row r="524" spans="1:13" x14ac:dyDescent="0.35">
      <c r="A524" t="s">
        <v>776</v>
      </c>
      <c r="B524" t="s">
        <v>9</v>
      </c>
      <c r="C524" t="s">
        <v>557</v>
      </c>
      <c r="D524" t="s">
        <v>623</v>
      </c>
      <c r="E524" s="1">
        <v>45180</v>
      </c>
      <c r="F524" s="1">
        <v>45185</v>
      </c>
      <c r="G524" s="1">
        <v>45204</v>
      </c>
      <c r="H524" s="4">
        <f>IF(Claims_Cleaned[[#This Row],[processed_date]]="","",Claims_Cleaned[[#This Row],[processed_date]]-Claims_Cleaned[[#This Row],[submission_date]])</f>
        <v>19</v>
      </c>
      <c r="I524" s="4" t="str">
        <f>TEXT(Claims_Cleaned[[#This Row],[claim_date]],"mmm-yyyy")</f>
        <v>Sep-2023</v>
      </c>
      <c r="J524" t="s">
        <v>11</v>
      </c>
      <c r="K524">
        <v>1463.77</v>
      </c>
      <c r="L524" t="s">
        <v>683</v>
      </c>
      <c r="M524">
        <v>19</v>
      </c>
    </row>
    <row r="525" spans="1:13" x14ac:dyDescent="0.35">
      <c r="A525" t="s">
        <v>1719</v>
      </c>
      <c r="B525" t="s">
        <v>434</v>
      </c>
      <c r="C525" t="s">
        <v>577</v>
      </c>
      <c r="D525" t="s">
        <v>623</v>
      </c>
      <c r="E525" s="1">
        <v>45479</v>
      </c>
      <c r="F525" s="1">
        <v>45481</v>
      </c>
      <c r="G525" s="1">
        <v>45485</v>
      </c>
      <c r="H525" s="4">
        <f>IF(Claims_Cleaned[[#This Row],[processed_date]]="","",Claims_Cleaned[[#This Row],[processed_date]]-Claims_Cleaned[[#This Row],[submission_date]])</f>
        <v>4</v>
      </c>
      <c r="I525" s="4" t="str">
        <f>TEXT(Claims_Cleaned[[#This Row],[claim_date]],"mmm-yyyy")</f>
        <v>Jul-2024</v>
      </c>
      <c r="J525" t="s">
        <v>11</v>
      </c>
      <c r="K525">
        <v>1463.55</v>
      </c>
      <c r="L525" t="s">
        <v>687</v>
      </c>
      <c r="M525">
        <v>4</v>
      </c>
    </row>
    <row r="526" spans="1:13" x14ac:dyDescent="0.35">
      <c r="A526" t="s">
        <v>1672</v>
      </c>
      <c r="B526" t="s">
        <v>506</v>
      </c>
      <c r="C526" t="s">
        <v>587</v>
      </c>
      <c r="D526" t="s">
        <v>663</v>
      </c>
      <c r="E526" s="1">
        <v>45251</v>
      </c>
      <c r="F526" s="1">
        <v>45254</v>
      </c>
      <c r="G526" s="1">
        <v>45258</v>
      </c>
      <c r="H526" s="4">
        <f>IF(Claims_Cleaned[[#This Row],[processed_date]]="","",Claims_Cleaned[[#This Row],[processed_date]]-Claims_Cleaned[[#This Row],[submission_date]])</f>
        <v>4</v>
      </c>
      <c r="I526" s="4" t="str">
        <f>TEXT(Claims_Cleaned[[#This Row],[claim_date]],"mmm-yyyy")</f>
        <v>Nov-2023</v>
      </c>
      <c r="J526" t="s">
        <v>11</v>
      </c>
      <c r="K526">
        <v>1459.63</v>
      </c>
      <c r="L526" t="s">
        <v>683</v>
      </c>
      <c r="M526">
        <v>4</v>
      </c>
    </row>
    <row r="527" spans="1:13" x14ac:dyDescent="0.35">
      <c r="A527" t="s">
        <v>2239</v>
      </c>
      <c r="B527" t="s">
        <v>210</v>
      </c>
      <c r="C527" t="s">
        <v>607</v>
      </c>
      <c r="D527" t="s">
        <v>663</v>
      </c>
      <c r="E527" s="1">
        <v>45105</v>
      </c>
      <c r="F527" s="1">
        <v>45106</v>
      </c>
      <c r="G527" s="1">
        <v>45134</v>
      </c>
      <c r="H527" s="4">
        <f>IF(Claims_Cleaned[[#This Row],[processed_date]]="","",Claims_Cleaned[[#This Row],[processed_date]]-Claims_Cleaned[[#This Row],[submission_date]])</f>
        <v>28</v>
      </c>
      <c r="I527" s="4" t="str">
        <f>TEXT(Claims_Cleaned[[#This Row],[claim_date]],"mmm-yyyy")</f>
        <v>Jun-2023</v>
      </c>
      <c r="J527" t="s">
        <v>20</v>
      </c>
      <c r="K527">
        <v>1455.29</v>
      </c>
      <c r="L527" t="s">
        <v>683</v>
      </c>
      <c r="M527">
        <v>28</v>
      </c>
    </row>
    <row r="528" spans="1:13" x14ac:dyDescent="0.35">
      <c r="A528" t="s">
        <v>812</v>
      </c>
      <c r="B528" t="s">
        <v>223</v>
      </c>
      <c r="C528" t="s">
        <v>609</v>
      </c>
      <c r="D528" t="s">
        <v>663</v>
      </c>
      <c r="E528" s="1">
        <v>45146</v>
      </c>
      <c r="F528" s="1">
        <v>45148</v>
      </c>
      <c r="G528" s="1">
        <v>45168</v>
      </c>
      <c r="H528" s="4">
        <f>IF(Claims_Cleaned[[#This Row],[processed_date]]="","",Claims_Cleaned[[#This Row],[processed_date]]-Claims_Cleaned[[#This Row],[submission_date]])</f>
        <v>20</v>
      </c>
      <c r="I528" s="4" t="str">
        <f>TEXT(Claims_Cleaned[[#This Row],[claim_date]],"mmm-yyyy")</f>
        <v>Aug-2023</v>
      </c>
      <c r="J528" t="s">
        <v>8</v>
      </c>
      <c r="K528">
        <v>1454.18</v>
      </c>
      <c r="L528" t="s">
        <v>683</v>
      </c>
      <c r="M528">
        <v>20</v>
      </c>
    </row>
    <row r="529" spans="1:13" x14ac:dyDescent="0.35">
      <c r="A529" t="s">
        <v>2534</v>
      </c>
      <c r="B529" t="s">
        <v>289</v>
      </c>
      <c r="C529" t="s">
        <v>557</v>
      </c>
      <c r="D529" t="s">
        <v>663</v>
      </c>
      <c r="E529" s="1">
        <v>45652</v>
      </c>
      <c r="F529" s="1">
        <v>45657</v>
      </c>
      <c r="G529" s="1">
        <v>45679</v>
      </c>
      <c r="H529" s="4">
        <f>IF(Claims_Cleaned[[#This Row],[processed_date]]="","",Claims_Cleaned[[#This Row],[processed_date]]-Claims_Cleaned[[#This Row],[submission_date]])</f>
        <v>22</v>
      </c>
      <c r="I529" s="4" t="str">
        <f>TEXT(Claims_Cleaned[[#This Row],[claim_date]],"mmm-yyyy")</f>
        <v>Dec-2024</v>
      </c>
      <c r="J529" t="s">
        <v>13</v>
      </c>
      <c r="K529">
        <v>1452.44</v>
      </c>
      <c r="L529" t="s">
        <v>687</v>
      </c>
      <c r="M529">
        <v>22</v>
      </c>
    </row>
    <row r="530" spans="1:13" x14ac:dyDescent="0.35">
      <c r="A530" t="s">
        <v>2194</v>
      </c>
      <c r="B530" t="s">
        <v>377</v>
      </c>
      <c r="C530" t="s">
        <v>579</v>
      </c>
      <c r="D530" t="s">
        <v>663</v>
      </c>
      <c r="E530" s="1">
        <v>45026</v>
      </c>
      <c r="F530" s="1">
        <v>45031</v>
      </c>
      <c r="G530" s="1">
        <v>45041</v>
      </c>
      <c r="H530" s="4">
        <f>IF(Claims_Cleaned[[#This Row],[processed_date]]="","",Claims_Cleaned[[#This Row],[processed_date]]-Claims_Cleaned[[#This Row],[submission_date]])</f>
        <v>10</v>
      </c>
      <c r="I530" s="4" t="str">
        <f>TEXT(Claims_Cleaned[[#This Row],[claim_date]],"mmm-yyyy")</f>
        <v>Apr-2023</v>
      </c>
      <c r="J530" t="s">
        <v>8</v>
      </c>
      <c r="K530">
        <v>1450.38</v>
      </c>
      <c r="L530" t="s">
        <v>687</v>
      </c>
      <c r="M530">
        <v>10</v>
      </c>
    </row>
    <row r="531" spans="1:13" x14ac:dyDescent="0.35">
      <c r="A531" t="s">
        <v>965</v>
      </c>
      <c r="B531" t="s">
        <v>392</v>
      </c>
      <c r="C531" t="s">
        <v>605</v>
      </c>
      <c r="D531" t="s">
        <v>623</v>
      </c>
      <c r="E531" s="1">
        <v>45552</v>
      </c>
      <c r="F531" s="1">
        <v>45557</v>
      </c>
      <c r="G531" s="1">
        <v>45581</v>
      </c>
      <c r="H531" s="4">
        <f>IF(Claims_Cleaned[[#This Row],[processed_date]]="","",Claims_Cleaned[[#This Row],[processed_date]]-Claims_Cleaned[[#This Row],[submission_date]])</f>
        <v>24</v>
      </c>
      <c r="I531" s="4" t="str">
        <f>TEXT(Claims_Cleaned[[#This Row],[claim_date]],"mmm-yyyy")</f>
        <v>Sep-2024</v>
      </c>
      <c r="J531" t="s">
        <v>13</v>
      </c>
      <c r="K531">
        <v>1441.67</v>
      </c>
      <c r="L531" t="s">
        <v>683</v>
      </c>
      <c r="M531">
        <v>24</v>
      </c>
    </row>
    <row r="532" spans="1:13" x14ac:dyDescent="0.35">
      <c r="A532" t="s">
        <v>2430</v>
      </c>
      <c r="B532" t="s">
        <v>256</v>
      </c>
      <c r="C532" t="s">
        <v>567</v>
      </c>
      <c r="D532" t="s">
        <v>623</v>
      </c>
      <c r="E532" s="1">
        <v>45245</v>
      </c>
      <c r="F532" s="1">
        <v>45246</v>
      </c>
      <c r="G532" s="1"/>
      <c r="H532" s="4" t="str">
        <f>IF(Claims_Cleaned[[#This Row],[processed_date]]="","",Claims_Cleaned[[#This Row],[processed_date]]-Claims_Cleaned[[#This Row],[submission_date]])</f>
        <v/>
      </c>
      <c r="I532" s="4" t="str">
        <f>TEXT(Claims_Cleaned[[#This Row],[claim_date]],"mmm-yyyy")</f>
        <v>Nov-2023</v>
      </c>
      <c r="J532" t="s">
        <v>8</v>
      </c>
      <c r="K532">
        <v>1438.33</v>
      </c>
      <c r="L532" t="s">
        <v>689</v>
      </c>
    </row>
    <row r="533" spans="1:13" x14ac:dyDescent="0.35">
      <c r="A533" t="s">
        <v>1005</v>
      </c>
      <c r="B533" t="s">
        <v>284</v>
      </c>
      <c r="C533" t="s">
        <v>563</v>
      </c>
      <c r="D533" t="s">
        <v>623</v>
      </c>
      <c r="E533" s="1">
        <v>45191</v>
      </c>
      <c r="F533" s="1">
        <v>45196</v>
      </c>
      <c r="G533" s="1">
        <v>45199</v>
      </c>
      <c r="H533" s="4">
        <f>IF(Claims_Cleaned[[#This Row],[processed_date]]="","",Claims_Cleaned[[#This Row],[processed_date]]-Claims_Cleaned[[#This Row],[submission_date]])</f>
        <v>3</v>
      </c>
      <c r="I533" s="4" t="str">
        <f>TEXT(Claims_Cleaned[[#This Row],[claim_date]],"mmm-yyyy")</f>
        <v>Sep-2023</v>
      </c>
      <c r="J533" t="s">
        <v>8</v>
      </c>
      <c r="K533">
        <v>1432.99</v>
      </c>
      <c r="L533" t="s">
        <v>683</v>
      </c>
      <c r="M533">
        <v>3</v>
      </c>
    </row>
    <row r="534" spans="1:13" x14ac:dyDescent="0.35">
      <c r="A534" t="s">
        <v>2340</v>
      </c>
      <c r="B534" t="s">
        <v>413</v>
      </c>
      <c r="C534" t="s">
        <v>527</v>
      </c>
      <c r="D534" t="s">
        <v>663</v>
      </c>
      <c r="E534" s="1">
        <v>45486</v>
      </c>
      <c r="F534" s="1">
        <v>45489</v>
      </c>
      <c r="G534" s="1">
        <v>45517</v>
      </c>
      <c r="H534" s="4">
        <f>IF(Claims_Cleaned[[#This Row],[processed_date]]="","",Claims_Cleaned[[#This Row],[processed_date]]-Claims_Cleaned[[#This Row],[submission_date]])</f>
        <v>28</v>
      </c>
      <c r="I534" s="4" t="str">
        <f>TEXT(Claims_Cleaned[[#This Row],[claim_date]],"mmm-yyyy")</f>
        <v>Jul-2024</v>
      </c>
      <c r="J534" t="s">
        <v>8</v>
      </c>
      <c r="K534">
        <v>1431.62</v>
      </c>
      <c r="L534" t="s">
        <v>683</v>
      </c>
      <c r="M534">
        <v>28</v>
      </c>
    </row>
    <row r="535" spans="1:13" x14ac:dyDescent="0.35">
      <c r="A535" t="s">
        <v>2284</v>
      </c>
      <c r="B535" t="s">
        <v>381</v>
      </c>
      <c r="C535" t="s">
        <v>543</v>
      </c>
      <c r="D535" t="s">
        <v>663</v>
      </c>
      <c r="E535" s="1">
        <v>45640</v>
      </c>
      <c r="F535" s="1">
        <v>45642</v>
      </c>
      <c r="G535" s="1"/>
      <c r="H535" s="4" t="str">
        <f>IF(Claims_Cleaned[[#This Row],[processed_date]]="","",Claims_Cleaned[[#This Row],[processed_date]]-Claims_Cleaned[[#This Row],[submission_date]])</f>
        <v/>
      </c>
      <c r="I535" s="4" t="str">
        <f>TEXT(Claims_Cleaned[[#This Row],[claim_date]],"mmm-yyyy")</f>
        <v>Dec-2024</v>
      </c>
      <c r="J535" t="s">
        <v>11</v>
      </c>
      <c r="K535">
        <v>1429.67</v>
      </c>
      <c r="L535" t="s">
        <v>689</v>
      </c>
    </row>
    <row r="536" spans="1:13" x14ac:dyDescent="0.35">
      <c r="A536" t="s">
        <v>1169</v>
      </c>
      <c r="B536" t="s">
        <v>462</v>
      </c>
      <c r="C536" t="s">
        <v>567</v>
      </c>
      <c r="D536" t="s">
        <v>663</v>
      </c>
      <c r="E536" s="1">
        <v>45350</v>
      </c>
      <c r="F536" s="1">
        <v>45353</v>
      </c>
      <c r="G536" s="1">
        <v>45383</v>
      </c>
      <c r="H536" s="4">
        <f>IF(Claims_Cleaned[[#This Row],[processed_date]]="","",Claims_Cleaned[[#This Row],[processed_date]]-Claims_Cleaned[[#This Row],[submission_date]])</f>
        <v>30</v>
      </c>
      <c r="I536" s="4" t="str">
        <f>TEXT(Claims_Cleaned[[#This Row],[claim_date]],"mmm-yyyy")</f>
        <v>Feb-2024</v>
      </c>
      <c r="J536" t="s">
        <v>20</v>
      </c>
      <c r="K536">
        <v>1428.55</v>
      </c>
      <c r="L536" t="s">
        <v>683</v>
      </c>
      <c r="M536">
        <v>30</v>
      </c>
    </row>
    <row r="537" spans="1:13" x14ac:dyDescent="0.35">
      <c r="A537" t="s">
        <v>951</v>
      </c>
      <c r="B537" t="s">
        <v>186</v>
      </c>
      <c r="C537" t="s">
        <v>561</v>
      </c>
      <c r="D537" t="s">
        <v>663</v>
      </c>
      <c r="E537" s="1">
        <v>44998</v>
      </c>
      <c r="F537" s="1">
        <v>45002</v>
      </c>
      <c r="G537" s="1">
        <v>45009</v>
      </c>
      <c r="H537" s="4">
        <f>IF(Claims_Cleaned[[#This Row],[processed_date]]="","",Claims_Cleaned[[#This Row],[processed_date]]-Claims_Cleaned[[#This Row],[submission_date]])</f>
        <v>7</v>
      </c>
      <c r="I537" s="4" t="str">
        <f>TEXT(Claims_Cleaned[[#This Row],[claim_date]],"mmm-yyyy")</f>
        <v>Mar-2023</v>
      </c>
      <c r="J537" t="s">
        <v>20</v>
      </c>
      <c r="K537">
        <v>1428.05</v>
      </c>
      <c r="L537" t="s">
        <v>683</v>
      </c>
      <c r="M537">
        <v>7</v>
      </c>
    </row>
    <row r="538" spans="1:13" x14ac:dyDescent="0.35">
      <c r="A538" t="s">
        <v>915</v>
      </c>
      <c r="B538" t="s">
        <v>141</v>
      </c>
      <c r="C538" t="s">
        <v>546</v>
      </c>
      <c r="D538" t="s">
        <v>663</v>
      </c>
      <c r="E538" s="1">
        <v>45581</v>
      </c>
      <c r="F538" s="1">
        <v>45585</v>
      </c>
      <c r="G538" s="1">
        <v>45596</v>
      </c>
      <c r="H538" s="4">
        <f>IF(Claims_Cleaned[[#This Row],[processed_date]]="","",Claims_Cleaned[[#This Row],[processed_date]]-Claims_Cleaned[[#This Row],[submission_date]])</f>
        <v>11</v>
      </c>
      <c r="I538" s="4" t="str">
        <f>TEXT(Claims_Cleaned[[#This Row],[claim_date]],"mmm-yyyy")</f>
        <v>Oct-2024</v>
      </c>
      <c r="J538" t="s">
        <v>8</v>
      </c>
      <c r="K538">
        <v>1426.43</v>
      </c>
      <c r="L538" t="s">
        <v>683</v>
      </c>
      <c r="M538">
        <v>11</v>
      </c>
    </row>
    <row r="539" spans="1:13" x14ac:dyDescent="0.35">
      <c r="A539" t="s">
        <v>1039</v>
      </c>
      <c r="B539" t="s">
        <v>144</v>
      </c>
      <c r="C539" t="s">
        <v>589</v>
      </c>
      <c r="D539" t="s">
        <v>623</v>
      </c>
      <c r="E539" s="1">
        <v>45199</v>
      </c>
      <c r="F539" s="1">
        <v>45200</v>
      </c>
      <c r="G539" s="1">
        <v>45205</v>
      </c>
      <c r="H539" s="4">
        <f>IF(Claims_Cleaned[[#This Row],[processed_date]]="","",Claims_Cleaned[[#This Row],[processed_date]]-Claims_Cleaned[[#This Row],[submission_date]])</f>
        <v>5</v>
      </c>
      <c r="I539" s="4" t="str">
        <f>TEXT(Claims_Cleaned[[#This Row],[claim_date]],"mmm-yyyy")</f>
        <v>Sep-2023</v>
      </c>
      <c r="J539" t="s">
        <v>8</v>
      </c>
      <c r="K539">
        <v>1424.67</v>
      </c>
      <c r="L539" t="s">
        <v>683</v>
      </c>
      <c r="M539">
        <v>5</v>
      </c>
    </row>
    <row r="540" spans="1:13" x14ac:dyDescent="0.35">
      <c r="A540" t="s">
        <v>2636</v>
      </c>
      <c r="B540" t="s">
        <v>106</v>
      </c>
      <c r="C540" t="s">
        <v>601</v>
      </c>
      <c r="D540" t="s">
        <v>623</v>
      </c>
      <c r="E540" s="1">
        <v>45524</v>
      </c>
      <c r="F540" s="1">
        <v>45528</v>
      </c>
      <c r="G540" s="1">
        <v>45558</v>
      </c>
      <c r="H540" s="4">
        <f>IF(Claims_Cleaned[[#This Row],[processed_date]]="","",Claims_Cleaned[[#This Row],[processed_date]]-Claims_Cleaned[[#This Row],[submission_date]])</f>
        <v>30</v>
      </c>
      <c r="I540" s="4" t="str">
        <f>TEXT(Claims_Cleaned[[#This Row],[claim_date]],"mmm-yyyy")</f>
        <v>Aug-2024</v>
      </c>
      <c r="J540" t="s">
        <v>11</v>
      </c>
      <c r="K540">
        <v>1424.59</v>
      </c>
      <c r="L540" t="s">
        <v>683</v>
      </c>
      <c r="M540">
        <v>30</v>
      </c>
    </row>
    <row r="541" spans="1:13" x14ac:dyDescent="0.35">
      <c r="A541" t="s">
        <v>1007</v>
      </c>
      <c r="B541" t="s">
        <v>134</v>
      </c>
      <c r="C541" t="s">
        <v>531</v>
      </c>
      <c r="D541" t="s">
        <v>623</v>
      </c>
      <c r="E541" s="1">
        <v>45412</v>
      </c>
      <c r="F541" s="1">
        <v>45416</v>
      </c>
      <c r="G541" s="1">
        <v>45419</v>
      </c>
      <c r="H541" s="4">
        <f>IF(Claims_Cleaned[[#This Row],[processed_date]]="","",Claims_Cleaned[[#This Row],[processed_date]]-Claims_Cleaned[[#This Row],[submission_date]])</f>
        <v>3</v>
      </c>
      <c r="I541" s="4" t="str">
        <f>TEXT(Claims_Cleaned[[#This Row],[claim_date]],"mmm-yyyy")</f>
        <v>Apr-2024</v>
      </c>
      <c r="J541" t="s">
        <v>11</v>
      </c>
      <c r="K541">
        <v>1411.4</v>
      </c>
      <c r="L541" t="s">
        <v>683</v>
      </c>
      <c r="M541">
        <v>3</v>
      </c>
    </row>
    <row r="542" spans="1:13" x14ac:dyDescent="0.35">
      <c r="A542" t="s">
        <v>1899</v>
      </c>
      <c r="B542" t="s">
        <v>141</v>
      </c>
      <c r="C542" t="s">
        <v>587</v>
      </c>
      <c r="D542" t="s">
        <v>663</v>
      </c>
      <c r="E542" s="1">
        <v>45203</v>
      </c>
      <c r="F542" s="1">
        <v>45204</v>
      </c>
      <c r="G542" s="1">
        <v>45218</v>
      </c>
      <c r="H542" s="4">
        <f>IF(Claims_Cleaned[[#This Row],[processed_date]]="","",Claims_Cleaned[[#This Row],[processed_date]]-Claims_Cleaned[[#This Row],[submission_date]])</f>
        <v>14</v>
      </c>
      <c r="I542" s="4" t="str">
        <f>TEXT(Claims_Cleaned[[#This Row],[claim_date]],"mmm-yyyy")</f>
        <v>Oct-2023</v>
      </c>
      <c r="J542" t="s">
        <v>8</v>
      </c>
      <c r="K542">
        <v>1411.23</v>
      </c>
      <c r="L542" t="s">
        <v>683</v>
      </c>
      <c r="M542">
        <v>14</v>
      </c>
    </row>
    <row r="543" spans="1:13" x14ac:dyDescent="0.35">
      <c r="A543" t="s">
        <v>1865</v>
      </c>
      <c r="B543" t="s">
        <v>468</v>
      </c>
      <c r="C543" t="s">
        <v>521</v>
      </c>
      <c r="D543" t="s">
        <v>623</v>
      </c>
      <c r="E543" s="1">
        <v>45227</v>
      </c>
      <c r="F543" s="1">
        <v>45230</v>
      </c>
      <c r="G543" s="1">
        <v>45253</v>
      </c>
      <c r="H543" s="4">
        <f>IF(Claims_Cleaned[[#This Row],[processed_date]]="","",Claims_Cleaned[[#This Row],[processed_date]]-Claims_Cleaned[[#This Row],[submission_date]])</f>
        <v>23</v>
      </c>
      <c r="I543" s="4" t="str">
        <f>TEXT(Claims_Cleaned[[#This Row],[claim_date]],"mmm-yyyy")</f>
        <v>Oct-2023</v>
      </c>
      <c r="J543" t="s">
        <v>20</v>
      </c>
      <c r="K543">
        <v>1411.03</v>
      </c>
      <c r="L543" t="s">
        <v>683</v>
      </c>
      <c r="M543">
        <v>23</v>
      </c>
    </row>
    <row r="544" spans="1:13" x14ac:dyDescent="0.35">
      <c r="A544" t="s">
        <v>887</v>
      </c>
      <c r="B544" t="s">
        <v>203</v>
      </c>
      <c r="C544" t="s">
        <v>553</v>
      </c>
      <c r="D544" t="s">
        <v>663</v>
      </c>
      <c r="E544" s="1">
        <v>45440</v>
      </c>
      <c r="F544" s="1">
        <v>45441</v>
      </c>
      <c r="G544" s="1">
        <v>45457</v>
      </c>
      <c r="H544" s="4">
        <f>IF(Claims_Cleaned[[#This Row],[processed_date]]="","",Claims_Cleaned[[#This Row],[processed_date]]-Claims_Cleaned[[#This Row],[submission_date]])</f>
        <v>16</v>
      </c>
      <c r="I544" s="4" t="str">
        <f>TEXT(Claims_Cleaned[[#This Row],[claim_date]],"mmm-yyyy")</f>
        <v>May-2024</v>
      </c>
      <c r="J544" t="s">
        <v>25</v>
      </c>
      <c r="K544">
        <v>1409.33</v>
      </c>
      <c r="L544" t="s">
        <v>683</v>
      </c>
      <c r="M544">
        <v>16</v>
      </c>
    </row>
    <row r="545" spans="1:13" x14ac:dyDescent="0.35">
      <c r="A545" t="s">
        <v>1324</v>
      </c>
      <c r="B545" t="s">
        <v>235</v>
      </c>
      <c r="C545" t="s">
        <v>540</v>
      </c>
      <c r="D545" t="s">
        <v>663</v>
      </c>
      <c r="E545" s="1">
        <v>45053</v>
      </c>
      <c r="F545" s="1">
        <v>45058</v>
      </c>
      <c r="G545" s="1">
        <v>45068</v>
      </c>
      <c r="H545" s="4">
        <f>IF(Claims_Cleaned[[#This Row],[processed_date]]="","",Claims_Cleaned[[#This Row],[processed_date]]-Claims_Cleaned[[#This Row],[submission_date]])</f>
        <v>10</v>
      </c>
      <c r="I545" s="4" t="str">
        <f>TEXT(Claims_Cleaned[[#This Row],[claim_date]],"mmm-yyyy")</f>
        <v>May-2023</v>
      </c>
      <c r="J545" t="s">
        <v>25</v>
      </c>
      <c r="K545">
        <v>1404.92</v>
      </c>
      <c r="L545" t="s">
        <v>683</v>
      </c>
      <c r="M545">
        <v>10</v>
      </c>
    </row>
    <row r="546" spans="1:13" x14ac:dyDescent="0.35">
      <c r="A546" t="s">
        <v>1765</v>
      </c>
      <c r="B546" t="s">
        <v>66</v>
      </c>
      <c r="C546" t="s">
        <v>581</v>
      </c>
      <c r="D546" t="s">
        <v>623</v>
      </c>
      <c r="E546" s="1">
        <v>44979</v>
      </c>
      <c r="F546" s="1">
        <v>44980</v>
      </c>
      <c r="G546" s="1">
        <v>44998</v>
      </c>
      <c r="H546" s="4">
        <f>IF(Claims_Cleaned[[#This Row],[processed_date]]="","",Claims_Cleaned[[#This Row],[processed_date]]-Claims_Cleaned[[#This Row],[submission_date]])</f>
        <v>18</v>
      </c>
      <c r="I546" s="4" t="str">
        <f>TEXT(Claims_Cleaned[[#This Row],[claim_date]],"mmm-yyyy")</f>
        <v>Feb-2023</v>
      </c>
      <c r="J546" t="s">
        <v>11</v>
      </c>
      <c r="K546">
        <v>1403.96</v>
      </c>
      <c r="L546" t="s">
        <v>683</v>
      </c>
      <c r="M546">
        <v>18</v>
      </c>
    </row>
    <row r="547" spans="1:13" x14ac:dyDescent="0.35">
      <c r="A547" t="s">
        <v>1956</v>
      </c>
      <c r="B547" t="s">
        <v>362</v>
      </c>
      <c r="C547" t="s">
        <v>559</v>
      </c>
      <c r="D547" t="s">
        <v>623</v>
      </c>
      <c r="E547" s="1">
        <v>45173</v>
      </c>
      <c r="F547" s="1">
        <v>45174</v>
      </c>
      <c r="G547" s="1">
        <v>45182</v>
      </c>
      <c r="H547" s="4">
        <f>IF(Claims_Cleaned[[#This Row],[processed_date]]="","",Claims_Cleaned[[#This Row],[processed_date]]-Claims_Cleaned[[#This Row],[submission_date]])</f>
        <v>8</v>
      </c>
      <c r="I547" s="4" t="str">
        <f>TEXT(Claims_Cleaned[[#This Row],[claim_date]],"mmm-yyyy")</f>
        <v>Sep-2023</v>
      </c>
      <c r="J547" t="s">
        <v>25</v>
      </c>
      <c r="K547">
        <v>1401.62</v>
      </c>
      <c r="L547" t="s">
        <v>687</v>
      </c>
      <c r="M547">
        <v>8</v>
      </c>
    </row>
    <row r="548" spans="1:13" x14ac:dyDescent="0.35">
      <c r="A548" t="s">
        <v>2192</v>
      </c>
      <c r="B548" t="s">
        <v>241</v>
      </c>
      <c r="C548" t="s">
        <v>609</v>
      </c>
      <c r="D548" t="s">
        <v>623</v>
      </c>
      <c r="E548" s="1">
        <v>44991</v>
      </c>
      <c r="F548" s="1">
        <v>44994</v>
      </c>
      <c r="G548" s="1">
        <v>44997</v>
      </c>
      <c r="H548" s="4">
        <f>IF(Claims_Cleaned[[#This Row],[processed_date]]="","",Claims_Cleaned[[#This Row],[processed_date]]-Claims_Cleaned[[#This Row],[submission_date]])</f>
        <v>3</v>
      </c>
      <c r="I548" s="4" t="str">
        <f>TEXT(Claims_Cleaned[[#This Row],[claim_date]],"mmm-yyyy")</f>
        <v>Mar-2023</v>
      </c>
      <c r="J548" t="s">
        <v>11</v>
      </c>
      <c r="K548">
        <v>1396.54</v>
      </c>
      <c r="L548" t="s">
        <v>683</v>
      </c>
      <c r="M548">
        <v>3</v>
      </c>
    </row>
    <row r="549" spans="1:13" x14ac:dyDescent="0.35">
      <c r="A549" t="s">
        <v>1100</v>
      </c>
      <c r="B549" t="s">
        <v>374</v>
      </c>
      <c r="C549" t="s">
        <v>543</v>
      </c>
      <c r="D549" t="s">
        <v>623</v>
      </c>
      <c r="E549" s="1">
        <v>45009</v>
      </c>
      <c r="F549" s="1">
        <v>45013</v>
      </c>
      <c r="G549" s="1">
        <v>45016</v>
      </c>
      <c r="H549" s="4">
        <f>IF(Claims_Cleaned[[#This Row],[processed_date]]="","",Claims_Cleaned[[#This Row],[processed_date]]-Claims_Cleaned[[#This Row],[submission_date]])</f>
        <v>3</v>
      </c>
      <c r="I549" s="4" t="str">
        <f>TEXT(Claims_Cleaned[[#This Row],[claim_date]],"mmm-yyyy")</f>
        <v>Mar-2023</v>
      </c>
      <c r="J549" t="s">
        <v>8</v>
      </c>
      <c r="K549">
        <v>1395.28</v>
      </c>
      <c r="L549" t="s">
        <v>683</v>
      </c>
      <c r="M549">
        <v>3</v>
      </c>
    </row>
    <row r="550" spans="1:13" x14ac:dyDescent="0.35">
      <c r="A550" t="s">
        <v>2421</v>
      </c>
      <c r="B550" t="s">
        <v>381</v>
      </c>
      <c r="C550" t="s">
        <v>575</v>
      </c>
      <c r="D550" t="s">
        <v>663</v>
      </c>
      <c r="E550" s="1">
        <v>45230</v>
      </c>
      <c r="F550" s="1">
        <v>45231</v>
      </c>
      <c r="G550" s="1">
        <v>45251</v>
      </c>
      <c r="H550" s="4">
        <f>IF(Claims_Cleaned[[#This Row],[processed_date]]="","",Claims_Cleaned[[#This Row],[processed_date]]-Claims_Cleaned[[#This Row],[submission_date]])</f>
        <v>20</v>
      </c>
      <c r="I550" s="4" t="str">
        <f>TEXT(Claims_Cleaned[[#This Row],[claim_date]],"mmm-yyyy")</f>
        <v>Oct-2023</v>
      </c>
      <c r="J550" t="s">
        <v>11</v>
      </c>
      <c r="K550">
        <v>1394.53</v>
      </c>
      <c r="L550" t="s">
        <v>683</v>
      </c>
      <c r="M550">
        <v>20</v>
      </c>
    </row>
    <row r="551" spans="1:13" x14ac:dyDescent="0.35">
      <c r="A551" t="s">
        <v>798</v>
      </c>
      <c r="B551" t="s">
        <v>496</v>
      </c>
      <c r="C551" t="s">
        <v>591</v>
      </c>
      <c r="D551" t="s">
        <v>623</v>
      </c>
      <c r="E551" s="1">
        <v>45108</v>
      </c>
      <c r="F551" s="1">
        <v>45110</v>
      </c>
      <c r="G551" s="1">
        <v>45129</v>
      </c>
      <c r="H551" s="4">
        <f>IF(Claims_Cleaned[[#This Row],[processed_date]]="","",Claims_Cleaned[[#This Row],[processed_date]]-Claims_Cleaned[[#This Row],[submission_date]])</f>
        <v>19</v>
      </c>
      <c r="I551" s="4" t="str">
        <f>TEXT(Claims_Cleaned[[#This Row],[claim_date]],"mmm-yyyy")</f>
        <v>Jul-2023</v>
      </c>
      <c r="J551" t="s">
        <v>13</v>
      </c>
      <c r="K551">
        <v>1390.02</v>
      </c>
      <c r="L551" t="s">
        <v>683</v>
      </c>
      <c r="M551">
        <v>19</v>
      </c>
    </row>
    <row r="552" spans="1:13" x14ac:dyDescent="0.35">
      <c r="A552" t="s">
        <v>2431</v>
      </c>
      <c r="B552" t="s">
        <v>131</v>
      </c>
      <c r="C552" t="s">
        <v>575</v>
      </c>
      <c r="D552" t="s">
        <v>663</v>
      </c>
      <c r="E552" s="1">
        <v>45515</v>
      </c>
      <c r="F552" s="1">
        <v>45520</v>
      </c>
      <c r="G552" s="1">
        <v>45544</v>
      </c>
      <c r="H552" s="4">
        <f>IF(Claims_Cleaned[[#This Row],[processed_date]]="","",Claims_Cleaned[[#This Row],[processed_date]]-Claims_Cleaned[[#This Row],[submission_date]])</f>
        <v>24</v>
      </c>
      <c r="I552" s="4" t="str">
        <f>TEXT(Claims_Cleaned[[#This Row],[claim_date]],"mmm-yyyy")</f>
        <v>Aug-2024</v>
      </c>
      <c r="J552" t="s">
        <v>20</v>
      </c>
      <c r="K552">
        <v>1389.65</v>
      </c>
      <c r="L552" t="s">
        <v>683</v>
      </c>
      <c r="M552">
        <v>24</v>
      </c>
    </row>
    <row r="553" spans="1:13" x14ac:dyDescent="0.35">
      <c r="A553" t="s">
        <v>2485</v>
      </c>
      <c r="B553" t="s">
        <v>156</v>
      </c>
      <c r="C553" t="s">
        <v>531</v>
      </c>
      <c r="D553" t="s">
        <v>663</v>
      </c>
      <c r="E553" s="1">
        <v>45571</v>
      </c>
      <c r="F553" s="1">
        <v>45576</v>
      </c>
      <c r="G553" s="1">
        <v>45589</v>
      </c>
      <c r="H553" s="4">
        <f>IF(Claims_Cleaned[[#This Row],[processed_date]]="","",Claims_Cleaned[[#This Row],[processed_date]]-Claims_Cleaned[[#This Row],[submission_date]])</f>
        <v>13</v>
      </c>
      <c r="I553" s="4" t="str">
        <f>TEXT(Claims_Cleaned[[#This Row],[claim_date]],"mmm-yyyy")</f>
        <v>Oct-2024</v>
      </c>
      <c r="J553" t="s">
        <v>25</v>
      </c>
      <c r="K553">
        <v>1384.19</v>
      </c>
      <c r="L553" t="s">
        <v>687</v>
      </c>
      <c r="M553">
        <v>13</v>
      </c>
    </row>
    <row r="554" spans="1:13" x14ac:dyDescent="0.35">
      <c r="A554" t="s">
        <v>1936</v>
      </c>
      <c r="B554" t="s">
        <v>230</v>
      </c>
      <c r="C554" t="s">
        <v>534</v>
      </c>
      <c r="D554" t="s">
        <v>663</v>
      </c>
      <c r="E554" s="1">
        <v>45016</v>
      </c>
      <c r="F554" s="1">
        <v>45017</v>
      </c>
      <c r="G554" s="1">
        <v>45023</v>
      </c>
      <c r="H554" s="4">
        <f>IF(Claims_Cleaned[[#This Row],[processed_date]]="","",Claims_Cleaned[[#This Row],[processed_date]]-Claims_Cleaned[[#This Row],[submission_date]])</f>
        <v>6</v>
      </c>
      <c r="I554" s="4" t="str">
        <f>TEXT(Claims_Cleaned[[#This Row],[claim_date]],"mmm-yyyy")</f>
        <v>Mar-2023</v>
      </c>
      <c r="J554" t="s">
        <v>20</v>
      </c>
      <c r="K554">
        <v>1383.8</v>
      </c>
      <c r="L554" t="s">
        <v>683</v>
      </c>
      <c r="M554">
        <v>6</v>
      </c>
    </row>
    <row r="555" spans="1:13" x14ac:dyDescent="0.35">
      <c r="A555" t="s">
        <v>1243</v>
      </c>
      <c r="B555" t="s">
        <v>111</v>
      </c>
      <c r="C555" t="s">
        <v>561</v>
      </c>
      <c r="D555" t="s">
        <v>663</v>
      </c>
      <c r="E555" s="1">
        <v>44967</v>
      </c>
      <c r="F555" s="1">
        <v>44972</v>
      </c>
      <c r="G555" s="1">
        <v>44997</v>
      </c>
      <c r="H555" s="4">
        <f>IF(Claims_Cleaned[[#This Row],[processed_date]]="","",Claims_Cleaned[[#This Row],[processed_date]]-Claims_Cleaned[[#This Row],[submission_date]])</f>
        <v>25</v>
      </c>
      <c r="I555" s="4" t="str">
        <f>TEXT(Claims_Cleaned[[#This Row],[claim_date]],"mmm-yyyy")</f>
        <v>Feb-2023</v>
      </c>
      <c r="J555" t="s">
        <v>8</v>
      </c>
      <c r="K555">
        <v>1381.98</v>
      </c>
      <c r="L555" t="s">
        <v>683</v>
      </c>
      <c r="M555">
        <v>25</v>
      </c>
    </row>
    <row r="556" spans="1:13" x14ac:dyDescent="0.35">
      <c r="A556" t="s">
        <v>2580</v>
      </c>
      <c r="B556" t="s">
        <v>14</v>
      </c>
      <c r="C556" t="s">
        <v>585</v>
      </c>
      <c r="D556" t="s">
        <v>623</v>
      </c>
      <c r="E556" s="1">
        <v>45308</v>
      </c>
      <c r="F556" s="1">
        <v>45310</v>
      </c>
      <c r="G556" s="1">
        <v>45314</v>
      </c>
      <c r="H556" s="4">
        <f>IF(Claims_Cleaned[[#This Row],[processed_date]]="","",Claims_Cleaned[[#This Row],[processed_date]]-Claims_Cleaned[[#This Row],[submission_date]])</f>
        <v>4</v>
      </c>
      <c r="I556" s="4" t="str">
        <f>TEXT(Claims_Cleaned[[#This Row],[claim_date]],"mmm-yyyy")</f>
        <v>Jan-2024</v>
      </c>
      <c r="J556" t="s">
        <v>8</v>
      </c>
      <c r="K556">
        <v>1381.31</v>
      </c>
      <c r="L556" t="s">
        <v>683</v>
      </c>
      <c r="M556">
        <v>4</v>
      </c>
    </row>
    <row r="557" spans="1:13" x14ac:dyDescent="0.35">
      <c r="A557" t="s">
        <v>1225</v>
      </c>
      <c r="B557" t="s">
        <v>311</v>
      </c>
      <c r="C557" t="s">
        <v>575</v>
      </c>
      <c r="D557" t="s">
        <v>663</v>
      </c>
      <c r="E557" s="1">
        <v>45116</v>
      </c>
      <c r="F557" s="1">
        <v>45120</v>
      </c>
      <c r="G557" s="1">
        <v>45135</v>
      </c>
      <c r="H557" s="4">
        <f>IF(Claims_Cleaned[[#This Row],[processed_date]]="","",Claims_Cleaned[[#This Row],[processed_date]]-Claims_Cleaned[[#This Row],[submission_date]])</f>
        <v>15</v>
      </c>
      <c r="I557" s="4" t="str">
        <f>TEXT(Claims_Cleaned[[#This Row],[claim_date]],"mmm-yyyy")</f>
        <v>Jul-2023</v>
      </c>
      <c r="J557" t="s">
        <v>25</v>
      </c>
      <c r="K557">
        <v>1381.13</v>
      </c>
      <c r="L557" t="s">
        <v>683</v>
      </c>
      <c r="M557">
        <v>15</v>
      </c>
    </row>
    <row r="558" spans="1:13" x14ac:dyDescent="0.35">
      <c r="A558" t="s">
        <v>2574</v>
      </c>
      <c r="B558" t="s">
        <v>177</v>
      </c>
      <c r="C558" t="s">
        <v>569</v>
      </c>
      <c r="D558" t="s">
        <v>623</v>
      </c>
      <c r="E558" s="1">
        <v>45605</v>
      </c>
      <c r="F558" s="1">
        <v>45608</v>
      </c>
      <c r="G558" s="1">
        <v>45628</v>
      </c>
      <c r="H558" s="4">
        <f>IF(Claims_Cleaned[[#This Row],[processed_date]]="","",Claims_Cleaned[[#This Row],[processed_date]]-Claims_Cleaned[[#This Row],[submission_date]])</f>
        <v>20</v>
      </c>
      <c r="I558" s="4" t="str">
        <f>TEXT(Claims_Cleaned[[#This Row],[claim_date]],"mmm-yyyy")</f>
        <v>Nov-2024</v>
      </c>
      <c r="J558" t="s">
        <v>11</v>
      </c>
      <c r="K558">
        <v>1380.79</v>
      </c>
      <c r="L558" t="s">
        <v>683</v>
      </c>
      <c r="M558">
        <v>20</v>
      </c>
    </row>
    <row r="559" spans="1:13" x14ac:dyDescent="0.35">
      <c r="A559" t="s">
        <v>1833</v>
      </c>
      <c r="B559" t="s">
        <v>456</v>
      </c>
      <c r="C559" t="s">
        <v>587</v>
      </c>
      <c r="D559" t="s">
        <v>663</v>
      </c>
      <c r="E559" s="1">
        <v>45536</v>
      </c>
      <c r="F559" s="1">
        <v>45541</v>
      </c>
      <c r="G559" s="1">
        <v>45562</v>
      </c>
      <c r="H559" s="4">
        <f>IF(Claims_Cleaned[[#This Row],[processed_date]]="","",Claims_Cleaned[[#This Row],[processed_date]]-Claims_Cleaned[[#This Row],[submission_date]])</f>
        <v>21</v>
      </c>
      <c r="I559" s="4" t="str">
        <f>TEXT(Claims_Cleaned[[#This Row],[claim_date]],"mmm-yyyy")</f>
        <v>Sep-2024</v>
      </c>
      <c r="J559" t="s">
        <v>11</v>
      </c>
      <c r="K559">
        <v>1374.36</v>
      </c>
      <c r="L559" t="s">
        <v>687</v>
      </c>
      <c r="M559">
        <v>21</v>
      </c>
    </row>
    <row r="560" spans="1:13" x14ac:dyDescent="0.35">
      <c r="A560" t="s">
        <v>1322</v>
      </c>
      <c r="B560" t="s">
        <v>344</v>
      </c>
      <c r="C560" t="s">
        <v>597</v>
      </c>
      <c r="D560" t="s">
        <v>623</v>
      </c>
      <c r="E560" s="1">
        <v>45500</v>
      </c>
      <c r="F560" s="1">
        <v>45502</v>
      </c>
      <c r="G560" s="1">
        <v>45526</v>
      </c>
      <c r="H560" s="4">
        <f>IF(Claims_Cleaned[[#This Row],[processed_date]]="","",Claims_Cleaned[[#This Row],[processed_date]]-Claims_Cleaned[[#This Row],[submission_date]])</f>
        <v>24</v>
      </c>
      <c r="I560" s="4" t="str">
        <f>TEXT(Claims_Cleaned[[#This Row],[claim_date]],"mmm-yyyy")</f>
        <v>Jul-2024</v>
      </c>
      <c r="J560" t="s">
        <v>25</v>
      </c>
      <c r="K560">
        <v>1373.16</v>
      </c>
      <c r="L560" t="s">
        <v>687</v>
      </c>
      <c r="M560">
        <v>24</v>
      </c>
    </row>
    <row r="561" spans="1:13" x14ac:dyDescent="0.35">
      <c r="A561" t="s">
        <v>2227</v>
      </c>
      <c r="B561" t="s">
        <v>76</v>
      </c>
      <c r="C561" t="s">
        <v>585</v>
      </c>
      <c r="D561" t="s">
        <v>663</v>
      </c>
      <c r="E561" s="1">
        <v>45354</v>
      </c>
      <c r="F561" s="1">
        <v>45357</v>
      </c>
      <c r="G561" s="1">
        <v>45381</v>
      </c>
      <c r="H561" s="4">
        <f>IF(Claims_Cleaned[[#This Row],[processed_date]]="","",Claims_Cleaned[[#This Row],[processed_date]]-Claims_Cleaned[[#This Row],[submission_date]])</f>
        <v>24</v>
      </c>
      <c r="I561" s="4" t="str">
        <f>TEXT(Claims_Cleaned[[#This Row],[claim_date]],"mmm-yyyy")</f>
        <v>Mar-2024</v>
      </c>
      <c r="J561" t="s">
        <v>8</v>
      </c>
      <c r="K561">
        <v>1372.94</v>
      </c>
      <c r="L561" t="s">
        <v>683</v>
      </c>
      <c r="M561">
        <v>24</v>
      </c>
    </row>
    <row r="562" spans="1:13" x14ac:dyDescent="0.35">
      <c r="A562" t="s">
        <v>2188</v>
      </c>
      <c r="B562" t="s">
        <v>282</v>
      </c>
      <c r="C562" t="s">
        <v>557</v>
      </c>
      <c r="D562" t="s">
        <v>623</v>
      </c>
      <c r="E562" s="1">
        <v>45101</v>
      </c>
      <c r="F562" s="1">
        <v>45106</v>
      </c>
      <c r="G562" s="1">
        <v>45135</v>
      </c>
      <c r="H562" s="4">
        <f>IF(Claims_Cleaned[[#This Row],[processed_date]]="","",Claims_Cleaned[[#This Row],[processed_date]]-Claims_Cleaned[[#This Row],[submission_date]])</f>
        <v>29</v>
      </c>
      <c r="I562" s="4" t="str">
        <f>TEXT(Claims_Cleaned[[#This Row],[claim_date]],"mmm-yyyy")</f>
        <v>Jun-2023</v>
      </c>
      <c r="J562" t="s">
        <v>25</v>
      </c>
      <c r="K562">
        <v>1370.43</v>
      </c>
      <c r="L562" t="s">
        <v>683</v>
      </c>
      <c r="M562">
        <v>29</v>
      </c>
    </row>
    <row r="563" spans="1:13" x14ac:dyDescent="0.35">
      <c r="A563" t="s">
        <v>900</v>
      </c>
      <c r="B563" t="s">
        <v>130</v>
      </c>
      <c r="C563" t="s">
        <v>579</v>
      </c>
      <c r="D563" t="s">
        <v>623</v>
      </c>
      <c r="E563" s="1">
        <v>45220</v>
      </c>
      <c r="F563" s="1">
        <v>45225</v>
      </c>
      <c r="G563" s="1"/>
      <c r="H563" s="4" t="str">
        <f>IF(Claims_Cleaned[[#This Row],[processed_date]]="","",Claims_Cleaned[[#This Row],[processed_date]]-Claims_Cleaned[[#This Row],[submission_date]])</f>
        <v/>
      </c>
      <c r="I563" s="4" t="str">
        <f>TEXT(Claims_Cleaned[[#This Row],[claim_date]],"mmm-yyyy")</f>
        <v>Oct-2023</v>
      </c>
      <c r="J563" t="s">
        <v>8</v>
      </c>
      <c r="K563">
        <v>1359.63</v>
      </c>
      <c r="L563" t="s">
        <v>689</v>
      </c>
    </row>
    <row r="564" spans="1:13" x14ac:dyDescent="0.35">
      <c r="A564" t="s">
        <v>2281</v>
      </c>
      <c r="B564" t="s">
        <v>211</v>
      </c>
      <c r="C564" t="s">
        <v>581</v>
      </c>
      <c r="D564" t="s">
        <v>663</v>
      </c>
      <c r="E564" s="1">
        <v>45330</v>
      </c>
      <c r="F564" s="1">
        <v>45335</v>
      </c>
      <c r="G564" s="1">
        <v>45356</v>
      </c>
      <c r="H564" s="4">
        <f>IF(Claims_Cleaned[[#This Row],[processed_date]]="","",Claims_Cleaned[[#This Row],[processed_date]]-Claims_Cleaned[[#This Row],[submission_date]])</f>
        <v>21</v>
      </c>
      <c r="I564" s="4" t="str">
        <f>TEXT(Claims_Cleaned[[#This Row],[claim_date]],"mmm-yyyy")</f>
        <v>Feb-2024</v>
      </c>
      <c r="J564" t="s">
        <v>11</v>
      </c>
      <c r="K564">
        <v>1359.5</v>
      </c>
      <c r="L564" t="s">
        <v>683</v>
      </c>
      <c r="M564">
        <v>21</v>
      </c>
    </row>
    <row r="565" spans="1:13" x14ac:dyDescent="0.35">
      <c r="A565" t="s">
        <v>709</v>
      </c>
      <c r="B565" t="s">
        <v>217</v>
      </c>
      <c r="C565" t="s">
        <v>587</v>
      </c>
      <c r="D565" t="s">
        <v>623</v>
      </c>
      <c r="E565" s="1">
        <v>44983</v>
      </c>
      <c r="F565" s="1">
        <v>44986</v>
      </c>
      <c r="G565" s="1">
        <v>44992</v>
      </c>
      <c r="H565" s="4">
        <f>IF(Claims_Cleaned[[#This Row],[processed_date]]="","",Claims_Cleaned[[#This Row],[processed_date]]-Claims_Cleaned[[#This Row],[submission_date]])</f>
        <v>6</v>
      </c>
      <c r="I565" s="4" t="str">
        <f>TEXT(Claims_Cleaned[[#This Row],[claim_date]],"mmm-yyyy")</f>
        <v>Feb-2023</v>
      </c>
      <c r="J565" t="s">
        <v>13</v>
      </c>
      <c r="K565">
        <v>1358</v>
      </c>
      <c r="L565" t="s">
        <v>683</v>
      </c>
      <c r="M565">
        <v>6</v>
      </c>
    </row>
    <row r="566" spans="1:13" x14ac:dyDescent="0.35">
      <c r="A566" t="s">
        <v>788</v>
      </c>
      <c r="B566" t="s">
        <v>310</v>
      </c>
      <c r="C566" t="s">
        <v>597</v>
      </c>
      <c r="D566" t="s">
        <v>623</v>
      </c>
      <c r="E566" s="1">
        <v>45187</v>
      </c>
      <c r="F566" s="1">
        <v>45191</v>
      </c>
      <c r="G566" s="1">
        <v>45221</v>
      </c>
      <c r="H566" s="4">
        <f>IF(Claims_Cleaned[[#This Row],[processed_date]]="","",Claims_Cleaned[[#This Row],[processed_date]]-Claims_Cleaned[[#This Row],[submission_date]])</f>
        <v>30</v>
      </c>
      <c r="I566" s="4" t="str">
        <f>TEXT(Claims_Cleaned[[#This Row],[claim_date]],"mmm-yyyy")</f>
        <v>Sep-2023</v>
      </c>
      <c r="J566" t="s">
        <v>11</v>
      </c>
      <c r="K566">
        <v>1355.06</v>
      </c>
      <c r="L566" t="s">
        <v>683</v>
      </c>
      <c r="M566">
        <v>30</v>
      </c>
    </row>
    <row r="567" spans="1:13" x14ac:dyDescent="0.35">
      <c r="A567" t="s">
        <v>1027</v>
      </c>
      <c r="B567" t="s">
        <v>472</v>
      </c>
      <c r="C567" t="s">
        <v>557</v>
      </c>
      <c r="D567" t="s">
        <v>663</v>
      </c>
      <c r="E567" s="1">
        <v>45343</v>
      </c>
      <c r="F567" s="1">
        <v>45345</v>
      </c>
      <c r="G567" s="1">
        <v>45369</v>
      </c>
      <c r="H567" s="4">
        <f>IF(Claims_Cleaned[[#This Row],[processed_date]]="","",Claims_Cleaned[[#This Row],[processed_date]]-Claims_Cleaned[[#This Row],[submission_date]])</f>
        <v>24</v>
      </c>
      <c r="I567" s="4" t="str">
        <f>TEXT(Claims_Cleaned[[#This Row],[claim_date]],"mmm-yyyy")</f>
        <v>Feb-2024</v>
      </c>
      <c r="J567" t="s">
        <v>13</v>
      </c>
      <c r="K567">
        <v>1352.43</v>
      </c>
      <c r="L567" t="s">
        <v>683</v>
      </c>
      <c r="M567">
        <v>24</v>
      </c>
    </row>
    <row r="568" spans="1:13" x14ac:dyDescent="0.35">
      <c r="A568" t="s">
        <v>1391</v>
      </c>
      <c r="B568" t="s">
        <v>304</v>
      </c>
      <c r="C568" t="s">
        <v>571</v>
      </c>
      <c r="D568" t="s">
        <v>623</v>
      </c>
      <c r="E568" s="1">
        <v>45369</v>
      </c>
      <c r="F568" s="1">
        <v>45373</v>
      </c>
      <c r="G568" s="1">
        <v>45377</v>
      </c>
      <c r="H568" s="4">
        <f>IF(Claims_Cleaned[[#This Row],[processed_date]]="","",Claims_Cleaned[[#This Row],[processed_date]]-Claims_Cleaned[[#This Row],[submission_date]])</f>
        <v>4</v>
      </c>
      <c r="I568" s="4" t="str">
        <f>TEXT(Claims_Cleaned[[#This Row],[claim_date]],"mmm-yyyy")</f>
        <v>Mar-2024</v>
      </c>
      <c r="J568" t="s">
        <v>20</v>
      </c>
      <c r="K568">
        <v>1352.09</v>
      </c>
      <c r="L568" t="s">
        <v>683</v>
      </c>
      <c r="M568">
        <v>4</v>
      </c>
    </row>
    <row r="569" spans="1:13" x14ac:dyDescent="0.35">
      <c r="A569" t="s">
        <v>1813</v>
      </c>
      <c r="B569" t="s">
        <v>480</v>
      </c>
      <c r="C569" t="s">
        <v>557</v>
      </c>
      <c r="D569" t="s">
        <v>663</v>
      </c>
      <c r="E569" s="1">
        <v>45410</v>
      </c>
      <c r="F569" s="1">
        <v>45411</v>
      </c>
      <c r="G569" s="1">
        <v>45434</v>
      </c>
      <c r="H569" s="4">
        <f>IF(Claims_Cleaned[[#This Row],[processed_date]]="","",Claims_Cleaned[[#This Row],[processed_date]]-Claims_Cleaned[[#This Row],[submission_date]])</f>
        <v>23</v>
      </c>
      <c r="I569" s="4" t="str">
        <f>TEXT(Claims_Cleaned[[#This Row],[claim_date]],"mmm-yyyy")</f>
        <v>Apr-2024</v>
      </c>
      <c r="J569" t="s">
        <v>11</v>
      </c>
      <c r="K569">
        <v>1348.1</v>
      </c>
      <c r="L569" t="s">
        <v>683</v>
      </c>
      <c r="M569">
        <v>23</v>
      </c>
    </row>
    <row r="570" spans="1:13" x14ac:dyDescent="0.35">
      <c r="A570" t="s">
        <v>1681</v>
      </c>
      <c r="B570" t="s">
        <v>509</v>
      </c>
      <c r="C570" t="s">
        <v>583</v>
      </c>
      <c r="D570" t="s">
        <v>663</v>
      </c>
      <c r="E570" s="1">
        <v>45600</v>
      </c>
      <c r="F570" s="1">
        <v>45601</v>
      </c>
      <c r="G570" s="1">
        <v>45615</v>
      </c>
      <c r="H570" s="4">
        <f>IF(Claims_Cleaned[[#This Row],[processed_date]]="","",Claims_Cleaned[[#This Row],[processed_date]]-Claims_Cleaned[[#This Row],[submission_date]])</f>
        <v>14</v>
      </c>
      <c r="I570" s="4" t="str">
        <f>TEXT(Claims_Cleaned[[#This Row],[claim_date]],"mmm-yyyy")</f>
        <v>Nov-2024</v>
      </c>
      <c r="J570" t="s">
        <v>25</v>
      </c>
      <c r="K570">
        <v>1345.27</v>
      </c>
      <c r="L570" t="s">
        <v>687</v>
      </c>
      <c r="M570">
        <v>14</v>
      </c>
    </row>
    <row r="571" spans="1:13" x14ac:dyDescent="0.35">
      <c r="A571" t="s">
        <v>1400</v>
      </c>
      <c r="B571" t="s">
        <v>171</v>
      </c>
      <c r="C571" t="s">
        <v>567</v>
      </c>
      <c r="D571" t="s">
        <v>663</v>
      </c>
      <c r="E571" s="1">
        <v>45160</v>
      </c>
      <c r="F571" s="1">
        <v>45164</v>
      </c>
      <c r="G571" s="1">
        <v>45172</v>
      </c>
      <c r="H571" s="4">
        <f>IF(Claims_Cleaned[[#This Row],[processed_date]]="","",Claims_Cleaned[[#This Row],[processed_date]]-Claims_Cleaned[[#This Row],[submission_date]])</f>
        <v>8</v>
      </c>
      <c r="I571" s="4" t="str">
        <f>TEXT(Claims_Cleaned[[#This Row],[claim_date]],"mmm-yyyy")</f>
        <v>Aug-2023</v>
      </c>
      <c r="J571" t="s">
        <v>8</v>
      </c>
      <c r="K571">
        <v>1342.73</v>
      </c>
      <c r="L571" t="s">
        <v>687</v>
      </c>
      <c r="M571">
        <v>8</v>
      </c>
    </row>
    <row r="572" spans="1:13" x14ac:dyDescent="0.35">
      <c r="A572" t="s">
        <v>1414</v>
      </c>
      <c r="B572" t="s">
        <v>497</v>
      </c>
      <c r="C572" t="s">
        <v>583</v>
      </c>
      <c r="D572" t="s">
        <v>663</v>
      </c>
      <c r="E572" s="1">
        <v>45572</v>
      </c>
      <c r="F572" s="1">
        <v>45575</v>
      </c>
      <c r="G572" s="1">
        <v>45597</v>
      </c>
      <c r="H572" s="4">
        <f>IF(Claims_Cleaned[[#This Row],[processed_date]]="","",Claims_Cleaned[[#This Row],[processed_date]]-Claims_Cleaned[[#This Row],[submission_date]])</f>
        <v>22</v>
      </c>
      <c r="I572" s="4" t="str">
        <f>TEXT(Claims_Cleaned[[#This Row],[claim_date]],"mmm-yyyy")</f>
        <v>Oct-2024</v>
      </c>
      <c r="J572" t="s">
        <v>13</v>
      </c>
      <c r="K572">
        <v>1340.32</v>
      </c>
      <c r="L572" t="s">
        <v>683</v>
      </c>
      <c r="M572">
        <v>22</v>
      </c>
    </row>
    <row r="573" spans="1:13" x14ac:dyDescent="0.35">
      <c r="A573" t="s">
        <v>2375</v>
      </c>
      <c r="B573" t="s">
        <v>62</v>
      </c>
      <c r="C573" t="s">
        <v>565</v>
      </c>
      <c r="D573" t="s">
        <v>623</v>
      </c>
      <c r="E573" s="1">
        <v>45188</v>
      </c>
      <c r="F573" s="1">
        <v>45192</v>
      </c>
      <c r="G573" s="1">
        <v>45208</v>
      </c>
      <c r="H573" s="4">
        <f>IF(Claims_Cleaned[[#This Row],[processed_date]]="","",Claims_Cleaned[[#This Row],[processed_date]]-Claims_Cleaned[[#This Row],[submission_date]])</f>
        <v>16</v>
      </c>
      <c r="I573" s="4" t="str">
        <f>TEXT(Claims_Cleaned[[#This Row],[claim_date]],"mmm-yyyy")</f>
        <v>Sep-2023</v>
      </c>
      <c r="J573" t="s">
        <v>8</v>
      </c>
      <c r="K573">
        <v>1334.82</v>
      </c>
      <c r="L573" t="s">
        <v>683</v>
      </c>
      <c r="M573">
        <v>16</v>
      </c>
    </row>
    <row r="574" spans="1:13" x14ac:dyDescent="0.35">
      <c r="A574" t="s">
        <v>2577</v>
      </c>
      <c r="B574" t="s">
        <v>453</v>
      </c>
      <c r="C574" t="s">
        <v>611</v>
      </c>
      <c r="D574" t="s">
        <v>663</v>
      </c>
      <c r="E574" s="1">
        <v>45053</v>
      </c>
      <c r="F574" s="1">
        <v>45055</v>
      </c>
      <c r="G574" s="1">
        <v>45079</v>
      </c>
      <c r="H574" s="4">
        <f>IF(Claims_Cleaned[[#This Row],[processed_date]]="","",Claims_Cleaned[[#This Row],[processed_date]]-Claims_Cleaned[[#This Row],[submission_date]])</f>
        <v>24</v>
      </c>
      <c r="I574" s="4" t="str">
        <f>TEXT(Claims_Cleaned[[#This Row],[claim_date]],"mmm-yyyy")</f>
        <v>May-2023</v>
      </c>
      <c r="J574" t="s">
        <v>11</v>
      </c>
      <c r="K574">
        <v>1330.91</v>
      </c>
      <c r="L574" t="s">
        <v>683</v>
      </c>
      <c r="M574">
        <v>24</v>
      </c>
    </row>
    <row r="575" spans="1:13" x14ac:dyDescent="0.35">
      <c r="A575" t="s">
        <v>1329</v>
      </c>
      <c r="B575" t="s">
        <v>280</v>
      </c>
      <c r="C575" t="s">
        <v>540</v>
      </c>
      <c r="D575" t="s">
        <v>663</v>
      </c>
      <c r="E575" s="1">
        <v>45220</v>
      </c>
      <c r="F575" s="1">
        <v>45221</v>
      </c>
      <c r="G575" s="1">
        <v>45240</v>
      </c>
      <c r="H575" s="4">
        <f>IF(Claims_Cleaned[[#This Row],[processed_date]]="","",Claims_Cleaned[[#This Row],[processed_date]]-Claims_Cleaned[[#This Row],[submission_date]])</f>
        <v>19</v>
      </c>
      <c r="I575" s="4" t="str">
        <f>TEXT(Claims_Cleaned[[#This Row],[claim_date]],"mmm-yyyy")</f>
        <v>Oct-2023</v>
      </c>
      <c r="J575" t="s">
        <v>8</v>
      </c>
      <c r="K575">
        <v>1326.82</v>
      </c>
      <c r="L575" t="s">
        <v>683</v>
      </c>
      <c r="M575">
        <v>19</v>
      </c>
    </row>
    <row r="576" spans="1:13" x14ac:dyDescent="0.35">
      <c r="A576" t="s">
        <v>1873</v>
      </c>
      <c r="B576" t="s">
        <v>307</v>
      </c>
      <c r="C576" t="s">
        <v>565</v>
      </c>
      <c r="D576" t="s">
        <v>623</v>
      </c>
      <c r="E576" s="1">
        <v>45338</v>
      </c>
      <c r="F576" s="1">
        <v>45340</v>
      </c>
      <c r="G576" s="1">
        <v>45360</v>
      </c>
      <c r="H576" s="4">
        <f>IF(Claims_Cleaned[[#This Row],[processed_date]]="","",Claims_Cleaned[[#This Row],[processed_date]]-Claims_Cleaned[[#This Row],[submission_date]])</f>
        <v>20</v>
      </c>
      <c r="I576" s="4" t="str">
        <f>TEXT(Claims_Cleaned[[#This Row],[claim_date]],"mmm-yyyy")</f>
        <v>Feb-2024</v>
      </c>
      <c r="J576" t="s">
        <v>8</v>
      </c>
      <c r="K576">
        <v>1325</v>
      </c>
      <c r="L576" t="s">
        <v>683</v>
      </c>
      <c r="M576">
        <v>20</v>
      </c>
    </row>
    <row r="577" spans="1:13" x14ac:dyDescent="0.35">
      <c r="A577" t="s">
        <v>2368</v>
      </c>
      <c r="B577" t="s">
        <v>475</v>
      </c>
      <c r="C577" t="s">
        <v>601</v>
      </c>
      <c r="D577" t="s">
        <v>623</v>
      </c>
      <c r="E577" s="1">
        <v>45009</v>
      </c>
      <c r="F577" s="1">
        <v>45012</v>
      </c>
      <c r="G577" s="1">
        <v>45029</v>
      </c>
      <c r="H577" s="4">
        <f>IF(Claims_Cleaned[[#This Row],[processed_date]]="","",Claims_Cleaned[[#This Row],[processed_date]]-Claims_Cleaned[[#This Row],[submission_date]])</f>
        <v>17</v>
      </c>
      <c r="I577" s="4" t="str">
        <f>TEXT(Claims_Cleaned[[#This Row],[claim_date]],"mmm-yyyy")</f>
        <v>Mar-2023</v>
      </c>
      <c r="J577" t="s">
        <v>20</v>
      </c>
      <c r="K577">
        <v>1323.01</v>
      </c>
      <c r="L577" t="s">
        <v>683</v>
      </c>
      <c r="M577">
        <v>17</v>
      </c>
    </row>
    <row r="578" spans="1:13" x14ac:dyDescent="0.35">
      <c r="A578" t="s">
        <v>2238</v>
      </c>
      <c r="B578" t="s">
        <v>94</v>
      </c>
      <c r="C578" t="s">
        <v>581</v>
      </c>
      <c r="D578" t="s">
        <v>663</v>
      </c>
      <c r="E578" s="1">
        <v>45521</v>
      </c>
      <c r="F578" s="1">
        <v>45525</v>
      </c>
      <c r="G578" s="1">
        <v>45535</v>
      </c>
      <c r="H578" s="4">
        <f>IF(Claims_Cleaned[[#This Row],[processed_date]]="","",Claims_Cleaned[[#This Row],[processed_date]]-Claims_Cleaned[[#This Row],[submission_date]])</f>
        <v>10</v>
      </c>
      <c r="I578" s="4" t="str">
        <f>TEXT(Claims_Cleaned[[#This Row],[claim_date]],"mmm-yyyy")</f>
        <v>Aug-2024</v>
      </c>
      <c r="J578" t="s">
        <v>8</v>
      </c>
      <c r="K578">
        <v>1322.32</v>
      </c>
      <c r="L578" t="s">
        <v>683</v>
      </c>
      <c r="M578">
        <v>10</v>
      </c>
    </row>
    <row r="579" spans="1:13" x14ac:dyDescent="0.35">
      <c r="A579" t="s">
        <v>1465</v>
      </c>
      <c r="B579" t="s">
        <v>74</v>
      </c>
      <c r="C579" t="s">
        <v>597</v>
      </c>
      <c r="D579" t="s">
        <v>663</v>
      </c>
      <c r="E579" s="1">
        <v>45583</v>
      </c>
      <c r="F579" s="1">
        <v>45584</v>
      </c>
      <c r="G579" s="1">
        <v>45595</v>
      </c>
      <c r="H579" s="4">
        <f>IF(Claims_Cleaned[[#This Row],[processed_date]]="","",Claims_Cleaned[[#This Row],[processed_date]]-Claims_Cleaned[[#This Row],[submission_date]])</f>
        <v>11</v>
      </c>
      <c r="I579" s="4" t="str">
        <f>TEXT(Claims_Cleaned[[#This Row],[claim_date]],"mmm-yyyy")</f>
        <v>Oct-2024</v>
      </c>
      <c r="J579" t="s">
        <v>8</v>
      </c>
      <c r="K579">
        <v>1317.23</v>
      </c>
      <c r="L579" t="s">
        <v>683</v>
      </c>
      <c r="M579">
        <v>11</v>
      </c>
    </row>
    <row r="580" spans="1:13" x14ac:dyDescent="0.35">
      <c r="A580" t="s">
        <v>1142</v>
      </c>
      <c r="B580" t="s">
        <v>182</v>
      </c>
      <c r="C580" t="s">
        <v>531</v>
      </c>
      <c r="D580" t="s">
        <v>623</v>
      </c>
      <c r="E580" s="1">
        <v>45403</v>
      </c>
      <c r="F580" s="1">
        <v>45405</v>
      </c>
      <c r="G580" s="1">
        <v>45418</v>
      </c>
      <c r="H580" s="4">
        <f>IF(Claims_Cleaned[[#This Row],[processed_date]]="","",Claims_Cleaned[[#This Row],[processed_date]]-Claims_Cleaned[[#This Row],[submission_date]])</f>
        <v>13</v>
      </c>
      <c r="I580" s="4" t="str">
        <f>TEXT(Claims_Cleaned[[#This Row],[claim_date]],"mmm-yyyy")</f>
        <v>Apr-2024</v>
      </c>
      <c r="J580" t="s">
        <v>11</v>
      </c>
      <c r="K580">
        <v>1315.77</v>
      </c>
      <c r="L580" t="s">
        <v>683</v>
      </c>
      <c r="M580">
        <v>13</v>
      </c>
    </row>
    <row r="581" spans="1:13" x14ac:dyDescent="0.35">
      <c r="A581" t="s">
        <v>1299</v>
      </c>
      <c r="B581" t="s">
        <v>503</v>
      </c>
      <c r="C581" t="s">
        <v>561</v>
      </c>
      <c r="D581" t="s">
        <v>623</v>
      </c>
      <c r="E581" s="1">
        <v>45044</v>
      </c>
      <c r="F581" s="1">
        <v>45045</v>
      </c>
      <c r="G581" s="1"/>
      <c r="H581" s="4" t="str">
        <f>IF(Claims_Cleaned[[#This Row],[processed_date]]="","",Claims_Cleaned[[#This Row],[processed_date]]-Claims_Cleaned[[#This Row],[submission_date]])</f>
        <v/>
      </c>
      <c r="I581" s="4" t="str">
        <f>TEXT(Claims_Cleaned[[#This Row],[claim_date]],"mmm-yyyy")</f>
        <v>Apr-2023</v>
      </c>
      <c r="J581" t="s">
        <v>20</v>
      </c>
      <c r="K581">
        <v>1315.49</v>
      </c>
      <c r="L581" t="s">
        <v>689</v>
      </c>
    </row>
    <row r="582" spans="1:13" x14ac:dyDescent="0.35">
      <c r="A582" t="s">
        <v>1840</v>
      </c>
      <c r="B582" t="s">
        <v>18</v>
      </c>
      <c r="C582" t="s">
        <v>557</v>
      </c>
      <c r="D582" t="s">
        <v>663</v>
      </c>
      <c r="E582" s="1">
        <v>45144</v>
      </c>
      <c r="F582" s="1">
        <v>45146</v>
      </c>
      <c r="G582" s="1">
        <v>45150</v>
      </c>
      <c r="H582" s="4">
        <f>IF(Claims_Cleaned[[#This Row],[processed_date]]="","",Claims_Cleaned[[#This Row],[processed_date]]-Claims_Cleaned[[#This Row],[submission_date]])</f>
        <v>4</v>
      </c>
      <c r="I582" s="4" t="str">
        <f>TEXT(Claims_Cleaned[[#This Row],[claim_date]],"mmm-yyyy")</f>
        <v>Aug-2023</v>
      </c>
      <c r="J582" t="s">
        <v>8</v>
      </c>
      <c r="K582">
        <v>1315.42</v>
      </c>
      <c r="L582" t="s">
        <v>683</v>
      </c>
      <c r="M582">
        <v>4</v>
      </c>
    </row>
    <row r="583" spans="1:13" x14ac:dyDescent="0.35">
      <c r="A583" t="s">
        <v>984</v>
      </c>
      <c r="B583" t="s">
        <v>209</v>
      </c>
      <c r="C583" t="s">
        <v>534</v>
      </c>
      <c r="D583" t="s">
        <v>663</v>
      </c>
      <c r="E583" s="1">
        <v>45459</v>
      </c>
      <c r="F583" s="1">
        <v>45461</v>
      </c>
      <c r="G583" s="1">
        <v>45490</v>
      </c>
      <c r="H583" s="4">
        <f>IF(Claims_Cleaned[[#This Row],[processed_date]]="","",Claims_Cleaned[[#This Row],[processed_date]]-Claims_Cleaned[[#This Row],[submission_date]])</f>
        <v>29</v>
      </c>
      <c r="I583" s="4" t="str">
        <f>TEXT(Claims_Cleaned[[#This Row],[claim_date]],"mmm-yyyy")</f>
        <v>Jun-2024</v>
      </c>
      <c r="J583" t="s">
        <v>8</v>
      </c>
      <c r="K583">
        <v>1315.3</v>
      </c>
      <c r="L583" t="s">
        <v>683</v>
      </c>
      <c r="M583">
        <v>29</v>
      </c>
    </row>
    <row r="584" spans="1:13" x14ac:dyDescent="0.35">
      <c r="A584" t="s">
        <v>1191</v>
      </c>
      <c r="B584" t="s">
        <v>440</v>
      </c>
      <c r="C584" t="s">
        <v>605</v>
      </c>
      <c r="D584" t="s">
        <v>623</v>
      </c>
      <c r="E584" s="1">
        <v>45002</v>
      </c>
      <c r="F584" s="1">
        <v>45005</v>
      </c>
      <c r="G584" s="1"/>
      <c r="H584" s="4" t="str">
        <f>IF(Claims_Cleaned[[#This Row],[processed_date]]="","",Claims_Cleaned[[#This Row],[processed_date]]-Claims_Cleaned[[#This Row],[submission_date]])</f>
        <v/>
      </c>
      <c r="I584" s="4" t="str">
        <f>TEXT(Claims_Cleaned[[#This Row],[claim_date]],"mmm-yyyy")</f>
        <v>Mar-2023</v>
      </c>
      <c r="J584" t="s">
        <v>20</v>
      </c>
      <c r="K584">
        <v>1312.7</v>
      </c>
      <c r="L584" t="s">
        <v>689</v>
      </c>
    </row>
    <row r="585" spans="1:13" x14ac:dyDescent="0.35">
      <c r="A585" t="s">
        <v>763</v>
      </c>
      <c r="B585" t="s">
        <v>253</v>
      </c>
      <c r="C585" t="s">
        <v>543</v>
      </c>
      <c r="D585" t="s">
        <v>663</v>
      </c>
      <c r="E585" s="1">
        <v>45004</v>
      </c>
      <c r="F585" s="1">
        <v>45006</v>
      </c>
      <c r="G585" s="1">
        <v>45033</v>
      </c>
      <c r="H585" s="4">
        <f>IF(Claims_Cleaned[[#This Row],[processed_date]]="","",Claims_Cleaned[[#This Row],[processed_date]]-Claims_Cleaned[[#This Row],[submission_date]])</f>
        <v>27</v>
      </c>
      <c r="I585" s="4" t="str">
        <f>TEXT(Claims_Cleaned[[#This Row],[claim_date]],"mmm-yyyy")</f>
        <v>Mar-2023</v>
      </c>
      <c r="J585" t="s">
        <v>8</v>
      </c>
      <c r="K585">
        <v>1312</v>
      </c>
      <c r="L585" t="s">
        <v>683</v>
      </c>
      <c r="M585">
        <v>27</v>
      </c>
    </row>
    <row r="586" spans="1:13" x14ac:dyDescent="0.35">
      <c r="A586" t="s">
        <v>1696</v>
      </c>
      <c r="B586" t="s">
        <v>278</v>
      </c>
      <c r="C586" t="s">
        <v>557</v>
      </c>
      <c r="D586" t="s">
        <v>623</v>
      </c>
      <c r="E586" s="1">
        <v>45144</v>
      </c>
      <c r="F586" s="1">
        <v>45146</v>
      </c>
      <c r="G586" s="1">
        <v>45175</v>
      </c>
      <c r="H586" s="4">
        <f>IF(Claims_Cleaned[[#This Row],[processed_date]]="","",Claims_Cleaned[[#This Row],[processed_date]]-Claims_Cleaned[[#This Row],[submission_date]])</f>
        <v>29</v>
      </c>
      <c r="I586" s="4" t="str">
        <f>TEXT(Claims_Cleaned[[#This Row],[claim_date]],"mmm-yyyy")</f>
        <v>Aug-2023</v>
      </c>
      <c r="J586" t="s">
        <v>25</v>
      </c>
      <c r="K586">
        <v>1311.55</v>
      </c>
      <c r="L586" t="s">
        <v>683</v>
      </c>
      <c r="M586">
        <v>29</v>
      </c>
    </row>
    <row r="587" spans="1:13" x14ac:dyDescent="0.35">
      <c r="A587" t="s">
        <v>757</v>
      </c>
      <c r="B587" t="s">
        <v>32</v>
      </c>
      <c r="C587" t="s">
        <v>575</v>
      </c>
      <c r="D587" t="s">
        <v>623</v>
      </c>
      <c r="E587" s="1">
        <v>45186</v>
      </c>
      <c r="F587" s="1">
        <v>45189</v>
      </c>
      <c r="G587" s="1">
        <v>45214</v>
      </c>
      <c r="H587" s="4">
        <f>IF(Claims_Cleaned[[#This Row],[processed_date]]="","",Claims_Cleaned[[#This Row],[processed_date]]-Claims_Cleaned[[#This Row],[submission_date]])</f>
        <v>25</v>
      </c>
      <c r="I587" s="4" t="str">
        <f>TEXT(Claims_Cleaned[[#This Row],[claim_date]],"mmm-yyyy")</f>
        <v>Sep-2023</v>
      </c>
      <c r="J587" t="s">
        <v>25</v>
      </c>
      <c r="K587">
        <v>1308.8499999999999</v>
      </c>
      <c r="L587" t="s">
        <v>683</v>
      </c>
      <c r="M587">
        <v>25</v>
      </c>
    </row>
    <row r="588" spans="1:13" x14ac:dyDescent="0.35">
      <c r="A588" t="s">
        <v>1693</v>
      </c>
      <c r="B588" t="s">
        <v>512</v>
      </c>
      <c r="C588" t="s">
        <v>534</v>
      </c>
      <c r="D588" t="s">
        <v>663</v>
      </c>
      <c r="E588" s="1">
        <v>45327</v>
      </c>
      <c r="F588" s="1">
        <v>45329</v>
      </c>
      <c r="G588" s="1">
        <v>45333</v>
      </c>
      <c r="H588" s="4">
        <f>IF(Claims_Cleaned[[#This Row],[processed_date]]="","",Claims_Cleaned[[#This Row],[processed_date]]-Claims_Cleaned[[#This Row],[submission_date]])</f>
        <v>4</v>
      </c>
      <c r="I588" s="4" t="str">
        <f>TEXT(Claims_Cleaned[[#This Row],[claim_date]],"mmm-yyyy")</f>
        <v>Feb-2024</v>
      </c>
      <c r="J588" t="s">
        <v>11</v>
      </c>
      <c r="K588">
        <v>1307.83</v>
      </c>
      <c r="L588" t="s">
        <v>687</v>
      </c>
      <c r="M588">
        <v>4</v>
      </c>
    </row>
    <row r="589" spans="1:13" x14ac:dyDescent="0.35">
      <c r="A589" t="s">
        <v>2020</v>
      </c>
      <c r="B589" t="s">
        <v>301</v>
      </c>
      <c r="C589" t="s">
        <v>559</v>
      </c>
      <c r="D589" t="s">
        <v>663</v>
      </c>
      <c r="E589" s="1">
        <v>45619</v>
      </c>
      <c r="F589" s="1">
        <v>45621</v>
      </c>
      <c r="G589" s="1">
        <v>45644</v>
      </c>
      <c r="H589" s="4">
        <f>IF(Claims_Cleaned[[#This Row],[processed_date]]="","",Claims_Cleaned[[#This Row],[processed_date]]-Claims_Cleaned[[#This Row],[submission_date]])</f>
        <v>23</v>
      </c>
      <c r="I589" s="4" t="str">
        <f>TEXT(Claims_Cleaned[[#This Row],[claim_date]],"mmm-yyyy")</f>
        <v>Nov-2024</v>
      </c>
      <c r="J589" t="s">
        <v>8</v>
      </c>
      <c r="K589">
        <v>1306.8900000000001</v>
      </c>
      <c r="L589" t="s">
        <v>683</v>
      </c>
      <c r="M589">
        <v>23</v>
      </c>
    </row>
    <row r="590" spans="1:13" x14ac:dyDescent="0.35">
      <c r="A590" t="s">
        <v>921</v>
      </c>
      <c r="B590" t="s">
        <v>45</v>
      </c>
      <c r="C590" t="s">
        <v>611</v>
      </c>
      <c r="D590" t="s">
        <v>623</v>
      </c>
      <c r="E590" s="1">
        <v>45530</v>
      </c>
      <c r="F590" s="1">
        <v>45534</v>
      </c>
      <c r="G590" s="1">
        <v>45549</v>
      </c>
      <c r="H590" s="4">
        <f>IF(Claims_Cleaned[[#This Row],[processed_date]]="","",Claims_Cleaned[[#This Row],[processed_date]]-Claims_Cleaned[[#This Row],[submission_date]])</f>
        <v>15</v>
      </c>
      <c r="I590" s="4" t="str">
        <f>TEXT(Claims_Cleaned[[#This Row],[claim_date]],"mmm-yyyy")</f>
        <v>Aug-2024</v>
      </c>
      <c r="J590" t="s">
        <v>11</v>
      </c>
      <c r="K590">
        <v>1305.29</v>
      </c>
      <c r="L590" t="s">
        <v>683</v>
      </c>
      <c r="M590">
        <v>15</v>
      </c>
    </row>
    <row r="591" spans="1:13" x14ac:dyDescent="0.35">
      <c r="A591" t="s">
        <v>1731</v>
      </c>
      <c r="B591" t="s">
        <v>404</v>
      </c>
      <c r="C591" t="s">
        <v>587</v>
      </c>
      <c r="D591" t="s">
        <v>663</v>
      </c>
      <c r="E591" s="1">
        <v>44957</v>
      </c>
      <c r="F591" s="1">
        <v>44962</v>
      </c>
      <c r="G591" s="1">
        <v>44987</v>
      </c>
      <c r="H591" s="4">
        <f>IF(Claims_Cleaned[[#This Row],[processed_date]]="","",Claims_Cleaned[[#This Row],[processed_date]]-Claims_Cleaned[[#This Row],[submission_date]])</f>
        <v>25</v>
      </c>
      <c r="I591" s="4" t="str">
        <f>TEXT(Claims_Cleaned[[#This Row],[claim_date]],"mmm-yyyy")</f>
        <v>Jan-2023</v>
      </c>
      <c r="J591" t="s">
        <v>8</v>
      </c>
      <c r="K591">
        <v>1301.94</v>
      </c>
      <c r="L591" t="s">
        <v>683</v>
      </c>
      <c r="M591">
        <v>25</v>
      </c>
    </row>
    <row r="592" spans="1:13" x14ac:dyDescent="0.35">
      <c r="A592" t="s">
        <v>1445</v>
      </c>
      <c r="B592" t="s">
        <v>375</v>
      </c>
      <c r="C592" t="s">
        <v>571</v>
      </c>
      <c r="D592" t="s">
        <v>623</v>
      </c>
      <c r="E592" s="1">
        <v>45285</v>
      </c>
      <c r="F592" s="1">
        <v>45290</v>
      </c>
      <c r="G592" s="1">
        <v>45316</v>
      </c>
      <c r="H592" s="4">
        <f>IF(Claims_Cleaned[[#This Row],[processed_date]]="","",Claims_Cleaned[[#This Row],[processed_date]]-Claims_Cleaned[[#This Row],[submission_date]])</f>
        <v>26</v>
      </c>
      <c r="I592" s="4" t="str">
        <f>TEXT(Claims_Cleaned[[#This Row],[claim_date]],"mmm-yyyy")</f>
        <v>Dec-2023</v>
      </c>
      <c r="J592" t="s">
        <v>20</v>
      </c>
      <c r="K592">
        <v>1296.82</v>
      </c>
      <c r="L592" t="s">
        <v>683</v>
      </c>
      <c r="M592">
        <v>26</v>
      </c>
    </row>
    <row r="593" spans="1:13" x14ac:dyDescent="0.35">
      <c r="A593" t="s">
        <v>2178</v>
      </c>
      <c r="B593" t="s">
        <v>402</v>
      </c>
      <c r="C593" t="s">
        <v>567</v>
      </c>
      <c r="D593" t="s">
        <v>623</v>
      </c>
      <c r="E593" s="1">
        <v>45508</v>
      </c>
      <c r="F593" s="1">
        <v>45513</v>
      </c>
      <c r="G593" s="1">
        <v>45538</v>
      </c>
      <c r="H593" s="4">
        <f>IF(Claims_Cleaned[[#This Row],[processed_date]]="","",Claims_Cleaned[[#This Row],[processed_date]]-Claims_Cleaned[[#This Row],[submission_date]])</f>
        <v>25</v>
      </c>
      <c r="I593" s="4" t="str">
        <f>TEXT(Claims_Cleaned[[#This Row],[claim_date]],"mmm-yyyy")</f>
        <v>Aug-2024</v>
      </c>
      <c r="J593" t="s">
        <v>11</v>
      </c>
      <c r="K593">
        <v>1291.3499999999999</v>
      </c>
      <c r="L593" t="s">
        <v>683</v>
      </c>
      <c r="M593">
        <v>25</v>
      </c>
    </row>
    <row r="594" spans="1:13" x14ac:dyDescent="0.35">
      <c r="A594" t="s">
        <v>727</v>
      </c>
      <c r="B594" t="s">
        <v>75</v>
      </c>
      <c r="C594" t="s">
        <v>587</v>
      </c>
      <c r="D594" t="s">
        <v>663</v>
      </c>
      <c r="E594" s="1">
        <v>45085</v>
      </c>
      <c r="F594" s="1">
        <v>45088</v>
      </c>
      <c r="G594" s="1">
        <v>45118</v>
      </c>
      <c r="H594" s="4">
        <f>IF(Claims_Cleaned[[#This Row],[processed_date]]="","",Claims_Cleaned[[#This Row],[processed_date]]-Claims_Cleaned[[#This Row],[submission_date]])</f>
        <v>30</v>
      </c>
      <c r="I594" s="4" t="str">
        <f>TEXT(Claims_Cleaned[[#This Row],[claim_date]],"mmm-yyyy")</f>
        <v>Jun-2023</v>
      </c>
      <c r="J594" t="s">
        <v>8</v>
      </c>
      <c r="K594">
        <v>1284.75</v>
      </c>
      <c r="L594" t="s">
        <v>683</v>
      </c>
      <c r="M594">
        <v>30</v>
      </c>
    </row>
    <row r="595" spans="1:13" x14ac:dyDescent="0.35">
      <c r="A595" t="s">
        <v>1649</v>
      </c>
      <c r="B595" t="s">
        <v>473</v>
      </c>
      <c r="C595" t="s">
        <v>605</v>
      </c>
      <c r="D595" t="s">
        <v>663</v>
      </c>
      <c r="E595" s="1">
        <v>45131</v>
      </c>
      <c r="F595" s="1">
        <v>45132</v>
      </c>
      <c r="G595" s="1">
        <v>45152</v>
      </c>
      <c r="H595" s="4">
        <f>IF(Claims_Cleaned[[#This Row],[processed_date]]="","",Claims_Cleaned[[#This Row],[processed_date]]-Claims_Cleaned[[#This Row],[submission_date]])</f>
        <v>20</v>
      </c>
      <c r="I595" s="4" t="str">
        <f>TEXT(Claims_Cleaned[[#This Row],[claim_date]],"mmm-yyyy")</f>
        <v>Jul-2023</v>
      </c>
      <c r="J595" t="s">
        <v>11</v>
      </c>
      <c r="K595">
        <v>1279.76</v>
      </c>
      <c r="L595" t="s">
        <v>683</v>
      </c>
      <c r="M595">
        <v>20</v>
      </c>
    </row>
    <row r="596" spans="1:13" x14ac:dyDescent="0.35">
      <c r="A596" t="s">
        <v>1818</v>
      </c>
      <c r="B596" t="s">
        <v>162</v>
      </c>
      <c r="C596" t="s">
        <v>591</v>
      </c>
      <c r="D596" t="s">
        <v>663</v>
      </c>
      <c r="E596" s="1">
        <v>45383</v>
      </c>
      <c r="F596" s="1">
        <v>45386</v>
      </c>
      <c r="G596" s="1">
        <v>45389</v>
      </c>
      <c r="H596" s="4">
        <f>IF(Claims_Cleaned[[#This Row],[processed_date]]="","",Claims_Cleaned[[#This Row],[processed_date]]-Claims_Cleaned[[#This Row],[submission_date]])</f>
        <v>3</v>
      </c>
      <c r="I596" s="4" t="str">
        <f>TEXT(Claims_Cleaned[[#This Row],[claim_date]],"mmm-yyyy")</f>
        <v>Apr-2024</v>
      </c>
      <c r="J596" t="s">
        <v>11</v>
      </c>
      <c r="K596">
        <v>1276.08</v>
      </c>
      <c r="L596" t="s">
        <v>687</v>
      </c>
      <c r="M596">
        <v>3</v>
      </c>
    </row>
    <row r="597" spans="1:13" x14ac:dyDescent="0.35">
      <c r="A597" t="s">
        <v>2323</v>
      </c>
      <c r="B597" t="s">
        <v>395</v>
      </c>
      <c r="C597" t="s">
        <v>587</v>
      </c>
      <c r="D597" t="s">
        <v>663</v>
      </c>
      <c r="E597" s="1">
        <v>45156</v>
      </c>
      <c r="F597" s="1">
        <v>45160</v>
      </c>
      <c r="G597" s="1">
        <v>45167</v>
      </c>
      <c r="H597" s="4">
        <f>IF(Claims_Cleaned[[#This Row],[processed_date]]="","",Claims_Cleaned[[#This Row],[processed_date]]-Claims_Cleaned[[#This Row],[submission_date]])</f>
        <v>7</v>
      </c>
      <c r="I597" s="4" t="str">
        <f>TEXT(Claims_Cleaned[[#This Row],[claim_date]],"mmm-yyyy")</f>
        <v>Aug-2023</v>
      </c>
      <c r="J597" t="s">
        <v>11</v>
      </c>
      <c r="K597">
        <v>1274.21</v>
      </c>
      <c r="L597" t="s">
        <v>683</v>
      </c>
      <c r="M597">
        <v>7</v>
      </c>
    </row>
    <row r="598" spans="1:13" x14ac:dyDescent="0.35">
      <c r="A598" t="s">
        <v>1794</v>
      </c>
      <c r="B598" t="s">
        <v>275</v>
      </c>
      <c r="C598" t="s">
        <v>583</v>
      </c>
      <c r="D598" t="s">
        <v>623</v>
      </c>
      <c r="E598" s="1">
        <v>45619</v>
      </c>
      <c r="F598" s="1">
        <v>45621</v>
      </c>
      <c r="G598" s="1">
        <v>45627</v>
      </c>
      <c r="H598" s="4">
        <f>IF(Claims_Cleaned[[#This Row],[processed_date]]="","",Claims_Cleaned[[#This Row],[processed_date]]-Claims_Cleaned[[#This Row],[submission_date]])</f>
        <v>6</v>
      </c>
      <c r="I598" s="4" t="str">
        <f>TEXT(Claims_Cleaned[[#This Row],[claim_date]],"mmm-yyyy")</f>
        <v>Nov-2024</v>
      </c>
      <c r="J598" t="s">
        <v>8</v>
      </c>
      <c r="K598">
        <v>1265.32</v>
      </c>
      <c r="L598" t="s">
        <v>683</v>
      </c>
      <c r="M598">
        <v>6</v>
      </c>
    </row>
    <row r="599" spans="1:13" x14ac:dyDescent="0.35">
      <c r="A599" t="s">
        <v>1651</v>
      </c>
      <c r="B599" t="s">
        <v>239</v>
      </c>
      <c r="C599" t="s">
        <v>569</v>
      </c>
      <c r="D599" t="s">
        <v>663</v>
      </c>
      <c r="E599" s="1">
        <v>45397</v>
      </c>
      <c r="F599" s="1">
        <v>45401</v>
      </c>
      <c r="G599" s="1">
        <v>45425</v>
      </c>
      <c r="H599" s="4">
        <f>IF(Claims_Cleaned[[#This Row],[processed_date]]="","",Claims_Cleaned[[#This Row],[processed_date]]-Claims_Cleaned[[#This Row],[submission_date]])</f>
        <v>24</v>
      </c>
      <c r="I599" s="4" t="str">
        <f>TEXT(Claims_Cleaned[[#This Row],[claim_date]],"mmm-yyyy")</f>
        <v>Apr-2024</v>
      </c>
      <c r="J599" t="s">
        <v>20</v>
      </c>
      <c r="K599">
        <v>1263.33</v>
      </c>
      <c r="L599" t="s">
        <v>683</v>
      </c>
      <c r="M599">
        <v>24</v>
      </c>
    </row>
    <row r="600" spans="1:13" x14ac:dyDescent="0.35">
      <c r="A600" t="s">
        <v>2651</v>
      </c>
      <c r="B600" t="s">
        <v>216</v>
      </c>
      <c r="C600" t="s">
        <v>599</v>
      </c>
      <c r="D600" t="s">
        <v>623</v>
      </c>
      <c r="E600" s="1">
        <v>44983</v>
      </c>
      <c r="F600" s="1">
        <v>44985</v>
      </c>
      <c r="G600" s="1">
        <v>45010</v>
      </c>
      <c r="H600" s="4">
        <f>IF(Claims_Cleaned[[#This Row],[processed_date]]="","",Claims_Cleaned[[#This Row],[processed_date]]-Claims_Cleaned[[#This Row],[submission_date]])</f>
        <v>25</v>
      </c>
      <c r="I600" s="4" t="str">
        <f>TEXT(Claims_Cleaned[[#This Row],[claim_date]],"mmm-yyyy")</f>
        <v>Feb-2023</v>
      </c>
      <c r="J600" t="s">
        <v>20</v>
      </c>
      <c r="K600">
        <v>1260.32</v>
      </c>
      <c r="L600" t="s">
        <v>683</v>
      </c>
      <c r="M600">
        <v>25</v>
      </c>
    </row>
    <row r="601" spans="1:13" x14ac:dyDescent="0.35">
      <c r="A601" t="s">
        <v>957</v>
      </c>
      <c r="B601" t="s">
        <v>304</v>
      </c>
      <c r="C601" t="s">
        <v>549</v>
      </c>
      <c r="D601" t="s">
        <v>623</v>
      </c>
      <c r="E601" s="1">
        <v>45480</v>
      </c>
      <c r="F601" s="1">
        <v>45481</v>
      </c>
      <c r="G601" s="1">
        <v>45506</v>
      </c>
      <c r="H601" s="4">
        <f>IF(Claims_Cleaned[[#This Row],[processed_date]]="","",Claims_Cleaned[[#This Row],[processed_date]]-Claims_Cleaned[[#This Row],[submission_date]])</f>
        <v>25</v>
      </c>
      <c r="I601" s="4" t="str">
        <f>TEXT(Claims_Cleaned[[#This Row],[claim_date]],"mmm-yyyy")</f>
        <v>Jul-2024</v>
      </c>
      <c r="J601" t="s">
        <v>20</v>
      </c>
      <c r="K601">
        <v>1256.78</v>
      </c>
      <c r="L601" t="s">
        <v>683</v>
      </c>
      <c r="M601">
        <v>25</v>
      </c>
    </row>
    <row r="602" spans="1:13" x14ac:dyDescent="0.35">
      <c r="A602" t="s">
        <v>848</v>
      </c>
      <c r="B602" t="s">
        <v>271</v>
      </c>
      <c r="C602" t="s">
        <v>521</v>
      </c>
      <c r="D602" t="s">
        <v>623</v>
      </c>
      <c r="E602" s="1">
        <v>45091</v>
      </c>
      <c r="F602" s="1">
        <v>45092</v>
      </c>
      <c r="G602" s="1">
        <v>45110</v>
      </c>
      <c r="H602" s="4">
        <f>IF(Claims_Cleaned[[#This Row],[processed_date]]="","",Claims_Cleaned[[#This Row],[processed_date]]-Claims_Cleaned[[#This Row],[submission_date]])</f>
        <v>18</v>
      </c>
      <c r="I602" s="4" t="str">
        <f>TEXT(Claims_Cleaned[[#This Row],[claim_date]],"mmm-yyyy")</f>
        <v>Jun-2023</v>
      </c>
      <c r="J602" t="s">
        <v>8</v>
      </c>
      <c r="K602">
        <v>1249.17</v>
      </c>
      <c r="L602" t="s">
        <v>683</v>
      </c>
      <c r="M602">
        <v>18</v>
      </c>
    </row>
    <row r="603" spans="1:13" x14ac:dyDescent="0.35">
      <c r="A603" t="s">
        <v>2282</v>
      </c>
      <c r="B603" t="s">
        <v>167</v>
      </c>
      <c r="C603" t="s">
        <v>553</v>
      </c>
      <c r="D603" t="s">
        <v>623</v>
      </c>
      <c r="E603" s="1">
        <v>44955</v>
      </c>
      <c r="F603" s="1">
        <v>44960</v>
      </c>
      <c r="G603" s="1">
        <v>44964</v>
      </c>
      <c r="H603" s="4">
        <f>IF(Claims_Cleaned[[#This Row],[processed_date]]="","",Claims_Cleaned[[#This Row],[processed_date]]-Claims_Cleaned[[#This Row],[submission_date]])</f>
        <v>4</v>
      </c>
      <c r="I603" s="4" t="str">
        <f>TEXT(Claims_Cleaned[[#This Row],[claim_date]],"mmm-yyyy")</f>
        <v>Jan-2023</v>
      </c>
      <c r="J603" t="s">
        <v>11</v>
      </c>
      <c r="K603">
        <v>1248.82</v>
      </c>
      <c r="L603" t="s">
        <v>683</v>
      </c>
      <c r="M603">
        <v>4</v>
      </c>
    </row>
    <row r="604" spans="1:13" x14ac:dyDescent="0.35">
      <c r="A604" t="s">
        <v>2207</v>
      </c>
      <c r="B604" t="s">
        <v>299</v>
      </c>
      <c r="C604" t="s">
        <v>583</v>
      </c>
      <c r="D604" t="s">
        <v>623</v>
      </c>
      <c r="E604" s="1">
        <v>45241</v>
      </c>
      <c r="F604" s="1">
        <v>45246</v>
      </c>
      <c r="G604" s="1">
        <v>45257</v>
      </c>
      <c r="H604" s="4">
        <f>IF(Claims_Cleaned[[#This Row],[processed_date]]="","",Claims_Cleaned[[#This Row],[processed_date]]-Claims_Cleaned[[#This Row],[submission_date]])</f>
        <v>11</v>
      </c>
      <c r="I604" s="4" t="str">
        <f>TEXT(Claims_Cleaned[[#This Row],[claim_date]],"mmm-yyyy")</f>
        <v>Nov-2023</v>
      </c>
      <c r="J604" t="s">
        <v>25</v>
      </c>
      <c r="K604">
        <v>1244.26</v>
      </c>
      <c r="L604" t="s">
        <v>687</v>
      </c>
      <c r="M604">
        <v>11</v>
      </c>
    </row>
    <row r="605" spans="1:13" x14ac:dyDescent="0.35">
      <c r="A605" t="s">
        <v>1715</v>
      </c>
      <c r="B605" t="s">
        <v>74</v>
      </c>
      <c r="C605" t="s">
        <v>585</v>
      </c>
      <c r="D605" t="s">
        <v>623</v>
      </c>
      <c r="E605" s="1">
        <v>45027</v>
      </c>
      <c r="F605" s="1">
        <v>45030</v>
      </c>
      <c r="G605" s="1">
        <v>45045</v>
      </c>
      <c r="H605" s="4">
        <f>IF(Claims_Cleaned[[#This Row],[processed_date]]="","",Claims_Cleaned[[#This Row],[processed_date]]-Claims_Cleaned[[#This Row],[submission_date]])</f>
        <v>15</v>
      </c>
      <c r="I605" s="4" t="str">
        <f>TEXT(Claims_Cleaned[[#This Row],[claim_date]],"mmm-yyyy")</f>
        <v>Apr-2023</v>
      </c>
      <c r="J605" t="s">
        <v>8</v>
      </c>
      <c r="K605">
        <v>1219.8399999999999</v>
      </c>
      <c r="L605" t="s">
        <v>683</v>
      </c>
      <c r="M605">
        <v>15</v>
      </c>
    </row>
    <row r="606" spans="1:13" x14ac:dyDescent="0.35">
      <c r="A606" t="s">
        <v>2573</v>
      </c>
      <c r="B606" t="s">
        <v>324</v>
      </c>
      <c r="C606" t="s">
        <v>543</v>
      </c>
      <c r="D606" t="s">
        <v>623</v>
      </c>
      <c r="E606" s="1">
        <v>45132</v>
      </c>
      <c r="F606" s="1">
        <v>45135</v>
      </c>
      <c r="G606" s="1">
        <v>45150</v>
      </c>
      <c r="H606" s="4">
        <f>IF(Claims_Cleaned[[#This Row],[processed_date]]="","",Claims_Cleaned[[#This Row],[processed_date]]-Claims_Cleaned[[#This Row],[submission_date]])</f>
        <v>15</v>
      </c>
      <c r="I606" s="4" t="str">
        <f>TEXT(Claims_Cleaned[[#This Row],[claim_date]],"mmm-yyyy")</f>
        <v>Jul-2023</v>
      </c>
      <c r="J606" t="s">
        <v>8</v>
      </c>
      <c r="K606">
        <v>1216.21</v>
      </c>
      <c r="L606" t="s">
        <v>683</v>
      </c>
      <c r="M606">
        <v>15</v>
      </c>
    </row>
    <row r="607" spans="1:13" x14ac:dyDescent="0.35">
      <c r="A607" t="s">
        <v>1237</v>
      </c>
      <c r="B607" t="s">
        <v>406</v>
      </c>
      <c r="C607" t="s">
        <v>567</v>
      </c>
      <c r="D607" t="s">
        <v>623</v>
      </c>
      <c r="E607" s="1">
        <v>45270</v>
      </c>
      <c r="F607" s="1">
        <v>45274</v>
      </c>
      <c r="G607" s="1">
        <v>45280</v>
      </c>
      <c r="H607" s="4">
        <f>IF(Claims_Cleaned[[#This Row],[processed_date]]="","",Claims_Cleaned[[#This Row],[processed_date]]-Claims_Cleaned[[#This Row],[submission_date]])</f>
        <v>6</v>
      </c>
      <c r="I607" s="4" t="str">
        <f>TEXT(Claims_Cleaned[[#This Row],[claim_date]],"mmm-yyyy")</f>
        <v>Dec-2023</v>
      </c>
      <c r="J607" t="s">
        <v>11</v>
      </c>
      <c r="K607">
        <v>1198.67</v>
      </c>
      <c r="L607" t="s">
        <v>683</v>
      </c>
      <c r="M607">
        <v>6</v>
      </c>
    </row>
    <row r="608" spans="1:13" x14ac:dyDescent="0.35">
      <c r="A608" t="s">
        <v>1507</v>
      </c>
      <c r="B608" t="s">
        <v>391</v>
      </c>
      <c r="C608" t="s">
        <v>585</v>
      </c>
      <c r="D608" t="s">
        <v>623</v>
      </c>
      <c r="E608" s="1">
        <v>45008</v>
      </c>
      <c r="F608" s="1">
        <v>45009</v>
      </c>
      <c r="G608" s="1"/>
      <c r="H608" s="4" t="str">
        <f>IF(Claims_Cleaned[[#This Row],[processed_date]]="","",Claims_Cleaned[[#This Row],[processed_date]]-Claims_Cleaned[[#This Row],[submission_date]])</f>
        <v/>
      </c>
      <c r="I608" s="4" t="str">
        <f>TEXT(Claims_Cleaned[[#This Row],[claim_date]],"mmm-yyyy")</f>
        <v>Mar-2023</v>
      </c>
      <c r="J608" t="s">
        <v>11</v>
      </c>
      <c r="K608">
        <v>1193.98</v>
      </c>
      <c r="L608" t="s">
        <v>689</v>
      </c>
    </row>
    <row r="609" spans="1:13" x14ac:dyDescent="0.35">
      <c r="A609" t="s">
        <v>2051</v>
      </c>
      <c r="B609" t="s">
        <v>61</v>
      </c>
      <c r="C609" t="s">
        <v>599</v>
      </c>
      <c r="D609" t="s">
        <v>623</v>
      </c>
      <c r="E609" s="1">
        <v>45253</v>
      </c>
      <c r="F609" s="1">
        <v>45255</v>
      </c>
      <c r="G609" s="1">
        <v>45270</v>
      </c>
      <c r="H609" s="4">
        <f>IF(Claims_Cleaned[[#This Row],[processed_date]]="","",Claims_Cleaned[[#This Row],[processed_date]]-Claims_Cleaned[[#This Row],[submission_date]])</f>
        <v>15</v>
      </c>
      <c r="I609" s="4" t="str">
        <f>TEXT(Claims_Cleaned[[#This Row],[claim_date]],"mmm-yyyy")</f>
        <v>Nov-2023</v>
      </c>
      <c r="J609" t="s">
        <v>11</v>
      </c>
      <c r="K609">
        <v>1193.3900000000001</v>
      </c>
      <c r="L609" t="s">
        <v>683</v>
      </c>
      <c r="M609">
        <v>15</v>
      </c>
    </row>
    <row r="610" spans="1:13" x14ac:dyDescent="0.35">
      <c r="A610" t="s">
        <v>1532</v>
      </c>
      <c r="B610" t="s">
        <v>287</v>
      </c>
      <c r="C610" t="s">
        <v>559</v>
      </c>
      <c r="D610" t="s">
        <v>623</v>
      </c>
      <c r="E610" s="1">
        <v>45492</v>
      </c>
      <c r="F610" s="1">
        <v>45496</v>
      </c>
      <c r="G610" s="1">
        <v>45510</v>
      </c>
      <c r="H610" s="4">
        <f>IF(Claims_Cleaned[[#This Row],[processed_date]]="","",Claims_Cleaned[[#This Row],[processed_date]]-Claims_Cleaned[[#This Row],[submission_date]])</f>
        <v>14</v>
      </c>
      <c r="I610" s="4" t="str">
        <f>TEXT(Claims_Cleaned[[#This Row],[claim_date]],"mmm-yyyy")</f>
        <v>Jul-2024</v>
      </c>
      <c r="J610" t="s">
        <v>20</v>
      </c>
      <c r="K610">
        <v>1187.99</v>
      </c>
      <c r="L610" t="s">
        <v>683</v>
      </c>
      <c r="M610">
        <v>14</v>
      </c>
    </row>
    <row r="611" spans="1:13" x14ac:dyDescent="0.35">
      <c r="A611" t="s">
        <v>883</v>
      </c>
      <c r="B611" t="s">
        <v>385</v>
      </c>
      <c r="C611" t="s">
        <v>587</v>
      </c>
      <c r="D611" t="s">
        <v>623</v>
      </c>
      <c r="E611" s="1">
        <v>45124</v>
      </c>
      <c r="F611" s="1">
        <v>45128</v>
      </c>
      <c r="G611" s="1"/>
      <c r="H611" s="4" t="str">
        <f>IF(Claims_Cleaned[[#This Row],[processed_date]]="","",Claims_Cleaned[[#This Row],[processed_date]]-Claims_Cleaned[[#This Row],[submission_date]])</f>
        <v/>
      </c>
      <c r="I611" s="4" t="str">
        <f>TEXT(Claims_Cleaned[[#This Row],[claim_date]],"mmm-yyyy")</f>
        <v>Jul-2023</v>
      </c>
      <c r="J611" t="s">
        <v>20</v>
      </c>
      <c r="K611">
        <v>1186.74</v>
      </c>
      <c r="L611" t="s">
        <v>689</v>
      </c>
    </row>
    <row r="612" spans="1:13" x14ac:dyDescent="0.35">
      <c r="A612" t="s">
        <v>1386</v>
      </c>
      <c r="B612" t="s">
        <v>243</v>
      </c>
      <c r="C612" t="s">
        <v>589</v>
      </c>
      <c r="D612" t="s">
        <v>623</v>
      </c>
      <c r="E612" s="1">
        <v>45314</v>
      </c>
      <c r="F612" s="1">
        <v>45316</v>
      </c>
      <c r="G612" s="1">
        <v>45319</v>
      </c>
      <c r="H612" s="4">
        <f>IF(Claims_Cleaned[[#This Row],[processed_date]]="","",Claims_Cleaned[[#This Row],[processed_date]]-Claims_Cleaned[[#This Row],[submission_date]])</f>
        <v>3</v>
      </c>
      <c r="I612" s="4" t="str">
        <f>TEXT(Claims_Cleaned[[#This Row],[claim_date]],"mmm-yyyy")</f>
        <v>Jan-2024</v>
      </c>
      <c r="J612" t="s">
        <v>13</v>
      </c>
      <c r="K612">
        <v>1182.82</v>
      </c>
      <c r="L612" t="s">
        <v>687</v>
      </c>
      <c r="M612">
        <v>3</v>
      </c>
    </row>
    <row r="613" spans="1:13" x14ac:dyDescent="0.35">
      <c r="A613" t="s">
        <v>1498</v>
      </c>
      <c r="B613" t="s">
        <v>508</v>
      </c>
      <c r="C613" t="s">
        <v>567</v>
      </c>
      <c r="D613" t="s">
        <v>623</v>
      </c>
      <c r="E613" s="1">
        <v>45142</v>
      </c>
      <c r="F613" s="1">
        <v>45146</v>
      </c>
      <c r="G613" s="1">
        <v>45156</v>
      </c>
      <c r="H613" s="4">
        <f>IF(Claims_Cleaned[[#This Row],[processed_date]]="","",Claims_Cleaned[[#This Row],[processed_date]]-Claims_Cleaned[[#This Row],[submission_date]])</f>
        <v>10</v>
      </c>
      <c r="I613" s="4" t="str">
        <f>TEXT(Claims_Cleaned[[#This Row],[claim_date]],"mmm-yyyy")</f>
        <v>Aug-2023</v>
      </c>
      <c r="J613" t="s">
        <v>25</v>
      </c>
      <c r="K613">
        <v>1175.6099999999999</v>
      </c>
      <c r="L613" t="s">
        <v>687</v>
      </c>
      <c r="M613">
        <v>10</v>
      </c>
    </row>
    <row r="614" spans="1:13" x14ac:dyDescent="0.35">
      <c r="A614" t="s">
        <v>2529</v>
      </c>
      <c r="B614" t="s">
        <v>286</v>
      </c>
      <c r="C614" t="s">
        <v>524</v>
      </c>
      <c r="D614" t="s">
        <v>623</v>
      </c>
      <c r="E614" s="1">
        <v>45013</v>
      </c>
      <c r="F614" s="1">
        <v>45016</v>
      </c>
      <c r="G614" s="1">
        <v>45031</v>
      </c>
      <c r="H614" s="4">
        <f>IF(Claims_Cleaned[[#This Row],[processed_date]]="","",Claims_Cleaned[[#This Row],[processed_date]]-Claims_Cleaned[[#This Row],[submission_date]])</f>
        <v>15</v>
      </c>
      <c r="I614" s="4" t="str">
        <f>TEXT(Claims_Cleaned[[#This Row],[claim_date]],"mmm-yyyy")</f>
        <v>Mar-2023</v>
      </c>
      <c r="J614" t="s">
        <v>8</v>
      </c>
      <c r="K614">
        <v>1172.45</v>
      </c>
      <c r="L614" t="s">
        <v>683</v>
      </c>
      <c r="M614">
        <v>15</v>
      </c>
    </row>
    <row r="615" spans="1:13" x14ac:dyDescent="0.35">
      <c r="A615" t="s">
        <v>904</v>
      </c>
      <c r="B615" t="s">
        <v>432</v>
      </c>
      <c r="C615" t="s">
        <v>581</v>
      </c>
      <c r="D615" t="s">
        <v>623</v>
      </c>
      <c r="E615" s="1">
        <v>45630</v>
      </c>
      <c r="F615" s="1">
        <v>45635</v>
      </c>
      <c r="G615" s="1">
        <v>45665</v>
      </c>
      <c r="H615" s="4">
        <f>IF(Claims_Cleaned[[#This Row],[processed_date]]="","",Claims_Cleaned[[#This Row],[processed_date]]-Claims_Cleaned[[#This Row],[submission_date]])</f>
        <v>30</v>
      </c>
      <c r="I615" s="4" t="str">
        <f>TEXT(Claims_Cleaned[[#This Row],[claim_date]],"mmm-yyyy")</f>
        <v>Dec-2024</v>
      </c>
      <c r="J615" t="s">
        <v>11</v>
      </c>
      <c r="K615">
        <v>1168.3599999999999</v>
      </c>
      <c r="L615" t="s">
        <v>683</v>
      </c>
      <c r="M615">
        <v>30</v>
      </c>
    </row>
    <row r="616" spans="1:13" x14ac:dyDescent="0.35">
      <c r="A616" t="s">
        <v>2222</v>
      </c>
      <c r="B616" t="s">
        <v>368</v>
      </c>
      <c r="C616" t="s">
        <v>573</v>
      </c>
      <c r="D616" t="s">
        <v>623</v>
      </c>
      <c r="E616" s="1">
        <v>45384</v>
      </c>
      <c r="F616" s="1">
        <v>45387</v>
      </c>
      <c r="G616" s="1">
        <v>45397</v>
      </c>
      <c r="H616" s="4">
        <f>IF(Claims_Cleaned[[#This Row],[processed_date]]="","",Claims_Cleaned[[#This Row],[processed_date]]-Claims_Cleaned[[#This Row],[submission_date]])</f>
        <v>10</v>
      </c>
      <c r="I616" s="4" t="str">
        <f>TEXT(Claims_Cleaned[[#This Row],[claim_date]],"mmm-yyyy")</f>
        <v>Apr-2024</v>
      </c>
      <c r="J616" t="s">
        <v>20</v>
      </c>
      <c r="K616">
        <v>1162.52</v>
      </c>
      <c r="L616" t="s">
        <v>683</v>
      </c>
      <c r="M616">
        <v>10</v>
      </c>
    </row>
    <row r="617" spans="1:13" x14ac:dyDescent="0.35">
      <c r="A617" t="s">
        <v>1011</v>
      </c>
      <c r="B617" t="s">
        <v>147</v>
      </c>
      <c r="C617" t="s">
        <v>559</v>
      </c>
      <c r="D617" t="s">
        <v>623</v>
      </c>
      <c r="E617" s="1">
        <v>45498</v>
      </c>
      <c r="F617" s="1">
        <v>45503</v>
      </c>
      <c r="G617" s="1">
        <v>45515</v>
      </c>
      <c r="H617" s="4">
        <f>IF(Claims_Cleaned[[#This Row],[processed_date]]="","",Claims_Cleaned[[#This Row],[processed_date]]-Claims_Cleaned[[#This Row],[submission_date]])</f>
        <v>12</v>
      </c>
      <c r="I617" s="4" t="str">
        <f>TEXT(Claims_Cleaned[[#This Row],[claim_date]],"mmm-yyyy")</f>
        <v>Jul-2024</v>
      </c>
      <c r="J617" t="s">
        <v>8</v>
      </c>
      <c r="K617">
        <v>1160.5899999999999</v>
      </c>
      <c r="L617" t="s">
        <v>683</v>
      </c>
      <c r="M617">
        <v>12</v>
      </c>
    </row>
    <row r="618" spans="1:13" x14ac:dyDescent="0.35">
      <c r="A618" t="s">
        <v>2074</v>
      </c>
      <c r="B618" t="s">
        <v>351</v>
      </c>
      <c r="C618" t="s">
        <v>537</v>
      </c>
      <c r="D618" t="s">
        <v>623</v>
      </c>
      <c r="E618" s="1">
        <v>45633</v>
      </c>
      <c r="F618" s="1">
        <v>45635</v>
      </c>
      <c r="G618" s="1">
        <v>45643</v>
      </c>
      <c r="H618" s="4">
        <f>IF(Claims_Cleaned[[#This Row],[processed_date]]="","",Claims_Cleaned[[#This Row],[processed_date]]-Claims_Cleaned[[#This Row],[submission_date]])</f>
        <v>8</v>
      </c>
      <c r="I618" s="4" t="str">
        <f>TEXT(Claims_Cleaned[[#This Row],[claim_date]],"mmm-yyyy")</f>
        <v>Dec-2024</v>
      </c>
      <c r="J618" t="s">
        <v>11</v>
      </c>
      <c r="K618">
        <v>1144.97</v>
      </c>
      <c r="L618" t="s">
        <v>687</v>
      </c>
      <c r="M618">
        <v>8</v>
      </c>
    </row>
    <row r="619" spans="1:13" x14ac:dyDescent="0.35">
      <c r="A619" t="s">
        <v>1652</v>
      </c>
      <c r="B619" t="s">
        <v>202</v>
      </c>
      <c r="C619" t="s">
        <v>577</v>
      </c>
      <c r="D619" t="s">
        <v>623</v>
      </c>
      <c r="E619" s="1">
        <v>45392</v>
      </c>
      <c r="F619" s="1">
        <v>45397</v>
      </c>
      <c r="G619" s="1">
        <v>45407</v>
      </c>
      <c r="H619" s="4">
        <f>IF(Claims_Cleaned[[#This Row],[processed_date]]="","",Claims_Cleaned[[#This Row],[processed_date]]-Claims_Cleaned[[#This Row],[submission_date]])</f>
        <v>10</v>
      </c>
      <c r="I619" s="4" t="str">
        <f>TEXT(Claims_Cleaned[[#This Row],[claim_date]],"mmm-yyyy")</f>
        <v>Apr-2024</v>
      </c>
      <c r="J619" t="s">
        <v>13</v>
      </c>
      <c r="K619">
        <v>1144.24</v>
      </c>
      <c r="L619" t="s">
        <v>683</v>
      </c>
      <c r="M619">
        <v>10</v>
      </c>
    </row>
    <row r="620" spans="1:13" x14ac:dyDescent="0.35">
      <c r="A620" t="s">
        <v>682</v>
      </c>
      <c r="B620" t="s">
        <v>388</v>
      </c>
      <c r="C620" t="s">
        <v>567</v>
      </c>
      <c r="D620" t="s">
        <v>623</v>
      </c>
      <c r="E620" s="1">
        <v>44940</v>
      </c>
      <c r="F620" s="1">
        <v>44945</v>
      </c>
      <c r="G620" s="1">
        <v>44973</v>
      </c>
      <c r="H620" s="4">
        <f>IF(Claims_Cleaned[[#This Row],[processed_date]]="","",Claims_Cleaned[[#This Row],[processed_date]]-Claims_Cleaned[[#This Row],[submission_date]])</f>
        <v>28</v>
      </c>
      <c r="I620" s="4" t="str">
        <f>TEXT(Claims_Cleaned[[#This Row],[claim_date]],"mmm-yyyy")</f>
        <v>Jan-2023</v>
      </c>
      <c r="J620" t="s">
        <v>8</v>
      </c>
      <c r="K620">
        <v>1141.93</v>
      </c>
      <c r="L620" t="s">
        <v>683</v>
      </c>
      <c r="M620">
        <v>28</v>
      </c>
    </row>
    <row r="621" spans="1:13" x14ac:dyDescent="0.35">
      <c r="A621" t="s">
        <v>1797</v>
      </c>
      <c r="B621" t="s">
        <v>296</v>
      </c>
      <c r="C621" t="s">
        <v>575</v>
      </c>
      <c r="D621" t="s">
        <v>623</v>
      </c>
      <c r="E621" s="1">
        <v>45101</v>
      </c>
      <c r="F621" s="1">
        <v>45104</v>
      </c>
      <c r="G621" s="1">
        <v>45107</v>
      </c>
      <c r="H621" s="4">
        <f>IF(Claims_Cleaned[[#This Row],[processed_date]]="","",Claims_Cleaned[[#This Row],[processed_date]]-Claims_Cleaned[[#This Row],[submission_date]])</f>
        <v>3</v>
      </c>
      <c r="I621" s="4" t="str">
        <f>TEXT(Claims_Cleaned[[#This Row],[claim_date]],"mmm-yyyy")</f>
        <v>Jun-2023</v>
      </c>
      <c r="J621" t="s">
        <v>11</v>
      </c>
      <c r="K621">
        <v>1132.9000000000001</v>
      </c>
      <c r="L621" t="s">
        <v>683</v>
      </c>
      <c r="M621">
        <v>3</v>
      </c>
    </row>
    <row r="622" spans="1:13" x14ac:dyDescent="0.35">
      <c r="A622" t="s">
        <v>2441</v>
      </c>
      <c r="B622" t="s">
        <v>256</v>
      </c>
      <c r="C622" t="s">
        <v>563</v>
      </c>
      <c r="D622" t="s">
        <v>623</v>
      </c>
      <c r="E622" s="1">
        <v>45435</v>
      </c>
      <c r="F622" s="1">
        <v>45437</v>
      </c>
      <c r="G622" s="1">
        <v>45464</v>
      </c>
      <c r="H622" s="4">
        <f>IF(Claims_Cleaned[[#This Row],[processed_date]]="","",Claims_Cleaned[[#This Row],[processed_date]]-Claims_Cleaned[[#This Row],[submission_date]])</f>
        <v>27</v>
      </c>
      <c r="I622" s="4" t="str">
        <f>TEXT(Claims_Cleaned[[#This Row],[claim_date]],"mmm-yyyy")</f>
        <v>May-2024</v>
      </c>
      <c r="J622" t="s">
        <v>8</v>
      </c>
      <c r="K622">
        <v>1128.9100000000001</v>
      </c>
      <c r="L622" t="s">
        <v>683</v>
      </c>
      <c r="M622">
        <v>27</v>
      </c>
    </row>
    <row r="623" spans="1:13" x14ac:dyDescent="0.35">
      <c r="A623" t="s">
        <v>2469</v>
      </c>
      <c r="B623" t="s">
        <v>344</v>
      </c>
      <c r="C623" t="s">
        <v>565</v>
      </c>
      <c r="D623" t="s">
        <v>623</v>
      </c>
      <c r="E623" s="1">
        <v>45624</v>
      </c>
      <c r="F623" s="1">
        <v>45629</v>
      </c>
      <c r="G623" s="1">
        <v>45638</v>
      </c>
      <c r="H623" s="4">
        <f>IF(Claims_Cleaned[[#This Row],[processed_date]]="","",Claims_Cleaned[[#This Row],[processed_date]]-Claims_Cleaned[[#This Row],[submission_date]])</f>
        <v>9</v>
      </c>
      <c r="I623" s="4" t="str">
        <f>TEXT(Claims_Cleaned[[#This Row],[claim_date]],"mmm-yyyy")</f>
        <v>Nov-2024</v>
      </c>
      <c r="J623" t="s">
        <v>25</v>
      </c>
      <c r="K623">
        <v>1125.33</v>
      </c>
      <c r="L623" t="s">
        <v>683</v>
      </c>
      <c r="M623">
        <v>9</v>
      </c>
    </row>
    <row r="624" spans="1:13" x14ac:dyDescent="0.35">
      <c r="A624" t="s">
        <v>1441</v>
      </c>
      <c r="B624" t="s">
        <v>466</v>
      </c>
      <c r="C624" t="s">
        <v>609</v>
      </c>
      <c r="D624" t="s">
        <v>631</v>
      </c>
      <c r="E624" s="1">
        <v>45309</v>
      </c>
      <c r="F624" s="1">
        <v>45310</v>
      </c>
      <c r="G624" s="1">
        <v>45330</v>
      </c>
      <c r="H624" s="4">
        <f>IF(Claims_Cleaned[[#This Row],[processed_date]]="","",Claims_Cleaned[[#This Row],[processed_date]]-Claims_Cleaned[[#This Row],[submission_date]])</f>
        <v>20</v>
      </c>
      <c r="I624" s="4" t="str">
        <f>TEXT(Claims_Cleaned[[#This Row],[claim_date]],"mmm-yyyy")</f>
        <v>Jan-2024</v>
      </c>
      <c r="J624" t="s">
        <v>20</v>
      </c>
      <c r="K624">
        <v>1119.54</v>
      </c>
      <c r="L624" t="s">
        <v>683</v>
      </c>
      <c r="M624">
        <v>20</v>
      </c>
    </row>
    <row r="625" spans="1:13" x14ac:dyDescent="0.35">
      <c r="A625" t="s">
        <v>2158</v>
      </c>
      <c r="B625" t="s">
        <v>276</v>
      </c>
      <c r="C625" t="s">
        <v>607</v>
      </c>
      <c r="D625" t="s">
        <v>623</v>
      </c>
      <c r="E625" s="1">
        <v>45415</v>
      </c>
      <c r="F625" s="1">
        <v>45417</v>
      </c>
      <c r="G625" s="1">
        <v>45439</v>
      </c>
      <c r="H625" s="4">
        <f>IF(Claims_Cleaned[[#This Row],[processed_date]]="","",Claims_Cleaned[[#This Row],[processed_date]]-Claims_Cleaned[[#This Row],[submission_date]])</f>
        <v>22</v>
      </c>
      <c r="I625" s="4" t="str">
        <f>TEXT(Claims_Cleaned[[#This Row],[claim_date]],"mmm-yyyy")</f>
        <v>May-2024</v>
      </c>
      <c r="J625" t="s">
        <v>20</v>
      </c>
      <c r="K625">
        <v>1116.51</v>
      </c>
      <c r="L625" t="s">
        <v>683</v>
      </c>
      <c r="M625">
        <v>22</v>
      </c>
    </row>
    <row r="626" spans="1:13" x14ac:dyDescent="0.35">
      <c r="A626" t="s">
        <v>2208</v>
      </c>
      <c r="B626" t="s">
        <v>57</v>
      </c>
      <c r="C626" t="s">
        <v>593</v>
      </c>
      <c r="D626" t="s">
        <v>623</v>
      </c>
      <c r="E626" s="1">
        <v>45094</v>
      </c>
      <c r="F626" s="1">
        <v>45095</v>
      </c>
      <c r="G626" s="1">
        <v>45124</v>
      </c>
      <c r="H626" s="4">
        <f>IF(Claims_Cleaned[[#This Row],[processed_date]]="","",Claims_Cleaned[[#This Row],[processed_date]]-Claims_Cleaned[[#This Row],[submission_date]])</f>
        <v>29</v>
      </c>
      <c r="I626" s="4" t="str">
        <f>TEXT(Claims_Cleaned[[#This Row],[claim_date]],"mmm-yyyy")</f>
        <v>Jun-2023</v>
      </c>
      <c r="J626" t="s">
        <v>11</v>
      </c>
      <c r="K626">
        <v>1113.5899999999999</v>
      </c>
      <c r="L626" t="s">
        <v>683</v>
      </c>
      <c r="M626">
        <v>29</v>
      </c>
    </row>
    <row r="627" spans="1:13" x14ac:dyDescent="0.35">
      <c r="A627" t="s">
        <v>1631</v>
      </c>
      <c r="B627" t="s">
        <v>46</v>
      </c>
      <c r="C627" t="s">
        <v>601</v>
      </c>
      <c r="D627" t="s">
        <v>631</v>
      </c>
      <c r="E627" s="1">
        <v>45372</v>
      </c>
      <c r="F627" s="1">
        <v>45373</v>
      </c>
      <c r="G627" s="1">
        <v>45391</v>
      </c>
      <c r="H627" s="4">
        <f>IF(Claims_Cleaned[[#This Row],[processed_date]]="","",Claims_Cleaned[[#This Row],[processed_date]]-Claims_Cleaned[[#This Row],[submission_date]])</f>
        <v>18</v>
      </c>
      <c r="I627" s="4" t="str">
        <f>TEXT(Claims_Cleaned[[#This Row],[claim_date]],"mmm-yyyy")</f>
        <v>Mar-2024</v>
      </c>
      <c r="J627" t="s">
        <v>11</v>
      </c>
      <c r="K627">
        <v>1113.28</v>
      </c>
      <c r="L627" t="s">
        <v>683</v>
      </c>
      <c r="M627">
        <v>18</v>
      </c>
    </row>
    <row r="628" spans="1:13" x14ac:dyDescent="0.35">
      <c r="A628" t="s">
        <v>2644</v>
      </c>
      <c r="B628" t="s">
        <v>362</v>
      </c>
      <c r="C628" t="s">
        <v>573</v>
      </c>
      <c r="D628" t="s">
        <v>623</v>
      </c>
      <c r="E628" s="1">
        <v>45339</v>
      </c>
      <c r="F628" s="1">
        <v>45342</v>
      </c>
      <c r="G628" s="1"/>
      <c r="H628" s="4" t="str">
        <f>IF(Claims_Cleaned[[#This Row],[processed_date]]="","",Claims_Cleaned[[#This Row],[processed_date]]-Claims_Cleaned[[#This Row],[submission_date]])</f>
        <v/>
      </c>
      <c r="I628" s="4" t="str">
        <f>TEXT(Claims_Cleaned[[#This Row],[claim_date]],"mmm-yyyy")</f>
        <v>Feb-2024</v>
      </c>
      <c r="J628" t="s">
        <v>25</v>
      </c>
      <c r="K628">
        <v>1111.96</v>
      </c>
      <c r="L628" t="s">
        <v>689</v>
      </c>
    </row>
    <row r="629" spans="1:13" x14ac:dyDescent="0.35">
      <c r="A629" t="s">
        <v>2659</v>
      </c>
      <c r="B629" t="s">
        <v>373</v>
      </c>
      <c r="C629" t="s">
        <v>567</v>
      </c>
      <c r="D629" t="s">
        <v>631</v>
      </c>
      <c r="E629" s="1">
        <v>45460</v>
      </c>
      <c r="F629" s="1">
        <v>45465</v>
      </c>
      <c r="G629" s="1">
        <v>45495</v>
      </c>
      <c r="H629" s="4">
        <f>IF(Claims_Cleaned[[#This Row],[processed_date]]="","",Claims_Cleaned[[#This Row],[processed_date]]-Claims_Cleaned[[#This Row],[submission_date]])</f>
        <v>30</v>
      </c>
      <c r="I629" s="4" t="str">
        <f>TEXT(Claims_Cleaned[[#This Row],[claim_date]],"mmm-yyyy")</f>
        <v>Jun-2024</v>
      </c>
      <c r="J629" t="s">
        <v>20</v>
      </c>
      <c r="K629">
        <v>1110.49</v>
      </c>
      <c r="L629" t="s">
        <v>683</v>
      </c>
      <c r="M629">
        <v>30</v>
      </c>
    </row>
    <row r="630" spans="1:13" x14ac:dyDescent="0.35">
      <c r="A630" t="s">
        <v>1624</v>
      </c>
      <c r="B630" t="s">
        <v>75</v>
      </c>
      <c r="C630" t="s">
        <v>573</v>
      </c>
      <c r="D630" t="s">
        <v>631</v>
      </c>
      <c r="E630" s="1">
        <v>45207</v>
      </c>
      <c r="F630" s="1">
        <v>45208</v>
      </c>
      <c r="G630" s="1">
        <v>45219</v>
      </c>
      <c r="H630" s="4">
        <f>IF(Claims_Cleaned[[#This Row],[processed_date]]="","",Claims_Cleaned[[#This Row],[processed_date]]-Claims_Cleaned[[#This Row],[submission_date]])</f>
        <v>11</v>
      </c>
      <c r="I630" s="4" t="str">
        <f>TEXT(Claims_Cleaned[[#This Row],[claim_date]],"mmm-yyyy")</f>
        <v>Oct-2023</v>
      </c>
      <c r="J630" t="s">
        <v>8</v>
      </c>
      <c r="K630">
        <v>1107.05</v>
      </c>
      <c r="L630" t="s">
        <v>683</v>
      </c>
      <c r="M630">
        <v>11</v>
      </c>
    </row>
    <row r="631" spans="1:13" x14ac:dyDescent="0.35">
      <c r="A631" t="s">
        <v>2345</v>
      </c>
      <c r="B631" t="s">
        <v>217</v>
      </c>
      <c r="C631" t="s">
        <v>577</v>
      </c>
      <c r="D631" t="s">
        <v>631</v>
      </c>
      <c r="E631" s="1">
        <v>45434</v>
      </c>
      <c r="F631" s="1">
        <v>45437</v>
      </c>
      <c r="G631" s="1">
        <v>45453</v>
      </c>
      <c r="H631" s="4">
        <f>IF(Claims_Cleaned[[#This Row],[processed_date]]="","",Claims_Cleaned[[#This Row],[processed_date]]-Claims_Cleaned[[#This Row],[submission_date]])</f>
        <v>16</v>
      </c>
      <c r="I631" s="4" t="str">
        <f>TEXT(Claims_Cleaned[[#This Row],[claim_date]],"mmm-yyyy")</f>
        <v>May-2024</v>
      </c>
      <c r="J631" t="s">
        <v>13</v>
      </c>
      <c r="K631">
        <v>1101.27</v>
      </c>
      <c r="L631" t="s">
        <v>687</v>
      </c>
      <c r="M631">
        <v>16</v>
      </c>
    </row>
    <row r="632" spans="1:13" x14ac:dyDescent="0.35">
      <c r="A632" t="s">
        <v>1447</v>
      </c>
      <c r="B632" t="s">
        <v>289</v>
      </c>
      <c r="C632" t="s">
        <v>540</v>
      </c>
      <c r="D632" t="s">
        <v>631</v>
      </c>
      <c r="E632" s="1">
        <v>45311</v>
      </c>
      <c r="F632" s="1">
        <v>45314</v>
      </c>
      <c r="G632" s="1">
        <v>45317</v>
      </c>
      <c r="H632" s="4">
        <f>IF(Claims_Cleaned[[#This Row],[processed_date]]="","",Claims_Cleaned[[#This Row],[processed_date]]-Claims_Cleaned[[#This Row],[submission_date]])</f>
        <v>3</v>
      </c>
      <c r="I632" s="4" t="str">
        <f>TEXT(Claims_Cleaned[[#This Row],[claim_date]],"mmm-yyyy")</f>
        <v>Jan-2024</v>
      </c>
      <c r="J632" t="s">
        <v>13</v>
      </c>
      <c r="K632">
        <v>1100.3399999999999</v>
      </c>
      <c r="L632" t="s">
        <v>683</v>
      </c>
      <c r="M632">
        <v>3</v>
      </c>
    </row>
    <row r="633" spans="1:13" x14ac:dyDescent="0.35">
      <c r="A633" t="s">
        <v>1574</v>
      </c>
      <c r="B633" t="s">
        <v>452</v>
      </c>
      <c r="C633" t="s">
        <v>589</v>
      </c>
      <c r="D633" t="s">
        <v>623</v>
      </c>
      <c r="E633" s="1">
        <v>45191</v>
      </c>
      <c r="F633" s="1">
        <v>45192</v>
      </c>
      <c r="G633" s="1">
        <v>45202</v>
      </c>
      <c r="H633" s="4">
        <f>IF(Claims_Cleaned[[#This Row],[processed_date]]="","",Claims_Cleaned[[#This Row],[processed_date]]-Claims_Cleaned[[#This Row],[submission_date]])</f>
        <v>10</v>
      </c>
      <c r="I633" s="4" t="str">
        <f>TEXT(Claims_Cleaned[[#This Row],[claim_date]],"mmm-yyyy")</f>
        <v>Sep-2023</v>
      </c>
      <c r="J633" t="s">
        <v>11</v>
      </c>
      <c r="K633">
        <v>1099.9100000000001</v>
      </c>
      <c r="L633" t="s">
        <v>683</v>
      </c>
      <c r="M633">
        <v>10</v>
      </c>
    </row>
    <row r="634" spans="1:13" x14ac:dyDescent="0.35">
      <c r="A634" t="s">
        <v>703</v>
      </c>
      <c r="B634" t="s">
        <v>333</v>
      </c>
      <c r="C634" t="s">
        <v>581</v>
      </c>
      <c r="D634" t="s">
        <v>623</v>
      </c>
      <c r="E634" s="1">
        <v>45080</v>
      </c>
      <c r="F634" s="1">
        <v>45083</v>
      </c>
      <c r="G634" s="1">
        <v>45113</v>
      </c>
      <c r="H634" s="4">
        <f>IF(Claims_Cleaned[[#This Row],[processed_date]]="","",Claims_Cleaned[[#This Row],[processed_date]]-Claims_Cleaned[[#This Row],[submission_date]])</f>
        <v>30</v>
      </c>
      <c r="I634" s="4" t="str">
        <f>TEXT(Claims_Cleaned[[#This Row],[claim_date]],"mmm-yyyy")</f>
        <v>Jun-2023</v>
      </c>
      <c r="J634" t="s">
        <v>13</v>
      </c>
      <c r="K634">
        <v>1099.3499999999999</v>
      </c>
      <c r="L634" t="s">
        <v>687</v>
      </c>
      <c r="M634">
        <v>30</v>
      </c>
    </row>
    <row r="635" spans="1:13" x14ac:dyDescent="0.35">
      <c r="A635" t="s">
        <v>1979</v>
      </c>
      <c r="B635" t="s">
        <v>279</v>
      </c>
      <c r="C635" t="s">
        <v>569</v>
      </c>
      <c r="D635" t="s">
        <v>631</v>
      </c>
      <c r="E635" s="1">
        <v>45438</v>
      </c>
      <c r="F635" s="1">
        <v>45439</v>
      </c>
      <c r="G635" s="1">
        <v>45459</v>
      </c>
      <c r="H635" s="4">
        <f>IF(Claims_Cleaned[[#This Row],[processed_date]]="","",Claims_Cleaned[[#This Row],[processed_date]]-Claims_Cleaned[[#This Row],[submission_date]])</f>
        <v>20</v>
      </c>
      <c r="I635" s="4" t="str">
        <f>TEXT(Claims_Cleaned[[#This Row],[claim_date]],"mmm-yyyy")</f>
        <v>May-2024</v>
      </c>
      <c r="J635" t="s">
        <v>11</v>
      </c>
      <c r="K635">
        <v>1098.52</v>
      </c>
      <c r="L635" t="s">
        <v>683</v>
      </c>
      <c r="M635">
        <v>20</v>
      </c>
    </row>
    <row r="636" spans="1:13" x14ac:dyDescent="0.35">
      <c r="A636" t="s">
        <v>728</v>
      </c>
      <c r="B636" t="s">
        <v>87</v>
      </c>
      <c r="C636" t="s">
        <v>589</v>
      </c>
      <c r="D636" t="s">
        <v>623</v>
      </c>
      <c r="E636" s="1">
        <v>45114</v>
      </c>
      <c r="F636" s="1">
        <v>45115</v>
      </c>
      <c r="G636" s="1">
        <v>45134</v>
      </c>
      <c r="H636" s="4">
        <f>IF(Claims_Cleaned[[#This Row],[processed_date]]="","",Claims_Cleaned[[#This Row],[processed_date]]-Claims_Cleaned[[#This Row],[submission_date]])</f>
        <v>19</v>
      </c>
      <c r="I636" s="4" t="str">
        <f>TEXT(Claims_Cleaned[[#This Row],[claim_date]],"mmm-yyyy")</f>
        <v>Jul-2023</v>
      </c>
      <c r="J636" t="s">
        <v>8</v>
      </c>
      <c r="K636">
        <v>1098.43</v>
      </c>
      <c r="L636" t="s">
        <v>683</v>
      </c>
      <c r="M636">
        <v>19</v>
      </c>
    </row>
    <row r="637" spans="1:13" x14ac:dyDescent="0.35">
      <c r="A637" t="s">
        <v>2353</v>
      </c>
      <c r="B637" t="s">
        <v>341</v>
      </c>
      <c r="C637" t="s">
        <v>571</v>
      </c>
      <c r="D637" t="s">
        <v>623</v>
      </c>
      <c r="E637" s="1">
        <v>45005</v>
      </c>
      <c r="F637" s="1">
        <v>45009</v>
      </c>
      <c r="G637" s="1">
        <v>45030</v>
      </c>
      <c r="H637" s="4">
        <f>IF(Claims_Cleaned[[#This Row],[processed_date]]="","",Claims_Cleaned[[#This Row],[processed_date]]-Claims_Cleaned[[#This Row],[submission_date]])</f>
        <v>21</v>
      </c>
      <c r="I637" s="4" t="str">
        <f>TEXT(Claims_Cleaned[[#This Row],[claim_date]],"mmm-yyyy")</f>
        <v>Mar-2023</v>
      </c>
      <c r="J637" t="s">
        <v>11</v>
      </c>
      <c r="K637">
        <v>1094.3499999999999</v>
      </c>
      <c r="L637" t="s">
        <v>683</v>
      </c>
      <c r="M637">
        <v>21</v>
      </c>
    </row>
    <row r="638" spans="1:13" x14ac:dyDescent="0.35">
      <c r="A638" t="s">
        <v>1246</v>
      </c>
      <c r="B638" t="s">
        <v>55</v>
      </c>
      <c r="C638" t="s">
        <v>569</v>
      </c>
      <c r="D638" t="s">
        <v>623</v>
      </c>
      <c r="E638" s="1">
        <v>45630</v>
      </c>
      <c r="F638" s="1">
        <v>45631</v>
      </c>
      <c r="G638" s="1">
        <v>45656</v>
      </c>
      <c r="H638" s="4">
        <f>IF(Claims_Cleaned[[#This Row],[processed_date]]="","",Claims_Cleaned[[#This Row],[processed_date]]-Claims_Cleaned[[#This Row],[submission_date]])</f>
        <v>25</v>
      </c>
      <c r="I638" s="4" t="str">
        <f>TEXT(Claims_Cleaned[[#This Row],[claim_date]],"mmm-yyyy")</f>
        <v>Dec-2024</v>
      </c>
      <c r="J638" t="s">
        <v>11</v>
      </c>
      <c r="K638">
        <v>1090.81</v>
      </c>
      <c r="L638" t="s">
        <v>683</v>
      </c>
      <c r="M638">
        <v>25</v>
      </c>
    </row>
    <row r="639" spans="1:13" x14ac:dyDescent="0.35">
      <c r="A639" t="s">
        <v>2344</v>
      </c>
      <c r="B639" t="s">
        <v>149</v>
      </c>
      <c r="C639" t="s">
        <v>567</v>
      </c>
      <c r="D639" t="s">
        <v>623</v>
      </c>
      <c r="E639" s="1">
        <v>44985</v>
      </c>
      <c r="F639" s="1">
        <v>44988</v>
      </c>
      <c r="G639" s="1">
        <v>45003</v>
      </c>
      <c r="H639" s="4">
        <f>IF(Claims_Cleaned[[#This Row],[processed_date]]="","",Claims_Cleaned[[#This Row],[processed_date]]-Claims_Cleaned[[#This Row],[submission_date]])</f>
        <v>15</v>
      </c>
      <c r="I639" s="4" t="str">
        <f>TEXT(Claims_Cleaned[[#This Row],[claim_date]],"mmm-yyyy")</f>
        <v>Feb-2023</v>
      </c>
      <c r="J639" t="s">
        <v>8</v>
      </c>
      <c r="K639">
        <v>1081.83</v>
      </c>
      <c r="L639" t="s">
        <v>683</v>
      </c>
      <c r="M639">
        <v>15</v>
      </c>
    </row>
    <row r="640" spans="1:13" x14ac:dyDescent="0.35">
      <c r="A640" t="s">
        <v>1053</v>
      </c>
      <c r="B640" t="s">
        <v>448</v>
      </c>
      <c r="C640" t="s">
        <v>609</v>
      </c>
      <c r="D640" t="s">
        <v>623</v>
      </c>
      <c r="E640" s="1">
        <v>45050</v>
      </c>
      <c r="F640" s="1">
        <v>45053</v>
      </c>
      <c r="G640" s="1">
        <v>45065</v>
      </c>
      <c r="H640" s="4">
        <f>IF(Claims_Cleaned[[#This Row],[processed_date]]="","",Claims_Cleaned[[#This Row],[processed_date]]-Claims_Cleaned[[#This Row],[submission_date]])</f>
        <v>12</v>
      </c>
      <c r="I640" s="4" t="str">
        <f>TEXT(Claims_Cleaned[[#This Row],[claim_date]],"mmm-yyyy")</f>
        <v>May-2023</v>
      </c>
      <c r="J640" t="s">
        <v>8</v>
      </c>
      <c r="K640">
        <v>1080.54</v>
      </c>
      <c r="L640" t="s">
        <v>683</v>
      </c>
      <c r="M640">
        <v>12</v>
      </c>
    </row>
    <row r="641" spans="1:13" x14ac:dyDescent="0.35">
      <c r="A641" t="s">
        <v>2642</v>
      </c>
      <c r="B641" t="s">
        <v>399</v>
      </c>
      <c r="C641" t="s">
        <v>581</v>
      </c>
      <c r="D641" t="s">
        <v>631</v>
      </c>
      <c r="E641" s="1">
        <v>45125</v>
      </c>
      <c r="F641" s="1">
        <v>45126</v>
      </c>
      <c r="G641" s="1"/>
      <c r="H641" s="4" t="str">
        <f>IF(Claims_Cleaned[[#This Row],[processed_date]]="","",Claims_Cleaned[[#This Row],[processed_date]]-Claims_Cleaned[[#This Row],[submission_date]])</f>
        <v/>
      </c>
      <c r="I641" s="4" t="str">
        <f>TEXT(Claims_Cleaned[[#This Row],[claim_date]],"mmm-yyyy")</f>
        <v>Jul-2023</v>
      </c>
      <c r="J641" t="s">
        <v>13</v>
      </c>
      <c r="K641">
        <v>1079.45</v>
      </c>
      <c r="L641" t="s">
        <v>689</v>
      </c>
    </row>
    <row r="642" spans="1:13" x14ac:dyDescent="0.35">
      <c r="A642" t="s">
        <v>2061</v>
      </c>
      <c r="B642" t="s">
        <v>38</v>
      </c>
      <c r="C642" t="s">
        <v>549</v>
      </c>
      <c r="D642" t="s">
        <v>631</v>
      </c>
      <c r="E642" s="1">
        <v>45035</v>
      </c>
      <c r="F642" s="1">
        <v>45036</v>
      </c>
      <c r="G642" s="1"/>
      <c r="H642" s="4" t="str">
        <f>IF(Claims_Cleaned[[#This Row],[processed_date]]="","",Claims_Cleaned[[#This Row],[processed_date]]-Claims_Cleaned[[#This Row],[submission_date]])</f>
        <v/>
      </c>
      <c r="I642" s="4" t="str">
        <f>TEXT(Claims_Cleaned[[#This Row],[claim_date]],"mmm-yyyy")</f>
        <v>Apr-2023</v>
      </c>
      <c r="J642" t="s">
        <v>8</v>
      </c>
      <c r="K642">
        <v>1076.92</v>
      </c>
      <c r="L642" t="s">
        <v>689</v>
      </c>
    </row>
    <row r="643" spans="1:13" x14ac:dyDescent="0.35">
      <c r="A643" t="s">
        <v>1796</v>
      </c>
      <c r="B643" t="s">
        <v>152</v>
      </c>
      <c r="C643" t="s">
        <v>577</v>
      </c>
      <c r="D643" t="s">
        <v>631</v>
      </c>
      <c r="E643" s="1">
        <v>45625</v>
      </c>
      <c r="F643" s="1">
        <v>45626</v>
      </c>
      <c r="G643" s="1">
        <v>45651</v>
      </c>
      <c r="H643" s="4">
        <f>IF(Claims_Cleaned[[#This Row],[processed_date]]="","",Claims_Cleaned[[#This Row],[processed_date]]-Claims_Cleaned[[#This Row],[submission_date]])</f>
        <v>25</v>
      </c>
      <c r="I643" s="4" t="str">
        <f>TEXT(Claims_Cleaned[[#This Row],[claim_date]],"mmm-yyyy")</f>
        <v>Nov-2024</v>
      </c>
      <c r="J643" t="s">
        <v>20</v>
      </c>
      <c r="K643">
        <v>1069.97</v>
      </c>
      <c r="L643" t="s">
        <v>683</v>
      </c>
      <c r="M643">
        <v>25</v>
      </c>
    </row>
    <row r="644" spans="1:13" x14ac:dyDescent="0.35">
      <c r="A644" t="s">
        <v>1641</v>
      </c>
      <c r="B644" t="s">
        <v>463</v>
      </c>
      <c r="C644" t="s">
        <v>603</v>
      </c>
      <c r="D644" t="s">
        <v>631</v>
      </c>
      <c r="E644" s="1">
        <v>45104</v>
      </c>
      <c r="F644" s="1">
        <v>45109</v>
      </c>
      <c r="G644" s="1">
        <v>45115</v>
      </c>
      <c r="H644" s="4">
        <f>IF(Claims_Cleaned[[#This Row],[processed_date]]="","",Claims_Cleaned[[#This Row],[processed_date]]-Claims_Cleaned[[#This Row],[submission_date]])</f>
        <v>6</v>
      </c>
      <c r="I644" s="4" t="str">
        <f>TEXT(Claims_Cleaned[[#This Row],[claim_date]],"mmm-yyyy")</f>
        <v>Jun-2023</v>
      </c>
      <c r="J644" t="s">
        <v>8</v>
      </c>
      <c r="K644">
        <v>1067.05</v>
      </c>
      <c r="L644" t="s">
        <v>683</v>
      </c>
      <c r="M644">
        <v>6</v>
      </c>
    </row>
    <row r="645" spans="1:13" x14ac:dyDescent="0.35">
      <c r="A645" t="s">
        <v>720</v>
      </c>
      <c r="B645" t="s">
        <v>225</v>
      </c>
      <c r="C645" t="s">
        <v>609</v>
      </c>
      <c r="D645" t="s">
        <v>631</v>
      </c>
      <c r="E645" s="1">
        <v>45624</v>
      </c>
      <c r="F645" s="1">
        <v>45628</v>
      </c>
      <c r="G645" s="1">
        <v>45648</v>
      </c>
      <c r="H645" s="4">
        <f>IF(Claims_Cleaned[[#This Row],[processed_date]]="","",Claims_Cleaned[[#This Row],[processed_date]]-Claims_Cleaned[[#This Row],[submission_date]])</f>
        <v>20</v>
      </c>
      <c r="I645" s="4" t="str">
        <f>TEXT(Claims_Cleaned[[#This Row],[claim_date]],"mmm-yyyy")</f>
        <v>Nov-2024</v>
      </c>
      <c r="J645" t="s">
        <v>8</v>
      </c>
      <c r="K645">
        <v>1065.9100000000001</v>
      </c>
      <c r="L645" t="s">
        <v>683</v>
      </c>
      <c r="M645">
        <v>20</v>
      </c>
    </row>
    <row r="646" spans="1:13" x14ac:dyDescent="0.35">
      <c r="A646" t="s">
        <v>2107</v>
      </c>
      <c r="B646" t="s">
        <v>457</v>
      </c>
      <c r="C646" t="s">
        <v>565</v>
      </c>
      <c r="D646" t="s">
        <v>631</v>
      </c>
      <c r="E646" s="1">
        <v>45441</v>
      </c>
      <c r="F646" s="1">
        <v>45444</v>
      </c>
      <c r="G646" s="1">
        <v>45459</v>
      </c>
      <c r="H646" s="4">
        <f>IF(Claims_Cleaned[[#This Row],[processed_date]]="","",Claims_Cleaned[[#This Row],[processed_date]]-Claims_Cleaned[[#This Row],[submission_date]])</f>
        <v>15</v>
      </c>
      <c r="I646" s="4" t="str">
        <f>TEXT(Claims_Cleaned[[#This Row],[claim_date]],"mmm-yyyy")</f>
        <v>May-2024</v>
      </c>
      <c r="J646" t="s">
        <v>11</v>
      </c>
      <c r="K646">
        <v>1062.1099999999999</v>
      </c>
      <c r="L646" t="s">
        <v>683</v>
      </c>
      <c r="M646">
        <v>15</v>
      </c>
    </row>
    <row r="647" spans="1:13" x14ac:dyDescent="0.35">
      <c r="A647" t="s">
        <v>1771</v>
      </c>
      <c r="B647" t="s">
        <v>470</v>
      </c>
      <c r="C647" t="s">
        <v>527</v>
      </c>
      <c r="D647" t="s">
        <v>631</v>
      </c>
      <c r="E647" s="1">
        <v>45324</v>
      </c>
      <c r="F647" s="1">
        <v>45325</v>
      </c>
      <c r="G647" s="1">
        <v>45329</v>
      </c>
      <c r="H647" s="4">
        <f>IF(Claims_Cleaned[[#This Row],[processed_date]]="","",Claims_Cleaned[[#This Row],[processed_date]]-Claims_Cleaned[[#This Row],[submission_date]])</f>
        <v>4</v>
      </c>
      <c r="I647" s="4" t="str">
        <f>TEXT(Claims_Cleaned[[#This Row],[claim_date]],"mmm-yyyy")</f>
        <v>Feb-2024</v>
      </c>
      <c r="J647" t="s">
        <v>11</v>
      </c>
      <c r="K647">
        <v>1058.31</v>
      </c>
      <c r="L647" t="s">
        <v>687</v>
      </c>
      <c r="M647">
        <v>4</v>
      </c>
    </row>
    <row r="648" spans="1:13" x14ac:dyDescent="0.35">
      <c r="A648" t="s">
        <v>2249</v>
      </c>
      <c r="B648" t="s">
        <v>421</v>
      </c>
      <c r="C648" t="s">
        <v>607</v>
      </c>
      <c r="D648" t="s">
        <v>631</v>
      </c>
      <c r="E648" s="1">
        <v>45209</v>
      </c>
      <c r="F648" s="1">
        <v>45212</v>
      </c>
      <c r="G648" s="1"/>
      <c r="H648" s="4" t="str">
        <f>IF(Claims_Cleaned[[#This Row],[processed_date]]="","",Claims_Cleaned[[#This Row],[processed_date]]-Claims_Cleaned[[#This Row],[submission_date]])</f>
        <v/>
      </c>
      <c r="I648" s="4" t="str">
        <f>TEXT(Claims_Cleaned[[#This Row],[claim_date]],"mmm-yyyy")</f>
        <v>Oct-2023</v>
      </c>
      <c r="J648" t="s">
        <v>8</v>
      </c>
      <c r="K648">
        <v>1053.46</v>
      </c>
      <c r="L648" t="s">
        <v>689</v>
      </c>
    </row>
    <row r="649" spans="1:13" x14ac:dyDescent="0.35">
      <c r="A649" t="s">
        <v>1218</v>
      </c>
      <c r="B649" t="s">
        <v>343</v>
      </c>
      <c r="C649" t="s">
        <v>585</v>
      </c>
      <c r="D649" t="s">
        <v>631</v>
      </c>
      <c r="E649" s="1">
        <v>45217</v>
      </c>
      <c r="F649" s="1">
        <v>45219</v>
      </c>
      <c r="G649" s="1">
        <v>45222</v>
      </c>
      <c r="H649" s="4">
        <f>IF(Claims_Cleaned[[#This Row],[processed_date]]="","",Claims_Cleaned[[#This Row],[processed_date]]-Claims_Cleaned[[#This Row],[submission_date]])</f>
        <v>3</v>
      </c>
      <c r="I649" s="4" t="str">
        <f>TEXT(Claims_Cleaned[[#This Row],[claim_date]],"mmm-yyyy")</f>
        <v>Oct-2023</v>
      </c>
      <c r="J649" t="s">
        <v>8</v>
      </c>
      <c r="K649">
        <v>1043.6199999999999</v>
      </c>
      <c r="L649" t="s">
        <v>683</v>
      </c>
      <c r="M649">
        <v>3</v>
      </c>
    </row>
    <row r="650" spans="1:13" x14ac:dyDescent="0.35">
      <c r="A650" t="s">
        <v>1517</v>
      </c>
      <c r="B650" t="s">
        <v>89</v>
      </c>
      <c r="C650" t="s">
        <v>546</v>
      </c>
      <c r="D650" t="s">
        <v>631</v>
      </c>
      <c r="E650" s="1">
        <v>45073</v>
      </c>
      <c r="F650" s="1">
        <v>45077</v>
      </c>
      <c r="G650" s="1">
        <v>45093</v>
      </c>
      <c r="H650" s="4">
        <f>IF(Claims_Cleaned[[#This Row],[processed_date]]="","",Claims_Cleaned[[#This Row],[processed_date]]-Claims_Cleaned[[#This Row],[submission_date]])</f>
        <v>16</v>
      </c>
      <c r="I650" s="4" t="str">
        <f>TEXT(Claims_Cleaned[[#This Row],[claim_date]],"mmm-yyyy")</f>
        <v>May-2023</v>
      </c>
      <c r="J650" t="s">
        <v>11</v>
      </c>
      <c r="K650">
        <v>1032.8699999999999</v>
      </c>
      <c r="L650" t="s">
        <v>683</v>
      </c>
      <c r="M650">
        <v>16</v>
      </c>
    </row>
    <row r="651" spans="1:13" x14ac:dyDescent="0.35">
      <c r="A651" t="s">
        <v>1050</v>
      </c>
      <c r="B651" t="s">
        <v>459</v>
      </c>
      <c r="C651" t="s">
        <v>559</v>
      </c>
      <c r="D651" t="s">
        <v>631</v>
      </c>
      <c r="E651" s="1">
        <v>45380</v>
      </c>
      <c r="F651" s="1">
        <v>45382</v>
      </c>
      <c r="G651" s="1">
        <v>45406</v>
      </c>
      <c r="H651" s="4">
        <f>IF(Claims_Cleaned[[#This Row],[processed_date]]="","",Claims_Cleaned[[#This Row],[processed_date]]-Claims_Cleaned[[#This Row],[submission_date]])</f>
        <v>24</v>
      </c>
      <c r="I651" s="4" t="str">
        <f>TEXT(Claims_Cleaned[[#This Row],[claim_date]],"mmm-yyyy")</f>
        <v>Mar-2024</v>
      </c>
      <c r="J651" t="s">
        <v>25</v>
      </c>
      <c r="K651">
        <v>1032.23</v>
      </c>
      <c r="L651" t="s">
        <v>683</v>
      </c>
      <c r="M651">
        <v>24</v>
      </c>
    </row>
    <row r="652" spans="1:13" x14ac:dyDescent="0.35">
      <c r="A652" t="s">
        <v>1792</v>
      </c>
      <c r="B652" t="s">
        <v>210</v>
      </c>
      <c r="C652" t="s">
        <v>601</v>
      </c>
      <c r="D652" t="s">
        <v>631</v>
      </c>
      <c r="E652" s="1">
        <v>45624</v>
      </c>
      <c r="F652" s="1">
        <v>45627</v>
      </c>
      <c r="G652" s="1">
        <v>45644</v>
      </c>
      <c r="H652" s="4">
        <f>IF(Claims_Cleaned[[#This Row],[processed_date]]="","",Claims_Cleaned[[#This Row],[processed_date]]-Claims_Cleaned[[#This Row],[submission_date]])</f>
        <v>17</v>
      </c>
      <c r="I652" s="4" t="str">
        <f>TEXT(Claims_Cleaned[[#This Row],[claim_date]],"mmm-yyyy")</f>
        <v>Nov-2024</v>
      </c>
      <c r="J652" t="s">
        <v>20</v>
      </c>
      <c r="K652">
        <v>1029.31</v>
      </c>
      <c r="L652" t="s">
        <v>683</v>
      </c>
      <c r="M652">
        <v>17</v>
      </c>
    </row>
    <row r="653" spans="1:13" x14ac:dyDescent="0.35">
      <c r="A653" t="s">
        <v>1762</v>
      </c>
      <c r="B653" t="s">
        <v>161</v>
      </c>
      <c r="C653" t="s">
        <v>563</v>
      </c>
      <c r="D653" t="s">
        <v>631</v>
      </c>
      <c r="E653" s="1">
        <v>45576</v>
      </c>
      <c r="F653" s="1">
        <v>45581</v>
      </c>
      <c r="G653" s="1">
        <v>45603</v>
      </c>
      <c r="H653" s="4">
        <f>IF(Claims_Cleaned[[#This Row],[processed_date]]="","",Claims_Cleaned[[#This Row],[processed_date]]-Claims_Cleaned[[#This Row],[submission_date]])</f>
        <v>22</v>
      </c>
      <c r="I653" s="4" t="str">
        <f>TEXT(Claims_Cleaned[[#This Row],[claim_date]],"mmm-yyyy")</f>
        <v>Oct-2024</v>
      </c>
      <c r="J653" t="s">
        <v>13</v>
      </c>
      <c r="K653">
        <v>1028.3599999999999</v>
      </c>
      <c r="L653" t="s">
        <v>683</v>
      </c>
      <c r="M653">
        <v>22</v>
      </c>
    </row>
    <row r="654" spans="1:13" x14ac:dyDescent="0.35">
      <c r="A654" t="s">
        <v>2232</v>
      </c>
      <c r="B654" t="s">
        <v>180</v>
      </c>
      <c r="C654" t="s">
        <v>601</v>
      </c>
      <c r="D654" t="s">
        <v>631</v>
      </c>
      <c r="E654" s="1">
        <v>45239</v>
      </c>
      <c r="F654" s="1">
        <v>45242</v>
      </c>
      <c r="G654" s="1">
        <v>45254</v>
      </c>
      <c r="H654" s="4">
        <f>IF(Claims_Cleaned[[#This Row],[processed_date]]="","",Claims_Cleaned[[#This Row],[processed_date]]-Claims_Cleaned[[#This Row],[submission_date]])</f>
        <v>12</v>
      </c>
      <c r="I654" s="4" t="str">
        <f>TEXT(Claims_Cleaned[[#This Row],[claim_date]],"mmm-yyyy")</f>
        <v>Nov-2023</v>
      </c>
      <c r="J654" t="s">
        <v>11</v>
      </c>
      <c r="K654">
        <v>1021.48</v>
      </c>
      <c r="L654" t="s">
        <v>683</v>
      </c>
      <c r="M654">
        <v>12</v>
      </c>
    </row>
    <row r="655" spans="1:13" x14ac:dyDescent="0.35">
      <c r="A655" t="s">
        <v>1071</v>
      </c>
      <c r="B655" t="s">
        <v>223</v>
      </c>
      <c r="C655" t="s">
        <v>585</v>
      </c>
      <c r="D655" t="s">
        <v>631</v>
      </c>
      <c r="E655" s="1">
        <v>45319</v>
      </c>
      <c r="F655" s="1">
        <v>45321</v>
      </c>
      <c r="G655" s="1">
        <v>45324</v>
      </c>
      <c r="H655" s="4">
        <f>IF(Claims_Cleaned[[#This Row],[processed_date]]="","",Claims_Cleaned[[#This Row],[processed_date]]-Claims_Cleaned[[#This Row],[submission_date]])</f>
        <v>3</v>
      </c>
      <c r="I655" s="4" t="str">
        <f>TEXT(Claims_Cleaned[[#This Row],[claim_date]],"mmm-yyyy")</f>
        <v>Jan-2024</v>
      </c>
      <c r="J655" t="s">
        <v>8</v>
      </c>
      <c r="K655">
        <v>1020.43</v>
      </c>
      <c r="L655" t="s">
        <v>683</v>
      </c>
      <c r="M655">
        <v>3</v>
      </c>
    </row>
    <row r="656" spans="1:13" x14ac:dyDescent="0.35">
      <c r="A656" t="s">
        <v>2183</v>
      </c>
      <c r="B656" t="s">
        <v>182</v>
      </c>
      <c r="C656" t="s">
        <v>601</v>
      </c>
      <c r="D656" t="s">
        <v>631</v>
      </c>
      <c r="E656" s="1">
        <v>45441</v>
      </c>
      <c r="F656" s="1">
        <v>45442</v>
      </c>
      <c r="G656" s="1">
        <v>45450</v>
      </c>
      <c r="H656" s="4">
        <f>IF(Claims_Cleaned[[#This Row],[processed_date]]="","",Claims_Cleaned[[#This Row],[processed_date]]-Claims_Cleaned[[#This Row],[submission_date]])</f>
        <v>8</v>
      </c>
      <c r="I656" s="4" t="str">
        <f>TEXT(Claims_Cleaned[[#This Row],[claim_date]],"mmm-yyyy")</f>
        <v>May-2024</v>
      </c>
      <c r="J656" t="s">
        <v>11</v>
      </c>
      <c r="K656">
        <v>1019.2</v>
      </c>
      <c r="L656" t="s">
        <v>687</v>
      </c>
      <c r="M656">
        <v>8</v>
      </c>
    </row>
    <row r="657" spans="1:13" x14ac:dyDescent="0.35">
      <c r="A657" t="s">
        <v>1132</v>
      </c>
      <c r="B657" t="s">
        <v>29</v>
      </c>
      <c r="C657" t="s">
        <v>589</v>
      </c>
      <c r="D657" t="s">
        <v>631</v>
      </c>
      <c r="E657" s="1">
        <v>44994</v>
      </c>
      <c r="F657" s="1">
        <v>44995</v>
      </c>
      <c r="G657" s="1">
        <v>45010</v>
      </c>
      <c r="H657" s="4">
        <f>IF(Claims_Cleaned[[#This Row],[processed_date]]="","",Claims_Cleaned[[#This Row],[processed_date]]-Claims_Cleaned[[#This Row],[submission_date]])</f>
        <v>15</v>
      </c>
      <c r="I657" s="4" t="str">
        <f>TEXT(Claims_Cleaned[[#This Row],[claim_date]],"mmm-yyyy")</f>
        <v>Mar-2023</v>
      </c>
      <c r="J657" t="s">
        <v>8</v>
      </c>
      <c r="K657">
        <v>1005.76</v>
      </c>
      <c r="L657" t="s">
        <v>683</v>
      </c>
      <c r="M657">
        <v>15</v>
      </c>
    </row>
    <row r="658" spans="1:13" x14ac:dyDescent="0.35">
      <c r="A658" t="s">
        <v>1739</v>
      </c>
      <c r="B658" t="s">
        <v>60</v>
      </c>
      <c r="C658" t="s">
        <v>599</v>
      </c>
      <c r="D658" t="s">
        <v>631</v>
      </c>
      <c r="E658" s="1">
        <v>45099</v>
      </c>
      <c r="F658" s="1">
        <v>45101</v>
      </c>
      <c r="G658" s="1">
        <v>45111</v>
      </c>
      <c r="H658" s="4">
        <f>IF(Claims_Cleaned[[#This Row],[processed_date]]="","",Claims_Cleaned[[#This Row],[processed_date]]-Claims_Cleaned[[#This Row],[submission_date]])</f>
        <v>10</v>
      </c>
      <c r="I658" s="4" t="str">
        <f>TEXT(Claims_Cleaned[[#This Row],[claim_date]],"mmm-yyyy")</f>
        <v>Jun-2023</v>
      </c>
      <c r="J658" t="s">
        <v>11</v>
      </c>
      <c r="K658">
        <v>1002.62</v>
      </c>
      <c r="L658" t="s">
        <v>683</v>
      </c>
      <c r="M658">
        <v>10</v>
      </c>
    </row>
    <row r="659" spans="1:13" x14ac:dyDescent="0.35">
      <c r="A659" t="s">
        <v>1423</v>
      </c>
      <c r="B659" t="s">
        <v>358</v>
      </c>
      <c r="C659" t="s">
        <v>597</v>
      </c>
      <c r="D659" t="s">
        <v>631</v>
      </c>
      <c r="E659" s="1">
        <v>45035</v>
      </c>
      <c r="F659" s="1">
        <v>45039</v>
      </c>
      <c r="G659" s="1">
        <v>45047</v>
      </c>
      <c r="H659" s="4">
        <f>IF(Claims_Cleaned[[#This Row],[processed_date]]="","",Claims_Cleaned[[#This Row],[processed_date]]-Claims_Cleaned[[#This Row],[submission_date]])</f>
        <v>8</v>
      </c>
      <c r="I659" s="4" t="str">
        <f>TEXT(Claims_Cleaned[[#This Row],[claim_date]],"mmm-yyyy")</f>
        <v>Apr-2023</v>
      </c>
      <c r="J659" t="s">
        <v>11</v>
      </c>
      <c r="K659">
        <v>999.95</v>
      </c>
      <c r="L659" t="s">
        <v>683</v>
      </c>
      <c r="M659">
        <v>8</v>
      </c>
    </row>
    <row r="660" spans="1:13" x14ac:dyDescent="0.35">
      <c r="A660" t="s">
        <v>2598</v>
      </c>
      <c r="B660" t="s">
        <v>450</v>
      </c>
      <c r="C660" t="s">
        <v>534</v>
      </c>
      <c r="D660" t="s">
        <v>631</v>
      </c>
      <c r="E660" s="1">
        <v>45019</v>
      </c>
      <c r="F660" s="1">
        <v>45023</v>
      </c>
      <c r="G660" s="1">
        <v>45053</v>
      </c>
      <c r="H660" s="4">
        <f>IF(Claims_Cleaned[[#This Row],[processed_date]]="","",Claims_Cleaned[[#This Row],[processed_date]]-Claims_Cleaned[[#This Row],[submission_date]])</f>
        <v>30</v>
      </c>
      <c r="I660" s="4" t="str">
        <f>TEXT(Claims_Cleaned[[#This Row],[claim_date]],"mmm-yyyy")</f>
        <v>Apr-2023</v>
      </c>
      <c r="J660" t="s">
        <v>20</v>
      </c>
      <c r="K660">
        <v>999.34</v>
      </c>
      <c r="L660" t="s">
        <v>683</v>
      </c>
      <c r="M660">
        <v>30</v>
      </c>
    </row>
    <row r="661" spans="1:13" x14ac:dyDescent="0.35">
      <c r="A661" t="s">
        <v>1859</v>
      </c>
      <c r="B661" t="s">
        <v>155</v>
      </c>
      <c r="C661" t="s">
        <v>549</v>
      </c>
      <c r="D661" t="s">
        <v>631</v>
      </c>
      <c r="E661" s="1">
        <v>45288</v>
      </c>
      <c r="F661" s="1">
        <v>45290</v>
      </c>
      <c r="G661" s="1">
        <v>45300</v>
      </c>
      <c r="H661" s="4">
        <f>IF(Claims_Cleaned[[#This Row],[processed_date]]="","",Claims_Cleaned[[#This Row],[processed_date]]-Claims_Cleaned[[#This Row],[submission_date]])</f>
        <v>10</v>
      </c>
      <c r="I661" s="4" t="str">
        <f>TEXT(Claims_Cleaned[[#This Row],[claim_date]],"mmm-yyyy")</f>
        <v>Dec-2023</v>
      </c>
      <c r="J661" t="s">
        <v>20</v>
      </c>
      <c r="K661">
        <v>997.44</v>
      </c>
      <c r="L661" t="s">
        <v>687</v>
      </c>
      <c r="M661">
        <v>10</v>
      </c>
    </row>
    <row r="662" spans="1:13" x14ac:dyDescent="0.35">
      <c r="A662" t="s">
        <v>1014</v>
      </c>
      <c r="B662" t="s">
        <v>106</v>
      </c>
      <c r="C662" t="s">
        <v>603</v>
      </c>
      <c r="D662" t="s">
        <v>649</v>
      </c>
      <c r="E662" s="1">
        <v>45376</v>
      </c>
      <c r="F662" s="1">
        <v>45380</v>
      </c>
      <c r="G662" s="1">
        <v>45395</v>
      </c>
      <c r="H662" s="4">
        <f>IF(Claims_Cleaned[[#This Row],[processed_date]]="","",Claims_Cleaned[[#This Row],[processed_date]]-Claims_Cleaned[[#This Row],[submission_date]])</f>
        <v>15</v>
      </c>
      <c r="I662" s="4" t="str">
        <f>TEXT(Claims_Cleaned[[#This Row],[claim_date]],"mmm-yyyy")</f>
        <v>Mar-2024</v>
      </c>
      <c r="J662" t="s">
        <v>11</v>
      </c>
      <c r="K662">
        <v>996.98</v>
      </c>
      <c r="L662" t="s">
        <v>683</v>
      </c>
      <c r="M662">
        <v>15</v>
      </c>
    </row>
    <row r="663" spans="1:13" x14ac:dyDescent="0.35">
      <c r="A663" t="s">
        <v>2168</v>
      </c>
      <c r="B663" t="s">
        <v>211</v>
      </c>
      <c r="C663" t="s">
        <v>575</v>
      </c>
      <c r="D663" t="s">
        <v>631</v>
      </c>
      <c r="E663" s="1">
        <v>45093</v>
      </c>
      <c r="F663" s="1">
        <v>45097</v>
      </c>
      <c r="G663" s="1">
        <v>45108</v>
      </c>
      <c r="H663" s="4">
        <f>IF(Claims_Cleaned[[#This Row],[processed_date]]="","",Claims_Cleaned[[#This Row],[processed_date]]-Claims_Cleaned[[#This Row],[submission_date]])</f>
        <v>11</v>
      </c>
      <c r="I663" s="4" t="str">
        <f>TEXT(Claims_Cleaned[[#This Row],[claim_date]],"mmm-yyyy")</f>
        <v>Jun-2023</v>
      </c>
      <c r="J663" t="s">
        <v>11</v>
      </c>
      <c r="K663">
        <v>995.68</v>
      </c>
      <c r="L663" t="s">
        <v>683</v>
      </c>
      <c r="M663">
        <v>11</v>
      </c>
    </row>
    <row r="664" spans="1:13" x14ac:dyDescent="0.35">
      <c r="A664" t="s">
        <v>1104</v>
      </c>
      <c r="B664" t="s">
        <v>68</v>
      </c>
      <c r="C664" t="s">
        <v>599</v>
      </c>
      <c r="D664" t="s">
        <v>649</v>
      </c>
      <c r="E664" s="1">
        <v>45639</v>
      </c>
      <c r="F664" s="1">
        <v>45644</v>
      </c>
      <c r="G664" s="1"/>
      <c r="H664" s="4" t="str">
        <f>IF(Claims_Cleaned[[#This Row],[processed_date]]="","",Claims_Cleaned[[#This Row],[processed_date]]-Claims_Cleaned[[#This Row],[submission_date]])</f>
        <v/>
      </c>
      <c r="I664" s="4" t="str">
        <f>TEXT(Claims_Cleaned[[#This Row],[claim_date]],"mmm-yyyy")</f>
        <v>Dec-2024</v>
      </c>
      <c r="J664" t="s">
        <v>25</v>
      </c>
      <c r="K664">
        <v>995.41</v>
      </c>
      <c r="L664" t="s">
        <v>689</v>
      </c>
    </row>
    <row r="665" spans="1:13" x14ac:dyDescent="0.35">
      <c r="A665" t="s">
        <v>2308</v>
      </c>
      <c r="B665" t="s">
        <v>31</v>
      </c>
      <c r="C665" t="s">
        <v>611</v>
      </c>
      <c r="D665" t="s">
        <v>631</v>
      </c>
      <c r="E665" s="1">
        <v>45313</v>
      </c>
      <c r="F665" s="1">
        <v>45314</v>
      </c>
      <c r="G665" s="1"/>
      <c r="H665" s="4" t="str">
        <f>IF(Claims_Cleaned[[#This Row],[processed_date]]="","",Claims_Cleaned[[#This Row],[processed_date]]-Claims_Cleaned[[#This Row],[submission_date]])</f>
        <v/>
      </c>
      <c r="I665" s="4" t="str">
        <f>TEXT(Claims_Cleaned[[#This Row],[claim_date]],"mmm-yyyy")</f>
        <v>Jan-2024</v>
      </c>
      <c r="J665" t="s">
        <v>11</v>
      </c>
      <c r="K665">
        <v>994.03</v>
      </c>
      <c r="L665" t="s">
        <v>689</v>
      </c>
    </row>
    <row r="666" spans="1:13" x14ac:dyDescent="0.35">
      <c r="A666" t="s">
        <v>2225</v>
      </c>
      <c r="B666" t="s">
        <v>292</v>
      </c>
      <c r="C666" t="s">
        <v>607</v>
      </c>
      <c r="D666" t="s">
        <v>649</v>
      </c>
      <c r="E666" s="1">
        <v>45021</v>
      </c>
      <c r="F666" s="1">
        <v>45022</v>
      </c>
      <c r="G666" s="1">
        <v>45052</v>
      </c>
      <c r="H666" s="4">
        <f>IF(Claims_Cleaned[[#This Row],[processed_date]]="","",Claims_Cleaned[[#This Row],[processed_date]]-Claims_Cleaned[[#This Row],[submission_date]])</f>
        <v>30</v>
      </c>
      <c r="I666" s="4" t="str">
        <f>TEXT(Claims_Cleaned[[#This Row],[claim_date]],"mmm-yyyy")</f>
        <v>Apr-2023</v>
      </c>
      <c r="J666" t="s">
        <v>13</v>
      </c>
      <c r="K666">
        <v>988.19</v>
      </c>
      <c r="L666" t="s">
        <v>683</v>
      </c>
      <c r="M666">
        <v>30</v>
      </c>
    </row>
    <row r="667" spans="1:13" x14ac:dyDescent="0.35">
      <c r="A667" t="s">
        <v>2135</v>
      </c>
      <c r="B667" t="s">
        <v>391</v>
      </c>
      <c r="C667" t="s">
        <v>549</v>
      </c>
      <c r="D667" t="s">
        <v>631</v>
      </c>
      <c r="E667" s="1">
        <v>45198</v>
      </c>
      <c r="F667" s="1">
        <v>45201</v>
      </c>
      <c r="G667" s="1">
        <v>45226</v>
      </c>
      <c r="H667" s="4">
        <f>IF(Claims_Cleaned[[#This Row],[processed_date]]="","",Claims_Cleaned[[#This Row],[processed_date]]-Claims_Cleaned[[#This Row],[submission_date]])</f>
        <v>25</v>
      </c>
      <c r="I667" s="4" t="str">
        <f>TEXT(Claims_Cleaned[[#This Row],[claim_date]],"mmm-yyyy")</f>
        <v>Sep-2023</v>
      </c>
      <c r="J667" t="s">
        <v>11</v>
      </c>
      <c r="K667">
        <v>984.56</v>
      </c>
      <c r="L667" t="s">
        <v>683</v>
      </c>
      <c r="M667">
        <v>25</v>
      </c>
    </row>
    <row r="668" spans="1:13" x14ac:dyDescent="0.35">
      <c r="A668" t="s">
        <v>1261</v>
      </c>
      <c r="B668" t="s">
        <v>147</v>
      </c>
      <c r="C668" t="s">
        <v>563</v>
      </c>
      <c r="D668" t="s">
        <v>631</v>
      </c>
      <c r="E668" s="1">
        <v>45194</v>
      </c>
      <c r="F668" s="1">
        <v>45198</v>
      </c>
      <c r="G668" s="1">
        <v>45223</v>
      </c>
      <c r="H668" s="4">
        <f>IF(Claims_Cleaned[[#This Row],[processed_date]]="","",Claims_Cleaned[[#This Row],[processed_date]]-Claims_Cleaned[[#This Row],[submission_date]])</f>
        <v>25</v>
      </c>
      <c r="I668" s="4" t="str">
        <f>TEXT(Claims_Cleaned[[#This Row],[claim_date]],"mmm-yyyy")</f>
        <v>Sep-2023</v>
      </c>
      <c r="J668" t="s">
        <v>8</v>
      </c>
      <c r="K668">
        <v>982.91</v>
      </c>
      <c r="L668" t="s">
        <v>683</v>
      </c>
      <c r="M668">
        <v>25</v>
      </c>
    </row>
    <row r="669" spans="1:13" x14ac:dyDescent="0.35">
      <c r="A669" t="s">
        <v>1658</v>
      </c>
      <c r="B669" t="s">
        <v>47</v>
      </c>
      <c r="C669" t="s">
        <v>543</v>
      </c>
      <c r="D669" t="s">
        <v>649</v>
      </c>
      <c r="E669" s="1">
        <v>45001</v>
      </c>
      <c r="F669" s="1">
        <v>45002</v>
      </c>
      <c r="G669" s="1">
        <v>45014</v>
      </c>
      <c r="H669" s="4">
        <f>IF(Claims_Cleaned[[#This Row],[processed_date]]="","",Claims_Cleaned[[#This Row],[processed_date]]-Claims_Cleaned[[#This Row],[submission_date]])</f>
        <v>12</v>
      </c>
      <c r="I669" s="4" t="str">
        <f>TEXT(Claims_Cleaned[[#This Row],[claim_date]],"mmm-yyyy")</f>
        <v>Mar-2023</v>
      </c>
      <c r="J669" t="s">
        <v>20</v>
      </c>
      <c r="K669">
        <v>982.12</v>
      </c>
      <c r="L669" t="s">
        <v>687</v>
      </c>
      <c r="M669">
        <v>12</v>
      </c>
    </row>
    <row r="670" spans="1:13" x14ac:dyDescent="0.35">
      <c r="A670" t="s">
        <v>1200</v>
      </c>
      <c r="B670" t="s">
        <v>353</v>
      </c>
      <c r="C670" t="s">
        <v>527</v>
      </c>
      <c r="D670" t="s">
        <v>631</v>
      </c>
      <c r="E670" s="1">
        <v>45188</v>
      </c>
      <c r="F670" s="1">
        <v>45189</v>
      </c>
      <c r="G670" s="1">
        <v>45204</v>
      </c>
      <c r="H670" s="4">
        <f>IF(Claims_Cleaned[[#This Row],[processed_date]]="","",Claims_Cleaned[[#This Row],[processed_date]]-Claims_Cleaned[[#This Row],[submission_date]])</f>
        <v>15</v>
      </c>
      <c r="I670" s="4" t="str">
        <f>TEXT(Claims_Cleaned[[#This Row],[claim_date]],"mmm-yyyy")</f>
        <v>Sep-2023</v>
      </c>
      <c r="J670" t="s">
        <v>20</v>
      </c>
      <c r="K670">
        <v>980.85</v>
      </c>
      <c r="L670" t="s">
        <v>683</v>
      </c>
      <c r="M670">
        <v>15</v>
      </c>
    </row>
    <row r="671" spans="1:13" x14ac:dyDescent="0.35">
      <c r="A671" t="s">
        <v>2583</v>
      </c>
      <c r="B671" t="s">
        <v>443</v>
      </c>
      <c r="C671" t="s">
        <v>609</v>
      </c>
      <c r="D671" t="s">
        <v>631</v>
      </c>
      <c r="E671" s="1">
        <v>45510</v>
      </c>
      <c r="F671" s="1">
        <v>45511</v>
      </c>
      <c r="G671" s="1">
        <v>45516</v>
      </c>
      <c r="H671" s="4">
        <f>IF(Claims_Cleaned[[#This Row],[processed_date]]="","",Claims_Cleaned[[#This Row],[processed_date]]-Claims_Cleaned[[#This Row],[submission_date]])</f>
        <v>5</v>
      </c>
      <c r="I671" s="4" t="str">
        <f>TEXT(Claims_Cleaned[[#This Row],[claim_date]],"mmm-yyyy")</f>
        <v>Aug-2024</v>
      </c>
      <c r="J671" t="s">
        <v>11</v>
      </c>
      <c r="K671">
        <v>980.11</v>
      </c>
      <c r="L671" t="s">
        <v>683</v>
      </c>
      <c r="M671">
        <v>5</v>
      </c>
    </row>
    <row r="672" spans="1:13" x14ac:dyDescent="0.35">
      <c r="A672" t="s">
        <v>1721</v>
      </c>
      <c r="B672" t="s">
        <v>319</v>
      </c>
      <c r="C672" t="s">
        <v>591</v>
      </c>
      <c r="D672" t="s">
        <v>649</v>
      </c>
      <c r="E672" s="1">
        <v>45229</v>
      </c>
      <c r="F672" s="1">
        <v>45231</v>
      </c>
      <c r="G672" s="1">
        <v>45237</v>
      </c>
      <c r="H672" s="4">
        <f>IF(Claims_Cleaned[[#This Row],[processed_date]]="","",Claims_Cleaned[[#This Row],[processed_date]]-Claims_Cleaned[[#This Row],[submission_date]])</f>
        <v>6</v>
      </c>
      <c r="I672" s="4" t="str">
        <f>TEXT(Claims_Cleaned[[#This Row],[claim_date]],"mmm-yyyy")</f>
        <v>Oct-2023</v>
      </c>
      <c r="J672" t="s">
        <v>8</v>
      </c>
      <c r="K672">
        <v>978.01</v>
      </c>
      <c r="L672" t="s">
        <v>683</v>
      </c>
      <c r="M672">
        <v>6</v>
      </c>
    </row>
    <row r="673" spans="1:13" x14ac:dyDescent="0.35">
      <c r="A673" t="s">
        <v>2309</v>
      </c>
      <c r="B673" t="s">
        <v>60</v>
      </c>
      <c r="C673" t="s">
        <v>589</v>
      </c>
      <c r="D673" t="s">
        <v>649</v>
      </c>
      <c r="E673" s="1">
        <v>45024</v>
      </c>
      <c r="F673" s="1">
        <v>45029</v>
      </c>
      <c r="G673" s="1">
        <v>45044</v>
      </c>
      <c r="H673" s="4">
        <f>IF(Claims_Cleaned[[#This Row],[processed_date]]="","",Claims_Cleaned[[#This Row],[processed_date]]-Claims_Cleaned[[#This Row],[submission_date]])</f>
        <v>15</v>
      </c>
      <c r="I673" s="4" t="str">
        <f>TEXT(Claims_Cleaned[[#This Row],[claim_date]],"mmm-yyyy")</f>
        <v>Apr-2023</v>
      </c>
      <c r="J673" t="s">
        <v>11</v>
      </c>
      <c r="K673">
        <v>977.66</v>
      </c>
      <c r="L673" t="s">
        <v>683</v>
      </c>
      <c r="M673">
        <v>15</v>
      </c>
    </row>
    <row r="674" spans="1:13" x14ac:dyDescent="0.35">
      <c r="A674" t="s">
        <v>1499</v>
      </c>
      <c r="B674" t="s">
        <v>427</v>
      </c>
      <c r="C674" t="s">
        <v>555</v>
      </c>
      <c r="D674" t="s">
        <v>631</v>
      </c>
      <c r="E674" s="1">
        <v>45333</v>
      </c>
      <c r="F674" s="1">
        <v>45336</v>
      </c>
      <c r="G674" s="1">
        <v>45361</v>
      </c>
      <c r="H674" s="4">
        <f>IF(Claims_Cleaned[[#This Row],[processed_date]]="","",Claims_Cleaned[[#This Row],[processed_date]]-Claims_Cleaned[[#This Row],[submission_date]])</f>
        <v>25</v>
      </c>
      <c r="I674" s="4" t="str">
        <f>TEXT(Claims_Cleaned[[#This Row],[claim_date]],"mmm-yyyy")</f>
        <v>Feb-2024</v>
      </c>
      <c r="J674" t="s">
        <v>20</v>
      </c>
      <c r="K674">
        <v>975.2</v>
      </c>
      <c r="L674" t="s">
        <v>683</v>
      </c>
      <c r="M674">
        <v>25</v>
      </c>
    </row>
    <row r="675" spans="1:13" x14ac:dyDescent="0.35">
      <c r="A675" t="s">
        <v>2594</v>
      </c>
      <c r="B675" t="s">
        <v>269</v>
      </c>
      <c r="C675" t="s">
        <v>555</v>
      </c>
      <c r="D675" t="s">
        <v>649</v>
      </c>
      <c r="E675" s="1">
        <v>45375</v>
      </c>
      <c r="F675" s="1">
        <v>45380</v>
      </c>
      <c r="G675" s="1">
        <v>45398</v>
      </c>
      <c r="H675" s="4">
        <f>IF(Claims_Cleaned[[#This Row],[processed_date]]="","",Claims_Cleaned[[#This Row],[processed_date]]-Claims_Cleaned[[#This Row],[submission_date]])</f>
        <v>18</v>
      </c>
      <c r="I675" s="4" t="str">
        <f>TEXT(Claims_Cleaned[[#This Row],[claim_date]],"mmm-yyyy")</f>
        <v>Mar-2024</v>
      </c>
      <c r="J675" t="s">
        <v>20</v>
      </c>
      <c r="K675">
        <v>970.62</v>
      </c>
      <c r="L675" t="s">
        <v>683</v>
      </c>
      <c r="M675">
        <v>18</v>
      </c>
    </row>
    <row r="676" spans="1:13" x14ac:dyDescent="0.35">
      <c r="A676" t="s">
        <v>1064</v>
      </c>
      <c r="B676" t="s">
        <v>250</v>
      </c>
      <c r="C676" t="s">
        <v>531</v>
      </c>
      <c r="D676" t="s">
        <v>649</v>
      </c>
      <c r="E676" s="1">
        <v>45239</v>
      </c>
      <c r="F676" s="1">
        <v>45240</v>
      </c>
      <c r="G676" s="1">
        <v>45264</v>
      </c>
      <c r="H676" s="4">
        <f>IF(Claims_Cleaned[[#This Row],[processed_date]]="","",Claims_Cleaned[[#This Row],[processed_date]]-Claims_Cleaned[[#This Row],[submission_date]])</f>
        <v>24</v>
      </c>
      <c r="I676" s="4" t="str">
        <f>TEXT(Claims_Cleaned[[#This Row],[claim_date]],"mmm-yyyy")</f>
        <v>Nov-2023</v>
      </c>
      <c r="J676" t="s">
        <v>11</v>
      </c>
      <c r="K676">
        <v>970.53</v>
      </c>
      <c r="L676" t="s">
        <v>683</v>
      </c>
      <c r="M676">
        <v>24</v>
      </c>
    </row>
    <row r="677" spans="1:13" x14ac:dyDescent="0.35">
      <c r="A677" t="s">
        <v>1325</v>
      </c>
      <c r="B677" t="s">
        <v>125</v>
      </c>
      <c r="C677" t="s">
        <v>527</v>
      </c>
      <c r="D677" t="s">
        <v>631</v>
      </c>
      <c r="E677" s="1">
        <v>45149</v>
      </c>
      <c r="F677" s="1">
        <v>45154</v>
      </c>
      <c r="G677" s="1"/>
      <c r="H677" s="4" t="str">
        <f>IF(Claims_Cleaned[[#This Row],[processed_date]]="","",Claims_Cleaned[[#This Row],[processed_date]]-Claims_Cleaned[[#This Row],[submission_date]])</f>
        <v/>
      </c>
      <c r="I677" s="4" t="str">
        <f>TEXT(Claims_Cleaned[[#This Row],[claim_date]],"mmm-yyyy")</f>
        <v>Aug-2023</v>
      </c>
      <c r="J677" t="s">
        <v>11</v>
      </c>
      <c r="K677">
        <v>966.13</v>
      </c>
      <c r="L677" t="s">
        <v>689</v>
      </c>
    </row>
    <row r="678" spans="1:13" x14ac:dyDescent="0.35">
      <c r="A678" t="s">
        <v>943</v>
      </c>
      <c r="B678" t="s">
        <v>405</v>
      </c>
      <c r="C678" t="s">
        <v>531</v>
      </c>
      <c r="D678" t="s">
        <v>649</v>
      </c>
      <c r="E678" s="1">
        <v>45512</v>
      </c>
      <c r="F678" s="1">
        <v>45517</v>
      </c>
      <c r="G678" s="1">
        <v>45525</v>
      </c>
      <c r="H678" s="4">
        <f>IF(Claims_Cleaned[[#This Row],[processed_date]]="","",Claims_Cleaned[[#This Row],[processed_date]]-Claims_Cleaned[[#This Row],[submission_date]])</f>
        <v>8</v>
      </c>
      <c r="I678" s="4" t="str">
        <f>TEXT(Claims_Cleaned[[#This Row],[claim_date]],"mmm-yyyy")</f>
        <v>Aug-2024</v>
      </c>
      <c r="J678" t="s">
        <v>13</v>
      </c>
      <c r="K678">
        <v>963.82</v>
      </c>
      <c r="L678" t="s">
        <v>687</v>
      </c>
      <c r="M678">
        <v>8</v>
      </c>
    </row>
    <row r="679" spans="1:13" x14ac:dyDescent="0.35">
      <c r="A679" t="s">
        <v>1990</v>
      </c>
      <c r="B679" t="s">
        <v>59</v>
      </c>
      <c r="C679" t="s">
        <v>595</v>
      </c>
      <c r="D679" t="s">
        <v>649</v>
      </c>
      <c r="E679" s="1">
        <v>45081</v>
      </c>
      <c r="F679" s="1">
        <v>45083</v>
      </c>
      <c r="G679" s="1"/>
      <c r="H679" s="4" t="str">
        <f>IF(Claims_Cleaned[[#This Row],[processed_date]]="","",Claims_Cleaned[[#This Row],[processed_date]]-Claims_Cleaned[[#This Row],[submission_date]])</f>
        <v/>
      </c>
      <c r="I679" s="4" t="str">
        <f>TEXT(Claims_Cleaned[[#This Row],[claim_date]],"mmm-yyyy")</f>
        <v>Jun-2023</v>
      </c>
      <c r="J679" t="s">
        <v>25</v>
      </c>
      <c r="K679">
        <v>956.93</v>
      </c>
      <c r="L679" t="s">
        <v>689</v>
      </c>
    </row>
    <row r="680" spans="1:13" x14ac:dyDescent="0.35">
      <c r="A680" t="s">
        <v>882</v>
      </c>
      <c r="B680" t="s">
        <v>285</v>
      </c>
      <c r="C680" t="s">
        <v>565</v>
      </c>
      <c r="D680" t="s">
        <v>631</v>
      </c>
      <c r="E680" s="1">
        <v>45420</v>
      </c>
      <c r="F680" s="1">
        <v>45422</v>
      </c>
      <c r="G680" s="1"/>
      <c r="H680" s="4" t="str">
        <f>IF(Claims_Cleaned[[#This Row],[processed_date]]="","",Claims_Cleaned[[#This Row],[processed_date]]-Claims_Cleaned[[#This Row],[submission_date]])</f>
        <v/>
      </c>
      <c r="I680" s="4" t="str">
        <f>TEXT(Claims_Cleaned[[#This Row],[claim_date]],"mmm-yyyy")</f>
        <v>May-2024</v>
      </c>
      <c r="J680" t="s">
        <v>13</v>
      </c>
      <c r="K680">
        <v>950.71</v>
      </c>
      <c r="L680" t="s">
        <v>689</v>
      </c>
    </row>
    <row r="681" spans="1:13" x14ac:dyDescent="0.35">
      <c r="A681" t="s">
        <v>2389</v>
      </c>
      <c r="B681" t="s">
        <v>45</v>
      </c>
      <c r="C681" t="s">
        <v>553</v>
      </c>
      <c r="D681" t="s">
        <v>631</v>
      </c>
      <c r="E681" s="1">
        <v>45570</v>
      </c>
      <c r="F681" s="1">
        <v>45572</v>
      </c>
      <c r="G681" s="1">
        <v>45579</v>
      </c>
      <c r="H681" s="4">
        <f>IF(Claims_Cleaned[[#This Row],[processed_date]]="","",Claims_Cleaned[[#This Row],[processed_date]]-Claims_Cleaned[[#This Row],[submission_date]])</f>
        <v>7</v>
      </c>
      <c r="I681" s="4" t="str">
        <f>TEXT(Claims_Cleaned[[#This Row],[claim_date]],"mmm-yyyy")</f>
        <v>Oct-2024</v>
      </c>
      <c r="J681" t="s">
        <v>11</v>
      </c>
      <c r="K681">
        <v>949.79</v>
      </c>
      <c r="L681" t="s">
        <v>683</v>
      </c>
      <c r="M681">
        <v>7</v>
      </c>
    </row>
    <row r="682" spans="1:13" x14ac:dyDescent="0.35">
      <c r="A682" t="s">
        <v>2459</v>
      </c>
      <c r="B682" t="s">
        <v>406</v>
      </c>
      <c r="C682" t="s">
        <v>555</v>
      </c>
      <c r="D682" t="s">
        <v>649</v>
      </c>
      <c r="E682" s="1">
        <v>45178</v>
      </c>
      <c r="F682" s="1">
        <v>45182</v>
      </c>
      <c r="G682" s="1"/>
      <c r="H682" s="4" t="str">
        <f>IF(Claims_Cleaned[[#This Row],[processed_date]]="","",Claims_Cleaned[[#This Row],[processed_date]]-Claims_Cleaned[[#This Row],[submission_date]])</f>
        <v/>
      </c>
      <c r="I682" s="4" t="str">
        <f>TEXT(Claims_Cleaned[[#This Row],[claim_date]],"mmm-yyyy")</f>
        <v>Sep-2023</v>
      </c>
      <c r="J682" t="s">
        <v>11</v>
      </c>
      <c r="K682">
        <v>949.04</v>
      </c>
      <c r="L682" t="s">
        <v>689</v>
      </c>
    </row>
    <row r="683" spans="1:13" x14ac:dyDescent="0.35">
      <c r="A683" t="s">
        <v>863</v>
      </c>
      <c r="B683" t="s">
        <v>192</v>
      </c>
      <c r="C683" t="s">
        <v>585</v>
      </c>
      <c r="D683" t="s">
        <v>649</v>
      </c>
      <c r="E683" s="1">
        <v>45555</v>
      </c>
      <c r="F683" s="1">
        <v>45558</v>
      </c>
      <c r="G683" s="1">
        <v>45575</v>
      </c>
      <c r="H683" s="4">
        <f>IF(Claims_Cleaned[[#This Row],[processed_date]]="","",Claims_Cleaned[[#This Row],[processed_date]]-Claims_Cleaned[[#This Row],[submission_date]])</f>
        <v>17</v>
      </c>
      <c r="I683" s="4" t="str">
        <f>TEXT(Claims_Cleaned[[#This Row],[claim_date]],"mmm-yyyy")</f>
        <v>Sep-2024</v>
      </c>
      <c r="J683" t="s">
        <v>11</v>
      </c>
      <c r="K683">
        <v>946.87</v>
      </c>
      <c r="L683" t="s">
        <v>683</v>
      </c>
      <c r="M683">
        <v>17</v>
      </c>
    </row>
    <row r="684" spans="1:13" x14ac:dyDescent="0.35">
      <c r="A684" t="s">
        <v>2561</v>
      </c>
      <c r="B684" t="s">
        <v>226</v>
      </c>
      <c r="C684" t="s">
        <v>591</v>
      </c>
      <c r="D684" t="s">
        <v>631</v>
      </c>
      <c r="E684" s="1">
        <v>45564</v>
      </c>
      <c r="F684" s="1">
        <v>45567</v>
      </c>
      <c r="G684" s="1">
        <v>45581</v>
      </c>
      <c r="H684" s="4">
        <f>IF(Claims_Cleaned[[#This Row],[processed_date]]="","",Claims_Cleaned[[#This Row],[processed_date]]-Claims_Cleaned[[#This Row],[submission_date]])</f>
        <v>14</v>
      </c>
      <c r="I684" s="4" t="str">
        <f>TEXT(Claims_Cleaned[[#This Row],[claim_date]],"mmm-yyyy")</f>
        <v>Sep-2024</v>
      </c>
      <c r="J684" t="s">
        <v>20</v>
      </c>
      <c r="K684">
        <v>946.39</v>
      </c>
      <c r="L684" t="s">
        <v>687</v>
      </c>
      <c r="M684">
        <v>14</v>
      </c>
    </row>
    <row r="685" spans="1:13" x14ac:dyDescent="0.35">
      <c r="A685" t="s">
        <v>1804</v>
      </c>
      <c r="B685" t="s">
        <v>466</v>
      </c>
      <c r="C685" t="s">
        <v>579</v>
      </c>
      <c r="D685" t="s">
        <v>631</v>
      </c>
      <c r="E685" s="1">
        <v>44959</v>
      </c>
      <c r="F685" s="1">
        <v>44961</v>
      </c>
      <c r="G685" s="1">
        <v>44980</v>
      </c>
      <c r="H685" s="4">
        <f>IF(Claims_Cleaned[[#This Row],[processed_date]]="","",Claims_Cleaned[[#This Row],[processed_date]]-Claims_Cleaned[[#This Row],[submission_date]])</f>
        <v>19</v>
      </c>
      <c r="I685" s="4" t="str">
        <f>TEXT(Claims_Cleaned[[#This Row],[claim_date]],"mmm-yyyy")</f>
        <v>Feb-2023</v>
      </c>
      <c r="J685" t="s">
        <v>20</v>
      </c>
      <c r="K685">
        <v>946.02</v>
      </c>
      <c r="L685" t="s">
        <v>683</v>
      </c>
      <c r="M685">
        <v>19</v>
      </c>
    </row>
    <row r="686" spans="1:13" x14ac:dyDescent="0.35">
      <c r="A686" t="s">
        <v>1284</v>
      </c>
      <c r="B686" t="s">
        <v>331</v>
      </c>
      <c r="C686" t="s">
        <v>537</v>
      </c>
      <c r="D686" t="s">
        <v>631</v>
      </c>
      <c r="E686" s="1">
        <v>45411</v>
      </c>
      <c r="F686" s="1">
        <v>45416</v>
      </c>
      <c r="G686" s="1"/>
      <c r="H686" s="4" t="str">
        <f>IF(Claims_Cleaned[[#This Row],[processed_date]]="","",Claims_Cleaned[[#This Row],[processed_date]]-Claims_Cleaned[[#This Row],[submission_date]])</f>
        <v/>
      </c>
      <c r="I686" s="4" t="str">
        <f>TEXT(Claims_Cleaned[[#This Row],[claim_date]],"mmm-yyyy")</f>
        <v>Apr-2024</v>
      </c>
      <c r="J686" t="s">
        <v>8</v>
      </c>
      <c r="K686">
        <v>945.93</v>
      </c>
      <c r="L686" t="s">
        <v>689</v>
      </c>
    </row>
    <row r="687" spans="1:13" x14ac:dyDescent="0.35">
      <c r="A687" t="s">
        <v>1248</v>
      </c>
      <c r="B687" t="s">
        <v>297</v>
      </c>
      <c r="C687" t="s">
        <v>601</v>
      </c>
      <c r="D687" t="s">
        <v>649</v>
      </c>
      <c r="E687" s="1">
        <v>45585</v>
      </c>
      <c r="F687" s="1">
        <v>45586</v>
      </c>
      <c r="G687" s="1">
        <v>45598</v>
      </c>
      <c r="H687" s="4">
        <f>IF(Claims_Cleaned[[#This Row],[processed_date]]="","",Claims_Cleaned[[#This Row],[processed_date]]-Claims_Cleaned[[#This Row],[submission_date]])</f>
        <v>12</v>
      </c>
      <c r="I687" s="4" t="str">
        <f>TEXT(Claims_Cleaned[[#This Row],[claim_date]],"mmm-yyyy")</f>
        <v>Oct-2024</v>
      </c>
      <c r="J687" t="s">
        <v>8</v>
      </c>
      <c r="K687">
        <v>944.93</v>
      </c>
      <c r="L687" t="s">
        <v>687</v>
      </c>
      <c r="M687">
        <v>12</v>
      </c>
    </row>
    <row r="688" spans="1:13" x14ac:dyDescent="0.35">
      <c r="A688" t="s">
        <v>1493</v>
      </c>
      <c r="B688" t="s">
        <v>488</v>
      </c>
      <c r="C688" t="s">
        <v>599</v>
      </c>
      <c r="D688" t="s">
        <v>649</v>
      </c>
      <c r="E688" s="1">
        <v>45621</v>
      </c>
      <c r="F688" s="1">
        <v>45622</v>
      </c>
      <c r="G688" s="1">
        <v>45651</v>
      </c>
      <c r="H688" s="4">
        <f>IF(Claims_Cleaned[[#This Row],[processed_date]]="","",Claims_Cleaned[[#This Row],[processed_date]]-Claims_Cleaned[[#This Row],[submission_date]])</f>
        <v>29</v>
      </c>
      <c r="I688" s="4" t="str">
        <f>TEXT(Claims_Cleaned[[#This Row],[claim_date]],"mmm-yyyy")</f>
        <v>Nov-2024</v>
      </c>
      <c r="J688" t="s">
        <v>25</v>
      </c>
      <c r="K688">
        <v>944.38</v>
      </c>
      <c r="L688" t="s">
        <v>687</v>
      </c>
      <c r="M688">
        <v>29</v>
      </c>
    </row>
    <row r="689" spans="1:13" x14ac:dyDescent="0.35">
      <c r="A689" t="s">
        <v>700</v>
      </c>
      <c r="B689" t="s">
        <v>175</v>
      </c>
      <c r="C689" t="s">
        <v>575</v>
      </c>
      <c r="D689" t="s">
        <v>631</v>
      </c>
      <c r="E689" s="1">
        <v>44946</v>
      </c>
      <c r="F689" s="1">
        <v>44949</v>
      </c>
      <c r="G689" s="1">
        <v>44969</v>
      </c>
      <c r="H689" s="4">
        <f>IF(Claims_Cleaned[[#This Row],[processed_date]]="","",Claims_Cleaned[[#This Row],[processed_date]]-Claims_Cleaned[[#This Row],[submission_date]])</f>
        <v>20</v>
      </c>
      <c r="I689" s="4" t="str">
        <f>TEXT(Claims_Cleaned[[#This Row],[claim_date]],"mmm-yyyy")</f>
        <v>Jan-2023</v>
      </c>
      <c r="J689" t="s">
        <v>20</v>
      </c>
      <c r="K689">
        <v>943.36</v>
      </c>
      <c r="L689" t="s">
        <v>683</v>
      </c>
      <c r="M689">
        <v>20</v>
      </c>
    </row>
    <row r="690" spans="1:13" x14ac:dyDescent="0.35">
      <c r="A690" t="s">
        <v>1390</v>
      </c>
      <c r="B690" t="s">
        <v>281</v>
      </c>
      <c r="C690" t="s">
        <v>567</v>
      </c>
      <c r="D690" t="s">
        <v>631</v>
      </c>
      <c r="E690" s="1">
        <v>45270</v>
      </c>
      <c r="F690" s="1">
        <v>45275</v>
      </c>
      <c r="G690" s="1">
        <v>45292</v>
      </c>
      <c r="H690" s="4">
        <f>IF(Claims_Cleaned[[#This Row],[processed_date]]="","",Claims_Cleaned[[#This Row],[processed_date]]-Claims_Cleaned[[#This Row],[submission_date]])</f>
        <v>17</v>
      </c>
      <c r="I690" s="4" t="str">
        <f>TEXT(Claims_Cleaned[[#This Row],[claim_date]],"mmm-yyyy")</f>
        <v>Dec-2023</v>
      </c>
      <c r="J690" t="s">
        <v>11</v>
      </c>
      <c r="K690">
        <v>939.45</v>
      </c>
      <c r="L690" t="s">
        <v>683</v>
      </c>
      <c r="M690">
        <v>17</v>
      </c>
    </row>
    <row r="691" spans="1:13" x14ac:dyDescent="0.35">
      <c r="A691" t="s">
        <v>2611</v>
      </c>
      <c r="B691" t="s">
        <v>63</v>
      </c>
      <c r="C691" t="s">
        <v>563</v>
      </c>
      <c r="D691" t="s">
        <v>631</v>
      </c>
      <c r="E691" s="1">
        <v>45251</v>
      </c>
      <c r="F691" s="1">
        <v>45253</v>
      </c>
      <c r="G691" s="1">
        <v>45259</v>
      </c>
      <c r="H691" s="4">
        <f>IF(Claims_Cleaned[[#This Row],[processed_date]]="","",Claims_Cleaned[[#This Row],[processed_date]]-Claims_Cleaned[[#This Row],[submission_date]])</f>
        <v>6</v>
      </c>
      <c r="I691" s="4" t="str">
        <f>TEXT(Claims_Cleaned[[#This Row],[claim_date]],"mmm-yyyy")</f>
        <v>Nov-2023</v>
      </c>
      <c r="J691" t="s">
        <v>25</v>
      </c>
      <c r="K691">
        <v>937.55</v>
      </c>
      <c r="L691" t="s">
        <v>687</v>
      </c>
      <c r="M691">
        <v>6</v>
      </c>
    </row>
    <row r="692" spans="1:13" x14ac:dyDescent="0.35">
      <c r="A692" t="s">
        <v>2684</v>
      </c>
      <c r="B692" t="s">
        <v>503</v>
      </c>
      <c r="C692" t="s">
        <v>589</v>
      </c>
      <c r="D692" t="s">
        <v>631</v>
      </c>
      <c r="E692" s="1">
        <v>45498</v>
      </c>
      <c r="F692" s="1">
        <v>45502</v>
      </c>
      <c r="G692" s="1">
        <v>45514</v>
      </c>
      <c r="H692" s="4">
        <f>IF(Claims_Cleaned[[#This Row],[processed_date]]="","",Claims_Cleaned[[#This Row],[processed_date]]-Claims_Cleaned[[#This Row],[submission_date]])</f>
        <v>12</v>
      </c>
      <c r="I692" s="4" t="str">
        <f>TEXT(Claims_Cleaned[[#This Row],[claim_date]],"mmm-yyyy")</f>
        <v>Jul-2024</v>
      </c>
      <c r="J692" t="s">
        <v>20</v>
      </c>
      <c r="K692">
        <v>936.75</v>
      </c>
      <c r="L692" t="s">
        <v>683</v>
      </c>
      <c r="M692">
        <v>12</v>
      </c>
    </row>
    <row r="693" spans="1:13" x14ac:dyDescent="0.35">
      <c r="A693" t="s">
        <v>1749</v>
      </c>
      <c r="B693" t="s">
        <v>435</v>
      </c>
      <c r="C693" t="s">
        <v>605</v>
      </c>
      <c r="D693" t="s">
        <v>631</v>
      </c>
      <c r="E693" s="1">
        <v>45414</v>
      </c>
      <c r="F693" s="1">
        <v>45415</v>
      </c>
      <c r="G693" s="1">
        <v>45422</v>
      </c>
      <c r="H693" s="4">
        <f>IF(Claims_Cleaned[[#This Row],[processed_date]]="","",Claims_Cleaned[[#This Row],[processed_date]]-Claims_Cleaned[[#This Row],[submission_date]])</f>
        <v>7</v>
      </c>
      <c r="I693" s="4" t="str">
        <f>TEXT(Claims_Cleaned[[#This Row],[claim_date]],"mmm-yyyy")</f>
        <v>May-2024</v>
      </c>
      <c r="J693" t="s">
        <v>20</v>
      </c>
      <c r="K693">
        <v>935.4</v>
      </c>
      <c r="L693" t="s">
        <v>683</v>
      </c>
      <c r="M693">
        <v>7</v>
      </c>
    </row>
    <row r="694" spans="1:13" x14ac:dyDescent="0.35">
      <c r="A694" t="s">
        <v>1402</v>
      </c>
      <c r="B694" t="s">
        <v>284</v>
      </c>
      <c r="C694" t="s">
        <v>546</v>
      </c>
      <c r="D694" t="s">
        <v>649</v>
      </c>
      <c r="E694" s="1">
        <v>45188</v>
      </c>
      <c r="F694" s="1">
        <v>45193</v>
      </c>
      <c r="G694" s="1">
        <v>45202</v>
      </c>
      <c r="H694" s="4">
        <f>IF(Claims_Cleaned[[#This Row],[processed_date]]="","",Claims_Cleaned[[#This Row],[processed_date]]-Claims_Cleaned[[#This Row],[submission_date]])</f>
        <v>9</v>
      </c>
      <c r="I694" s="4" t="str">
        <f>TEXT(Claims_Cleaned[[#This Row],[claim_date]],"mmm-yyyy")</f>
        <v>Sep-2023</v>
      </c>
      <c r="J694" t="s">
        <v>8</v>
      </c>
      <c r="K694">
        <v>935.39</v>
      </c>
      <c r="L694" t="s">
        <v>683</v>
      </c>
      <c r="M694">
        <v>9</v>
      </c>
    </row>
    <row r="695" spans="1:13" x14ac:dyDescent="0.35">
      <c r="A695" t="s">
        <v>1156</v>
      </c>
      <c r="B695" t="s">
        <v>206</v>
      </c>
      <c r="C695" t="s">
        <v>611</v>
      </c>
      <c r="D695" t="s">
        <v>649</v>
      </c>
      <c r="E695" s="1">
        <v>45610</v>
      </c>
      <c r="F695" s="1">
        <v>45612</v>
      </c>
      <c r="G695" s="1">
        <v>45616</v>
      </c>
      <c r="H695" s="4">
        <f>IF(Claims_Cleaned[[#This Row],[processed_date]]="","",Claims_Cleaned[[#This Row],[processed_date]]-Claims_Cleaned[[#This Row],[submission_date]])</f>
        <v>4</v>
      </c>
      <c r="I695" s="4" t="str">
        <f>TEXT(Claims_Cleaned[[#This Row],[claim_date]],"mmm-yyyy")</f>
        <v>Nov-2024</v>
      </c>
      <c r="J695" t="s">
        <v>13</v>
      </c>
      <c r="K695">
        <v>935.07</v>
      </c>
      <c r="L695" t="s">
        <v>683</v>
      </c>
      <c r="M695">
        <v>4</v>
      </c>
    </row>
    <row r="696" spans="1:13" x14ac:dyDescent="0.35">
      <c r="A696" t="s">
        <v>2451</v>
      </c>
      <c r="B696" t="s">
        <v>58</v>
      </c>
      <c r="C696" t="s">
        <v>609</v>
      </c>
      <c r="D696" t="s">
        <v>649</v>
      </c>
      <c r="E696" s="1">
        <v>45371</v>
      </c>
      <c r="F696" s="1">
        <v>45376</v>
      </c>
      <c r="G696" s="1">
        <v>45391</v>
      </c>
      <c r="H696" s="4">
        <f>IF(Claims_Cleaned[[#This Row],[processed_date]]="","",Claims_Cleaned[[#This Row],[processed_date]]-Claims_Cleaned[[#This Row],[submission_date]])</f>
        <v>15</v>
      </c>
      <c r="I696" s="4" t="str">
        <f>TEXT(Claims_Cleaned[[#This Row],[claim_date]],"mmm-yyyy")</f>
        <v>Mar-2024</v>
      </c>
      <c r="J696" t="s">
        <v>8</v>
      </c>
      <c r="K696">
        <v>931.36</v>
      </c>
      <c r="L696" t="s">
        <v>683</v>
      </c>
      <c r="M696">
        <v>15</v>
      </c>
    </row>
    <row r="697" spans="1:13" x14ac:dyDescent="0.35">
      <c r="A697" t="s">
        <v>1752</v>
      </c>
      <c r="B697" t="s">
        <v>116</v>
      </c>
      <c r="C697" t="s">
        <v>607</v>
      </c>
      <c r="D697" t="s">
        <v>658</v>
      </c>
      <c r="E697" s="1">
        <v>45282</v>
      </c>
      <c r="F697" s="1">
        <v>45286</v>
      </c>
      <c r="G697" s="1">
        <v>45306</v>
      </c>
      <c r="H697" s="4">
        <f>IF(Claims_Cleaned[[#This Row],[processed_date]]="","",Claims_Cleaned[[#This Row],[processed_date]]-Claims_Cleaned[[#This Row],[submission_date]])</f>
        <v>20</v>
      </c>
      <c r="I697" s="4" t="str">
        <f>TEXT(Claims_Cleaned[[#This Row],[claim_date]],"mmm-yyyy")</f>
        <v>Dec-2023</v>
      </c>
      <c r="J697" t="s">
        <v>13</v>
      </c>
      <c r="K697">
        <v>931.21</v>
      </c>
      <c r="L697" t="s">
        <v>683</v>
      </c>
      <c r="M697">
        <v>20</v>
      </c>
    </row>
    <row r="698" spans="1:13" x14ac:dyDescent="0.35">
      <c r="A698" t="s">
        <v>2125</v>
      </c>
      <c r="B698" t="s">
        <v>160</v>
      </c>
      <c r="C698" t="s">
        <v>549</v>
      </c>
      <c r="D698" t="s">
        <v>631</v>
      </c>
      <c r="E698" s="1">
        <v>45422</v>
      </c>
      <c r="F698" s="1">
        <v>45424</v>
      </c>
      <c r="G698" s="1">
        <v>45444</v>
      </c>
      <c r="H698" s="4">
        <f>IF(Claims_Cleaned[[#This Row],[processed_date]]="","",Claims_Cleaned[[#This Row],[processed_date]]-Claims_Cleaned[[#This Row],[submission_date]])</f>
        <v>20</v>
      </c>
      <c r="I698" s="4" t="str">
        <f>TEXT(Claims_Cleaned[[#This Row],[claim_date]],"mmm-yyyy")</f>
        <v>May-2024</v>
      </c>
      <c r="J698" t="s">
        <v>20</v>
      </c>
      <c r="K698">
        <v>927.01</v>
      </c>
      <c r="L698" t="s">
        <v>683</v>
      </c>
      <c r="M698">
        <v>20</v>
      </c>
    </row>
    <row r="699" spans="1:13" x14ac:dyDescent="0.35">
      <c r="A699" t="s">
        <v>2667</v>
      </c>
      <c r="B699" t="s">
        <v>134</v>
      </c>
      <c r="C699" t="s">
        <v>531</v>
      </c>
      <c r="D699" t="s">
        <v>649</v>
      </c>
      <c r="E699" s="1">
        <v>45611</v>
      </c>
      <c r="F699" s="1">
        <v>45616</v>
      </c>
      <c r="G699" s="1"/>
      <c r="H699" s="4" t="str">
        <f>IF(Claims_Cleaned[[#This Row],[processed_date]]="","",Claims_Cleaned[[#This Row],[processed_date]]-Claims_Cleaned[[#This Row],[submission_date]])</f>
        <v/>
      </c>
      <c r="I699" s="4" t="str">
        <f>TEXT(Claims_Cleaned[[#This Row],[claim_date]],"mmm-yyyy")</f>
        <v>Nov-2024</v>
      </c>
      <c r="J699" t="s">
        <v>11</v>
      </c>
      <c r="K699">
        <v>926.86</v>
      </c>
      <c r="L699" t="s">
        <v>689</v>
      </c>
    </row>
    <row r="700" spans="1:13" x14ac:dyDescent="0.35">
      <c r="A700" t="s">
        <v>1690</v>
      </c>
      <c r="B700" t="s">
        <v>161</v>
      </c>
      <c r="C700" t="s">
        <v>561</v>
      </c>
      <c r="D700" t="s">
        <v>649</v>
      </c>
      <c r="E700" s="1">
        <v>45494</v>
      </c>
      <c r="F700" s="1">
        <v>45497</v>
      </c>
      <c r="G700" s="1">
        <v>45503</v>
      </c>
      <c r="H700" s="4">
        <f>IF(Claims_Cleaned[[#This Row],[processed_date]]="","",Claims_Cleaned[[#This Row],[processed_date]]-Claims_Cleaned[[#This Row],[submission_date]])</f>
        <v>6</v>
      </c>
      <c r="I700" s="4" t="str">
        <f>TEXT(Claims_Cleaned[[#This Row],[claim_date]],"mmm-yyyy")</f>
        <v>Jul-2024</v>
      </c>
      <c r="J700" t="s">
        <v>13</v>
      </c>
      <c r="K700">
        <v>925.35</v>
      </c>
      <c r="L700" t="s">
        <v>683</v>
      </c>
      <c r="M700">
        <v>6</v>
      </c>
    </row>
    <row r="701" spans="1:13" x14ac:dyDescent="0.35">
      <c r="A701" t="s">
        <v>1533</v>
      </c>
      <c r="B701" t="s">
        <v>179</v>
      </c>
      <c r="C701" t="s">
        <v>559</v>
      </c>
      <c r="D701" t="s">
        <v>658</v>
      </c>
      <c r="E701" s="1">
        <v>45246</v>
      </c>
      <c r="F701" s="1">
        <v>45249</v>
      </c>
      <c r="G701" s="1">
        <v>45265</v>
      </c>
      <c r="H701" s="4">
        <f>IF(Claims_Cleaned[[#This Row],[processed_date]]="","",Claims_Cleaned[[#This Row],[processed_date]]-Claims_Cleaned[[#This Row],[submission_date]])</f>
        <v>16</v>
      </c>
      <c r="I701" s="4" t="str">
        <f>TEXT(Claims_Cleaned[[#This Row],[claim_date]],"mmm-yyyy")</f>
        <v>Nov-2023</v>
      </c>
      <c r="J701" t="s">
        <v>11</v>
      </c>
      <c r="K701">
        <v>924.02</v>
      </c>
      <c r="L701" t="s">
        <v>683</v>
      </c>
      <c r="M701">
        <v>16</v>
      </c>
    </row>
    <row r="702" spans="1:13" x14ac:dyDescent="0.35">
      <c r="A702" t="s">
        <v>828</v>
      </c>
      <c r="B702" t="s">
        <v>79</v>
      </c>
      <c r="C702" t="s">
        <v>583</v>
      </c>
      <c r="D702" t="s">
        <v>658</v>
      </c>
      <c r="E702" s="1">
        <v>45176</v>
      </c>
      <c r="F702" s="1">
        <v>45178</v>
      </c>
      <c r="G702" s="1">
        <v>45194</v>
      </c>
      <c r="H702" s="4">
        <f>IF(Claims_Cleaned[[#This Row],[processed_date]]="","",Claims_Cleaned[[#This Row],[processed_date]]-Claims_Cleaned[[#This Row],[submission_date]])</f>
        <v>16</v>
      </c>
      <c r="I702" s="4" t="str">
        <f>TEXT(Claims_Cleaned[[#This Row],[claim_date]],"mmm-yyyy")</f>
        <v>Sep-2023</v>
      </c>
      <c r="J702" t="s">
        <v>11</v>
      </c>
      <c r="K702">
        <v>923.27</v>
      </c>
      <c r="L702" t="s">
        <v>683</v>
      </c>
      <c r="M702">
        <v>16</v>
      </c>
    </row>
    <row r="703" spans="1:13" x14ac:dyDescent="0.35">
      <c r="A703" t="s">
        <v>2196</v>
      </c>
      <c r="B703" t="s">
        <v>58</v>
      </c>
      <c r="C703" t="s">
        <v>591</v>
      </c>
      <c r="D703" t="s">
        <v>649</v>
      </c>
      <c r="E703" s="1">
        <v>45054</v>
      </c>
      <c r="F703" s="1">
        <v>45059</v>
      </c>
      <c r="G703" s="1">
        <v>45067</v>
      </c>
      <c r="H703" s="4">
        <f>IF(Claims_Cleaned[[#This Row],[processed_date]]="","",Claims_Cleaned[[#This Row],[processed_date]]-Claims_Cleaned[[#This Row],[submission_date]])</f>
        <v>8</v>
      </c>
      <c r="I703" s="4" t="str">
        <f>TEXT(Claims_Cleaned[[#This Row],[claim_date]],"mmm-yyyy")</f>
        <v>May-2023</v>
      </c>
      <c r="J703" t="s">
        <v>8</v>
      </c>
      <c r="K703">
        <v>922.84</v>
      </c>
      <c r="L703" t="s">
        <v>683</v>
      </c>
      <c r="M703">
        <v>8</v>
      </c>
    </row>
    <row r="704" spans="1:13" x14ac:dyDescent="0.35">
      <c r="A704" t="s">
        <v>811</v>
      </c>
      <c r="B704" t="s">
        <v>479</v>
      </c>
      <c r="C704" t="s">
        <v>601</v>
      </c>
      <c r="D704" t="s">
        <v>658</v>
      </c>
      <c r="E704" s="1">
        <v>45268</v>
      </c>
      <c r="F704" s="1">
        <v>45269</v>
      </c>
      <c r="G704" s="1">
        <v>45291</v>
      </c>
      <c r="H704" s="4">
        <f>IF(Claims_Cleaned[[#This Row],[processed_date]]="","",Claims_Cleaned[[#This Row],[processed_date]]-Claims_Cleaned[[#This Row],[submission_date]])</f>
        <v>22</v>
      </c>
      <c r="I704" s="4" t="str">
        <f>TEXT(Claims_Cleaned[[#This Row],[claim_date]],"mmm-yyyy")</f>
        <v>Dec-2023</v>
      </c>
      <c r="J704" t="s">
        <v>20</v>
      </c>
      <c r="K704">
        <v>922.81</v>
      </c>
      <c r="L704" t="s">
        <v>683</v>
      </c>
      <c r="M704">
        <v>22</v>
      </c>
    </row>
    <row r="705" spans="1:13" x14ac:dyDescent="0.35">
      <c r="A705" t="s">
        <v>1807</v>
      </c>
      <c r="B705" t="s">
        <v>380</v>
      </c>
      <c r="C705" t="s">
        <v>593</v>
      </c>
      <c r="D705" t="s">
        <v>658</v>
      </c>
      <c r="E705" s="1">
        <v>45564</v>
      </c>
      <c r="F705" s="1">
        <v>45567</v>
      </c>
      <c r="G705" s="1">
        <v>45575</v>
      </c>
      <c r="H705" s="4">
        <f>IF(Claims_Cleaned[[#This Row],[processed_date]]="","",Claims_Cleaned[[#This Row],[processed_date]]-Claims_Cleaned[[#This Row],[submission_date]])</f>
        <v>8</v>
      </c>
      <c r="I705" s="4" t="str">
        <f>TEXT(Claims_Cleaned[[#This Row],[claim_date]],"mmm-yyyy")</f>
        <v>Sep-2024</v>
      </c>
      <c r="J705" t="s">
        <v>8</v>
      </c>
      <c r="K705">
        <v>922</v>
      </c>
      <c r="L705" t="s">
        <v>683</v>
      </c>
      <c r="M705">
        <v>8</v>
      </c>
    </row>
    <row r="706" spans="1:13" x14ac:dyDescent="0.35">
      <c r="A706" t="s">
        <v>1034</v>
      </c>
      <c r="B706" t="s">
        <v>45</v>
      </c>
      <c r="C706" t="s">
        <v>537</v>
      </c>
      <c r="D706" t="s">
        <v>649</v>
      </c>
      <c r="E706" s="1">
        <v>45240</v>
      </c>
      <c r="F706" s="1">
        <v>45242</v>
      </c>
      <c r="G706" s="1">
        <v>45260</v>
      </c>
      <c r="H706" s="4">
        <f>IF(Claims_Cleaned[[#This Row],[processed_date]]="","",Claims_Cleaned[[#This Row],[processed_date]]-Claims_Cleaned[[#This Row],[submission_date]])</f>
        <v>18</v>
      </c>
      <c r="I706" s="4" t="str">
        <f>TEXT(Claims_Cleaned[[#This Row],[claim_date]],"mmm-yyyy")</f>
        <v>Nov-2023</v>
      </c>
      <c r="J706" t="s">
        <v>11</v>
      </c>
      <c r="K706">
        <v>921.77</v>
      </c>
      <c r="L706" t="s">
        <v>683</v>
      </c>
      <c r="M706">
        <v>18</v>
      </c>
    </row>
    <row r="707" spans="1:13" x14ac:dyDescent="0.35">
      <c r="A707" t="s">
        <v>1471</v>
      </c>
      <c r="B707" t="s">
        <v>121</v>
      </c>
      <c r="C707" t="s">
        <v>573</v>
      </c>
      <c r="D707" t="s">
        <v>649</v>
      </c>
      <c r="E707" s="1">
        <v>45043</v>
      </c>
      <c r="F707" s="1">
        <v>45048</v>
      </c>
      <c r="G707" s="1">
        <v>45067</v>
      </c>
      <c r="H707" s="4">
        <f>IF(Claims_Cleaned[[#This Row],[processed_date]]="","",Claims_Cleaned[[#This Row],[processed_date]]-Claims_Cleaned[[#This Row],[submission_date]])</f>
        <v>19</v>
      </c>
      <c r="I707" s="4" t="str">
        <f>TEXT(Claims_Cleaned[[#This Row],[claim_date]],"mmm-yyyy")</f>
        <v>Apr-2023</v>
      </c>
      <c r="J707" t="s">
        <v>13</v>
      </c>
      <c r="K707">
        <v>921.68</v>
      </c>
      <c r="L707" t="s">
        <v>683</v>
      </c>
      <c r="M707">
        <v>19</v>
      </c>
    </row>
    <row r="708" spans="1:13" x14ac:dyDescent="0.35">
      <c r="A708" t="s">
        <v>980</v>
      </c>
      <c r="B708" t="s">
        <v>337</v>
      </c>
      <c r="C708" t="s">
        <v>577</v>
      </c>
      <c r="D708" t="s">
        <v>658</v>
      </c>
      <c r="E708" s="1">
        <v>44942</v>
      </c>
      <c r="F708" s="1">
        <v>44946</v>
      </c>
      <c r="G708" s="1">
        <v>44967</v>
      </c>
      <c r="H708" s="4">
        <f>IF(Claims_Cleaned[[#This Row],[processed_date]]="","",Claims_Cleaned[[#This Row],[processed_date]]-Claims_Cleaned[[#This Row],[submission_date]])</f>
        <v>21</v>
      </c>
      <c r="I708" s="4" t="str">
        <f>TEXT(Claims_Cleaned[[#This Row],[claim_date]],"mmm-yyyy")</f>
        <v>Jan-2023</v>
      </c>
      <c r="J708" t="s">
        <v>11</v>
      </c>
      <c r="K708">
        <v>919.24</v>
      </c>
      <c r="L708" t="s">
        <v>683</v>
      </c>
      <c r="M708">
        <v>21</v>
      </c>
    </row>
    <row r="709" spans="1:13" x14ac:dyDescent="0.35">
      <c r="A709" t="s">
        <v>2286</v>
      </c>
      <c r="B709" t="s">
        <v>416</v>
      </c>
      <c r="C709" t="s">
        <v>540</v>
      </c>
      <c r="D709" t="s">
        <v>649</v>
      </c>
      <c r="E709" s="1">
        <v>45495</v>
      </c>
      <c r="F709" s="1">
        <v>45500</v>
      </c>
      <c r="G709" s="1">
        <v>45526</v>
      </c>
      <c r="H709" s="4">
        <f>IF(Claims_Cleaned[[#This Row],[processed_date]]="","",Claims_Cleaned[[#This Row],[processed_date]]-Claims_Cleaned[[#This Row],[submission_date]])</f>
        <v>26</v>
      </c>
      <c r="I709" s="4" t="str">
        <f>TEXT(Claims_Cleaned[[#This Row],[claim_date]],"mmm-yyyy")</f>
        <v>Jul-2024</v>
      </c>
      <c r="J709" t="s">
        <v>13</v>
      </c>
      <c r="K709">
        <v>918.61</v>
      </c>
      <c r="L709" t="s">
        <v>683</v>
      </c>
      <c r="M709">
        <v>26</v>
      </c>
    </row>
    <row r="710" spans="1:13" x14ac:dyDescent="0.35">
      <c r="A710" t="s">
        <v>819</v>
      </c>
      <c r="B710" t="s">
        <v>356</v>
      </c>
      <c r="C710" t="s">
        <v>569</v>
      </c>
      <c r="D710" t="s">
        <v>649</v>
      </c>
      <c r="E710" s="1">
        <v>45544</v>
      </c>
      <c r="F710" s="1">
        <v>45545</v>
      </c>
      <c r="G710" s="1">
        <v>45567</v>
      </c>
      <c r="H710" s="4">
        <f>IF(Claims_Cleaned[[#This Row],[processed_date]]="","",Claims_Cleaned[[#This Row],[processed_date]]-Claims_Cleaned[[#This Row],[submission_date]])</f>
        <v>22</v>
      </c>
      <c r="I710" s="4" t="str">
        <f>TEXT(Claims_Cleaned[[#This Row],[claim_date]],"mmm-yyyy")</f>
        <v>Sep-2024</v>
      </c>
      <c r="J710" t="s">
        <v>13</v>
      </c>
      <c r="K710">
        <v>917.86</v>
      </c>
      <c r="L710" t="s">
        <v>683</v>
      </c>
      <c r="M710">
        <v>22</v>
      </c>
    </row>
    <row r="711" spans="1:13" x14ac:dyDescent="0.35">
      <c r="A711" t="s">
        <v>1140</v>
      </c>
      <c r="B711" t="s">
        <v>354</v>
      </c>
      <c r="C711" t="s">
        <v>563</v>
      </c>
      <c r="D711" t="s">
        <v>631</v>
      </c>
      <c r="E711" s="1">
        <v>45621</v>
      </c>
      <c r="F711" s="1">
        <v>45626</v>
      </c>
      <c r="G711" s="1">
        <v>45643</v>
      </c>
      <c r="H711" s="4">
        <f>IF(Claims_Cleaned[[#This Row],[processed_date]]="","",Claims_Cleaned[[#This Row],[processed_date]]-Claims_Cleaned[[#This Row],[submission_date]])</f>
        <v>17</v>
      </c>
      <c r="I711" s="4" t="str">
        <f>TEXT(Claims_Cleaned[[#This Row],[claim_date]],"mmm-yyyy")</f>
        <v>Nov-2024</v>
      </c>
      <c r="J711" t="s">
        <v>11</v>
      </c>
      <c r="K711">
        <v>917.84</v>
      </c>
      <c r="L711" t="s">
        <v>683</v>
      </c>
      <c r="M711">
        <v>17</v>
      </c>
    </row>
    <row r="712" spans="1:13" x14ac:dyDescent="0.35">
      <c r="A712" t="s">
        <v>1751</v>
      </c>
      <c r="B712" t="s">
        <v>420</v>
      </c>
      <c r="C712" t="s">
        <v>561</v>
      </c>
      <c r="D712" t="s">
        <v>631</v>
      </c>
      <c r="E712" s="1">
        <v>44991</v>
      </c>
      <c r="F712" s="1">
        <v>44995</v>
      </c>
      <c r="G712" s="1">
        <v>44999</v>
      </c>
      <c r="H712" s="4">
        <f>IF(Claims_Cleaned[[#This Row],[processed_date]]="","",Claims_Cleaned[[#This Row],[processed_date]]-Claims_Cleaned[[#This Row],[submission_date]])</f>
        <v>4</v>
      </c>
      <c r="I712" s="4" t="str">
        <f>TEXT(Claims_Cleaned[[#This Row],[claim_date]],"mmm-yyyy")</f>
        <v>Mar-2023</v>
      </c>
      <c r="J712" t="s">
        <v>20</v>
      </c>
      <c r="K712">
        <v>915.7</v>
      </c>
      <c r="L712" t="s">
        <v>683</v>
      </c>
      <c r="M712">
        <v>4</v>
      </c>
    </row>
    <row r="713" spans="1:13" x14ac:dyDescent="0.35">
      <c r="A713" t="s">
        <v>1538</v>
      </c>
      <c r="B713" t="s">
        <v>298</v>
      </c>
      <c r="C713" t="s">
        <v>549</v>
      </c>
      <c r="D713" t="s">
        <v>631</v>
      </c>
      <c r="E713" s="1">
        <v>45607</v>
      </c>
      <c r="F713" s="1">
        <v>45609</v>
      </c>
      <c r="G713" s="1">
        <v>45626</v>
      </c>
      <c r="H713" s="4">
        <f>IF(Claims_Cleaned[[#This Row],[processed_date]]="","",Claims_Cleaned[[#This Row],[processed_date]]-Claims_Cleaned[[#This Row],[submission_date]])</f>
        <v>17</v>
      </c>
      <c r="I713" s="4" t="str">
        <f>TEXT(Claims_Cleaned[[#This Row],[claim_date]],"mmm-yyyy")</f>
        <v>Nov-2024</v>
      </c>
      <c r="J713" t="s">
        <v>11</v>
      </c>
      <c r="K713">
        <v>915.01</v>
      </c>
      <c r="L713" t="s">
        <v>683</v>
      </c>
      <c r="M713">
        <v>17</v>
      </c>
    </row>
    <row r="714" spans="1:13" x14ac:dyDescent="0.35">
      <c r="A714" t="s">
        <v>872</v>
      </c>
      <c r="B714" t="s">
        <v>77</v>
      </c>
      <c r="C714" t="s">
        <v>546</v>
      </c>
      <c r="D714" t="s">
        <v>649</v>
      </c>
      <c r="E714" s="1">
        <v>45499</v>
      </c>
      <c r="F714" s="1">
        <v>45504</v>
      </c>
      <c r="G714" s="1">
        <v>45529</v>
      </c>
      <c r="H714" s="4">
        <f>IF(Claims_Cleaned[[#This Row],[processed_date]]="","",Claims_Cleaned[[#This Row],[processed_date]]-Claims_Cleaned[[#This Row],[submission_date]])</f>
        <v>25</v>
      </c>
      <c r="I714" s="4" t="str">
        <f>TEXT(Claims_Cleaned[[#This Row],[claim_date]],"mmm-yyyy")</f>
        <v>Jul-2024</v>
      </c>
      <c r="J714" t="s">
        <v>20</v>
      </c>
      <c r="K714">
        <v>913.37</v>
      </c>
      <c r="L714" t="s">
        <v>683</v>
      </c>
      <c r="M714">
        <v>25</v>
      </c>
    </row>
    <row r="715" spans="1:13" x14ac:dyDescent="0.35">
      <c r="A715" t="s">
        <v>2006</v>
      </c>
      <c r="B715" t="s">
        <v>191</v>
      </c>
      <c r="C715" t="s">
        <v>543</v>
      </c>
      <c r="D715" t="s">
        <v>631</v>
      </c>
      <c r="E715" s="1">
        <v>45253</v>
      </c>
      <c r="F715" s="1">
        <v>45257</v>
      </c>
      <c r="G715" s="1">
        <v>45261</v>
      </c>
      <c r="H715" s="4">
        <f>IF(Claims_Cleaned[[#This Row],[processed_date]]="","",Claims_Cleaned[[#This Row],[processed_date]]-Claims_Cleaned[[#This Row],[submission_date]])</f>
        <v>4</v>
      </c>
      <c r="I715" s="4" t="str">
        <f>TEXT(Claims_Cleaned[[#This Row],[claim_date]],"mmm-yyyy")</f>
        <v>Nov-2023</v>
      </c>
      <c r="J715" t="s">
        <v>20</v>
      </c>
      <c r="K715">
        <v>912.03</v>
      </c>
      <c r="L715" t="s">
        <v>683</v>
      </c>
      <c r="M715">
        <v>4</v>
      </c>
    </row>
    <row r="716" spans="1:13" x14ac:dyDescent="0.35">
      <c r="A716" t="s">
        <v>1413</v>
      </c>
      <c r="B716" t="s">
        <v>289</v>
      </c>
      <c r="C716" t="s">
        <v>583</v>
      </c>
      <c r="D716" t="s">
        <v>658</v>
      </c>
      <c r="E716" s="1">
        <v>45013</v>
      </c>
      <c r="F716" s="1">
        <v>45016</v>
      </c>
      <c r="G716" s="1">
        <v>45031</v>
      </c>
      <c r="H716" s="4">
        <f>IF(Claims_Cleaned[[#This Row],[processed_date]]="","",Claims_Cleaned[[#This Row],[processed_date]]-Claims_Cleaned[[#This Row],[submission_date]])</f>
        <v>15</v>
      </c>
      <c r="I716" s="4" t="str">
        <f>TEXT(Claims_Cleaned[[#This Row],[claim_date]],"mmm-yyyy")</f>
        <v>Mar-2023</v>
      </c>
      <c r="J716" t="s">
        <v>13</v>
      </c>
      <c r="K716">
        <v>911.58</v>
      </c>
      <c r="L716" t="s">
        <v>683</v>
      </c>
      <c r="M716">
        <v>15</v>
      </c>
    </row>
    <row r="717" spans="1:13" x14ac:dyDescent="0.35">
      <c r="A717" t="s">
        <v>840</v>
      </c>
      <c r="B717" t="s">
        <v>194</v>
      </c>
      <c r="C717" t="s">
        <v>601</v>
      </c>
      <c r="D717" t="s">
        <v>658</v>
      </c>
      <c r="E717" s="1">
        <v>45398</v>
      </c>
      <c r="F717" s="1">
        <v>45399</v>
      </c>
      <c r="G717" s="1">
        <v>45425</v>
      </c>
      <c r="H717" s="4">
        <f>IF(Claims_Cleaned[[#This Row],[processed_date]]="","",Claims_Cleaned[[#This Row],[processed_date]]-Claims_Cleaned[[#This Row],[submission_date]])</f>
        <v>26</v>
      </c>
      <c r="I717" s="4" t="str">
        <f>TEXT(Claims_Cleaned[[#This Row],[claim_date]],"mmm-yyyy")</f>
        <v>Apr-2024</v>
      </c>
      <c r="J717" t="s">
        <v>25</v>
      </c>
      <c r="K717">
        <v>911.49</v>
      </c>
      <c r="L717" t="s">
        <v>683</v>
      </c>
      <c r="M717">
        <v>26</v>
      </c>
    </row>
    <row r="718" spans="1:13" x14ac:dyDescent="0.35">
      <c r="A718" t="s">
        <v>1619</v>
      </c>
      <c r="B718" t="s">
        <v>253</v>
      </c>
      <c r="C718" t="s">
        <v>589</v>
      </c>
      <c r="D718" t="s">
        <v>631</v>
      </c>
      <c r="E718" s="1">
        <v>45363</v>
      </c>
      <c r="F718" s="1">
        <v>45367</v>
      </c>
      <c r="G718" s="1"/>
      <c r="H718" s="4" t="str">
        <f>IF(Claims_Cleaned[[#This Row],[processed_date]]="","",Claims_Cleaned[[#This Row],[processed_date]]-Claims_Cleaned[[#This Row],[submission_date]])</f>
        <v/>
      </c>
      <c r="I718" s="4" t="str">
        <f>TEXT(Claims_Cleaned[[#This Row],[claim_date]],"mmm-yyyy")</f>
        <v>Mar-2024</v>
      </c>
      <c r="J718" t="s">
        <v>8</v>
      </c>
      <c r="K718">
        <v>911.09</v>
      </c>
      <c r="L718" t="s">
        <v>689</v>
      </c>
    </row>
    <row r="719" spans="1:13" x14ac:dyDescent="0.35">
      <c r="A719" t="s">
        <v>1464</v>
      </c>
      <c r="B719" t="s">
        <v>180</v>
      </c>
      <c r="C719" t="s">
        <v>583</v>
      </c>
      <c r="D719" t="s">
        <v>631</v>
      </c>
      <c r="E719" s="1">
        <v>45443</v>
      </c>
      <c r="F719" s="1">
        <v>45445</v>
      </c>
      <c r="G719" s="1"/>
      <c r="H719" s="4" t="str">
        <f>IF(Claims_Cleaned[[#This Row],[processed_date]]="","",Claims_Cleaned[[#This Row],[processed_date]]-Claims_Cleaned[[#This Row],[submission_date]])</f>
        <v/>
      </c>
      <c r="I719" s="4" t="str">
        <f>TEXT(Claims_Cleaned[[#This Row],[claim_date]],"mmm-yyyy")</f>
        <v>May-2024</v>
      </c>
      <c r="J719" t="s">
        <v>11</v>
      </c>
      <c r="K719">
        <v>909.17</v>
      </c>
      <c r="L719" t="s">
        <v>689</v>
      </c>
    </row>
    <row r="720" spans="1:13" x14ac:dyDescent="0.35">
      <c r="A720" t="s">
        <v>830</v>
      </c>
      <c r="B720" t="s">
        <v>86</v>
      </c>
      <c r="C720" t="s">
        <v>599</v>
      </c>
      <c r="D720" t="s">
        <v>658</v>
      </c>
      <c r="E720" s="1">
        <v>45459</v>
      </c>
      <c r="F720" s="1">
        <v>45461</v>
      </c>
      <c r="G720" s="1">
        <v>45478</v>
      </c>
      <c r="H720" s="4">
        <f>IF(Claims_Cleaned[[#This Row],[processed_date]]="","",Claims_Cleaned[[#This Row],[processed_date]]-Claims_Cleaned[[#This Row],[submission_date]])</f>
        <v>17</v>
      </c>
      <c r="I720" s="4" t="str">
        <f>TEXT(Claims_Cleaned[[#This Row],[claim_date]],"mmm-yyyy")</f>
        <v>Jun-2024</v>
      </c>
      <c r="J720" t="s">
        <v>20</v>
      </c>
      <c r="K720">
        <v>904.78</v>
      </c>
      <c r="L720" t="s">
        <v>683</v>
      </c>
      <c r="M720">
        <v>17</v>
      </c>
    </row>
    <row r="721" spans="1:13" x14ac:dyDescent="0.35">
      <c r="A721" t="s">
        <v>1768</v>
      </c>
      <c r="B721" t="s">
        <v>304</v>
      </c>
      <c r="C721" t="s">
        <v>599</v>
      </c>
      <c r="D721" t="s">
        <v>649</v>
      </c>
      <c r="E721" s="1">
        <v>45451</v>
      </c>
      <c r="F721" s="1">
        <v>45453</v>
      </c>
      <c r="G721" s="1">
        <v>45476</v>
      </c>
      <c r="H721" s="4">
        <f>IF(Claims_Cleaned[[#This Row],[processed_date]]="","",Claims_Cleaned[[#This Row],[processed_date]]-Claims_Cleaned[[#This Row],[submission_date]])</f>
        <v>23</v>
      </c>
      <c r="I721" s="4" t="str">
        <f>TEXT(Claims_Cleaned[[#This Row],[claim_date]],"mmm-yyyy")</f>
        <v>Jun-2024</v>
      </c>
      <c r="J721" t="s">
        <v>20</v>
      </c>
      <c r="K721">
        <v>900.44</v>
      </c>
      <c r="L721" t="s">
        <v>683</v>
      </c>
      <c r="M721">
        <v>23</v>
      </c>
    </row>
    <row r="722" spans="1:13" x14ac:dyDescent="0.35">
      <c r="A722" t="s">
        <v>2428</v>
      </c>
      <c r="B722" t="s">
        <v>314</v>
      </c>
      <c r="C722" t="s">
        <v>567</v>
      </c>
      <c r="D722" t="s">
        <v>658</v>
      </c>
      <c r="E722" s="1">
        <v>45090</v>
      </c>
      <c r="F722" s="1">
        <v>45091</v>
      </c>
      <c r="G722" s="1">
        <v>45109</v>
      </c>
      <c r="H722" s="4">
        <f>IF(Claims_Cleaned[[#This Row],[processed_date]]="","",Claims_Cleaned[[#This Row],[processed_date]]-Claims_Cleaned[[#This Row],[submission_date]])</f>
        <v>18</v>
      </c>
      <c r="I722" s="4" t="str">
        <f>TEXT(Claims_Cleaned[[#This Row],[claim_date]],"mmm-yyyy")</f>
        <v>Jun-2023</v>
      </c>
      <c r="J722" t="s">
        <v>8</v>
      </c>
      <c r="K722">
        <v>898.51</v>
      </c>
      <c r="L722" t="s">
        <v>683</v>
      </c>
      <c r="M722">
        <v>18</v>
      </c>
    </row>
    <row r="723" spans="1:13" x14ac:dyDescent="0.35">
      <c r="A723" t="s">
        <v>773</v>
      </c>
      <c r="B723" t="s">
        <v>352</v>
      </c>
      <c r="C723" t="s">
        <v>534</v>
      </c>
      <c r="D723" t="s">
        <v>631</v>
      </c>
      <c r="E723" s="1">
        <v>44976</v>
      </c>
      <c r="F723" s="1">
        <v>44981</v>
      </c>
      <c r="G723" s="1">
        <v>45003</v>
      </c>
      <c r="H723" s="4">
        <f>IF(Claims_Cleaned[[#This Row],[processed_date]]="","",Claims_Cleaned[[#This Row],[processed_date]]-Claims_Cleaned[[#This Row],[submission_date]])</f>
        <v>22</v>
      </c>
      <c r="I723" s="4" t="str">
        <f>TEXT(Claims_Cleaned[[#This Row],[claim_date]],"mmm-yyyy")</f>
        <v>Feb-2023</v>
      </c>
      <c r="J723" t="s">
        <v>20</v>
      </c>
      <c r="K723">
        <v>896.53</v>
      </c>
      <c r="L723" t="s">
        <v>687</v>
      </c>
      <c r="M723">
        <v>22</v>
      </c>
    </row>
    <row r="724" spans="1:13" x14ac:dyDescent="0.35">
      <c r="A724" t="s">
        <v>2475</v>
      </c>
      <c r="B724" t="s">
        <v>279</v>
      </c>
      <c r="C724" t="s">
        <v>567</v>
      </c>
      <c r="D724" t="s">
        <v>649</v>
      </c>
      <c r="E724" s="1">
        <v>45499</v>
      </c>
      <c r="F724" s="1">
        <v>45504</v>
      </c>
      <c r="G724" s="1">
        <v>45530</v>
      </c>
      <c r="H724" s="4">
        <f>IF(Claims_Cleaned[[#This Row],[processed_date]]="","",Claims_Cleaned[[#This Row],[processed_date]]-Claims_Cleaned[[#This Row],[submission_date]])</f>
        <v>26</v>
      </c>
      <c r="I724" s="4" t="str">
        <f>TEXT(Claims_Cleaned[[#This Row],[claim_date]],"mmm-yyyy")</f>
        <v>Jul-2024</v>
      </c>
      <c r="J724" t="s">
        <v>11</v>
      </c>
      <c r="K724">
        <v>896.41</v>
      </c>
      <c r="L724" t="s">
        <v>683</v>
      </c>
      <c r="M724">
        <v>26</v>
      </c>
    </row>
    <row r="725" spans="1:13" x14ac:dyDescent="0.35">
      <c r="A725" t="s">
        <v>2604</v>
      </c>
      <c r="B725" t="s">
        <v>350</v>
      </c>
      <c r="C725" t="s">
        <v>587</v>
      </c>
      <c r="D725" t="s">
        <v>631</v>
      </c>
      <c r="E725" s="1">
        <v>45243</v>
      </c>
      <c r="F725" s="1">
        <v>45247</v>
      </c>
      <c r="G725" s="1">
        <v>45268</v>
      </c>
      <c r="H725" s="4">
        <f>IF(Claims_Cleaned[[#This Row],[processed_date]]="","",Claims_Cleaned[[#This Row],[processed_date]]-Claims_Cleaned[[#This Row],[submission_date]])</f>
        <v>21</v>
      </c>
      <c r="I725" s="4" t="str">
        <f>TEXT(Claims_Cleaned[[#This Row],[claim_date]],"mmm-yyyy")</f>
        <v>Nov-2023</v>
      </c>
      <c r="J725" t="s">
        <v>20</v>
      </c>
      <c r="K725">
        <v>894.6</v>
      </c>
      <c r="L725" t="s">
        <v>683</v>
      </c>
      <c r="M725">
        <v>21</v>
      </c>
    </row>
    <row r="726" spans="1:13" x14ac:dyDescent="0.35">
      <c r="A726" t="s">
        <v>923</v>
      </c>
      <c r="B726" t="s">
        <v>35</v>
      </c>
      <c r="C726" t="s">
        <v>599</v>
      </c>
      <c r="D726" t="s">
        <v>631</v>
      </c>
      <c r="E726" s="1">
        <v>45606</v>
      </c>
      <c r="F726" s="1">
        <v>45608</v>
      </c>
      <c r="G726" s="1">
        <v>45637</v>
      </c>
      <c r="H726" s="4">
        <f>IF(Claims_Cleaned[[#This Row],[processed_date]]="","",Claims_Cleaned[[#This Row],[processed_date]]-Claims_Cleaned[[#This Row],[submission_date]])</f>
        <v>29</v>
      </c>
      <c r="I726" s="4" t="str">
        <f>TEXT(Claims_Cleaned[[#This Row],[claim_date]],"mmm-yyyy")</f>
        <v>Nov-2024</v>
      </c>
      <c r="J726" t="s">
        <v>11</v>
      </c>
      <c r="K726">
        <v>894.38</v>
      </c>
      <c r="L726" t="s">
        <v>683</v>
      </c>
      <c r="M726">
        <v>29</v>
      </c>
    </row>
    <row r="727" spans="1:13" x14ac:dyDescent="0.35">
      <c r="A727" t="s">
        <v>939</v>
      </c>
      <c r="B727" t="s">
        <v>44</v>
      </c>
      <c r="C727" t="s">
        <v>611</v>
      </c>
      <c r="D727" t="s">
        <v>649</v>
      </c>
      <c r="E727" s="1">
        <v>45635</v>
      </c>
      <c r="F727" s="1">
        <v>45636</v>
      </c>
      <c r="G727" s="1">
        <v>45655</v>
      </c>
      <c r="H727" s="4">
        <f>IF(Claims_Cleaned[[#This Row],[processed_date]]="","",Claims_Cleaned[[#This Row],[processed_date]]-Claims_Cleaned[[#This Row],[submission_date]])</f>
        <v>19</v>
      </c>
      <c r="I727" s="4" t="str">
        <f>TEXT(Claims_Cleaned[[#This Row],[claim_date]],"mmm-yyyy")</f>
        <v>Dec-2024</v>
      </c>
      <c r="J727" t="s">
        <v>11</v>
      </c>
      <c r="K727">
        <v>891.97</v>
      </c>
      <c r="L727" t="s">
        <v>683</v>
      </c>
      <c r="M727">
        <v>19</v>
      </c>
    </row>
    <row r="728" spans="1:13" x14ac:dyDescent="0.35">
      <c r="A728" t="s">
        <v>1811</v>
      </c>
      <c r="B728" t="s">
        <v>141</v>
      </c>
      <c r="C728" t="s">
        <v>583</v>
      </c>
      <c r="D728" t="s">
        <v>658</v>
      </c>
      <c r="E728" s="1">
        <v>45481</v>
      </c>
      <c r="F728" s="1">
        <v>45484</v>
      </c>
      <c r="G728" s="1">
        <v>45487</v>
      </c>
      <c r="H728" s="4">
        <f>IF(Claims_Cleaned[[#This Row],[processed_date]]="","",Claims_Cleaned[[#This Row],[processed_date]]-Claims_Cleaned[[#This Row],[submission_date]])</f>
        <v>3</v>
      </c>
      <c r="I728" s="4" t="str">
        <f>TEXT(Claims_Cleaned[[#This Row],[claim_date]],"mmm-yyyy")</f>
        <v>Jul-2024</v>
      </c>
      <c r="J728" t="s">
        <v>8</v>
      </c>
      <c r="K728">
        <v>890.66</v>
      </c>
      <c r="L728" t="s">
        <v>683</v>
      </c>
      <c r="M728">
        <v>3</v>
      </c>
    </row>
    <row r="729" spans="1:13" x14ac:dyDescent="0.35">
      <c r="A729" t="s">
        <v>711</v>
      </c>
      <c r="B729" t="s">
        <v>330</v>
      </c>
      <c r="C729" t="s">
        <v>587</v>
      </c>
      <c r="D729" t="s">
        <v>658</v>
      </c>
      <c r="E729" s="1">
        <v>45199</v>
      </c>
      <c r="F729" s="1">
        <v>45204</v>
      </c>
      <c r="G729" s="1">
        <v>45225</v>
      </c>
      <c r="H729" s="4">
        <f>IF(Claims_Cleaned[[#This Row],[processed_date]]="","",Claims_Cleaned[[#This Row],[processed_date]]-Claims_Cleaned[[#This Row],[submission_date]])</f>
        <v>21</v>
      </c>
      <c r="I729" s="4" t="str">
        <f>TEXT(Claims_Cleaned[[#This Row],[claim_date]],"mmm-yyyy")</f>
        <v>Sep-2023</v>
      </c>
      <c r="J729" t="s">
        <v>25</v>
      </c>
      <c r="K729">
        <v>890.1</v>
      </c>
      <c r="L729" t="s">
        <v>683</v>
      </c>
      <c r="M729">
        <v>21</v>
      </c>
    </row>
    <row r="730" spans="1:13" x14ac:dyDescent="0.35">
      <c r="A730" t="s">
        <v>1986</v>
      </c>
      <c r="B730" t="s">
        <v>396</v>
      </c>
      <c r="C730" t="s">
        <v>595</v>
      </c>
      <c r="D730" t="s">
        <v>631</v>
      </c>
      <c r="E730" s="1">
        <v>45493</v>
      </c>
      <c r="F730" s="1">
        <v>45497</v>
      </c>
      <c r="G730" s="1">
        <v>45516</v>
      </c>
      <c r="H730" s="4">
        <f>IF(Claims_Cleaned[[#This Row],[processed_date]]="","",Claims_Cleaned[[#This Row],[processed_date]]-Claims_Cleaned[[#This Row],[submission_date]])</f>
        <v>19</v>
      </c>
      <c r="I730" s="4" t="str">
        <f>TEXT(Claims_Cleaned[[#This Row],[claim_date]],"mmm-yyyy")</f>
        <v>Jul-2024</v>
      </c>
      <c r="J730" t="s">
        <v>11</v>
      </c>
      <c r="K730">
        <v>889.44</v>
      </c>
      <c r="L730" t="s">
        <v>683</v>
      </c>
      <c r="M730">
        <v>19</v>
      </c>
    </row>
    <row r="731" spans="1:13" x14ac:dyDescent="0.35">
      <c r="A731" t="s">
        <v>2660</v>
      </c>
      <c r="B731" t="s">
        <v>46</v>
      </c>
      <c r="C731" t="s">
        <v>609</v>
      </c>
      <c r="D731" t="s">
        <v>658</v>
      </c>
      <c r="E731" s="1">
        <v>45444</v>
      </c>
      <c r="F731" s="1">
        <v>45447</v>
      </c>
      <c r="G731" s="1">
        <v>45461</v>
      </c>
      <c r="H731" s="4">
        <f>IF(Claims_Cleaned[[#This Row],[processed_date]]="","",Claims_Cleaned[[#This Row],[processed_date]]-Claims_Cleaned[[#This Row],[submission_date]])</f>
        <v>14</v>
      </c>
      <c r="I731" s="4" t="str">
        <f>TEXT(Claims_Cleaned[[#This Row],[claim_date]],"mmm-yyyy")</f>
        <v>Jun-2024</v>
      </c>
      <c r="J731" t="s">
        <v>11</v>
      </c>
      <c r="K731">
        <v>888.73</v>
      </c>
      <c r="L731" t="s">
        <v>683</v>
      </c>
      <c r="M731">
        <v>14</v>
      </c>
    </row>
    <row r="732" spans="1:13" x14ac:dyDescent="0.35">
      <c r="A732" t="s">
        <v>2013</v>
      </c>
      <c r="B732" t="s">
        <v>474</v>
      </c>
      <c r="C732" t="s">
        <v>531</v>
      </c>
      <c r="D732" t="s">
        <v>658</v>
      </c>
      <c r="E732" s="1">
        <v>45285</v>
      </c>
      <c r="F732" s="1">
        <v>45286</v>
      </c>
      <c r="G732" s="1">
        <v>45306</v>
      </c>
      <c r="H732" s="4">
        <f>IF(Claims_Cleaned[[#This Row],[processed_date]]="","",Claims_Cleaned[[#This Row],[processed_date]]-Claims_Cleaned[[#This Row],[submission_date]])</f>
        <v>20</v>
      </c>
      <c r="I732" s="4" t="str">
        <f>TEXT(Claims_Cleaned[[#This Row],[claim_date]],"mmm-yyyy")</f>
        <v>Dec-2023</v>
      </c>
      <c r="J732" t="s">
        <v>25</v>
      </c>
      <c r="K732">
        <v>886.12</v>
      </c>
      <c r="L732" t="s">
        <v>687</v>
      </c>
      <c r="M732">
        <v>20</v>
      </c>
    </row>
    <row r="733" spans="1:13" x14ac:dyDescent="0.35">
      <c r="A733" t="s">
        <v>1642</v>
      </c>
      <c r="B733" t="s">
        <v>464</v>
      </c>
      <c r="C733" t="s">
        <v>597</v>
      </c>
      <c r="D733" t="s">
        <v>658</v>
      </c>
      <c r="E733" s="1">
        <v>45338</v>
      </c>
      <c r="F733" s="1">
        <v>45342</v>
      </c>
      <c r="G733" s="1">
        <v>45354</v>
      </c>
      <c r="H733" s="4">
        <f>IF(Claims_Cleaned[[#This Row],[processed_date]]="","",Claims_Cleaned[[#This Row],[processed_date]]-Claims_Cleaned[[#This Row],[submission_date]])</f>
        <v>12</v>
      </c>
      <c r="I733" s="4" t="str">
        <f>TEXT(Claims_Cleaned[[#This Row],[claim_date]],"mmm-yyyy")</f>
        <v>Feb-2024</v>
      </c>
      <c r="J733" t="s">
        <v>11</v>
      </c>
      <c r="K733">
        <v>885.67</v>
      </c>
      <c r="L733" t="s">
        <v>683</v>
      </c>
      <c r="M733">
        <v>12</v>
      </c>
    </row>
    <row r="734" spans="1:13" x14ac:dyDescent="0.35">
      <c r="A734" t="s">
        <v>1260</v>
      </c>
      <c r="B734" t="s">
        <v>428</v>
      </c>
      <c r="C734" t="s">
        <v>583</v>
      </c>
      <c r="D734" t="s">
        <v>649</v>
      </c>
      <c r="E734" s="1">
        <v>45035</v>
      </c>
      <c r="F734" s="1">
        <v>45036</v>
      </c>
      <c r="G734" s="1">
        <v>45062</v>
      </c>
      <c r="H734" s="4">
        <f>IF(Claims_Cleaned[[#This Row],[processed_date]]="","",Claims_Cleaned[[#This Row],[processed_date]]-Claims_Cleaned[[#This Row],[submission_date]])</f>
        <v>26</v>
      </c>
      <c r="I734" s="4" t="str">
        <f>TEXT(Claims_Cleaned[[#This Row],[claim_date]],"mmm-yyyy")</f>
        <v>Apr-2023</v>
      </c>
      <c r="J734" t="s">
        <v>20</v>
      </c>
      <c r="K734">
        <v>882.8</v>
      </c>
      <c r="L734" t="s">
        <v>683</v>
      </c>
      <c r="M734">
        <v>26</v>
      </c>
    </row>
    <row r="735" spans="1:13" x14ac:dyDescent="0.35">
      <c r="A735" t="s">
        <v>1845</v>
      </c>
      <c r="B735" t="s">
        <v>440</v>
      </c>
      <c r="C735" t="s">
        <v>603</v>
      </c>
      <c r="D735" t="s">
        <v>649</v>
      </c>
      <c r="E735" s="1">
        <v>45557</v>
      </c>
      <c r="F735" s="1">
        <v>45562</v>
      </c>
      <c r="G735" s="1">
        <v>45582</v>
      </c>
      <c r="H735" s="4">
        <f>IF(Claims_Cleaned[[#This Row],[processed_date]]="","",Claims_Cleaned[[#This Row],[processed_date]]-Claims_Cleaned[[#This Row],[submission_date]])</f>
        <v>20</v>
      </c>
      <c r="I735" s="4" t="str">
        <f>TEXT(Claims_Cleaned[[#This Row],[claim_date]],"mmm-yyyy")</f>
        <v>Sep-2024</v>
      </c>
      <c r="J735" t="s">
        <v>20</v>
      </c>
      <c r="K735">
        <v>882.61</v>
      </c>
      <c r="L735" t="s">
        <v>687</v>
      </c>
      <c r="M735">
        <v>20</v>
      </c>
    </row>
    <row r="736" spans="1:13" x14ac:dyDescent="0.35">
      <c r="A736" t="s">
        <v>989</v>
      </c>
      <c r="B736" t="s">
        <v>230</v>
      </c>
      <c r="C736" t="s">
        <v>565</v>
      </c>
      <c r="D736" t="s">
        <v>658</v>
      </c>
      <c r="E736" s="1">
        <v>45028</v>
      </c>
      <c r="F736" s="1">
        <v>45029</v>
      </c>
      <c r="G736" s="1">
        <v>45054</v>
      </c>
      <c r="H736" s="4">
        <f>IF(Claims_Cleaned[[#This Row],[processed_date]]="","",Claims_Cleaned[[#This Row],[processed_date]]-Claims_Cleaned[[#This Row],[submission_date]])</f>
        <v>25</v>
      </c>
      <c r="I736" s="4" t="str">
        <f>TEXT(Claims_Cleaned[[#This Row],[claim_date]],"mmm-yyyy")</f>
        <v>Apr-2023</v>
      </c>
      <c r="J736" t="s">
        <v>20</v>
      </c>
      <c r="K736">
        <v>881.58</v>
      </c>
      <c r="L736" t="s">
        <v>683</v>
      </c>
      <c r="M736">
        <v>25</v>
      </c>
    </row>
    <row r="737" spans="1:13" x14ac:dyDescent="0.35">
      <c r="A737" t="s">
        <v>1371</v>
      </c>
      <c r="B737" t="s">
        <v>380</v>
      </c>
      <c r="C737" t="s">
        <v>579</v>
      </c>
      <c r="D737" t="s">
        <v>649</v>
      </c>
      <c r="E737" s="1">
        <v>45345</v>
      </c>
      <c r="F737" s="1">
        <v>45350</v>
      </c>
      <c r="G737" s="1">
        <v>45374</v>
      </c>
      <c r="H737" s="4">
        <f>IF(Claims_Cleaned[[#This Row],[processed_date]]="","",Claims_Cleaned[[#This Row],[processed_date]]-Claims_Cleaned[[#This Row],[submission_date]])</f>
        <v>24</v>
      </c>
      <c r="I737" s="4" t="str">
        <f>TEXT(Claims_Cleaned[[#This Row],[claim_date]],"mmm-yyyy")</f>
        <v>Feb-2024</v>
      </c>
      <c r="J737" t="s">
        <v>8</v>
      </c>
      <c r="K737">
        <v>881.57</v>
      </c>
      <c r="L737" t="s">
        <v>683</v>
      </c>
      <c r="M737">
        <v>24</v>
      </c>
    </row>
    <row r="738" spans="1:13" x14ac:dyDescent="0.35">
      <c r="A738" t="s">
        <v>929</v>
      </c>
      <c r="B738" t="s">
        <v>169</v>
      </c>
      <c r="C738" t="s">
        <v>609</v>
      </c>
      <c r="D738" t="s">
        <v>631</v>
      </c>
      <c r="E738" s="1">
        <v>44970</v>
      </c>
      <c r="F738" s="1">
        <v>44973</v>
      </c>
      <c r="G738" s="1">
        <v>44996</v>
      </c>
      <c r="H738" s="4">
        <f>IF(Claims_Cleaned[[#This Row],[processed_date]]="","",Claims_Cleaned[[#This Row],[processed_date]]-Claims_Cleaned[[#This Row],[submission_date]])</f>
        <v>23</v>
      </c>
      <c r="I738" s="4" t="str">
        <f>TEXT(Claims_Cleaned[[#This Row],[claim_date]],"mmm-yyyy")</f>
        <v>Feb-2023</v>
      </c>
      <c r="J738" t="s">
        <v>11</v>
      </c>
      <c r="K738">
        <v>880.94</v>
      </c>
      <c r="L738" t="s">
        <v>683</v>
      </c>
      <c r="M738">
        <v>23</v>
      </c>
    </row>
    <row r="739" spans="1:13" x14ac:dyDescent="0.35">
      <c r="A739" t="s">
        <v>2417</v>
      </c>
      <c r="B739" t="s">
        <v>492</v>
      </c>
      <c r="C739" t="s">
        <v>563</v>
      </c>
      <c r="D739" t="s">
        <v>658</v>
      </c>
      <c r="E739" s="1">
        <v>45257</v>
      </c>
      <c r="F739" s="1">
        <v>45258</v>
      </c>
      <c r="G739" s="1">
        <v>45268</v>
      </c>
      <c r="H739" s="4">
        <f>IF(Claims_Cleaned[[#This Row],[processed_date]]="","",Claims_Cleaned[[#This Row],[processed_date]]-Claims_Cleaned[[#This Row],[submission_date]])</f>
        <v>10</v>
      </c>
      <c r="I739" s="4" t="str">
        <f>TEXT(Claims_Cleaned[[#This Row],[claim_date]],"mmm-yyyy")</f>
        <v>Nov-2023</v>
      </c>
      <c r="J739" t="s">
        <v>13</v>
      </c>
      <c r="K739">
        <v>880.15</v>
      </c>
      <c r="L739" t="s">
        <v>683</v>
      </c>
      <c r="M739">
        <v>10</v>
      </c>
    </row>
    <row r="740" spans="1:13" x14ac:dyDescent="0.35">
      <c r="A740" t="s">
        <v>2605</v>
      </c>
      <c r="B740" t="s">
        <v>393</v>
      </c>
      <c r="C740" t="s">
        <v>597</v>
      </c>
      <c r="D740" t="s">
        <v>658</v>
      </c>
      <c r="E740" s="1">
        <v>45221</v>
      </c>
      <c r="F740" s="1">
        <v>45225</v>
      </c>
      <c r="G740" s="1">
        <v>45236</v>
      </c>
      <c r="H740" s="4">
        <f>IF(Claims_Cleaned[[#This Row],[processed_date]]="","",Claims_Cleaned[[#This Row],[processed_date]]-Claims_Cleaned[[#This Row],[submission_date]])</f>
        <v>11</v>
      </c>
      <c r="I740" s="4" t="str">
        <f>TEXT(Claims_Cleaned[[#This Row],[claim_date]],"mmm-yyyy")</f>
        <v>Oct-2023</v>
      </c>
      <c r="J740" t="s">
        <v>11</v>
      </c>
      <c r="K740">
        <v>878.86</v>
      </c>
      <c r="L740" t="s">
        <v>683</v>
      </c>
      <c r="M740">
        <v>11</v>
      </c>
    </row>
    <row r="741" spans="1:13" x14ac:dyDescent="0.35">
      <c r="A741" t="s">
        <v>2510</v>
      </c>
      <c r="B741" t="s">
        <v>26</v>
      </c>
      <c r="C741" t="s">
        <v>597</v>
      </c>
      <c r="D741" t="s">
        <v>631</v>
      </c>
      <c r="E741" s="1">
        <v>45493</v>
      </c>
      <c r="F741" s="1">
        <v>45494</v>
      </c>
      <c r="G741" s="1">
        <v>45504</v>
      </c>
      <c r="H741" s="4">
        <f>IF(Claims_Cleaned[[#This Row],[processed_date]]="","",Claims_Cleaned[[#This Row],[processed_date]]-Claims_Cleaned[[#This Row],[submission_date]])</f>
        <v>10</v>
      </c>
      <c r="I741" s="4" t="str">
        <f>TEXT(Claims_Cleaned[[#This Row],[claim_date]],"mmm-yyyy")</f>
        <v>Jul-2024</v>
      </c>
      <c r="J741" t="s">
        <v>11</v>
      </c>
      <c r="K741">
        <v>876.69</v>
      </c>
      <c r="L741" t="s">
        <v>683</v>
      </c>
      <c r="M741">
        <v>10</v>
      </c>
    </row>
    <row r="742" spans="1:13" x14ac:dyDescent="0.35">
      <c r="A742" t="s">
        <v>826</v>
      </c>
      <c r="B742" t="s">
        <v>273</v>
      </c>
      <c r="C742" t="s">
        <v>587</v>
      </c>
      <c r="D742" t="s">
        <v>658</v>
      </c>
      <c r="E742" s="1">
        <v>45545</v>
      </c>
      <c r="F742" s="1">
        <v>45547</v>
      </c>
      <c r="G742" s="1"/>
      <c r="H742" s="4" t="str">
        <f>IF(Claims_Cleaned[[#This Row],[processed_date]]="","",Claims_Cleaned[[#This Row],[processed_date]]-Claims_Cleaned[[#This Row],[submission_date]])</f>
        <v/>
      </c>
      <c r="I742" s="4" t="str">
        <f>TEXT(Claims_Cleaned[[#This Row],[claim_date]],"mmm-yyyy")</f>
        <v>Sep-2024</v>
      </c>
      <c r="J742" t="s">
        <v>8</v>
      </c>
      <c r="K742">
        <v>874.62</v>
      </c>
      <c r="L742" t="s">
        <v>689</v>
      </c>
    </row>
    <row r="743" spans="1:13" x14ac:dyDescent="0.35">
      <c r="A743" t="s">
        <v>1706</v>
      </c>
      <c r="B743" t="s">
        <v>285</v>
      </c>
      <c r="C743" t="s">
        <v>537</v>
      </c>
      <c r="D743" t="s">
        <v>649</v>
      </c>
      <c r="E743" s="1">
        <v>45449</v>
      </c>
      <c r="F743" s="1">
        <v>45451</v>
      </c>
      <c r="G743" s="1">
        <v>45460</v>
      </c>
      <c r="H743" s="4">
        <f>IF(Claims_Cleaned[[#This Row],[processed_date]]="","",Claims_Cleaned[[#This Row],[processed_date]]-Claims_Cleaned[[#This Row],[submission_date]])</f>
        <v>9</v>
      </c>
      <c r="I743" s="4" t="str">
        <f>TEXT(Claims_Cleaned[[#This Row],[claim_date]],"mmm-yyyy")</f>
        <v>Jun-2024</v>
      </c>
      <c r="J743" t="s">
        <v>13</v>
      </c>
      <c r="K743">
        <v>873.45</v>
      </c>
      <c r="L743" t="s">
        <v>683</v>
      </c>
      <c r="M743">
        <v>9</v>
      </c>
    </row>
    <row r="744" spans="1:13" x14ac:dyDescent="0.35">
      <c r="A744" t="s">
        <v>704</v>
      </c>
      <c r="B744" t="s">
        <v>223</v>
      </c>
      <c r="C744" t="s">
        <v>573</v>
      </c>
      <c r="D744" t="s">
        <v>649</v>
      </c>
      <c r="E744" s="1">
        <v>45395</v>
      </c>
      <c r="F744" s="1">
        <v>45396</v>
      </c>
      <c r="G744" s="1">
        <v>45408</v>
      </c>
      <c r="H744" s="4">
        <f>IF(Claims_Cleaned[[#This Row],[processed_date]]="","",Claims_Cleaned[[#This Row],[processed_date]]-Claims_Cleaned[[#This Row],[submission_date]])</f>
        <v>12</v>
      </c>
      <c r="I744" s="4" t="str">
        <f>TEXT(Claims_Cleaned[[#This Row],[claim_date]],"mmm-yyyy")</f>
        <v>Apr-2024</v>
      </c>
      <c r="J744" t="s">
        <v>8</v>
      </c>
      <c r="K744">
        <v>872.29</v>
      </c>
      <c r="L744" t="s">
        <v>683</v>
      </c>
      <c r="M744">
        <v>12</v>
      </c>
    </row>
    <row r="745" spans="1:13" x14ac:dyDescent="0.35">
      <c r="A745" t="s">
        <v>1194</v>
      </c>
      <c r="B745" t="s">
        <v>122</v>
      </c>
      <c r="C745" t="s">
        <v>561</v>
      </c>
      <c r="D745" t="s">
        <v>658</v>
      </c>
      <c r="E745" s="1">
        <v>45120</v>
      </c>
      <c r="F745" s="1">
        <v>45125</v>
      </c>
      <c r="G745" s="1"/>
      <c r="H745" s="4" t="str">
        <f>IF(Claims_Cleaned[[#This Row],[processed_date]]="","",Claims_Cleaned[[#This Row],[processed_date]]-Claims_Cleaned[[#This Row],[submission_date]])</f>
        <v/>
      </c>
      <c r="I745" s="4" t="str">
        <f>TEXT(Claims_Cleaned[[#This Row],[claim_date]],"mmm-yyyy")</f>
        <v>Jul-2023</v>
      </c>
      <c r="J745" t="s">
        <v>13</v>
      </c>
      <c r="K745">
        <v>871.41</v>
      </c>
      <c r="L745" t="s">
        <v>689</v>
      </c>
    </row>
    <row r="746" spans="1:13" x14ac:dyDescent="0.35">
      <c r="A746" t="s">
        <v>1728</v>
      </c>
      <c r="B746" t="s">
        <v>464</v>
      </c>
      <c r="C746" t="s">
        <v>583</v>
      </c>
      <c r="D746" t="s">
        <v>665</v>
      </c>
      <c r="E746" s="1">
        <v>45136</v>
      </c>
      <c r="F746" s="1">
        <v>45138</v>
      </c>
      <c r="G746" s="1">
        <v>45156</v>
      </c>
      <c r="H746" s="4">
        <f>IF(Claims_Cleaned[[#This Row],[processed_date]]="","",Claims_Cleaned[[#This Row],[processed_date]]-Claims_Cleaned[[#This Row],[submission_date]])</f>
        <v>18</v>
      </c>
      <c r="I746" s="4" t="str">
        <f>TEXT(Claims_Cleaned[[#This Row],[claim_date]],"mmm-yyyy")</f>
        <v>Jul-2023</v>
      </c>
      <c r="J746" t="s">
        <v>11</v>
      </c>
      <c r="K746">
        <v>870.35</v>
      </c>
      <c r="L746" t="s">
        <v>683</v>
      </c>
      <c r="M746">
        <v>18</v>
      </c>
    </row>
    <row r="747" spans="1:13" x14ac:dyDescent="0.35">
      <c r="A747" t="s">
        <v>1671</v>
      </c>
      <c r="B747" t="s">
        <v>207</v>
      </c>
      <c r="C747" t="s">
        <v>553</v>
      </c>
      <c r="D747" t="s">
        <v>631</v>
      </c>
      <c r="E747" s="1">
        <v>45316</v>
      </c>
      <c r="F747" s="1">
        <v>45321</v>
      </c>
      <c r="G747" s="1">
        <v>45328</v>
      </c>
      <c r="H747" s="4">
        <f>IF(Claims_Cleaned[[#This Row],[processed_date]]="","",Claims_Cleaned[[#This Row],[processed_date]]-Claims_Cleaned[[#This Row],[submission_date]])</f>
        <v>7</v>
      </c>
      <c r="I747" s="4" t="str">
        <f>TEXT(Claims_Cleaned[[#This Row],[claim_date]],"mmm-yyyy")</f>
        <v>Jan-2024</v>
      </c>
      <c r="J747" t="s">
        <v>11</v>
      </c>
      <c r="K747">
        <v>870.26</v>
      </c>
      <c r="L747" t="s">
        <v>683</v>
      </c>
      <c r="M747">
        <v>7</v>
      </c>
    </row>
    <row r="748" spans="1:13" x14ac:dyDescent="0.35">
      <c r="A748" t="s">
        <v>2202</v>
      </c>
      <c r="B748" t="s">
        <v>38</v>
      </c>
      <c r="C748" t="s">
        <v>577</v>
      </c>
      <c r="D748" t="s">
        <v>658</v>
      </c>
      <c r="E748" s="1">
        <v>45004</v>
      </c>
      <c r="F748" s="1">
        <v>45009</v>
      </c>
      <c r="G748" s="1"/>
      <c r="H748" s="4" t="str">
        <f>IF(Claims_Cleaned[[#This Row],[processed_date]]="","",Claims_Cleaned[[#This Row],[processed_date]]-Claims_Cleaned[[#This Row],[submission_date]])</f>
        <v/>
      </c>
      <c r="I748" s="4" t="str">
        <f>TEXT(Claims_Cleaned[[#This Row],[claim_date]],"mmm-yyyy")</f>
        <v>Mar-2023</v>
      </c>
      <c r="J748" t="s">
        <v>8</v>
      </c>
      <c r="K748">
        <v>870.12</v>
      </c>
      <c r="L748" t="s">
        <v>689</v>
      </c>
    </row>
    <row r="749" spans="1:13" x14ac:dyDescent="0.35">
      <c r="A749" t="s">
        <v>1077</v>
      </c>
      <c r="B749" t="s">
        <v>396</v>
      </c>
      <c r="C749" t="s">
        <v>597</v>
      </c>
      <c r="D749" t="s">
        <v>631</v>
      </c>
      <c r="E749" s="1">
        <v>45145</v>
      </c>
      <c r="F749" s="1">
        <v>45147</v>
      </c>
      <c r="G749" s="1"/>
      <c r="H749" s="4" t="str">
        <f>IF(Claims_Cleaned[[#This Row],[processed_date]]="","",Claims_Cleaned[[#This Row],[processed_date]]-Claims_Cleaned[[#This Row],[submission_date]])</f>
        <v/>
      </c>
      <c r="I749" s="4" t="str">
        <f>TEXT(Claims_Cleaned[[#This Row],[claim_date]],"mmm-yyyy")</f>
        <v>Aug-2023</v>
      </c>
      <c r="J749" t="s">
        <v>11</v>
      </c>
      <c r="K749">
        <v>869.19</v>
      </c>
      <c r="L749" t="s">
        <v>689</v>
      </c>
    </row>
    <row r="750" spans="1:13" x14ac:dyDescent="0.35">
      <c r="A750" t="s">
        <v>2513</v>
      </c>
      <c r="B750" t="s">
        <v>505</v>
      </c>
      <c r="C750" t="s">
        <v>555</v>
      </c>
      <c r="D750" t="s">
        <v>665</v>
      </c>
      <c r="E750" s="1">
        <v>45548</v>
      </c>
      <c r="F750" s="1">
        <v>45549</v>
      </c>
      <c r="G750" s="1">
        <v>45563</v>
      </c>
      <c r="H750" s="4">
        <f>IF(Claims_Cleaned[[#This Row],[processed_date]]="","",Claims_Cleaned[[#This Row],[processed_date]]-Claims_Cleaned[[#This Row],[submission_date]])</f>
        <v>14</v>
      </c>
      <c r="I750" s="4" t="str">
        <f>TEXT(Claims_Cleaned[[#This Row],[claim_date]],"mmm-yyyy")</f>
        <v>Sep-2024</v>
      </c>
      <c r="J750" t="s">
        <v>20</v>
      </c>
      <c r="K750">
        <v>869.14</v>
      </c>
      <c r="L750" t="s">
        <v>687</v>
      </c>
      <c r="M750">
        <v>14</v>
      </c>
    </row>
    <row r="751" spans="1:13" x14ac:dyDescent="0.35">
      <c r="A751" t="s">
        <v>1915</v>
      </c>
      <c r="B751" t="s">
        <v>90</v>
      </c>
      <c r="C751" t="s">
        <v>571</v>
      </c>
      <c r="D751" t="s">
        <v>631</v>
      </c>
      <c r="E751" s="1">
        <v>45446</v>
      </c>
      <c r="F751" s="1">
        <v>45447</v>
      </c>
      <c r="G751" s="1">
        <v>45457</v>
      </c>
      <c r="H751" s="4">
        <f>IF(Claims_Cleaned[[#This Row],[processed_date]]="","",Claims_Cleaned[[#This Row],[processed_date]]-Claims_Cleaned[[#This Row],[submission_date]])</f>
        <v>10</v>
      </c>
      <c r="I751" s="4" t="str">
        <f>TEXT(Claims_Cleaned[[#This Row],[claim_date]],"mmm-yyyy")</f>
        <v>Jun-2024</v>
      </c>
      <c r="J751" t="s">
        <v>20</v>
      </c>
      <c r="K751">
        <v>866.59</v>
      </c>
      <c r="L751" t="s">
        <v>683</v>
      </c>
      <c r="M751">
        <v>10</v>
      </c>
    </row>
    <row r="752" spans="1:13" x14ac:dyDescent="0.35">
      <c r="A752" t="s">
        <v>1407</v>
      </c>
      <c r="B752" t="s">
        <v>206</v>
      </c>
      <c r="C752" t="s">
        <v>587</v>
      </c>
      <c r="D752" t="s">
        <v>649</v>
      </c>
      <c r="E752" s="1">
        <v>45048</v>
      </c>
      <c r="F752" s="1">
        <v>45052</v>
      </c>
      <c r="G752" s="1">
        <v>45074</v>
      </c>
      <c r="H752" s="4">
        <f>IF(Claims_Cleaned[[#This Row],[processed_date]]="","",Claims_Cleaned[[#This Row],[processed_date]]-Claims_Cleaned[[#This Row],[submission_date]])</f>
        <v>22</v>
      </c>
      <c r="I752" s="4" t="str">
        <f>TEXT(Claims_Cleaned[[#This Row],[claim_date]],"mmm-yyyy")</f>
        <v>May-2023</v>
      </c>
      <c r="J752" t="s">
        <v>13</v>
      </c>
      <c r="K752">
        <v>862.73</v>
      </c>
      <c r="L752" t="s">
        <v>683</v>
      </c>
      <c r="M752">
        <v>22</v>
      </c>
    </row>
    <row r="753" spans="1:13" x14ac:dyDescent="0.35">
      <c r="A753" t="s">
        <v>2307</v>
      </c>
      <c r="B753" t="s">
        <v>304</v>
      </c>
      <c r="C753" t="s">
        <v>577</v>
      </c>
      <c r="D753" t="s">
        <v>649</v>
      </c>
      <c r="E753" s="1">
        <v>45509</v>
      </c>
      <c r="F753" s="1">
        <v>45514</v>
      </c>
      <c r="G753" s="1">
        <v>45538</v>
      </c>
      <c r="H753" s="4">
        <f>IF(Claims_Cleaned[[#This Row],[processed_date]]="","",Claims_Cleaned[[#This Row],[processed_date]]-Claims_Cleaned[[#This Row],[submission_date]])</f>
        <v>24</v>
      </c>
      <c r="I753" s="4" t="str">
        <f>TEXT(Claims_Cleaned[[#This Row],[claim_date]],"mmm-yyyy")</f>
        <v>Aug-2024</v>
      </c>
      <c r="J753" t="s">
        <v>20</v>
      </c>
      <c r="K753">
        <v>860.86</v>
      </c>
      <c r="L753" t="s">
        <v>683</v>
      </c>
      <c r="M753">
        <v>24</v>
      </c>
    </row>
    <row r="754" spans="1:13" x14ac:dyDescent="0.35">
      <c r="A754" t="s">
        <v>767</v>
      </c>
      <c r="B754" t="s">
        <v>238</v>
      </c>
      <c r="C754" t="s">
        <v>565</v>
      </c>
      <c r="D754" t="s">
        <v>631</v>
      </c>
      <c r="E754" s="1">
        <v>45528</v>
      </c>
      <c r="F754" s="1">
        <v>45530</v>
      </c>
      <c r="G754" s="1">
        <v>45560</v>
      </c>
      <c r="H754" s="4">
        <f>IF(Claims_Cleaned[[#This Row],[processed_date]]="","",Claims_Cleaned[[#This Row],[processed_date]]-Claims_Cleaned[[#This Row],[submission_date]])</f>
        <v>30</v>
      </c>
      <c r="I754" s="4" t="str">
        <f>TEXT(Claims_Cleaned[[#This Row],[claim_date]],"mmm-yyyy")</f>
        <v>Aug-2024</v>
      </c>
      <c r="J754" t="s">
        <v>20</v>
      </c>
      <c r="K754">
        <v>859.93</v>
      </c>
      <c r="L754" t="s">
        <v>687</v>
      </c>
      <c r="M754">
        <v>30</v>
      </c>
    </row>
    <row r="755" spans="1:13" x14ac:dyDescent="0.35">
      <c r="A755" t="s">
        <v>1673</v>
      </c>
      <c r="B755" t="s">
        <v>198</v>
      </c>
      <c r="C755" t="s">
        <v>567</v>
      </c>
      <c r="D755" t="s">
        <v>665</v>
      </c>
      <c r="E755" s="1">
        <v>45083</v>
      </c>
      <c r="F755" s="1">
        <v>45088</v>
      </c>
      <c r="G755" s="1">
        <v>45101</v>
      </c>
      <c r="H755" s="4">
        <f>IF(Claims_Cleaned[[#This Row],[processed_date]]="","",Claims_Cleaned[[#This Row],[processed_date]]-Claims_Cleaned[[#This Row],[submission_date]])</f>
        <v>13</v>
      </c>
      <c r="I755" s="4" t="str">
        <f>TEXT(Claims_Cleaned[[#This Row],[claim_date]],"mmm-yyyy")</f>
        <v>Jun-2023</v>
      </c>
      <c r="J755" t="s">
        <v>11</v>
      </c>
      <c r="K755">
        <v>859.55</v>
      </c>
      <c r="L755" t="s">
        <v>683</v>
      </c>
      <c r="M755">
        <v>13</v>
      </c>
    </row>
    <row r="756" spans="1:13" x14ac:dyDescent="0.35">
      <c r="A756" t="s">
        <v>1479</v>
      </c>
      <c r="B756" t="s">
        <v>371</v>
      </c>
      <c r="C756" t="s">
        <v>557</v>
      </c>
      <c r="D756" t="s">
        <v>658</v>
      </c>
      <c r="E756" s="1">
        <v>45413</v>
      </c>
      <c r="F756" s="1">
        <v>45418</v>
      </c>
      <c r="G756" s="1">
        <v>45434</v>
      </c>
      <c r="H756" s="4">
        <f>IF(Claims_Cleaned[[#This Row],[processed_date]]="","",Claims_Cleaned[[#This Row],[processed_date]]-Claims_Cleaned[[#This Row],[submission_date]])</f>
        <v>16</v>
      </c>
      <c r="I756" s="4" t="str">
        <f>TEXT(Claims_Cleaned[[#This Row],[claim_date]],"mmm-yyyy")</f>
        <v>May-2024</v>
      </c>
      <c r="J756" t="s">
        <v>25</v>
      </c>
      <c r="K756">
        <v>857.05</v>
      </c>
      <c r="L756" t="s">
        <v>687</v>
      </c>
      <c r="M756">
        <v>16</v>
      </c>
    </row>
    <row r="757" spans="1:13" x14ac:dyDescent="0.35">
      <c r="A757" t="s">
        <v>1129</v>
      </c>
      <c r="B757" t="s">
        <v>65</v>
      </c>
      <c r="C757" t="s">
        <v>559</v>
      </c>
      <c r="D757" t="s">
        <v>649</v>
      </c>
      <c r="E757" s="1">
        <v>45148</v>
      </c>
      <c r="F757" s="1">
        <v>45151</v>
      </c>
      <c r="G757" s="1">
        <v>45169</v>
      </c>
      <c r="H757" s="4">
        <f>IF(Claims_Cleaned[[#This Row],[processed_date]]="","",Claims_Cleaned[[#This Row],[processed_date]]-Claims_Cleaned[[#This Row],[submission_date]])</f>
        <v>18</v>
      </c>
      <c r="I757" s="4" t="str">
        <f>TEXT(Claims_Cleaned[[#This Row],[claim_date]],"mmm-yyyy")</f>
        <v>Aug-2023</v>
      </c>
      <c r="J757" t="s">
        <v>8</v>
      </c>
      <c r="K757">
        <v>853.56</v>
      </c>
      <c r="L757" t="s">
        <v>683</v>
      </c>
      <c r="M757">
        <v>18</v>
      </c>
    </row>
    <row r="758" spans="1:13" x14ac:dyDescent="0.35">
      <c r="A758" t="s">
        <v>913</v>
      </c>
      <c r="B758" t="s">
        <v>213</v>
      </c>
      <c r="C758" t="s">
        <v>581</v>
      </c>
      <c r="D758" t="s">
        <v>631</v>
      </c>
      <c r="E758" s="1">
        <v>44994</v>
      </c>
      <c r="F758" s="1">
        <v>44995</v>
      </c>
      <c r="G758" s="1">
        <v>45012</v>
      </c>
      <c r="H758" s="4">
        <f>IF(Claims_Cleaned[[#This Row],[processed_date]]="","",Claims_Cleaned[[#This Row],[processed_date]]-Claims_Cleaned[[#This Row],[submission_date]])</f>
        <v>17</v>
      </c>
      <c r="I758" s="4" t="str">
        <f>TEXT(Claims_Cleaned[[#This Row],[claim_date]],"mmm-yyyy")</f>
        <v>Mar-2023</v>
      </c>
      <c r="J758" t="s">
        <v>8</v>
      </c>
      <c r="K758">
        <v>852.27</v>
      </c>
      <c r="L758" t="s">
        <v>683</v>
      </c>
      <c r="M758">
        <v>17</v>
      </c>
    </row>
    <row r="759" spans="1:13" x14ac:dyDescent="0.35">
      <c r="A759" t="s">
        <v>1105</v>
      </c>
      <c r="B759" t="s">
        <v>287</v>
      </c>
      <c r="C759" t="s">
        <v>579</v>
      </c>
      <c r="D759" t="s">
        <v>658</v>
      </c>
      <c r="E759" s="1">
        <v>45210</v>
      </c>
      <c r="F759" s="1">
        <v>45214</v>
      </c>
      <c r="G759" s="1">
        <v>45222</v>
      </c>
      <c r="H759" s="4">
        <f>IF(Claims_Cleaned[[#This Row],[processed_date]]="","",Claims_Cleaned[[#This Row],[processed_date]]-Claims_Cleaned[[#This Row],[submission_date]])</f>
        <v>8</v>
      </c>
      <c r="I759" s="4" t="str">
        <f>TEXT(Claims_Cleaned[[#This Row],[claim_date]],"mmm-yyyy")</f>
        <v>Oct-2023</v>
      </c>
      <c r="J759" t="s">
        <v>20</v>
      </c>
      <c r="K759">
        <v>850.18</v>
      </c>
      <c r="L759" t="s">
        <v>683</v>
      </c>
      <c r="M759">
        <v>8</v>
      </c>
    </row>
    <row r="760" spans="1:13" x14ac:dyDescent="0.35">
      <c r="A760" t="s">
        <v>906</v>
      </c>
      <c r="B760" t="s">
        <v>223</v>
      </c>
      <c r="C760" t="s">
        <v>581</v>
      </c>
      <c r="D760" t="s">
        <v>665</v>
      </c>
      <c r="E760" s="1">
        <v>45487</v>
      </c>
      <c r="F760" s="1">
        <v>45489</v>
      </c>
      <c r="G760" s="1">
        <v>45506</v>
      </c>
      <c r="H760" s="4">
        <f>IF(Claims_Cleaned[[#This Row],[processed_date]]="","",Claims_Cleaned[[#This Row],[processed_date]]-Claims_Cleaned[[#This Row],[submission_date]])</f>
        <v>17</v>
      </c>
      <c r="I760" s="4" t="str">
        <f>TEXT(Claims_Cleaned[[#This Row],[claim_date]],"mmm-yyyy")</f>
        <v>Jul-2024</v>
      </c>
      <c r="J760" t="s">
        <v>8</v>
      </c>
      <c r="K760">
        <v>849.7</v>
      </c>
      <c r="L760" t="s">
        <v>683</v>
      </c>
      <c r="M760">
        <v>17</v>
      </c>
    </row>
    <row r="761" spans="1:13" x14ac:dyDescent="0.35">
      <c r="A761" t="s">
        <v>1611</v>
      </c>
      <c r="B761" t="s">
        <v>16</v>
      </c>
      <c r="C761" t="s">
        <v>595</v>
      </c>
      <c r="D761" t="s">
        <v>631</v>
      </c>
      <c r="E761" s="1">
        <v>45493</v>
      </c>
      <c r="F761" s="1">
        <v>45498</v>
      </c>
      <c r="G761" s="1">
        <v>45528</v>
      </c>
      <c r="H761" s="4">
        <f>IF(Claims_Cleaned[[#This Row],[processed_date]]="","",Claims_Cleaned[[#This Row],[processed_date]]-Claims_Cleaned[[#This Row],[submission_date]])</f>
        <v>30</v>
      </c>
      <c r="I761" s="4" t="str">
        <f>TEXT(Claims_Cleaned[[#This Row],[claim_date]],"mmm-yyyy")</f>
        <v>Jul-2024</v>
      </c>
      <c r="J761" t="s">
        <v>8</v>
      </c>
      <c r="K761">
        <v>847.89</v>
      </c>
      <c r="L761" t="s">
        <v>683</v>
      </c>
      <c r="M761">
        <v>30</v>
      </c>
    </row>
    <row r="762" spans="1:13" x14ac:dyDescent="0.35">
      <c r="A762" t="s">
        <v>713</v>
      </c>
      <c r="B762" t="s">
        <v>384</v>
      </c>
      <c r="C762" t="s">
        <v>575</v>
      </c>
      <c r="D762" t="s">
        <v>631</v>
      </c>
      <c r="E762" s="1">
        <v>45509</v>
      </c>
      <c r="F762" s="1">
        <v>45511</v>
      </c>
      <c r="G762" s="1"/>
      <c r="H762" s="4" t="str">
        <f>IF(Claims_Cleaned[[#This Row],[processed_date]]="","",Claims_Cleaned[[#This Row],[processed_date]]-Claims_Cleaned[[#This Row],[submission_date]])</f>
        <v/>
      </c>
      <c r="I762" s="4" t="str">
        <f>TEXT(Claims_Cleaned[[#This Row],[claim_date]],"mmm-yyyy")</f>
        <v>Aug-2024</v>
      </c>
      <c r="J762" t="s">
        <v>13</v>
      </c>
      <c r="K762">
        <v>847.72</v>
      </c>
      <c r="L762" t="s">
        <v>689</v>
      </c>
    </row>
    <row r="763" spans="1:13" x14ac:dyDescent="0.35">
      <c r="A763" t="s">
        <v>1251</v>
      </c>
      <c r="B763" t="s">
        <v>203</v>
      </c>
      <c r="C763" t="s">
        <v>589</v>
      </c>
      <c r="D763" t="s">
        <v>649</v>
      </c>
      <c r="E763" s="1">
        <v>45484</v>
      </c>
      <c r="F763" s="1">
        <v>45487</v>
      </c>
      <c r="G763" s="1">
        <v>45504</v>
      </c>
      <c r="H763" s="4">
        <f>IF(Claims_Cleaned[[#This Row],[processed_date]]="","",Claims_Cleaned[[#This Row],[processed_date]]-Claims_Cleaned[[#This Row],[submission_date]])</f>
        <v>17</v>
      </c>
      <c r="I763" s="4" t="str">
        <f>TEXT(Claims_Cleaned[[#This Row],[claim_date]],"mmm-yyyy")</f>
        <v>Jul-2024</v>
      </c>
      <c r="J763" t="s">
        <v>25</v>
      </c>
      <c r="K763">
        <v>847.54</v>
      </c>
      <c r="L763" t="s">
        <v>683</v>
      </c>
      <c r="M763">
        <v>17</v>
      </c>
    </row>
    <row r="764" spans="1:13" x14ac:dyDescent="0.35">
      <c r="A764" t="s">
        <v>920</v>
      </c>
      <c r="B764" t="s">
        <v>77</v>
      </c>
      <c r="C764" t="s">
        <v>563</v>
      </c>
      <c r="D764" t="s">
        <v>631</v>
      </c>
      <c r="E764" s="1">
        <v>45554</v>
      </c>
      <c r="F764" s="1">
        <v>45555</v>
      </c>
      <c r="G764" s="1">
        <v>45570</v>
      </c>
      <c r="H764" s="4">
        <f>IF(Claims_Cleaned[[#This Row],[processed_date]]="","",Claims_Cleaned[[#This Row],[processed_date]]-Claims_Cleaned[[#This Row],[submission_date]])</f>
        <v>15</v>
      </c>
      <c r="I764" s="4" t="str">
        <f>TEXT(Claims_Cleaned[[#This Row],[claim_date]],"mmm-yyyy")</f>
        <v>Sep-2024</v>
      </c>
      <c r="J764" t="s">
        <v>20</v>
      </c>
      <c r="K764">
        <v>846.63</v>
      </c>
      <c r="L764" t="s">
        <v>683</v>
      </c>
      <c r="M764">
        <v>15</v>
      </c>
    </row>
    <row r="765" spans="1:13" x14ac:dyDescent="0.35">
      <c r="A765" t="s">
        <v>1949</v>
      </c>
      <c r="B765" t="s">
        <v>347</v>
      </c>
      <c r="C765" t="s">
        <v>555</v>
      </c>
      <c r="D765" t="s">
        <v>658</v>
      </c>
      <c r="E765" s="1">
        <v>45497</v>
      </c>
      <c r="F765" s="1">
        <v>45502</v>
      </c>
      <c r="G765" s="1">
        <v>45528</v>
      </c>
      <c r="H765" s="4">
        <f>IF(Claims_Cleaned[[#This Row],[processed_date]]="","",Claims_Cleaned[[#This Row],[processed_date]]-Claims_Cleaned[[#This Row],[submission_date]])</f>
        <v>26</v>
      </c>
      <c r="I765" s="4" t="str">
        <f>TEXT(Claims_Cleaned[[#This Row],[claim_date]],"mmm-yyyy")</f>
        <v>Jul-2024</v>
      </c>
      <c r="J765" t="s">
        <v>8</v>
      </c>
      <c r="K765">
        <v>846.58</v>
      </c>
      <c r="L765" t="s">
        <v>683</v>
      </c>
      <c r="M765">
        <v>26</v>
      </c>
    </row>
    <row r="766" spans="1:13" x14ac:dyDescent="0.35">
      <c r="A766" t="s">
        <v>2433</v>
      </c>
      <c r="B766" t="s">
        <v>423</v>
      </c>
      <c r="C766" t="s">
        <v>573</v>
      </c>
      <c r="D766" t="s">
        <v>649</v>
      </c>
      <c r="E766" s="1">
        <v>45612</v>
      </c>
      <c r="F766" s="1">
        <v>45614</v>
      </c>
      <c r="G766" s="1">
        <v>45620</v>
      </c>
      <c r="H766" s="4">
        <f>IF(Claims_Cleaned[[#This Row],[processed_date]]="","",Claims_Cleaned[[#This Row],[processed_date]]-Claims_Cleaned[[#This Row],[submission_date]])</f>
        <v>6</v>
      </c>
      <c r="I766" s="4" t="str">
        <f>TEXT(Claims_Cleaned[[#This Row],[claim_date]],"mmm-yyyy")</f>
        <v>Nov-2024</v>
      </c>
      <c r="J766" t="s">
        <v>13</v>
      </c>
      <c r="K766">
        <v>846.15</v>
      </c>
      <c r="L766" t="s">
        <v>683</v>
      </c>
      <c r="M766">
        <v>6</v>
      </c>
    </row>
    <row r="767" spans="1:13" x14ac:dyDescent="0.35">
      <c r="A767" t="s">
        <v>2126</v>
      </c>
      <c r="B767" t="s">
        <v>32</v>
      </c>
      <c r="C767" t="s">
        <v>597</v>
      </c>
      <c r="D767" t="s">
        <v>649</v>
      </c>
      <c r="E767" s="1">
        <v>45305</v>
      </c>
      <c r="F767" s="1">
        <v>45306</v>
      </c>
      <c r="G767" s="1">
        <v>45315</v>
      </c>
      <c r="H767" s="4">
        <f>IF(Claims_Cleaned[[#This Row],[processed_date]]="","",Claims_Cleaned[[#This Row],[processed_date]]-Claims_Cleaned[[#This Row],[submission_date]])</f>
        <v>9</v>
      </c>
      <c r="I767" s="4" t="str">
        <f>TEXT(Claims_Cleaned[[#This Row],[claim_date]],"mmm-yyyy")</f>
        <v>Jan-2024</v>
      </c>
      <c r="J767" t="s">
        <v>25</v>
      </c>
      <c r="K767">
        <v>845.7</v>
      </c>
      <c r="L767" t="s">
        <v>687</v>
      </c>
      <c r="M767">
        <v>9</v>
      </c>
    </row>
    <row r="768" spans="1:13" x14ac:dyDescent="0.35">
      <c r="A768" t="s">
        <v>2297</v>
      </c>
      <c r="B768" t="s">
        <v>214</v>
      </c>
      <c r="C768" t="s">
        <v>591</v>
      </c>
      <c r="D768" t="s">
        <v>658</v>
      </c>
      <c r="E768" s="1">
        <v>45338</v>
      </c>
      <c r="F768" s="1">
        <v>45341</v>
      </c>
      <c r="G768" s="1">
        <v>45347</v>
      </c>
      <c r="H768" s="4">
        <f>IF(Claims_Cleaned[[#This Row],[processed_date]]="","",Claims_Cleaned[[#This Row],[processed_date]]-Claims_Cleaned[[#This Row],[submission_date]])</f>
        <v>6</v>
      </c>
      <c r="I768" s="4" t="str">
        <f>TEXT(Claims_Cleaned[[#This Row],[claim_date]],"mmm-yyyy")</f>
        <v>Feb-2024</v>
      </c>
      <c r="J768" t="s">
        <v>20</v>
      </c>
      <c r="K768">
        <v>845.7</v>
      </c>
      <c r="L768" t="s">
        <v>683</v>
      </c>
      <c r="M768">
        <v>6</v>
      </c>
    </row>
    <row r="769" spans="1:13" x14ac:dyDescent="0.35">
      <c r="A769" t="s">
        <v>2057</v>
      </c>
      <c r="B769" t="s">
        <v>334</v>
      </c>
      <c r="C769" t="s">
        <v>527</v>
      </c>
      <c r="D769" t="s">
        <v>665</v>
      </c>
      <c r="E769" s="1">
        <v>45058</v>
      </c>
      <c r="F769" s="1">
        <v>45059</v>
      </c>
      <c r="G769" s="1">
        <v>45082</v>
      </c>
      <c r="H769" s="4">
        <f>IF(Claims_Cleaned[[#This Row],[processed_date]]="","",Claims_Cleaned[[#This Row],[processed_date]]-Claims_Cleaned[[#This Row],[submission_date]])</f>
        <v>23</v>
      </c>
      <c r="I769" s="4" t="str">
        <f>TEXT(Claims_Cleaned[[#This Row],[claim_date]],"mmm-yyyy")</f>
        <v>May-2023</v>
      </c>
      <c r="J769" t="s">
        <v>11</v>
      </c>
      <c r="K769">
        <v>844.03</v>
      </c>
      <c r="L769" t="s">
        <v>683</v>
      </c>
      <c r="M769">
        <v>23</v>
      </c>
    </row>
    <row r="770" spans="1:13" x14ac:dyDescent="0.35">
      <c r="A770" t="s">
        <v>1661</v>
      </c>
      <c r="B770" t="s">
        <v>92</v>
      </c>
      <c r="C770" t="s">
        <v>583</v>
      </c>
      <c r="D770" t="s">
        <v>665</v>
      </c>
      <c r="E770" s="1">
        <v>45517</v>
      </c>
      <c r="F770" s="1">
        <v>45520</v>
      </c>
      <c r="G770" s="1"/>
      <c r="H770" s="4" t="str">
        <f>IF(Claims_Cleaned[[#This Row],[processed_date]]="","",Claims_Cleaned[[#This Row],[processed_date]]-Claims_Cleaned[[#This Row],[submission_date]])</f>
        <v/>
      </c>
      <c r="I770" s="4" t="str">
        <f>TEXT(Claims_Cleaned[[#This Row],[claim_date]],"mmm-yyyy")</f>
        <v>Aug-2024</v>
      </c>
      <c r="J770" t="s">
        <v>25</v>
      </c>
      <c r="K770">
        <v>843.98</v>
      </c>
      <c r="L770" t="s">
        <v>689</v>
      </c>
    </row>
    <row r="771" spans="1:13" x14ac:dyDescent="0.35">
      <c r="A771" t="s">
        <v>2507</v>
      </c>
      <c r="B771" t="s">
        <v>19</v>
      </c>
      <c r="C771" t="s">
        <v>593</v>
      </c>
      <c r="D771" t="s">
        <v>631</v>
      </c>
      <c r="E771" s="1">
        <v>45079</v>
      </c>
      <c r="F771" s="1">
        <v>45081</v>
      </c>
      <c r="G771" s="1">
        <v>45093</v>
      </c>
      <c r="H771" s="4">
        <f>IF(Claims_Cleaned[[#This Row],[processed_date]]="","",Claims_Cleaned[[#This Row],[processed_date]]-Claims_Cleaned[[#This Row],[submission_date]])</f>
        <v>12</v>
      </c>
      <c r="I771" s="4" t="str">
        <f>TEXT(Claims_Cleaned[[#This Row],[claim_date]],"mmm-yyyy")</f>
        <v>Jun-2023</v>
      </c>
      <c r="J771" t="s">
        <v>20</v>
      </c>
      <c r="K771">
        <v>843.85</v>
      </c>
      <c r="L771" t="s">
        <v>683</v>
      </c>
      <c r="M771">
        <v>12</v>
      </c>
    </row>
    <row r="772" spans="1:13" x14ac:dyDescent="0.35">
      <c r="A772" t="s">
        <v>2084</v>
      </c>
      <c r="B772" t="s">
        <v>359</v>
      </c>
      <c r="C772" t="s">
        <v>579</v>
      </c>
      <c r="D772" t="s">
        <v>631</v>
      </c>
      <c r="E772" s="1">
        <v>45216</v>
      </c>
      <c r="F772" s="1">
        <v>45217</v>
      </c>
      <c r="G772" s="1">
        <v>45239</v>
      </c>
      <c r="H772" s="4">
        <f>IF(Claims_Cleaned[[#This Row],[processed_date]]="","",Claims_Cleaned[[#This Row],[processed_date]]-Claims_Cleaned[[#This Row],[submission_date]])</f>
        <v>22</v>
      </c>
      <c r="I772" s="4" t="str">
        <f>TEXT(Claims_Cleaned[[#This Row],[claim_date]],"mmm-yyyy")</f>
        <v>Oct-2023</v>
      </c>
      <c r="J772" t="s">
        <v>25</v>
      </c>
      <c r="K772">
        <v>843.42</v>
      </c>
      <c r="L772" t="s">
        <v>683</v>
      </c>
      <c r="M772">
        <v>22</v>
      </c>
    </row>
    <row r="773" spans="1:13" x14ac:dyDescent="0.35">
      <c r="A773" t="s">
        <v>1909</v>
      </c>
      <c r="B773" t="s">
        <v>498</v>
      </c>
      <c r="C773" t="s">
        <v>573</v>
      </c>
      <c r="D773" t="s">
        <v>658</v>
      </c>
      <c r="E773" s="1">
        <v>45640</v>
      </c>
      <c r="F773" s="1">
        <v>45641</v>
      </c>
      <c r="G773" s="1">
        <v>45650</v>
      </c>
      <c r="H773" s="4">
        <f>IF(Claims_Cleaned[[#This Row],[processed_date]]="","",Claims_Cleaned[[#This Row],[processed_date]]-Claims_Cleaned[[#This Row],[submission_date]])</f>
        <v>9</v>
      </c>
      <c r="I773" s="4" t="str">
        <f>TEXT(Claims_Cleaned[[#This Row],[claim_date]],"mmm-yyyy")</f>
        <v>Dec-2024</v>
      </c>
      <c r="J773" t="s">
        <v>25</v>
      </c>
      <c r="K773">
        <v>843.19</v>
      </c>
      <c r="L773" t="s">
        <v>683</v>
      </c>
      <c r="M773">
        <v>9</v>
      </c>
    </row>
    <row r="774" spans="1:13" x14ac:dyDescent="0.35">
      <c r="A774" t="s">
        <v>999</v>
      </c>
      <c r="B774" t="s">
        <v>128</v>
      </c>
      <c r="C774" t="s">
        <v>553</v>
      </c>
      <c r="D774" t="s">
        <v>658</v>
      </c>
      <c r="E774" s="1">
        <v>45308</v>
      </c>
      <c r="F774" s="1">
        <v>45312</v>
      </c>
      <c r="G774" s="1">
        <v>45328</v>
      </c>
      <c r="H774" s="4">
        <f>IF(Claims_Cleaned[[#This Row],[processed_date]]="","",Claims_Cleaned[[#This Row],[processed_date]]-Claims_Cleaned[[#This Row],[submission_date]])</f>
        <v>16</v>
      </c>
      <c r="I774" s="4" t="str">
        <f>TEXT(Claims_Cleaned[[#This Row],[claim_date]],"mmm-yyyy")</f>
        <v>Jan-2024</v>
      </c>
      <c r="J774" t="s">
        <v>8</v>
      </c>
      <c r="K774">
        <v>843.13</v>
      </c>
      <c r="L774" t="s">
        <v>687</v>
      </c>
      <c r="M774">
        <v>16</v>
      </c>
    </row>
    <row r="775" spans="1:13" x14ac:dyDescent="0.35">
      <c r="A775" t="s">
        <v>1312</v>
      </c>
      <c r="B775" t="s">
        <v>353</v>
      </c>
      <c r="C775" t="s">
        <v>563</v>
      </c>
      <c r="D775" t="s">
        <v>649</v>
      </c>
      <c r="E775" s="1">
        <v>45276</v>
      </c>
      <c r="F775" s="1">
        <v>45280</v>
      </c>
      <c r="G775" s="1">
        <v>45309</v>
      </c>
      <c r="H775" s="4">
        <f>IF(Claims_Cleaned[[#This Row],[processed_date]]="","",Claims_Cleaned[[#This Row],[processed_date]]-Claims_Cleaned[[#This Row],[submission_date]])</f>
        <v>29</v>
      </c>
      <c r="I775" s="4" t="str">
        <f>TEXT(Claims_Cleaned[[#This Row],[claim_date]],"mmm-yyyy")</f>
        <v>Dec-2023</v>
      </c>
      <c r="J775" t="s">
        <v>20</v>
      </c>
      <c r="K775">
        <v>843.06</v>
      </c>
      <c r="L775" t="s">
        <v>687</v>
      </c>
      <c r="M775">
        <v>29</v>
      </c>
    </row>
    <row r="776" spans="1:13" x14ac:dyDescent="0.35">
      <c r="A776" t="s">
        <v>953</v>
      </c>
      <c r="B776" t="s">
        <v>182</v>
      </c>
      <c r="C776" t="s">
        <v>524</v>
      </c>
      <c r="D776" t="s">
        <v>649</v>
      </c>
      <c r="E776" s="1">
        <v>45485</v>
      </c>
      <c r="F776" s="1">
        <v>45489</v>
      </c>
      <c r="G776" s="1">
        <v>45511</v>
      </c>
      <c r="H776" s="4">
        <f>IF(Claims_Cleaned[[#This Row],[processed_date]]="","",Claims_Cleaned[[#This Row],[processed_date]]-Claims_Cleaned[[#This Row],[submission_date]])</f>
        <v>22</v>
      </c>
      <c r="I776" s="4" t="str">
        <f>TEXT(Claims_Cleaned[[#This Row],[claim_date]],"mmm-yyyy")</f>
        <v>Jul-2024</v>
      </c>
      <c r="J776" t="s">
        <v>11</v>
      </c>
      <c r="K776">
        <v>843.05</v>
      </c>
      <c r="L776" t="s">
        <v>683</v>
      </c>
      <c r="M776">
        <v>22</v>
      </c>
    </row>
    <row r="777" spans="1:13" x14ac:dyDescent="0.35">
      <c r="A777" t="s">
        <v>708</v>
      </c>
      <c r="B777" t="s">
        <v>152</v>
      </c>
      <c r="C777" t="s">
        <v>609</v>
      </c>
      <c r="D777" t="s">
        <v>665</v>
      </c>
      <c r="E777" s="1">
        <v>45114</v>
      </c>
      <c r="F777" s="1">
        <v>45119</v>
      </c>
      <c r="G777" s="1">
        <v>45130</v>
      </c>
      <c r="H777" s="4">
        <f>IF(Claims_Cleaned[[#This Row],[processed_date]]="","",Claims_Cleaned[[#This Row],[processed_date]]-Claims_Cleaned[[#This Row],[submission_date]])</f>
        <v>11</v>
      </c>
      <c r="I777" s="4" t="str">
        <f>TEXT(Claims_Cleaned[[#This Row],[claim_date]],"mmm-yyyy")</f>
        <v>Jul-2023</v>
      </c>
      <c r="J777" t="s">
        <v>20</v>
      </c>
      <c r="K777">
        <v>842.86</v>
      </c>
      <c r="L777" t="s">
        <v>683</v>
      </c>
      <c r="M777">
        <v>11</v>
      </c>
    </row>
    <row r="778" spans="1:13" x14ac:dyDescent="0.35">
      <c r="A778" t="s">
        <v>718</v>
      </c>
      <c r="B778" t="s">
        <v>330</v>
      </c>
      <c r="C778" t="s">
        <v>595</v>
      </c>
      <c r="D778" t="s">
        <v>665</v>
      </c>
      <c r="E778" s="1">
        <v>45654</v>
      </c>
      <c r="F778" s="1">
        <v>45658</v>
      </c>
      <c r="G778" s="1">
        <v>45667</v>
      </c>
      <c r="H778" s="4">
        <f>IF(Claims_Cleaned[[#This Row],[processed_date]]="","",Claims_Cleaned[[#This Row],[processed_date]]-Claims_Cleaned[[#This Row],[submission_date]])</f>
        <v>9</v>
      </c>
      <c r="I778" s="4" t="str">
        <f>TEXT(Claims_Cleaned[[#This Row],[claim_date]],"mmm-yyyy")</f>
        <v>Dec-2024</v>
      </c>
      <c r="J778" t="s">
        <v>25</v>
      </c>
      <c r="K778">
        <v>841.38</v>
      </c>
      <c r="L778" t="s">
        <v>683</v>
      </c>
      <c r="M778">
        <v>9</v>
      </c>
    </row>
    <row r="779" spans="1:13" x14ac:dyDescent="0.35">
      <c r="A779" t="s">
        <v>2098</v>
      </c>
      <c r="B779" t="s">
        <v>111</v>
      </c>
      <c r="C779" t="s">
        <v>531</v>
      </c>
      <c r="D779" t="s">
        <v>665</v>
      </c>
      <c r="E779" s="1">
        <v>45252</v>
      </c>
      <c r="F779" s="1">
        <v>45256</v>
      </c>
      <c r="G779" s="1">
        <v>45276</v>
      </c>
      <c r="H779" s="4">
        <f>IF(Claims_Cleaned[[#This Row],[processed_date]]="","",Claims_Cleaned[[#This Row],[processed_date]]-Claims_Cleaned[[#This Row],[submission_date]])</f>
        <v>20</v>
      </c>
      <c r="I779" s="4" t="str">
        <f>TEXT(Claims_Cleaned[[#This Row],[claim_date]],"mmm-yyyy")</f>
        <v>Nov-2023</v>
      </c>
      <c r="J779" t="s">
        <v>8</v>
      </c>
      <c r="K779">
        <v>841.27</v>
      </c>
      <c r="L779" t="s">
        <v>683</v>
      </c>
      <c r="M779">
        <v>20</v>
      </c>
    </row>
    <row r="780" spans="1:13" x14ac:dyDescent="0.35">
      <c r="A780" t="s">
        <v>842</v>
      </c>
      <c r="B780" t="s">
        <v>406</v>
      </c>
      <c r="C780" t="s">
        <v>575</v>
      </c>
      <c r="D780" t="s">
        <v>658</v>
      </c>
      <c r="E780" s="1">
        <v>45125</v>
      </c>
      <c r="F780" s="1">
        <v>45128</v>
      </c>
      <c r="G780" s="1">
        <v>45155</v>
      </c>
      <c r="H780" s="4">
        <f>IF(Claims_Cleaned[[#This Row],[processed_date]]="","",Claims_Cleaned[[#This Row],[processed_date]]-Claims_Cleaned[[#This Row],[submission_date]])</f>
        <v>27</v>
      </c>
      <c r="I780" s="4" t="str">
        <f>TEXT(Claims_Cleaned[[#This Row],[claim_date]],"mmm-yyyy")</f>
        <v>Jul-2023</v>
      </c>
      <c r="J780" t="s">
        <v>11</v>
      </c>
      <c r="K780">
        <v>841.23</v>
      </c>
      <c r="L780" t="s">
        <v>683</v>
      </c>
      <c r="M780">
        <v>27</v>
      </c>
    </row>
    <row r="781" spans="1:13" x14ac:dyDescent="0.35">
      <c r="A781" t="s">
        <v>2590</v>
      </c>
      <c r="B781" t="s">
        <v>473</v>
      </c>
      <c r="C781" t="s">
        <v>577</v>
      </c>
      <c r="D781" t="s">
        <v>665</v>
      </c>
      <c r="E781" s="1">
        <v>44945</v>
      </c>
      <c r="F781" s="1">
        <v>44946</v>
      </c>
      <c r="G781" s="1">
        <v>44957</v>
      </c>
      <c r="H781" s="4">
        <f>IF(Claims_Cleaned[[#This Row],[processed_date]]="","",Claims_Cleaned[[#This Row],[processed_date]]-Claims_Cleaned[[#This Row],[submission_date]])</f>
        <v>11</v>
      </c>
      <c r="I781" s="4" t="str">
        <f>TEXT(Claims_Cleaned[[#This Row],[claim_date]],"mmm-yyyy")</f>
        <v>Jan-2023</v>
      </c>
      <c r="J781" t="s">
        <v>11</v>
      </c>
      <c r="K781">
        <v>841.23</v>
      </c>
      <c r="L781" t="s">
        <v>683</v>
      </c>
      <c r="M781">
        <v>11</v>
      </c>
    </row>
    <row r="782" spans="1:13" x14ac:dyDescent="0.35">
      <c r="A782" t="s">
        <v>2666</v>
      </c>
      <c r="B782" t="s">
        <v>27</v>
      </c>
      <c r="C782" t="s">
        <v>591</v>
      </c>
      <c r="D782" t="s">
        <v>631</v>
      </c>
      <c r="E782" s="1">
        <v>44975</v>
      </c>
      <c r="F782" s="1">
        <v>44976</v>
      </c>
      <c r="G782" s="1">
        <v>44985</v>
      </c>
      <c r="H782" s="4">
        <f>IF(Claims_Cleaned[[#This Row],[processed_date]]="","",Claims_Cleaned[[#This Row],[processed_date]]-Claims_Cleaned[[#This Row],[submission_date]])</f>
        <v>9</v>
      </c>
      <c r="I782" s="4" t="str">
        <f>TEXT(Claims_Cleaned[[#This Row],[claim_date]],"mmm-yyyy")</f>
        <v>Feb-2023</v>
      </c>
      <c r="J782" t="s">
        <v>20</v>
      </c>
      <c r="K782">
        <v>839.39</v>
      </c>
      <c r="L782" t="s">
        <v>683</v>
      </c>
      <c r="M782">
        <v>9</v>
      </c>
    </row>
    <row r="783" spans="1:13" x14ac:dyDescent="0.35">
      <c r="A783" t="s">
        <v>1488</v>
      </c>
      <c r="B783" t="s">
        <v>312</v>
      </c>
      <c r="C783" t="s">
        <v>524</v>
      </c>
      <c r="D783" t="s">
        <v>658</v>
      </c>
      <c r="E783" s="1">
        <v>45073</v>
      </c>
      <c r="F783" s="1">
        <v>45075</v>
      </c>
      <c r="G783" s="1">
        <v>45099</v>
      </c>
      <c r="H783" s="4">
        <f>IF(Claims_Cleaned[[#This Row],[processed_date]]="","",Claims_Cleaned[[#This Row],[processed_date]]-Claims_Cleaned[[#This Row],[submission_date]])</f>
        <v>24</v>
      </c>
      <c r="I783" s="4" t="str">
        <f>TEXT(Claims_Cleaned[[#This Row],[claim_date]],"mmm-yyyy")</f>
        <v>May-2023</v>
      </c>
      <c r="J783" t="s">
        <v>11</v>
      </c>
      <c r="K783">
        <v>837.15</v>
      </c>
      <c r="L783" t="s">
        <v>683</v>
      </c>
      <c r="M783">
        <v>24</v>
      </c>
    </row>
    <row r="784" spans="1:13" x14ac:dyDescent="0.35">
      <c r="A784" t="s">
        <v>1293</v>
      </c>
      <c r="B784" t="s">
        <v>441</v>
      </c>
      <c r="C784" t="s">
        <v>597</v>
      </c>
      <c r="D784" t="s">
        <v>649</v>
      </c>
      <c r="E784" s="1">
        <v>45031</v>
      </c>
      <c r="F784" s="1">
        <v>45033</v>
      </c>
      <c r="G784" s="1">
        <v>45061</v>
      </c>
      <c r="H784" s="4">
        <f>IF(Claims_Cleaned[[#This Row],[processed_date]]="","",Claims_Cleaned[[#This Row],[processed_date]]-Claims_Cleaned[[#This Row],[submission_date]])</f>
        <v>28</v>
      </c>
      <c r="I784" s="4" t="str">
        <f>TEXT(Claims_Cleaned[[#This Row],[claim_date]],"mmm-yyyy")</f>
        <v>Apr-2023</v>
      </c>
      <c r="J784" t="s">
        <v>11</v>
      </c>
      <c r="K784">
        <v>835.32</v>
      </c>
      <c r="L784" t="s">
        <v>683</v>
      </c>
      <c r="M784">
        <v>28</v>
      </c>
    </row>
    <row r="785" spans="1:13" x14ac:dyDescent="0.35">
      <c r="A785" t="s">
        <v>2025</v>
      </c>
      <c r="B785" t="s">
        <v>446</v>
      </c>
      <c r="C785" t="s">
        <v>607</v>
      </c>
      <c r="D785" t="s">
        <v>649</v>
      </c>
      <c r="E785" s="1">
        <v>44984</v>
      </c>
      <c r="F785" s="1">
        <v>44986</v>
      </c>
      <c r="G785" s="1">
        <v>44996</v>
      </c>
      <c r="H785" s="4">
        <f>IF(Claims_Cleaned[[#This Row],[processed_date]]="","",Claims_Cleaned[[#This Row],[processed_date]]-Claims_Cleaned[[#This Row],[submission_date]])</f>
        <v>10</v>
      </c>
      <c r="I785" s="4" t="str">
        <f>TEXT(Claims_Cleaned[[#This Row],[claim_date]],"mmm-yyyy")</f>
        <v>Feb-2023</v>
      </c>
      <c r="J785" t="s">
        <v>8</v>
      </c>
      <c r="K785">
        <v>833.57</v>
      </c>
      <c r="L785" t="s">
        <v>683</v>
      </c>
      <c r="M785">
        <v>10</v>
      </c>
    </row>
    <row r="786" spans="1:13" x14ac:dyDescent="0.35">
      <c r="A786" t="s">
        <v>1019</v>
      </c>
      <c r="B786" t="s">
        <v>309</v>
      </c>
      <c r="C786" t="s">
        <v>563</v>
      </c>
      <c r="D786" t="s">
        <v>665</v>
      </c>
      <c r="E786" s="1">
        <v>45152</v>
      </c>
      <c r="F786" s="1">
        <v>45155</v>
      </c>
      <c r="G786" s="1">
        <v>45175</v>
      </c>
      <c r="H786" s="4">
        <f>IF(Claims_Cleaned[[#This Row],[processed_date]]="","",Claims_Cleaned[[#This Row],[processed_date]]-Claims_Cleaned[[#This Row],[submission_date]])</f>
        <v>20</v>
      </c>
      <c r="I786" s="4" t="str">
        <f>TEXT(Claims_Cleaned[[#This Row],[claim_date]],"mmm-yyyy")</f>
        <v>Aug-2023</v>
      </c>
      <c r="J786" t="s">
        <v>13</v>
      </c>
      <c r="K786">
        <v>833.26</v>
      </c>
      <c r="L786" t="s">
        <v>683</v>
      </c>
      <c r="M786">
        <v>20</v>
      </c>
    </row>
    <row r="787" spans="1:13" x14ac:dyDescent="0.35">
      <c r="A787" t="s">
        <v>2266</v>
      </c>
      <c r="B787" t="s">
        <v>38</v>
      </c>
      <c r="C787" t="s">
        <v>561</v>
      </c>
      <c r="D787" t="s">
        <v>649</v>
      </c>
      <c r="E787" s="1">
        <v>45485</v>
      </c>
      <c r="F787" s="1">
        <v>45487</v>
      </c>
      <c r="G787" s="1">
        <v>45502</v>
      </c>
      <c r="H787" s="4">
        <f>IF(Claims_Cleaned[[#This Row],[processed_date]]="","",Claims_Cleaned[[#This Row],[processed_date]]-Claims_Cleaned[[#This Row],[submission_date]])</f>
        <v>15</v>
      </c>
      <c r="I787" s="4" t="str">
        <f>TEXT(Claims_Cleaned[[#This Row],[claim_date]],"mmm-yyyy")</f>
        <v>Jul-2024</v>
      </c>
      <c r="J787" t="s">
        <v>8</v>
      </c>
      <c r="K787">
        <v>832.99</v>
      </c>
      <c r="L787" t="s">
        <v>683</v>
      </c>
      <c r="M787">
        <v>15</v>
      </c>
    </row>
    <row r="788" spans="1:13" x14ac:dyDescent="0.35">
      <c r="A788" t="s">
        <v>1763</v>
      </c>
      <c r="B788" t="s">
        <v>343</v>
      </c>
      <c r="C788" t="s">
        <v>611</v>
      </c>
      <c r="D788" t="s">
        <v>631</v>
      </c>
      <c r="E788" s="1">
        <v>45491</v>
      </c>
      <c r="F788" s="1">
        <v>45495</v>
      </c>
      <c r="G788" s="1">
        <v>45525</v>
      </c>
      <c r="H788" s="4">
        <f>IF(Claims_Cleaned[[#This Row],[processed_date]]="","",Claims_Cleaned[[#This Row],[processed_date]]-Claims_Cleaned[[#This Row],[submission_date]])</f>
        <v>30</v>
      </c>
      <c r="I788" s="4" t="str">
        <f>TEXT(Claims_Cleaned[[#This Row],[claim_date]],"mmm-yyyy")</f>
        <v>Jul-2024</v>
      </c>
      <c r="J788" t="s">
        <v>8</v>
      </c>
      <c r="K788">
        <v>832.34</v>
      </c>
      <c r="L788" t="s">
        <v>683</v>
      </c>
      <c r="M788">
        <v>30</v>
      </c>
    </row>
    <row r="789" spans="1:13" x14ac:dyDescent="0.35">
      <c r="A789" t="s">
        <v>1052</v>
      </c>
      <c r="B789" t="s">
        <v>456</v>
      </c>
      <c r="C789" t="s">
        <v>573</v>
      </c>
      <c r="D789" t="s">
        <v>649</v>
      </c>
      <c r="E789" s="1">
        <v>45586</v>
      </c>
      <c r="F789" s="1">
        <v>45589</v>
      </c>
      <c r="G789" s="1">
        <v>45596</v>
      </c>
      <c r="H789" s="4">
        <f>IF(Claims_Cleaned[[#This Row],[processed_date]]="","",Claims_Cleaned[[#This Row],[processed_date]]-Claims_Cleaned[[#This Row],[submission_date]])</f>
        <v>7</v>
      </c>
      <c r="I789" s="4" t="str">
        <f>TEXT(Claims_Cleaned[[#This Row],[claim_date]],"mmm-yyyy")</f>
        <v>Oct-2024</v>
      </c>
      <c r="J789" t="s">
        <v>11</v>
      </c>
      <c r="K789">
        <v>830.42</v>
      </c>
      <c r="L789" t="s">
        <v>683</v>
      </c>
      <c r="M789">
        <v>7</v>
      </c>
    </row>
    <row r="790" spans="1:13" x14ac:dyDescent="0.35">
      <c r="A790" t="s">
        <v>1704</v>
      </c>
      <c r="B790" t="s">
        <v>326</v>
      </c>
      <c r="C790" t="s">
        <v>603</v>
      </c>
      <c r="D790" t="s">
        <v>658</v>
      </c>
      <c r="E790" s="1">
        <v>45027</v>
      </c>
      <c r="F790" s="1">
        <v>45031</v>
      </c>
      <c r="G790" s="1">
        <v>45053</v>
      </c>
      <c r="H790" s="4">
        <f>IF(Claims_Cleaned[[#This Row],[processed_date]]="","",Claims_Cleaned[[#This Row],[processed_date]]-Claims_Cleaned[[#This Row],[submission_date]])</f>
        <v>22</v>
      </c>
      <c r="I790" s="4" t="str">
        <f>TEXT(Claims_Cleaned[[#This Row],[claim_date]],"mmm-yyyy")</f>
        <v>Apr-2023</v>
      </c>
      <c r="J790" t="s">
        <v>20</v>
      </c>
      <c r="K790">
        <v>829.99</v>
      </c>
      <c r="L790" t="s">
        <v>683</v>
      </c>
      <c r="M790">
        <v>22</v>
      </c>
    </row>
    <row r="791" spans="1:13" x14ac:dyDescent="0.35">
      <c r="A791" t="s">
        <v>1422</v>
      </c>
      <c r="B791" t="s">
        <v>406</v>
      </c>
      <c r="C791" t="s">
        <v>565</v>
      </c>
      <c r="D791" t="s">
        <v>631</v>
      </c>
      <c r="E791" s="1">
        <v>45426</v>
      </c>
      <c r="F791" s="1">
        <v>45431</v>
      </c>
      <c r="G791" s="1">
        <v>45443</v>
      </c>
      <c r="H791" s="4">
        <f>IF(Claims_Cleaned[[#This Row],[processed_date]]="","",Claims_Cleaned[[#This Row],[processed_date]]-Claims_Cleaned[[#This Row],[submission_date]])</f>
        <v>12</v>
      </c>
      <c r="I791" s="4" t="str">
        <f>TEXT(Claims_Cleaned[[#This Row],[claim_date]],"mmm-yyyy")</f>
        <v>May-2024</v>
      </c>
      <c r="J791" t="s">
        <v>11</v>
      </c>
      <c r="K791">
        <v>829.93</v>
      </c>
      <c r="L791" t="s">
        <v>683</v>
      </c>
      <c r="M791">
        <v>12</v>
      </c>
    </row>
    <row r="792" spans="1:13" x14ac:dyDescent="0.35">
      <c r="A792" t="s">
        <v>2299</v>
      </c>
      <c r="B792" t="s">
        <v>416</v>
      </c>
      <c r="C792" t="s">
        <v>549</v>
      </c>
      <c r="D792" t="s">
        <v>649</v>
      </c>
      <c r="E792" s="1">
        <v>45607</v>
      </c>
      <c r="F792" s="1">
        <v>45612</v>
      </c>
      <c r="G792" s="1">
        <v>45642</v>
      </c>
      <c r="H792" s="4">
        <f>IF(Claims_Cleaned[[#This Row],[processed_date]]="","",Claims_Cleaned[[#This Row],[processed_date]]-Claims_Cleaned[[#This Row],[submission_date]])</f>
        <v>30</v>
      </c>
      <c r="I792" s="4" t="str">
        <f>TEXT(Claims_Cleaned[[#This Row],[claim_date]],"mmm-yyyy")</f>
        <v>Nov-2024</v>
      </c>
      <c r="J792" t="s">
        <v>13</v>
      </c>
      <c r="K792">
        <v>829.61</v>
      </c>
      <c r="L792" t="s">
        <v>687</v>
      </c>
      <c r="M792">
        <v>30</v>
      </c>
    </row>
    <row r="793" spans="1:13" x14ac:dyDescent="0.35">
      <c r="A793" t="s">
        <v>849</v>
      </c>
      <c r="B793" t="s">
        <v>429</v>
      </c>
      <c r="C793" t="s">
        <v>537</v>
      </c>
      <c r="D793" t="s">
        <v>658</v>
      </c>
      <c r="E793" s="1">
        <v>45240</v>
      </c>
      <c r="F793" s="1">
        <v>45242</v>
      </c>
      <c r="G793" s="1">
        <v>45256</v>
      </c>
      <c r="H793" s="4">
        <f>IF(Claims_Cleaned[[#This Row],[processed_date]]="","",Claims_Cleaned[[#This Row],[processed_date]]-Claims_Cleaned[[#This Row],[submission_date]])</f>
        <v>14</v>
      </c>
      <c r="I793" s="4" t="str">
        <f>TEXT(Claims_Cleaned[[#This Row],[claim_date]],"mmm-yyyy")</f>
        <v>Nov-2023</v>
      </c>
      <c r="J793" t="s">
        <v>13</v>
      </c>
      <c r="K793">
        <v>829.56</v>
      </c>
      <c r="L793" t="s">
        <v>687</v>
      </c>
      <c r="M793">
        <v>14</v>
      </c>
    </row>
    <row r="794" spans="1:13" x14ac:dyDescent="0.35">
      <c r="A794" t="s">
        <v>990</v>
      </c>
      <c r="B794" t="s">
        <v>258</v>
      </c>
      <c r="C794" t="s">
        <v>524</v>
      </c>
      <c r="D794" t="s">
        <v>631</v>
      </c>
      <c r="E794" s="1">
        <v>45432</v>
      </c>
      <c r="F794" s="1">
        <v>45433</v>
      </c>
      <c r="G794" s="1">
        <v>45455</v>
      </c>
      <c r="H794" s="4">
        <f>IF(Claims_Cleaned[[#This Row],[processed_date]]="","",Claims_Cleaned[[#This Row],[processed_date]]-Claims_Cleaned[[#This Row],[submission_date]])</f>
        <v>22</v>
      </c>
      <c r="I794" s="4" t="str">
        <f>TEXT(Claims_Cleaned[[#This Row],[claim_date]],"mmm-yyyy")</f>
        <v>May-2024</v>
      </c>
      <c r="J794" t="s">
        <v>8</v>
      </c>
      <c r="K794">
        <v>827.76</v>
      </c>
      <c r="L794" t="s">
        <v>683</v>
      </c>
      <c r="M794">
        <v>22</v>
      </c>
    </row>
    <row r="795" spans="1:13" x14ac:dyDescent="0.35">
      <c r="A795" t="s">
        <v>936</v>
      </c>
      <c r="B795" t="s">
        <v>126</v>
      </c>
      <c r="C795" t="s">
        <v>593</v>
      </c>
      <c r="D795" t="s">
        <v>649</v>
      </c>
      <c r="E795" s="1">
        <v>45305</v>
      </c>
      <c r="F795" s="1">
        <v>45308</v>
      </c>
      <c r="G795" s="1">
        <v>45336</v>
      </c>
      <c r="H795" s="4">
        <f>IF(Claims_Cleaned[[#This Row],[processed_date]]="","",Claims_Cleaned[[#This Row],[processed_date]]-Claims_Cleaned[[#This Row],[submission_date]])</f>
        <v>28</v>
      </c>
      <c r="I795" s="4" t="str">
        <f>TEXT(Claims_Cleaned[[#This Row],[claim_date]],"mmm-yyyy")</f>
        <v>Jan-2024</v>
      </c>
      <c r="J795" t="s">
        <v>8</v>
      </c>
      <c r="K795">
        <v>827.39</v>
      </c>
      <c r="L795" t="s">
        <v>687</v>
      </c>
      <c r="M795">
        <v>28</v>
      </c>
    </row>
    <row r="796" spans="1:13" x14ac:dyDescent="0.35">
      <c r="A796" t="s">
        <v>1822</v>
      </c>
      <c r="B796" t="s">
        <v>237</v>
      </c>
      <c r="C796" t="s">
        <v>575</v>
      </c>
      <c r="D796" t="s">
        <v>631</v>
      </c>
      <c r="E796" s="1">
        <v>45655</v>
      </c>
      <c r="F796" s="1">
        <v>45657</v>
      </c>
      <c r="G796" s="1">
        <v>45664</v>
      </c>
      <c r="H796" s="4">
        <f>IF(Claims_Cleaned[[#This Row],[processed_date]]="","",Claims_Cleaned[[#This Row],[processed_date]]-Claims_Cleaned[[#This Row],[submission_date]])</f>
        <v>7</v>
      </c>
      <c r="I796" s="4" t="str">
        <f>TEXT(Claims_Cleaned[[#This Row],[claim_date]],"mmm-yyyy")</f>
        <v>Dec-2024</v>
      </c>
      <c r="J796" t="s">
        <v>11</v>
      </c>
      <c r="K796">
        <v>825.52</v>
      </c>
      <c r="L796" t="s">
        <v>683</v>
      </c>
      <c r="M796">
        <v>7</v>
      </c>
    </row>
    <row r="797" spans="1:13" x14ac:dyDescent="0.35">
      <c r="A797" t="s">
        <v>2237</v>
      </c>
      <c r="B797" t="s">
        <v>73</v>
      </c>
      <c r="C797" t="s">
        <v>521</v>
      </c>
      <c r="D797" t="s">
        <v>665</v>
      </c>
      <c r="E797" s="1">
        <v>45552</v>
      </c>
      <c r="F797" s="1">
        <v>45556</v>
      </c>
      <c r="G797" s="1">
        <v>45565</v>
      </c>
      <c r="H797" s="4">
        <f>IF(Claims_Cleaned[[#This Row],[processed_date]]="","",Claims_Cleaned[[#This Row],[processed_date]]-Claims_Cleaned[[#This Row],[submission_date]])</f>
        <v>9</v>
      </c>
      <c r="I797" s="4" t="str">
        <f>TEXT(Claims_Cleaned[[#This Row],[claim_date]],"mmm-yyyy")</f>
        <v>Sep-2024</v>
      </c>
      <c r="J797" t="s">
        <v>13</v>
      </c>
      <c r="K797">
        <v>824.03</v>
      </c>
      <c r="L797" t="s">
        <v>683</v>
      </c>
      <c r="M797">
        <v>9</v>
      </c>
    </row>
    <row r="798" spans="1:13" x14ac:dyDescent="0.35">
      <c r="A798" t="s">
        <v>1476</v>
      </c>
      <c r="B798" t="s">
        <v>99</v>
      </c>
      <c r="C798" t="s">
        <v>546</v>
      </c>
      <c r="D798" t="s">
        <v>649</v>
      </c>
      <c r="E798" s="1">
        <v>45172</v>
      </c>
      <c r="F798" s="1">
        <v>45176</v>
      </c>
      <c r="G798" s="1">
        <v>45195</v>
      </c>
      <c r="H798" s="4">
        <f>IF(Claims_Cleaned[[#This Row],[processed_date]]="","",Claims_Cleaned[[#This Row],[processed_date]]-Claims_Cleaned[[#This Row],[submission_date]])</f>
        <v>19</v>
      </c>
      <c r="I798" s="4" t="str">
        <f>TEXT(Claims_Cleaned[[#This Row],[claim_date]],"mmm-yyyy")</f>
        <v>Sep-2023</v>
      </c>
      <c r="J798" t="s">
        <v>25</v>
      </c>
      <c r="K798">
        <v>821.84</v>
      </c>
      <c r="L798" t="s">
        <v>687</v>
      </c>
      <c r="M798">
        <v>19</v>
      </c>
    </row>
    <row r="799" spans="1:13" x14ac:dyDescent="0.35">
      <c r="A799" t="s">
        <v>1998</v>
      </c>
      <c r="B799" t="s">
        <v>21</v>
      </c>
      <c r="C799" t="s">
        <v>593</v>
      </c>
      <c r="D799" t="s">
        <v>665</v>
      </c>
      <c r="E799" s="1">
        <v>45173</v>
      </c>
      <c r="F799" s="1">
        <v>45176</v>
      </c>
      <c r="G799" s="1">
        <v>45187</v>
      </c>
      <c r="H799" s="4">
        <f>IF(Claims_Cleaned[[#This Row],[processed_date]]="","",Claims_Cleaned[[#This Row],[processed_date]]-Claims_Cleaned[[#This Row],[submission_date]])</f>
        <v>11</v>
      </c>
      <c r="I799" s="4" t="str">
        <f>TEXT(Claims_Cleaned[[#This Row],[claim_date]],"mmm-yyyy")</f>
        <v>Sep-2023</v>
      </c>
      <c r="J799" t="s">
        <v>11</v>
      </c>
      <c r="K799">
        <v>821.43</v>
      </c>
      <c r="L799" t="s">
        <v>683</v>
      </c>
      <c r="M799">
        <v>11</v>
      </c>
    </row>
    <row r="800" spans="1:13" x14ac:dyDescent="0.35">
      <c r="A800" t="s">
        <v>1812</v>
      </c>
      <c r="B800" t="s">
        <v>329</v>
      </c>
      <c r="C800" t="s">
        <v>563</v>
      </c>
      <c r="D800" t="s">
        <v>658</v>
      </c>
      <c r="E800" s="1">
        <v>45299</v>
      </c>
      <c r="F800" s="1">
        <v>45304</v>
      </c>
      <c r="G800" s="1">
        <v>45334</v>
      </c>
      <c r="H800" s="4">
        <f>IF(Claims_Cleaned[[#This Row],[processed_date]]="","",Claims_Cleaned[[#This Row],[processed_date]]-Claims_Cleaned[[#This Row],[submission_date]])</f>
        <v>30</v>
      </c>
      <c r="I800" s="4" t="str">
        <f>TEXT(Claims_Cleaned[[#This Row],[claim_date]],"mmm-yyyy")</f>
        <v>Jan-2024</v>
      </c>
      <c r="J800" t="s">
        <v>13</v>
      </c>
      <c r="K800">
        <v>820.55</v>
      </c>
      <c r="L800" t="s">
        <v>683</v>
      </c>
      <c r="M800">
        <v>30</v>
      </c>
    </row>
    <row r="801" spans="1:13" x14ac:dyDescent="0.35">
      <c r="A801" t="s">
        <v>2446</v>
      </c>
      <c r="B801" t="s">
        <v>495</v>
      </c>
      <c r="C801" t="s">
        <v>605</v>
      </c>
      <c r="D801" t="s">
        <v>658</v>
      </c>
      <c r="E801" s="1">
        <v>45620</v>
      </c>
      <c r="F801" s="1">
        <v>45621</v>
      </c>
      <c r="G801" s="1">
        <v>45626</v>
      </c>
      <c r="H801" s="4">
        <f>IF(Claims_Cleaned[[#This Row],[processed_date]]="","",Claims_Cleaned[[#This Row],[processed_date]]-Claims_Cleaned[[#This Row],[submission_date]])</f>
        <v>5</v>
      </c>
      <c r="I801" s="4" t="str">
        <f>TEXT(Claims_Cleaned[[#This Row],[claim_date]],"mmm-yyyy")</f>
        <v>Nov-2024</v>
      </c>
      <c r="J801" t="s">
        <v>13</v>
      </c>
      <c r="K801">
        <v>820.51</v>
      </c>
      <c r="L801" t="s">
        <v>683</v>
      </c>
      <c r="M801">
        <v>5</v>
      </c>
    </row>
    <row r="802" spans="1:13" x14ac:dyDescent="0.35">
      <c r="A802" t="s">
        <v>2382</v>
      </c>
      <c r="B802" t="s">
        <v>145</v>
      </c>
      <c r="C802" t="s">
        <v>561</v>
      </c>
      <c r="D802" t="s">
        <v>665</v>
      </c>
      <c r="E802" s="1">
        <v>45345</v>
      </c>
      <c r="F802" s="1">
        <v>45350</v>
      </c>
      <c r="G802" s="1">
        <v>45369</v>
      </c>
      <c r="H802" s="4">
        <f>IF(Claims_Cleaned[[#This Row],[processed_date]]="","",Claims_Cleaned[[#This Row],[processed_date]]-Claims_Cleaned[[#This Row],[submission_date]])</f>
        <v>19</v>
      </c>
      <c r="I802" s="4" t="str">
        <f>TEXT(Claims_Cleaned[[#This Row],[claim_date]],"mmm-yyyy")</f>
        <v>Feb-2024</v>
      </c>
      <c r="J802" t="s">
        <v>8</v>
      </c>
      <c r="K802">
        <v>820.35</v>
      </c>
      <c r="L802" t="s">
        <v>683</v>
      </c>
      <c r="M802">
        <v>19</v>
      </c>
    </row>
    <row r="803" spans="1:13" x14ac:dyDescent="0.35">
      <c r="A803" t="s">
        <v>2533</v>
      </c>
      <c r="B803" t="s">
        <v>364</v>
      </c>
      <c r="C803" t="s">
        <v>567</v>
      </c>
      <c r="D803" t="s">
        <v>665</v>
      </c>
      <c r="E803" s="1">
        <v>45340</v>
      </c>
      <c r="F803" s="1">
        <v>45342</v>
      </c>
      <c r="G803" s="1"/>
      <c r="H803" s="4" t="str">
        <f>IF(Claims_Cleaned[[#This Row],[processed_date]]="","",Claims_Cleaned[[#This Row],[processed_date]]-Claims_Cleaned[[#This Row],[submission_date]])</f>
        <v/>
      </c>
      <c r="I803" s="4" t="str">
        <f>TEXT(Claims_Cleaned[[#This Row],[claim_date]],"mmm-yyyy")</f>
        <v>Feb-2024</v>
      </c>
      <c r="J803" t="s">
        <v>11</v>
      </c>
      <c r="K803">
        <v>819.85</v>
      </c>
      <c r="L803" t="s">
        <v>689</v>
      </c>
    </row>
    <row r="804" spans="1:13" x14ac:dyDescent="0.35">
      <c r="A804" t="s">
        <v>1518</v>
      </c>
      <c r="B804" t="s">
        <v>298</v>
      </c>
      <c r="C804" t="s">
        <v>561</v>
      </c>
      <c r="D804" t="s">
        <v>631</v>
      </c>
      <c r="E804" s="1">
        <v>45501</v>
      </c>
      <c r="F804" s="1">
        <v>45502</v>
      </c>
      <c r="G804" s="1">
        <v>45523</v>
      </c>
      <c r="H804" s="4">
        <f>IF(Claims_Cleaned[[#This Row],[processed_date]]="","",Claims_Cleaned[[#This Row],[processed_date]]-Claims_Cleaned[[#This Row],[submission_date]])</f>
        <v>21</v>
      </c>
      <c r="I804" s="4" t="str">
        <f>TEXT(Claims_Cleaned[[#This Row],[claim_date]],"mmm-yyyy")</f>
        <v>Jul-2024</v>
      </c>
      <c r="J804" t="s">
        <v>11</v>
      </c>
      <c r="K804">
        <v>819.82</v>
      </c>
      <c r="L804" t="s">
        <v>683</v>
      </c>
      <c r="M804">
        <v>21</v>
      </c>
    </row>
    <row r="805" spans="1:13" x14ac:dyDescent="0.35">
      <c r="A805" t="s">
        <v>1042</v>
      </c>
      <c r="B805" t="s">
        <v>455</v>
      </c>
      <c r="C805" t="s">
        <v>579</v>
      </c>
      <c r="D805" t="s">
        <v>658</v>
      </c>
      <c r="E805" s="1">
        <v>45215</v>
      </c>
      <c r="F805" s="1">
        <v>45216</v>
      </c>
      <c r="G805" s="1">
        <v>45230</v>
      </c>
      <c r="H805" s="4">
        <f>IF(Claims_Cleaned[[#This Row],[processed_date]]="","",Claims_Cleaned[[#This Row],[processed_date]]-Claims_Cleaned[[#This Row],[submission_date]])</f>
        <v>14</v>
      </c>
      <c r="I805" s="4" t="str">
        <f>TEXT(Claims_Cleaned[[#This Row],[claim_date]],"mmm-yyyy")</f>
        <v>Oct-2023</v>
      </c>
      <c r="J805" t="s">
        <v>13</v>
      </c>
      <c r="K805">
        <v>817.35</v>
      </c>
      <c r="L805" t="s">
        <v>683</v>
      </c>
      <c r="M805">
        <v>14</v>
      </c>
    </row>
    <row r="806" spans="1:13" x14ac:dyDescent="0.35">
      <c r="A806" t="s">
        <v>1029</v>
      </c>
      <c r="B806" t="s">
        <v>440</v>
      </c>
      <c r="C806" t="s">
        <v>585</v>
      </c>
      <c r="D806" t="s">
        <v>658</v>
      </c>
      <c r="E806" s="1">
        <v>45618</v>
      </c>
      <c r="F806" s="1">
        <v>45623</v>
      </c>
      <c r="G806" s="1">
        <v>45628</v>
      </c>
      <c r="H806" s="4">
        <f>IF(Claims_Cleaned[[#This Row],[processed_date]]="","",Claims_Cleaned[[#This Row],[processed_date]]-Claims_Cleaned[[#This Row],[submission_date]])</f>
        <v>5</v>
      </c>
      <c r="I806" s="4" t="str">
        <f>TEXT(Claims_Cleaned[[#This Row],[claim_date]],"mmm-yyyy")</f>
        <v>Nov-2024</v>
      </c>
      <c r="J806" t="s">
        <v>20</v>
      </c>
      <c r="K806">
        <v>813.75</v>
      </c>
      <c r="L806" t="s">
        <v>683</v>
      </c>
      <c r="M806">
        <v>5</v>
      </c>
    </row>
    <row r="807" spans="1:13" x14ac:dyDescent="0.35">
      <c r="A807" t="s">
        <v>1068</v>
      </c>
      <c r="B807" t="s">
        <v>135</v>
      </c>
      <c r="C807" t="s">
        <v>540</v>
      </c>
      <c r="D807" t="s">
        <v>631</v>
      </c>
      <c r="E807" s="1">
        <v>45386</v>
      </c>
      <c r="F807" s="1">
        <v>45388</v>
      </c>
      <c r="G807" s="1">
        <v>45416</v>
      </c>
      <c r="H807" s="4">
        <f>IF(Claims_Cleaned[[#This Row],[processed_date]]="","",Claims_Cleaned[[#This Row],[processed_date]]-Claims_Cleaned[[#This Row],[submission_date]])</f>
        <v>28</v>
      </c>
      <c r="I807" s="4" t="str">
        <f>TEXT(Claims_Cleaned[[#This Row],[claim_date]],"mmm-yyyy")</f>
        <v>Apr-2024</v>
      </c>
      <c r="J807" t="s">
        <v>8</v>
      </c>
      <c r="K807">
        <v>813.71</v>
      </c>
      <c r="L807" t="s">
        <v>683</v>
      </c>
      <c r="M807">
        <v>28</v>
      </c>
    </row>
    <row r="808" spans="1:13" x14ac:dyDescent="0.35">
      <c r="A808" t="s">
        <v>2450</v>
      </c>
      <c r="B808" t="s">
        <v>170</v>
      </c>
      <c r="C808" t="s">
        <v>601</v>
      </c>
      <c r="D808" t="s">
        <v>649</v>
      </c>
      <c r="E808" s="1">
        <v>45113</v>
      </c>
      <c r="F808" s="1">
        <v>45117</v>
      </c>
      <c r="G808" s="1">
        <v>45129</v>
      </c>
      <c r="H808" s="4">
        <f>IF(Claims_Cleaned[[#This Row],[processed_date]]="","",Claims_Cleaned[[#This Row],[processed_date]]-Claims_Cleaned[[#This Row],[submission_date]])</f>
        <v>12</v>
      </c>
      <c r="I808" s="4" t="str">
        <f>TEXT(Claims_Cleaned[[#This Row],[claim_date]],"mmm-yyyy")</f>
        <v>Jul-2023</v>
      </c>
      <c r="J808" t="s">
        <v>11</v>
      </c>
      <c r="K808">
        <v>813.19</v>
      </c>
      <c r="L808" t="s">
        <v>683</v>
      </c>
      <c r="M808">
        <v>12</v>
      </c>
    </row>
    <row r="809" spans="1:13" x14ac:dyDescent="0.35">
      <c r="A809" t="s">
        <v>2059</v>
      </c>
      <c r="B809" t="s">
        <v>237</v>
      </c>
      <c r="C809" t="s">
        <v>575</v>
      </c>
      <c r="D809" t="s">
        <v>658</v>
      </c>
      <c r="E809" s="1">
        <v>45325</v>
      </c>
      <c r="F809" s="1">
        <v>45327</v>
      </c>
      <c r="G809" s="1"/>
      <c r="H809" s="4" t="str">
        <f>IF(Claims_Cleaned[[#This Row],[processed_date]]="","",Claims_Cleaned[[#This Row],[processed_date]]-Claims_Cleaned[[#This Row],[submission_date]])</f>
        <v/>
      </c>
      <c r="I809" s="4" t="str">
        <f>TEXT(Claims_Cleaned[[#This Row],[claim_date]],"mmm-yyyy")</f>
        <v>Feb-2024</v>
      </c>
      <c r="J809" t="s">
        <v>11</v>
      </c>
      <c r="K809">
        <v>809.68</v>
      </c>
      <c r="L809" t="s">
        <v>689</v>
      </c>
    </row>
    <row r="810" spans="1:13" x14ac:dyDescent="0.35">
      <c r="A810" t="s">
        <v>1558</v>
      </c>
      <c r="B810" t="s">
        <v>394</v>
      </c>
      <c r="C810" t="s">
        <v>549</v>
      </c>
      <c r="D810" t="s">
        <v>665</v>
      </c>
      <c r="E810" s="1">
        <v>45475</v>
      </c>
      <c r="F810" s="1">
        <v>45479</v>
      </c>
      <c r="G810" s="1">
        <v>45501</v>
      </c>
      <c r="H810" s="4">
        <f>IF(Claims_Cleaned[[#This Row],[processed_date]]="","",Claims_Cleaned[[#This Row],[processed_date]]-Claims_Cleaned[[#This Row],[submission_date]])</f>
        <v>22</v>
      </c>
      <c r="I810" s="4" t="str">
        <f>TEXT(Claims_Cleaned[[#This Row],[claim_date]],"mmm-yyyy")</f>
        <v>Jul-2024</v>
      </c>
      <c r="J810" t="s">
        <v>8</v>
      </c>
      <c r="K810">
        <v>808.77</v>
      </c>
      <c r="L810" t="s">
        <v>683</v>
      </c>
      <c r="M810">
        <v>22</v>
      </c>
    </row>
    <row r="811" spans="1:13" x14ac:dyDescent="0.35">
      <c r="A811" t="s">
        <v>1688</v>
      </c>
      <c r="B811" t="s">
        <v>106</v>
      </c>
      <c r="C811" t="s">
        <v>546</v>
      </c>
      <c r="D811" t="s">
        <v>649</v>
      </c>
      <c r="E811" s="1">
        <v>45124</v>
      </c>
      <c r="F811" s="1">
        <v>45129</v>
      </c>
      <c r="G811" s="1">
        <v>45148</v>
      </c>
      <c r="H811" s="4">
        <f>IF(Claims_Cleaned[[#This Row],[processed_date]]="","",Claims_Cleaned[[#This Row],[processed_date]]-Claims_Cleaned[[#This Row],[submission_date]])</f>
        <v>19</v>
      </c>
      <c r="I811" s="4" t="str">
        <f>TEXT(Claims_Cleaned[[#This Row],[claim_date]],"mmm-yyyy")</f>
        <v>Jul-2023</v>
      </c>
      <c r="J811" t="s">
        <v>11</v>
      </c>
      <c r="K811">
        <v>807.74</v>
      </c>
      <c r="L811" t="s">
        <v>683</v>
      </c>
      <c r="M811">
        <v>19</v>
      </c>
    </row>
    <row r="812" spans="1:13" x14ac:dyDescent="0.35">
      <c r="A812" t="s">
        <v>761</v>
      </c>
      <c r="B812" t="s">
        <v>329</v>
      </c>
      <c r="C812" t="s">
        <v>549</v>
      </c>
      <c r="D812" t="s">
        <v>665</v>
      </c>
      <c r="E812" s="1">
        <v>45636</v>
      </c>
      <c r="F812" s="1">
        <v>45640</v>
      </c>
      <c r="G812" s="1">
        <v>45669</v>
      </c>
      <c r="H812" s="4">
        <f>IF(Claims_Cleaned[[#This Row],[processed_date]]="","",Claims_Cleaned[[#This Row],[processed_date]]-Claims_Cleaned[[#This Row],[submission_date]])</f>
        <v>29</v>
      </c>
      <c r="I812" s="4" t="str">
        <f>TEXT(Claims_Cleaned[[#This Row],[claim_date]],"mmm-yyyy")</f>
        <v>Dec-2024</v>
      </c>
      <c r="J812" t="s">
        <v>13</v>
      </c>
      <c r="K812">
        <v>806.98</v>
      </c>
      <c r="L812" t="s">
        <v>683</v>
      </c>
      <c r="M812">
        <v>29</v>
      </c>
    </row>
    <row r="813" spans="1:13" x14ac:dyDescent="0.35">
      <c r="A813" t="s">
        <v>954</v>
      </c>
      <c r="B813" t="s">
        <v>425</v>
      </c>
      <c r="C813" t="s">
        <v>589</v>
      </c>
      <c r="D813" t="s">
        <v>658</v>
      </c>
      <c r="E813" s="1">
        <v>45164</v>
      </c>
      <c r="F813" s="1">
        <v>45165</v>
      </c>
      <c r="G813" s="1">
        <v>45181</v>
      </c>
      <c r="H813" s="4">
        <f>IF(Claims_Cleaned[[#This Row],[processed_date]]="","",Claims_Cleaned[[#This Row],[processed_date]]-Claims_Cleaned[[#This Row],[submission_date]])</f>
        <v>16</v>
      </c>
      <c r="I813" s="4" t="str">
        <f>TEXT(Claims_Cleaned[[#This Row],[claim_date]],"mmm-yyyy")</f>
        <v>Aug-2023</v>
      </c>
      <c r="J813" t="s">
        <v>25</v>
      </c>
      <c r="K813">
        <v>805.28</v>
      </c>
      <c r="L813" t="s">
        <v>687</v>
      </c>
      <c r="M813">
        <v>16</v>
      </c>
    </row>
    <row r="814" spans="1:13" x14ac:dyDescent="0.35">
      <c r="A814" t="s">
        <v>1808</v>
      </c>
      <c r="B814" t="s">
        <v>387</v>
      </c>
      <c r="C814" t="s">
        <v>611</v>
      </c>
      <c r="D814" t="s">
        <v>658</v>
      </c>
      <c r="E814" s="1">
        <v>44938</v>
      </c>
      <c r="F814" s="1">
        <v>44940</v>
      </c>
      <c r="G814" s="1">
        <v>44954</v>
      </c>
      <c r="H814" s="4">
        <f>IF(Claims_Cleaned[[#This Row],[processed_date]]="","",Claims_Cleaned[[#This Row],[processed_date]]-Claims_Cleaned[[#This Row],[submission_date]])</f>
        <v>14</v>
      </c>
      <c r="I814" s="4" t="str">
        <f>TEXT(Claims_Cleaned[[#This Row],[claim_date]],"mmm-yyyy")</f>
        <v>Jan-2023</v>
      </c>
      <c r="J814" t="s">
        <v>11</v>
      </c>
      <c r="K814">
        <v>802.67</v>
      </c>
      <c r="L814" t="s">
        <v>683</v>
      </c>
      <c r="M814">
        <v>14</v>
      </c>
    </row>
    <row r="815" spans="1:13" x14ac:dyDescent="0.35">
      <c r="A815" t="s">
        <v>2182</v>
      </c>
      <c r="B815" t="s">
        <v>100</v>
      </c>
      <c r="C815" t="s">
        <v>607</v>
      </c>
      <c r="D815" t="s">
        <v>649</v>
      </c>
      <c r="E815" s="1">
        <v>45171</v>
      </c>
      <c r="F815" s="1">
        <v>45176</v>
      </c>
      <c r="G815" s="1">
        <v>45200</v>
      </c>
      <c r="H815" s="4">
        <f>IF(Claims_Cleaned[[#This Row],[processed_date]]="","",Claims_Cleaned[[#This Row],[processed_date]]-Claims_Cleaned[[#This Row],[submission_date]])</f>
        <v>24</v>
      </c>
      <c r="I815" s="4" t="str">
        <f>TEXT(Claims_Cleaned[[#This Row],[claim_date]],"mmm-yyyy")</f>
        <v>Sep-2023</v>
      </c>
      <c r="J815" t="s">
        <v>20</v>
      </c>
      <c r="K815">
        <v>801.06</v>
      </c>
      <c r="L815" t="s">
        <v>683</v>
      </c>
      <c r="M815">
        <v>24</v>
      </c>
    </row>
    <row r="816" spans="1:13" x14ac:dyDescent="0.35">
      <c r="A816" t="s">
        <v>1655</v>
      </c>
      <c r="B816" t="s">
        <v>511</v>
      </c>
      <c r="C816" t="s">
        <v>555</v>
      </c>
      <c r="D816" t="s">
        <v>649</v>
      </c>
      <c r="E816" s="1">
        <v>45216</v>
      </c>
      <c r="F816" s="1">
        <v>45218</v>
      </c>
      <c r="G816" s="1">
        <v>45227</v>
      </c>
      <c r="H816" s="4">
        <f>IF(Claims_Cleaned[[#This Row],[processed_date]]="","",Claims_Cleaned[[#This Row],[processed_date]]-Claims_Cleaned[[#This Row],[submission_date]])</f>
        <v>9</v>
      </c>
      <c r="I816" s="4" t="str">
        <f>TEXT(Claims_Cleaned[[#This Row],[claim_date]],"mmm-yyyy")</f>
        <v>Oct-2023</v>
      </c>
      <c r="J816" t="s">
        <v>11</v>
      </c>
      <c r="K816">
        <v>800.87</v>
      </c>
      <c r="L816" t="s">
        <v>683</v>
      </c>
      <c r="M816">
        <v>9</v>
      </c>
    </row>
    <row r="817" spans="1:13" x14ac:dyDescent="0.35">
      <c r="A817" t="s">
        <v>2009</v>
      </c>
      <c r="B817" t="s">
        <v>430</v>
      </c>
      <c r="C817" t="s">
        <v>534</v>
      </c>
      <c r="D817" t="s">
        <v>658</v>
      </c>
      <c r="E817" s="1">
        <v>45532</v>
      </c>
      <c r="F817" s="1">
        <v>45536</v>
      </c>
      <c r="G817" s="1">
        <v>45560</v>
      </c>
      <c r="H817" s="4">
        <f>IF(Claims_Cleaned[[#This Row],[processed_date]]="","",Claims_Cleaned[[#This Row],[processed_date]]-Claims_Cleaned[[#This Row],[submission_date]])</f>
        <v>24</v>
      </c>
      <c r="I817" s="4" t="str">
        <f>TEXT(Claims_Cleaned[[#This Row],[claim_date]],"mmm-yyyy")</f>
        <v>Aug-2024</v>
      </c>
      <c r="J817" t="s">
        <v>20</v>
      </c>
      <c r="K817">
        <v>798.58</v>
      </c>
      <c r="L817" t="s">
        <v>683</v>
      </c>
      <c r="M817">
        <v>24</v>
      </c>
    </row>
    <row r="818" spans="1:13" x14ac:dyDescent="0.35">
      <c r="A818" t="s">
        <v>1170</v>
      </c>
      <c r="B818" t="s">
        <v>359</v>
      </c>
      <c r="C818" t="s">
        <v>540</v>
      </c>
      <c r="D818" t="s">
        <v>649</v>
      </c>
      <c r="E818" s="1">
        <v>45258</v>
      </c>
      <c r="F818" s="1">
        <v>45261</v>
      </c>
      <c r="G818" s="1">
        <v>45278</v>
      </c>
      <c r="H818" s="4">
        <f>IF(Claims_Cleaned[[#This Row],[processed_date]]="","",Claims_Cleaned[[#This Row],[processed_date]]-Claims_Cleaned[[#This Row],[submission_date]])</f>
        <v>17</v>
      </c>
      <c r="I818" s="4" t="str">
        <f>TEXT(Claims_Cleaned[[#This Row],[claim_date]],"mmm-yyyy")</f>
        <v>Nov-2023</v>
      </c>
      <c r="J818" t="s">
        <v>25</v>
      </c>
      <c r="K818">
        <v>797.63</v>
      </c>
      <c r="L818" t="s">
        <v>687</v>
      </c>
      <c r="M818">
        <v>17</v>
      </c>
    </row>
    <row r="819" spans="1:13" x14ac:dyDescent="0.35">
      <c r="A819" t="s">
        <v>2505</v>
      </c>
      <c r="B819" t="s">
        <v>496</v>
      </c>
      <c r="C819" t="s">
        <v>534</v>
      </c>
      <c r="D819" t="s">
        <v>658</v>
      </c>
      <c r="E819" s="1">
        <v>45245</v>
      </c>
      <c r="F819" s="1">
        <v>45248</v>
      </c>
      <c r="G819" s="1">
        <v>45275</v>
      </c>
      <c r="H819" s="4">
        <f>IF(Claims_Cleaned[[#This Row],[processed_date]]="","",Claims_Cleaned[[#This Row],[processed_date]]-Claims_Cleaned[[#This Row],[submission_date]])</f>
        <v>27</v>
      </c>
      <c r="I819" s="4" t="str">
        <f>TEXT(Claims_Cleaned[[#This Row],[claim_date]],"mmm-yyyy")</f>
        <v>Nov-2023</v>
      </c>
      <c r="J819" t="s">
        <v>13</v>
      </c>
      <c r="K819">
        <v>794.25</v>
      </c>
      <c r="L819" t="s">
        <v>687</v>
      </c>
      <c r="M819">
        <v>27</v>
      </c>
    </row>
    <row r="820" spans="1:13" x14ac:dyDescent="0.35">
      <c r="A820" t="s">
        <v>2116</v>
      </c>
      <c r="B820" t="s">
        <v>203</v>
      </c>
      <c r="C820" t="s">
        <v>555</v>
      </c>
      <c r="D820" t="s">
        <v>658</v>
      </c>
      <c r="E820" s="1">
        <v>45232</v>
      </c>
      <c r="F820" s="1">
        <v>45234</v>
      </c>
      <c r="G820" s="1">
        <v>45250</v>
      </c>
      <c r="H820" s="4">
        <f>IF(Claims_Cleaned[[#This Row],[processed_date]]="","",Claims_Cleaned[[#This Row],[processed_date]]-Claims_Cleaned[[#This Row],[submission_date]])</f>
        <v>16</v>
      </c>
      <c r="I820" s="4" t="str">
        <f>TEXT(Claims_Cleaned[[#This Row],[claim_date]],"mmm-yyyy")</f>
        <v>Nov-2023</v>
      </c>
      <c r="J820" t="s">
        <v>25</v>
      </c>
      <c r="K820">
        <v>792.9</v>
      </c>
      <c r="L820" t="s">
        <v>683</v>
      </c>
      <c r="M820">
        <v>16</v>
      </c>
    </row>
    <row r="821" spans="1:13" x14ac:dyDescent="0.35">
      <c r="A821" t="s">
        <v>2514</v>
      </c>
      <c r="B821" t="s">
        <v>231</v>
      </c>
      <c r="C821" t="s">
        <v>589</v>
      </c>
      <c r="D821" t="s">
        <v>649</v>
      </c>
      <c r="E821" s="1">
        <v>45103</v>
      </c>
      <c r="F821" s="1">
        <v>45108</v>
      </c>
      <c r="G821" s="1">
        <v>45117</v>
      </c>
      <c r="H821" s="4">
        <f>IF(Claims_Cleaned[[#This Row],[processed_date]]="","",Claims_Cleaned[[#This Row],[processed_date]]-Claims_Cleaned[[#This Row],[submission_date]])</f>
        <v>9</v>
      </c>
      <c r="I821" s="4" t="str">
        <f>TEXT(Claims_Cleaned[[#This Row],[claim_date]],"mmm-yyyy")</f>
        <v>Jun-2023</v>
      </c>
      <c r="J821" t="s">
        <v>8</v>
      </c>
      <c r="K821">
        <v>791.91</v>
      </c>
      <c r="L821" t="s">
        <v>683</v>
      </c>
      <c r="M821">
        <v>9</v>
      </c>
    </row>
    <row r="822" spans="1:13" x14ac:dyDescent="0.35">
      <c r="A822" t="s">
        <v>2352</v>
      </c>
      <c r="B822" t="s">
        <v>445</v>
      </c>
      <c r="C822" t="s">
        <v>579</v>
      </c>
      <c r="D822" t="s">
        <v>658</v>
      </c>
      <c r="E822" s="1">
        <v>45192</v>
      </c>
      <c r="F822" s="1">
        <v>45195</v>
      </c>
      <c r="G822" s="1">
        <v>45199</v>
      </c>
      <c r="H822" s="4">
        <f>IF(Claims_Cleaned[[#This Row],[processed_date]]="","",Claims_Cleaned[[#This Row],[processed_date]]-Claims_Cleaned[[#This Row],[submission_date]])</f>
        <v>4</v>
      </c>
      <c r="I822" s="4" t="str">
        <f>TEXT(Claims_Cleaned[[#This Row],[claim_date]],"mmm-yyyy")</f>
        <v>Sep-2023</v>
      </c>
      <c r="J822" t="s">
        <v>20</v>
      </c>
      <c r="K822">
        <v>791.26</v>
      </c>
      <c r="L822" t="s">
        <v>683</v>
      </c>
      <c r="M822">
        <v>4</v>
      </c>
    </row>
    <row r="823" spans="1:13" x14ac:dyDescent="0.35">
      <c r="A823" t="s">
        <v>1937</v>
      </c>
      <c r="B823" t="s">
        <v>189</v>
      </c>
      <c r="C823" t="s">
        <v>609</v>
      </c>
      <c r="D823" t="s">
        <v>658</v>
      </c>
      <c r="E823" s="1">
        <v>45372</v>
      </c>
      <c r="F823" s="1">
        <v>45375</v>
      </c>
      <c r="G823" s="1">
        <v>45402</v>
      </c>
      <c r="H823" s="4">
        <f>IF(Claims_Cleaned[[#This Row],[processed_date]]="","",Claims_Cleaned[[#This Row],[processed_date]]-Claims_Cleaned[[#This Row],[submission_date]])</f>
        <v>27</v>
      </c>
      <c r="I823" s="4" t="str">
        <f>TEXT(Claims_Cleaned[[#This Row],[claim_date]],"mmm-yyyy")</f>
        <v>Mar-2024</v>
      </c>
      <c r="J823" t="s">
        <v>8</v>
      </c>
      <c r="K823">
        <v>789.65</v>
      </c>
      <c r="L823" t="s">
        <v>683</v>
      </c>
      <c r="M823">
        <v>27</v>
      </c>
    </row>
    <row r="824" spans="1:13" x14ac:dyDescent="0.35">
      <c r="A824" t="s">
        <v>919</v>
      </c>
      <c r="B824" t="s">
        <v>84</v>
      </c>
      <c r="C824" t="s">
        <v>599</v>
      </c>
      <c r="D824" t="s">
        <v>665</v>
      </c>
      <c r="E824" s="1">
        <v>45652</v>
      </c>
      <c r="F824" s="1">
        <v>45653</v>
      </c>
      <c r="G824" s="1">
        <v>45683</v>
      </c>
      <c r="H824" s="4">
        <f>IF(Claims_Cleaned[[#This Row],[processed_date]]="","",Claims_Cleaned[[#This Row],[processed_date]]-Claims_Cleaned[[#This Row],[submission_date]])</f>
        <v>30</v>
      </c>
      <c r="I824" s="4" t="str">
        <f>TEXT(Claims_Cleaned[[#This Row],[claim_date]],"mmm-yyyy")</f>
        <v>Dec-2024</v>
      </c>
      <c r="J824" t="s">
        <v>25</v>
      </c>
      <c r="K824">
        <v>789.45</v>
      </c>
      <c r="L824" t="s">
        <v>683</v>
      </c>
      <c r="M824">
        <v>30</v>
      </c>
    </row>
    <row r="825" spans="1:13" x14ac:dyDescent="0.35">
      <c r="A825" t="s">
        <v>1130</v>
      </c>
      <c r="B825" t="s">
        <v>436</v>
      </c>
      <c r="C825" t="s">
        <v>581</v>
      </c>
      <c r="D825" t="s">
        <v>665</v>
      </c>
      <c r="E825" s="1">
        <v>44967</v>
      </c>
      <c r="F825" s="1">
        <v>44970</v>
      </c>
      <c r="G825" s="1"/>
      <c r="H825" s="4" t="str">
        <f>IF(Claims_Cleaned[[#This Row],[processed_date]]="","",Claims_Cleaned[[#This Row],[processed_date]]-Claims_Cleaned[[#This Row],[submission_date]])</f>
        <v/>
      </c>
      <c r="I825" s="4" t="str">
        <f>TEXT(Claims_Cleaned[[#This Row],[claim_date]],"mmm-yyyy")</f>
        <v>Feb-2023</v>
      </c>
      <c r="J825" t="s">
        <v>8</v>
      </c>
      <c r="K825">
        <v>787.36</v>
      </c>
      <c r="L825" t="s">
        <v>689</v>
      </c>
    </row>
    <row r="826" spans="1:13" x14ac:dyDescent="0.35">
      <c r="A826" t="s">
        <v>1439</v>
      </c>
      <c r="B826" t="s">
        <v>165</v>
      </c>
      <c r="C826" t="s">
        <v>543</v>
      </c>
      <c r="D826" t="s">
        <v>658</v>
      </c>
      <c r="E826" s="1">
        <v>45423</v>
      </c>
      <c r="F826" s="1">
        <v>45425</v>
      </c>
      <c r="G826" s="1">
        <v>45437</v>
      </c>
      <c r="H826" s="4">
        <f>IF(Claims_Cleaned[[#This Row],[processed_date]]="","",Claims_Cleaned[[#This Row],[processed_date]]-Claims_Cleaned[[#This Row],[submission_date]])</f>
        <v>12</v>
      </c>
      <c r="I826" s="4" t="str">
        <f>TEXT(Claims_Cleaned[[#This Row],[claim_date]],"mmm-yyyy")</f>
        <v>May-2024</v>
      </c>
      <c r="J826" t="s">
        <v>25</v>
      </c>
      <c r="K826">
        <v>785.34</v>
      </c>
      <c r="L826" t="s">
        <v>687</v>
      </c>
      <c r="M826">
        <v>12</v>
      </c>
    </row>
    <row r="827" spans="1:13" x14ac:dyDescent="0.35">
      <c r="A827" t="s">
        <v>1542</v>
      </c>
      <c r="B827" t="s">
        <v>367</v>
      </c>
      <c r="C827" t="s">
        <v>593</v>
      </c>
      <c r="D827" t="s">
        <v>658</v>
      </c>
      <c r="E827" s="1">
        <v>45212</v>
      </c>
      <c r="F827" s="1">
        <v>45216</v>
      </c>
      <c r="G827" s="1"/>
      <c r="H827" s="4" t="str">
        <f>IF(Claims_Cleaned[[#This Row],[processed_date]]="","",Claims_Cleaned[[#This Row],[processed_date]]-Claims_Cleaned[[#This Row],[submission_date]])</f>
        <v/>
      </c>
      <c r="I827" s="4" t="str">
        <f>TEXT(Claims_Cleaned[[#This Row],[claim_date]],"mmm-yyyy")</f>
        <v>Oct-2023</v>
      </c>
      <c r="J827" t="s">
        <v>11</v>
      </c>
      <c r="K827">
        <v>783.9</v>
      </c>
      <c r="L827" t="s">
        <v>689</v>
      </c>
    </row>
    <row r="828" spans="1:13" x14ac:dyDescent="0.35">
      <c r="A828" t="s">
        <v>2402</v>
      </c>
      <c r="B828" t="s">
        <v>292</v>
      </c>
      <c r="C828" t="s">
        <v>561</v>
      </c>
      <c r="D828" t="s">
        <v>649</v>
      </c>
      <c r="E828" s="1">
        <v>45295</v>
      </c>
      <c r="F828" s="1">
        <v>45296</v>
      </c>
      <c r="G828" s="1">
        <v>45320</v>
      </c>
      <c r="H828" s="4">
        <f>IF(Claims_Cleaned[[#This Row],[processed_date]]="","",Claims_Cleaned[[#This Row],[processed_date]]-Claims_Cleaned[[#This Row],[submission_date]])</f>
        <v>24</v>
      </c>
      <c r="I828" s="4" t="str">
        <f>TEXT(Claims_Cleaned[[#This Row],[claim_date]],"mmm-yyyy")</f>
        <v>Jan-2024</v>
      </c>
      <c r="J828" t="s">
        <v>13</v>
      </c>
      <c r="K828">
        <v>783.68</v>
      </c>
      <c r="L828" t="s">
        <v>683</v>
      </c>
      <c r="M828">
        <v>24</v>
      </c>
    </row>
    <row r="829" spans="1:13" x14ac:dyDescent="0.35">
      <c r="A829" t="s">
        <v>2104</v>
      </c>
      <c r="B829" t="s">
        <v>175</v>
      </c>
      <c r="C829" t="s">
        <v>603</v>
      </c>
      <c r="D829" t="s">
        <v>658</v>
      </c>
      <c r="E829" s="1">
        <v>45011</v>
      </c>
      <c r="F829" s="1">
        <v>45012</v>
      </c>
      <c r="G829" s="1">
        <v>45037</v>
      </c>
      <c r="H829" s="4">
        <f>IF(Claims_Cleaned[[#This Row],[processed_date]]="","",Claims_Cleaned[[#This Row],[processed_date]]-Claims_Cleaned[[#This Row],[submission_date]])</f>
        <v>25</v>
      </c>
      <c r="I829" s="4" t="str">
        <f>TEXT(Claims_Cleaned[[#This Row],[claim_date]],"mmm-yyyy")</f>
        <v>Mar-2023</v>
      </c>
      <c r="J829" t="s">
        <v>20</v>
      </c>
      <c r="K829">
        <v>782.43</v>
      </c>
      <c r="L829" t="s">
        <v>683</v>
      </c>
      <c r="M829">
        <v>25</v>
      </c>
    </row>
    <row r="830" spans="1:13" x14ac:dyDescent="0.35">
      <c r="A830" t="s">
        <v>2102</v>
      </c>
      <c r="B830" t="s">
        <v>506</v>
      </c>
      <c r="C830" t="s">
        <v>537</v>
      </c>
      <c r="D830" t="s">
        <v>649</v>
      </c>
      <c r="E830" s="1">
        <v>45317</v>
      </c>
      <c r="F830" s="1">
        <v>45319</v>
      </c>
      <c r="G830" s="1">
        <v>45330</v>
      </c>
      <c r="H830" s="4">
        <f>IF(Claims_Cleaned[[#This Row],[processed_date]]="","",Claims_Cleaned[[#This Row],[processed_date]]-Claims_Cleaned[[#This Row],[submission_date]])</f>
        <v>11</v>
      </c>
      <c r="I830" s="4" t="str">
        <f>TEXT(Claims_Cleaned[[#This Row],[claim_date]],"mmm-yyyy")</f>
        <v>Jan-2024</v>
      </c>
      <c r="J830" t="s">
        <v>11</v>
      </c>
      <c r="K830">
        <v>782.02</v>
      </c>
      <c r="L830" t="s">
        <v>683</v>
      </c>
      <c r="M830">
        <v>11</v>
      </c>
    </row>
    <row r="831" spans="1:13" x14ac:dyDescent="0.35">
      <c r="A831" t="s">
        <v>2327</v>
      </c>
      <c r="B831" t="s">
        <v>369</v>
      </c>
      <c r="C831" t="s">
        <v>589</v>
      </c>
      <c r="D831" t="s">
        <v>649</v>
      </c>
      <c r="E831" s="1">
        <v>45034</v>
      </c>
      <c r="F831" s="1">
        <v>45039</v>
      </c>
      <c r="G831" s="1">
        <v>45055</v>
      </c>
      <c r="H831" s="4">
        <f>IF(Claims_Cleaned[[#This Row],[processed_date]]="","",Claims_Cleaned[[#This Row],[processed_date]]-Claims_Cleaned[[#This Row],[submission_date]])</f>
        <v>16</v>
      </c>
      <c r="I831" s="4" t="str">
        <f>TEXT(Claims_Cleaned[[#This Row],[claim_date]],"mmm-yyyy")</f>
        <v>Apr-2023</v>
      </c>
      <c r="J831" t="s">
        <v>11</v>
      </c>
      <c r="K831">
        <v>780</v>
      </c>
      <c r="L831" t="s">
        <v>683</v>
      </c>
      <c r="M831">
        <v>16</v>
      </c>
    </row>
    <row r="832" spans="1:13" x14ac:dyDescent="0.35">
      <c r="A832" t="s">
        <v>1553</v>
      </c>
      <c r="B832" t="s">
        <v>262</v>
      </c>
      <c r="C832" t="s">
        <v>534</v>
      </c>
      <c r="D832" t="s">
        <v>649</v>
      </c>
      <c r="E832" s="1">
        <v>45573</v>
      </c>
      <c r="F832" s="1">
        <v>45576</v>
      </c>
      <c r="G832" s="1">
        <v>45591</v>
      </c>
      <c r="H832" s="4">
        <f>IF(Claims_Cleaned[[#This Row],[processed_date]]="","",Claims_Cleaned[[#This Row],[processed_date]]-Claims_Cleaned[[#This Row],[submission_date]])</f>
        <v>15</v>
      </c>
      <c r="I832" s="4" t="str">
        <f>TEXT(Claims_Cleaned[[#This Row],[claim_date]],"mmm-yyyy")</f>
        <v>Oct-2024</v>
      </c>
      <c r="J832" t="s">
        <v>20</v>
      </c>
      <c r="K832">
        <v>779.86</v>
      </c>
      <c r="L832" t="s">
        <v>683</v>
      </c>
      <c r="M832">
        <v>15</v>
      </c>
    </row>
    <row r="833" spans="1:13" x14ac:dyDescent="0.35">
      <c r="A833" t="s">
        <v>2120</v>
      </c>
      <c r="B833" t="s">
        <v>210</v>
      </c>
      <c r="C833" t="s">
        <v>609</v>
      </c>
      <c r="D833" t="s">
        <v>649</v>
      </c>
      <c r="E833" s="1">
        <v>45038</v>
      </c>
      <c r="F833" s="1">
        <v>45043</v>
      </c>
      <c r="G833" s="1">
        <v>45057</v>
      </c>
      <c r="H833" s="4">
        <f>IF(Claims_Cleaned[[#This Row],[processed_date]]="","",Claims_Cleaned[[#This Row],[processed_date]]-Claims_Cleaned[[#This Row],[submission_date]])</f>
        <v>14</v>
      </c>
      <c r="I833" s="4" t="str">
        <f>TEXT(Claims_Cleaned[[#This Row],[claim_date]],"mmm-yyyy")</f>
        <v>Apr-2023</v>
      </c>
      <c r="J833" t="s">
        <v>20</v>
      </c>
      <c r="K833">
        <v>779.85</v>
      </c>
      <c r="L833" t="s">
        <v>683</v>
      </c>
      <c r="M833">
        <v>14</v>
      </c>
    </row>
    <row r="834" spans="1:13" x14ac:dyDescent="0.35">
      <c r="A834" t="s">
        <v>2557</v>
      </c>
      <c r="B834" t="s">
        <v>506</v>
      </c>
      <c r="C834" t="s">
        <v>573</v>
      </c>
      <c r="D834" t="s">
        <v>658</v>
      </c>
      <c r="E834" s="1">
        <v>45588</v>
      </c>
      <c r="F834" s="1">
        <v>45589</v>
      </c>
      <c r="G834" s="1">
        <v>45612</v>
      </c>
      <c r="H834" s="4">
        <f>IF(Claims_Cleaned[[#This Row],[processed_date]]="","",Claims_Cleaned[[#This Row],[processed_date]]-Claims_Cleaned[[#This Row],[submission_date]])</f>
        <v>23</v>
      </c>
      <c r="I834" s="4" t="str">
        <f>TEXT(Claims_Cleaned[[#This Row],[claim_date]],"mmm-yyyy")</f>
        <v>Oct-2024</v>
      </c>
      <c r="J834" t="s">
        <v>11</v>
      </c>
      <c r="K834">
        <v>779.75</v>
      </c>
      <c r="L834" t="s">
        <v>687</v>
      </c>
      <c r="M834">
        <v>23</v>
      </c>
    </row>
    <row r="835" spans="1:13" x14ac:dyDescent="0.35">
      <c r="A835" t="s">
        <v>1067</v>
      </c>
      <c r="B835" t="s">
        <v>239</v>
      </c>
      <c r="C835" t="s">
        <v>611</v>
      </c>
      <c r="D835" t="s">
        <v>649</v>
      </c>
      <c r="E835" s="1">
        <v>45580</v>
      </c>
      <c r="F835" s="1">
        <v>45585</v>
      </c>
      <c r="G835" s="1">
        <v>45605</v>
      </c>
      <c r="H835" s="4">
        <f>IF(Claims_Cleaned[[#This Row],[processed_date]]="","",Claims_Cleaned[[#This Row],[processed_date]]-Claims_Cleaned[[#This Row],[submission_date]])</f>
        <v>20</v>
      </c>
      <c r="I835" s="4" t="str">
        <f>TEXT(Claims_Cleaned[[#This Row],[claim_date]],"mmm-yyyy")</f>
        <v>Oct-2024</v>
      </c>
      <c r="J835" t="s">
        <v>20</v>
      </c>
      <c r="K835">
        <v>778.63</v>
      </c>
      <c r="L835" t="s">
        <v>683</v>
      </c>
      <c r="M835">
        <v>20</v>
      </c>
    </row>
    <row r="836" spans="1:13" x14ac:dyDescent="0.35">
      <c r="A836" t="s">
        <v>2109</v>
      </c>
      <c r="B836" t="s">
        <v>205</v>
      </c>
      <c r="C836" t="s">
        <v>557</v>
      </c>
      <c r="D836" t="s">
        <v>665</v>
      </c>
      <c r="E836" s="1">
        <v>45617</v>
      </c>
      <c r="F836" s="1">
        <v>45622</v>
      </c>
      <c r="G836" s="1">
        <v>45652</v>
      </c>
      <c r="H836" s="4">
        <f>IF(Claims_Cleaned[[#This Row],[processed_date]]="","",Claims_Cleaned[[#This Row],[processed_date]]-Claims_Cleaned[[#This Row],[submission_date]])</f>
        <v>30</v>
      </c>
      <c r="I836" s="4" t="str">
        <f>TEXT(Claims_Cleaned[[#This Row],[claim_date]],"mmm-yyyy")</f>
        <v>Nov-2024</v>
      </c>
      <c r="J836" t="s">
        <v>11</v>
      </c>
      <c r="K836">
        <v>778.6</v>
      </c>
      <c r="L836" t="s">
        <v>683</v>
      </c>
      <c r="M836">
        <v>30</v>
      </c>
    </row>
    <row r="837" spans="1:13" x14ac:dyDescent="0.35">
      <c r="A837" t="s">
        <v>1358</v>
      </c>
      <c r="B837" t="s">
        <v>485</v>
      </c>
      <c r="C837" t="s">
        <v>577</v>
      </c>
      <c r="D837" t="s">
        <v>658</v>
      </c>
      <c r="E837" s="1">
        <v>45216</v>
      </c>
      <c r="F837" s="1">
        <v>45220</v>
      </c>
      <c r="G837" s="1"/>
      <c r="H837" s="4" t="str">
        <f>IF(Claims_Cleaned[[#This Row],[processed_date]]="","",Claims_Cleaned[[#This Row],[processed_date]]-Claims_Cleaned[[#This Row],[submission_date]])</f>
        <v/>
      </c>
      <c r="I837" s="4" t="str">
        <f>TEXT(Claims_Cleaned[[#This Row],[claim_date]],"mmm-yyyy")</f>
        <v>Oct-2023</v>
      </c>
      <c r="J837" t="s">
        <v>8</v>
      </c>
      <c r="K837">
        <v>778.45</v>
      </c>
      <c r="L837" t="s">
        <v>689</v>
      </c>
    </row>
    <row r="838" spans="1:13" x14ac:dyDescent="0.35">
      <c r="A838" t="s">
        <v>2612</v>
      </c>
      <c r="B838" t="s">
        <v>267</v>
      </c>
      <c r="C838" t="s">
        <v>557</v>
      </c>
      <c r="D838" t="s">
        <v>649</v>
      </c>
      <c r="E838" s="1">
        <v>45231</v>
      </c>
      <c r="F838" s="1">
        <v>45234</v>
      </c>
      <c r="G838" s="1">
        <v>45246</v>
      </c>
      <c r="H838" s="4">
        <f>IF(Claims_Cleaned[[#This Row],[processed_date]]="","",Claims_Cleaned[[#This Row],[processed_date]]-Claims_Cleaned[[#This Row],[submission_date]])</f>
        <v>12</v>
      </c>
      <c r="I838" s="4" t="str">
        <f>TEXT(Claims_Cleaned[[#This Row],[claim_date]],"mmm-yyyy")</f>
        <v>Nov-2023</v>
      </c>
      <c r="J838" t="s">
        <v>25</v>
      </c>
      <c r="K838">
        <v>775.54</v>
      </c>
      <c r="L838" t="s">
        <v>687</v>
      </c>
      <c r="M838">
        <v>12</v>
      </c>
    </row>
    <row r="839" spans="1:13" x14ac:dyDescent="0.35">
      <c r="A839" t="s">
        <v>1238</v>
      </c>
      <c r="B839" t="s">
        <v>483</v>
      </c>
      <c r="C839" t="s">
        <v>565</v>
      </c>
      <c r="D839" t="s">
        <v>658</v>
      </c>
      <c r="E839" s="1">
        <v>45475</v>
      </c>
      <c r="F839" s="1">
        <v>45476</v>
      </c>
      <c r="G839" s="1">
        <v>45487</v>
      </c>
      <c r="H839" s="4">
        <f>IF(Claims_Cleaned[[#This Row],[processed_date]]="","",Claims_Cleaned[[#This Row],[processed_date]]-Claims_Cleaned[[#This Row],[submission_date]])</f>
        <v>11</v>
      </c>
      <c r="I839" s="4" t="str">
        <f>TEXT(Claims_Cleaned[[#This Row],[claim_date]],"mmm-yyyy")</f>
        <v>Jul-2024</v>
      </c>
      <c r="J839" t="s">
        <v>11</v>
      </c>
      <c r="K839">
        <v>774.23</v>
      </c>
      <c r="L839" t="s">
        <v>683</v>
      </c>
      <c r="M839">
        <v>11</v>
      </c>
    </row>
    <row r="840" spans="1:13" x14ac:dyDescent="0.35">
      <c r="A840" t="s">
        <v>2349</v>
      </c>
      <c r="B840" t="s">
        <v>111</v>
      </c>
      <c r="C840" t="s">
        <v>605</v>
      </c>
      <c r="D840" t="s">
        <v>658</v>
      </c>
      <c r="E840" s="1">
        <v>44991</v>
      </c>
      <c r="F840" s="1">
        <v>44996</v>
      </c>
      <c r="G840" s="1">
        <v>45000</v>
      </c>
      <c r="H840" s="4">
        <f>IF(Claims_Cleaned[[#This Row],[processed_date]]="","",Claims_Cleaned[[#This Row],[processed_date]]-Claims_Cleaned[[#This Row],[submission_date]])</f>
        <v>4</v>
      </c>
      <c r="I840" s="4" t="str">
        <f>TEXT(Claims_Cleaned[[#This Row],[claim_date]],"mmm-yyyy")</f>
        <v>Mar-2023</v>
      </c>
      <c r="J840" t="s">
        <v>8</v>
      </c>
      <c r="K840">
        <v>773.06</v>
      </c>
      <c r="L840" t="s">
        <v>683</v>
      </c>
      <c r="M840">
        <v>4</v>
      </c>
    </row>
    <row r="841" spans="1:13" x14ac:dyDescent="0.35">
      <c r="A841" t="s">
        <v>769</v>
      </c>
      <c r="B841" t="s">
        <v>154</v>
      </c>
      <c r="C841" t="s">
        <v>559</v>
      </c>
      <c r="D841" t="s">
        <v>658</v>
      </c>
      <c r="E841" s="1">
        <v>45431</v>
      </c>
      <c r="F841" s="1">
        <v>45434</v>
      </c>
      <c r="G841" s="1">
        <v>45448</v>
      </c>
      <c r="H841" s="4">
        <f>IF(Claims_Cleaned[[#This Row],[processed_date]]="","",Claims_Cleaned[[#This Row],[processed_date]]-Claims_Cleaned[[#This Row],[submission_date]])</f>
        <v>14</v>
      </c>
      <c r="I841" s="4" t="str">
        <f>TEXT(Claims_Cleaned[[#This Row],[claim_date]],"mmm-yyyy")</f>
        <v>May-2024</v>
      </c>
      <c r="J841" t="s">
        <v>13</v>
      </c>
      <c r="K841">
        <v>770.58</v>
      </c>
      <c r="L841" t="s">
        <v>687</v>
      </c>
      <c r="M841">
        <v>14</v>
      </c>
    </row>
    <row r="842" spans="1:13" x14ac:dyDescent="0.35">
      <c r="A842" t="s">
        <v>964</v>
      </c>
      <c r="B842" t="s">
        <v>226</v>
      </c>
      <c r="C842" t="s">
        <v>601</v>
      </c>
      <c r="D842" t="s">
        <v>665</v>
      </c>
      <c r="E842" s="1">
        <v>45209</v>
      </c>
      <c r="F842" s="1">
        <v>45212</v>
      </c>
      <c r="G842" s="1">
        <v>45223</v>
      </c>
      <c r="H842" s="4">
        <f>IF(Claims_Cleaned[[#This Row],[processed_date]]="","",Claims_Cleaned[[#This Row],[processed_date]]-Claims_Cleaned[[#This Row],[submission_date]])</f>
        <v>11</v>
      </c>
      <c r="I842" s="4" t="str">
        <f>TEXT(Claims_Cleaned[[#This Row],[claim_date]],"mmm-yyyy")</f>
        <v>Oct-2023</v>
      </c>
      <c r="J842" t="s">
        <v>20</v>
      </c>
      <c r="K842">
        <v>769.52</v>
      </c>
      <c r="L842" t="s">
        <v>683</v>
      </c>
      <c r="M842">
        <v>11</v>
      </c>
    </row>
    <row r="843" spans="1:13" x14ac:dyDescent="0.35">
      <c r="A843" t="s">
        <v>1311</v>
      </c>
      <c r="B843" t="s">
        <v>221</v>
      </c>
      <c r="C843" t="s">
        <v>607</v>
      </c>
      <c r="D843" t="s">
        <v>665</v>
      </c>
      <c r="E843" s="1">
        <v>45313</v>
      </c>
      <c r="F843" s="1">
        <v>45318</v>
      </c>
      <c r="G843" s="1">
        <v>45338</v>
      </c>
      <c r="H843" s="4">
        <f>IF(Claims_Cleaned[[#This Row],[processed_date]]="","",Claims_Cleaned[[#This Row],[processed_date]]-Claims_Cleaned[[#This Row],[submission_date]])</f>
        <v>20</v>
      </c>
      <c r="I843" s="4" t="str">
        <f>TEXT(Claims_Cleaned[[#This Row],[claim_date]],"mmm-yyyy")</f>
        <v>Jan-2024</v>
      </c>
      <c r="J843" t="s">
        <v>20</v>
      </c>
      <c r="K843">
        <v>769.24</v>
      </c>
      <c r="L843" t="s">
        <v>687</v>
      </c>
      <c r="M843">
        <v>20</v>
      </c>
    </row>
    <row r="844" spans="1:13" x14ac:dyDescent="0.35">
      <c r="A844" t="s">
        <v>852</v>
      </c>
      <c r="B844" t="s">
        <v>93</v>
      </c>
      <c r="C844" t="s">
        <v>577</v>
      </c>
      <c r="D844" t="s">
        <v>649</v>
      </c>
      <c r="E844" s="1">
        <v>45507</v>
      </c>
      <c r="F844" s="1">
        <v>45510</v>
      </c>
      <c r="G844" s="1">
        <v>45528</v>
      </c>
      <c r="H844" s="4">
        <f>IF(Claims_Cleaned[[#This Row],[processed_date]]="","",Claims_Cleaned[[#This Row],[processed_date]]-Claims_Cleaned[[#This Row],[submission_date]])</f>
        <v>18</v>
      </c>
      <c r="I844" s="4" t="str">
        <f>TEXT(Claims_Cleaned[[#This Row],[claim_date]],"mmm-yyyy")</f>
        <v>Aug-2024</v>
      </c>
      <c r="J844" t="s">
        <v>20</v>
      </c>
      <c r="K844">
        <v>768.94</v>
      </c>
      <c r="L844" t="s">
        <v>683</v>
      </c>
      <c r="M844">
        <v>18</v>
      </c>
    </row>
    <row r="845" spans="1:13" x14ac:dyDescent="0.35">
      <c r="A845" t="s">
        <v>1135</v>
      </c>
      <c r="B845" t="s">
        <v>117</v>
      </c>
      <c r="C845" t="s">
        <v>575</v>
      </c>
      <c r="D845" t="s">
        <v>658</v>
      </c>
      <c r="E845" s="1">
        <v>45548</v>
      </c>
      <c r="F845" s="1">
        <v>45552</v>
      </c>
      <c r="G845" s="1">
        <v>45563</v>
      </c>
      <c r="H845" s="4">
        <f>IF(Claims_Cleaned[[#This Row],[processed_date]]="","",Claims_Cleaned[[#This Row],[processed_date]]-Claims_Cleaned[[#This Row],[submission_date]])</f>
        <v>11</v>
      </c>
      <c r="I845" s="4" t="str">
        <f>TEXT(Claims_Cleaned[[#This Row],[claim_date]],"mmm-yyyy")</f>
        <v>Sep-2024</v>
      </c>
      <c r="J845" t="s">
        <v>8</v>
      </c>
      <c r="K845">
        <v>768.85</v>
      </c>
      <c r="L845" t="s">
        <v>683</v>
      </c>
      <c r="M845">
        <v>11</v>
      </c>
    </row>
    <row r="846" spans="1:13" x14ac:dyDescent="0.35">
      <c r="A846" t="s">
        <v>2048</v>
      </c>
      <c r="B846" t="s">
        <v>454</v>
      </c>
      <c r="C846" t="s">
        <v>599</v>
      </c>
      <c r="D846" t="s">
        <v>649</v>
      </c>
      <c r="E846" s="1">
        <v>45626</v>
      </c>
      <c r="F846" s="1">
        <v>45628</v>
      </c>
      <c r="G846" s="1">
        <v>45649</v>
      </c>
      <c r="H846" s="4">
        <f>IF(Claims_Cleaned[[#This Row],[processed_date]]="","",Claims_Cleaned[[#This Row],[processed_date]]-Claims_Cleaned[[#This Row],[submission_date]])</f>
        <v>21</v>
      </c>
      <c r="I846" s="4" t="str">
        <f>TEXT(Claims_Cleaned[[#This Row],[claim_date]],"mmm-yyyy")</f>
        <v>Nov-2024</v>
      </c>
      <c r="J846" t="s">
        <v>20</v>
      </c>
      <c r="K846">
        <v>768.39</v>
      </c>
      <c r="L846" t="s">
        <v>687</v>
      </c>
      <c r="M846">
        <v>21</v>
      </c>
    </row>
    <row r="847" spans="1:13" x14ac:dyDescent="0.35">
      <c r="A847" t="s">
        <v>2424</v>
      </c>
      <c r="B847" t="s">
        <v>227</v>
      </c>
      <c r="C847" t="s">
        <v>603</v>
      </c>
      <c r="D847" t="s">
        <v>665</v>
      </c>
      <c r="E847" s="1">
        <v>45264</v>
      </c>
      <c r="F847" s="1">
        <v>45268</v>
      </c>
      <c r="G847" s="1">
        <v>45296</v>
      </c>
      <c r="H847" s="4">
        <f>IF(Claims_Cleaned[[#This Row],[processed_date]]="","",Claims_Cleaned[[#This Row],[processed_date]]-Claims_Cleaned[[#This Row],[submission_date]])</f>
        <v>28</v>
      </c>
      <c r="I847" s="4" t="str">
        <f>TEXT(Claims_Cleaned[[#This Row],[claim_date]],"mmm-yyyy")</f>
        <v>Dec-2023</v>
      </c>
      <c r="J847" t="s">
        <v>8</v>
      </c>
      <c r="K847">
        <v>768.38</v>
      </c>
      <c r="L847" t="s">
        <v>683</v>
      </c>
      <c r="M847">
        <v>28</v>
      </c>
    </row>
    <row r="848" spans="1:13" x14ac:dyDescent="0.35">
      <c r="A848" t="s">
        <v>1687</v>
      </c>
      <c r="B848" t="s">
        <v>33</v>
      </c>
      <c r="C848" t="s">
        <v>611</v>
      </c>
      <c r="D848" t="s">
        <v>665</v>
      </c>
      <c r="E848" s="1">
        <v>45103</v>
      </c>
      <c r="F848" s="1">
        <v>45108</v>
      </c>
      <c r="G848" s="1">
        <v>45112</v>
      </c>
      <c r="H848" s="4">
        <f>IF(Claims_Cleaned[[#This Row],[processed_date]]="","",Claims_Cleaned[[#This Row],[processed_date]]-Claims_Cleaned[[#This Row],[submission_date]])</f>
        <v>4</v>
      </c>
      <c r="I848" s="4" t="str">
        <f>TEXT(Claims_Cleaned[[#This Row],[claim_date]],"mmm-yyyy")</f>
        <v>Jun-2023</v>
      </c>
      <c r="J848" t="s">
        <v>8</v>
      </c>
      <c r="K848">
        <v>767.89</v>
      </c>
      <c r="L848" t="s">
        <v>683</v>
      </c>
      <c r="M848">
        <v>4</v>
      </c>
    </row>
    <row r="849" spans="1:13" x14ac:dyDescent="0.35">
      <c r="A849" t="s">
        <v>1509</v>
      </c>
      <c r="B849" t="s">
        <v>253</v>
      </c>
      <c r="C849" t="s">
        <v>540</v>
      </c>
      <c r="D849" t="s">
        <v>658</v>
      </c>
      <c r="E849" s="1">
        <v>45613</v>
      </c>
      <c r="F849" s="1">
        <v>45617</v>
      </c>
      <c r="G849" s="1">
        <v>45647</v>
      </c>
      <c r="H849" s="4">
        <f>IF(Claims_Cleaned[[#This Row],[processed_date]]="","",Claims_Cleaned[[#This Row],[processed_date]]-Claims_Cleaned[[#This Row],[submission_date]])</f>
        <v>30</v>
      </c>
      <c r="I849" s="4" t="str">
        <f>TEXT(Claims_Cleaned[[#This Row],[claim_date]],"mmm-yyyy")</f>
        <v>Nov-2024</v>
      </c>
      <c r="J849" t="s">
        <v>8</v>
      </c>
      <c r="K849">
        <v>765.95</v>
      </c>
      <c r="L849" t="s">
        <v>683</v>
      </c>
      <c r="M849">
        <v>30</v>
      </c>
    </row>
    <row r="850" spans="1:13" x14ac:dyDescent="0.35">
      <c r="A850" t="s">
        <v>2555</v>
      </c>
      <c r="B850" t="s">
        <v>103</v>
      </c>
      <c r="C850" t="s">
        <v>583</v>
      </c>
      <c r="D850" t="s">
        <v>658</v>
      </c>
      <c r="E850" s="1">
        <v>44944</v>
      </c>
      <c r="F850" s="1">
        <v>44946</v>
      </c>
      <c r="G850" s="1">
        <v>44975</v>
      </c>
      <c r="H850" s="4">
        <f>IF(Claims_Cleaned[[#This Row],[processed_date]]="","",Claims_Cleaned[[#This Row],[processed_date]]-Claims_Cleaned[[#This Row],[submission_date]])</f>
        <v>29</v>
      </c>
      <c r="I850" s="4" t="str">
        <f>TEXT(Claims_Cleaned[[#This Row],[claim_date]],"mmm-yyyy")</f>
        <v>Jan-2023</v>
      </c>
      <c r="J850" t="s">
        <v>20</v>
      </c>
      <c r="K850">
        <v>761.46</v>
      </c>
      <c r="L850" t="s">
        <v>683</v>
      </c>
      <c r="M850">
        <v>29</v>
      </c>
    </row>
    <row r="851" spans="1:13" x14ac:dyDescent="0.35">
      <c r="A851" t="s">
        <v>1103</v>
      </c>
      <c r="B851" t="s">
        <v>432</v>
      </c>
      <c r="C851" t="s">
        <v>557</v>
      </c>
      <c r="D851" t="s">
        <v>658</v>
      </c>
      <c r="E851" s="1">
        <v>45201</v>
      </c>
      <c r="F851" s="1">
        <v>45202</v>
      </c>
      <c r="G851" s="1">
        <v>45222</v>
      </c>
      <c r="H851" s="4">
        <f>IF(Claims_Cleaned[[#This Row],[processed_date]]="","",Claims_Cleaned[[#This Row],[processed_date]]-Claims_Cleaned[[#This Row],[submission_date]])</f>
        <v>20</v>
      </c>
      <c r="I851" s="4" t="str">
        <f>TEXT(Claims_Cleaned[[#This Row],[claim_date]],"mmm-yyyy")</f>
        <v>Oct-2023</v>
      </c>
      <c r="J851" t="s">
        <v>11</v>
      </c>
      <c r="K851">
        <v>760.47</v>
      </c>
      <c r="L851" t="s">
        <v>683</v>
      </c>
      <c r="M851">
        <v>20</v>
      </c>
    </row>
    <row r="852" spans="1:13" x14ac:dyDescent="0.35">
      <c r="A852" t="s">
        <v>1244</v>
      </c>
      <c r="B852" t="s">
        <v>326</v>
      </c>
      <c r="C852" t="s">
        <v>575</v>
      </c>
      <c r="D852" t="s">
        <v>658</v>
      </c>
      <c r="E852" s="1">
        <v>45477</v>
      </c>
      <c r="F852" s="1">
        <v>45478</v>
      </c>
      <c r="G852" s="1">
        <v>45483</v>
      </c>
      <c r="H852" s="4">
        <f>IF(Claims_Cleaned[[#This Row],[processed_date]]="","",Claims_Cleaned[[#This Row],[processed_date]]-Claims_Cleaned[[#This Row],[submission_date]])</f>
        <v>5</v>
      </c>
      <c r="I852" s="4" t="str">
        <f>TEXT(Claims_Cleaned[[#This Row],[claim_date]],"mmm-yyyy")</f>
        <v>Jul-2024</v>
      </c>
      <c r="J852" t="s">
        <v>20</v>
      </c>
      <c r="K852">
        <v>760.17</v>
      </c>
      <c r="L852" t="s">
        <v>683</v>
      </c>
      <c r="M852">
        <v>5</v>
      </c>
    </row>
    <row r="853" spans="1:13" x14ac:dyDescent="0.35">
      <c r="A853" t="s">
        <v>1087</v>
      </c>
      <c r="B853" t="s">
        <v>429</v>
      </c>
      <c r="C853" t="s">
        <v>593</v>
      </c>
      <c r="D853" t="s">
        <v>658</v>
      </c>
      <c r="E853" s="1">
        <v>45628</v>
      </c>
      <c r="F853" s="1">
        <v>45632</v>
      </c>
      <c r="G853" s="1"/>
      <c r="H853" s="4" t="str">
        <f>IF(Claims_Cleaned[[#This Row],[processed_date]]="","",Claims_Cleaned[[#This Row],[processed_date]]-Claims_Cleaned[[#This Row],[submission_date]])</f>
        <v/>
      </c>
      <c r="I853" s="4" t="str">
        <f>TEXT(Claims_Cleaned[[#This Row],[claim_date]],"mmm-yyyy")</f>
        <v>Dec-2024</v>
      </c>
      <c r="J853" t="s">
        <v>13</v>
      </c>
      <c r="K853">
        <v>759.14</v>
      </c>
      <c r="L853" t="s">
        <v>689</v>
      </c>
    </row>
    <row r="854" spans="1:13" x14ac:dyDescent="0.35">
      <c r="A854" t="s">
        <v>2623</v>
      </c>
      <c r="B854" t="s">
        <v>55</v>
      </c>
      <c r="C854" t="s">
        <v>585</v>
      </c>
      <c r="D854" t="s">
        <v>649</v>
      </c>
      <c r="E854" s="1">
        <v>45313</v>
      </c>
      <c r="F854" s="1">
        <v>45318</v>
      </c>
      <c r="G854" s="1">
        <v>45336</v>
      </c>
      <c r="H854" s="4">
        <f>IF(Claims_Cleaned[[#This Row],[processed_date]]="","",Claims_Cleaned[[#This Row],[processed_date]]-Claims_Cleaned[[#This Row],[submission_date]])</f>
        <v>18</v>
      </c>
      <c r="I854" s="4" t="str">
        <f>TEXT(Claims_Cleaned[[#This Row],[claim_date]],"mmm-yyyy")</f>
        <v>Jan-2024</v>
      </c>
      <c r="J854" t="s">
        <v>11</v>
      </c>
      <c r="K854">
        <v>757.74</v>
      </c>
      <c r="L854" t="s">
        <v>683</v>
      </c>
      <c r="M854">
        <v>18</v>
      </c>
    </row>
    <row r="855" spans="1:13" x14ac:dyDescent="0.35">
      <c r="A855" t="s">
        <v>1835</v>
      </c>
      <c r="B855" t="s">
        <v>510</v>
      </c>
      <c r="C855" t="s">
        <v>605</v>
      </c>
      <c r="D855" t="s">
        <v>665</v>
      </c>
      <c r="E855" s="1">
        <v>45338</v>
      </c>
      <c r="F855" s="1">
        <v>45340</v>
      </c>
      <c r="G855" s="1">
        <v>45357</v>
      </c>
      <c r="H855" s="4">
        <f>IF(Claims_Cleaned[[#This Row],[processed_date]]="","",Claims_Cleaned[[#This Row],[processed_date]]-Claims_Cleaned[[#This Row],[submission_date]])</f>
        <v>17</v>
      </c>
      <c r="I855" s="4" t="str">
        <f>TEXT(Claims_Cleaned[[#This Row],[claim_date]],"mmm-yyyy")</f>
        <v>Feb-2024</v>
      </c>
      <c r="J855" t="s">
        <v>11</v>
      </c>
      <c r="K855">
        <v>756.69</v>
      </c>
      <c r="L855" t="s">
        <v>683</v>
      </c>
      <c r="M855">
        <v>17</v>
      </c>
    </row>
    <row r="856" spans="1:13" x14ac:dyDescent="0.35">
      <c r="A856" t="s">
        <v>1895</v>
      </c>
      <c r="B856" t="s">
        <v>345</v>
      </c>
      <c r="C856" t="s">
        <v>577</v>
      </c>
      <c r="D856" t="s">
        <v>649</v>
      </c>
      <c r="E856" s="1">
        <v>45348</v>
      </c>
      <c r="F856" s="1">
        <v>45349</v>
      </c>
      <c r="G856" s="1"/>
      <c r="H856" s="4" t="str">
        <f>IF(Claims_Cleaned[[#This Row],[processed_date]]="","",Claims_Cleaned[[#This Row],[processed_date]]-Claims_Cleaned[[#This Row],[submission_date]])</f>
        <v/>
      </c>
      <c r="I856" s="4" t="str">
        <f>TEXT(Claims_Cleaned[[#This Row],[claim_date]],"mmm-yyyy")</f>
        <v>Feb-2024</v>
      </c>
      <c r="J856" t="s">
        <v>8</v>
      </c>
      <c r="K856">
        <v>756.5</v>
      </c>
      <c r="L856" t="s">
        <v>689</v>
      </c>
    </row>
    <row r="857" spans="1:13" x14ac:dyDescent="0.35">
      <c r="A857" t="s">
        <v>2016</v>
      </c>
      <c r="B857" t="s">
        <v>196</v>
      </c>
      <c r="C857" t="s">
        <v>581</v>
      </c>
      <c r="D857" t="s">
        <v>665</v>
      </c>
      <c r="E857" s="1">
        <v>44943</v>
      </c>
      <c r="F857" s="1">
        <v>44945</v>
      </c>
      <c r="G857" s="1">
        <v>44974</v>
      </c>
      <c r="H857" s="4">
        <f>IF(Claims_Cleaned[[#This Row],[processed_date]]="","",Claims_Cleaned[[#This Row],[processed_date]]-Claims_Cleaned[[#This Row],[submission_date]])</f>
        <v>29</v>
      </c>
      <c r="I857" s="4" t="str">
        <f>TEXT(Claims_Cleaned[[#This Row],[claim_date]],"mmm-yyyy")</f>
        <v>Jan-2023</v>
      </c>
      <c r="J857" t="s">
        <v>13</v>
      </c>
      <c r="K857">
        <v>755.84</v>
      </c>
      <c r="L857" t="s">
        <v>683</v>
      </c>
      <c r="M857">
        <v>29</v>
      </c>
    </row>
    <row r="858" spans="1:13" x14ac:dyDescent="0.35">
      <c r="A858" t="s">
        <v>1095</v>
      </c>
      <c r="B858" t="s">
        <v>74</v>
      </c>
      <c r="C858" t="s">
        <v>561</v>
      </c>
      <c r="D858" t="s">
        <v>665</v>
      </c>
      <c r="E858" s="1">
        <v>45196</v>
      </c>
      <c r="F858" s="1">
        <v>45200</v>
      </c>
      <c r="G858" s="1">
        <v>45211</v>
      </c>
      <c r="H858" s="4">
        <f>IF(Claims_Cleaned[[#This Row],[processed_date]]="","",Claims_Cleaned[[#This Row],[processed_date]]-Claims_Cleaned[[#This Row],[submission_date]])</f>
        <v>11</v>
      </c>
      <c r="I858" s="4" t="str">
        <f>TEXT(Claims_Cleaned[[#This Row],[claim_date]],"mmm-yyyy")</f>
        <v>Sep-2023</v>
      </c>
      <c r="J858" t="s">
        <v>8</v>
      </c>
      <c r="K858">
        <v>755.79</v>
      </c>
      <c r="L858" t="s">
        <v>683</v>
      </c>
      <c r="M858">
        <v>11</v>
      </c>
    </row>
    <row r="859" spans="1:13" x14ac:dyDescent="0.35">
      <c r="A859" t="s">
        <v>1272</v>
      </c>
      <c r="B859" t="s">
        <v>334</v>
      </c>
      <c r="C859" t="s">
        <v>531</v>
      </c>
      <c r="D859" t="s">
        <v>649</v>
      </c>
      <c r="E859" s="1">
        <v>45269</v>
      </c>
      <c r="F859" s="1">
        <v>45270</v>
      </c>
      <c r="G859" s="1">
        <v>45276</v>
      </c>
      <c r="H859" s="4">
        <f>IF(Claims_Cleaned[[#This Row],[processed_date]]="","",Claims_Cleaned[[#This Row],[processed_date]]-Claims_Cleaned[[#This Row],[submission_date]])</f>
        <v>6</v>
      </c>
      <c r="I859" s="4" t="str">
        <f>TEXT(Claims_Cleaned[[#This Row],[claim_date]],"mmm-yyyy")</f>
        <v>Dec-2023</v>
      </c>
      <c r="J859" t="s">
        <v>11</v>
      </c>
      <c r="K859">
        <v>754.45</v>
      </c>
      <c r="L859" t="s">
        <v>683</v>
      </c>
      <c r="M859">
        <v>6</v>
      </c>
    </row>
    <row r="860" spans="1:13" x14ac:dyDescent="0.35">
      <c r="A860" t="s">
        <v>1241</v>
      </c>
      <c r="B860" t="s">
        <v>362</v>
      </c>
      <c r="C860" t="s">
        <v>577</v>
      </c>
      <c r="D860" t="s">
        <v>665</v>
      </c>
      <c r="E860" s="1">
        <v>45497</v>
      </c>
      <c r="F860" s="1">
        <v>45502</v>
      </c>
      <c r="G860" s="1">
        <v>45514</v>
      </c>
      <c r="H860" s="4">
        <f>IF(Claims_Cleaned[[#This Row],[processed_date]]="","",Claims_Cleaned[[#This Row],[processed_date]]-Claims_Cleaned[[#This Row],[submission_date]])</f>
        <v>12</v>
      </c>
      <c r="I860" s="4" t="str">
        <f>TEXT(Claims_Cleaned[[#This Row],[claim_date]],"mmm-yyyy")</f>
        <v>Jul-2024</v>
      </c>
      <c r="J860" t="s">
        <v>25</v>
      </c>
      <c r="K860">
        <v>753.45</v>
      </c>
      <c r="L860" t="s">
        <v>687</v>
      </c>
      <c r="M860">
        <v>12</v>
      </c>
    </row>
    <row r="861" spans="1:13" x14ac:dyDescent="0.35">
      <c r="A861" t="s">
        <v>1002</v>
      </c>
      <c r="B861" t="s">
        <v>75</v>
      </c>
      <c r="C861" t="s">
        <v>569</v>
      </c>
      <c r="D861" t="s">
        <v>649</v>
      </c>
      <c r="E861" s="1">
        <v>45627</v>
      </c>
      <c r="F861" s="1">
        <v>45632</v>
      </c>
      <c r="G861" s="1">
        <v>45648</v>
      </c>
      <c r="H861" s="4">
        <f>IF(Claims_Cleaned[[#This Row],[processed_date]]="","",Claims_Cleaned[[#This Row],[processed_date]]-Claims_Cleaned[[#This Row],[submission_date]])</f>
        <v>16</v>
      </c>
      <c r="I861" s="4" t="str">
        <f>TEXT(Claims_Cleaned[[#This Row],[claim_date]],"mmm-yyyy")</f>
        <v>Dec-2024</v>
      </c>
      <c r="J861" t="s">
        <v>8</v>
      </c>
      <c r="K861">
        <v>753.4</v>
      </c>
      <c r="L861" t="s">
        <v>687</v>
      </c>
      <c r="M861">
        <v>16</v>
      </c>
    </row>
    <row r="862" spans="1:13" x14ac:dyDescent="0.35">
      <c r="A862" t="s">
        <v>926</v>
      </c>
      <c r="B862" t="s">
        <v>90</v>
      </c>
      <c r="C862" t="s">
        <v>573</v>
      </c>
      <c r="D862" t="s">
        <v>669</v>
      </c>
      <c r="E862" s="1">
        <v>45373</v>
      </c>
      <c r="F862" s="1">
        <v>45374</v>
      </c>
      <c r="G862" s="1">
        <v>45382</v>
      </c>
      <c r="H862" s="4">
        <f>IF(Claims_Cleaned[[#This Row],[processed_date]]="","",Claims_Cleaned[[#This Row],[processed_date]]-Claims_Cleaned[[#This Row],[submission_date]])</f>
        <v>8</v>
      </c>
      <c r="I862" s="4" t="str">
        <f>TEXT(Claims_Cleaned[[#This Row],[claim_date]],"mmm-yyyy")</f>
        <v>Mar-2024</v>
      </c>
      <c r="J862" t="s">
        <v>20</v>
      </c>
      <c r="K862">
        <v>749.77</v>
      </c>
      <c r="L862" t="s">
        <v>683</v>
      </c>
      <c r="M862">
        <v>8</v>
      </c>
    </row>
    <row r="863" spans="1:13" x14ac:dyDescent="0.35">
      <c r="A863" t="s">
        <v>739</v>
      </c>
      <c r="B863" t="s">
        <v>495</v>
      </c>
      <c r="C863" t="s">
        <v>543</v>
      </c>
      <c r="D863" t="s">
        <v>665</v>
      </c>
      <c r="E863" s="1">
        <v>45630</v>
      </c>
      <c r="F863" s="1">
        <v>45633</v>
      </c>
      <c r="G863" s="1">
        <v>45658</v>
      </c>
      <c r="H863" s="4">
        <f>IF(Claims_Cleaned[[#This Row],[processed_date]]="","",Claims_Cleaned[[#This Row],[processed_date]]-Claims_Cleaned[[#This Row],[submission_date]])</f>
        <v>25</v>
      </c>
      <c r="I863" s="4" t="str">
        <f>TEXT(Claims_Cleaned[[#This Row],[claim_date]],"mmm-yyyy")</f>
        <v>Dec-2024</v>
      </c>
      <c r="J863" t="s">
        <v>13</v>
      </c>
      <c r="K863">
        <v>748.79</v>
      </c>
      <c r="L863" t="s">
        <v>683</v>
      </c>
      <c r="M863">
        <v>25</v>
      </c>
    </row>
    <row r="864" spans="1:13" x14ac:dyDescent="0.35">
      <c r="A864" t="s">
        <v>2609</v>
      </c>
      <c r="B864" t="s">
        <v>32</v>
      </c>
      <c r="C864" t="s">
        <v>591</v>
      </c>
      <c r="D864" t="s">
        <v>665</v>
      </c>
      <c r="E864" s="1">
        <v>44997</v>
      </c>
      <c r="F864" s="1">
        <v>44998</v>
      </c>
      <c r="G864" s="1"/>
      <c r="H864" s="4" t="str">
        <f>IF(Claims_Cleaned[[#This Row],[processed_date]]="","",Claims_Cleaned[[#This Row],[processed_date]]-Claims_Cleaned[[#This Row],[submission_date]])</f>
        <v/>
      </c>
      <c r="I864" s="4" t="str">
        <f>TEXT(Claims_Cleaned[[#This Row],[claim_date]],"mmm-yyyy")</f>
        <v>Mar-2023</v>
      </c>
      <c r="J864" t="s">
        <v>25</v>
      </c>
      <c r="K864">
        <v>747.91</v>
      </c>
      <c r="L864" t="s">
        <v>689</v>
      </c>
    </row>
    <row r="865" spans="1:13" x14ac:dyDescent="0.35">
      <c r="A865" t="s">
        <v>1529</v>
      </c>
      <c r="B865" t="s">
        <v>299</v>
      </c>
      <c r="C865" t="s">
        <v>543</v>
      </c>
      <c r="D865" t="s">
        <v>665</v>
      </c>
      <c r="E865" s="1">
        <v>45275</v>
      </c>
      <c r="F865" s="1">
        <v>45280</v>
      </c>
      <c r="G865" s="1">
        <v>45301</v>
      </c>
      <c r="H865" s="4">
        <f>IF(Claims_Cleaned[[#This Row],[processed_date]]="","",Claims_Cleaned[[#This Row],[processed_date]]-Claims_Cleaned[[#This Row],[submission_date]])</f>
        <v>21</v>
      </c>
      <c r="I865" s="4" t="str">
        <f>TEXT(Claims_Cleaned[[#This Row],[claim_date]],"mmm-yyyy")</f>
        <v>Dec-2023</v>
      </c>
      <c r="J865" t="s">
        <v>25</v>
      </c>
      <c r="K865">
        <v>747.76</v>
      </c>
      <c r="L865" t="s">
        <v>683</v>
      </c>
      <c r="M865">
        <v>21</v>
      </c>
    </row>
    <row r="866" spans="1:13" x14ac:dyDescent="0.35">
      <c r="A866" t="s">
        <v>2380</v>
      </c>
      <c r="B866" t="s">
        <v>453</v>
      </c>
      <c r="C866" t="s">
        <v>553</v>
      </c>
      <c r="D866" t="s">
        <v>669</v>
      </c>
      <c r="E866" s="1">
        <v>44980</v>
      </c>
      <c r="F866" s="1">
        <v>44985</v>
      </c>
      <c r="G866" s="1">
        <v>45014</v>
      </c>
      <c r="H866" s="4">
        <f>IF(Claims_Cleaned[[#This Row],[processed_date]]="","",Claims_Cleaned[[#This Row],[processed_date]]-Claims_Cleaned[[#This Row],[submission_date]])</f>
        <v>29</v>
      </c>
      <c r="I866" s="4" t="str">
        <f>TEXT(Claims_Cleaned[[#This Row],[claim_date]],"mmm-yyyy")</f>
        <v>Feb-2023</v>
      </c>
      <c r="J866" t="s">
        <v>11</v>
      </c>
      <c r="K866">
        <v>747.15</v>
      </c>
      <c r="L866" t="s">
        <v>683</v>
      </c>
      <c r="M866">
        <v>29</v>
      </c>
    </row>
    <row r="867" spans="1:13" x14ac:dyDescent="0.35">
      <c r="A867" t="s">
        <v>827</v>
      </c>
      <c r="B867" t="s">
        <v>181</v>
      </c>
      <c r="C867" t="s">
        <v>605</v>
      </c>
      <c r="D867" t="s">
        <v>669</v>
      </c>
      <c r="E867" s="1">
        <v>45522</v>
      </c>
      <c r="F867" s="1">
        <v>45524</v>
      </c>
      <c r="G867" s="1"/>
      <c r="H867" s="4" t="str">
        <f>IF(Claims_Cleaned[[#This Row],[processed_date]]="","",Claims_Cleaned[[#This Row],[processed_date]]-Claims_Cleaned[[#This Row],[submission_date]])</f>
        <v/>
      </c>
      <c r="I867" s="4" t="str">
        <f>TEXT(Claims_Cleaned[[#This Row],[claim_date]],"mmm-yyyy")</f>
        <v>Aug-2024</v>
      </c>
      <c r="J867" t="s">
        <v>20</v>
      </c>
      <c r="K867">
        <v>746.84</v>
      </c>
      <c r="L867" t="s">
        <v>689</v>
      </c>
    </row>
    <row r="868" spans="1:13" x14ac:dyDescent="0.35">
      <c r="A868" t="s">
        <v>2347</v>
      </c>
      <c r="B868" t="s">
        <v>342</v>
      </c>
      <c r="C868" t="s">
        <v>555</v>
      </c>
      <c r="D868" t="s">
        <v>649</v>
      </c>
      <c r="E868" s="1">
        <v>45339</v>
      </c>
      <c r="F868" s="1">
        <v>45341</v>
      </c>
      <c r="G868" s="1">
        <v>45362</v>
      </c>
      <c r="H868" s="4">
        <f>IF(Claims_Cleaned[[#This Row],[processed_date]]="","",Claims_Cleaned[[#This Row],[processed_date]]-Claims_Cleaned[[#This Row],[submission_date]])</f>
        <v>21</v>
      </c>
      <c r="I868" s="4" t="str">
        <f>TEXT(Claims_Cleaned[[#This Row],[claim_date]],"mmm-yyyy")</f>
        <v>Feb-2024</v>
      </c>
      <c r="J868" t="s">
        <v>25</v>
      </c>
      <c r="K868">
        <v>746.57</v>
      </c>
      <c r="L868" t="s">
        <v>683</v>
      </c>
      <c r="M868">
        <v>21</v>
      </c>
    </row>
    <row r="869" spans="1:13" x14ac:dyDescent="0.35">
      <c r="A869" t="s">
        <v>748</v>
      </c>
      <c r="B869" t="s">
        <v>486</v>
      </c>
      <c r="C869" t="s">
        <v>527</v>
      </c>
      <c r="D869" t="s">
        <v>649</v>
      </c>
      <c r="E869" s="1">
        <v>45072</v>
      </c>
      <c r="F869" s="1">
        <v>45077</v>
      </c>
      <c r="G869" s="1">
        <v>45087</v>
      </c>
      <c r="H869" s="4">
        <f>IF(Claims_Cleaned[[#This Row],[processed_date]]="","",Claims_Cleaned[[#This Row],[processed_date]]-Claims_Cleaned[[#This Row],[submission_date]])</f>
        <v>10</v>
      </c>
      <c r="I869" s="4" t="str">
        <f>TEXT(Claims_Cleaned[[#This Row],[claim_date]],"mmm-yyyy")</f>
        <v>May-2023</v>
      </c>
      <c r="J869" t="s">
        <v>8</v>
      </c>
      <c r="K869">
        <v>746.48</v>
      </c>
      <c r="L869" t="s">
        <v>683</v>
      </c>
      <c r="M869">
        <v>10</v>
      </c>
    </row>
    <row r="870" spans="1:13" x14ac:dyDescent="0.35">
      <c r="A870" t="s">
        <v>808</v>
      </c>
      <c r="B870" t="s">
        <v>90</v>
      </c>
      <c r="C870" t="s">
        <v>557</v>
      </c>
      <c r="D870" t="s">
        <v>658</v>
      </c>
      <c r="E870" s="1">
        <v>45334</v>
      </c>
      <c r="F870" s="1">
        <v>45339</v>
      </c>
      <c r="G870" s="1">
        <v>45369</v>
      </c>
      <c r="H870" s="4">
        <f>IF(Claims_Cleaned[[#This Row],[processed_date]]="","",Claims_Cleaned[[#This Row],[processed_date]]-Claims_Cleaned[[#This Row],[submission_date]])</f>
        <v>30</v>
      </c>
      <c r="I870" s="4" t="str">
        <f>TEXT(Claims_Cleaned[[#This Row],[claim_date]],"mmm-yyyy")</f>
        <v>Feb-2024</v>
      </c>
      <c r="J870" t="s">
        <v>20</v>
      </c>
      <c r="K870">
        <v>745.48</v>
      </c>
      <c r="L870" t="s">
        <v>687</v>
      </c>
      <c r="M870">
        <v>30</v>
      </c>
    </row>
    <row r="871" spans="1:13" x14ac:dyDescent="0.35">
      <c r="A871" t="s">
        <v>1860</v>
      </c>
      <c r="B871" t="s">
        <v>315</v>
      </c>
      <c r="C871" t="s">
        <v>549</v>
      </c>
      <c r="D871" t="s">
        <v>649</v>
      </c>
      <c r="E871" s="1">
        <v>45367</v>
      </c>
      <c r="F871" s="1">
        <v>45369</v>
      </c>
      <c r="G871" s="1">
        <v>45396</v>
      </c>
      <c r="H871" s="4">
        <f>IF(Claims_Cleaned[[#This Row],[processed_date]]="","",Claims_Cleaned[[#This Row],[processed_date]]-Claims_Cleaned[[#This Row],[submission_date]])</f>
        <v>27</v>
      </c>
      <c r="I871" s="4" t="str">
        <f>TEXT(Claims_Cleaned[[#This Row],[claim_date]],"mmm-yyyy")</f>
        <v>Mar-2024</v>
      </c>
      <c r="J871" t="s">
        <v>13</v>
      </c>
      <c r="K871">
        <v>745.25</v>
      </c>
      <c r="L871" t="s">
        <v>687</v>
      </c>
      <c r="M871">
        <v>27</v>
      </c>
    </row>
    <row r="872" spans="1:13" x14ac:dyDescent="0.35">
      <c r="A872" t="s">
        <v>2114</v>
      </c>
      <c r="B872" t="s">
        <v>304</v>
      </c>
      <c r="C872" t="s">
        <v>527</v>
      </c>
      <c r="D872" t="s">
        <v>658</v>
      </c>
      <c r="E872" s="1">
        <v>45095</v>
      </c>
      <c r="F872" s="1">
        <v>45096</v>
      </c>
      <c r="G872" s="1">
        <v>45123</v>
      </c>
      <c r="H872" s="4">
        <f>IF(Claims_Cleaned[[#This Row],[processed_date]]="","",Claims_Cleaned[[#This Row],[processed_date]]-Claims_Cleaned[[#This Row],[submission_date]])</f>
        <v>27</v>
      </c>
      <c r="I872" s="4" t="str">
        <f>TEXT(Claims_Cleaned[[#This Row],[claim_date]],"mmm-yyyy")</f>
        <v>Jun-2023</v>
      </c>
      <c r="J872" t="s">
        <v>20</v>
      </c>
      <c r="K872">
        <v>744.57</v>
      </c>
      <c r="L872" t="s">
        <v>687</v>
      </c>
      <c r="M872">
        <v>27</v>
      </c>
    </row>
    <row r="873" spans="1:13" x14ac:dyDescent="0.35">
      <c r="A873" t="s">
        <v>1396</v>
      </c>
      <c r="B873" t="s">
        <v>478</v>
      </c>
      <c r="C873" t="s">
        <v>559</v>
      </c>
      <c r="D873" t="s">
        <v>658</v>
      </c>
      <c r="E873" s="1">
        <v>45081</v>
      </c>
      <c r="F873" s="1">
        <v>45082</v>
      </c>
      <c r="G873" s="1">
        <v>45101</v>
      </c>
      <c r="H873" s="4">
        <f>IF(Claims_Cleaned[[#This Row],[processed_date]]="","",Claims_Cleaned[[#This Row],[processed_date]]-Claims_Cleaned[[#This Row],[submission_date]])</f>
        <v>19</v>
      </c>
      <c r="I873" s="4" t="str">
        <f>TEXT(Claims_Cleaned[[#This Row],[claim_date]],"mmm-yyyy")</f>
        <v>Jun-2023</v>
      </c>
      <c r="J873" t="s">
        <v>13</v>
      </c>
      <c r="K873">
        <v>743.42</v>
      </c>
      <c r="L873" t="s">
        <v>683</v>
      </c>
      <c r="M873">
        <v>19</v>
      </c>
    </row>
    <row r="874" spans="1:13" x14ac:dyDescent="0.35">
      <c r="A874" t="s">
        <v>1163</v>
      </c>
      <c r="B874" t="s">
        <v>254</v>
      </c>
      <c r="C874" t="s">
        <v>575</v>
      </c>
      <c r="D874" t="s">
        <v>658</v>
      </c>
      <c r="E874" s="1">
        <v>45406</v>
      </c>
      <c r="F874" s="1">
        <v>45409</v>
      </c>
      <c r="G874" s="1">
        <v>45423</v>
      </c>
      <c r="H874" s="4">
        <f>IF(Claims_Cleaned[[#This Row],[processed_date]]="","",Claims_Cleaned[[#This Row],[processed_date]]-Claims_Cleaned[[#This Row],[submission_date]])</f>
        <v>14</v>
      </c>
      <c r="I874" s="4" t="str">
        <f>TEXT(Claims_Cleaned[[#This Row],[claim_date]],"mmm-yyyy")</f>
        <v>Apr-2024</v>
      </c>
      <c r="J874" t="s">
        <v>13</v>
      </c>
      <c r="K874">
        <v>742.37</v>
      </c>
      <c r="L874" t="s">
        <v>683</v>
      </c>
      <c r="M874">
        <v>14</v>
      </c>
    </row>
    <row r="875" spans="1:13" x14ac:dyDescent="0.35">
      <c r="A875" t="s">
        <v>870</v>
      </c>
      <c r="B875" t="s">
        <v>107</v>
      </c>
      <c r="C875" t="s">
        <v>537</v>
      </c>
      <c r="D875" t="s">
        <v>658</v>
      </c>
      <c r="E875" s="1">
        <v>45590</v>
      </c>
      <c r="F875" s="1">
        <v>45592</v>
      </c>
      <c r="G875" s="1">
        <v>45596</v>
      </c>
      <c r="H875" s="4">
        <f>IF(Claims_Cleaned[[#This Row],[processed_date]]="","",Claims_Cleaned[[#This Row],[processed_date]]-Claims_Cleaned[[#This Row],[submission_date]])</f>
        <v>4</v>
      </c>
      <c r="I875" s="4" t="str">
        <f>TEXT(Claims_Cleaned[[#This Row],[claim_date]],"mmm-yyyy")</f>
        <v>Oct-2024</v>
      </c>
      <c r="J875" t="s">
        <v>20</v>
      </c>
      <c r="K875">
        <v>740.6</v>
      </c>
      <c r="L875" t="s">
        <v>683</v>
      </c>
      <c r="M875">
        <v>4</v>
      </c>
    </row>
    <row r="876" spans="1:13" x14ac:dyDescent="0.35">
      <c r="A876" t="s">
        <v>1185</v>
      </c>
      <c r="B876" t="s">
        <v>413</v>
      </c>
      <c r="C876" t="s">
        <v>599</v>
      </c>
      <c r="D876" t="s">
        <v>649</v>
      </c>
      <c r="E876" s="1">
        <v>45105</v>
      </c>
      <c r="F876" s="1">
        <v>45107</v>
      </c>
      <c r="G876" s="1">
        <v>45123</v>
      </c>
      <c r="H876" s="4">
        <f>IF(Claims_Cleaned[[#This Row],[processed_date]]="","",Claims_Cleaned[[#This Row],[processed_date]]-Claims_Cleaned[[#This Row],[submission_date]])</f>
        <v>16</v>
      </c>
      <c r="I876" s="4" t="str">
        <f>TEXT(Claims_Cleaned[[#This Row],[claim_date]],"mmm-yyyy")</f>
        <v>Jun-2023</v>
      </c>
      <c r="J876" t="s">
        <v>8</v>
      </c>
      <c r="K876">
        <v>740.27</v>
      </c>
      <c r="L876" t="s">
        <v>683</v>
      </c>
      <c r="M876">
        <v>16</v>
      </c>
    </row>
    <row r="877" spans="1:13" x14ac:dyDescent="0.35">
      <c r="A877" t="s">
        <v>1111</v>
      </c>
      <c r="B877" t="s">
        <v>312</v>
      </c>
      <c r="C877" t="s">
        <v>521</v>
      </c>
      <c r="D877" t="s">
        <v>665</v>
      </c>
      <c r="E877" s="1">
        <v>45562</v>
      </c>
      <c r="F877" s="1">
        <v>45567</v>
      </c>
      <c r="G877" s="1">
        <v>45596</v>
      </c>
      <c r="H877" s="4">
        <f>IF(Claims_Cleaned[[#This Row],[processed_date]]="","",Claims_Cleaned[[#This Row],[processed_date]]-Claims_Cleaned[[#This Row],[submission_date]])</f>
        <v>29</v>
      </c>
      <c r="I877" s="4" t="str">
        <f>TEXT(Claims_Cleaned[[#This Row],[claim_date]],"mmm-yyyy")</f>
        <v>Sep-2024</v>
      </c>
      <c r="J877" t="s">
        <v>11</v>
      </c>
      <c r="K877">
        <v>740.26</v>
      </c>
      <c r="L877" t="s">
        <v>683</v>
      </c>
      <c r="M877">
        <v>29</v>
      </c>
    </row>
    <row r="878" spans="1:13" x14ac:dyDescent="0.35">
      <c r="A878" t="s">
        <v>1026</v>
      </c>
      <c r="B878" t="s">
        <v>91</v>
      </c>
      <c r="C878" t="s">
        <v>565</v>
      </c>
      <c r="D878" t="s">
        <v>665</v>
      </c>
      <c r="E878" s="1">
        <v>45116</v>
      </c>
      <c r="F878" s="1">
        <v>45121</v>
      </c>
      <c r="G878" s="1">
        <v>45149</v>
      </c>
      <c r="H878" s="4">
        <f>IF(Claims_Cleaned[[#This Row],[processed_date]]="","",Claims_Cleaned[[#This Row],[processed_date]]-Claims_Cleaned[[#This Row],[submission_date]])</f>
        <v>28</v>
      </c>
      <c r="I878" s="4" t="str">
        <f>TEXT(Claims_Cleaned[[#This Row],[claim_date]],"mmm-yyyy")</f>
        <v>Jul-2023</v>
      </c>
      <c r="J878" t="s">
        <v>13</v>
      </c>
      <c r="K878">
        <v>740.15</v>
      </c>
      <c r="L878" t="s">
        <v>687</v>
      </c>
      <c r="M878">
        <v>28</v>
      </c>
    </row>
    <row r="879" spans="1:13" x14ac:dyDescent="0.35">
      <c r="A879" t="s">
        <v>1395</v>
      </c>
      <c r="B879" t="s">
        <v>253</v>
      </c>
      <c r="C879" t="s">
        <v>546</v>
      </c>
      <c r="D879" t="s">
        <v>669</v>
      </c>
      <c r="E879" s="1">
        <v>45592</v>
      </c>
      <c r="F879" s="1">
        <v>45597</v>
      </c>
      <c r="G879" s="1">
        <v>45604</v>
      </c>
      <c r="H879" s="4">
        <f>IF(Claims_Cleaned[[#This Row],[processed_date]]="","",Claims_Cleaned[[#This Row],[processed_date]]-Claims_Cleaned[[#This Row],[submission_date]])</f>
        <v>7</v>
      </c>
      <c r="I879" s="4" t="str">
        <f>TEXT(Claims_Cleaned[[#This Row],[claim_date]],"mmm-yyyy")</f>
        <v>Oct-2024</v>
      </c>
      <c r="J879" t="s">
        <v>8</v>
      </c>
      <c r="K879">
        <v>737.48</v>
      </c>
      <c r="L879" t="s">
        <v>683</v>
      </c>
      <c r="M879">
        <v>7</v>
      </c>
    </row>
    <row r="880" spans="1:13" x14ac:dyDescent="0.35">
      <c r="A880" t="s">
        <v>2085</v>
      </c>
      <c r="B880" t="s">
        <v>142</v>
      </c>
      <c r="C880" t="s">
        <v>607</v>
      </c>
      <c r="D880" t="s">
        <v>658</v>
      </c>
      <c r="E880" s="1">
        <v>45359</v>
      </c>
      <c r="F880" s="1">
        <v>45362</v>
      </c>
      <c r="G880" s="1">
        <v>45369</v>
      </c>
      <c r="H880" s="4">
        <f>IF(Claims_Cleaned[[#This Row],[processed_date]]="","",Claims_Cleaned[[#This Row],[processed_date]]-Claims_Cleaned[[#This Row],[submission_date]])</f>
        <v>7</v>
      </c>
      <c r="I880" s="4" t="str">
        <f>TEXT(Claims_Cleaned[[#This Row],[claim_date]],"mmm-yyyy")</f>
        <v>Mar-2024</v>
      </c>
      <c r="J880" t="s">
        <v>8</v>
      </c>
      <c r="K880">
        <v>736.18</v>
      </c>
      <c r="L880" t="s">
        <v>683</v>
      </c>
      <c r="M880">
        <v>7</v>
      </c>
    </row>
    <row r="881" spans="1:13" x14ac:dyDescent="0.35">
      <c r="A881" t="s">
        <v>2470</v>
      </c>
      <c r="B881" t="s">
        <v>459</v>
      </c>
      <c r="C881" t="s">
        <v>534</v>
      </c>
      <c r="D881" t="s">
        <v>669</v>
      </c>
      <c r="E881" s="1">
        <v>45111</v>
      </c>
      <c r="F881" s="1">
        <v>45113</v>
      </c>
      <c r="G881" s="1">
        <v>45125</v>
      </c>
      <c r="H881" s="4">
        <f>IF(Claims_Cleaned[[#This Row],[processed_date]]="","",Claims_Cleaned[[#This Row],[processed_date]]-Claims_Cleaned[[#This Row],[submission_date]])</f>
        <v>12</v>
      </c>
      <c r="I881" s="4" t="str">
        <f>TEXT(Claims_Cleaned[[#This Row],[claim_date]],"mmm-yyyy")</f>
        <v>Jul-2023</v>
      </c>
      <c r="J881" t="s">
        <v>25</v>
      </c>
      <c r="K881">
        <v>735.71</v>
      </c>
      <c r="L881" t="s">
        <v>683</v>
      </c>
      <c r="M881">
        <v>12</v>
      </c>
    </row>
    <row r="882" spans="1:13" x14ac:dyDescent="0.35">
      <c r="A882" t="s">
        <v>851</v>
      </c>
      <c r="B882" t="s">
        <v>120</v>
      </c>
      <c r="C882" t="s">
        <v>577</v>
      </c>
      <c r="D882" t="s">
        <v>665</v>
      </c>
      <c r="E882" s="1">
        <v>45008</v>
      </c>
      <c r="F882" s="1">
        <v>45012</v>
      </c>
      <c r="G882" s="1">
        <v>45024</v>
      </c>
      <c r="H882" s="4">
        <f>IF(Claims_Cleaned[[#This Row],[processed_date]]="","",Claims_Cleaned[[#This Row],[processed_date]]-Claims_Cleaned[[#This Row],[submission_date]])</f>
        <v>12</v>
      </c>
      <c r="I882" s="4" t="str">
        <f>TEXT(Claims_Cleaned[[#This Row],[claim_date]],"mmm-yyyy")</f>
        <v>Mar-2023</v>
      </c>
      <c r="J882" t="s">
        <v>13</v>
      </c>
      <c r="K882">
        <v>735.59</v>
      </c>
      <c r="L882" t="s">
        <v>683</v>
      </c>
      <c r="M882">
        <v>12</v>
      </c>
    </row>
    <row r="883" spans="1:13" x14ac:dyDescent="0.35">
      <c r="A883" t="s">
        <v>2214</v>
      </c>
      <c r="B883" t="s">
        <v>338</v>
      </c>
      <c r="C883" t="s">
        <v>527</v>
      </c>
      <c r="D883" t="s">
        <v>649</v>
      </c>
      <c r="E883" s="1">
        <v>45316</v>
      </c>
      <c r="F883" s="1">
        <v>45321</v>
      </c>
      <c r="G883" s="1">
        <v>45341</v>
      </c>
      <c r="H883" s="4">
        <f>IF(Claims_Cleaned[[#This Row],[processed_date]]="","",Claims_Cleaned[[#This Row],[processed_date]]-Claims_Cleaned[[#This Row],[submission_date]])</f>
        <v>20</v>
      </c>
      <c r="I883" s="4" t="str">
        <f>TEXT(Claims_Cleaned[[#This Row],[claim_date]],"mmm-yyyy")</f>
        <v>Jan-2024</v>
      </c>
      <c r="J883" t="s">
        <v>8</v>
      </c>
      <c r="K883">
        <v>735.1</v>
      </c>
      <c r="L883" t="s">
        <v>683</v>
      </c>
      <c r="M883">
        <v>20</v>
      </c>
    </row>
    <row r="884" spans="1:13" x14ac:dyDescent="0.35">
      <c r="A884" t="s">
        <v>2161</v>
      </c>
      <c r="B884" t="s">
        <v>426</v>
      </c>
      <c r="C884" t="s">
        <v>571</v>
      </c>
      <c r="D884" t="s">
        <v>665</v>
      </c>
      <c r="E884" s="1">
        <v>45030</v>
      </c>
      <c r="F884" s="1">
        <v>45033</v>
      </c>
      <c r="G884" s="1">
        <v>45053</v>
      </c>
      <c r="H884" s="4">
        <f>IF(Claims_Cleaned[[#This Row],[processed_date]]="","",Claims_Cleaned[[#This Row],[processed_date]]-Claims_Cleaned[[#This Row],[submission_date]])</f>
        <v>20</v>
      </c>
      <c r="I884" s="4" t="str">
        <f>TEXT(Claims_Cleaned[[#This Row],[claim_date]],"mmm-yyyy")</f>
        <v>Apr-2023</v>
      </c>
      <c r="J884" t="s">
        <v>8</v>
      </c>
      <c r="K884">
        <v>734.86</v>
      </c>
      <c r="L884" t="s">
        <v>683</v>
      </c>
      <c r="M884">
        <v>20</v>
      </c>
    </row>
    <row r="885" spans="1:13" x14ac:dyDescent="0.35">
      <c r="A885" t="s">
        <v>2559</v>
      </c>
      <c r="B885" t="s">
        <v>294</v>
      </c>
      <c r="C885" t="s">
        <v>611</v>
      </c>
      <c r="D885" t="s">
        <v>658</v>
      </c>
      <c r="E885" s="1">
        <v>45340</v>
      </c>
      <c r="F885" s="1">
        <v>45342</v>
      </c>
      <c r="G885" s="1">
        <v>45361</v>
      </c>
      <c r="H885" s="4">
        <f>IF(Claims_Cleaned[[#This Row],[processed_date]]="","",Claims_Cleaned[[#This Row],[processed_date]]-Claims_Cleaned[[#This Row],[submission_date]])</f>
        <v>19</v>
      </c>
      <c r="I885" s="4" t="str">
        <f>TEXT(Claims_Cleaned[[#This Row],[claim_date]],"mmm-yyyy")</f>
        <v>Feb-2024</v>
      </c>
      <c r="J885" t="s">
        <v>11</v>
      </c>
      <c r="K885">
        <v>734.29</v>
      </c>
      <c r="L885" t="s">
        <v>683</v>
      </c>
      <c r="M885">
        <v>19</v>
      </c>
    </row>
    <row r="886" spans="1:13" x14ac:dyDescent="0.35">
      <c r="A886" t="s">
        <v>2193</v>
      </c>
      <c r="B886" t="s">
        <v>349</v>
      </c>
      <c r="C886" t="s">
        <v>571</v>
      </c>
      <c r="D886" t="s">
        <v>658</v>
      </c>
      <c r="E886" s="1">
        <v>45400</v>
      </c>
      <c r="F886" s="1">
        <v>45402</v>
      </c>
      <c r="G886" s="1">
        <v>45412</v>
      </c>
      <c r="H886" s="4">
        <f>IF(Claims_Cleaned[[#This Row],[processed_date]]="","",Claims_Cleaned[[#This Row],[processed_date]]-Claims_Cleaned[[#This Row],[submission_date]])</f>
        <v>10</v>
      </c>
      <c r="I886" s="4" t="str">
        <f>TEXT(Claims_Cleaned[[#This Row],[claim_date]],"mmm-yyyy")</f>
        <v>Apr-2024</v>
      </c>
      <c r="J886" t="s">
        <v>11</v>
      </c>
      <c r="K886">
        <v>732.77</v>
      </c>
      <c r="L886" t="s">
        <v>683</v>
      </c>
      <c r="M886">
        <v>10</v>
      </c>
    </row>
    <row r="887" spans="1:13" x14ac:dyDescent="0.35">
      <c r="A887" t="s">
        <v>876</v>
      </c>
      <c r="B887" t="s">
        <v>363</v>
      </c>
      <c r="C887" t="s">
        <v>611</v>
      </c>
      <c r="D887" t="s">
        <v>658</v>
      </c>
      <c r="E887" s="1">
        <v>45607</v>
      </c>
      <c r="F887" s="1">
        <v>45611</v>
      </c>
      <c r="G887" s="1">
        <v>45632</v>
      </c>
      <c r="H887" s="4">
        <f>IF(Claims_Cleaned[[#This Row],[processed_date]]="","",Claims_Cleaned[[#This Row],[processed_date]]-Claims_Cleaned[[#This Row],[submission_date]])</f>
        <v>21</v>
      </c>
      <c r="I887" s="4" t="str">
        <f>TEXT(Claims_Cleaned[[#This Row],[claim_date]],"mmm-yyyy")</f>
        <v>Nov-2024</v>
      </c>
      <c r="J887" t="s">
        <v>11</v>
      </c>
      <c r="K887">
        <v>731.91</v>
      </c>
      <c r="L887" t="s">
        <v>683</v>
      </c>
      <c r="M887">
        <v>21</v>
      </c>
    </row>
    <row r="888" spans="1:13" x14ac:dyDescent="0.35">
      <c r="A888" t="s">
        <v>1452</v>
      </c>
      <c r="B888" t="s">
        <v>44</v>
      </c>
      <c r="C888" t="s">
        <v>540</v>
      </c>
      <c r="D888" t="s">
        <v>658</v>
      </c>
      <c r="E888" s="1">
        <v>45037</v>
      </c>
      <c r="F888" s="1">
        <v>45039</v>
      </c>
      <c r="G888" s="1">
        <v>45051</v>
      </c>
      <c r="H888" s="4">
        <f>IF(Claims_Cleaned[[#This Row],[processed_date]]="","",Claims_Cleaned[[#This Row],[processed_date]]-Claims_Cleaned[[#This Row],[submission_date]])</f>
        <v>12</v>
      </c>
      <c r="I888" s="4" t="str">
        <f>TEXT(Claims_Cleaned[[#This Row],[claim_date]],"mmm-yyyy")</f>
        <v>Apr-2023</v>
      </c>
      <c r="J888" t="s">
        <v>11</v>
      </c>
      <c r="K888">
        <v>730.39</v>
      </c>
      <c r="L888" t="s">
        <v>683</v>
      </c>
      <c r="M888">
        <v>12</v>
      </c>
    </row>
    <row r="889" spans="1:13" x14ac:dyDescent="0.35">
      <c r="A889" t="s">
        <v>907</v>
      </c>
      <c r="B889" t="s">
        <v>272</v>
      </c>
      <c r="C889" t="s">
        <v>563</v>
      </c>
      <c r="D889" t="s">
        <v>658</v>
      </c>
      <c r="E889" s="1">
        <v>44958</v>
      </c>
      <c r="F889" s="1">
        <v>44961</v>
      </c>
      <c r="G889" s="1">
        <v>44975</v>
      </c>
      <c r="H889" s="4">
        <f>IF(Claims_Cleaned[[#This Row],[processed_date]]="","",Claims_Cleaned[[#This Row],[processed_date]]-Claims_Cleaned[[#This Row],[submission_date]])</f>
        <v>14</v>
      </c>
      <c r="I889" s="4" t="str">
        <f>TEXT(Claims_Cleaned[[#This Row],[claim_date]],"mmm-yyyy")</f>
        <v>Feb-2023</v>
      </c>
      <c r="J889" t="s">
        <v>11</v>
      </c>
      <c r="K889">
        <v>730.31</v>
      </c>
      <c r="L889" t="s">
        <v>683</v>
      </c>
      <c r="M889">
        <v>14</v>
      </c>
    </row>
    <row r="890" spans="1:13" x14ac:dyDescent="0.35">
      <c r="A890" t="s">
        <v>2619</v>
      </c>
      <c r="B890" t="s">
        <v>320</v>
      </c>
      <c r="C890" t="s">
        <v>537</v>
      </c>
      <c r="D890" t="s">
        <v>665</v>
      </c>
      <c r="E890" s="1">
        <v>45455</v>
      </c>
      <c r="F890" s="1">
        <v>45457</v>
      </c>
      <c r="G890" s="1"/>
      <c r="H890" s="4" t="str">
        <f>IF(Claims_Cleaned[[#This Row],[processed_date]]="","",Claims_Cleaned[[#This Row],[processed_date]]-Claims_Cleaned[[#This Row],[submission_date]])</f>
        <v/>
      </c>
      <c r="I890" s="4" t="str">
        <f>TEXT(Claims_Cleaned[[#This Row],[claim_date]],"mmm-yyyy")</f>
        <v>Jun-2024</v>
      </c>
      <c r="J890" t="s">
        <v>11</v>
      </c>
      <c r="K890">
        <v>730.25</v>
      </c>
      <c r="L890" t="s">
        <v>689</v>
      </c>
    </row>
    <row r="891" spans="1:13" x14ac:dyDescent="0.35">
      <c r="A891" t="s">
        <v>2530</v>
      </c>
      <c r="B891" t="s">
        <v>350</v>
      </c>
      <c r="C891" t="s">
        <v>593</v>
      </c>
      <c r="D891" t="s">
        <v>658</v>
      </c>
      <c r="E891" s="1">
        <v>45391</v>
      </c>
      <c r="F891" s="1">
        <v>45394</v>
      </c>
      <c r="G891" s="1">
        <v>45413</v>
      </c>
      <c r="H891" s="4">
        <f>IF(Claims_Cleaned[[#This Row],[processed_date]]="","",Claims_Cleaned[[#This Row],[processed_date]]-Claims_Cleaned[[#This Row],[submission_date]])</f>
        <v>19</v>
      </c>
      <c r="I891" s="4" t="str">
        <f>TEXT(Claims_Cleaned[[#This Row],[claim_date]],"mmm-yyyy")</f>
        <v>Apr-2024</v>
      </c>
      <c r="J891" t="s">
        <v>20</v>
      </c>
      <c r="K891">
        <v>727.81</v>
      </c>
      <c r="L891" t="s">
        <v>683</v>
      </c>
      <c r="M891">
        <v>19</v>
      </c>
    </row>
    <row r="892" spans="1:13" x14ac:dyDescent="0.35">
      <c r="A892" t="s">
        <v>2646</v>
      </c>
      <c r="B892" t="s">
        <v>106</v>
      </c>
      <c r="C892" t="s">
        <v>546</v>
      </c>
      <c r="D892" t="s">
        <v>658</v>
      </c>
      <c r="E892" s="1">
        <v>45585</v>
      </c>
      <c r="F892" s="1">
        <v>45590</v>
      </c>
      <c r="G892" s="1">
        <v>45609</v>
      </c>
      <c r="H892" s="4">
        <f>IF(Claims_Cleaned[[#This Row],[processed_date]]="","",Claims_Cleaned[[#This Row],[processed_date]]-Claims_Cleaned[[#This Row],[submission_date]])</f>
        <v>19</v>
      </c>
      <c r="I892" s="4" t="str">
        <f>TEXT(Claims_Cleaned[[#This Row],[claim_date]],"mmm-yyyy")</f>
        <v>Oct-2024</v>
      </c>
      <c r="J892" t="s">
        <v>11</v>
      </c>
      <c r="K892">
        <v>727.47</v>
      </c>
      <c r="L892" t="s">
        <v>683</v>
      </c>
      <c r="M892">
        <v>19</v>
      </c>
    </row>
    <row r="893" spans="1:13" x14ac:dyDescent="0.35">
      <c r="A893" t="s">
        <v>1607</v>
      </c>
      <c r="B893" t="s">
        <v>216</v>
      </c>
      <c r="C893" t="s">
        <v>595</v>
      </c>
      <c r="D893" t="s">
        <v>665</v>
      </c>
      <c r="E893" s="1">
        <v>45221</v>
      </c>
      <c r="F893" s="1">
        <v>45226</v>
      </c>
      <c r="G893" s="1">
        <v>45230</v>
      </c>
      <c r="H893" s="4">
        <f>IF(Claims_Cleaned[[#This Row],[processed_date]]="","",Claims_Cleaned[[#This Row],[processed_date]]-Claims_Cleaned[[#This Row],[submission_date]])</f>
        <v>4</v>
      </c>
      <c r="I893" s="4" t="str">
        <f>TEXT(Claims_Cleaned[[#This Row],[claim_date]],"mmm-yyyy")</f>
        <v>Oct-2023</v>
      </c>
      <c r="J893" t="s">
        <v>20</v>
      </c>
      <c r="K893">
        <v>727.08</v>
      </c>
      <c r="L893" t="s">
        <v>683</v>
      </c>
      <c r="M893">
        <v>4</v>
      </c>
    </row>
    <row r="894" spans="1:13" x14ac:dyDescent="0.35">
      <c r="A894" t="s">
        <v>1713</v>
      </c>
      <c r="B894" t="s">
        <v>213</v>
      </c>
      <c r="C894" t="s">
        <v>589</v>
      </c>
      <c r="D894" t="s">
        <v>649</v>
      </c>
      <c r="E894" s="1">
        <v>45578</v>
      </c>
      <c r="F894" s="1">
        <v>45582</v>
      </c>
      <c r="G894" s="1">
        <v>45610</v>
      </c>
      <c r="H894" s="4">
        <f>IF(Claims_Cleaned[[#This Row],[processed_date]]="","",Claims_Cleaned[[#This Row],[processed_date]]-Claims_Cleaned[[#This Row],[submission_date]])</f>
        <v>28</v>
      </c>
      <c r="I894" s="4" t="str">
        <f>TEXT(Claims_Cleaned[[#This Row],[claim_date]],"mmm-yyyy")</f>
        <v>Oct-2024</v>
      </c>
      <c r="J894" t="s">
        <v>8</v>
      </c>
      <c r="K894">
        <v>726.84</v>
      </c>
      <c r="L894" t="s">
        <v>683</v>
      </c>
      <c r="M894">
        <v>28</v>
      </c>
    </row>
    <row r="895" spans="1:13" x14ac:dyDescent="0.35">
      <c r="A895" t="s">
        <v>893</v>
      </c>
      <c r="B895" t="s">
        <v>320</v>
      </c>
      <c r="C895" t="s">
        <v>611</v>
      </c>
      <c r="D895" t="s">
        <v>665</v>
      </c>
      <c r="E895" s="1">
        <v>45070</v>
      </c>
      <c r="F895" s="1">
        <v>45071</v>
      </c>
      <c r="G895" s="1">
        <v>45095</v>
      </c>
      <c r="H895" s="4">
        <f>IF(Claims_Cleaned[[#This Row],[processed_date]]="","",Claims_Cleaned[[#This Row],[processed_date]]-Claims_Cleaned[[#This Row],[submission_date]])</f>
        <v>24</v>
      </c>
      <c r="I895" s="4" t="str">
        <f>TEXT(Claims_Cleaned[[#This Row],[claim_date]],"mmm-yyyy")</f>
        <v>May-2023</v>
      </c>
      <c r="J895" t="s">
        <v>11</v>
      </c>
      <c r="K895">
        <v>725.64</v>
      </c>
      <c r="L895" t="s">
        <v>683</v>
      </c>
      <c r="M895">
        <v>24</v>
      </c>
    </row>
    <row r="896" spans="1:13" x14ac:dyDescent="0.35">
      <c r="A896" t="s">
        <v>1683</v>
      </c>
      <c r="B896" t="s">
        <v>21</v>
      </c>
      <c r="C896" t="s">
        <v>579</v>
      </c>
      <c r="D896" t="s">
        <v>649</v>
      </c>
      <c r="E896" s="1">
        <v>45378</v>
      </c>
      <c r="F896" s="1">
        <v>45383</v>
      </c>
      <c r="G896" s="1">
        <v>45393</v>
      </c>
      <c r="H896" s="4">
        <f>IF(Claims_Cleaned[[#This Row],[processed_date]]="","",Claims_Cleaned[[#This Row],[processed_date]]-Claims_Cleaned[[#This Row],[submission_date]])</f>
        <v>10</v>
      </c>
      <c r="I896" s="4" t="str">
        <f>TEXT(Claims_Cleaned[[#This Row],[claim_date]],"mmm-yyyy")</f>
        <v>Mar-2024</v>
      </c>
      <c r="J896" t="s">
        <v>11</v>
      </c>
      <c r="K896">
        <v>724.43</v>
      </c>
      <c r="L896" t="s">
        <v>683</v>
      </c>
      <c r="M896">
        <v>10</v>
      </c>
    </row>
    <row r="897" spans="1:13" x14ac:dyDescent="0.35">
      <c r="A897" t="s">
        <v>1072</v>
      </c>
      <c r="B897" t="s">
        <v>111</v>
      </c>
      <c r="C897" t="s">
        <v>563</v>
      </c>
      <c r="D897" t="s">
        <v>658</v>
      </c>
      <c r="E897" s="1">
        <v>45133</v>
      </c>
      <c r="F897" s="1">
        <v>45135</v>
      </c>
      <c r="G897" s="1">
        <v>45160</v>
      </c>
      <c r="H897" s="4">
        <f>IF(Claims_Cleaned[[#This Row],[processed_date]]="","",Claims_Cleaned[[#This Row],[processed_date]]-Claims_Cleaned[[#This Row],[submission_date]])</f>
        <v>25</v>
      </c>
      <c r="I897" s="4" t="str">
        <f>TEXT(Claims_Cleaned[[#This Row],[claim_date]],"mmm-yyyy")</f>
        <v>Jul-2023</v>
      </c>
      <c r="J897" t="s">
        <v>8</v>
      </c>
      <c r="K897">
        <v>721.38</v>
      </c>
      <c r="L897" t="s">
        <v>683</v>
      </c>
      <c r="M897">
        <v>25</v>
      </c>
    </row>
    <row r="898" spans="1:13" x14ac:dyDescent="0.35">
      <c r="A898" t="s">
        <v>1877</v>
      </c>
      <c r="B898" t="s">
        <v>166</v>
      </c>
      <c r="C898" t="s">
        <v>607</v>
      </c>
      <c r="D898" t="s">
        <v>649</v>
      </c>
      <c r="E898" s="1">
        <v>45490</v>
      </c>
      <c r="F898" s="1">
        <v>45495</v>
      </c>
      <c r="G898" s="1">
        <v>45500</v>
      </c>
      <c r="H898" s="4">
        <f>IF(Claims_Cleaned[[#This Row],[processed_date]]="","",Claims_Cleaned[[#This Row],[processed_date]]-Claims_Cleaned[[#This Row],[submission_date]])</f>
        <v>5</v>
      </c>
      <c r="I898" s="4" t="str">
        <f>TEXT(Claims_Cleaned[[#This Row],[claim_date]],"mmm-yyyy")</f>
        <v>Jul-2024</v>
      </c>
      <c r="J898" t="s">
        <v>8</v>
      </c>
      <c r="K898">
        <v>721.04</v>
      </c>
      <c r="L898" t="s">
        <v>683</v>
      </c>
      <c r="M898">
        <v>5</v>
      </c>
    </row>
    <row r="899" spans="1:13" x14ac:dyDescent="0.35">
      <c r="A899" t="s">
        <v>2333</v>
      </c>
      <c r="B899" t="s">
        <v>99</v>
      </c>
      <c r="C899" t="s">
        <v>581</v>
      </c>
      <c r="D899" t="s">
        <v>669</v>
      </c>
      <c r="E899" s="1">
        <v>45235</v>
      </c>
      <c r="F899" s="1">
        <v>45236</v>
      </c>
      <c r="G899" s="1">
        <v>45252</v>
      </c>
      <c r="H899" s="4">
        <f>IF(Claims_Cleaned[[#This Row],[processed_date]]="","",Claims_Cleaned[[#This Row],[processed_date]]-Claims_Cleaned[[#This Row],[submission_date]])</f>
        <v>16</v>
      </c>
      <c r="I899" s="4" t="str">
        <f>TEXT(Claims_Cleaned[[#This Row],[claim_date]],"mmm-yyyy")</f>
        <v>Nov-2023</v>
      </c>
      <c r="J899" t="s">
        <v>25</v>
      </c>
      <c r="K899">
        <v>720.81</v>
      </c>
      <c r="L899" t="s">
        <v>683</v>
      </c>
      <c r="M899">
        <v>16</v>
      </c>
    </row>
    <row r="900" spans="1:13" x14ac:dyDescent="0.35">
      <c r="A900" t="s">
        <v>734</v>
      </c>
      <c r="B900" t="s">
        <v>429</v>
      </c>
      <c r="C900" t="s">
        <v>557</v>
      </c>
      <c r="D900" t="s">
        <v>649</v>
      </c>
      <c r="E900" s="1">
        <v>45035</v>
      </c>
      <c r="F900" s="1">
        <v>45036</v>
      </c>
      <c r="G900" s="1">
        <v>45045</v>
      </c>
      <c r="H900" s="4">
        <f>IF(Claims_Cleaned[[#This Row],[processed_date]]="","",Claims_Cleaned[[#This Row],[processed_date]]-Claims_Cleaned[[#This Row],[submission_date]])</f>
        <v>9</v>
      </c>
      <c r="I900" s="4" t="str">
        <f>TEXT(Claims_Cleaned[[#This Row],[claim_date]],"mmm-yyyy")</f>
        <v>Apr-2023</v>
      </c>
      <c r="J900" t="s">
        <v>13</v>
      </c>
      <c r="K900">
        <v>720.11</v>
      </c>
      <c r="L900" t="s">
        <v>683</v>
      </c>
      <c r="M900">
        <v>9</v>
      </c>
    </row>
    <row r="901" spans="1:13" x14ac:dyDescent="0.35">
      <c r="A901" t="s">
        <v>1041</v>
      </c>
      <c r="B901" t="s">
        <v>132</v>
      </c>
      <c r="C901" t="s">
        <v>565</v>
      </c>
      <c r="D901" t="s">
        <v>665</v>
      </c>
      <c r="E901" s="1">
        <v>45577</v>
      </c>
      <c r="F901" s="1">
        <v>45582</v>
      </c>
      <c r="G901" s="1">
        <v>45597</v>
      </c>
      <c r="H901" s="4">
        <f>IF(Claims_Cleaned[[#This Row],[processed_date]]="","",Claims_Cleaned[[#This Row],[processed_date]]-Claims_Cleaned[[#This Row],[submission_date]])</f>
        <v>15</v>
      </c>
      <c r="I901" s="4" t="str">
        <f>TEXT(Claims_Cleaned[[#This Row],[claim_date]],"mmm-yyyy")</f>
        <v>Oct-2024</v>
      </c>
      <c r="J901" t="s">
        <v>8</v>
      </c>
      <c r="K901">
        <v>719.96</v>
      </c>
      <c r="L901" t="s">
        <v>683</v>
      </c>
      <c r="M901">
        <v>15</v>
      </c>
    </row>
    <row r="902" spans="1:13" x14ac:dyDescent="0.35">
      <c r="A902" t="s">
        <v>2625</v>
      </c>
      <c r="B902" t="s">
        <v>148</v>
      </c>
      <c r="C902" t="s">
        <v>587</v>
      </c>
      <c r="D902" t="s">
        <v>658</v>
      </c>
      <c r="E902" s="1">
        <v>45467</v>
      </c>
      <c r="F902" s="1">
        <v>45472</v>
      </c>
      <c r="G902" s="1"/>
      <c r="H902" s="4" t="str">
        <f>IF(Claims_Cleaned[[#This Row],[processed_date]]="","",Claims_Cleaned[[#This Row],[processed_date]]-Claims_Cleaned[[#This Row],[submission_date]])</f>
        <v/>
      </c>
      <c r="I902" s="4" t="str">
        <f>TEXT(Claims_Cleaned[[#This Row],[claim_date]],"mmm-yyyy")</f>
        <v>Jun-2024</v>
      </c>
      <c r="J902" t="s">
        <v>8</v>
      </c>
      <c r="K902">
        <v>719.39</v>
      </c>
      <c r="L902" t="s">
        <v>689</v>
      </c>
    </row>
    <row r="903" spans="1:13" x14ac:dyDescent="0.35">
      <c r="A903" t="s">
        <v>721</v>
      </c>
      <c r="B903" t="s">
        <v>371</v>
      </c>
      <c r="C903" t="s">
        <v>561</v>
      </c>
      <c r="D903" t="s">
        <v>669</v>
      </c>
      <c r="E903" s="1">
        <v>44981</v>
      </c>
      <c r="F903" s="1">
        <v>44984</v>
      </c>
      <c r="G903" s="1">
        <v>44998</v>
      </c>
      <c r="H903" s="4">
        <f>IF(Claims_Cleaned[[#This Row],[processed_date]]="","",Claims_Cleaned[[#This Row],[processed_date]]-Claims_Cleaned[[#This Row],[submission_date]])</f>
        <v>14</v>
      </c>
      <c r="I903" s="4" t="str">
        <f>TEXT(Claims_Cleaned[[#This Row],[claim_date]],"mmm-yyyy")</f>
        <v>Feb-2023</v>
      </c>
      <c r="J903" t="s">
        <v>25</v>
      </c>
      <c r="K903">
        <v>719.21</v>
      </c>
      <c r="L903" t="s">
        <v>683</v>
      </c>
      <c r="M903">
        <v>14</v>
      </c>
    </row>
    <row r="904" spans="1:13" x14ac:dyDescent="0.35">
      <c r="A904" t="s">
        <v>2288</v>
      </c>
      <c r="B904" t="s">
        <v>469</v>
      </c>
      <c r="C904" t="s">
        <v>573</v>
      </c>
      <c r="D904" t="s">
        <v>665</v>
      </c>
      <c r="E904" s="1">
        <v>45144</v>
      </c>
      <c r="F904" s="1">
        <v>45147</v>
      </c>
      <c r="G904" s="1">
        <v>45165</v>
      </c>
      <c r="H904" s="4">
        <f>IF(Claims_Cleaned[[#This Row],[processed_date]]="","",Claims_Cleaned[[#This Row],[processed_date]]-Claims_Cleaned[[#This Row],[submission_date]])</f>
        <v>18</v>
      </c>
      <c r="I904" s="4" t="str">
        <f>TEXT(Claims_Cleaned[[#This Row],[claim_date]],"mmm-yyyy")</f>
        <v>Aug-2023</v>
      </c>
      <c r="J904" t="s">
        <v>8</v>
      </c>
      <c r="K904">
        <v>717.52</v>
      </c>
      <c r="L904" t="s">
        <v>683</v>
      </c>
      <c r="M904">
        <v>18</v>
      </c>
    </row>
    <row r="905" spans="1:13" x14ac:dyDescent="0.35">
      <c r="A905" t="s">
        <v>1492</v>
      </c>
      <c r="B905" t="s">
        <v>472</v>
      </c>
      <c r="C905" t="s">
        <v>569</v>
      </c>
      <c r="D905" t="s">
        <v>669</v>
      </c>
      <c r="E905" s="1">
        <v>45508</v>
      </c>
      <c r="F905" s="1">
        <v>45511</v>
      </c>
      <c r="G905" s="1">
        <v>45535</v>
      </c>
      <c r="H905" s="4">
        <f>IF(Claims_Cleaned[[#This Row],[processed_date]]="","",Claims_Cleaned[[#This Row],[processed_date]]-Claims_Cleaned[[#This Row],[submission_date]])</f>
        <v>24</v>
      </c>
      <c r="I905" s="4" t="str">
        <f>TEXT(Claims_Cleaned[[#This Row],[claim_date]],"mmm-yyyy")</f>
        <v>Aug-2024</v>
      </c>
      <c r="J905" t="s">
        <v>13</v>
      </c>
      <c r="K905">
        <v>716.78</v>
      </c>
      <c r="L905" t="s">
        <v>683</v>
      </c>
      <c r="M905">
        <v>24</v>
      </c>
    </row>
    <row r="906" spans="1:13" x14ac:dyDescent="0.35">
      <c r="A906" t="s">
        <v>1841</v>
      </c>
      <c r="B906" t="s">
        <v>304</v>
      </c>
      <c r="C906" t="s">
        <v>569</v>
      </c>
      <c r="D906" t="s">
        <v>658</v>
      </c>
      <c r="E906" s="1">
        <v>45442</v>
      </c>
      <c r="F906" s="1">
        <v>45446</v>
      </c>
      <c r="G906" s="1">
        <v>45475</v>
      </c>
      <c r="H906" s="4">
        <f>IF(Claims_Cleaned[[#This Row],[processed_date]]="","",Claims_Cleaned[[#This Row],[processed_date]]-Claims_Cleaned[[#This Row],[submission_date]])</f>
        <v>29</v>
      </c>
      <c r="I906" s="4" t="str">
        <f>TEXT(Claims_Cleaned[[#This Row],[claim_date]],"mmm-yyyy")</f>
        <v>May-2024</v>
      </c>
      <c r="J906" t="s">
        <v>20</v>
      </c>
      <c r="K906">
        <v>716.04</v>
      </c>
      <c r="L906" t="s">
        <v>683</v>
      </c>
      <c r="M906">
        <v>29</v>
      </c>
    </row>
    <row r="907" spans="1:13" x14ac:dyDescent="0.35">
      <c r="A907" t="s">
        <v>972</v>
      </c>
      <c r="B907" t="s">
        <v>441</v>
      </c>
      <c r="C907" t="s">
        <v>546</v>
      </c>
      <c r="D907" t="s">
        <v>669</v>
      </c>
      <c r="E907" s="1">
        <v>45614</v>
      </c>
      <c r="F907" s="1">
        <v>45617</v>
      </c>
      <c r="G907" s="1">
        <v>45641</v>
      </c>
      <c r="H907" s="4">
        <f>IF(Claims_Cleaned[[#This Row],[processed_date]]="","",Claims_Cleaned[[#This Row],[processed_date]]-Claims_Cleaned[[#This Row],[submission_date]])</f>
        <v>24</v>
      </c>
      <c r="I907" s="4" t="str">
        <f>TEXT(Claims_Cleaned[[#This Row],[claim_date]],"mmm-yyyy")</f>
        <v>Nov-2024</v>
      </c>
      <c r="J907" t="s">
        <v>11</v>
      </c>
      <c r="K907">
        <v>714.91</v>
      </c>
      <c r="L907" t="s">
        <v>683</v>
      </c>
      <c r="M907">
        <v>24</v>
      </c>
    </row>
    <row r="908" spans="1:13" x14ac:dyDescent="0.35">
      <c r="A908" t="s">
        <v>2476</v>
      </c>
      <c r="B908" t="s">
        <v>283</v>
      </c>
      <c r="C908" t="s">
        <v>546</v>
      </c>
      <c r="D908" t="s">
        <v>665</v>
      </c>
      <c r="E908" s="1">
        <v>45014</v>
      </c>
      <c r="F908" s="1">
        <v>45017</v>
      </c>
      <c r="G908" s="1">
        <v>45047</v>
      </c>
      <c r="H908" s="4">
        <f>IF(Claims_Cleaned[[#This Row],[processed_date]]="","",Claims_Cleaned[[#This Row],[processed_date]]-Claims_Cleaned[[#This Row],[submission_date]])</f>
        <v>30</v>
      </c>
      <c r="I908" s="4" t="str">
        <f>TEXT(Claims_Cleaned[[#This Row],[claim_date]],"mmm-yyyy")</f>
        <v>Mar-2023</v>
      </c>
      <c r="J908" t="s">
        <v>25</v>
      </c>
      <c r="K908">
        <v>713.44</v>
      </c>
      <c r="L908" t="s">
        <v>687</v>
      </c>
      <c r="M908">
        <v>30</v>
      </c>
    </row>
    <row r="909" spans="1:13" x14ac:dyDescent="0.35">
      <c r="A909" t="s">
        <v>952</v>
      </c>
      <c r="B909" t="s">
        <v>484</v>
      </c>
      <c r="C909" t="s">
        <v>567</v>
      </c>
      <c r="D909" t="s">
        <v>658</v>
      </c>
      <c r="E909" s="1">
        <v>45493</v>
      </c>
      <c r="F909" s="1">
        <v>45497</v>
      </c>
      <c r="G909" s="1">
        <v>45517</v>
      </c>
      <c r="H909" s="4">
        <f>IF(Claims_Cleaned[[#This Row],[processed_date]]="","",Claims_Cleaned[[#This Row],[processed_date]]-Claims_Cleaned[[#This Row],[submission_date]])</f>
        <v>20</v>
      </c>
      <c r="I909" s="4" t="str">
        <f>TEXT(Claims_Cleaned[[#This Row],[claim_date]],"mmm-yyyy")</f>
        <v>Jul-2024</v>
      </c>
      <c r="J909" t="s">
        <v>8</v>
      </c>
      <c r="K909">
        <v>711.29</v>
      </c>
      <c r="L909" t="s">
        <v>683</v>
      </c>
      <c r="M909">
        <v>20</v>
      </c>
    </row>
    <row r="910" spans="1:13" x14ac:dyDescent="0.35">
      <c r="A910" t="s">
        <v>1030</v>
      </c>
      <c r="B910" t="s">
        <v>315</v>
      </c>
      <c r="C910" t="s">
        <v>549</v>
      </c>
      <c r="D910" t="s">
        <v>669</v>
      </c>
      <c r="E910" s="1">
        <v>45472</v>
      </c>
      <c r="F910" s="1">
        <v>45473</v>
      </c>
      <c r="G910" s="1">
        <v>45486</v>
      </c>
      <c r="H910" s="4">
        <f>IF(Claims_Cleaned[[#This Row],[processed_date]]="","",Claims_Cleaned[[#This Row],[processed_date]]-Claims_Cleaned[[#This Row],[submission_date]])</f>
        <v>13</v>
      </c>
      <c r="I910" s="4" t="str">
        <f>TEXT(Claims_Cleaned[[#This Row],[claim_date]],"mmm-yyyy")</f>
        <v>Jun-2024</v>
      </c>
      <c r="J910" t="s">
        <v>13</v>
      </c>
      <c r="K910">
        <v>710.23</v>
      </c>
      <c r="L910" t="s">
        <v>683</v>
      </c>
      <c r="M910">
        <v>13</v>
      </c>
    </row>
    <row r="911" spans="1:13" x14ac:dyDescent="0.35">
      <c r="A911" t="s">
        <v>2585</v>
      </c>
      <c r="B911" t="s">
        <v>276</v>
      </c>
      <c r="C911" t="s">
        <v>569</v>
      </c>
      <c r="D911" t="s">
        <v>665</v>
      </c>
      <c r="E911" s="1">
        <v>45435</v>
      </c>
      <c r="F911" s="1">
        <v>45439</v>
      </c>
      <c r="G911" s="1">
        <v>45466</v>
      </c>
      <c r="H911" s="4">
        <f>IF(Claims_Cleaned[[#This Row],[processed_date]]="","",Claims_Cleaned[[#This Row],[processed_date]]-Claims_Cleaned[[#This Row],[submission_date]])</f>
        <v>27</v>
      </c>
      <c r="I911" s="4" t="str">
        <f>TEXT(Claims_Cleaned[[#This Row],[claim_date]],"mmm-yyyy")</f>
        <v>May-2024</v>
      </c>
      <c r="J911" t="s">
        <v>20</v>
      </c>
      <c r="K911">
        <v>709.84</v>
      </c>
      <c r="L911" t="s">
        <v>683</v>
      </c>
      <c r="M911">
        <v>27</v>
      </c>
    </row>
    <row r="912" spans="1:13" x14ac:dyDescent="0.35">
      <c r="A912" t="s">
        <v>1374</v>
      </c>
      <c r="B912" t="s">
        <v>487</v>
      </c>
      <c r="C912" t="s">
        <v>595</v>
      </c>
      <c r="D912" t="s">
        <v>669</v>
      </c>
      <c r="E912" s="1">
        <v>45401</v>
      </c>
      <c r="F912" s="1">
        <v>45404</v>
      </c>
      <c r="G912" s="1">
        <v>45434</v>
      </c>
      <c r="H912" s="4">
        <f>IF(Claims_Cleaned[[#This Row],[processed_date]]="","",Claims_Cleaned[[#This Row],[processed_date]]-Claims_Cleaned[[#This Row],[submission_date]])</f>
        <v>30</v>
      </c>
      <c r="I912" s="4" t="str">
        <f>TEXT(Claims_Cleaned[[#This Row],[claim_date]],"mmm-yyyy")</f>
        <v>Apr-2024</v>
      </c>
      <c r="J912" t="s">
        <v>20</v>
      </c>
      <c r="K912">
        <v>708.66</v>
      </c>
      <c r="L912" t="s">
        <v>683</v>
      </c>
      <c r="M912">
        <v>30</v>
      </c>
    </row>
    <row r="913" spans="1:13" x14ac:dyDescent="0.35">
      <c r="A913" t="s">
        <v>1730</v>
      </c>
      <c r="B913" t="s">
        <v>162</v>
      </c>
      <c r="C913" t="s">
        <v>597</v>
      </c>
      <c r="D913" t="s">
        <v>669</v>
      </c>
      <c r="E913" s="1">
        <v>45026</v>
      </c>
      <c r="F913" s="1">
        <v>45028</v>
      </c>
      <c r="G913" s="1">
        <v>45043</v>
      </c>
      <c r="H913" s="4">
        <f>IF(Claims_Cleaned[[#This Row],[processed_date]]="","",Claims_Cleaned[[#This Row],[processed_date]]-Claims_Cleaned[[#This Row],[submission_date]])</f>
        <v>15</v>
      </c>
      <c r="I913" s="4" t="str">
        <f>TEXT(Claims_Cleaned[[#This Row],[claim_date]],"mmm-yyyy")</f>
        <v>Apr-2023</v>
      </c>
      <c r="J913" t="s">
        <v>11</v>
      </c>
      <c r="K913">
        <v>706.64</v>
      </c>
      <c r="L913" t="s">
        <v>683</v>
      </c>
      <c r="M913">
        <v>15</v>
      </c>
    </row>
    <row r="914" spans="1:13" x14ac:dyDescent="0.35">
      <c r="A914" t="s">
        <v>2576</v>
      </c>
      <c r="B914" t="s">
        <v>252</v>
      </c>
      <c r="C914" t="s">
        <v>585</v>
      </c>
      <c r="D914" t="s">
        <v>665</v>
      </c>
      <c r="E914" s="1">
        <v>45485</v>
      </c>
      <c r="F914" s="1">
        <v>45486</v>
      </c>
      <c r="G914" s="1">
        <v>45508</v>
      </c>
      <c r="H914" s="4">
        <f>IF(Claims_Cleaned[[#This Row],[processed_date]]="","",Claims_Cleaned[[#This Row],[processed_date]]-Claims_Cleaned[[#This Row],[submission_date]])</f>
        <v>22</v>
      </c>
      <c r="I914" s="4" t="str">
        <f>TEXT(Claims_Cleaned[[#This Row],[claim_date]],"mmm-yyyy")</f>
        <v>Jul-2024</v>
      </c>
      <c r="J914" t="s">
        <v>11</v>
      </c>
      <c r="K914">
        <v>701.37</v>
      </c>
      <c r="L914" t="s">
        <v>683</v>
      </c>
      <c r="M914">
        <v>22</v>
      </c>
    </row>
    <row r="915" spans="1:13" x14ac:dyDescent="0.35">
      <c r="A915" t="s">
        <v>715</v>
      </c>
      <c r="B915" t="s">
        <v>334</v>
      </c>
      <c r="C915" t="s">
        <v>534</v>
      </c>
      <c r="D915" t="s">
        <v>665</v>
      </c>
      <c r="E915" s="1">
        <v>45147</v>
      </c>
      <c r="F915" s="1">
        <v>45150</v>
      </c>
      <c r="G915" s="1">
        <v>45169</v>
      </c>
      <c r="H915" s="4">
        <f>IF(Claims_Cleaned[[#This Row],[processed_date]]="","",Claims_Cleaned[[#This Row],[processed_date]]-Claims_Cleaned[[#This Row],[submission_date]])</f>
        <v>19</v>
      </c>
      <c r="I915" s="4" t="str">
        <f>TEXT(Claims_Cleaned[[#This Row],[claim_date]],"mmm-yyyy")</f>
        <v>Aug-2023</v>
      </c>
      <c r="J915" t="s">
        <v>11</v>
      </c>
      <c r="K915">
        <v>699.71</v>
      </c>
      <c r="L915" t="s">
        <v>683</v>
      </c>
      <c r="M915">
        <v>19</v>
      </c>
    </row>
    <row r="916" spans="1:13" x14ac:dyDescent="0.35">
      <c r="A916" t="s">
        <v>2113</v>
      </c>
      <c r="B916" t="s">
        <v>197</v>
      </c>
      <c r="C916" t="s">
        <v>575</v>
      </c>
      <c r="D916" t="s">
        <v>665</v>
      </c>
      <c r="E916" s="1">
        <v>45346</v>
      </c>
      <c r="F916" s="1">
        <v>45350</v>
      </c>
      <c r="G916" s="1">
        <v>45372</v>
      </c>
      <c r="H916" s="4">
        <f>IF(Claims_Cleaned[[#This Row],[processed_date]]="","",Claims_Cleaned[[#This Row],[processed_date]]-Claims_Cleaned[[#This Row],[submission_date]])</f>
        <v>22</v>
      </c>
      <c r="I916" s="4" t="str">
        <f>TEXT(Claims_Cleaned[[#This Row],[claim_date]],"mmm-yyyy")</f>
        <v>Feb-2024</v>
      </c>
      <c r="J916" t="s">
        <v>13</v>
      </c>
      <c r="K916">
        <v>697.48</v>
      </c>
      <c r="L916" t="s">
        <v>683</v>
      </c>
      <c r="M916">
        <v>22</v>
      </c>
    </row>
    <row r="917" spans="1:13" x14ac:dyDescent="0.35">
      <c r="A917" t="s">
        <v>1001</v>
      </c>
      <c r="B917" t="s">
        <v>391</v>
      </c>
      <c r="C917" t="s">
        <v>534</v>
      </c>
      <c r="D917" t="s">
        <v>658</v>
      </c>
      <c r="E917" s="1">
        <v>45153</v>
      </c>
      <c r="F917" s="1">
        <v>45157</v>
      </c>
      <c r="G917" s="1">
        <v>45181</v>
      </c>
      <c r="H917" s="4">
        <f>IF(Claims_Cleaned[[#This Row],[processed_date]]="","",Claims_Cleaned[[#This Row],[processed_date]]-Claims_Cleaned[[#This Row],[submission_date]])</f>
        <v>24</v>
      </c>
      <c r="I917" s="4" t="str">
        <f>TEXT(Claims_Cleaned[[#This Row],[claim_date]],"mmm-yyyy")</f>
        <v>Aug-2023</v>
      </c>
      <c r="J917" t="s">
        <v>11</v>
      </c>
      <c r="K917">
        <v>697.22</v>
      </c>
      <c r="L917" t="s">
        <v>683</v>
      </c>
      <c r="M917">
        <v>24</v>
      </c>
    </row>
    <row r="918" spans="1:13" x14ac:dyDescent="0.35">
      <c r="A918" t="s">
        <v>1463</v>
      </c>
      <c r="B918" t="s">
        <v>315</v>
      </c>
      <c r="C918" t="s">
        <v>555</v>
      </c>
      <c r="D918" t="s">
        <v>665</v>
      </c>
      <c r="E918" s="1">
        <v>45210</v>
      </c>
      <c r="F918" s="1">
        <v>45211</v>
      </c>
      <c r="G918" s="1">
        <v>45215</v>
      </c>
      <c r="H918" s="4">
        <f>IF(Claims_Cleaned[[#This Row],[processed_date]]="","",Claims_Cleaned[[#This Row],[processed_date]]-Claims_Cleaned[[#This Row],[submission_date]])</f>
        <v>4</v>
      </c>
      <c r="I918" s="4" t="str">
        <f>TEXT(Claims_Cleaned[[#This Row],[claim_date]],"mmm-yyyy")</f>
        <v>Oct-2023</v>
      </c>
      <c r="J918" t="s">
        <v>13</v>
      </c>
      <c r="K918">
        <v>697.13</v>
      </c>
      <c r="L918" t="s">
        <v>683</v>
      </c>
      <c r="M918">
        <v>4</v>
      </c>
    </row>
    <row r="919" spans="1:13" x14ac:dyDescent="0.35">
      <c r="A919" t="s">
        <v>1788</v>
      </c>
      <c r="B919" t="s">
        <v>362</v>
      </c>
      <c r="C919" t="s">
        <v>583</v>
      </c>
      <c r="D919" t="s">
        <v>669</v>
      </c>
      <c r="E919" s="1">
        <v>45613</v>
      </c>
      <c r="F919" s="1">
        <v>45617</v>
      </c>
      <c r="G919" s="1">
        <v>45628</v>
      </c>
      <c r="H919" s="4">
        <f>IF(Claims_Cleaned[[#This Row],[processed_date]]="","",Claims_Cleaned[[#This Row],[processed_date]]-Claims_Cleaned[[#This Row],[submission_date]])</f>
        <v>11</v>
      </c>
      <c r="I919" s="4" t="str">
        <f>TEXT(Claims_Cleaned[[#This Row],[claim_date]],"mmm-yyyy")</f>
        <v>Nov-2024</v>
      </c>
      <c r="J919" t="s">
        <v>25</v>
      </c>
      <c r="K919">
        <v>696.82</v>
      </c>
      <c r="L919" t="s">
        <v>683</v>
      </c>
      <c r="M919">
        <v>11</v>
      </c>
    </row>
    <row r="920" spans="1:13" x14ac:dyDescent="0.35">
      <c r="A920" t="s">
        <v>1579</v>
      </c>
      <c r="B920" t="s">
        <v>488</v>
      </c>
      <c r="C920" t="s">
        <v>573</v>
      </c>
      <c r="D920" t="s">
        <v>669</v>
      </c>
      <c r="E920" s="1">
        <v>45001</v>
      </c>
      <c r="F920" s="1">
        <v>45003</v>
      </c>
      <c r="G920" s="1">
        <v>45031</v>
      </c>
      <c r="H920" s="4">
        <f>IF(Claims_Cleaned[[#This Row],[processed_date]]="","",Claims_Cleaned[[#This Row],[processed_date]]-Claims_Cleaned[[#This Row],[submission_date]])</f>
        <v>28</v>
      </c>
      <c r="I920" s="4" t="str">
        <f>TEXT(Claims_Cleaned[[#This Row],[claim_date]],"mmm-yyyy")</f>
        <v>Mar-2023</v>
      </c>
      <c r="J920" t="s">
        <v>25</v>
      </c>
      <c r="K920">
        <v>695.89</v>
      </c>
      <c r="L920" t="s">
        <v>683</v>
      </c>
      <c r="M920">
        <v>28</v>
      </c>
    </row>
    <row r="921" spans="1:13" x14ac:dyDescent="0.35">
      <c r="A921" t="s">
        <v>2381</v>
      </c>
      <c r="B921" t="s">
        <v>127</v>
      </c>
      <c r="C921" t="s">
        <v>521</v>
      </c>
      <c r="D921" t="s">
        <v>669</v>
      </c>
      <c r="E921" s="1">
        <v>45616</v>
      </c>
      <c r="F921" s="1">
        <v>45619</v>
      </c>
      <c r="G921" s="1">
        <v>45627</v>
      </c>
      <c r="H921" s="4">
        <f>IF(Claims_Cleaned[[#This Row],[processed_date]]="","",Claims_Cleaned[[#This Row],[processed_date]]-Claims_Cleaned[[#This Row],[submission_date]])</f>
        <v>8</v>
      </c>
      <c r="I921" s="4" t="str">
        <f>TEXT(Claims_Cleaned[[#This Row],[claim_date]],"mmm-yyyy")</f>
        <v>Nov-2024</v>
      </c>
      <c r="J921" t="s">
        <v>11</v>
      </c>
      <c r="K921">
        <v>693.78</v>
      </c>
      <c r="L921" t="s">
        <v>683</v>
      </c>
      <c r="M921">
        <v>8</v>
      </c>
    </row>
    <row r="922" spans="1:13" x14ac:dyDescent="0.35">
      <c r="A922" t="s">
        <v>1653</v>
      </c>
      <c r="B922" t="s">
        <v>485</v>
      </c>
      <c r="C922" t="s">
        <v>563</v>
      </c>
      <c r="D922" t="s">
        <v>658</v>
      </c>
      <c r="E922" s="1">
        <v>44938</v>
      </c>
      <c r="F922" s="1">
        <v>44941</v>
      </c>
      <c r="G922" s="1">
        <v>44958</v>
      </c>
      <c r="H922" s="4">
        <f>IF(Claims_Cleaned[[#This Row],[processed_date]]="","",Claims_Cleaned[[#This Row],[processed_date]]-Claims_Cleaned[[#This Row],[submission_date]])</f>
        <v>17</v>
      </c>
      <c r="I922" s="4" t="str">
        <f>TEXT(Claims_Cleaned[[#This Row],[claim_date]],"mmm-yyyy")</f>
        <v>Jan-2023</v>
      </c>
      <c r="J922" t="s">
        <v>8</v>
      </c>
      <c r="K922">
        <v>693.11</v>
      </c>
      <c r="L922" t="s">
        <v>683</v>
      </c>
      <c r="M922">
        <v>17</v>
      </c>
    </row>
    <row r="923" spans="1:13" x14ac:dyDescent="0.35">
      <c r="A923" t="s">
        <v>2473</v>
      </c>
      <c r="B923" t="s">
        <v>447</v>
      </c>
      <c r="C923" t="s">
        <v>603</v>
      </c>
      <c r="D923" t="s">
        <v>669</v>
      </c>
      <c r="E923" s="1">
        <v>45182</v>
      </c>
      <c r="F923" s="1">
        <v>45185</v>
      </c>
      <c r="G923" s="1">
        <v>45199</v>
      </c>
      <c r="H923" s="4">
        <f>IF(Claims_Cleaned[[#This Row],[processed_date]]="","",Claims_Cleaned[[#This Row],[processed_date]]-Claims_Cleaned[[#This Row],[submission_date]])</f>
        <v>14</v>
      </c>
      <c r="I923" s="4" t="str">
        <f>TEXT(Claims_Cleaned[[#This Row],[claim_date]],"mmm-yyyy")</f>
        <v>Sep-2023</v>
      </c>
      <c r="J923" t="s">
        <v>11</v>
      </c>
      <c r="K923">
        <v>692.23</v>
      </c>
      <c r="L923" t="s">
        <v>683</v>
      </c>
      <c r="M923">
        <v>14</v>
      </c>
    </row>
    <row r="924" spans="1:13" x14ac:dyDescent="0.35">
      <c r="A924" t="s">
        <v>2223</v>
      </c>
      <c r="B924" t="s">
        <v>242</v>
      </c>
      <c r="C924" t="s">
        <v>609</v>
      </c>
      <c r="D924" t="s">
        <v>665</v>
      </c>
      <c r="E924" s="1">
        <v>45015</v>
      </c>
      <c r="F924" s="1">
        <v>45019</v>
      </c>
      <c r="G924" s="1">
        <v>45038</v>
      </c>
      <c r="H924" s="4">
        <f>IF(Claims_Cleaned[[#This Row],[processed_date]]="","",Claims_Cleaned[[#This Row],[processed_date]]-Claims_Cleaned[[#This Row],[submission_date]])</f>
        <v>19</v>
      </c>
      <c r="I924" s="4" t="str">
        <f>TEXT(Claims_Cleaned[[#This Row],[claim_date]],"mmm-yyyy")</f>
        <v>Mar-2023</v>
      </c>
      <c r="J924" t="s">
        <v>11</v>
      </c>
      <c r="K924">
        <v>691.6</v>
      </c>
      <c r="L924" t="s">
        <v>683</v>
      </c>
      <c r="M924">
        <v>19</v>
      </c>
    </row>
    <row r="925" spans="1:13" x14ac:dyDescent="0.35">
      <c r="A925" t="s">
        <v>1183</v>
      </c>
      <c r="B925" t="s">
        <v>281</v>
      </c>
      <c r="C925" t="s">
        <v>537</v>
      </c>
      <c r="D925" t="s">
        <v>665</v>
      </c>
      <c r="E925" s="1">
        <v>45431</v>
      </c>
      <c r="F925" s="1">
        <v>45436</v>
      </c>
      <c r="G925" s="1">
        <v>45461</v>
      </c>
      <c r="H925" s="4">
        <f>IF(Claims_Cleaned[[#This Row],[processed_date]]="","",Claims_Cleaned[[#This Row],[processed_date]]-Claims_Cleaned[[#This Row],[submission_date]])</f>
        <v>25</v>
      </c>
      <c r="I925" s="4" t="str">
        <f>TEXT(Claims_Cleaned[[#This Row],[claim_date]],"mmm-yyyy")</f>
        <v>May-2024</v>
      </c>
      <c r="J925" t="s">
        <v>11</v>
      </c>
      <c r="K925">
        <v>688.08</v>
      </c>
      <c r="L925" t="s">
        <v>683</v>
      </c>
      <c r="M925">
        <v>25</v>
      </c>
    </row>
    <row r="926" spans="1:13" x14ac:dyDescent="0.35">
      <c r="A926" t="s">
        <v>1514</v>
      </c>
      <c r="B926" t="s">
        <v>424</v>
      </c>
      <c r="C926" t="s">
        <v>534</v>
      </c>
      <c r="D926" t="s">
        <v>669</v>
      </c>
      <c r="E926" s="1">
        <v>45255</v>
      </c>
      <c r="F926" s="1">
        <v>45256</v>
      </c>
      <c r="G926" s="1">
        <v>45278</v>
      </c>
      <c r="H926" s="4">
        <f>IF(Claims_Cleaned[[#This Row],[processed_date]]="","",Claims_Cleaned[[#This Row],[processed_date]]-Claims_Cleaned[[#This Row],[submission_date]])</f>
        <v>22</v>
      </c>
      <c r="I926" s="4" t="str">
        <f>TEXT(Claims_Cleaned[[#This Row],[claim_date]],"mmm-yyyy")</f>
        <v>Nov-2023</v>
      </c>
      <c r="J926" t="s">
        <v>11</v>
      </c>
      <c r="K926">
        <v>688.06</v>
      </c>
      <c r="L926" t="s">
        <v>683</v>
      </c>
      <c r="M926">
        <v>22</v>
      </c>
    </row>
    <row r="927" spans="1:13" x14ac:dyDescent="0.35">
      <c r="A927" t="s">
        <v>2083</v>
      </c>
      <c r="B927" t="s">
        <v>420</v>
      </c>
      <c r="C927" t="s">
        <v>573</v>
      </c>
      <c r="D927" t="s">
        <v>667</v>
      </c>
      <c r="E927" s="1">
        <v>44930</v>
      </c>
      <c r="F927" s="1">
        <v>44933</v>
      </c>
      <c r="G927" s="1">
        <v>44946</v>
      </c>
      <c r="H927" s="4">
        <f>IF(Claims_Cleaned[[#This Row],[processed_date]]="","",Claims_Cleaned[[#This Row],[processed_date]]-Claims_Cleaned[[#This Row],[submission_date]])</f>
        <v>13</v>
      </c>
      <c r="I927" s="4" t="str">
        <f>TEXT(Claims_Cleaned[[#This Row],[claim_date]],"mmm-yyyy")</f>
        <v>Jan-2023</v>
      </c>
      <c r="J927" t="s">
        <v>20</v>
      </c>
      <c r="K927">
        <v>686.18</v>
      </c>
      <c r="L927" t="s">
        <v>683</v>
      </c>
      <c r="M927">
        <v>13</v>
      </c>
    </row>
    <row r="928" spans="1:13" x14ac:dyDescent="0.35">
      <c r="A928" t="s">
        <v>1775</v>
      </c>
      <c r="B928" t="s">
        <v>437</v>
      </c>
      <c r="C928" t="s">
        <v>599</v>
      </c>
      <c r="D928" t="s">
        <v>658</v>
      </c>
      <c r="E928" s="1">
        <v>45037</v>
      </c>
      <c r="F928" s="1">
        <v>45040</v>
      </c>
      <c r="G928" s="1">
        <v>45043</v>
      </c>
      <c r="H928" s="4">
        <f>IF(Claims_Cleaned[[#This Row],[processed_date]]="","",Claims_Cleaned[[#This Row],[processed_date]]-Claims_Cleaned[[#This Row],[submission_date]])</f>
        <v>3</v>
      </c>
      <c r="I928" s="4" t="str">
        <f>TEXT(Claims_Cleaned[[#This Row],[claim_date]],"mmm-yyyy")</f>
        <v>Apr-2023</v>
      </c>
      <c r="J928" t="s">
        <v>20</v>
      </c>
      <c r="K928">
        <v>685.59</v>
      </c>
      <c r="L928" t="s">
        <v>683</v>
      </c>
      <c r="M928">
        <v>3</v>
      </c>
    </row>
    <row r="929" spans="1:13" x14ac:dyDescent="0.35">
      <c r="A929" t="s">
        <v>1131</v>
      </c>
      <c r="B929" t="s">
        <v>141</v>
      </c>
      <c r="C929" t="s">
        <v>591</v>
      </c>
      <c r="D929" t="s">
        <v>658</v>
      </c>
      <c r="E929" s="1">
        <v>45634</v>
      </c>
      <c r="F929" s="1">
        <v>45636</v>
      </c>
      <c r="G929" s="1">
        <v>45664</v>
      </c>
      <c r="H929" s="4">
        <f>IF(Claims_Cleaned[[#This Row],[processed_date]]="","",Claims_Cleaned[[#This Row],[processed_date]]-Claims_Cleaned[[#This Row],[submission_date]])</f>
        <v>28</v>
      </c>
      <c r="I929" s="4" t="str">
        <f>TEXT(Claims_Cleaned[[#This Row],[claim_date]],"mmm-yyyy")</f>
        <v>Dec-2024</v>
      </c>
      <c r="J929" t="s">
        <v>8</v>
      </c>
      <c r="K929">
        <v>685.07</v>
      </c>
      <c r="L929" t="s">
        <v>683</v>
      </c>
      <c r="M929">
        <v>28</v>
      </c>
    </row>
    <row r="930" spans="1:13" x14ac:dyDescent="0.35">
      <c r="A930" t="s">
        <v>1094</v>
      </c>
      <c r="B930" t="s">
        <v>380</v>
      </c>
      <c r="C930" t="s">
        <v>561</v>
      </c>
      <c r="D930" t="s">
        <v>669</v>
      </c>
      <c r="E930" s="1">
        <v>45350</v>
      </c>
      <c r="F930" s="1">
        <v>45351</v>
      </c>
      <c r="G930" s="1">
        <v>45373</v>
      </c>
      <c r="H930" s="4">
        <f>IF(Claims_Cleaned[[#This Row],[processed_date]]="","",Claims_Cleaned[[#This Row],[processed_date]]-Claims_Cleaned[[#This Row],[submission_date]])</f>
        <v>22</v>
      </c>
      <c r="I930" s="4" t="str">
        <f>TEXT(Claims_Cleaned[[#This Row],[claim_date]],"mmm-yyyy")</f>
        <v>Feb-2024</v>
      </c>
      <c r="J930" t="s">
        <v>8</v>
      </c>
      <c r="K930">
        <v>685.03</v>
      </c>
      <c r="L930" t="s">
        <v>683</v>
      </c>
      <c r="M930">
        <v>22</v>
      </c>
    </row>
    <row r="931" spans="1:13" x14ac:dyDescent="0.35">
      <c r="A931" t="s">
        <v>2392</v>
      </c>
      <c r="B931" t="s">
        <v>177</v>
      </c>
      <c r="C931" t="s">
        <v>609</v>
      </c>
      <c r="D931" t="s">
        <v>658</v>
      </c>
      <c r="E931" s="1">
        <v>44999</v>
      </c>
      <c r="F931" s="1">
        <v>45000</v>
      </c>
      <c r="G931" s="1">
        <v>45013</v>
      </c>
      <c r="H931" s="4">
        <f>IF(Claims_Cleaned[[#This Row],[processed_date]]="","",Claims_Cleaned[[#This Row],[processed_date]]-Claims_Cleaned[[#This Row],[submission_date]])</f>
        <v>13</v>
      </c>
      <c r="I931" s="4" t="str">
        <f>TEXT(Claims_Cleaned[[#This Row],[claim_date]],"mmm-yyyy")</f>
        <v>Mar-2023</v>
      </c>
      <c r="J931" t="s">
        <v>11</v>
      </c>
      <c r="K931">
        <v>685.03</v>
      </c>
      <c r="L931" t="s">
        <v>683</v>
      </c>
      <c r="M931">
        <v>13</v>
      </c>
    </row>
    <row r="932" spans="1:13" x14ac:dyDescent="0.35">
      <c r="A932" t="s">
        <v>1190</v>
      </c>
      <c r="B932" t="s">
        <v>476</v>
      </c>
      <c r="C932" t="s">
        <v>557</v>
      </c>
      <c r="D932" t="s">
        <v>667</v>
      </c>
      <c r="E932" s="1">
        <v>45332</v>
      </c>
      <c r="F932" s="1">
        <v>45334</v>
      </c>
      <c r="G932" s="1">
        <v>45364</v>
      </c>
      <c r="H932" s="4">
        <f>IF(Claims_Cleaned[[#This Row],[processed_date]]="","",Claims_Cleaned[[#This Row],[processed_date]]-Claims_Cleaned[[#This Row],[submission_date]])</f>
        <v>30</v>
      </c>
      <c r="I932" s="4" t="str">
        <f>TEXT(Claims_Cleaned[[#This Row],[claim_date]],"mmm-yyyy")</f>
        <v>Feb-2024</v>
      </c>
      <c r="J932" t="s">
        <v>20</v>
      </c>
      <c r="K932">
        <v>684.71</v>
      </c>
      <c r="L932" t="s">
        <v>683</v>
      </c>
      <c r="M932">
        <v>30</v>
      </c>
    </row>
    <row r="933" spans="1:13" x14ac:dyDescent="0.35">
      <c r="A933" t="s">
        <v>1281</v>
      </c>
      <c r="B933" t="s">
        <v>203</v>
      </c>
      <c r="C933" t="s">
        <v>565</v>
      </c>
      <c r="D933" t="s">
        <v>665</v>
      </c>
      <c r="E933" s="1">
        <v>45565</v>
      </c>
      <c r="F933" s="1">
        <v>45569</v>
      </c>
      <c r="G933" s="1">
        <v>45578</v>
      </c>
      <c r="H933" s="4">
        <f>IF(Claims_Cleaned[[#This Row],[processed_date]]="","",Claims_Cleaned[[#This Row],[processed_date]]-Claims_Cleaned[[#This Row],[submission_date]])</f>
        <v>9</v>
      </c>
      <c r="I933" s="4" t="str">
        <f>TEXT(Claims_Cleaned[[#This Row],[claim_date]],"mmm-yyyy")</f>
        <v>Sep-2024</v>
      </c>
      <c r="J933" t="s">
        <v>25</v>
      </c>
      <c r="K933">
        <v>684.66</v>
      </c>
      <c r="L933" t="s">
        <v>683</v>
      </c>
      <c r="M933">
        <v>9</v>
      </c>
    </row>
    <row r="934" spans="1:13" x14ac:dyDescent="0.35">
      <c r="A934" t="s">
        <v>2077</v>
      </c>
      <c r="B934" t="s">
        <v>22</v>
      </c>
      <c r="C934" t="s">
        <v>595</v>
      </c>
      <c r="D934" t="s">
        <v>669</v>
      </c>
      <c r="E934" s="1">
        <v>45209</v>
      </c>
      <c r="F934" s="1">
        <v>45213</v>
      </c>
      <c r="G934" s="1">
        <v>45217</v>
      </c>
      <c r="H934" s="4">
        <f>IF(Claims_Cleaned[[#This Row],[processed_date]]="","",Claims_Cleaned[[#This Row],[processed_date]]-Claims_Cleaned[[#This Row],[submission_date]])</f>
        <v>4</v>
      </c>
      <c r="I934" s="4" t="str">
        <f>TEXT(Claims_Cleaned[[#This Row],[claim_date]],"mmm-yyyy")</f>
        <v>Oct-2023</v>
      </c>
      <c r="J934" t="s">
        <v>8</v>
      </c>
      <c r="K934">
        <v>684.37</v>
      </c>
      <c r="L934" t="s">
        <v>683</v>
      </c>
      <c r="M934">
        <v>4</v>
      </c>
    </row>
    <row r="935" spans="1:13" x14ac:dyDescent="0.35">
      <c r="A935" t="s">
        <v>1783</v>
      </c>
      <c r="B935" t="s">
        <v>236</v>
      </c>
      <c r="C935" t="s">
        <v>534</v>
      </c>
      <c r="D935" t="s">
        <v>658</v>
      </c>
      <c r="E935" s="1">
        <v>45304</v>
      </c>
      <c r="F935" s="1">
        <v>45305</v>
      </c>
      <c r="G935" s="1">
        <v>45324</v>
      </c>
      <c r="H935" s="4">
        <f>IF(Claims_Cleaned[[#This Row],[processed_date]]="","",Claims_Cleaned[[#This Row],[processed_date]]-Claims_Cleaned[[#This Row],[submission_date]])</f>
        <v>19</v>
      </c>
      <c r="I935" s="4" t="str">
        <f>TEXT(Claims_Cleaned[[#This Row],[claim_date]],"mmm-yyyy")</f>
        <v>Jan-2024</v>
      </c>
      <c r="J935" t="s">
        <v>11</v>
      </c>
      <c r="K935">
        <v>682.66</v>
      </c>
      <c r="L935" t="s">
        <v>687</v>
      </c>
      <c r="M935">
        <v>19</v>
      </c>
    </row>
    <row r="936" spans="1:13" x14ac:dyDescent="0.35">
      <c r="A936" t="s">
        <v>2095</v>
      </c>
      <c r="B936" t="s">
        <v>314</v>
      </c>
      <c r="C936" t="s">
        <v>581</v>
      </c>
      <c r="D936" t="s">
        <v>658</v>
      </c>
      <c r="E936" s="1">
        <v>45435</v>
      </c>
      <c r="F936" s="1">
        <v>45438</v>
      </c>
      <c r="G936" s="1">
        <v>45445</v>
      </c>
      <c r="H936" s="4">
        <f>IF(Claims_Cleaned[[#This Row],[processed_date]]="","",Claims_Cleaned[[#This Row],[processed_date]]-Claims_Cleaned[[#This Row],[submission_date]])</f>
        <v>7</v>
      </c>
      <c r="I936" s="4" t="str">
        <f>TEXT(Claims_Cleaned[[#This Row],[claim_date]],"mmm-yyyy")</f>
        <v>May-2024</v>
      </c>
      <c r="J936" t="s">
        <v>8</v>
      </c>
      <c r="K936">
        <v>680.36</v>
      </c>
      <c r="L936" t="s">
        <v>687</v>
      </c>
      <c r="M936">
        <v>7</v>
      </c>
    </row>
    <row r="937" spans="1:13" x14ac:dyDescent="0.35">
      <c r="A937" t="s">
        <v>1931</v>
      </c>
      <c r="B937" t="s">
        <v>115</v>
      </c>
      <c r="C937" t="s">
        <v>585</v>
      </c>
      <c r="D937" t="s">
        <v>667</v>
      </c>
      <c r="E937" s="1">
        <v>45506</v>
      </c>
      <c r="F937" s="1">
        <v>45508</v>
      </c>
      <c r="G937" s="1">
        <v>45527</v>
      </c>
      <c r="H937" s="4">
        <f>IF(Claims_Cleaned[[#This Row],[processed_date]]="","",Claims_Cleaned[[#This Row],[processed_date]]-Claims_Cleaned[[#This Row],[submission_date]])</f>
        <v>19</v>
      </c>
      <c r="I937" s="4" t="str">
        <f>TEXT(Claims_Cleaned[[#This Row],[claim_date]],"mmm-yyyy")</f>
        <v>Aug-2024</v>
      </c>
      <c r="J937" t="s">
        <v>20</v>
      </c>
      <c r="K937">
        <v>680.22</v>
      </c>
      <c r="L937" t="s">
        <v>683</v>
      </c>
      <c r="M937">
        <v>19</v>
      </c>
    </row>
    <row r="938" spans="1:13" x14ac:dyDescent="0.35">
      <c r="A938" t="s">
        <v>799</v>
      </c>
      <c r="B938" t="s">
        <v>172</v>
      </c>
      <c r="C938" t="s">
        <v>557</v>
      </c>
      <c r="D938" t="s">
        <v>665</v>
      </c>
      <c r="E938" s="1">
        <v>45612</v>
      </c>
      <c r="F938" s="1">
        <v>45615</v>
      </c>
      <c r="G938" s="1">
        <v>45628</v>
      </c>
      <c r="H938" s="4">
        <f>IF(Claims_Cleaned[[#This Row],[processed_date]]="","",Claims_Cleaned[[#This Row],[processed_date]]-Claims_Cleaned[[#This Row],[submission_date]])</f>
        <v>13</v>
      </c>
      <c r="I938" s="4" t="str">
        <f>TEXT(Claims_Cleaned[[#This Row],[claim_date]],"mmm-yyyy")</f>
        <v>Nov-2024</v>
      </c>
      <c r="J938" t="s">
        <v>13</v>
      </c>
      <c r="K938">
        <v>676.34</v>
      </c>
      <c r="L938" t="s">
        <v>683</v>
      </c>
      <c r="M938">
        <v>13</v>
      </c>
    </row>
    <row r="939" spans="1:13" x14ac:dyDescent="0.35">
      <c r="A939" t="s">
        <v>1349</v>
      </c>
      <c r="B939" t="s">
        <v>29</v>
      </c>
      <c r="C939" t="s">
        <v>585</v>
      </c>
      <c r="D939" t="s">
        <v>669</v>
      </c>
      <c r="E939" s="1">
        <v>44949</v>
      </c>
      <c r="F939" s="1">
        <v>44950</v>
      </c>
      <c r="G939" s="1">
        <v>44957</v>
      </c>
      <c r="H939" s="4">
        <f>IF(Claims_Cleaned[[#This Row],[processed_date]]="","",Claims_Cleaned[[#This Row],[processed_date]]-Claims_Cleaned[[#This Row],[submission_date]])</f>
        <v>7</v>
      </c>
      <c r="I939" s="4" t="str">
        <f>TEXT(Claims_Cleaned[[#This Row],[claim_date]],"mmm-yyyy")</f>
        <v>Jan-2023</v>
      </c>
      <c r="J939" t="s">
        <v>8</v>
      </c>
      <c r="K939">
        <v>675.92</v>
      </c>
      <c r="L939" t="s">
        <v>683</v>
      </c>
      <c r="M939">
        <v>7</v>
      </c>
    </row>
    <row r="940" spans="1:13" x14ac:dyDescent="0.35">
      <c r="A940" t="s">
        <v>1199</v>
      </c>
      <c r="B940" t="s">
        <v>29</v>
      </c>
      <c r="C940" t="s">
        <v>531</v>
      </c>
      <c r="D940" t="s">
        <v>667</v>
      </c>
      <c r="E940" s="1">
        <v>45013</v>
      </c>
      <c r="F940" s="1">
        <v>45015</v>
      </c>
      <c r="G940" s="1">
        <v>45026</v>
      </c>
      <c r="H940" s="4">
        <f>IF(Claims_Cleaned[[#This Row],[processed_date]]="","",Claims_Cleaned[[#This Row],[processed_date]]-Claims_Cleaned[[#This Row],[submission_date]])</f>
        <v>11</v>
      </c>
      <c r="I940" s="4" t="str">
        <f>TEXT(Claims_Cleaned[[#This Row],[claim_date]],"mmm-yyyy")</f>
        <v>Mar-2023</v>
      </c>
      <c r="J940" t="s">
        <v>8</v>
      </c>
      <c r="K940">
        <v>674.73</v>
      </c>
      <c r="L940" t="s">
        <v>683</v>
      </c>
      <c r="M940">
        <v>11</v>
      </c>
    </row>
    <row r="941" spans="1:13" x14ac:dyDescent="0.35">
      <c r="A941" t="s">
        <v>2317</v>
      </c>
      <c r="B941" t="s">
        <v>125</v>
      </c>
      <c r="C941" t="s">
        <v>546</v>
      </c>
      <c r="D941" t="s">
        <v>667</v>
      </c>
      <c r="E941" s="1">
        <v>45080</v>
      </c>
      <c r="F941" s="1">
        <v>45085</v>
      </c>
      <c r="G941" s="1">
        <v>45114</v>
      </c>
      <c r="H941" s="4">
        <f>IF(Claims_Cleaned[[#This Row],[processed_date]]="","",Claims_Cleaned[[#This Row],[processed_date]]-Claims_Cleaned[[#This Row],[submission_date]])</f>
        <v>29</v>
      </c>
      <c r="I941" s="4" t="str">
        <f>TEXT(Claims_Cleaned[[#This Row],[claim_date]],"mmm-yyyy")</f>
        <v>Jun-2023</v>
      </c>
      <c r="J941" t="s">
        <v>11</v>
      </c>
      <c r="K941">
        <v>674.62</v>
      </c>
      <c r="L941" t="s">
        <v>683</v>
      </c>
      <c r="M941">
        <v>29</v>
      </c>
    </row>
    <row r="942" spans="1:13" x14ac:dyDescent="0.35">
      <c r="A942" t="s">
        <v>2092</v>
      </c>
      <c r="B942" t="s">
        <v>316</v>
      </c>
      <c r="C942" t="s">
        <v>611</v>
      </c>
      <c r="D942" t="s">
        <v>665</v>
      </c>
      <c r="E942" s="1">
        <v>45180</v>
      </c>
      <c r="F942" s="1">
        <v>45182</v>
      </c>
      <c r="G942" s="1">
        <v>45187</v>
      </c>
      <c r="H942" s="4">
        <f>IF(Claims_Cleaned[[#This Row],[processed_date]]="","",Claims_Cleaned[[#This Row],[processed_date]]-Claims_Cleaned[[#This Row],[submission_date]])</f>
        <v>5</v>
      </c>
      <c r="I942" s="4" t="str">
        <f>TEXT(Claims_Cleaned[[#This Row],[claim_date]],"mmm-yyyy")</f>
        <v>Sep-2023</v>
      </c>
      <c r="J942" t="s">
        <v>13</v>
      </c>
      <c r="K942">
        <v>674.1</v>
      </c>
      <c r="L942" t="s">
        <v>683</v>
      </c>
      <c r="M942">
        <v>5</v>
      </c>
    </row>
    <row r="943" spans="1:13" x14ac:dyDescent="0.35">
      <c r="A943" t="s">
        <v>1534</v>
      </c>
      <c r="B943" t="s">
        <v>476</v>
      </c>
      <c r="C943" t="s">
        <v>549</v>
      </c>
      <c r="D943" t="s">
        <v>665</v>
      </c>
      <c r="E943" s="1">
        <v>45052</v>
      </c>
      <c r="F943" s="1">
        <v>45056</v>
      </c>
      <c r="G943" s="1">
        <v>45086</v>
      </c>
      <c r="H943" s="4">
        <f>IF(Claims_Cleaned[[#This Row],[processed_date]]="","",Claims_Cleaned[[#This Row],[processed_date]]-Claims_Cleaned[[#This Row],[submission_date]])</f>
        <v>30</v>
      </c>
      <c r="I943" s="4" t="str">
        <f>TEXT(Claims_Cleaned[[#This Row],[claim_date]],"mmm-yyyy")</f>
        <v>May-2023</v>
      </c>
      <c r="J943" t="s">
        <v>20</v>
      </c>
      <c r="K943">
        <v>671.59</v>
      </c>
      <c r="L943" t="s">
        <v>683</v>
      </c>
      <c r="M943">
        <v>30</v>
      </c>
    </row>
    <row r="944" spans="1:13" x14ac:dyDescent="0.35">
      <c r="A944" t="s">
        <v>1236</v>
      </c>
      <c r="B944" t="s">
        <v>245</v>
      </c>
      <c r="C944" t="s">
        <v>591</v>
      </c>
      <c r="D944" t="s">
        <v>669</v>
      </c>
      <c r="E944" s="1">
        <v>45159</v>
      </c>
      <c r="F944" s="1">
        <v>45163</v>
      </c>
      <c r="G944" s="1">
        <v>45178</v>
      </c>
      <c r="H944" s="4">
        <f>IF(Claims_Cleaned[[#This Row],[processed_date]]="","",Claims_Cleaned[[#This Row],[processed_date]]-Claims_Cleaned[[#This Row],[submission_date]])</f>
        <v>15</v>
      </c>
      <c r="I944" s="4" t="str">
        <f>TEXT(Claims_Cleaned[[#This Row],[claim_date]],"mmm-yyyy")</f>
        <v>Aug-2023</v>
      </c>
      <c r="J944" t="s">
        <v>8</v>
      </c>
      <c r="K944">
        <v>671.19</v>
      </c>
      <c r="L944" t="s">
        <v>683</v>
      </c>
      <c r="M944">
        <v>15</v>
      </c>
    </row>
    <row r="945" spans="1:13" x14ac:dyDescent="0.35">
      <c r="A945" t="s">
        <v>2001</v>
      </c>
      <c r="B945" t="s">
        <v>224</v>
      </c>
      <c r="C945" t="s">
        <v>603</v>
      </c>
      <c r="D945" t="s">
        <v>667</v>
      </c>
      <c r="E945" s="1">
        <v>45425</v>
      </c>
      <c r="F945" s="1">
        <v>45428</v>
      </c>
      <c r="G945" s="1">
        <v>45457</v>
      </c>
      <c r="H945" s="4">
        <f>IF(Claims_Cleaned[[#This Row],[processed_date]]="","",Claims_Cleaned[[#This Row],[processed_date]]-Claims_Cleaned[[#This Row],[submission_date]])</f>
        <v>29</v>
      </c>
      <c r="I945" s="4" t="str">
        <f>TEXT(Claims_Cleaned[[#This Row],[claim_date]],"mmm-yyyy")</f>
        <v>May-2024</v>
      </c>
      <c r="J945" t="s">
        <v>11</v>
      </c>
      <c r="K945">
        <v>670.09</v>
      </c>
      <c r="L945" t="s">
        <v>683</v>
      </c>
      <c r="M945">
        <v>29</v>
      </c>
    </row>
    <row r="946" spans="1:13" x14ac:dyDescent="0.35">
      <c r="A946" t="s">
        <v>765</v>
      </c>
      <c r="B946" t="s">
        <v>402</v>
      </c>
      <c r="C946" t="s">
        <v>555</v>
      </c>
      <c r="D946" t="s">
        <v>665</v>
      </c>
      <c r="E946" s="1">
        <v>45001</v>
      </c>
      <c r="F946" s="1">
        <v>45005</v>
      </c>
      <c r="G946" s="1">
        <v>45008</v>
      </c>
      <c r="H946" s="4">
        <f>IF(Claims_Cleaned[[#This Row],[processed_date]]="","",Claims_Cleaned[[#This Row],[processed_date]]-Claims_Cleaned[[#This Row],[submission_date]])</f>
        <v>3</v>
      </c>
      <c r="I946" s="4" t="str">
        <f>TEXT(Claims_Cleaned[[#This Row],[claim_date]],"mmm-yyyy")</f>
        <v>Mar-2023</v>
      </c>
      <c r="J946" t="s">
        <v>11</v>
      </c>
      <c r="K946">
        <v>669.37</v>
      </c>
      <c r="L946" t="s">
        <v>687</v>
      </c>
      <c r="M946">
        <v>3</v>
      </c>
    </row>
    <row r="947" spans="1:13" x14ac:dyDescent="0.35">
      <c r="A947" t="s">
        <v>1083</v>
      </c>
      <c r="B947" t="s">
        <v>289</v>
      </c>
      <c r="C947" t="s">
        <v>595</v>
      </c>
      <c r="D947" t="s">
        <v>667</v>
      </c>
      <c r="E947" s="1">
        <v>45476</v>
      </c>
      <c r="F947" s="1">
        <v>45478</v>
      </c>
      <c r="G947" s="1">
        <v>45483</v>
      </c>
      <c r="H947" s="4">
        <f>IF(Claims_Cleaned[[#This Row],[processed_date]]="","",Claims_Cleaned[[#This Row],[processed_date]]-Claims_Cleaned[[#This Row],[submission_date]])</f>
        <v>5</v>
      </c>
      <c r="I947" s="4" t="str">
        <f>TEXT(Claims_Cleaned[[#This Row],[claim_date]],"mmm-yyyy")</f>
        <v>Jul-2024</v>
      </c>
      <c r="J947" t="s">
        <v>13</v>
      </c>
      <c r="K947">
        <v>668.62</v>
      </c>
      <c r="L947" t="s">
        <v>687</v>
      </c>
      <c r="M947">
        <v>5</v>
      </c>
    </row>
    <row r="948" spans="1:13" x14ac:dyDescent="0.35">
      <c r="A948" t="s">
        <v>1993</v>
      </c>
      <c r="B948" t="s">
        <v>269</v>
      </c>
      <c r="C948" t="s">
        <v>567</v>
      </c>
      <c r="D948" t="s">
        <v>665</v>
      </c>
      <c r="E948" s="1">
        <v>45579</v>
      </c>
      <c r="F948" s="1">
        <v>45581</v>
      </c>
      <c r="G948" s="1">
        <v>45598</v>
      </c>
      <c r="H948" s="4">
        <f>IF(Claims_Cleaned[[#This Row],[processed_date]]="","",Claims_Cleaned[[#This Row],[processed_date]]-Claims_Cleaned[[#This Row],[submission_date]])</f>
        <v>17</v>
      </c>
      <c r="I948" s="4" t="str">
        <f>TEXT(Claims_Cleaned[[#This Row],[claim_date]],"mmm-yyyy")</f>
        <v>Oct-2024</v>
      </c>
      <c r="J948" t="s">
        <v>20</v>
      </c>
      <c r="K948">
        <v>668.41</v>
      </c>
      <c r="L948" t="s">
        <v>687</v>
      </c>
      <c r="M948">
        <v>17</v>
      </c>
    </row>
    <row r="949" spans="1:13" x14ac:dyDescent="0.35">
      <c r="A949" t="s">
        <v>2217</v>
      </c>
      <c r="B949" t="s">
        <v>89</v>
      </c>
      <c r="C949" t="s">
        <v>597</v>
      </c>
      <c r="D949" t="s">
        <v>665</v>
      </c>
      <c r="E949" s="1">
        <v>45409</v>
      </c>
      <c r="F949" s="1">
        <v>45411</v>
      </c>
      <c r="G949" s="1"/>
      <c r="H949" s="4" t="str">
        <f>IF(Claims_Cleaned[[#This Row],[processed_date]]="","",Claims_Cleaned[[#This Row],[processed_date]]-Claims_Cleaned[[#This Row],[submission_date]])</f>
        <v/>
      </c>
      <c r="I949" s="4" t="str">
        <f>TEXT(Claims_Cleaned[[#This Row],[claim_date]],"mmm-yyyy")</f>
        <v>Apr-2024</v>
      </c>
      <c r="J949" t="s">
        <v>11</v>
      </c>
      <c r="K949">
        <v>666.64</v>
      </c>
      <c r="L949" t="s">
        <v>689</v>
      </c>
    </row>
    <row r="950" spans="1:13" x14ac:dyDescent="0.35">
      <c r="A950" t="s">
        <v>2591</v>
      </c>
      <c r="B950" t="s">
        <v>205</v>
      </c>
      <c r="C950" t="s">
        <v>540</v>
      </c>
      <c r="D950" t="s">
        <v>667</v>
      </c>
      <c r="E950" s="1">
        <v>45121</v>
      </c>
      <c r="F950" s="1">
        <v>45126</v>
      </c>
      <c r="G950" s="1">
        <v>45154</v>
      </c>
      <c r="H950" s="4">
        <f>IF(Claims_Cleaned[[#This Row],[processed_date]]="","",Claims_Cleaned[[#This Row],[processed_date]]-Claims_Cleaned[[#This Row],[submission_date]])</f>
        <v>28</v>
      </c>
      <c r="I950" s="4" t="str">
        <f>TEXT(Claims_Cleaned[[#This Row],[claim_date]],"mmm-yyyy")</f>
        <v>Jul-2023</v>
      </c>
      <c r="J950" t="s">
        <v>11</v>
      </c>
      <c r="K950">
        <v>666.16</v>
      </c>
      <c r="L950" t="s">
        <v>683</v>
      </c>
      <c r="M950">
        <v>28</v>
      </c>
    </row>
    <row r="951" spans="1:13" x14ac:dyDescent="0.35">
      <c r="A951" t="s">
        <v>2397</v>
      </c>
      <c r="B951" t="s">
        <v>491</v>
      </c>
      <c r="C951" t="s">
        <v>555</v>
      </c>
      <c r="D951" t="s">
        <v>669</v>
      </c>
      <c r="E951" s="1">
        <v>45096</v>
      </c>
      <c r="F951" s="1">
        <v>45100</v>
      </c>
      <c r="G951" s="1"/>
      <c r="H951" s="4" t="str">
        <f>IF(Claims_Cleaned[[#This Row],[processed_date]]="","",Claims_Cleaned[[#This Row],[processed_date]]-Claims_Cleaned[[#This Row],[submission_date]])</f>
        <v/>
      </c>
      <c r="I951" s="4" t="str">
        <f>TEXT(Claims_Cleaned[[#This Row],[claim_date]],"mmm-yyyy")</f>
        <v>Jun-2023</v>
      </c>
      <c r="J951" t="s">
        <v>11</v>
      </c>
      <c r="K951">
        <v>664.66</v>
      </c>
      <c r="L951" t="s">
        <v>689</v>
      </c>
    </row>
    <row r="952" spans="1:13" x14ac:dyDescent="0.35">
      <c r="A952" t="s">
        <v>1744</v>
      </c>
      <c r="B952" t="s">
        <v>507</v>
      </c>
      <c r="C952" t="s">
        <v>607</v>
      </c>
      <c r="D952" t="s">
        <v>669</v>
      </c>
      <c r="E952" s="1">
        <v>44929</v>
      </c>
      <c r="F952" s="1">
        <v>44930</v>
      </c>
      <c r="G952" s="1">
        <v>44955</v>
      </c>
      <c r="H952" s="4">
        <f>IF(Claims_Cleaned[[#This Row],[processed_date]]="","",Claims_Cleaned[[#This Row],[processed_date]]-Claims_Cleaned[[#This Row],[submission_date]])</f>
        <v>25</v>
      </c>
      <c r="I952" s="4" t="str">
        <f>TEXT(Claims_Cleaned[[#This Row],[claim_date]],"mmm-yyyy")</f>
        <v>Jan-2023</v>
      </c>
      <c r="J952" t="s">
        <v>8</v>
      </c>
      <c r="K952">
        <v>663.68</v>
      </c>
      <c r="L952" t="s">
        <v>683</v>
      </c>
      <c r="M952">
        <v>25</v>
      </c>
    </row>
    <row r="953" spans="1:13" x14ac:dyDescent="0.35">
      <c r="A953" t="s">
        <v>1753</v>
      </c>
      <c r="B953" t="s">
        <v>179</v>
      </c>
      <c r="C953" t="s">
        <v>561</v>
      </c>
      <c r="D953" t="s">
        <v>667</v>
      </c>
      <c r="E953" s="1">
        <v>45459</v>
      </c>
      <c r="F953" s="1">
        <v>45461</v>
      </c>
      <c r="G953" s="1">
        <v>45473</v>
      </c>
      <c r="H953" s="4">
        <f>IF(Claims_Cleaned[[#This Row],[processed_date]]="","",Claims_Cleaned[[#This Row],[processed_date]]-Claims_Cleaned[[#This Row],[submission_date]])</f>
        <v>12</v>
      </c>
      <c r="I953" s="4" t="str">
        <f>TEXT(Claims_Cleaned[[#This Row],[claim_date]],"mmm-yyyy")</f>
        <v>Jun-2024</v>
      </c>
      <c r="J953" t="s">
        <v>11</v>
      </c>
      <c r="K953">
        <v>663.16</v>
      </c>
      <c r="L953" t="s">
        <v>687</v>
      </c>
      <c r="M953">
        <v>12</v>
      </c>
    </row>
    <row r="954" spans="1:13" x14ac:dyDescent="0.35">
      <c r="A954" t="s">
        <v>1962</v>
      </c>
      <c r="B954" t="s">
        <v>447</v>
      </c>
      <c r="C954" t="s">
        <v>565</v>
      </c>
      <c r="D954" t="s">
        <v>665</v>
      </c>
      <c r="E954" s="1">
        <v>45278</v>
      </c>
      <c r="F954" s="1">
        <v>45279</v>
      </c>
      <c r="G954" s="1">
        <v>45300</v>
      </c>
      <c r="H954" s="4">
        <f>IF(Claims_Cleaned[[#This Row],[processed_date]]="","",Claims_Cleaned[[#This Row],[processed_date]]-Claims_Cleaned[[#This Row],[submission_date]])</f>
        <v>21</v>
      </c>
      <c r="I954" s="4" t="str">
        <f>TEXT(Claims_Cleaned[[#This Row],[claim_date]],"mmm-yyyy")</f>
        <v>Dec-2023</v>
      </c>
      <c r="J954" t="s">
        <v>11</v>
      </c>
      <c r="K954">
        <v>663.08</v>
      </c>
      <c r="L954" t="s">
        <v>683</v>
      </c>
      <c r="M954">
        <v>21</v>
      </c>
    </row>
    <row r="955" spans="1:13" x14ac:dyDescent="0.35">
      <c r="A955" t="s">
        <v>949</v>
      </c>
      <c r="B955" t="s">
        <v>262</v>
      </c>
      <c r="C955" t="s">
        <v>534</v>
      </c>
      <c r="D955" t="s">
        <v>667</v>
      </c>
      <c r="E955" s="1">
        <v>45411</v>
      </c>
      <c r="F955" s="1">
        <v>45416</v>
      </c>
      <c r="G955" s="1">
        <v>45426</v>
      </c>
      <c r="H955" s="4">
        <f>IF(Claims_Cleaned[[#This Row],[processed_date]]="","",Claims_Cleaned[[#This Row],[processed_date]]-Claims_Cleaned[[#This Row],[submission_date]])</f>
        <v>10</v>
      </c>
      <c r="I955" s="4" t="str">
        <f>TEXT(Claims_Cleaned[[#This Row],[claim_date]],"mmm-yyyy")</f>
        <v>Apr-2024</v>
      </c>
      <c r="J955" t="s">
        <v>20</v>
      </c>
      <c r="K955">
        <v>662.77</v>
      </c>
      <c r="L955" t="s">
        <v>683</v>
      </c>
      <c r="M955">
        <v>10</v>
      </c>
    </row>
    <row r="956" spans="1:13" x14ac:dyDescent="0.35">
      <c r="A956" t="s">
        <v>1832</v>
      </c>
      <c r="B956" t="s">
        <v>406</v>
      </c>
      <c r="C956" t="s">
        <v>577</v>
      </c>
      <c r="D956" t="s">
        <v>665</v>
      </c>
      <c r="E956" s="1">
        <v>45083</v>
      </c>
      <c r="F956" s="1">
        <v>45085</v>
      </c>
      <c r="G956" s="1"/>
      <c r="H956" s="4" t="str">
        <f>IF(Claims_Cleaned[[#This Row],[processed_date]]="","",Claims_Cleaned[[#This Row],[processed_date]]-Claims_Cleaned[[#This Row],[submission_date]])</f>
        <v/>
      </c>
      <c r="I956" s="4" t="str">
        <f>TEXT(Claims_Cleaned[[#This Row],[claim_date]],"mmm-yyyy")</f>
        <v>Jun-2023</v>
      </c>
      <c r="J956" t="s">
        <v>11</v>
      </c>
      <c r="K956">
        <v>662.49</v>
      </c>
      <c r="L956" t="s">
        <v>689</v>
      </c>
    </row>
    <row r="957" spans="1:13" x14ac:dyDescent="0.35">
      <c r="A957" t="s">
        <v>2680</v>
      </c>
      <c r="B957" t="s">
        <v>133</v>
      </c>
      <c r="C957" t="s">
        <v>601</v>
      </c>
      <c r="D957" t="s">
        <v>669</v>
      </c>
      <c r="E957" s="1">
        <v>44985</v>
      </c>
      <c r="F957" s="1">
        <v>44989</v>
      </c>
      <c r="G957" s="1">
        <v>44996</v>
      </c>
      <c r="H957" s="4">
        <f>IF(Claims_Cleaned[[#This Row],[processed_date]]="","",Claims_Cleaned[[#This Row],[processed_date]]-Claims_Cleaned[[#This Row],[submission_date]])</f>
        <v>7</v>
      </c>
      <c r="I957" s="4" t="str">
        <f>TEXT(Claims_Cleaned[[#This Row],[claim_date]],"mmm-yyyy")</f>
        <v>Feb-2023</v>
      </c>
      <c r="J957" t="s">
        <v>8</v>
      </c>
      <c r="K957">
        <v>662.43</v>
      </c>
      <c r="L957" t="s">
        <v>683</v>
      </c>
      <c r="M957">
        <v>7</v>
      </c>
    </row>
    <row r="958" spans="1:13" x14ac:dyDescent="0.35">
      <c r="A958" t="s">
        <v>1900</v>
      </c>
      <c r="B958" t="s">
        <v>191</v>
      </c>
      <c r="C958" t="s">
        <v>534</v>
      </c>
      <c r="D958" t="s">
        <v>665</v>
      </c>
      <c r="E958" s="1">
        <v>45484</v>
      </c>
      <c r="F958" s="1">
        <v>45485</v>
      </c>
      <c r="G958" s="1"/>
      <c r="H958" s="4" t="str">
        <f>IF(Claims_Cleaned[[#This Row],[processed_date]]="","",Claims_Cleaned[[#This Row],[processed_date]]-Claims_Cleaned[[#This Row],[submission_date]])</f>
        <v/>
      </c>
      <c r="I958" s="4" t="str">
        <f>TEXT(Claims_Cleaned[[#This Row],[claim_date]],"mmm-yyyy")</f>
        <v>Jul-2024</v>
      </c>
      <c r="J958" t="s">
        <v>20</v>
      </c>
      <c r="K958">
        <v>661.93</v>
      </c>
      <c r="L958" t="s">
        <v>689</v>
      </c>
    </row>
    <row r="959" spans="1:13" x14ac:dyDescent="0.35">
      <c r="A959" t="s">
        <v>1869</v>
      </c>
      <c r="B959" t="s">
        <v>405</v>
      </c>
      <c r="C959" t="s">
        <v>573</v>
      </c>
      <c r="D959" t="s">
        <v>667</v>
      </c>
      <c r="E959" s="1">
        <v>45619</v>
      </c>
      <c r="F959" s="1">
        <v>45624</v>
      </c>
      <c r="G959" s="1">
        <v>45627</v>
      </c>
      <c r="H959" s="4">
        <f>IF(Claims_Cleaned[[#This Row],[processed_date]]="","",Claims_Cleaned[[#This Row],[processed_date]]-Claims_Cleaned[[#This Row],[submission_date]])</f>
        <v>3</v>
      </c>
      <c r="I959" s="4" t="str">
        <f>TEXT(Claims_Cleaned[[#This Row],[claim_date]],"mmm-yyyy")</f>
        <v>Nov-2024</v>
      </c>
      <c r="J959" t="s">
        <v>13</v>
      </c>
      <c r="K959">
        <v>660.24</v>
      </c>
      <c r="L959" t="s">
        <v>683</v>
      </c>
      <c r="M959">
        <v>3</v>
      </c>
    </row>
    <row r="960" spans="1:13" x14ac:dyDescent="0.35">
      <c r="A960" t="s">
        <v>2312</v>
      </c>
      <c r="B960" t="s">
        <v>326</v>
      </c>
      <c r="C960" t="s">
        <v>587</v>
      </c>
      <c r="D960" t="s">
        <v>667</v>
      </c>
      <c r="E960" s="1">
        <v>45440</v>
      </c>
      <c r="F960" s="1">
        <v>45445</v>
      </c>
      <c r="G960" s="1">
        <v>45461</v>
      </c>
      <c r="H960" s="4">
        <f>IF(Claims_Cleaned[[#This Row],[processed_date]]="","",Claims_Cleaned[[#This Row],[processed_date]]-Claims_Cleaned[[#This Row],[submission_date]])</f>
        <v>16</v>
      </c>
      <c r="I960" s="4" t="str">
        <f>TEXT(Claims_Cleaned[[#This Row],[claim_date]],"mmm-yyyy")</f>
        <v>May-2024</v>
      </c>
      <c r="J960" t="s">
        <v>20</v>
      </c>
      <c r="K960">
        <v>659.32</v>
      </c>
      <c r="L960" t="s">
        <v>683</v>
      </c>
      <c r="M960">
        <v>16</v>
      </c>
    </row>
    <row r="961" spans="1:13" x14ac:dyDescent="0.35">
      <c r="A961" t="s">
        <v>1397</v>
      </c>
      <c r="B961" t="s">
        <v>457</v>
      </c>
      <c r="C961" t="s">
        <v>589</v>
      </c>
      <c r="D961" t="s">
        <v>667</v>
      </c>
      <c r="E961" s="1">
        <v>45356</v>
      </c>
      <c r="F961" s="1">
        <v>45357</v>
      </c>
      <c r="G961" s="1">
        <v>45382</v>
      </c>
      <c r="H961" s="4">
        <f>IF(Claims_Cleaned[[#This Row],[processed_date]]="","",Claims_Cleaned[[#This Row],[processed_date]]-Claims_Cleaned[[#This Row],[submission_date]])</f>
        <v>25</v>
      </c>
      <c r="I961" s="4" t="str">
        <f>TEXT(Claims_Cleaned[[#This Row],[claim_date]],"mmm-yyyy")</f>
        <v>Mar-2024</v>
      </c>
      <c r="J961" t="s">
        <v>11</v>
      </c>
      <c r="K961">
        <v>659.27</v>
      </c>
      <c r="L961" t="s">
        <v>683</v>
      </c>
      <c r="M961">
        <v>25</v>
      </c>
    </row>
    <row r="962" spans="1:13" x14ac:dyDescent="0.35">
      <c r="A962" t="s">
        <v>937</v>
      </c>
      <c r="B962" t="s">
        <v>498</v>
      </c>
      <c r="C962" t="s">
        <v>561</v>
      </c>
      <c r="D962" t="s">
        <v>667</v>
      </c>
      <c r="E962" s="1">
        <v>45104</v>
      </c>
      <c r="F962" s="1">
        <v>45109</v>
      </c>
      <c r="G962" s="1">
        <v>45126</v>
      </c>
      <c r="H962" s="4">
        <f>IF(Claims_Cleaned[[#This Row],[processed_date]]="","",Claims_Cleaned[[#This Row],[processed_date]]-Claims_Cleaned[[#This Row],[submission_date]])</f>
        <v>17</v>
      </c>
      <c r="I962" s="4" t="str">
        <f>TEXT(Claims_Cleaned[[#This Row],[claim_date]],"mmm-yyyy")</f>
        <v>Jun-2023</v>
      </c>
      <c r="J962" t="s">
        <v>25</v>
      </c>
      <c r="K962">
        <v>656.05</v>
      </c>
      <c r="L962" t="s">
        <v>687</v>
      </c>
      <c r="M962">
        <v>17</v>
      </c>
    </row>
    <row r="963" spans="1:13" x14ac:dyDescent="0.35">
      <c r="A963" t="s">
        <v>2606</v>
      </c>
      <c r="B963" t="s">
        <v>162</v>
      </c>
      <c r="C963" t="s">
        <v>577</v>
      </c>
      <c r="D963" t="s">
        <v>669</v>
      </c>
      <c r="E963" s="1">
        <v>45566</v>
      </c>
      <c r="F963" s="1">
        <v>45569</v>
      </c>
      <c r="G963" s="1">
        <v>45587</v>
      </c>
      <c r="H963" s="4">
        <f>IF(Claims_Cleaned[[#This Row],[processed_date]]="","",Claims_Cleaned[[#This Row],[processed_date]]-Claims_Cleaned[[#This Row],[submission_date]])</f>
        <v>18</v>
      </c>
      <c r="I963" s="4" t="str">
        <f>TEXT(Claims_Cleaned[[#This Row],[claim_date]],"mmm-yyyy")</f>
        <v>Oct-2024</v>
      </c>
      <c r="J963" t="s">
        <v>11</v>
      </c>
      <c r="K963">
        <v>655.97</v>
      </c>
      <c r="L963" t="s">
        <v>683</v>
      </c>
      <c r="M963">
        <v>18</v>
      </c>
    </row>
    <row r="964" spans="1:13" x14ac:dyDescent="0.35">
      <c r="A964" t="s">
        <v>857</v>
      </c>
      <c r="B964" t="s">
        <v>347</v>
      </c>
      <c r="C964" t="s">
        <v>577</v>
      </c>
      <c r="D964" t="s">
        <v>665</v>
      </c>
      <c r="E964" s="1">
        <v>45297</v>
      </c>
      <c r="F964" s="1">
        <v>45299</v>
      </c>
      <c r="G964" s="1">
        <v>45328</v>
      </c>
      <c r="H964" s="4">
        <f>IF(Claims_Cleaned[[#This Row],[processed_date]]="","",Claims_Cleaned[[#This Row],[processed_date]]-Claims_Cleaned[[#This Row],[submission_date]])</f>
        <v>29</v>
      </c>
      <c r="I964" s="4" t="str">
        <f>TEXT(Claims_Cleaned[[#This Row],[claim_date]],"mmm-yyyy")</f>
        <v>Jan-2024</v>
      </c>
      <c r="J964" t="s">
        <v>8</v>
      </c>
      <c r="K964">
        <v>653.21</v>
      </c>
      <c r="L964" t="s">
        <v>687</v>
      </c>
      <c r="M964">
        <v>29</v>
      </c>
    </row>
    <row r="965" spans="1:13" x14ac:dyDescent="0.35">
      <c r="A965" t="s">
        <v>2149</v>
      </c>
      <c r="B965" t="s">
        <v>337</v>
      </c>
      <c r="C965" t="s">
        <v>555</v>
      </c>
      <c r="D965" t="s">
        <v>669</v>
      </c>
      <c r="E965" s="1">
        <v>45362</v>
      </c>
      <c r="F965" s="1">
        <v>45365</v>
      </c>
      <c r="G965" s="1">
        <v>45369</v>
      </c>
      <c r="H965" s="4">
        <f>IF(Claims_Cleaned[[#This Row],[processed_date]]="","",Claims_Cleaned[[#This Row],[processed_date]]-Claims_Cleaned[[#This Row],[submission_date]])</f>
        <v>4</v>
      </c>
      <c r="I965" s="4" t="str">
        <f>TEXT(Claims_Cleaned[[#This Row],[claim_date]],"mmm-yyyy")</f>
        <v>Mar-2024</v>
      </c>
      <c r="J965" t="s">
        <v>11</v>
      </c>
      <c r="K965">
        <v>652.08000000000004</v>
      </c>
      <c r="L965" t="s">
        <v>683</v>
      </c>
      <c r="M965">
        <v>4</v>
      </c>
    </row>
    <row r="966" spans="1:13" x14ac:dyDescent="0.35">
      <c r="A966" t="s">
        <v>714</v>
      </c>
      <c r="B966" t="s">
        <v>445</v>
      </c>
      <c r="C966" t="s">
        <v>595</v>
      </c>
      <c r="D966" t="s">
        <v>669</v>
      </c>
      <c r="E966" s="1">
        <v>45442</v>
      </c>
      <c r="F966" s="1">
        <v>45445</v>
      </c>
      <c r="G966" s="1">
        <v>45455</v>
      </c>
      <c r="H966" s="4">
        <f>IF(Claims_Cleaned[[#This Row],[processed_date]]="","",Claims_Cleaned[[#This Row],[processed_date]]-Claims_Cleaned[[#This Row],[submission_date]])</f>
        <v>10</v>
      </c>
      <c r="I966" s="4" t="str">
        <f>TEXT(Claims_Cleaned[[#This Row],[claim_date]],"mmm-yyyy")</f>
        <v>May-2024</v>
      </c>
      <c r="J966" t="s">
        <v>20</v>
      </c>
      <c r="K966">
        <v>651.71</v>
      </c>
      <c r="L966" t="s">
        <v>683</v>
      </c>
      <c r="M966">
        <v>10</v>
      </c>
    </row>
    <row r="967" spans="1:13" x14ac:dyDescent="0.35">
      <c r="A967" t="s">
        <v>2259</v>
      </c>
      <c r="B967" t="s">
        <v>330</v>
      </c>
      <c r="C967" t="s">
        <v>583</v>
      </c>
      <c r="D967" t="s">
        <v>665</v>
      </c>
      <c r="E967" s="1">
        <v>45244</v>
      </c>
      <c r="F967" s="1">
        <v>45245</v>
      </c>
      <c r="G967" s="1">
        <v>45257</v>
      </c>
      <c r="H967" s="4">
        <f>IF(Claims_Cleaned[[#This Row],[processed_date]]="","",Claims_Cleaned[[#This Row],[processed_date]]-Claims_Cleaned[[#This Row],[submission_date]])</f>
        <v>12</v>
      </c>
      <c r="I967" s="4" t="str">
        <f>TEXT(Claims_Cleaned[[#This Row],[claim_date]],"mmm-yyyy")</f>
        <v>Nov-2023</v>
      </c>
      <c r="J967" t="s">
        <v>25</v>
      </c>
      <c r="K967">
        <v>651.5</v>
      </c>
      <c r="L967" t="s">
        <v>687</v>
      </c>
      <c r="M967">
        <v>12</v>
      </c>
    </row>
    <row r="968" spans="1:13" x14ac:dyDescent="0.35">
      <c r="A968" t="s">
        <v>1152</v>
      </c>
      <c r="B968" t="s">
        <v>26</v>
      </c>
      <c r="C968" t="s">
        <v>534</v>
      </c>
      <c r="D968" t="s">
        <v>669</v>
      </c>
      <c r="E968" s="1">
        <v>45587</v>
      </c>
      <c r="F968" s="1">
        <v>45591</v>
      </c>
      <c r="G968" s="1">
        <v>45621</v>
      </c>
      <c r="H968" s="4">
        <f>IF(Claims_Cleaned[[#This Row],[processed_date]]="","",Claims_Cleaned[[#This Row],[processed_date]]-Claims_Cleaned[[#This Row],[submission_date]])</f>
        <v>30</v>
      </c>
      <c r="I968" s="4" t="str">
        <f>TEXT(Claims_Cleaned[[#This Row],[claim_date]],"mmm-yyyy")</f>
        <v>Oct-2024</v>
      </c>
      <c r="J968" t="s">
        <v>11</v>
      </c>
      <c r="K968">
        <v>651.27</v>
      </c>
      <c r="L968" t="s">
        <v>683</v>
      </c>
      <c r="M968">
        <v>30</v>
      </c>
    </row>
    <row r="969" spans="1:13" x14ac:dyDescent="0.35">
      <c r="A969" t="s">
        <v>960</v>
      </c>
      <c r="B969" t="s">
        <v>418</v>
      </c>
      <c r="C969" t="s">
        <v>527</v>
      </c>
      <c r="D969" t="s">
        <v>667</v>
      </c>
      <c r="E969" s="1">
        <v>45194</v>
      </c>
      <c r="F969" s="1">
        <v>45196</v>
      </c>
      <c r="G969" s="1">
        <v>45205</v>
      </c>
      <c r="H969" s="4">
        <f>IF(Claims_Cleaned[[#This Row],[processed_date]]="","",Claims_Cleaned[[#This Row],[processed_date]]-Claims_Cleaned[[#This Row],[submission_date]])</f>
        <v>9</v>
      </c>
      <c r="I969" s="4" t="str">
        <f>TEXT(Claims_Cleaned[[#This Row],[claim_date]],"mmm-yyyy")</f>
        <v>Sep-2023</v>
      </c>
      <c r="J969" t="s">
        <v>13</v>
      </c>
      <c r="K969">
        <v>650.44000000000005</v>
      </c>
      <c r="L969" t="s">
        <v>683</v>
      </c>
      <c r="M969">
        <v>9</v>
      </c>
    </row>
    <row r="970" spans="1:13" x14ac:dyDescent="0.35">
      <c r="A970" t="s">
        <v>735</v>
      </c>
      <c r="B970" t="s">
        <v>458</v>
      </c>
      <c r="C970" t="s">
        <v>589</v>
      </c>
      <c r="D970" t="s">
        <v>667</v>
      </c>
      <c r="E970" s="1">
        <v>45002</v>
      </c>
      <c r="F970" s="1">
        <v>45003</v>
      </c>
      <c r="G970" s="1"/>
      <c r="H970" s="4" t="str">
        <f>IF(Claims_Cleaned[[#This Row],[processed_date]]="","",Claims_Cleaned[[#This Row],[processed_date]]-Claims_Cleaned[[#This Row],[submission_date]])</f>
        <v/>
      </c>
      <c r="I970" s="4" t="str">
        <f>TEXT(Claims_Cleaned[[#This Row],[claim_date]],"mmm-yyyy")</f>
        <v>Mar-2023</v>
      </c>
      <c r="J970" t="s">
        <v>11</v>
      </c>
      <c r="K970">
        <v>650.13</v>
      </c>
      <c r="L970" t="s">
        <v>689</v>
      </c>
    </row>
    <row r="971" spans="1:13" x14ac:dyDescent="0.35">
      <c r="A971" t="s">
        <v>1745</v>
      </c>
      <c r="B971" t="s">
        <v>255</v>
      </c>
      <c r="C971" t="s">
        <v>531</v>
      </c>
      <c r="D971" t="s">
        <v>669</v>
      </c>
      <c r="E971" s="1">
        <v>44954</v>
      </c>
      <c r="F971" s="1">
        <v>44956</v>
      </c>
      <c r="G971" s="1">
        <v>44960</v>
      </c>
      <c r="H971" s="4">
        <f>IF(Claims_Cleaned[[#This Row],[processed_date]]="","",Claims_Cleaned[[#This Row],[processed_date]]-Claims_Cleaned[[#This Row],[submission_date]])</f>
        <v>4</v>
      </c>
      <c r="I971" s="4" t="str">
        <f>TEXT(Claims_Cleaned[[#This Row],[claim_date]],"mmm-yyyy")</f>
        <v>Jan-2023</v>
      </c>
      <c r="J971" t="s">
        <v>20</v>
      </c>
      <c r="K971">
        <v>649.34</v>
      </c>
      <c r="L971" t="s">
        <v>687</v>
      </c>
      <c r="M971">
        <v>4</v>
      </c>
    </row>
    <row r="972" spans="1:13" x14ac:dyDescent="0.35">
      <c r="A972" t="s">
        <v>2331</v>
      </c>
      <c r="B972" t="s">
        <v>289</v>
      </c>
      <c r="C972" t="s">
        <v>585</v>
      </c>
      <c r="D972" t="s">
        <v>669</v>
      </c>
      <c r="E972" s="1">
        <v>45293</v>
      </c>
      <c r="F972" s="1">
        <v>45297</v>
      </c>
      <c r="G972" s="1">
        <v>45308</v>
      </c>
      <c r="H972" s="4">
        <f>IF(Claims_Cleaned[[#This Row],[processed_date]]="","",Claims_Cleaned[[#This Row],[processed_date]]-Claims_Cleaned[[#This Row],[submission_date]])</f>
        <v>11</v>
      </c>
      <c r="I972" s="4" t="str">
        <f>TEXT(Claims_Cleaned[[#This Row],[claim_date]],"mmm-yyyy")</f>
        <v>Jan-2024</v>
      </c>
      <c r="J972" t="s">
        <v>13</v>
      </c>
      <c r="K972">
        <v>646.21</v>
      </c>
      <c r="L972" t="s">
        <v>687</v>
      </c>
      <c r="M972">
        <v>11</v>
      </c>
    </row>
    <row r="973" spans="1:13" x14ac:dyDescent="0.35">
      <c r="A973" t="s">
        <v>2547</v>
      </c>
      <c r="B973" t="s">
        <v>122</v>
      </c>
      <c r="C973" t="s">
        <v>579</v>
      </c>
      <c r="D973" t="s">
        <v>667</v>
      </c>
      <c r="E973" s="1">
        <v>45327</v>
      </c>
      <c r="F973" s="1">
        <v>45332</v>
      </c>
      <c r="G973" s="1">
        <v>45350</v>
      </c>
      <c r="H973" s="4">
        <f>IF(Claims_Cleaned[[#This Row],[processed_date]]="","",Claims_Cleaned[[#This Row],[processed_date]]-Claims_Cleaned[[#This Row],[submission_date]])</f>
        <v>18</v>
      </c>
      <c r="I973" s="4" t="str">
        <f>TEXT(Claims_Cleaned[[#This Row],[claim_date]],"mmm-yyyy")</f>
        <v>Feb-2024</v>
      </c>
      <c r="J973" t="s">
        <v>13</v>
      </c>
      <c r="K973">
        <v>645.96</v>
      </c>
      <c r="L973" t="s">
        <v>683</v>
      </c>
      <c r="M973">
        <v>18</v>
      </c>
    </row>
    <row r="974" spans="1:13" x14ac:dyDescent="0.35">
      <c r="A974" t="s">
        <v>2176</v>
      </c>
      <c r="B974" t="s">
        <v>321</v>
      </c>
      <c r="C974" t="s">
        <v>549</v>
      </c>
      <c r="D974" t="s">
        <v>669</v>
      </c>
      <c r="E974" s="1">
        <v>44999</v>
      </c>
      <c r="F974" s="1">
        <v>45001</v>
      </c>
      <c r="G974" s="1">
        <v>45006</v>
      </c>
      <c r="H974" s="4">
        <f>IF(Claims_Cleaned[[#This Row],[processed_date]]="","",Claims_Cleaned[[#This Row],[processed_date]]-Claims_Cleaned[[#This Row],[submission_date]])</f>
        <v>5</v>
      </c>
      <c r="I974" s="4" t="str">
        <f>TEXT(Claims_Cleaned[[#This Row],[claim_date]],"mmm-yyyy")</f>
        <v>Mar-2023</v>
      </c>
      <c r="J974" t="s">
        <v>8</v>
      </c>
      <c r="K974">
        <v>645.92999999999995</v>
      </c>
      <c r="L974" t="s">
        <v>683</v>
      </c>
      <c r="M974">
        <v>5</v>
      </c>
    </row>
    <row r="975" spans="1:13" x14ac:dyDescent="0.35">
      <c r="A975" t="s">
        <v>1457</v>
      </c>
      <c r="B975" t="s">
        <v>387</v>
      </c>
      <c r="C975" t="s">
        <v>531</v>
      </c>
      <c r="D975" t="s">
        <v>667</v>
      </c>
      <c r="E975" s="1">
        <v>45025</v>
      </c>
      <c r="F975" s="1">
        <v>45027</v>
      </c>
      <c r="G975" s="1">
        <v>45049</v>
      </c>
      <c r="H975" s="4">
        <f>IF(Claims_Cleaned[[#This Row],[processed_date]]="","",Claims_Cleaned[[#This Row],[processed_date]]-Claims_Cleaned[[#This Row],[submission_date]])</f>
        <v>22</v>
      </c>
      <c r="I975" s="4" t="str">
        <f>TEXT(Claims_Cleaned[[#This Row],[claim_date]],"mmm-yyyy")</f>
        <v>Apr-2023</v>
      </c>
      <c r="J975" t="s">
        <v>11</v>
      </c>
      <c r="K975">
        <v>645.91</v>
      </c>
      <c r="L975" t="s">
        <v>683</v>
      </c>
      <c r="M975">
        <v>22</v>
      </c>
    </row>
    <row r="976" spans="1:13" x14ac:dyDescent="0.35">
      <c r="A976" t="s">
        <v>866</v>
      </c>
      <c r="B976" t="s">
        <v>156</v>
      </c>
      <c r="C976" t="s">
        <v>611</v>
      </c>
      <c r="D976" t="s">
        <v>665</v>
      </c>
      <c r="E976" s="1">
        <v>45253</v>
      </c>
      <c r="F976" s="1">
        <v>45258</v>
      </c>
      <c r="G976" s="1">
        <v>45282</v>
      </c>
      <c r="H976" s="4">
        <f>IF(Claims_Cleaned[[#This Row],[processed_date]]="","",Claims_Cleaned[[#This Row],[processed_date]]-Claims_Cleaned[[#This Row],[submission_date]])</f>
        <v>24</v>
      </c>
      <c r="I976" s="4" t="str">
        <f>TEXT(Claims_Cleaned[[#This Row],[claim_date]],"mmm-yyyy")</f>
        <v>Nov-2023</v>
      </c>
      <c r="J976" t="s">
        <v>25</v>
      </c>
      <c r="K976">
        <v>645.09</v>
      </c>
      <c r="L976" t="s">
        <v>683</v>
      </c>
      <c r="M976">
        <v>24</v>
      </c>
    </row>
    <row r="977" spans="1:13" x14ac:dyDescent="0.35">
      <c r="A977" t="s">
        <v>1012</v>
      </c>
      <c r="B977" t="s">
        <v>172</v>
      </c>
      <c r="C977" t="s">
        <v>569</v>
      </c>
      <c r="D977" t="s">
        <v>665</v>
      </c>
      <c r="E977" s="1">
        <v>45303</v>
      </c>
      <c r="F977" s="1">
        <v>45307</v>
      </c>
      <c r="G977" s="1">
        <v>45313</v>
      </c>
      <c r="H977" s="4">
        <f>IF(Claims_Cleaned[[#This Row],[processed_date]]="","",Claims_Cleaned[[#This Row],[processed_date]]-Claims_Cleaned[[#This Row],[submission_date]])</f>
        <v>6</v>
      </c>
      <c r="I977" s="4" t="str">
        <f>TEXT(Claims_Cleaned[[#This Row],[claim_date]],"mmm-yyyy")</f>
        <v>Jan-2024</v>
      </c>
      <c r="J977" t="s">
        <v>13</v>
      </c>
      <c r="K977">
        <v>645</v>
      </c>
      <c r="L977" t="s">
        <v>683</v>
      </c>
      <c r="M977">
        <v>6</v>
      </c>
    </row>
    <row r="978" spans="1:13" x14ac:dyDescent="0.35">
      <c r="A978" t="s">
        <v>1424</v>
      </c>
      <c r="B978" t="s">
        <v>450</v>
      </c>
      <c r="C978" t="s">
        <v>555</v>
      </c>
      <c r="D978" t="s">
        <v>665</v>
      </c>
      <c r="E978" s="1">
        <v>45204</v>
      </c>
      <c r="F978" s="1">
        <v>45205</v>
      </c>
      <c r="G978" s="1">
        <v>45225</v>
      </c>
      <c r="H978" s="4">
        <f>IF(Claims_Cleaned[[#This Row],[processed_date]]="","",Claims_Cleaned[[#This Row],[processed_date]]-Claims_Cleaned[[#This Row],[submission_date]])</f>
        <v>20</v>
      </c>
      <c r="I978" s="4" t="str">
        <f>TEXT(Claims_Cleaned[[#This Row],[claim_date]],"mmm-yyyy")</f>
        <v>Oct-2023</v>
      </c>
      <c r="J978" t="s">
        <v>20</v>
      </c>
      <c r="K978">
        <v>644</v>
      </c>
      <c r="L978" t="s">
        <v>683</v>
      </c>
      <c r="M978">
        <v>20</v>
      </c>
    </row>
    <row r="979" spans="1:13" x14ac:dyDescent="0.35">
      <c r="A979" t="s">
        <v>1368</v>
      </c>
      <c r="B979" t="s">
        <v>217</v>
      </c>
      <c r="C979" t="s">
        <v>611</v>
      </c>
      <c r="D979" t="s">
        <v>669</v>
      </c>
      <c r="E979" s="1">
        <v>45595</v>
      </c>
      <c r="F979" s="1">
        <v>45597</v>
      </c>
      <c r="G979" s="1"/>
      <c r="H979" s="4" t="str">
        <f>IF(Claims_Cleaned[[#This Row],[processed_date]]="","",Claims_Cleaned[[#This Row],[processed_date]]-Claims_Cleaned[[#This Row],[submission_date]])</f>
        <v/>
      </c>
      <c r="I979" s="4" t="str">
        <f>TEXT(Claims_Cleaned[[#This Row],[claim_date]],"mmm-yyyy")</f>
        <v>Oct-2024</v>
      </c>
      <c r="J979" t="s">
        <v>13</v>
      </c>
      <c r="K979">
        <v>643</v>
      </c>
      <c r="L979" t="s">
        <v>689</v>
      </c>
    </row>
    <row r="980" spans="1:13" x14ac:dyDescent="0.35">
      <c r="A980" t="s">
        <v>2563</v>
      </c>
      <c r="B980" t="s">
        <v>185</v>
      </c>
      <c r="C980" t="s">
        <v>543</v>
      </c>
      <c r="D980" t="s">
        <v>669</v>
      </c>
      <c r="E980" s="1">
        <v>45342</v>
      </c>
      <c r="F980" s="1">
        <v>45344</v>
      </c>
      <c r="G980" s="1">
        <v>45371</v>
      </c>
      <c r="H980" s="4">
        <f>IF(Claims_Cleaned[[#This Row],[processed_date]]="","",Claims_Cleaned[[#This Row],[processed_date]]-Claims_Cleaned[[#This Row],[submission_date]])</f>
        <v>27</v>
      </c>
      <c r="I980" s="4" t="str">
        <f>TEXT(Claims_Cleaned[[#This Row],[claim_date]],"mmm-yyyy")</f>
        <v>Feb-2024</v>
      </c>
      <c r="J980" t="s">
        <v>11</v>
      </c>
      <c r="K980">
        <v>642.45000000000005</v>
      </c>
      <c r="L980" t="s">
        <v>683</v>
      </c>
      <c r="M980">
        <v>27</v>
      </c>
    </row>
    <row r="981" spans="1:13" x14ac:dyDescent="0.35">
      <c r="A981" t="s">
        <v>1154</v>
      </c>
      <c r="B981" t="s">
        <v>318</v>
      </c>
      <c r="C981" t="s">
        <v>563</v>
      </c>
      <c r="D981" t="s">
        <v>669</v>
      </c>
      <c r="E981" s="1">
        <v>45230</v>
      </c>
      <c r="F981" s="1">
        <v>45233</v>
      </c>
      <c r="G981" s="1">
        <v>45239</v>
      </c>
      <c r="H981" s="4">
        <f>IF(Claims_Cleaned[[#This Row],[processed_date]]="","",Claims_Cleaned[[#This Row],[processed_date]]-Claims_Cleaned[[#This Row],[submission_date]])</f>
        <v>6</v>
      </c>
      <c r="I981" s="4" t="str">
        <f>TEXT(Claims_Cleaned[[#This Row],[claim_date]],"mmm-yyyy")</f>
        <v>Oct-2023</v>
      </c>
      <c r="J981" t="s">
        <v>13</v>
      </c>
      <c r="K981">
        <v>641.30999999999995</v>
      </c>
      <c r="L981" t="s">
        <v>687</v>
      </c>
      <c r="M981">
        <v>6</v>
      </c>
    </row>
    <row r="982" spans="1:13" x14ac:dyDescent="0.35">
      <c r="A982" t="s">
        <v>1375</v>
      </c>
      <c r="B982" t="s">
        <v>400</v>
      </c>
      <c r="C982" t="s">
        <v>579</v>
      </c>
      <c r="D982" t="s">
        <v>665</v>
      </c>
      <c r="E982" s="1">
        <v>45052</v>
      </c>
      <c r="F982" s="1">
        <v>45055</v>
      </c>
      <c r="G982" s="1">
        <v>45063</v>
      </c>
      <c r="H982" s="4">
        <f>IF(Claims_Cleaned[[#This Row],[processed_date]]="","",Claims_Cleaned[[#This Row],[processed_date]]-Claims_Cleaned[[#This Row],[submission_date]])</f>
        <v>8</v>
      </c>
      <c r="I982" s="4" t="str">
        <f>TEXT(Claims_Cleaned[[#This Row],[claim_date]],"mmm-yyyy")</f>
        <v>May-2023</v>
      </c>
      <c r="J982" t="s">
        <v>25</v>
      </c>
      <c r="K982">
        <v>640.82000000000005</v>
      </c>
      <c r="L982" t="s">
        <v>687</v>
      </c>
      <c r="M982">
        <v>8</v>
      </c>
    </row>
    <row r="983" spans="1:13" x14ac:dyDescent="0.35">
      <c r="A983" t="s">
        <v>1410</v>
      </c>
      <c r="B983" t="s">
        <v>119</v>
      </c>
      <c r="C983" t="s">
        <v>583</v>
      </c>
      <c r="D983" t="s">
        <v>669</v>
      </c>
      <c r="E983" s="1">
        <v>45096</v>
      </c>
      <c r="F983" s="1">
        <v>45097</v>
      </c>
      <c r="G983" s="1"/>
      <c r="H983" s="4" t="str">
        <f>IF(Claims_Cleaned[[#This Row],[processed_date]]="","",Claims_Cleaned[[#This Row],[processed_date]]-Claims_Cleaned[[#This Row],[submission_date]])</f>
        <v/>
      </c>
      <c r="I983" s="4" t="str">
        <f>TEXT(Claims_Cleaned[[#This Row],[claim_date]],"mmm-yyyy")</f>
        <v>Jun-2023</v>
      </c>
      <c r="J983" t="s">
        <v>20</v>
      </c>
      <c r="K983">
        <v>639.83000000000004</v>
      </c>
      <c r="L983" t="s">
        <v>689</v>
      </c>
    </row>
    <row r="984" spans="1:13" x14ac:dyDescent="0.35">
      <c r="A984" t="s">
        <v>1449</v>
      </c>
      <c r="B984" t="s">
        <v>163</v>
      </c>
      <c r="C984" t="s">
        <v>583</v>
      </c>
      <c r="D984" t="s">
        <v>667</v>
      </c>
      <c r="E984" s="1">
        <v>45206</v>
      </c>
      <c r="F984" s="1">
        <v>45211</v>
      </c>
      <c r="G984" s="1">
        <v>45217</v>
      </c>
      <c r="H984" s="4">
        <f>IF(Claims_Cleaned[[#This Row],[processed_date]]="","",Claims_Cleaned[[#This Row],[processed_date]]-Claims_Cleaned[[#This Row],[submission_date]])</f>
        <v>6</v>
      </c>
      <c r="I984" s="4" t="str">
        <f>TEXT(Claims_Cleaned[[#This Row],[claim_date]],"mmm-yyyy")</f>
        <v>Oct-2023</v>
      </c>
      <c r="J984" t="s">
        <v>25</v>
      </c>
      <c r="K984">
        <v>635.85</v>
      </c>
      <c r="L984" t="s">
        <v>687</v>
      </c>
      <c r="M984">
        <v>6</v>
      </c>
    </row>
    <row r="985" spans="1:13" x14ac:dyDescent="0.35">
      <c r="A985" t="s">
        <v>1834</v>
      </c>
      <c r="B985" t="s">
        <v>138</v>
      </c>
      <c r="C985" t="s">
        <v>563</v>
      </c>
      <c r="D985" t="s">
        <v>669</v>
      </c>
      <c r="E985" s="1">
        <v>45152</v>
      </c>
      <c r="F985" s="1">
        <v>45153</v>
      </c>
      <c r="G985" s="1">
        <v>45176</v>
      </c>
      <c r="H985" s="4">
        <f>IF(Claims_Cleaned[[#This Row],[processed_date]]="","",Claims_Cleaned[[#This Row],[processed_date]]-Claims_Cleaned[[#This Row],[submission_date]])</f>
        <v>23</v>
      </c>
      <c r="I985" s="4" t="str">
        <f>TEXT(Claims_Cleaned[[#This Row],[claim_date]],"mmm-yyyy")</f>
        <v>Aug-2023</v>
      </c>
      <c r="J985" t="s">
        <v>20</v>
      </c>
      <c r="K985">
        <v>635.21</v>
      </c>
      <c r="L985" t="s">
        <v>687</v>
      </c>
      <c r="M985">
        <v>23</v>
      </c>
    </row>
    <row r="986" spans="1:13" x14ac:dyDescent="0.35">
      <c r="A986" t="s">
        <v>1280</v>
      </c>
      <c r="B986" t="s">
        <v>272</v>
      </c>
      <c r="C986" t="s">
        <v>549</v>
      </c>
      <c r="D986" t="s">
        <v>665</v>
      </c>
      <c r="E986" s="1">
        <v>45599</v>
      </c>
      <c r="F986" s="1">
        <v>45602</v>
      </c>
      <c r="G986" s="1">
        <v>45612</v>
      </c>
      <c r="H986" s="4">
        <f>IF(Claims_Cleaned[[#This Row],[processed_date]]="","",Claims_Cleaned[[#This Row],[processed_date]]-Claims_Cleaned[[#This Row],[submission_date]])</f>
        <v>10</v>
      </c>
      <c r="I986" s="4" t="str">
        <f>TEXT(Claims_Cleaned[[#This Row],[claim_date]],"mmm-yyyy")</f>
        <v>Nov-2024</v>
      </c>
      <c r="J986" t="s">
        <v>11</v>
      </c>
      <c r="K986">
        <v>635.12</v>
      </c>
      <c r="L986" t="s">
        <v>683</v>
      </c>
      <c r="M986">
        <v>10</v>
      </c>
    </row>
    <row r="987" spans="1:13" x14ac:dyDescent="0.35">
      <c r="A987" t="s">
        <v>1562</v>
      </c>
      <c r="B987" t="s">
        <v>449</v>
      </c>
      <c r="C987" t="s">
        <v>553</v>
      </c>
      <c r="D987" t="s">
        <v>669</v>
      </c>
      <c r="E987" s="1">
        <v>45574</v>
      </c>
      <c r="F987" s="1">
        <v>45578</v>
      </c>
      <c r="G987" s="1">
        <v>45588</v>
      </c>
      <c r="H987" s="4">
        <f>IF(Claims_Cleaned[[#This Row],[processed_date]]="","",Claims_Cleaned[[#This Row],[processed_date]]-Claims_Cleaned[[#This Row],[submission_date]])</f>
        <v>10</v>
      </c>
      <c r="I987" s="4" t="str">
        <f>TEXT(Claims_Cleaned[[#This Row],[claim_date]],"mmm-yyyy")</f>
        <v>Oct-2024</v>
      </c>
      <c r="J987" t="s">
        <v>13</v>
      </c>
      <c r="K987">
        <v>633.1</v>
      </c>
      <c r="L987" t="s">
        <v>683</v>
      </c>
      <c r="M987">
        <v>10</v>
      </c>
    </row>
    <row r="988" spans="1:13" x14ac:dyDescent="0.35">
      <c r="A988" t="s">
        <v>2672</v>
      </c>
      <c r="B988" t="s">
        <v>262</v>
      </c>
      <c r="C988" t="s">
        <v>589</v>
      </c>
      <c r="D988" t="s">
        <v>669</v>
      </c>
      <c r="E988" s="1">
        <v>45458</v>
      </c>
      <c r="F988" s="1">
        <v>45462</v>
      </c>
      <c r="G988" s="1">
        <v>45472</v>
      </c>
      <c r="H988" s="4">
        <f>IF(Claims_Cleaned[[#This Row],[processed_date]]="","",Claims_Cleaned[[#This Row],[processed_date]]-Claims_Cleaned[[#This Row],[submission_date]])</f>
        <v>10</v>
      </c>
      <c r="I988" s="4" t="str">
        <f>TEXT(Claims_Cleaned[[#This Row],[claim_date]],"mmm-yyyy")</f>
        <v>Jun-2024</v>
      </c>
      <c r="J988" t="s">
        <v>20</v>
      </c>
      <c r="K988">
        <v>633.02</v>
      </c>
      <c r="L988" t="s">
        <v>683</v>
      </c>
      <c r="M988">
        <v>10</v>
      </c>
    </row>
    <row r="989" spans="1:13" x14ac:dyDescent="0.35">
      <c r="A989" t="s">
        <v>2072</v>
      </c>
      <c r="B989" t="s">
        <v>132</v>
      </c>
      <c r="C989" t="s">
        <v>579</v>
      </c>
      <c r="D989" t="s">
        <v>667</v>
      </c>
      <c r="E989" s="1">
        <v>45197</v>
      </c>
      <c r="F989" s="1">
        <v>45198</v>
      </c>
      <c r="G989" s="1">
        <v>45226</v>
      </c>
      <c r="H989" s="4">
        <f>IF(Claims_Cleaned[[#This Row],[processed_date]]="","",Claims_Cleaned[[#This Row],[processed_date]]-Claims_Cleaned[[#This Row],[submission_date]])</f>
        <v>28</v>
      </c>
      <c r="I989" s="4" t="str">
        <f>TEXT(Claims_Cleaned[[#This Row],[claim_date]],"mmm-yyyy")</f>
        <v>Sep-2023</v>
      </c>
      <c r="J989" t="s">
        <v>8</v>
      </c>
      <c r="K989">
        <v>632.47</v>
      </c>
      <c r="L989" t="s">
        <v>683</v>
      </c>
      <c r="M989">
        <v>28</v>
      </c>
    </row>
    <row r="990" spans="1:13" x14ac:dyDescent="0.35">
      <c r="A990" t="s">
        <v>1242</v>
      </c>
      <c r="B990" t="s">
        <v>286</v>
      </c>
      <c r="C990" t="s">
        <v>581</v>
      </c>
      <c r="D990" t="s">
        <v>667</v>
      </c>
      <c r="E990" s="1">
        <v>45109</v>
      </c>
      <c r="F990" s="1">
        <v>45110</v>
      </c>
      <c r="G990" s="1">
        <v>45120</v>
      </c>
      <c r="H990" s="4">
        <f>IF(Claims_Cleaned[[#This Row],[processed_date]]="","",Claims_Cleaned[[#This Row],[processed_date]]-Claims_Cleaned[[#This Row],[submission_date]])</f>
        <v>10</v>
      </c>
      <c r="I990" s="4" t="str">
        <f>TEXT(Claims_Cleaned[[#This Row],[claim_date]],"mmm-yyyy")</f>
        <v>Jul-2023</v>
      </c>
      <c r="J990" t="s">
        <v>8</v>
      </c>
      <c r="K990">
        <v>631.44000000000005</v>
      </c>
      <c r="L990" t="s">
        <v>683</v>
      </c>
      <c r="M990">
        <v>10</v>
      </c>
    </row>
    <row r="991" spans="1:13" x14ac:dyDescent="0.35">
      <c r="A991" t="s">
        <v>2564</v>
      </c>
      <c r="B991" t="s">
        <v>346</v>
      </c>
      <c r="C991" t="s">
        <v>599</v>
      </c>
      <c r="D991" t="s">
        <v>667</v>
      </c>
      <c r="E991" s="1">
        <v>45425</v>
      </c>
      <c r="F991" s="1">
        <v>45426</v>
      </c>
      <c r="G991" s="1">
        <v>45448</v>
      </c>
      <c r="H991" s="4">
        <f>IF(Claims_Cleaned[[#This Row],[processed_date]]="","",Claims_Cleaned[[#This Row],[processed_date]]-Claims_Cleaned[[#This Row],[submission_date]])</f>
        <v>22</v>
      </c>
      <c r="I991" s="4" t="str">
        <f>TEXT(Claims_Cleaned[[#This Row],[claim_date]],"mmm-yyyy")</f>
        <v>May-2024</v>
      </c>
      <c r="J991" t="s">
        <v>8</v>
      </c>
      <c r="K991">
        <v>630.16999999999996</v>
      </c>
      <c r="L991" t="s">
        <v>683</v>
      </c>
      <c r="M991">
        <v>22</v>
      </c>
    </row>
    <row r="992" spans="1:13" x14ac:dyDescent="0.35">
      <c r="A992" t="s">
        <v>1850</v>
      </c>
      <c r="B992" t="s">
        <v>218</v>
      </c>
      <c r="C992" t="s">
        <v>531</v>
      </c>
      <c r="D992" t="s">
        <v>669</v>
      </c>
      <c r="E992" s="1">
        <v>45069</v>
      </c>
      <c r="F992" s="1">
        <v>45071</v>
      </c>
      <c r="G992" s="1">
        <v>45085</v>
      </c>
      <c r="H992" s="4">
        <f>IF(Claims_Cleaned[[#This Row],[processed_date]]="","",Claims_Cleaned[[#This Row],[processed_date]]-Claims_Cleaned[[#This Row],[submission_date]])</f>
        <v>14</v>
      </c>
      <c r="I992" s="4" t="str">
        <f>TEXT(Claims_Cleaned[[#This Row],[claim_date]],"mmm-yyyy")</f>
        <v>May-2023</v>
      </c>
      <c r="J992" t="s">
        <v>11</v>
      </c>
      <c r="K992">
        <v>628.91999999999996</v>
      </c>
      <c r="L992" t="s">
        <v>683</v>
      </c>
      <c r="M992">
        <v>14</v>
      </c>
    </row>
    <row r="993" spans="1:13" x14ac:dyDescent="0.35">
      <c r="A993" t="s">
        <v>2543</v>
      </c>
      <c r="B993" t="s">
        <v>126</v>
      </c>
      <c r="C993" t="s">
        <v>527</v>
      </c>
      <c r="D993" t="s">
        <v>669</v>
      </c>
      <c r="E993" s="1">
        <v>45298</v>
      </c>
      <c r="F993" s="1">
        <v>45302</v>
      </c>
      <c r="G993" s="1">
        <v>45326</v>
      </c>
      <c r="H993" s="4">
        <f>IF(Claims_Cleaned[[#This Row],[processed_date]]="","",Claims_Cleaned[[#This Row],[processed_date]]-Claims_Cleaned[[#This Row],[submission_date]])</f>
        <v>24</v>
      </c>
      <c r="I993" s="4" t="str">
        <f>TEXT(Claims_Cleaned[[#This Row],[claim_date]],"mmm-yyyy")</f>
        <v>Jan-2024</v>
      </c>
      <c r="J993" t="s">
        <v>8</v>
      </c>
      <c r="K993">
        <v>628.79999999999995</v>
      </c>
      <c r="L993" t="s">
        <v>683</v>
      </c>
      <c r="M993">
        <v>24</v>
      </c>
    </row>
    <row r="994" spans="1:13" x14ac:dyDescent="0.35">
      <c r="A994" t="s">
        <v>1308</v>
      </c>
      <c r="B994" t="s">
        <v>449</v>
      </c>
      <c r="C994" t="s">
        <v>597</v>
      </c>
      <c r="D994" t="s">
        <v>667</v>
      </c>
      <c r="E994" s="1">
        <v>45440</v>
      </c>
      <c r="F994" s="1">
        <v>45442</v>
      </c>
      <c r="G994" s="1">
        <v>45466</v>
      </c>
      <c r="H994" s="4">
        <f>IF(Claims_Cleaned[[#This Row],[processed_date]]="","",Claims_Cleaned[[#This Row],[processed_date]]-Claims_Cleaned[[#This Row],[submission_date]])</f>
        <v>24</v>
      </c>
      <c r="I994" s="4" t="str">
        <f>TEXT(Claims_Cleaned[[#This Row],[claim_date]],"mmm-yyyy")</f>
        <v>May-2024</v>
      </c>
      <c r="J994" t="s">
        <v>13</v>
      </c>
      <c r="K994">
        <v>628.17999999999995</v>
      </c>
      <c r="L994" t="s">
        <v>683</v>
      </c>
      <c r="M994">
        <v>24</v>
      </c>
    </row>
    <row r="995" spans="1:13" x14ac:dyDescent="0.35">
      <c r="A995" t="s">
        <v>1472</v>
      </c>
      <c r="B995" t="s">
        <v>244</v>
      </c>
      <c r="C995" t="s">
        <v>587</v>
      </c>
      <c r="D995" t="s">
        <v>667</v>
      </c>
      <c r="E995" s="1">
        <v>45193</v>
      </c>
      <c r="F995" s="1">
        <v>45195</v>
      </c>
      <c r="G995" s="1">
        <v>45214</v>
      </c>
      <c r="H995" s="4">
        <f>IF(Claims_Cleaned[[#This Row],[processed_date]]="","",Claims_Cleaned[[#This Row],[processed_date]]-Claims_Cleaned[[#This Row],[submission_date]])</f>
        <v>19</v>
      </c>
      <c r="I995" s="4" t="str">
        <f>TEXT(Claims_Cleaned[[#This Row],[claim_date]],"mmm-yyyy")</f>
        <v>Sep-2023</v>
      </c>
      <c r="J995" t="s">
        <v>11</v>
      </c>
      <c r="K995">
        <v>627.29999999999995</v>
      </c>
      <c r="L995" t="s">
        <v>683</v>
      </c>
      <c r="M995">
        <v>19</v>
      </c>
    </row>
    <row r="996" spans="1:13" x14ac:dyDescent="0.35">
      <c r="A996" t="s">
        <v>1327</v>
      </c>
      <c r="B996" t="s">
        <v>190</v>
      </c>
      <c r="C996" t="s">
        <v>593</v>
      </c>
      <c r="D996" t="s">
        <v>669</v>
      </c>
      <c r="E996" s="1">
        <v>45334</v>
      </c>
      <c r="F996" s="1">
        <v>45337</v>
      </c>
      <c r="G996" s="1">
        <v>45358</v>
      </c>
      <c r="H996" s="4">
        <f>IF(Claims_Cleaned[[#This Row],[processed_date]]="","",Claims_Cleaned[[#This Row],[processed_date]]-Claims_Cleaned[[#This Row],[submission_date]])</f>
        <v>21</v>
      </c>
      <c r="I996" s="4" t="str">
        <f>TEXT(Claims_Cleaned[[#This Row],[claim_date]],"mmm-yyyy")</f>
        <v>Feb-2024</v>
      </c>
      <c r="J996" t="s">
        <v>13</v>
      </c>
      <c r="K996">
        <v>626.21</v>
      </c>
      <c r="L996" t="s">
        <v>683</v>
      </c>
      <c r="M996">
        <v>21</v>
      </c>
    </row>
    <row r="997" spans="1:13" x14ac:dyDescent="0.35">
      <c r="A997" t="s">
        <v>2652</v>
      </c>
      <c r="B997" t="s">
        <v>168</v>
      </c>
      <c r="C997" t="s">
        <v>599</v>
      </c>
      <c r="D997" t="s">
        <v>669</v>
      </c>
      <c r="E997" s="1">
        <v>45158</v>
      </c>
      <c r="F997" s="1">
        <v>45159</v>
      </c>
      <c r="G997" s="1">
        <v>45177</v>
      </c>
      <c r="H997" s="4">
        <f>IF(Claims_Cleaned[[#This Row],[processed_date]]="","",Claims_Cleaned[[#This Row],[processed_date]]-Claims_Cleaned[[#This Row],[submission_date]])</f>
        <v>18</v>
      </c>
      <c r="I997" s="4" t="str">
        <f>TEXT(Claims_Cleaned[[#This Row],[claim_date]],"mmm-yyyy")</f>
        <v>Aug-2023</v>
      </c>
      <c r="J997" t="s">
        <v>8</v>
      </c>
      <c r="K997">
        <v>625.66</v>
      </c>
      <c r="L997" t="s">
        <v>687</v>
      </c>
      <c r="M997">
        <v>18</v>
      </c>
    </row>
    <row r="998" spans="1:13" x14ac:dyDescent="0.35">
      <c r="A998" t="s">
        <v>1667</v>
      </c>
      <c r="B998" t="s">
        <v>127</v>
      </c>
      <c r="C998" t="s">
        <v>583</v>
      </c>
      <c r="D998" t="s">
        <v>667</v>
      </c>
      <c r="E998" s="1">
        <v>45220</v>
      </c>
      <c r="F998" s="1">
        <v>45221</v>
      </c>
      <c r="G998" s="1">
        <v>45239</v>
      </c>
      <c r="H998" s="4">
        <f>IF(Claims_Cleaned[[#This Row],[processed_date]]="","",Claims_Cleaned[[#This Row],[processed_date]]-Claims_Cleaned[[#This Row],[submission_date]])</f>
        <v>18</v>
      </c>
      <c r="I998" s="4" t="str">
        <f>TEXT(Claims_Cleaned[[#This Row],[claim_date]],"mmm-yyyy")</f>
        <v>Oct-2023</v>
      </c>
      <c r="J998" t="s">
        <v>11</v>
      </c>
      <c r="K998">
        <v>625.38</v>
      </c>
      <c r="L998" t="s">
        <v>683</v>
      </c>
      <c r="M998">
        <v>18</v>
      </c>
    </row>
    <row r="999" spans="1:13" x14ac:dyDescent="0.35">
      <c r="A999" t="s">
        <v>1485</v>
      </c>
      <c r="B999" t="s">
        <v>442</v>
      </c>
      <c r="C999" t="s">
        <v>527</v>
      </c>
      <c r="D999" t="s">
        <v>667</v>
      </c>
      <c r="E999" s="1">
        <v>45450</v>
      </c>
      <c r="F999" s="1">
        <v>45453</v>
      </c>
      <c r="G999" s="1">
        <v>45460</v>
      </c>
      <c r="H999" s="4">
        <f>IF(Claims_Cleaned[[#This Row],[processed_date]]="","",Claims_Cleaned[[#This Row],[processed_date]]-Claims_Cleaned[[#This Row],[submission_date]])</f>
        <v>7</v>
      </c>
      <c r="I999" s="4" t="str">
        <f>TEXT(Claims_Cleaned[[#This Row],[claim_date]],"mmm-yyyy")</f>
        <v>Jun-2024</v>
      </c>
      <c r="J999" t="s">
        <v>11</v>
      </c>
      <c r="K999">
        <v>625.34</v>
      </c>
      <c r="L999" t="s">
        <v>683</v>
      </c>
      <c r="M999">
        <v>7</v>
      </c>
    </row>
    <row r="1000" spans="1:13" x14ac:dyDescent="0.35">
      <c r="A1000" t="s">
        <v>1051</v>
      </c>
      <c r="B1000" t="s">
        <v>255</v>
      </c>
      <c r="C1000" t="s">
        <v>583</v>
      </c>
      <c r="D1000" t="s">
        <v>667</v>
      </c>
      <c r="E1000" s="1">
        <v>45127</v>
      </c>
      <c r="F1000" s="1">
        <v>45128</v>
      </c>
      <c r="G1000" s="1">
        <v>45150</v>
      </c>
      <c r="H1000" s="4">
        <f>IF(Claims_Cleaned[[#This Row],[processed_date]]="","",Claims_Cleaned[[#This Row],[processed_date]]-Claims_Cleaned[[#This Row],[submission_date]])</f>
        <v>22</v>
      </c>
      <c r="I1000" s="4" t="str">
        <f>TEXT(Claims_Cleaned[[#This Row],[claim_date]],"mmm-yyyy")</f>
        <v>Jul-2023</v>
      </c>
      <c r="J1000" t="s">
        <v>20</v>
      </c>
      <c r="K1000">
        <v>624.32000000000005</v>
      </c>
      <c r="L1000" t="s">
        <v>683</v>
      </c>
      <c r="M1000">
        <v>22</v>
      </c>
    </row>
    <row r="1001" spans="1:13" x14ac:dyDescent="0.35">
      <c r="A1001" t="s">
        <v>2343</v>
      </c>
      <c r="B1001" t="s">
        <v>307</v>
      </c>
      <c r="C1001" t="s">
        <v>524</v>
      </c>
      <c r="D1001" t="s">
        <v>667</v>
      </c>
      <c r="E1001" s="1">
        <v>45026</v>
      </c>
      <c r="F1001" s="1">
        <v>45031</v>
      </c>
      <c r="G1001" s="1">
        <v>45061</v>
      </c>
      <c r="H1001" s="4">
        <f>IF(Claims_Cleaned[[#This Row],[processed_date]]="","",Claims_Cleaned[[#This Row],[processed_date]]-Claims_Cleaned[[#This Row],[submission_date]])</f>
        <v>30</v>
      </c>
      <c r="I1001" s="4" t="str">
        <f>TEXT(Claims_Cleaned[[#This Row],[claim_date]],"mmm-yyyy")</f>
        <v>Apr-2023</v>
      </c>
      <c r="J1001" t="s">
        <v>8</v>
      </c>
      <c r="K1001">
        <v>624.27</v>
      </c>
      <c r="L1001" t="s">
        <v>683</v>
      </c>
      <c r="M1001">
        <v>30</v>
      </c>
    </row>
    <row r="1002" spans="1:13" x14ac:dyDescent="0.35">
      <c r="A1002" t="s">
        <v>1675</v>
      </c>
      <c r="B1002" t="s">
        <v>421</v>
      </c>
      <c r="C1002" t="s">
        <v>605</v>
      </c>
      <c r="D1002" t="s">
        <v>667</v>
      </c>
      <c r="E1002" s="1">
        <v>45577</v>
      </c>
      <c r="F1002" s="1">
        <v>45578</v>
      </c>
      <c r="G1002" s="1">
        <v>45586</v>
      </c>
      <c r="H1002" s="4">
        <f>IF(Claims_Cleaned[[#This Row],[processed_date]]="","",Claims_Cleaned[[#This Row],[processed_date]]-Claims_Cleaned[[#This Row],[submission_date]])</f>
        <v>8</v>
      </c>
      <c r="I1002" s="4" t="str">
        <f>TEXT(Claims_Cleaned[[#This Row],[claim_date]],"mmm-yyyy")</f>
        <v>Oct-2024</v>
      </c>
      <c r="J1002" t="s">
        <v>8</v>
      </c>
      <c r="K1002">
        <v>622.83000000000004</v>
      </c>
      <c r="L1002" t="s">
        <v>683</v>
      </c>
      <c r="M1002">
        <v>8</v>
      </c>
    </row>
    <row r="1003" spans="1:13" x14ac:dyDescent="0.35">
      <c r="A1003" t="s">
        <v>2162</v>
      </c>
      <c r="B1003" t="s">
        <v>475</v>
      </c>
      <c r="C1003" t="s">
        <v>581</v>
      </c>
      <c r="D1003" t="s">
        <v>667</v>
      </c>
      <c r="E1003" s="1">
        <v>45022</v>
      </c>
      <c r="F1003" s="1">
        <v>45027</v>
      </c>
      <c r="G1003" s="1">
        <v>45031</v>
      </c>
      <c r="H1003" s="4">
        <f>IF(Claims_Cleaned[[#This Row],[processed_date]]="","",Claims_Cleaned[[#This Row],[processed_date]]-Claims_Cleaned[[#This Row],[submission_date]])</f>
        <v>4</v>
      </c>
      <c r="I1003" s="4" t="str">
        <f>TEXT(Claims_Cleaned[[#This Row],[claim_date]],"mmm-yyyy")</f>
        <v>Apr-2023</v>
      </c>
      <c r="J1003" t="s">
        <v>20</v>
      </c>
      <c r="K1003">
        <v>621.72</v>
      </c>
      <c r="L1003" t="s">
        <v>683</v>
      </c>
      <c r="M1003">
        <v>4</v>
      </c>
    </row>
    <row r="1004" spans="1:13" x14ac:dyDescent="0.35">
      <c r="A1004" t="s">
        <v>991</v>
      </c>
      <c r="B1004" t="s">
        <v>447</v>
      </c>
      <c r="C1004" t="s">
        <v>581</v>
      </c>
      <c r="D1004" t="s">
        <v>669</v>
      </c>
      <c r="E1004" s="1">
        <v>45497</v>
      </c>
      <c r="F1004" s="1">
        <v>45501</v>
      </c>
      <c r="G1004" s="1">
        <v>45505</v>
      </c>
      <c r="H1004" s="4">
        <f>IF(Claims_Cleaned[[#This Row],[processed_date]]="","",Claims_Cleaned[[#This Row],[processed_date]]-Claims_Cleaned[[#This Row],[submission_date]])</f>
        <v>4</v>
      </c>
      <c r="I1004" s="4" t="str">
        <f>TEXT(Claims_Cleaned[[#This Row],[claim_date]],"mmm-yyyy")</f>
        <v>Jul-2024</v>
      </c>
      <c r="J1004" t="s">
        <v>11</v>
      </c>
      <c r="K1004">
        <v>617.57000000000005</v>
      </c>
      <c r="L1004" t="s">
        <v>683</v>
      </c>
      <c r="M1004">
        <v>4</v>
      </c>
    </row>
    <row r="1005" spans="1:13" x14ac:dyDescent="0.35">
      <c r="A1005" t="s">
        <v>2371</v>
      </c>
      <c r="B1005" t="s">
        <v>234</v>
      </c>
      <c r="C1005" t="s">
        <v>603</v>
      </c>
      <c r="D1005" t="s">
        <v>669</v>
      </c>
      <c r="E1005" s="1">
        <v>44999</v>
      </c>
      <c r="F1005" s="1">
        <v>45002</v>
      </c>
      <c r="G1005" s="1">
        <v>45032</v>
      </c>
      <c r="H1005" s="4">
        <f>IF(Claims_Cleaned[[#This Row],[processed_date]]="","",Claims_Cleaned[[#This Row],[processed_date]]-Claims_Cleaned[[#This Row],[submission_date]])</f>
        <v>30</v>
      </c>
      <c r="I1005" s="4" t="str">
        <f>TEXT(Claims_Cleaned[[#This Row],[claim_date]],"mmm-yyyy")</f>
        <v>Mar-2023</v>
      </c>
      <c r="J1005" t="s">
        <v>20</v>
      </c>
      <c r="K1005">
        <v>616.66999999999996</v>
      </c>
      <c r="L1005" t="s">
        <v>683</v>
      </c>
      <c r="M1005">
        <v>30</v>
      </c>
    </row>
    <row r="1006" spans="1:13" x14ac:dyDescent="0.35">
      <c r="A1006" t="s">
        <v>1025</v>
      </c>
      <c r="B1006" t="s">
        <v>42</v>
      </c>
      <c r="C1006" t="s">
        <v>569</v>
      </c>
      <c r="D1006" t="s">
        <v>667</v>
      </c>
      <c r="E1006" s="1">
        <v>45144</v>
      </c>
      <c r="F1006" s="1">
        <v>45148</v>
      </c>
      <c r="G1006" s="1">
        <v>45176</v>
      </c>
      <c r="H1006" s="4">
        <f>IF(Claims_Cleaned[[#This Row],[processed_date]]="","",Claims_Cleaned[[#This Row],[processed_date]]-Claims_Cleaned[[#This Row],[submission_date]])</f>
        <v>28</v>
      </c>
      <c r="I1006" s="4" t="str">
        <f>TEXT(Claims_Cleaned[[#This Row],[claim_date]],"mmm-yyyy")</f>
        <v>Aug-2023</v>
      </c>
      <c r="J1006" t="s">
        <v>20</v>
      </c>
      <c r="K1006">
        <v>616.39</v>
      </c>
      <c r="L1006" t="s">
        <v>683</v>
      </c>
      <c r="M1006">
        <v>28</v>
      </c>
    </row>
    <row r="1007" spans="1:13" x14ac:dyDescent="0.35">
      <c r="A1007" t="s">
        <v>1339</v>
      </c>
      <c r="B1007" t="s">
        <v>489</v>
      </c>
      <c r="C1007" t="s">
        <v>591</v>
      </c>
      <c r="D1007" t="s">
        <v>669</v>
      </c>
      <c r="E1007" s="1">
        <v>45560</v>
      </c>
      <c r="F1007" s="1">
        <v>45564</v>
      </c>
      <c r="G1007" s="1">
        <v>45579</v>
      </c>
      <c r="H1007" s="4">
        <f>IF(Claims_Cleaned[[#This Row],[processed_date]]="","",Claims_Cleaned[[#This Row],[processed_date]]-Claims_Cleaned[[#This Row],[submission_date]])</f>
        <v>15</v>
      </c>
      <c r="I1007" s="4" t="str">
        <f>TEXT(Claims_Cleaned[[#This Row],[claim_date]],"mmm-yyyy")</f>
        <v>Sep-2024</v>
      </c>
      <c r="J1007" t="s">
        <v>11</v>
      </c>
      <c r="K1007">
        <v>615.15</v>
      </c>
      <c r="L1007" t="s">
        <v>687</v>
      </c>
      <c r="M1007">
        <v>15</v>
      </c>
    </row>
    <row r="1008" spans="1:13" x14ac:dyDescent="0.35">
      <c r="A1008" t="s">
        <v>1839</v>
      </c>
      <c r="B1008" t="s">
        <v>423</v>
      </c>
      <c r="C1008" t="s">
        <v>605</v>
      </c>
      <c r="D1008" t="s">
        <v>667</v>
      </c>
      <c r="E1008" s="1">
        <v>45397</v>
      </c>
      <c r="F1008" s="1">
        <v>45399</v>
      </c>
      <c r="G1008" s="1">
        <v>45406</v>
      </c>
      <c r="H1008" s="4">
        <f>IF(Claims_Cleaned[[#This Row],[processed_date]]="","",Claims_Cleaned[[#This Row],[processed_date]]-Claims_Cleaned[[#This Row],[submission_date]])</f>
        <v>7</v>
      </c>
      <c r="I1008" s="4" t="str">
        <f>TEXT(Claims_Cleaned[[#This Row],[claim_date]],"mmm-yyyy")</f>
        <v>Apr-2024</v>
      </c>
      <c r="J1008" t="s">
        <v>13</v>
      </c>
      <c r="K1008">
        <v>614.03</v>
      </c>
      <c r="L1008" t="s">
        <v>683</v>
      </c>
      <c r="M1008">
        <v>7</v>
      </c>
    </row>
    <row r="1009" spans="1:13" x14ac:dyDescent="0.35">
      <c r="A1009" t="s">
        <v>1247</v>
      </c>
      <c r="B1009" t="s">
        <v>88</v>
      </c>
      <c r="C1009" t="s">
        <v>599</v>
      </c>
      <c r="D1009" t="s">
        <v>669</v>
      </c>
      <c r="E1009" s="1">
        <v>45420</v>
      </c>
      <c r="F1009" s="1">
        <v>45421</v>
      </c>
      <c r="G1009" s="1">
        <v>45430</v>
      </c>
      <c r="H1009" s="4">
        <f>IF(Claims_Cleaned[[#This Row],[processed_date]]="","",Claims_Cleaned[[#This Row],[processed_date]]-Claims_Cleaned[[#This Row],[submission_date]])</f>
        <v>9</v>
      </c>
      <c r="I1009" s="4" t="str">
        <f>TEXT(Claims_Cleaned[[#This Row],[claim_date]],"mmm-yyyy")</f>
        <v>May-2024</v>
      </c>
      <c r="J1009" t="s">
        <v>13</v>
      </c>
      <c r="K1009">
        <v>611.62</v>
      </c>
      <c r="L1009" t="s">
        <v>683</v>
      </c>
      <c r="M1009">
        <v>9</v>
      </c>
    </row>
    <row r="1010" spans="1:13" x14ac:dyDescent="0.35">
      <c r="A1010" t="s">
        <v>2298</v>
      </c>
      <c r="B1010" t="s">
        <v>412</v>
      </c>
      <c r="C1010" t="s">
        <v>583</v>
      </c>
      <c r="D1010" t="s">
        <v>669</v>
      </c>
      <c r="E1010" s="1">
        <v>45244</v>
      </c>
      <c r="F1010" s="1">
        <v>45247</v>
      </c>
      <c r="G1010" s="1">
        <v>45273</v>
      </c>
      <c r="H1010" s="4">
        <f>IF(Claims_Cleaned[[#This Row],[processed_date]]="","",Claims_Cleaned[[#This Row],[processed_date]]-Claims_Cleaned[[#This Row],[submission_date]])</f>
        <v>26</v>
      </c>
      <c r="I1010" s="4" t="str">
        <f>TEXT(Claims_Cleaned[[#This Row],[claim_date]],"mmm-yyyy")</f>
        <v>Nov-2023</v>
      </c>
      <c r="J1010" t="s">
        <v>8</v>
      </c>
      <c r="K1010">
        <v>609.09</v>
      </c>
      <c r="L1010" t="s">
        <v>687</v>
      </c>
      <c r="M1010">
        <v>26</v>
      </c>
    </row>
    <row r="1011" spans="1:13" x14ac:dyDescent="0.35">
      <c r="A1011" t="s">
        <v>2210</v>
      </c>
      <c r="B1011" t="s">
        <v>178</v>
      </c>
      <c r="C1011" t="s">
        <v>546</v>
      </c>
      <c r="D1011" t="s">
        <v>667</v>
      </c>
      <c r="E1011" s="1">
        <v>45119</v>
      </c>
      <c r="F1011" s="1">
        <v>45121</v>
      </c>
      <c r="G1011" s="1">
        <v>45147</v>
      </c>
      <c r="H1011" s="4">
        <f>IF(Claims_Cleaned[[#This Row],[processed_date]]="","",Claims_Cleaned[[#This Row],[processed_date]]-Claims_Cleaned[[#This Row],[submission_date]])</f>
        <v>26</v>
      </c>
      <c r="I1011" s="4" t="str">
        <f>TEXT(Claims_Cleaned[[#This Row],[claim_date]],"mmm-yyyy")</f>
        <v>Jul-2023</v>
      </c>
      <c r="J1011" t="s">
        <v>8</v>
      </c>
      <c r="K1011">
        <v>608.72</v>
      </c>
      <c r="L1011" t="s">
        <v>683</v>
      </c>
      <c r="M1011">
        <v>26</v>
      </c>
    </row>
    <row r="1012" spans="1:13" x14ac:dyDescent="0.35">
      <c r="A1012" t="s">
        <v>1666</v>
      </c>
      <c r="B1012" t="s">
        <v>117</v>
      </c>
      <c r="C1012" t="s">
        <v>527</v>
      </c>
      <c r="D1012" t="s">
        <v>669</v>
      </c>
      <c r="E1012" s="1">
        <v>45652</v>
      </c>
      <c r="F1012" s="1">
        <v>45653</v>
      </c>
      <c r="G1012" s="1">
        <v>45679</v>
      </c>
      <c r="H1012" s="4">
        <f>IF(Claims_Cleaned[[#This Row],[processed_date]]="","",Claims_Cleaned[[#This Row],[processed_date]]-Claims_Cleaned[[#This Row],[submission_date]])</f>
        <v>26</v>
      </c>
      <c r="I1012" s="4" t="str">
        <f>TEXT(Claims_Cleaned[[#This Row],[claim_date]],"mmm-yyyy")</f>
        <v>Dec-2024</v>
      </c>
      <c r="J1012" t="s">
        <v>8</v>
      </c>
      <c r="K1012">
        <v>606.5</v>
      </c>
      <c r="L1012" t="s">
        <v>687</v>
      </c>
      <c r="M1012">
        <v>26</v>
      </c>
    </row>
    <row r="1013" spans="1:13" x14ac:dyDescent="0.35">
      <c r="A1013" t="s">
        <v>2518</v>
      </c>
      <c r="B1013" t="s">
        <v>44</v>
      </c>
      <c r="C1013" t="s">
        <v>546</v>
      </c>
      <c r="D1013" t="s">
        <v>667</v>
      </c>
      <c r="E1013" s="1">
        <v>45139</v>
      </c>
      <c r="F1013" s="1">
        <v>45142</v>
      </c>
      <c r="G1013" s="1">
        <v>45148</v>
      </c>
      <c r="H1013" s="4">
        <f>IF(Claims_Cleaned[[#This Row],[processed_date]]="","",Claims_Cleaned[[#This Row],[processed_date]]-Claims_Cleaned[[#This Row],[submission_date]])</f>
        <v>6</v>
      </c>
      <c r="I1013" s="4" t="str">
        <f>TEXT(Claims_Cleaned[[#This Row],[claim_date]],"mmm-yyyy")</f>
        <v>Aug-2023</v>
      </c>
      <c r="J1013" t="s">
        <v>11</v>
      </c>
      <c r="K1013">
        <v>604.98</v>
      </c>
      <c r="L1013" t="s">
        <v>683</v>
      </c>
      <c r="M1013">
        <v>6</v>
      </c>
    </row>
    <row r="1014" spans="1:13" x14ac:dyDescent="0.35">
      <c r="A1014" t="s">
        <v>1972</v>
      </c>
      <c r="B1014" t="s">
        <v>146</v>
      </c>
      <c r="C1014" t="s">
        <v>546</v>
      </c>
      <c r="D1014" t="s">
        <v>669</v>
      </c>
      <c r="E1014" s="1">
        <v>45012</v>
      </c>
      <c r="F1014" s="1">
        <v>45017</v>
      </c>
      <c r="G1014" s="1">
        <v>45041</v>
      </c>
      <c r="H1014" s="4">
        <f>IF(Claims_Cleaned[[#This Row],[processed_date]]="","",Claims_Cleaned[[#This Row],[processed_date]]-Claims_Cleaned[[#This Row],[submission_date]])</f>
        <v>24</v>
      </c>
      <c r="I1014" s="4" t="str">
        <f>TEXT(Claims_Cleaned[[#This Row],[claim_date]],"mmm-yyyy")</f>
        <v>Mar-2023</v>
      </c>
      <c r="J1014" t="s">
        <v>11</v>
      </c>
      <c r="K1014">
        <v>604.96</v>
      </c>
      <c r="L1014" t="s">
        <v>683</v>
      </c>
      <c r="M1014">
        <v>24</v>
      </c>
    </row>
    <row r="1015" spans="1:13" x14ac:dyDescent="0.35">
      <c r="A1015" t="s">
        <v>1679</v>
      </c>
      <c r="B1015" t="s">
        <v>182</v>
      </c>
      <c r="C1015" t="s">
        <v>605</v>
      </c>
      <c r="D1015" t="s">
        <v>669</v>
      </c>
      <c r="E1015" s="1">
        <v>45585</v>
      </c>
      <c r="F1015" s="1">
        <v>45586</v>
      </c>
      <c r="G1015" s="1">
        <v>45597</v>
      </c>
      <c r="H1015" s="4">
        <f>IF(Claims_Cleaned[[#This Row],[processed_date]]="","",Claims_Cleaned[[#This Row],[processed_date]]-Claims_Cleaned[[#This Row],[submission_date]])</f>
        <v>11</v>
      </c>
      <c r="I1015" s="4" t="str">
        <f>TEXT(Claims_Cleaned[[#This Row],[claim_date]],"mmm-yyyy")</f>
        <v>Oct-2024</v>
      </c>
      <c r="J1015" t="s">
        <v>11</v>
      </c>
      <c r="K1015">
        <v>604.14</v>
      </c>
      <c r="L1015" t="s">
        <v>683</v>
      </c>
      <c r="M1015">
        <v>11</v>
      </c>
    </row>
    <row r="1016" spans="1:13" x14ac:dyDescent="0.35">
      <c r="A1016" t="s">
        <v>685</v>
      </c>
      <c r="B1016" t="s">
        <v>138</v>
      </c>
      <c r="C1016" t="s">
        <v>540</v>
      </c>
      <c r="D1016" t="s">
        <v>667</v>
      </c>
      <c r="E1016" s="1">
        <v>45344</v>
      </c>
      <c r="F1016" s="1">
        <v>45345</v>
      </c>
      <c r="G1016" s="1">
        <v>45359</v>
      </c>
      <c r="H1016" s="4">
        <f>IF(Claims_Cleaned[[#This Row],[processed_date]]="","",Claims_Cleaned[[#This Row],[processed_date]]-Claims_Cleaned[[#This Row],[submission_date]])</f>
        <v>14</v>
      </c>
      <c r="I1016" s="4" t="str">
        <f>TEXT(Claims_Cleaned[[#This Row],[claim_date]],"mmm-yyyy")</f>
        <v>Feb-2024</v>
      </c>
      <c r="J1016" t="s">
        <v>20</v>
      </c>
      <c r="K1016">
        <v>603.91</v>
      </c>
      <c r="L1016" t="s">
        <v>683</v>
      </c>
      <c r="M1016">
        <v>14</v>
      </c>
    </row>
    <row r="1017" spans="1:13" x14ac:dyDescent="0.35">
      <c r="A1017" t="s">
        <v>1980</v>
      </c>
      <c r="B1017" t="s">
        <v>207</v>
      </c>
      <c r="C1017" t="s">
        <v>555</v>
      </c>
      <c r="D1017" t="s">
        <v>669</v>
      </c>
      <c r="E1017" s="1">
        <v>45082</v>
      </c>
      <c r="F1017" s="1">
        <v>45087</v>
      </c>
      <c r="G1017" s="1">
        <v>45098</v>
      </c>
      <c r="H1017" s="4">
        <f>IF(Claims_Cleaned[[#This Row],[processed_date]]="","",Claims_Cleaned[[#This Row],[processed_date]]-Claims_Cleaned[[#This Row],[submission_date]])</f>
        <v>11</v>
      </c>
      <c r="I1017" s="4" t="str">
        <f>TEXT(Claims_Cleaned[[#This Row],[claim_date]],"mmm-yyyy")</f>
        <v>Jun-2023</v>
      </c>
      <c r="J1017" t="s">
        <v>11</v>
      </c>
      <c r="K1017">
        <v>600.47</v>
      </c>
      <c r="L1017" t="s">
        <v>683</v>
      </c>
      <c r="M1017">
        <v>11</v>
      </c>
    </row>
    <row r="1018" spans="1:13" x14ac:dyDescent="0.35">
      <c r="A1018" t="s">
        <v>859</v>
      </c>
      <c r="B1018" t="s">
        <v>198</v>
      </c>
      <c r="C1018" t="s">
        <v>597</v>
      </c>
      <c r="D1018" t="s">
        <v>669</v>
      </c>
      <c r="E1018" s="1">
        <v>45371</v>
      </c>
      <c r="F1018" s="1">
        <v>45373</v>
      </c>
      <c r="G1018" s="1">
        <v>45394</v>
      </c>
      <c r="H1018" s="4">
        <f>IF(Claims_Cleaned[[#This Row],[processed_date]]="","",Claims_Cleaned[[#This Row],[processed_date]]-Claims_Cleaned[[#This Row],[submission_date]])</f>
        <v>21</v>
      </c>
      <c r="I1018" s="4" t="str">
        <f>TEXT(Claims_Cleaned[[#This Row],[claim_date]],"mmm-yyyy")</f>
        <v>Mar-2024</v>
      </c>
      <c r="J1018" t="s">
        <v>11</v>
      </c>
      <c r="K1018">
        <v>600.11</v>
      </c>
      <c r="L1018" t="s">
        <v>683</v>
      </c>
      <c r="M1018">
        <v>21</v>
      </c>
    </row>
    <row r="1019" spans="1:13" x14ac:dyDescent="0.35">
      <c r="A1019" t="s">
        <v>2443</v>
      </c>
      <c r="B1019" t="s">
        <v>451</v>
      </c>
      <c r="C1019" t="s">
        <v>546</v>
      </c>
      <c r="D1019" t="s">
        <v>669</v>
      </c>
      <c r="E1019" s="1">
        <v>45545</v>
      </c>
      <c r="F1019" s="1">
        <v>45550</v>
      </c>
      <c r="G1019" s="1">
        <v>45577</v>
      </c>
      <c r="H1019" s="4">
        <f>IF(Claims_Cleaned[[#This Row],[processed_date]]="","",Claims_Cleaned[[#This Row],[processed_date]]-Claims_Cleaned[[#This Row],[submission_date]])</f>
        <v>27</v>
      </c>
      <c r="I1019" s="4" t="str">
        <f>TEXT(Claims_Cleaned[[#This Row],[claim_date]],"mmm-yyyy")</f>
        <v>Sep-2024</v>
      </c>
      <c r="J1019" t="s">
        <v>11</v>
      </c>
      <c r="K1019">
        <v>597.75</v>
      </c>
      <c r="L1019" t="s">
        <v>683</v>
      </c>
      <c r="M1019">
        <v>27</v>
      </c>
    </row>
    <row r="1020" spans="1:13" x14ac:dyDescent="0.35">
      <c r="A1020" t="s">
        <v>2040</v>
      </c>
      <c r="B1020" t="s">
        <v>335</v>
      </c>
      <c r="C1020" t="s">
        <v>549</v>
      </c>
      <c r="D1020" t="s">
        <v>669</v>
      </c>
      <c r="E1020" s="1">
        <v>45182</v>
      </c>
      <c r="F1020" s="1">
        <v>45184</v>
      </c>
      <c r="G1020" s="1">
        <v>45193</v>
      </c>
      <c r="H1020" s="4">
        <f>IF(Claims_Cleaned[[#This Row],[processed_date]]="","",Claims_Cleaned[[#This Row],[processed_date]]-Claims_Cleaned[[#This Row],[submission_date]])</f>
        <v>9</v>
      </c>
      <c r="I1020" s="4" t="str">
        <f>TEXT(Claims_Cleaned[[#This Row],[claim_date]],"mmm-yyyy")</f>
        <v>Sep-2023</v>
      </c>
      <c r="J1020" t="s">
        <v>8</v>
      </c>
      <c r="K1020">
        <v>597.63</v>
      </c>
      <c r="L1020" t="s">
        <v>683</v>
      </c>
      <c r="M1020">
        <v>9</v>
      </c>
    </row>
    <row r="1021" spans="1:13" x14ac:dyDescent="0.35">
      <c r="A1021" t="s">
        <v>792</v>
      </c>
      <c r="B1021" t="s">
        <v>467</v>
      </c>
      <c r="C1021" t="s">
        <v>583</v>
      </c>
      <c r="D1021" t="s">
        <v>667</v>
      </c>
      <c r="E1021" s="1">
        <v>45186</v>
      </c>
      <c r="F1021" s="1">
        <v>45190</v>
      </c>
      <c r="G1021" s="1">
        <v>45218</v>
      </c>
      <c r="H1021" s="4">
        <f>IF(Claims_Cleaned[[#This Row],[processed_date]]="","",Claims_Cleaned[[#This Row],[processed_date]]-Claims_Cleaned[[#This Row],[submission_date]])</f>
        <v>28</v>
      </c>
      <c r="I1021" s="4" t="str">
        <f>TEXT(Claims_Cleaned[[#This Row],[claim_date]],"mmm-yyyy")</f>
        <v>Sep-2023</v>
      </c>
      <c r="J1021" t="s">
        <v>13</v>
      </c>
      <c r="K1021">
        <v>597.42999999999995</v>
      </c>
      <c r="L1021" t="s">
        <v>687</v>
      </c>
      <c r="M1021">
        <v>28</v>
      </c>
    </row>
    <row r="1022" spans="1:13" x14ac:dyDescent="0.35">
      <c r="A1022" t="s">
        <v>804</v>
      </c>
      <c r="B1022" t="s">
        <v>427</v>
      </c>
      <c r="C1022" t="s">
        <v>567</v>
      </c>
      <c r="D1022" t="s">
        <v>667</v>
      </c>
      <c r="E1022" s="1">
        <v>45522</v>
      </c>
      <c r="F1022" s="1">
        <v>45523</v>
      </c>
      <c r="G1022" s="1">
        <v>45548</v>
      </c>
      <c r="H1022" s="4">
        <f>IF(Claims_Cleaned[[#This Row],[processed_date]]="","",Claims_Cleaned[[#This Row],[processed_date]]-Claims_Cleaned[[#This Row],[submission_date]])</f>
        <v>25</v>
      </c>
      <c r="I1022" s="4" t="str">
        <f>TEXT(Claims_Cleaned[[#This Row],[claim_date]],"mmm-yyyy")</f>
        <v>Aug-2024</v>
      </c>
      <c r="J1022" t="s">
        <v>20</v>
      </c>
      <c r="K1022">
        <v>594.80999999999995</v>
      </c>
      <c r="L1022" t="s">
        <v>683</v>
      </c>
      <c r="M1022">
        <v>25</v>
      </c>
    </row>
    <row r="1023" spans="1:13" x14ac:dyDescent="0.35">
      <c r="A1023" t="s">
        <v>1000</v>
      </c>
      <c r="B1023" t="s">
        <v>433</v>
      </c>
      <c r="C1023" t="s">
        <v>571</v>
      </c>
      <c r="D1023" t="s">
        <v>669</v>
      </c>
      <c r="E1023" s="1">
        <v>45571</v>
      </c>
      <c r="F1023" s="1">
        <v>45574</v>
      </c>
      <c r="G1023" s="1">
        <v>45603</v>
      </c>
      <c r="H1023" s="4">
        <f>IF(Claims_Cleaned[[#This Row],[processed_date]]="","",Claims_Cleaned[[#This Row],[processed_date]]-Claims_Cleaned[[#This Row],[submission_date]])</f>
        <v>29</v>
      </c>
      <c r="I1023" s="4" t="str">
        <f>TEXT(Claims_Cleaned[[#This Row],[claim_date]],"mmm-yyyy")</f>
        <v>Oct-2024</v>
      </c>
      <c r="J1023" t="s">
        <v>8</v>
      </c>
      <c r="K1023">
        <v>594.48</v>
      </c>
      <c r="L1023" t="s">
        <v>687</v>
      </c>
      <c r="M1023">
        <v>29</v>
      </c>
    </row>
    <row r="1024" spans="1:13" x14ac:dyDescent="0.35">
      <c r="A1024" t="s">
        <v>1491</v>
      </c>
      <c r="B1024" t="s">
        <v>476</v>
      </c>
      <c r="C1024" t="s">
        <v>563</v>
      </c>
      <c r="D1024" t="s">
        <v>667</v>
      </c>
      <c r="E1024" s="1">
        <v>45546</v>
      </c>
      <c r="F1024" s="1">
        <v>45550</v>
      </c>
      <c r="G1024" s="1">
        <v>45569</v>
      </c>
      <c r="H1024" s="4">
        <f>IF(Claims_Cleaned[[#This Row],[processed_date]]="","",Claims_Cleaned[[#This Row],[processed_date]]-Claims_Cleaned[[#This Row],[submission_date]])</f>
        <v>19</v>
      </c>
      <c r="I1024" s="4" t="str">
        <f>TEXT(Claims_Cleaned[[#This Row],[claim_date]],"mmm-yyyy")</f>
        <v>Sep-2024</v>
      </c>
      <c r="J1024" t="s">
        <v>20</v>
      </c>
      <c r="K1024">
        <v>590.84</v>
      </c>
      <c r="L1024" t="s">
        <v>683</v>
      </c>
      <c r="M1024">
        <v>19</v>
      </c>
    </row>
    <row r="1025" spans="1:13" x14ac:dyDescent="0.35">
      <c r="A1025" t="s">
        <v>2143</v>
      </c>
      <c r="B1025" t="s">
        <v>111</v>
      </c>
      <c r="C1025" t="s">
        <v>537</v>
      </c>
      <c r="D1025" t="s">
        <v>667</v>
      </c>
      <c r="E1025" s="1">
        <v>45577</v>
      </c>
      <c r="F1025" s="1">
        <v>45581</v>
      </c>
      <c r="G1025" s="1">
        <v>45595</v>
      </c>
      <c r="H1025" s="4">
        <f>IF(Claims_Cleaned[[#This Row],[processed_date]]="","",Claims_Cleaned[[#This Row],[processed_date]]-Claims_Cleaned[[#This Row],[submission_date]])</f>
        <v>14</v>
      </c>
      <c r="I1025" s="4" t="str">
        <f>TEXT(Claims_Cleaned[[#This Row],[claim_date]],"mmm-yyyy")</f>
        <v>Oct-2024</v>
      </c>
      <c r="J1025" t="s">
        <v>8</v>
      </c>
      <c r="K1025">
        <v>590.79999999999995</v>
      </c>
      <c r="L1025" t="s">
        <v>683</v>
      </c>
      <c r="M1025">
        <v>14</v>
      </c>
    </row>
    <row r="1026" spans="1:13" x14ac:dyDescent="0.35">
      <c r="A1026" t="s">
        <v>1657</v>
      </c>
      <c r="B1026" t="s">
        <v>263</v>
      </c>
      <c r="C1026" t="s">
        <v>599</v>
      </c>
      <c r="D1026" t="s">
        <v>669</v>
      </c>
      <c r="E1026" s="1">
        <v>45565</v>
      </c>
      <c r="F1026" s="1">
        <v>45567</v>
      </c>
      <c r="G1026" s="1">
        <v>45577</v>
      </c>
      <c r="H1026" s="4">
        <f>IF(Claims_Cleaned[[#This Row],[processed_date]]="","",Claims_Cleaned[[#This Row],[processed_date]]-Claims_Cleaned[[#This Row],[submission_date]])</f>
        <v>10</v>
      </c>
      <c r="I1026" s="4" t="str">
        <f>TEXT(Claims_Cleaned[[#This Row],[claim_date]],"mmm-yyyy")</f>
        <v>Sep-2024</v>
      </c>
      <c r="J1026" t="s">
        <v>20</v>
      </c>
      <c r="K1026">
        <v>590.61</v>
      </c>
      <c r="L1026" t="s">
        <v>687</v>
      </c>
      <c r="M1026">
        <v>10</v>
      </c>
    </row>
    <row r="1027" spans="1:13" x14ac:dyDescent="0.35">
      <c r="A1027" t="s">
        <v>1318</v>
      </c>
      <c r="B1027" t="s">
        <v>477</v>
      </c>
      <c r="C1027" t="s">
        <v>527</v>
      </c>
      <c r="D1027" t="s">
        <v>667</v>
      </c>
      <c r="E1027" s="1">
        <v>45161</v>
      </c>
      <c r="F1027" s="1">
        <v>45164</v>
      </c>
      <c r="G1027" s="1">
        <v>45181</v>
      </c>
      <c r="H1027" s="4">
        <f>IF(Claims_Cleaned[[#This Row],[processed_date]]="","",Claims_Cleaned[[#This Row],[processed_date]]-Claims_Cleaned[[#This Row],[submission_date]])</f>
        <v>17</v>
      </c>
      <c r="I1027" s="4" t="str">
        <f>TEXT(Claims_Cleaned[[#This Row],[claim_date]],"mmm-yyyy")</f>
        <v>Aug-2023</v>
      </c>
      <c r="J1027" t="s">
        <v>20</v>
      </c>
      <c r="K1027">
        <v>590.1</v>
      </c>
      <c r="L1027" t="s">
        <v>683</v>
      </c>
      <c r="M1027">
        <v>17</v>
      </c>
    </row>
    <row r="1028" spans="1:13" x14ac:dyDescent="0.35">
      <c r="A1028" t="s">
        <v>1380</v>
      </c>
      <c r="B1028" t="s">
        <v>324</v>
      </c>
      <c r="C1028" t="s">
        <v>591</v>
      </c>
      <c r="D1028" t="s">
        <v>667</v>
      </c>
      <c r="E1028" s="1">
        <v>45614</v>
      </c>
      <c r="F1028" s="1">
        <v>45618</v>
      </c>
      <c r="G1028" s="1">
        <v>45631</v>
      </c>
      <c r="H1028" s="4">
        <f>IF(Claims_Cleaned[[#This Row],[processed_date]]="","",Claims_Cleaned[[#This Row],[processed_date]]-Claims_Cleaned[[#This Row],[submission_date]])</f>
        <v>13</v>
      </c>
      <c r="I1028" s="4" t="str">
        <f>TEXT(Claims_Cleaned[[#This Row],[claim_date]],"mmm-yyyy")</f>
        <v>Nov-2024</v>
      </c>
      <c r="J1028" t="s">
        <v>8</v>
      </c>
      <c r="K1028">
        <v>589.75</v>
      </c>
      <c r="L1028" t="s">
        <v>683</v>
      </c>
      <c r="M1028">
        <v>13</v>
      </c>
    </row>
    <row r="1029" spans="1:13" x14ac:dyDescent="0.35">
      <c r="A1029" t="s">
        <v>1856</v>
      </c>
      <c r="B1029" t="s">
        <v>463</v>
      </c>
      <c r="C1029" t="s">
        <v>557</v>
      </c>
      <c r="D1029" t="s">
        <v>667</v>
      </c>
      <c r="E1029" s="1">
        <v>45016</v>
      </c>
      <c r="F1029" s="1">
        <v>45019</v>
      </c>
      <c r="G1029" s="1">
        <v>45046</v>
      </c>
      <c r="H1029" s="4">
        <f>IF(Claims_Cleaned[[#This Row],[processed_date]]="","",Claims_Cleaned[[#This Row],[processed_date]]-Claims_Cleaned[[#This Row],[submission_date]])</f>
        <v>27</v>
      </c>
      <c r="I1029" s="4" t="str">
        <f>TEXT(Claims_Cleaned[[#This Row],[claim_date]],"mmm-yyyy")</f>
        <v>Mar-2023</v>
      </c>
      <c r="J1029" t="s">
        <v>8</v>
      </c>
      <c r="K1029">
        <v>589.62</v>
      </c>
      <c r="L1029" t="s">
        <v>683</v>
      </c>
      <c r="M1029">
        <v>27</v>
      </c>
    </row>
    <row r="1030" spans="1:13" x14ac:dyDescent="0.35">
      <c r="A1030" t="s">
        <v>2528</v>
      </c>
      <c r="B1030" t="s">
        <v>180</v>
      </c>
      <c r="C1030" t="s">
        <v>546</v>
      </c>
      <c r="D1030" t="s">
        <v>669</v>
      </c>
      <c r="E1030" s="1">
        <v>45352</v>
      </c>
      <c r="F1030" s="1">
        <v>45354</v>
      </c>
      <c r="G1030" s="1">
        <v>45374</v>
      </c>
      <c r="H1030" s="4">
        <f>IF(Claims_Cleaned[[#This Row],[processed_date]]="","",Claims_Cleaned[[#This Row],[processed_date]]-Claims_Cleaned[[#This Row],[submission_date]])</f>
        <v>20</v>
      </c>
      <c r="I1030" s="4" t="str">
        <f>TEXT(Claims_Cleaned[[#This Row],[claim_date]],"mmm-yyyy")</f>
        <v>Mar-2024</v>
      </c>
      <c r="J1030" t="s">
        <v>11</v>
      </c>
      <c r="K1030">
        <v>587.95000000000005</v>
      </c>
      <c r="L1030" t="s">
        <v>687</v>
      </c>
      <c r="M1030">
        <v>20</v>
      </c>
    </row>
    <row r="1031" spans="1:13" x14ac:dyDescent="0.35">
      <c r="A1031" t="s">
        <v>2123</v>
      </c>
      <c r="B1031" t="s">
        <v>289</v>
      </c>
      <c r="C1031" t="s">
        <v>555</v>
      </c>
      <c r="D1031" t="s">
        <v>669</v>
      </c>
      <c r="E1031" s="1">
        <v>45111</v>
      </c>
      <c r="F1031" s="1">
        <v>45112</v>
      </c>
      <c r="G1031" s="1">
        <v>45121</v>
      </c>
      <c r="H1031" s="4">
        <f>IF(Claims_Cleaned[[#This Row],[processed_date]]="","",Claims_Cleaned[[#This Row],[processed_date]]-Claims_Cleaned[[#This Row],[submission_date]])</f>
        <v>9</v>
      </c>
      <c r="I1031" s="4" t="str">
        <f>TEXT(Claims_Cleaned[[#This Row],[claim_date]],"mmm-yyyy")</f>
        <v>Jul-2023</v>
      </c>
      <c r="J1031" t="s">
        <v>13</v>
      </c>
      <c r="K1031">
        <v>587.83000000000004</v>
      </c>
      <c r="L1031" t="s">
        <v>687</v>
      </c>
      <c r="M1031">
        <v>9</v>
      </c>
    </row>
    <row r="1032" spans="1:13" x14ac:dyDescent="0.35">
      <c r="A1032" t="s">
        <v>835</v>
      </c>
      <c r="B1032" t="s">
        <v>95</v>
      </c>
      <c r="C1032" t="s">
        <v>557</v>
      </c>
      <c r="D1032" t="s">
        <v>667</v>
      </c>
      <c r="E1032" s="1">
        <v>45565</v>
      </c>
      <c r="F1032" s="1">
        <v>45569</v>
      </c>
      <c r="G1032" s="1">
        <v>45583</v>
      </c>
      <c r="H1032" s="4">
        <f>IF(Claims_Cleaned[[#This Row],[processed_date]]="","",Claims_Cleaned[[#This Row],[processed_date]]-Claims_Cleaned[[#This Row],[submission_date]])</f>
        <v>14</v>
      </c>
      <c r="I1032" s="4" t="str">
        <f>TEXT(Claims_Cleaned[[#This Row],[claim_date]],"mmm-yyyy")</f>
        <v>Sep-2024</v>
      </c>
      <c r="J1032" t="s">
        <v>20</v>
      </c>
      <c r="K1032">
        <v>587.42999999999995</v>
      </c>
      <c r="L1032" t="s">
        <v>683</v>
      </c>
      <c r="M1032">
        <v>14</v>
      </c>
    </row>
    <row r="1033" spans="1:13" x14ac:dyDescent="0.35">
      <c r="A1033" t="s">
        <v>2169</v>
      </c>
      <c r="B1033" t="s">
        <v>27</v>
      </c>
      <c r="C1033" t="s">
        <v>534</v>
      </c>
      <c r="D1033" t="s">
        <v>667</v>
      </c>
      <c r="E1033" s="1">
        <v>45435</v>
      </c>
      <c r="F1033" s="1">
        <v>45437</v>
      </c>
      <c r="G1033" s="1">
        <v>45448</v>
      </c>
      <c r="H1033" s="4">
        <f>IF(Claims_Cleaned[[#This Row],[processed_date]]="","",Claims_Cleaned[[#This Row],[processed_date]]-Claims_Cleaned[[#This Row],[submission_date]])</f>
        <v>11</v>
      </c>
      <c r="I1033" s="4" t="str">
        <f>TEXT(Claims_Cleaned[[#This Row],[claim_date]],"mmm-yyyy")</f>
        <v>May-2024</v>
      </c>
      <c r="J1033" t="s">
        <v>20</v>
      </c>
      <c r="K1033">
        <v>585.70000000000005</v>
      </c>
      <c r="L1033" t="s">
        <v>683</v>
      </c>
      <c r="M1033">
        <v>11</v>
      </c>
    </row>
    <row r="1034" spans="1:13" x14ac:dyDescent="0.35">
      <c r="A1034" t="s">
        <v>2322</v>
      </c>
      <c r="B1034" t="s">
        <v>272</v>
      </c>
      <c r="C1034" t="s">
        <v>589</v>
      </c>
      <c r="D1034" t="s">
        <v>667</v>
      </c>
      <c r="E1034" s="1">
        <v>45421</v>
      </c>
      <c r="F1034" s="1">
        <v>45426</v>
      </c>
      <c r="G1034" s="1">
        <v>45437</v>
      </c>
      <c r="H1034" s="4">
        <f>IF(Claims_Cleaned[[#This Row],[processed_date]]="","",Claims_Cleaned[[#This Row],[processed_date]]-Claims_Cleaned[[#This Row],[submission_date]])</f>
        <v>11</v>
      </c>
      <c r="I1034" s="4" t="str">
        <f>TEXT(Claims_Cleaned[[#This Row],[claim_date]],"mmm-yyyy")</f>
        <v>May-2024</v>
      </c>
      <c r="J1034" t="s">
        <v>11</v>
      </c>
      <c r="K1034">
        <v>585.53</v>
      </c>
      <c r="L1034" t="s">
        <v>683</v>
      </c>
      <c r="M1034">
        <v>11</v>
      </c>
    </row>
    <row r="1035" spans="1:13" x14ac:dyDescent="0.35">
      <c r="A1035" t="s">
        <v>2552</v>
      </c>
      <c r="B1035" t="s">
        <v>260</v>
      </c>
      <c r="C1035" t="s">
        <v>553</v>
      </c>
      <c r="D1035" t="s">
        <v>667</v>
      </c>
      <c r="E1035" s="1">
        <v>45411</v>
      </c>
      <c r="F1035" s="1">
        <v>45414</v>
      </c>
      <c r="G1035" s="1">
        <v>45439</v>
      </c>
      <c r="H1035" s="4">
        <f>IF(Claims_Cleaned[[#This Row],[processed_date]]="","",Claims_Cleaned[[#This Row],[processed_date]]-Claims_Cleaned[[#This Row],[submission_date]])</f>
        <v>25</v>
      </c>
      <c r="I1035" s="4" t="str">
        <f>TEXT(Claims_Cleaned[[#This Row],[claim_date]],"mmm-yyyy")</f>
        <v>Apr-2024</v>
      </c>
      <c r="J1035" t="s">
        <v>25</v>
      </c>
      <c r="K1035">
        <v>585.45000000000005</v>
      </c>
      <c r="L1035" t="s">
        <v>683</v>
      </c>
      <c r="M1035">
        <v>25</v>
      </c>
    </row>
    <row r="1036" spans="1:13" x14ac:dyDescent="0.35">
      <c r="A1036" t="s">
        <v>1215</v>
      </c>
      <c r="B1036" t="s">
        <v>54</v>
      </c>
      <c r="C1036" t="s">
        <v>537</v>
      </c>
      <c r="D1036" t="s">
        <v>667</v>
      </c>
      <c r="E1036" s="1">
        <v>45547</v>
      </c>
      <c r="F1036" s="1">
        <v>45552</v>
      </c>
      <c r="G1036" s="1">
        <v>45569</v>
      </c>
      <c r="H1036" s="4">
        <f>IF(Claims_Cleaned[[#This Row],[processed_date]]="","",Claims_Cleaned[[#This Row],[processed_date]]-Claims_Cleaned[[#This Row],[submission_date]])</f>
        <v>17</v>
      </c>
      <c r="I1036" s="4" t="str">
        <f>TEXT(Claims_Cleaned[[#This Row],[claim_date]],"mmm-yyyy")</f>
        <v>Sep-2024</v>
      </c>
      <c r="J1036" t="s">
        <v>11</v>
      </c>
      <c r="K1036">
        <v>584.20000000000005</v>
      </c>
      <c r="L1036" t="s">
        <v>683</v>
      </c>
      <c r="M1036">
        <v>17</v>
      </c>
    </row>
    <row r="1037" spans="1:13" x14ac:dyDescent="0.35">
      <c r="A1037" t="s">
        <v>1467</v>
      </c>
      <c r="B1037" t="s">
        <v>324</v>
      </c>
      <c r="C1037" t="s">
        <v>559</v>
      </c>
      <c r="D1037" t="s">
        <v>669</v>
      </c>
      <c r="E1037" s="1">
        <v>45090</v>
      </c>
      <c r="F1037" s="1">
        <v>45093</v>
      </c>
      <c r="G1037" s="1">
        <v>45105</v>
      </c>
      <c r="H1037" s="4">
        <f>IF(Claims_Cleaned[[#This Row],[processed_date]]="","",Claims_Cleaned[[#This Row],[processed_date]]-Claims_Cleaned[[#This Row],[submission_date]])</f>
        <v>12</v>
      </c>
      <c r="I1037" s="4" t="str">
        <f>TEXT(Claims_Cleaned[[#This Row],[claim_date]],"mmm-yyyy")</f>
        <v>Jun-2023</v>
      </c>
      <c r="J1037" t="s">
        <v>8</v>
      </c>
      <c r="K1037">
        <v>584</v>
      </c>
      <c r="L1037" t="s">
        <v>687</v>
      </c>
      <c r="M1037">
        <v>12</v>
      </c>
    </row>
    <row r="1038" spans="1:13" x14ac:dyDescent="0.35">
      <c r="A1038" t="s">
        <v>2462</v>
      </c>
      <c r="B1038" t="s">
        <v>246</v>
      </c>
      <c r="C1038" t="s">
        <v>559</v>
      </c>
      <c r="D1038" t="s">
        <v>669</v>
      </c>
      <c r="E1038" s="1">
        <v>45261</v>
      </c>
      <c r="F1038" s="1">
        <v>45262</v>
      </c>
      <c r="G1038" s="1">
        <v>45266</v>
      </c>
      <c r="H1038" s="4">
        <f>IF(Claims_Cleaned[[#This Row],[processed_date]]="","",Claims_Cleaned[[#This Row],[processed_date]]-Claims_Cleaned[[#This Row],[submission_date]])</f>
        <v>4</v>
      </c>
      <c r="I1038" s="4" t="str">
        <f>TEXT(Claims_Cleaned[[#This Row],[claim_date]],"mmm-yyyy")</f>
        <v>Dec-2023</v>
      </c>
      <c r="J1038" t="s">
        <v>11</v>
      </c>
      <c r="K1038">
        <v>582.78</v>
      </c>
      <c r="L1038" t="s">
        <v>683</v>
      </c>
      <c r="M1038">
        <v>4</v>
      </c>
    </row>
    <row r="1039" spans="1:13" x14ac:dyDescent="0.35">
      <c r="A1039" t="s">
        <v>1702</v>
      </c>
      <c r="B1039" t="s">
        <v>461</v>
      </c>
      <c r="C1039" t="s">
        <v>601</v>
      </c>
      <c r="D1039" t="s">
        <v>667</v>
      </c>
      <c r="E1039" s="1">
        <v>45161</v>
      </c>
      <c r="F1039" s="1">
        <v>45164</v>
      </c>
      <c r="G1039" s="1">
        <v>45191</v>
      </c>
      <c r="H1039" s="4">
        <f>IF(Claims_Cleaned[[#This Row],[processed_date]]="","",Claims_Cleaned[[#This Row],[processed_date]]-Claims_Cleaned[[#This Row],[submission_date]])</f>
        <v>27</v>
      </c>
      <c r="I1039" s="4" t="str">
        <f>TEXT(Claims_Cleaned[[#This Row],[claim_date]],"mmm-yyyy")</f>
        <v>Aug-2023</v>
      </c>
      <c r="J1039" t="s">
        <v>13</v>
      </c>
      <c r="K1039">
        <v>581.98</v>
      </c>
      <c r="L1039" t="s">
        <v>683</v>
      </c>
      <c r="M1039">
        <v>27</v>
      </c>
    </row>
    <row r="1040" spans="1:13" x14ac:dyDescent="0.35">
      <c r="A1040" t="s">
        <v>1482</v>
      </c>
      <c r="B1040" t="s">
        <v>200</v>
      </c>
      <c r="C1040" t="s">
        <v>524</v>
      </c>
      <c r="D1040" t="s">
        <v>667</v>
      </c>
      <c r="E1040" s="1">
        <v>45110</v>
      </c>
      <c r="F1040" s="1">
        <v>45112</v>
      </c>
      <c r="G1040" s="1">
        <v>45131</v>
      </c>
      <c r="H1040" s="4">
        <f>IF(Claims_Cleaned[[#This Row],[processed_date]]="","",Claims_Cleaned[[#This Row],[processed_date]]-Claims_Cleaned[[#This Row],[submission_date]])</f>
        <v>19</v>
      </c>
      <c r="I1040" s="4" t="str">
        <f>TEXT(Claims_Cleaned[[#This Row],[claim_date]],"mmm-yyyy")</f>
        <v>Jul-2023</v>
      </c>
      <c r="J1040" t="s">
        <v>20</v>
      </c>
      <c r="K1040">
        <v>581.27</v>
      </c>
      <c r="L1040" t="s">
        <v>683</v>
      </c>
      <c r="M1040">
        <v>19</v>
      </c>
    </row>
    <row r="1041" spans="1:13" x14ac:dyDescent="0.35">
      <c r="A1041" t="s">
        <v>1061</v>
      </c>
      <c r="B1041" t="s">
        <v>195</v>
      </c>
      <c r="C1041" t="s">
        <v>521</v>
      </c>
      <c r="D1041" t="s">
        <v>669</v>
      </c>
      <c r="E1041" s="1">
        <v>45117</v>
      </c>
      <c r="F1041" s="1">
        <v>45121</v>
      </c>
      <c r="G1041" s="1">
        <v>45141</v>
      </c>
      <c r="H1041" s="4">
        <f>IF(Claims_Cleaned[[#This Row],[processed_date]]="","",Claims_Cleaned[[#This Row],[processed_date]]-Claims_Cleaned[[#This Row],[submission_date]])</f>
        <v>20</v>
      </c>
      <c r="I1041" s="4" t="str">
        <f>TEXT(Claims_Cleaned[[#This Row],[claim_date]],"mmm-yyyy")</f>
        <v>Jul-2023</v>
      </c>
      <c r="J1041" t="s">
        <v>20</v>
      </c>
      <c r="K1041">
        <v>580.32000000000005</v>
      </c>
      <c r="L1041" t="s">
        <v>683</v>
      </c>
      <c r="M1041">
        <v>20</v>
      </c>
    </row>
    <row r="1042" spans="1:13" x14ac:dyDescent="0.35">
      <c r="A1042" t="s">
        <v>1098</v>
      </c>
      <c r="B1042" t="s">
        <v>292</v>
      </c>
      <c r="C1042" t="s">
        <v>561</v>
      </c>
      <c r="D1042" t="s">
        <v>667</v>
      </c>
      <c r="E1042" s="1">
        <v>45653</v>
      </c>
      <c r="F1042" s="1">
        <v>45658</v>
      </c>
      <c r="G1042" s="1">
        <v>45665</v>
      </c>
      <c r="H1042" s="4">
        <f>IF(Claims_Cleaned[[#This Row],[processed_date]]="","",Claims_Cleaned[[#This Row],[processed_date]]-Claims_Cleaned[[#This Row],[submission_date]])</f>
        <v>7</v>
      </c>
      <c r="I1042" s="4" t="str">
        <f>TEXT(Claims_Cleaned[[#This Row],[claim_date]],"mmm-yyyy")</f>
        <v>Dec-2024</v>
      </c>
      <c r="J1042" t="s">
        <v>13</v>
      </c>
      <c r="K1042">
        <v>579.78</v>
      </c>
      <c r="L1042" t="s">
        <v>687</v>
      </c>
      <c r="M1042">
        <v>7</v>
      </c>
    </row>
    <row r="1043" spans="1:13" x14ac:dyDescent="0.35">
      <c r="A1043" t="s">
        <v>710</v>
      </c>
      <c r="B1043" t="s">
        <v>266</v>
      </c>
      <c r="C1043" t="s">
        <v>595</v>
      </c>
      <c r="D1043" t="s">
        <v>667</v>
      </c>
      <c r="E1043" s="1">
        <v>44946</v>
      </c>
      <c r="F1043" s="1">
        <v>44949</v>
      </c>
      <c r="G1043" s="1">
        <v>44966</v>
      </c>
      <c r="H1043" s="4">
        <f>IF(Claims_Cleaned[[#This Row],[processed_date]]="","",Claims_Cleaned[[#This Row],[processed_date]]-Claims_Cleaned[[#This Row],[submission_date]])</f>
        <v>17</v>
      </c>
      <c r="I1043" s="4" t="str">
        <f>TEXT(Claims_Cleaned[[#This Row],[claim_date]],"mmm-yyyy")</f>
        <v>Jan-2023</v>
      </c>
      <c r="J1043" t="s">
        <v>20</v>
      </c>
      <c r="K1043">
        <v>578.54999999999995</v>
      </c>
      <c r="L1043" t="s">
        <v>683</v>
      </c>
      <c r="M1043">
        <v>17</v>
      </c>
    </row>
    <row r="1044" spans="1:13" x14ac:dyDescent="0.35">
      <c r="A1044" t="s">
        <v>2445</v>
      </c>
      <c r="B1044" t="s">
        <v>223</v>
      </c>
      <c r="C1044" t="s">
        <v>559</v>
      </c>
      <c r="D1044" t="s">
        <v>667</v>
      </c>
      <c r="E1044" s="1">
        <v>45295</v>
      </c>
      <c r="F1044" s="1">
        <v>45296</v>
      </c>
      <c r="G1044" s="1">
        <v>45317</v>
      </c>
      <c r="H1044" s="4">
        <f>IF(Claims_Cleaned[[#This Row],[processed_date]]="","",Claims_Cleaned[[#This Row],[processed_date]]-Claims_Cleaned[[#This Row],[submission_date]])</f>
        <v>21</v>
      </c>
      <c r="I1044" s="4" t="str">
        <f>TEXT(Claims_Cleaned[[#This Row],[claim_date]],"mmm-yyyy")</f>
        <v>Jan-2024</v>
      </c>
      <c r="J1044" t="s">
        <v>8</v>
      </c>
      <c r="K1044">
        <v>577.70000000000005</v>
      </c>
      <c r="L1044" t="s">
        <v>683</v>
      </c>
      <c r="M1044">
        <v>21</v>
      </c>
    </row>
    <row r="1045" spans="1:13" x14ac:dyDescent="0.35">
      <c r="A1045" t="s">
        <v>1263</v>
      </c>
      <c r="B1045" t="s">
        <v>262</v>
      </c>
      <c r="C1045" t="s">
        <v>521</v>
      </c>
      <c r="D1045" t="s">
        <v>667</v>
      </c>
      <c r="E1045" s="1">
        <v>45166</v>
      </c>
      <c r="F1045" s="1">
        <v>45171</v>
      </c>
      <c r="G1045" s="1">
        <v>45196</v>
      </c>
      <c r="H1045" s="4">
        <f>IF(Claims_Cleaned[[#This Row],[processed_date]]="","",Claims_Cleaned[[#This Row],[processed_date]]-Claims_Cleaned[[#This Row],[submission_date]])</f>
        <v>25</v>
      </c>
      <c r="I1045" s="4" t="str">
        <f>TEXT(Claims_Cleaned[[#This Row],[claim_date]],"mmm-yyyy")</f>
        <v>Aug-2023</v>
      </c>
      <c r="J1045" t="s">
        <v>20</v>
      </c>
      <c r="K1045">
        <v>577.55999999999995</v>
      </c>
      <c r="L1045" t="s">
        <v>683</v>
      </c>
      <c r="M1045">
        <v>25</v>
      </c>
    </row>
    <row r="1046" spans="1:13" x14ac:dyDescent="0.35">
      <c r="A1046" t="s">
        <v>2337</v>
      </c>
      <c r="B1046" t="s">
        <v>487</v>
      </c>
      <c r="C1046" t="s">
        <v>577</v>
      </c>
      <c r="D1046" t="s">
        <v>667</v>
      </c>
      <c r="E1046" s="1">
        <v>44999</v>
      </c>
      <c r="F1046" s="1">
        <v>45003</v>
      </c>
      <c r="G1046" s="1">
        <v>45027</v>
      </c>
      <c r="H1046" s="4">
        <f>IF(Claims_Cleaned[[#This Row],[processed_date]]="","",Claims_Cleaned[[#This Row],[processed_date]]-Claims_Cleaned[[#This Row],[submission_date]])</f>
        <v>24</v>
      </c>
      <c r="I1046" s="4" t="str">
        <f>TEXT(Claims_Cleaned[[#This Row],[claim_date]],"mmm-yyyy")</f>
        <v>Mar-2023</v>
      </c>
      <c r="J1046" t="s">
        <v>20</v>
      </c>
      <c r="K1046">
        <v>575.46</v>
      </c>
      <c r="L1046" t="s">
        <v>683</v>
      </c>
      <c r="M1046">
        <v>24</v>
      </c>
    </row>
    <row r="1047" spans="1:13" x14ac:dyDescent="0.35">
      <c r="A1047" t="s">
        <v>1212</v>
      </c>
      <c r="B1047" t="s">
        <v>463</v>
      </c>
      <c r="C1047" t="s">
        <v>559</v>
      </c>
      <c r="D1047" t="s">
        <v>669</v>
      </c>
      <c r="E1047" s="1">
        <v>45375</v>
      </c>
      <c r="F1047" s="1">
        <v>45378</v>
      </c>
      <c r="G1047" s="1">
        <v>45401</v>
      </c>
      <c r="H1047" s="4">
        <f>IF(Claims_Cleaned[[#This Row],[processed_date]]="","",Claims_Cleaned[[#This Row],[processed_date]]-Claims_Cleaned[[#This Row],[submission_date]])</f>
        <v>23</v>
      </c>
      <c r="I1047" s="4" t="str">
        <f>TEXT(Claims_Cleaned[[#This Row],[claim_date]],"mmm-yyyy")</f>
        <v>Mar-2024</v>
      </c>
      <c r="J1047" t="s">
        <v>8</v>
      </c>
      <c r="K1047">
        <v>574.42999999999995</v>
      </c>
      <c r="L1047" t="s">
        <v>683</v>
      </c>
      <c r="M1047">
        <v>23</v>
      </c>
    </row>
    <row r="1048" spans="1:13" x14ac:dyDescent="0.35">
      <c r="A1048" t="s">
        <v>2076</v>
      </c>
      <c r="B1048" t="s">
        <v>164</v>
      </c>
      <c r="C1048" t="s">
        <v>534</v>
      </c>
      <c r="D1048" t="s">
        <v>667</v>
      </c>
      <c r="E1048" s="1">
        <v>45206</v>
      </c>
      <c r="F1048" s="1">
        <v>45209</v>
      </c>
      <c r="G1048" s="1">
        <v>45227</v>
      </c>
      <c r="H1048" s="4">
        <f>IF(Claims_Cleaned[[#This Row],[processed_date]]="","",Claims_Cleaned[[#This Row],[processed_date]]-Claims_Cleaned[[#This Row],[submission_date]])</f>
        <v>18</v>
      </c>
      <c r="I1048" s="4" t="str">
        <f>TEXT(Claims_Cleaned[[#This Row],[claim_date]],"mmm-yyyy")</f>
        <v>Oct-2023</v>
      </c>
      <c r="J1048" t="s">
        <v>11</v>
      </c>
      <c r="K1048">
        <v>573.54</v>
      </c>
      <c r="L1048" t="s">
        <v>683</v>
      </c>
      <c r="M1048">
        <v>18</v>
      </c>
    </row>
    <row r="1049" spans="1:13" x14ac:dyDescent="0.35">
      <c r="A1049" t="s">
        <v>1496</v>
      </c>
      <c r="B1049" t="s">
        <v>404</v>
      </c>
      <c r="C1049" t="s">
        <v>603</v>
      </c>
      <c r="D1049" t="s">
        <v>667</v>
      </c>
      <c r="E1049" s="1">
        <v>45513</v>
      </c>
      <c r="F1049" s="1">
        <v>45517</v>
      </c>
      <c r="G1049" s="1">
        <v>45539</v>
      </c>
      <c r="H1049" s="4">
        <f>IF(Claims_Cleaned[[#This Row],[processed_date]]="","",Claims_Cleaned[[#This Row],[processed_date]]-Claims_Cleaned[[#This Row],[submission_date]])</f>
        <v>22</v>
      </c>
      <c r="I1049" s="4" t="str">
        <f>TEXT(Claims_Cleaned[[#This Row],[claim_date]],"mmm-yyyy")</f>
        <v>Aug-2024</v>
      </c>
      <c r="J1049" t="s">
        <v>8</v>
      </c>
      <c r="K1049">
        <v>573.16999999999996</v>
      </c>
      <c r="L1049" t="s">
        <v>683</v>
      </c>
      <c r="M1049">
        <v>22</v>
      </c>
    </row>
    <row r="1050" spans="1:13" x14ac:dyDescent="0.35">
      <c r="A1050" t="s">
        <v>1975</v>
      </c>
      <c r="B1050" t="s">
        <v>427</v>
      </c>
      <c r="C1050" t="s">
        <v>579</v>
      </c>
      <c r="D1050" t="s">
        <v>669</v>
      </c>
      <c r="E1050" s="1">
        <v>45347</v>
      </c>
      <c r="F1050" s="1">
        <v>45351</v>
      </c>
      <c r="G1050" s="1"/>
      <c r="H1050" s="4" t="str">
        <f>IF(Claims_Cleaned[[#This Row],[processed_date]]="","",Claims_Cleaned[[#This Row],[processed_date]]-Claims_Cleaned[[#This Row],[submission_date]])</f>
        <v/>
      </c>
      <c r="I1050" s="4" t="str">
        <f>TEXT(Claims_Cleaned[[#This Row],[claim_date]],"mmm-yyyy")</f>
        <v>Feb-2024</v>
      </c>
      <c r="J1050" t="s">
        <v>20</v>
      </c>
      <c r="K1050">
        <v>572.21</v>
      </c>
      <c r="L1050" t="s">
        <v>689</v>
      </c>
    </row>
    <row r="1051" spans="1:13" x14ac:dyDescent="0.35">
      <c r="A1051" t="s">
        <v>1429</v>
      </c>
      <c r="B1051" t="s">
        <v>515</v>
      </c>
      <c r="C1051" t="s">
        <v>603</v>
      </c>
      <c r="D1051" t="s">
        <v>669</v>
      </c>
      <c r="E1051" s="1">
        <v>45231</v>
      </c>
      <c r="F1051" s="1">
        <v>45236</v>
      </c>
      <c r="G1051" s="1">
        <v>45247</v>
      </c>
      <c r="H1051" s="4">
        <f>IF(Claims_Cleaned[[#This Row],[processed_date]]="","",Claims_Cleaned[[#This Row],[processed_date]]-Claims_Cleaned[[#This Row],[submission_date]])</f>
        <v>11</v>
      </c>
      <c r="I1051" s="4" t="str">
        <f>TEXT(Claims_Cleaned[[#This Row],[claim_date]],"mmm-yyyy")</f>
        <v>Nov-2023</v>
      </c>
      <c r="J1051" t="s">
        <v>11</v>
      </c>
      <c r="K1051">
        <v>571.57000000000005</v>
      </c>
      <c r="L1051" t="s">
        <v>683</v>
      </c>
      <c r="M1051">
        <v>11</v>
      </c>
    </row>
    <row r="1052" spans="1:13" x14ac:dyDescent="0.35">
      <c r="A1052" t="s">
        <v>962</v>
      </c>
      <c r="B1052" t="s">
        <v>71</v>
      </c>
      <c r="C1052" t="s">
        <v>591</v>
      </c>
      <c r="D1052" t="s">
        <v>667</v>
      </c>
      <c r="E1052" s="1">
        <v>45313</v>
      </c>
      <c r="F1052" s="1">
        <v>45318</v>
      </c>
      <c r="G1052" s="1">
        <v>45337</v>
      </c>
      <c r="H1052" s="4">
        <f>IF(Claims_Cleaned[[#This Row],[processed_date]]="","",Claims_Cleaned[[#This Row],[processed_date]]-Claims_Cleaned[[#This Row],[submission_date]])</f>
        <v>19</v>
      </c>
      <c r="I1052" s="4" t="str">
        <f>TEXT(Claims_Cleaned[[#This Row],[claim_date]],"mmm-yyyy")</f>
        <v>Jan-2024</v>
      </c>
      <c r="J1052" t="s">
        <v>25</v>
      </c>
      <c r="K1052">
        <v>571.48</v>
      </c>
      <c r="L1052" t="s">
        <v>683</v>
      </c>
      <c r="M1052">
        <v>19</v>
      </c>
    </row>
    <row r="1053" spans="1:13" x14ac:dyDescent="0.35">
      <c r="A1053" t="s">
        <v>1084</v>
      </c>
      <c r="B1053" t="s">
        <v>80</v>
      </c>
      <c r="C1053" t="s">
        <v>527</v>
      </c>
      <c r="D1053" t="s">
        <v>667</v>
      </c>
      <c r="E1053" s="1">
        <v>45068</v>
      </c>
      <c r="F1053" s="1">
        <v>45072</v>
      </c>
      <c r="G1053" s="1">
        <v>45090</v>
      </c>
      <c r="H1053" s="4">
        <f>IF(Claims_Cleaned[[#This Row],[processed_date]]="","",Claims_Cleaned[[#This Row],[processed_date]]-Claims_Cleaned[[#This Row],[submission_date]])</f>
        <v>18</v>
      </c>
      <c r="I1053" s="4" t="str">
        <f>TEXT(Claims_Cleaned[[#This Row],[claim_date]],"mmm-yyyy")</f>
        <v>May-2023</v>
      </c>
      <c r="J1053" t="s">
        <v>8</v>
      </c>
      <c r="K1053">
        <v>571.46</v>
      </c>
      <c r="L1053" t="s">
        <v>683</v>
      </c>
      <c r="M1053">
        <v>18</v>
      </c>
    </row>
    <row r="1054" spans="1:13" x14ac:dyDescent="0.35">
      <c r="A1054" t="s">
        <v>1928</v>
      </c>
      <c r="B1054" t="s">
        <v>64</v>
      </c>
      <c r="C1054" t="s">
        <v>571</v>
      </c>
      <c r="D1054" t="s">
        <v>667</v>
      </c>
      <c r="E1054" s="1">
        <v>45508</v>
      </c>
      <c r="F1054" s="1">
        <v>45513</v>
      </c>
      <c r="G1054" s="1">
        <v>45536</v>
      </c>
      <c r="H1054" s="4">
        <f>IF(Claims_Cleaned[[#This Row],[processed_date]]="","",Claims_Cleaned[[#This Row],[processed_date]]-Claims_Cleaned[[#This Row],[submission_date]])</f>
        <v>23</v>
      </c>
      <c r="I1054" s="4" t="str">
        <f>TEXT(Claims_Cleaned[[#This Row],[claim_date]],"mmm-yyyy")</f>
        <v>Aug-2024</v>
      </c>
      <c r="J1054" t="s">
        <v>8</v>
      </c>
      <c r="K1054">
        <v>568.53</v>
      </c>
      <c r="L1054" t="s">
        <v>683</v>
      </c>
      <c r="M1054">
        <v>23</v>
      </c>
    </row>
    <row r="1055" spans="1:13" x14ac:dyDescent="0.35">
      <c r="A1055" t="s">
        <v>1677</v>
      </c>
      <c r="B1055" t="s">
        <v>225</v>
      </c>
      <c r="C1055" t="s">
        <v>555</v>
      </c>
      <c r="D1055" t="s">
        <v>669</v>
      </c>
      <c r="E1055" s="1">
        <v>45503</v>
      </c>
      <c r="F1055" s="1">
        <v>45505</v>
      </c>
      <c r="G1055" s="1"/>
      <c r="H1055" s="4" t="str">
        <f>IF(Claims_Cleaned[[#This Row],[processed_date]]="","",Claims_Cleaned[[#This Row],[processed_date]]-Claims_Cleaned[[#This Row],[submission_date]])</f>
        <v/>
      </c>
      <c r="I1055" s="4" t="str">
        <f>TEXT(Claims_Cleaned[[#This Row],[claim_date]],"mmm-yyyy")</f>
        <v>Jul-2024</v>
      </c>
      <c r="J1055" t="s">
        <v>8</v>
      </c>
      <c r="K1055">
        <v>566.67999999999995</v>
      </c>
      <c r="L1055" t="s">
        <v>689</v>
      </c>
    </row>
    <row r="1056" spans="1:13" x14ac:dyDescent="0.35">
      <c r="A1056" t="s">
        <v>2199</v>
      </c>
      <c r="B1056" t="s">
        <v>262</v>
      </c>
      <c r="C1056" t="s">
        <v>540</v>
      </c>
      <c r="D1056" t="s">
        <v>667</v>
      </c>
      <c r="E1056" s="1">
        <v>44969</v>
      </c>
      <c r="F1056" s="1">
        <v>44973</v>
      </c>
      <c r="G1056" s="1">
        <v>44976</v>
      </c>
      <c r="H1056" s="4">
        <f>IF(Claims_Cleaned[[#This Row],[processed_date]]="","",Claims_Cleaned[[#This Row],[processed_date]]-Claims_Cleaned[[#This Row],[submission_date]])</f>
        <v>3</v>
      </c>
      <c r="I1056" s="4" t="str">
        <f>TEXT(Claims_Cleaned[[#This Row],[claim_date]],"mmm-yyyy")</f>
        <v>Feb-2023</v>
      </c>
      <c r="J1056" t="s">
        <v>20</v>
      </c>
      <c r="K1056">
        <v>563.52</v>
      </c>
      <c r="L1056" t="s">
        <v>683</v>
      </c>
      <c r="M1056">
        <v>3</v>
      </c>
    </row>
    <row r="1057" spans="1:13" x14ac:dyDescent="0.35">
      <c r="A1057" t="s">
        <v>698</v>
      </c>
      <c r="B1057" t="s">
        <v>409</v>
      </c>
      <c r="C1057" t="s">
        <v>589</v>
      </c>
      <c r="D1057" t="s">
        <v>669</v>
      </c>
      <c r="E1057" s="1">
        <v>45307</v>
      </c>
      <c r="F1057" s="1">
        <v>45309</v>
      </c>
      <c r="G1057" s="1">
        <v>45314</v>
      </c>
      <c r="H1057" s="4">
        <f>IF(Claims_Cleaned[[#This Row],[processed_date]]="","",Claims_Cleaned[[#This Row],[processed_date]]-Claims_Cleaned[[#This Row],[submission_date]])</f>
        <v>5</v>
      </c>
      <c r="I1057" s="4" t="str">
        <f>TEXT(Claims_Cleaned[[#This Row],[claim_date]],"mmm-yyyy")</f>
        <v>Jan-2024</v>
      </c>
      <c r="J1057" t="s">
        <v>8</v>
      </c>
      <c r="K1057">
        <v>563.1</v>
      </c>
      <c r="L1057" t="s">
        <v>687</v>
      </c>
      <c r="M1057">
        <v>5</v>
      </c>
    </row>
    <row r="1058" spans="1:13" x14ac:dyDescent="0.35">
      <c r="A1058" t="s">
        <v>1554</v>
      </c>
      <c r="B1058" t="s">
        <v>105</v>
      </c>
      <c r="C1058" t="s">
        <v>569</v>
      </c>
      <c r="D1058" t="s">
        <v>669</v>
      </c>
      <c r="E1058" s="1">
        <v>45505</v>
      </c>
      <c r="F1058" s="1">
        <v>45509</v>
      </c>
      <c r="G1058" s="1">
        <v>45536</v>
      </c>
      <c r="H1058" s="4">
        <f>IF(Claims_Cleaned[[#This Row],[processed_date]]="","",Claims_Cleaned[[#This Row],[processed_date]]-Claims_Cleaned[[#This Row],[submission_date]])</f>
        <v>27</v>
      </c>
      <c r="I1058" s="4" t="str">
        <f>TEXT(Claims_Cleaned[[#This Row],[claim_date]],"mmm-yyyy")</f>
        <v>Aug-2024</v>
      </c>
      <c r="J1058" t="s">
        <v>20</v>
      </c>
      <c r="K1058">
        <v>562.16</v>
      </c>
      <c r="L1058" t="s">
        <v>683</v>
      </c>
      <c r="M1058">
        <v>27</v>
      </c>
    </row>
    <row r="1059" spans="1:13" x14ac:dyDescent="0.35">
      <c r="A1059" t="s">
        <v>1527</v>
      </c>
      <c r="B1059" t="s">
        <v>211</v>
      </c>
      <c r="C1059" t="s">
        <v>553</v>
      </c>
      <c r="D1059" t="s">
        <v>667</v>
      </c>
      <c r="E1059" s="1">
        <v>45406</v>
      </c>
      <c r="F1059" s="1">
        <v>45411</v>
      </c>
      <c r="G1059" s="1">
        <v>45416</v>
      </c>
      <c r="H1059" s="4">
        <f>IF(Claims_Cleaned[[#This Row],[processed_date]]="","",Claims_Cleaned[[#This Row],[processed_date]]-Claims_Cleaned[[#This Row],[submission_date]])</f>
        <v>5</v>
      </c>
      <c r="I1059" s="4" t="str">
        <f>TEXT(Claims_Cleaned[[#This Row],[claim_date]],"mmm-yyyy")</f>
        <v>Apr-2024</v>
      </c>
      <c r="J1059" t="s">
        <v>11</v>
      </c>
      <c r="K1059">
        <v>559.74</v>
      </c>
      <c r="L1059" t="s">
        <v>683</v>
      </c>
      <c r="M1059">
        <v>5</v>
      </c>
    </row>
    <row r="1060" spans="1:13" x14ac:dyDescent="0.35">
      <c r="A1060" t="s">
        <v>1663</v>
      </c>
      <c r="B1060" t="s">
        <v>455</v>
      </c>
      <c r="C1060" t="s">
        <v>557</v>
      </c>
      <c r="D1060" t="s">
        <v>667</v>
      </c>
      <c r="E1060" s="1">
        <v>45167</v>
      </c>
      <c r="F1060" s="1">
        <v>45168</v>
      </c>
      <c r="G1060" s="1">
        <v>45196</v>
      </c>
      <c r="H1060" s="4">
        <f>IF(Claims_Cleaned[[#This Row],[processed_date]]="","",Claims_Cleaned[[#This Row],[processed_date]]-Claims_Cleaned[[#This Row],[submission_date]])</f>
        <v>28</v>
      </c>
      <c r="I1060" s="4" t="str">
        <f>TEXT(Claims_Cleaned[[#This Row],[claim_date]],"mmm-yyyy")</f>
        <v>Aug-2023</v>
      </c>
      <c r="J1060" t="s">
        <v>13</v>
      </c>
      <c r="K1060">
        <v>559.49</v>
      </c>
      <c r="L1060" t="s">
        <v>683</v>
      </c>
      <c r="M1060">
        <v>28</v>
      </c>
    </row>
    <row r="1061" spans="1:13" x14ac:dyDescent="0.35">
      <c r="A1061" t="s">
        <v>2363</v>
      </c>
      <c r="B1061" t="s">
        <v>91</v>
      </c>
      <c r="C1061" t="s">
        <v>583</v>
      </c>
      <c r="D1061" t="s">
        <v>633</v>
      </c>
      <c r="E1061" s="1">
        <v>45227</v>
      </c>
      <c r="F1061" s="1">
        <v>45228</v>
      </c>
      <c r="G1061" s="1">
        <v>45254</v>
      </c>
      <c r="H1061" s="4">
        <f>IF(Claims_Cleaned[[#This Row],[processed_date]]="","",Claims_Cleaned[[#This Row],[processed_date]]-Claims_Cleaned[[#This Row],[submission_date]])</f>
        <v>26</v>
      </c>
      <c r="I1061" s="4" t="str">
        <f>TEXT(Claims_Cleaned[[#This Row],[claim_date]],"mmm-yyyy")</f>
        <v>Oct-2023</v>
      </c>
      <c r="J1061" t="s">
        <v>13</v>
      </c>
      <c r="K1061">
        <v>559.41999999999996</v>
      </c>
      <c r="L1061" t="s">
        <v>687</v>
      </c>
      <c r="M1061">
        <v>26</v>
      </c>
    </row>
    <row r="1062" spans="1:13" x14ac:dyDescent="0.35">
      <c r="A1062" t="s">
        <v>2558</v>
      </c>
      <c r="B1062" t="s">
        <v>19</v>
      </c>
      <c r="C1062" t="s">
        <v>603</v>
      </c>
      <c r="D1062" t="s">
        <v>633</v>
      </c>
      <c r="E1062" s="1">
        <v>45215</v>
      </c>
      <c r="F1062" s="1">
        <v>45219</v>
      </c>
      <c r="G1062" s="1">
        <v>45248</v>
      </c>
      <c r="H1062" s="4">
        <f>IF(Claims_Cleaned[[#This Row],[processed_date]]="","",Claims_Cleaned[[#This Row],[processed_date]]-Claims_Cleaned[[#This Row],[submission_date]])</f>
        <v>29</v>
      </c>
      <c r="I1062" s="4" t="str">
        <f>TEXT(Claims_Cleaned[[#This Row],[claim_date]],"mmm-yyyy")</f>
        <v>Oct-2023</v>
      </c>
      <c r="J1062" t="s">
        <v>20</v>
      </c>
      <c r="K1062">
        <v>559.34</v>
      </c>
      <c r="L1062" t="s">
        <v>683</v>
      </c>
      <c r="M1062">
        <v>29</v>
      </c>
    </row>
    <row r="1063" spans="1:13" x14ac:dyDescent="0.35">
      <c r="A1063" t="s">
        <v>2022</v>
      </c>
      <c r="B1063" t="s">
        <v>415</v>
      </c>
      <c r="C1063" t="s">
        <v>593</v>
      </c>
      <c r="D1063" t="s">
        <v>669</v>
      </c>
      <c r="E1063" s="1">
        <v>45008</v>
      </c>
      <c r="F1063" s="1">
        <v>45010</v>
      </c>
      <c r="G1063" s="1">
        <v>45037</v>
      </c>
      <c r="H1063" s="4">
        <f>IF(Claims_Cleaned[[#This Row],[processed_date]]="","",Claims_Cleaned[[#This Row],[processed_date]]-Claims_Cleaned[[#This Row],[submission_date]])</f>
        <v>27</v>
      </c>
      <c r="I1063" s="4" t="str">
        <f>TEXT(Claims_Cleaned[[#This Row],[claim_date]],"mmm-yyyy")</f>
        <v>Mar-2023</v>
      </c>
      <c r="J1063" t="s">
        <v>13</v>
      </c>
      <c r="K1063">
        <v>559.12</v>
      </c>
      <c r="L1063" t="s">
        <v>683</v>
      </c>
      <c r="M1063">
        <v>27</v>
      </c>
    </row>
    <row r="1064" spans="1:13" x14ac:dyDescent="0.35">
      <c r="A1064" t="s">
        <v>850</v>
      </c>
      <c r="B1064" t="s">
        <v>471</v>
      </c>
      <c r="C1064" t="s">
        <v>577</v>
      </c>
      <c r="D1064" t="s">
        <v>669</v>
      </c>
      <c r="E1064" s="1">
        <v>44947</v>
      </c>
      <c r="F1064" s="1">
        <v>44948</v>
      </c>
      <c r="G1064" s="1">
        <v>44959</v>
      </c>
      <c r="H1064" s="4">
        <f>IF(Claims_Cleaned[[#This Row],[processed_date]]="","",Claims_Cleaned[[#This Row],[processed_date]]-Claims_Cleaned[[#This Row],[submission_date]])</f>
        <v>11</v>
      </c>
      <c r="I1064" s="4" t="str">
        <f>TEXT(Claims_Cleaned[[#This Row],[claim_date]],"mmm-yyyy")</f>
        <v>Jan-2023</v>
      </c>
      <c r="J1064" t="s">
        <v>25</v>
      </c>
      <c r="K1064">
        <v>558.74</v>
      </c>
      <c r="L1064" t="s">
        <v>683</v>
      </c>
      <c r="M1064">
        <v>11</v>
      </c>
    </row>
    <row r="1065" spans="1:13" x14ac:dyDescent="0.35">
      <c r="A1065" t="s">
        <v>1564</v>
      </c>
      <c r="B1065" t="s">
        <v>230</v>
      </c>
      <c r="C1065" t="s">
        <v>546</v>
      </c>
      <c r="D1065" t="s">
        <v>633</v>
      </c>
      <c r="E1065" s="1">
        <v>45054</v>
      </c>
      <c r="F1065" s="1">
        <v>45059</v>
      </c>
      <c r="G1065" s="1">
        <v>45074</v>
      </c>
      <c r="H1065" s="4">
        <f>IF(Claims_Cleaned[[#This Row],[processed_date]]="","",Claims_Cleaned[[#This Row],[processed_date]]-Claims_Cleaned[[#This Row],[submission_date]])</f>
        <v>15</v>
      </c>
      <c r="I1065" s="4" t="str">
        <f>TEXT(Claims_Cleaned[[#This Row],[claim_date]],"mmm-yyyy")</f>
        <v>May-2023</v>
      </c>
      <c r="J1065" t="s">
        <v>20</v>
      </c>
      <c r="K1065">
        <v>558.73</v>
      </c>
      <c r="L1065" t="s">
        <v>687</v>
      </c>
      <c r="M1065">
        <v>15</v>
      </c>
    </row>
    <row r="1066" spans="1:13" x14ac:dyDescent="0.35">
      <c r="A1066" t="s">
        <v>1583</v>
      </c>
      <c r="B1066" t="s">
        <v>86</v>
      </c>
      <c r="C1066" t="s">
        <v>579</v>
      </c>
      <c r="D1066" t="s">
        <v>633</v>
      </c>
      <c r="E1066" s="1">
        <v>45611</v>
      </c>
      <c r="F1066" s="1">
        <v>45613</v>
      </c>
      <c r="G1066" s="1">
        <v>45638</v>
      </c>
      <c r="H1066" s="4">
        <f>IF(Claims_Cleaned[[#This Row],[processed_date]]="","",Claims_Cleaned[[#This Row],[processed_date]]-Claims_Cleaned[[#This Row],[submission_date]])</f>
        <v>25</v>
      </c>
      <c r="I1066" s="4" t="str">
        <f>TEXT(Claims_Cleaned[[#This Row],[claim_date]],"mmm-yyyy")</f>
        <v>Nov-2024</v>
      </c>
      <c r="J1066" t="s">
        <v>20</v>
      </c>
      <c r="K1066">
        <v>558.36</v>
      </c>
      <c r="L1066" t="s">
        <v>683</v>
      </c>
      <c r="M1066">
        <v>25</v>
      </c>
    </row>
    <row r="1067" spans="1:13" x14ac:dyDescent="0.35">
      <c r="A1067" t="s">
        <v>1336</v>
      </c>
      <c r="B1067" t="s">
        <v>245</v>
      </c>
      <c r="C1067" t="s">
        <v>540</v>
      </c>
      <c r="D1067" t="s">
        <v>633</v>
      </c>
      <c r="E1067" s="1">
        <v>45355</v>
      </c>
      <c r="F1067" s="1">
        <v>45357</v>
      </c>
      <c r="G1067" s="1">
        <v>45361</v>
      </c>
      <c r="H1067" s="4">
        <f>IF(Claims_Cleaned[[#This Row],[processed_date]]="","",Claims_Cleaned[[#This Row],[processed_date]]-Claims_Cleaned[[#This Row],[submission_date]])</f>
        <v>4</v>
      </c>
      <c r="I1067" s="4" t="str">
        <f>TEXT(Claims_Cleaned[[#This Row],[claim_date]],"mmm-yyyy")</f>
        <v>Mar-2024</v>
      </c>
      <c r="J1067" t="s">
        <v>8</v>
      </c>
      <c r="K1067">
        <v>558.27</v>
      </c>
      <c r="L1067" t="s">
        <v>683</v>
      </c>
      <c r="M1067">
        <v>4</v>
      </c>
    </row>
    <row r="1068" spans="1:13" x14ac:dyDescent="0.35">
      <c r="A1068" t="s">
        <v>1603</v>
      </c>
      <c r="B1068" t="s">
        <v>154</v>
      </c>
      <c r="C1068" t="s">
        <v>579</v>
      </c>
      <c r="D1068" t="s">
        <v>633</v>
      </c>
      <c r="E1068" s="1">
        <v>45110</v>
      </c>
      <c r="F1068" s="1">
        <v>45114</v>
      </c>
      <c r="G1068" s="1">
        <v>45138</v>
      </c>
      <c r="H1068" s="4">
        <f>IF(Claims_Cleaned[[#This Row],[processed_date]]="","",Claims_Cleaned[[#This Row],[processed_date]]-Claims_Cleaned[[#This Row],[submission_date]])</f>
        <v>24</v>
      </c>
      <c r="I1068" s="4" t="str">
        <f>TEXT(Claims_Cleaned[[#This Row],[claim_date]],"mmm-yyyy")</f>
        <v>Jul-2023</v>
      </c>
      <c r="J1068" t="s">
        <v>13</v>
      </c>
      <c r="K1068">
        <v>557.91999999999996</v>
      </c>
      <c r="L1068" t="s">
        <v>683</v>
      </c>
      <c r="M1068">
        <v>24</v>
      </c>
    </row>
    <row r="1069" spans="1:13" x14ac:dyDescent="0.35">
      <c r="A1069" t="s">
        <v>736</v>
      </c>
      <c r="B1069" t="s">
        <v>417</v>
      </c>
      <c r="C1069" t="s">
        <v>569</v>
      </c>
      <c r="D1069" t="s">
        <v>669</v>
      </c>
      <c r="E1069" s="1">
        <v>45468</v>
      </c>
      <c r="F1069" s="1">
        <v>45471</v>
      </c>
      <c r="G1069" s="1">
        <v>45484</v>
      </c>
      <c r="H1069" s="4">
        <f>IF(Claims_Cleaned[[#This Row],[processed_date]]="","",Claims_Cleaned[[#This Row],[processed_date]]-Claims_Cleaned[[#This Row],[submission_date]])</f>
        <v>13</v>
      </c>
      <c r="I1069" s="4" t="str">
        <f>TEXT(Claims_Cleaned[[#This Row],[claim_date]],"mmm-yyyy")</f>
        <v>Jun-2024</v>
      </c>
      <c r="J1069" t="s">
        <v>25</v>
      </c>
      <c r="K1069">
        <v>556.64</v>
      </c>
      <c r="L1069" t="s">
        <v>683</v>
      </c>
      <c r="M1069">
        <v>13</v>
      </c>
    </row>
    <row r="1070" spans="1:13" x14ac:dyDescent="0.35">
      <c r="A1070" t="s">
        <v>846</v>
      </c>
      <c r="B1070" t="s">
        <v>203</v>
      </c>
      <c r="C1070" t="s">
        <v>573</v>
      </c>
      <c r="D1070" t="s">
        <v>669</v>
      </c>
      <c r="E1070" s="1">
        <v>45068</v>
      </c>
      <c r="F1070" s="1">
        <v>45073</v>
      </c>
      <c r="G1070" s="1">
        <v>45095</v>
      </c>
      <c r="H1070" s="4">
        <f>IF(Claims_Cleaned[[#This Row],[processed_date]]="","",Claims_Cleaned[[#This Row],[processed_date]]-Claims_Cleaned[[#This Row],[submission_date]])</f>
        <v>22</v>
      </c>
      <c r="I1070" s="4" t="str">
        <f>TEXT(Claims_Cleaned[[#This Row],[claim_date]],"mmm-yyyy")</f>
        <v>May-2023</v>
      </c>
      <c r="J1070" t="s">
        <v>25</v>
      </c>
      <c r="K1070">
        <v>556.53</v>
      </c>
      <c r="L1070" t="s">
        <v>683</v>
      </c>
      <c r="M1070">
        <v>22</v>
      </c>
    </row>
    <row r="1071" spans="1:13" x14ac:dyDescent="0.35">
      <c r="A1071" t="s">
        <v>1970</v>
      </c>
      <c r="B1071" t="s">
        <v>503</v>
      </c>
      <c r="C1071" t="s">
        <v>561</v>
      </c>
      <c r="D1071" t="s">
        <v>667</v>
      </c>
      <c r="E1071" s="1">
        <v>45526</v>
      </c>
      <c r="F1071" s="1">
        <v>45527</v>
      </c>
      <c r="G1071" s="1">
        <v>45543</v>
      </c>
      <c r="H1071" s="4">
        <f>IF(Claims_Cleaned[[#This Row],[processed_date]]="","",Claims_Cleaned[[#This Row],[processed_date]]-Claims_Cleaned[[#This Row],[submission_date]])</f>
        <v>16</v>
      </c>
      <c r="I1071" s="4" t="str">
        <f>TEXT(Claims_Cleaned[[#This Row],[claim_date]],"mmm-yyyy")</f>
        <v>Aug-2024</v>
      </c>
      <c r="J1071" t="s">
        <v>20</v>
      </c>
      <c r="K1071">
        <v>555.85</v>
      </c>
      <c r="L1071" t="s">
        <v>683</v>
      </c>
      <c r="M1071">
        <v>16</v>
      </c>
    </row>
    <row r="1072" spans="1:13" x14ac:dyDescent="0.35">
      <c r="A1072" t="s">
        <v>1870</v>
      </c>
      <c r="B1072" t="s">
        <v>432</v>
      </c>
      <c r="C1072" t="s">
        <v>591</v>
      </c>
      <c r="D1072" t="s">
        <v>633</v>
      </c>
      <c r="E1072" s="1">
        <v>45382</v>
      </c>
      <c r="F1072" s="1">
        <v>45387</v>
      </c>
      <c r="G1072" s="1">
        <v>45402</v>
      </c>
      <c r="H1072" s="4">
        <f>IF(Claims_Cleaned[[#This Row],[processed_date]]="","",Claims_Cleaned[[#This Row],[processed_date]]-Claims_Cleaned[[#This Row],[submission_date]])</f>
        <v>15</v>
      </c>
      <c r="I1072" s="4" t="str">
        <f>TEXT(Claims_Cleaned[[#This Row],[claim_date]],"mmm-yyyy")</f>
        <v>Mar-2024</v>
      </c>
      <c r="J1072" t="s">
        <v>11</v>
      </c>
      <c r="K1072">
        <v>555.70000000000005</v>
      </c>
      <c r="L1072" t="s">
        <v>683</v>
      </c>
      <c r="M1072">
        <v>15</v>
      </c>
    </row>
    <row r="1073" spans="1:13" x14ac:dyDescent="0.35">
      <c r="A1073" t="s">
        <v>1274</v>
      </c>
      <c r="B1073" t="s">
        <v>18</v>
      </c>
      <c r="C1073" t="s">
        <v>559</v>
      </c>
      <c r="D1073" t="s">
        <v>667</v>
      </c>
      <c r="E1073" s="1">
        <v>45357</v>
      </c>
      <c r="F1073" s="1">
        <v>45362</v>
      </c>
      <c r="G1073" s="1">
        <v>45387</v>
      </c>
      <c r="H1073" s="4">
        <f>IF(Claims_Cleaned[[#This Row],[processed_date]]="","",Claims_Cleaned[[#This Row],[processed_date]]-Claims_Cleaned[[#This Row],[submission_date]])</f>
        <v>25</v>
      </c>
      <c r="I1073" s="4" t="str">
        <f>TEXT(Claims_Cleaned[[#This Row],[claim_date]],"mmm-yyyy")</f>
        <v>Mar-2024</v>
      </c>
      <c r="J1073" t="s">
        <v>8</v>
      </c>
      <c r="K1073">
        <v>555.67999999999995</v>
      </c>
      <c r="L1073" t="s">
        <v>683</v>
      </c>
      <c r="M1073">
        <v>25</v>
      </c>
    </row>
    <row r="1074" spans="1:13" x14ac:dyDescent="0.35">
      <c r="A1074" t="s">
        <v>2526</v>
      </c>
      <c r="B1074" t="s">
        <v>483</v>
      </c>
      <c r="C1074" t="s">
        <v>601</v>
      </c>
      <c r="D1074" t="s">
        <v>633</v>
      </c>
      <c r="E1074" s="1">
        <v>45556</v>
      </c>
      <c r="F1074" s="1">
        <v>45559</v>
      </c>
      <c r="G1074" s="1">
        <v>45588</v>
      </c>
      <c r="H1074" s="4">
        <f>IF(Claims_Cleaned[[#This Row],[processed_date]]="","",Claims_Cleaned[[#This Row],[processed_date]]-Claims_Cleaned[[#This Row],[submission_date]])</f>
        <v>29</v>
      </c>
      <c r="I1074" s="4" t="str">
        <f>TEXT(Claims_Cleaned[[#This Row],[claim_date]],"mmm-yyyy")</f>
        <v>Sep-2024</v>
      </c>
      <c r="J1074" t="s">
        <v>11</v>
      </c>
      <c r="K1074">
        <v>554.72</v>
      </c>
      <c r="L1074" t="s">
        <v>683</v>
      </c>
      <c r="M1074">
        <v>29</v>
      </c>
    </row>
    <row r="1075" spans="1:13" x14ac:dyDescent="0.35">
      <c r="A1075" t="s">
        <v>759</v>
      </c>
      <c r="B1075" t="s">
        <v>120</v>
      </c>
      <c r="C1075" t="s">
        <v>605</v>
      </c>
      <c r="D1075" t="s">
        <v>633</v>
      </c>
      <c r="E1075" s="1">
        <v>44973</v>
      </c>
      <c r="F1075" s="1">
        <v>44975</v>
      </c>
      <c r="G1075" s="1">
        <v>45004</v>
      </c>
      <c r="H1075" s="4">
        <f>IF(Claims_Cleaned[[#This Row],[processed_date]]="","",Claims_Cleaned[[#This Row],[processed_date]]-Claims_Cleaned[[#This Row],[submission_date]])</f>
        <v>29</v>
      </c>
      <c r="I1075" s="4" t="str">
        <f>TEXT(Claims_Cleaned[[#This Row],[claim_date]],"mmm-yyyy")</f>
        <v>Feb-2023</v>
      </c>
      <c r="J1075" t="s">
        <v>13</v>
      </c>
      <c r="K1075">
        <v>554.38</v>
      </c>
      <c r="L1075" t="s">
        <v>683</v>
      </c>
      <c r="M1075">
        <v>29</v>
      </c>
    </row>
    <row r="1076" spans="1:13" x14ac:dyDescent="0.35">
      <c r="A1076" t="s">
        <v>2141</v>
      </c>
      <c r="B1076" t="s">
        <v>322</v>
      </c>
      <c r="C1076" t="s">
        <v>540</v>
      </c>
      <c r="D1076" t="s">
        <v>633</v>
      </c>
      <c r="E1076" s="1">
        <v>45180</v>
      </c>
      <c r="F1076" s="1">
        <v>45181</v>
      </c>
      <c r="G1076" s="1">
        <v>45211</v>
      </c>
      <c r="H1076" s="4">
        <f>IF(Claims_Cleaned[[#This Row],[processed_date]]="","",Claims_Cleaned[[#This Row],[processed_date]]-Claims_Cleaned[[#This Row],[submission_date]])</f>
        <v>30</v>
      </c>
      <c r="I1076" s="4" t="str">
        <f>TEXT(Claims_Cleaned[[#This Row],[claim_date]],"mmm-yyyy")</f>
        <v>Sep-2023</v>
      </c>
      <c r="J1076" t="s">
        <v>11</v>
      </c>
      <c r="K1076">
        <v>554.17999999999995</v>
      </c>
      <c r="L1076" t="s">
        <v>687</v>
      </c>
      <c r="M1076">
        <v>30</v>
      </c>
    </row>
    <row r="1077" spans="1:13" x14ac:dyDescent="0.35">
      <c r="A1077" t="s">
        <v>2494</v>
      </c>
      <c r="B1077" t="s">
        <v>393</v>
      </c>
      <c r="C1077" t="s">
        <v>571</v>
      </c>
      <c r="D1077" t="s">
        <v>667</v>
      </c>
      <c r="E1077" s="1">
        <v>44995</v>
      </c>
      <c r="F1077" s="1">
        <v>45000</v>
      </c>
      <c r="G1077" s="1">
        <v>45028</v>
      </c>
      <c r="H1077" s="4">
        <f>IF(Claims_Cleaned[[#This Row],[processed_date]]="","",Claims_Cleaned[[#This Row],[processed_date]]-Claims_Cleaned[[#This Row],[submission_date]])</f>
        <v>28</v>
      </c>
      <c r="I1077" s="4" t="str">
        <f>TEXT(Claims_Cleaned[[#This Row],[claim_date]],"mmm-yyyy")</f>
        <v>Mar-2023</v>
      </c>
      <c r="J1077" t="s">
        <v>11</v>
      </c>
      <c r="K1077">
        <v>553.82000000000005</v>
      </c>
      <c r="L1077" t="s">
        <v>683</v>
      </c>
      <c r="M1077">
        <v>28</v>
      </c>
    </row>
    <row r="1078" spans="1:13" x14ac:dyDescent="0.35">
      <c r="A1078" t="s">
        <v>871</v>
      </c>
      <c r="B1078" t="s">
        <v>496</v>
      </c>
      <c r="C1078" t="s">
        <v>585</v>
      </c>
      <c r="D1078" t="s">
        <v>669</v>
      </c>
      <c r="E1078" s="1">
        <v>45499</v>
      </c>
      <c r="F1078" s="1">
        <v>45501</v>
      </c>
      <c r="G1078" s="1"/>
      <c r="H1078" s="4" t="str">
        <f>IF(Claims_Cleaned[[#This Row],[processed_date]]="","",Claims_Cleaned[[#This Row],[processed_date]]-Claims_Cleaned[[#This Row],[submission_date]])</f>
        <v/>
      </c>
      <c r="I1078" s="4" t="str">
        <f>TEXT(Claims_Cleaned[[#This Row],[claim_date]],"mmm-yyyy")</f>
        <v>Jul-2024</v>
      </c>
      <c r="J1078" t="s">
        <v>13</v>
      </c>
      <c r="K1078">
        <v>553.78</v>
      </c>
      <c r="L1078" t="s">
        <v>689</v>
      </c>
    </row>
    <row r="1079" spans="1:13" x14ac:dyDescent="0.35">
      <c r="A1079" t="s">
        <v>1598</v>
      </c>
      <c r="B1079" t="s">
        <v>167</v>
      </c>
      <c r="C1079" t="s">
        <v>543</v>
      </c>
      <c r="D1079" t="s">
        <v>633</v>
      </c>
      <c r="E1079" s="1">
        <v>45114</v>
      </c>
      <c r="F1079" s="1">
        <v>45117</v>
      </c>
      <c r="G1079" s="1"/>
      <c r="H1079" s="4" t="str">
        <f>IF(Claims_Cleaned[[#This Row],[processed_date]]="","",Claims_Cleaned[[#This Row],[processed_date]]-Claims_Cleaned[[#This Row],[submission_date]])</f>
        <v/>
      </c>
      <c r="I1079" s="4" t="str">
        <f>TEXT(Claims_Cleaned[[#This Row],[claim_date]],"mmm-yyyy")</f>
        <v>Jul-2023</v>
      </c>
      <c r="J1079" t="s">
        <v>11</v>
      </c>
      <c r="K1079">
        <v>552.04</v>
      </c>
      <c r="L1079" t="s">
        <v>689</v>
      </c>
    </row>
    <row r="1080" spans="1:13" x14ac:dyDescent="0.35">
      <c r="A1080" t="s">
        <v>752</v>
      </c>
      <c r="B1080" t="s">
        <v>186</v>
      </c>
      <c r="C1080" t="s">
        <v>540</v>
      </c>
      <c r="D1080" t="s">
        <v>669</v>
      </c>
      <c r="E1080" s="1">
        <v>45229</v>
      </c>
      <c r="F1080" s="1">
        <v>45232</v>
      </c>
      <c r="G1080" s="1">
        <v>45255</v>
      </c>
      <c r="H1080" s="4">
        <f>IF(Claims_Cleaned[[#This Row],[processed_date]]="","",Claims_Cleaned[[#This Row],[processed_date]]-Claims_Cleaned[[#This Row],[submission_date]])</f>
        <v>23</v>
      </c>
      <c r="I1080" s="4" t="str">
        <f>TEXT(Claims_Cleaned[[#This Row],[claim_date]],"mmm-yyyy")</f>
        <v>Oct-2023</v>
      </c>
      <c r="J1080" t="s">
        <v>20</v>
      </c>
      <c r="K1080">
        <v>551.25</v>
      </c>
      <c r="L1080" t="s">
        <v>687</v>
      </c>
      <c r="M1080">
        <v>23</v>
      </c>
    </row>
    <row r="1081" spans="1:13" x14ac:dyDescent="0.35">
      <c r="A1081" t="s">
        <v>2484</v>
      </c>
      <c r="B1081" t="s">
        <v>382</v>
      </c>
      <c r="C1081" t="s">
        <v>589</v>
      </c>
      <c r="D1081" t="s">
        <v>669</v>
      </c>
      <c r="E1081" s="1">
        <v>45267</v>
      </c>
      <c r="F1081" s="1">
        <v>45268</v>
      </c>
      <c r="G1081" s="1">
        <v>45271</v>
      </c>
      <c r="H1081" s="4">
        <f>IF(Claims_Cleaned[[#This Row],[processed_date]]="","",Claims_Cleaned[[#This Row],[processed_date]]-Claims_Cleaned[[#This Row],[submission_date]])</f>
        <v>3</v>
      </c>
      <c r="I1081" s="4" t="str">
        <f>TEXT(Claims_Cleaned[[#This Row],[claim_date]],"mmm-yyyy")</f>
        <v>Dec-2023</v>
      </c>
      <c r="J1081" t="s">
        <v>8</v>
      </c>
      <c r="K1081">
        <v>550.98</v>
      </c>
      <c r="L1081" t="s">
        <v>683</v>
      </c>
      <c r="M1081">
        <v>3</v>
      </c>
    </row>
    <row r="1082" spans="1:13" x14ac:dyDescent="0.35">
      <c r="A1082" t="s">
        <v>1175</v>
      </c>
      <c r="B1082" t="s">
        <v>495</v>
      </c>
      <c r="C1082" t="s">
        <v>531</v>
      </c>
      <c r="D1082" t="s">
        <v>669</v>
      </c>
      <c r="E1082" s="1">
        <v>45453</v>
      </c>
      <c r="F1082" s="1">
        <v>45458</v>
      </c>
      <c r="G1082" s="1">
        <v>45474</v>
      </c>
      <c r="H1082" s="4">
        <f>IF(Claims_Cleaned[[#This Row],[processed_date]]="","",Claims_Cleaned[[#This Row],[processed_date]]-Claims_Cleaned[[#This Row],[submission_date]])</f>
        <v>16</v>
      </c>
      <c r="I1082" s="4" t="str">
        <f>TEXT(Claims_Cleaned[[#This Row],[claim_date]],"mmm-yyyy")</f>
        <v>Jun-2024</v>
      </c>
      <c r="J1082" t="s">
        <v>13</v>
      </c>
      <c r="K1082">
        <v>550.32000000000005</v>
      </c>
      <c r="L1082" t="s">
        <v>683</v>
      </c>
      <c r="M1082">
        <v>16</v>
      </c>
    </row>
    <row r="1083" spans="1:13" x14ac:dyDescent="0.35">
      <c r="A1083" t="s">
        <v>1350</v>
      </c>
      <c r="B1083" t="s">
        <v>112</v>
      </c>
      <c r="C1083" t="s">
        <v>587</v>
      </c>
      <c r="D1083" t="s">
        <v>669</v>
      </c>
      <c r="E1083" s="1">
        <v>45286</v>
      </c>
      <c r="F1083" s="1">
        <v>45287</v>
      </c>
      <c r="G1083" s="1">
        <v>45292</v>
      </c>
      <c r="H1083" s="4">
        <f>IF(Claims_Cleaned[[#This Row],[processed_date]]="","",Claims_Cleaned[[#This Row],[processed_date]]-Claims_Cleaned[[#This Row],[submission_date]])</f>
        <v>5</v>
      </c>
      <c r="I1083" s="4" t="str">
        <f>TEXT(Claims_Cleaned[[#This Row],[claim_date]],"mmm-yyyy")</f>
        <v>Dec-2023</v>
      </c>
      <c r="J1083" t="s">
        <v>13</v>
      </c>
      <c r="K1083">
        <v>549.4</v>
      </c>
      <c r="L1083" t="s">
        <v>683</v>
      </c>
      <c r="M1083">
        <v>5</v>
      </c>
    </row>
    <row r="1084" spans="1:13" x14ac:dyDescent="0.35">
      <c r="A1084" t="s">
        <v>2516</v>
      </c>
      <c r="B1084" t="s">
        <v>295</v>
      </c>
      <c r="C1084" t="s">
        <v>583</v>
      </c>
      <c r="D1084" t="s">
        <v>669</v>
      </c>
      <c r="E1084" s="1">
        <v>45240</v>
      </c>
      <c r="F1084" s="1">
        <v>45242</v>
      </c>
      <c r="G1084" s="1">
        <v>45257</v>
      </c>
      <c r="H1084" s="4">
        <f>IF(Claims_Cleaned[[#This Row],[processed_date]]="","",Claims_Cleaned[[#This Row],[processed_date]]-Claims_Cleaned[[#This Row],[submission_date]])</f>
        <v>15</v>
      </c>
      <c r="I1084" s="4" t="str">
        <f>TEXT(Claims_Cleaned[[#This Row],[claim_date]],"mmm-yyyy")</f>
        <v>Nov-2023</v>
      </c>
      <c r="J1084" t="s">
        <v>8</v>
      </c>
      <c r="K1084">
        <v>546.29999999999995</v>
      </c>
      <c r="L1084" t="s">
        <v>683</v>
      </c>
      <c r="M1084">
        <v>15</v>
      </c>
    </row>
    <row r="1085" spans="1:13" x14ac:dyDescent="0.35">
      <c r="A1085" t="s">
        <v>2541</v>
      </c>
      <c r="B1085" t="s">
        <v>189</v>
      </c>
      <c r="C1085" t="s">
        <v>540</v>
      </c>
      <c r="D1085" t="s">
        <v>633</v>
      </c>
      <c r="E1085" s="1">
        <v>45598</v>
      </c>
      <c r="F1085" s="1">
        <v>45602</v>
      </c>
      <c r="G1085" s="1">
        <v>45614</v>
      </c>
      <c r="H1085" s="4">
        <f>IF(Claims_Cleaned[[#This Row],[processed_date]]="","",Claims_Cleaned[[#This Row],[processed_date]]-Claims_Cleaned[[#This Row],[submission_date]])</f>
        <v>12</v>
      </c>
      <c r="I1085" s="4" t="str">
        <f>TEXT(Claims_Cleaned[[#This Row],[claim_date]],"mmm-yyyy")</f>
        <v>Nov-2024</v>
      </c>
      <c r="J1085" t="s">
        <v>8</v>
      </c>
      <c r="K1085">
        <v>544.64</v>
      </c>
      <c r="L1085" t="s">
        <v>683</v>
      </c>
      <c r="M1085">
        <v>12</v>
      </c>
    </row>
    <row r="1086" spans="1:13" x14ac:dyDescent="0.35">
      <c r="A1086" t="s">
        <v>2130</v>
      </c>
      <c r="B1086" t="s">
        <v>431</v>
      </c>
      <c r="C1086" t="s">
        <v>527</v>
      </c>
      <c r="D1086" t="s">
        <v>633</v>
      </c>
      <c r="E1086" s="1">
        <v>45430</v>
      </c>
      <c r="F1086" s="1">
        <v>45434</v>
      </c>
      <c r="G1086" s="1">
        <v>45447</v>
      </c>
      <c r="H1086" s="4">
        <f>IF(Claims_Cleaned[[#This Row],[processed_date]]="","",Claims_Cleaned[[#This Row],[processed_date]]-Claims_Cleaned[[#This Row],[submission_date]])</f>
        <v>13</v>
      </c>
      <c r="I1086" s="4" t="str">
        <f>TEXT(Claims_Cleaned[[#This Row],[claim_date]],"mmm-yyyy")</f>
        <v>May-2024</v>
      </c>
      <c r="J1086" t="s">
        <v>20</v>
      </c>
      <c r="K1086">
        <v>543.66999999999996</v>
      </c>
      <c r="L1086" t="s">
        <v>683</v>
      </c>
      <c r="M1086">
        <v>13</v>
      </c>
    </row>
    <row r="1087" spans="1:13" x14ac:dyDescent="0.35">
      <c r="A1087" t="s">
        <v>1139</v>
      </c>
      <c r="B1087" t="s">
        <v>239</v>
      </c>
      <c r="C1087" t="s">
        <v>565</v>
      </c>
      <c r="D1087" t="s">
        <v>633</v>
      </c>
      <c r="E1087" s="1">
        <v>45181</v>
      </c>
      <c r="F1087" s="1">
        <v>45183</v>
      </c>
      <c r="G1087" s="1">
        <v>45200</v>
      </c>
      <c r="H1087" s="4">
        <f>IF(Claims_Cleaned[[#This Row],[processed_date]]="","",Claims_Cleaned[[#This Row],[processed_date]]-Claims_Cleaned[[#This Row],[submission_date]])</f>
        <v>17</v>
      </c>
      <c r="I1087" s="4" t="str">
        <f>TEXT(Claims_Cleaned[[#This Row],[claim_date]],"mmm-yyyy")</f>
        <v>Sep-2023</v>
      </c>
      <c r="J1087" t="s">
        <v>20</v>
      </c>
      <c r="K1087">
        <v>542.17999999999995</v>
      </c>
      <c r="L1087" t="s">
        <v>683</v>
      </c>
      <c r="M1087">
        <v>17</v>
      </c>
    </row>
    <row r="1088" spans="1:13" x14ac:dyDescent="0.35">
      <c r="A1088" t="s">
        <v>1310</v>
      </c>
      <c r="B1088" t="s">
        <v>516</v>
      </c>
      <c r="C1088" t="s">
        <v>577</v>
      </c>
      <c r="D1088" t="s">
        <v>633</v>
      </c>
      <c r="E1088" s="1">
        <v>45604</v>
      </c>
      <c r="F1088" s="1">
        <v>45609</v>
      </c>
      <c r="G1088" s="1"/>
      <c r="H1088" s="4" t="str">
        <f>IF(Claims_Cleaned[[#This Row],[processed_date]]="","",Claims_Cleaned[[#This Row],[processed_date]]-Claims_Cleaned[[#This Row],[submission_date]])</f>
        <v/>
      </c>
      <c r="I1088" s="4" t="str">
        <f>TEXT(Claims_Cleaned[[#This Row],[claim_date]],"mmm-yyyy")</f>
        <v>Nov-2024</v>
      </c>
      <c r="J1088" t="s">
        <v>8</v>
      </c>
      <c r="K1088">
        <v>541.88</v>
      </c>
      <c r="L1088" t="s">
        <v>689</v>
      </c>
    </row>
    <row r="1089" spans="1:13" x14ac:dyDescent="0.35">
      <c r="A1089" t="s">
        <v>988</v>
      </c>
      <c r="B1089" t="s">
        <v>422</v>
      </c>
      <c r="C1089" t="s">
        <v>571</v>
      </c>
      <c r="D1089" t="s">
        <v>667</v>
      </c>
      <c r="E1089" s="1">
        <v>45186</v>
      </c>
      <c r="F1089" s="1">
        <v>45190</v>
      </c>
      <c r="G1089" s="1">
        <v>45198</v>
      </c>
      <c r="H1089" s="4">
        <f>IF(Claims_Cleaned[[#This Row],[processed_date]]="","",Claims_Cleaned[[#This Row],[processed_date]]-Claims_Cleaned[[#This Row],[submission_date]])</f>
        <v>8</v>
      </c>
      <c r="I1089" s="4" t="str">
        <f>TEXT(Claims_Cleaned[[#This Row],[claim_date]],"mmm-yyyy")</f>
        <v>Sep-2023</v>
      </c>
      <c r="J1089" t="s">
        <v>11</v>
      </c>
      <c r="K1089">
        <v>541.04999999999995</v>
      </c>
      <c r="L1089" t="s">
        <v>683</v>
      </c>
      <c r="M1089">
        <v>8</v>
      </c>
    </row>
    <row r="1090" spans="1:13" x14ac:dyDescent="0.35">
      <c r="A1090" t="s">
        <v>2252</v>
      </c>
      <c r="B1090" t="s">
        <v>350</v>
      </c>
      <c r="C1090" t="s">
        <v>555</v>
      </c>
      <c r="D1090" t="s">
        <v>633</v>
      </c>
      <c r="E1090" s="1">
        <v>45023</v>
      </c>
      <c r="F1090" s="1">
        <v>45025</v>
      </c>
      <c r="G1090" s="1">
        <v>45048</v>
      </c>
      <c r="H1090" s="4">
        <f>IF(Claims_Cleaned[[#This Row],[processed_date]]="","",Claims_Cleaned[[#This Row],[processed_date]]-Claims_Cleaned[[#This Row],[submission_date]])</f>
        <v>23</v>
      </c>
      <c r="I1090" s="4" t="str">
        <f>TEXT(Claims_Cleaned[[#This Row],[claim_date]],"mmm-yyyy")</f>
        <v>Apr-2023</v>
      </c>
      <c r="J1090" t="s">
        <v>20</v>
      </c>
      <c r="K1090">
        <v>540.12</v>
      </c>
      <c r="L1090" t="s">
        <v>683</v>
      </c>
      <c r="M1090">
        <v>23</v>
      </c>
    </row>
    <row r="1091" spans="1:13" x14ac:dyDescent="0.35">
      <c r="A1091" t="s">
        <v>2647</v>
      </c>
      <c r="B1091" t="s">
        <v>253</v>
      </c>
      <c r="C1091" t="s">
        <v>561</v>
      </c>
      <c r="D1091" t="s">
        <v>667</v>
      </c>
      <c r="E1091" s="1">
        <v>45355</v>
      </c>
      <c r="F1091" s="1">
        <v>45358</v>
      </c>
      <c r="G1091" s="1">
        <v>45374</v>
      </c>
      <c r="H1091" s="4">
        <f>IF(Claims_Cleaned[[#This Row],[processed_date]]="","",Claims_Cleaned[[#This Row],[processed_date]]-Claims_Cleaned[[#This Row],[submission_date]])</f>
        <v>16</v>
      </c>
      <c r="I1091" s="4" t="str">
        <f>TEXT(Claims_Cleaned[[#This Row],[claim_date]],"mmm-yyyy")</f>
        <v>Mar-2024</v>
      </c>
      <c r="J1091" t="s">
        <v>8</v>
      </c>
      <c r="K1091">
        <v>539.63</v>
      </c>
      <c r="L1091" t="s">
        <v>683</v>
      </c>
      <c r="M1091">
        <v>16</v>
      </c>
    </row>
    <row r="1092" spans="1:13" x14ac:dyDescent="0.35">
      <c r="A1092" t="s">
        <v>1893</v>
      </c>
      <c r="B1092" t="s">
        <v>267</v>
      </c>
      <c r="C1092" t="s">
        <v>587</v>
      </c>
      <c r="D1092" t="s">
        <v>667</v>
      </c>
      <c r="E1092" s="1">
        <v>45492</v>
      </c>
      <c r="F1092" s="1">
        <v>45493</v>
      </c>
      <c r="G1092" s="1">
        <v>45510</v>
      </c>
      <c r="H1092" s="4">
        <f>IF(Claims_Cleaned[[#This Row],[processed_date]]="","",Claims_Cleaned[[#This Row],[processed_date]]-Claims_Cleaned[[#This Row],[submission_date]])</f>
        <v>17</v>
      </c>
      <c r="I1092" s="4" t="str">
        <f>TEXT(Claims_Cleaned[[#This Row],[claim_date]],"mmm-yyyy")</f>
        <v>Jul-2024</v>
      </c>
      <c r="J1092" t="s">
        <v>25</v>
      </c>
      <c r="K1092">
        <v>538.9</v>
      </c>
      <c r="L1092" t="s">
        <v>683</v>
      </c>
      <c r="M1092">
        <v>17</v>
      </c>
    </row>
    <row r="1093" spans="1:13" x14ac:dyDescent="0.35">
      <c r="A1093" t="s">
        <v>2508</v>
      </c>
      <c r="B1093" t="s">
        <v>382</v>
      </c>
      <c r="C1093" t="s">
        <v>546</v>
      </c>
      <c r="D1093" t="s">
        <v>633</v>
      </c>
      <c r="E1093" s="1">
        <v>45237</v>
      </c>
      <c r="F1093" s="1">
        <v>45241</v>
      </c>
      <c r="G1093" s="1">
        <v>45249</v>
      </c>
      <c r="H1093" s="4">
        <f>IF(Claims_Cleaned[[#This Row],[processed_date]]="","",Claims_Cleaned[[#This Row],[processed_date]]-Claims_Cleaned[[#This Row],[submission_date]])</f>
        <v>8</v>
      </c>
      <c r="I1093" s="4" t="str">
        <f>TEXT(Claims_Cleaned[[#This Row],[claim_date]],"mmm-yyyy")</f>
        <v>Nov-2023</v>
      </c>
      <c r="J1093" t="s">
        <v>8</v>
      </c>
      <c r="K1093">
        <v>538.26</v>
      </c>
      <c r="L1093" t="s">
        <v>683</v>
      </c>
      <c r="M1093">
        <v>8</v>
      </c>
    </row>
    <row r="1094" spans="1:13" x14ac:dyDescent="0.35">
      <c r="A1094" t="s">
        <v>1003</v>
      </c>
      <c r="B1094" t="s">
        <v>59</v>
      </c>
      <c r="C1094" t="s">
        <v>575</v>
      </c>
      <c r="D1094" t="s">
        <v>667</v>
      </c>
      <c r="E1094" s="1">
        <v>45402</v>
      </c>
      <c r="F1094" s="1">
        <v>45403</v>
      </c>
      <c r="G1094" s="1">
        <v>45408</v>
      </c>
      <c r="H1094" s="4">
        <f>IF(Claims_Cleaned[[#This Row],[processed_date]]="","",Claims_Cleaned[[#This Row],[processed_date]]-Claims_Cleaned[[#This Row],[submission_date]])</f>
        <v>5</v>
      </c>
      <c r="I1094" s="4" t="str">
        <f>TEXT(Claims_Cleaned[[#This Row],[claim_date]],"mmm-yyyy")</f>
        <v>Apr-2024</v>
      </c>
      <c r="J1094" t="s">
        <v>25</v>
      </c>
      <c r="K1094">
        <v>538.23</v>
      </c>
      <c r="L1094" t="s">
        <v>683</v>
      </c>
      <c r="M1094">
        <v>5</v>
      </c>
    </row>
    <row r="1095" spans="1:13" x14ac:dyDescent="0.35">
      <c r="A1095" t="s">
        <v>797</v>
      </c>
      <c r="B1095" t="s">
        <v>189</v>
      </c>
      <c r="C1095" t="s">
        <v>609</v>
      </c>
      <c r="D1095" t="s">
        <v>667</v>
      </c>
      <c r="E1095" s="1">
        <v>45538</v>
      </c>
      <c r="F1095" s="1">
        <v>45539</v>
      </c>
      <c r="G1095" s="1">
        <v>45560</v>
      </c>
      <c r="H1095" s="4">
        <f>IF(Claims_Cleaned[[#This Row],[processed_date]]="","",Claims_Cleaned[[#This Row],[processed_date]]-Claims_Cleaned[[#This Row],[submission_date]])</f>
        <v>21</v>
      </c>
      <c r="I1095" s="4" t="str">
        <f>TEXT(Claims_Cleaned[[#This Row],[claim_date]],"mmm-yyyy")</f>
        <v>Sep-2024</v>
      </c>
      <c r="J1095" t="s">
        <v>8</v>
      </c>
      <c r="K1095">
        <v>536.29999999999995</v>
      </c>
      <c r="L1095" t="s">
        <v>683</v>
      </c>
      <c r="M1095">
        <v>21</v>
      </c>
    </row>
    <row r="1096" spans="1:13" x14ac:dyDescent="0.35">
      <c r="A1096" t="s">
        <v>1821</v>
      </c>
      <c r="B1096" t="s">
        <v>389</v>
      </c>
      <c r="C1096" t="s">
        <v>527</v>
      </c>
      <c r="D1096" t="s">
        <v>633</v>
      </c>
      <c r="E1096" s="1">
        <v>45151</v>
      </c>
      <c r="F1096" s="1">
        <v>45156</v>
      </c>
      <c r="G1096" s="1">
        <v>45164</v>
      </c>
      <c r="H1096" s="4">
        <f>IF(Claims_Cleaned[[#This Row],[processed_date]]="","",Claims_Cleaned[[#This Row],[processed_date]]-Claims_Cleaned[[#This Row],[submission_date]])</f>
        <v>8</v>
      </c>
      <c r="I1096" s="4" t="str">
        <f>TEXT(Claims_Cleaned[[#This Row],[claim_date]],"mmm-yyyy")</f>
        <v>Aug-2023</v>
      </c>
      <c r="J1096" t="s">
        <v>8</v>
      </c>
      <c r="K1096">
        <v>535.73</v>
      </c>
      <c r="L1096" t="s">
        <v>683</v>
      </c>
      <c r="M1096">
        <v>8</v>
      </c>
    </row>
    <row r="1097" spans="1:13" x14ac:dyDescent="0.35">
      <c r="A1097" t="s">
        <v>1622</v>
      </c>
      <c r="B1097" t="s">
        <v>213</v>
      </c>
      <c r="C1097" t="s">
        <v>611</v>
      </c>
      <c r="D1097" t="s">
        <v>633</v>
      </c>
      <c r="E1097" s="1">
        <v>44979</v>
      </c>
      <c r="F1097" s="1">
        <v>44981</v>
      </c>
      <c r="G1097" s="1">
        <v>45002</v>
      </c>
      <c r="H1097" s="4">
        <f>IF(Claims_Cleaned[[#This Row],[processed_date]]="","",Claims_Cleaned[[#This Row],[processed_date]]-Claims_Cleaned[[#This Row],[submission_date]])</f>
        <v>21</v>
      </c>
      <c r="I1097" s="4" t="str">
        <f>TEXT(Claims_Cleaned[[#This Row],[claim_date]],"mmm-yyyy")</f>
        <v>Feb-2023</v>
      </c>
      <c r="J1097" t="s">
        <v>8</v>
      </c>
      <c r="K1097">
        <v>534.75</v>
      </c>
      <c r="L1097" t="s">
        <v>683</v>
      </c>
      <c r="M1097">
        <v>21</v>
      </c>
    </row>
    <row r="1098" spans="1:13" x14ac:dyDescent="0.35">
      <c r="A1098" t="s">
        <v>2521</v>
      </c>
      <c r="B1098" t="s">
        <v>329</v>
      </c>
      <c r="C1098" t="s">
        <v>527</v>
      </c>
      <c r="D1098" t="s">
        <v>633</v>
      </c>
      <c r="E1098" s="1">
        <v>45035</v>
      </c>
      <c r="F1098" s="1">
        <v>45038</v>
      </c>
      <c r="G1098" s="1">
        <v>45043</v>
      </c>
      <c r="H1098" s="4">
        <f>IF(Claims_Cleaned[[#This Row],[processed_date]]="","",Claims_Cleaned[[#This Row],[processed_date]]-Claims_Cleaned[[#This Row],[submission_date]])</f>
        <v>5</v>
      </c>
      <c r="I1098" s="4" t="str">
        <f>TEXT(Claims_Cleaned[[#This Row],[claim_date]],"mmm-yyyy")</f>
        <v>Apr-2023</v>
      </c>
      <c r="J1098" t="s">
        <v>13</v>
      </c>
      <c r="K1098">
        <v>534.01</v>
      </c>
      <c r="L1098" t="s">
        <v>683</v>
      </c>
      <c r="M1098">
        <v>5</v>
      </c>
    </row>
    <row r="1099" spans="1:13" x14ac:dyDescent="0.35">
      <c r="A1099" t="s">
        <v>1332</v>
      </c>
      <c r="B1099" t="s">
        <v>127</v>
      </c>
      <c r="C1099" t="s">
        <v>595</v>
      </c>
      <c r="D1099" t="s">
        <v>667</v>
      </c>
      <c r="E1099" s="1">
        <v>45033</v>
      </c>
      <c r="F1099" s="1">
        <v>45037</v>
      </c>
      <c r="G1099" s="1">
        <v>45052</v>
      </c>
      <c r="H1099" s="4">
        <f>IF(Claims_Cleaned[[#This Row],[processed_date]]="","",Claims_Cleaned[[#This Row],[processed_date]]-Claims_Cleaned[[#This Row],[submission_date]])</f>
        <v>15</v>
      </c>
      <c r="I1099" s="4" t="str">
        <f>TEXT(Claims_Cleaned[[#This Row],[claim_date]],"mmm-yyyy")</f>
        <v>Apr-2023</v>
      </c>
      <c r="J1099" t="s">
        <v>11</v>
      </c>
      <c r="K1099">
        <v>533.14</v>
      </c>
      <c r="L1099" t="s">
        <v>683</v>
      </c>
      <c r="M1099">
        <v>15</v>
      </c>
    </row>
    <row r="1100" spans="1:13" x14ac:dyDescent="0.35">
      <c r="A1100" t="s">
        <v>2664</v>
      </c>
      <c r="B1100" t="s">
        <v>474</v>
      </c>
      <c r="C1100" t="s">
        <v>527</v>
      </c>
      <c r="D1100" t="s">
        <v>633</v>
      </c>
      <c r="E1100" s="1">
        <v>45261</v>
      </c>
      <c r="F1100" s="1">
        <v>45263</v>
      </c>
      <c r="G1100" s="1"/>
      <c r="H1100" s="4" t="str">
        <f>IF(Claims_Cleaned[[#This Row],[processed_date]]="","",Claims_Cleaned[[#This Row],[processed_date]]-Claims_Cleaned[[#This Row],[submission_date]])</f>
        <v/>
      </c>
      <c r="I1100" s="4" t="str">
        <f>TEXT(Claims_Cleaned[[#This Row],[claim_date]],"mmm-yyyy")</f>
        <v>Dec-2023</v>
      </c>
      <c r="J1100" t="s">
        <v>25</v>
      </c>
      <c r="K1100">
        <v>532.54</v>
      </c>
      <c r="L1100" t="s">
        <v>689</v>
      </c>
    </row>
    <row r="1101" spans="1:13" x14ac:dyDescent="0.35">
      <c r="A1101" t="s">
        <v>1764</v>
      </c>
      <c r="B1101" t="s">
        <v>379</v>
      </c>
      <c r="C1101" t="s">
        <v>603</v>
      </c>
      <c r="D1101" t="s">
        <v>667</v>
      </c>
      <c r="E1101" s="1">
        <v>44970</v>
      </c>
      <c r="F1101" s="1">
        <v>44973</v>
      </c>
      <c r="G1101" s="1"/>
      <c r="H1101" s="4" t="str">
        <f>IF(Claims_Cleaned[[#This Row],[processed_date]]="","",Claims_Cleaned[[#This Row],[processed_date]]-Claims_Cleaned[[#This Row],[submission_date]])</f>
        <v/>
      </c>
      <c r="I1101" s="4" t="str">
        <f>TEXT(Claims_Cleaned[[#This Row],[claim_date]],"mmm-yyyy")</f>
        <v>Feb-2023</v>
      </c>
      <c r="J1101" t="s">
        <v>13</v>
      </c>
      <c r="K1101">
        <v>531.45000000000005</v>
      </c>
      <c r="L1101" t="s">
        <v>689</v>
      </c>
    </row>
    <row r="1102" spans="1:13" x14ac:dyDescent="0.35">
      <c r="A1102" t="s">
        <v>879</v>
      </c>
      <c r="B1102" t="s">
        <v>159</v>
      </c>
      <c r="C1102" t="s">
        <v>571</v>
      </c>
      <c r="D1102" t="s">
        <v>667</v>
      </c>
      <c r="E1102" s="1">
        <v>45103</v>
      </c>
      <c r="F1102" s="1">
        <v>45108</v>
      </c>
      <c r="G1102" s="1">
        <v>45125</v>
      </c>
      <c r="H1102" s="4">
        <f>IF(Claims_Cleaned[[#This Row],[processed_date]]="","",Claims_Cleaned[[#This Row],[processed_date]]-Claims_Cleaned[[#This Row],[submission_date]])</f>
        <v>17</v>
      </c>
      <c r="I1102" s="4" t="str">
        <f>TEXT(Claims_Cleaned[[#This Row],[claim_date]],"mmm-yyyy")</f>
        <v>Jun-2023</v>
      </c>
      <c r="J1102" t="s">
        <v>11</v>
      </c>
      <c r="K1102">
        <v>528.83000000000004</v>
      </c>
      <c r="L1102" t="s">
        <v>683</v>
      </c>
      <c r="M1102">
        <v>17</v>
      </c>
    </row>
    <row r="1103" spans="1:13" x14ac:dyDescent="0.35">
      <c r="A1103" t="s">
        <v>2031</v>
      </c>
      <c r="B1103" t="s">
        <v>80</v>
      </c>
      <c r="C1103" t="s">
        <v>540</v>
      </c>
      <c r="D1103" t="s">
        <v>667</v>
      </c>
      <c r="E1103" s="1">
        <v>45641</v>
      </c>
      <c r="F1103" s="1">
        <v>45644</v>
      </c>
      <c r="G1103" s="1">
        <v>45662</v>
      </c>
      <c r="H1103" s="4">
        <f>IF(Claims_Cleaned[[#This Row],[processed_date]]="","",Claims_Cleaned[[#This Row],[processed_date]]-Claims_Cleaned[[#This Row],[submission_date]])</f>
        <v>18</v>
      </c>
      <c r="I1103" s="4" t="str">
        <f>TEXT(Claims_Cleaned[[#This Row],[claim_date]],"mmm-yyyy")</f>
        <v>Dec-2024</v>
      </c>
      <c r="J1103" t="s">
        <v>8</v>
      </c>
      <c r="K1103">
        <v>527.83000000000004</v>
      </c>
      <c r="L1103" t="s">
        <v>683</v>
      </c>
      <c r="M1103">
        <v>18</v>
      </c>
    </row>
    <row r="1104" spans="1:13" x14ac:dyDescent="0.35">
      <c r="A1104" t="s">
        <v>1017</v>
      </c>
      <c r="B1104" t="s">
        <v>477</v>
      </c>
      <c r="C1104" t="s">
        <v>569</v>
      </c>
      <c r="D1104" t="s">
        <v>633</v>
      </c>
      <c r="E1104" s="1">
        <v>45651</v>
      </c>
      <c r="F1104" s="1">
        <v>45654</v>
      </c>
      <c r="G1104" s="1">
        <v>45663</v>
      </c>
      <c r="H1104" s="4">
        <f>IF(Claims_Cleaned[[#This Row],[processed_date]]="","",Claims_Cleaned[[#This Row],[processed_date]]-Claims_Cleaned[[#This Row],[submission_date]])</f>
        <v>9</v>
      </c>
      <c r="I1104" s="4" t="str">
        <f>TEXT(Claims_Cleaned[[#This Row],[claim_date]],"mmm-yyyy")</f>
        <v>Dec-2024</v>
      </c>
      <c r="J1104" t="s">
        <v>20</v>
      </c>
      <c r="K1104">
        <v>527.78</v>
      </c>
      <c r="L1104" t="s">
        <v>683</v>
      </c>
      <c r="M1104">
        <v>9</v>
      </c>
    </row>
    <row r="1105" spans="1:13" x14ac:dyDescent="0.35">
      <c r="A1105" t="s">
        <v>2029</v>
      </c>
      <c r="B1105" t="s">
        <v>122</v>
      </c>
      <c r="C1105" t="s">
        <v>581</v>
      </c>
      <c r="D1105" t="s">
        <v>633</v>
      </c>
      <c r="E1105" s="1">
        <v>45192</v>
      </c>
      <c r="F1105" s="1">
        <v>45197</v>
      </c>
      <c r="G1105" s="1">
        <v>45227</v>
      </c>
      <c r="H1105" s="4">
        <f>IF(Claims_Cleaned[[#This Row],[processed_date]]="","",Claims_Cleaned[[#This Row],[processed_date]]-Claims_Cleaned[[#This Row],[submission_date]])</f>
        <v>30</v>
      </c>
      <c r="I1105" s="4" t="str">
        <f>TEXT(Claims_Cleaned[[#This Row],[claim_date]],"mmm-yyyy")</f>
        <v>Sep-2023</v>
      </c>
      <c r="J1105" t="s">
        <v>13</v>
      </c>
      <c r="K1105">
        <v>526.6</v>
      </c>
      <c r="L1105" t="s">
        <v>683</v>
      </c>
      <c r="M1105">
        <v>30</v>
      </c>
    </row>
    <row r="1106" spans="1:13" x14ac:dyDescent="0.35">
      <c r="A1106" t="s">
        <v>1889</v>
      </c>
      <c r="B1106" t="s">
        <v>286</v>
      </c>
      <c r="C1106" t="s">
        <v>521</v>
      </c>
      <c r="D1106" t="s">
        <v>633</v>
      </c>
      <c r="E1106" s="1">
        <v>45522</v>
      </c>
      <c r="F1106" s="1">
        <v>45525</v>
      </c>
      <c r="G1106" s="1">
        <v>45534</v>
      </c>
      <c r="H1106" s="4">
        <f>IF(Claims_Cleaned[[#This Row],[processed_date]]="","",Claims_Cleaned[[#This Row],[processed_date]]-Claims_Cleaned[[#This Row],[submission_date]])</f>
        <v>9</v>
      </c>
      <c r="I1106" s="4" t="str">
        <f>TEXT(Claims_Cleaned[[#This Row],[claim_date]],"mmm-yyyy")</f>
        <v>Aug-2024</v>
      </c>
      <c r="J1106" t="s">
        <v>8</v>
      </c>
      <c r="K1106">
        <v>524.80999999999995</v>
      </c>
      <c r="L1106" t="s">
        <v>683</v>
      </c>
      <c r="M1106">
        <v>9</v>
      </c>
    </row>
    <row r="1107" spans="1:13" x14ac:dyDescent="0.35">
      <c r="A1107" t="s">
        <v>1477</v>
      </c>
      <c r="B1107" t="s">
        <v>202</v>
      </c>
      <c r="C1107" t="s">
        <v>577</v>
      </c>
      <c r="D1107" t="s">
        <v>633</v>
      </c>
      <c r="E1107" s="1">
        <v>45587</v>
      </c>
      <c r="F1107" s="1">
        <v>45590</v>
      </c>
      <c r="G1107" s="1">
        <v>45601</v>
      </c>
      <c r="H1107" s="4">
        <f>IF(Claims_Cleaned[[#This Row],[processed_date]]="","",Claims_Cleaned[[#This Row],[processed_date]]-Claims_Cleaned[[#This Row],[submission_date]])</f>
        <v>11</v>
      </c>
      <c r="I1107" s="4" t="str">
        <f>TEXT(Claims_Cleaned[[#This Row],[claim_date]],"mmm-yyyy")</f>
        <v>Oct-2024</v>
      </c>
      <c r="J1107" t="s">
        <v>13</v>
      </c>
      <c r="K1107">
        <v>524.15</v>
      </c>
      <c r="L1107" t="s">
        <v>683</v>
      </c>
      <c r="M1107">
        <v>11</v>
      </c>
    </row>
    <row r="1108" spans="1:13" x14ac:dyDescent="0.35">
      <c r="A1108" t="s">
        <v>1125</v>
      </c>
      <c r="B1108" t="s">
        <v>76</v>
      </c>
      <c r="C1108" t="s">
        <v>585</v>
      </c>
      <c r="D1108" t="s">
        <v>633</v>
      </c>
      <c r="E1108" s="1">
        <v>45015</v>
      </c>
      <c r="F1108" s="1">
        <v>45017</v>
      </c>
      <c r="G1108" s="1">
        <v>45023</v>
      </c>
      <c r="H1108" s="4">
        <f>IF(Claims_Cleaned[[#This Row],[processed_date]]="","",Claims_Cleaned[[#This Row],[processed_date]]-Claims_Cleaned[[#This Row],[submission_date]])</f>
        <v>6</v>
      </c>
      <c r="I1108" s="4" t="str">
        <f>TEXT(Claims_Cleaned[[#This Row],[claim_date]],"mmm-yyyy")</f>
        <v>Mar-2023</v>
      </c>
      <c r="J1108" t="s">
        <v>8</v>
      </c>
      <c r="K1108">
        <v>523.5</v>
      </c>
      <c r="L1108" t="s">
        <v>683</v>
      </c>
      <c r="M1108">
        <v>6</v>
      </c>
    </row>
    <row r="1109" spans="1:13" x14ac:dyDescent="0.35">
      <c r="A1109" t="s">
        <v>2293</v>
      </c>
      <c r="B1109" t="s">
        <v>478</v>
      </c>
      <c r="C1109" t="s">
        <v>593</v>
      </c>
      <c r="D1109" t="s">
        <v>667</v>
      </c>
      <c r="E1109" s="1">
        <v>45248</v>
      </c>
      <c r="F1109" s="1">
        <v>45253</v>
      </c>
      <c r="G1109" s="1">
        <v>45271</v>
      </c>
      <c r="H1109" s="4">
        <f>IF(Claims_Cleaned[[#This Row],[processed_date]]="","",Claims_Cleaned[[#This Row],[processed_date]]-Claims_Cleaned[[#This Row],[submission_date]])</f>
        <v>18</v>
      </c>
      <c r="I1109" s="4" t="str">
        <f>TEXT(Claims_Cleaned[[#This Row],[claim_date]],"mmm-yyyy")</f>
        <v>Nov-2023</v>
      </c>
      <c r="J1109" t="s">
        <v>13</v>
      </c>
      <c r="K1109">
        <v>519.48</v>
      </c>
      <c r="L1109" t="s">
        <v>687</v>
      </c>
      <c r="M1109">
        <v>18</v>
      </c>
    </row>
    <row r="1110" spans="1:13" x14ac:dyDescent="0.35">
      <c r="A1110" t="s">
        <v>1063</v>
      </c>
      <c r="B1110" t="s">
        <v>309</v>
      </c>
      <c r="C1110" t="s">
        <v>543</v>
      </c>
      <c r="D1110" t="s">
        <v>633</v>
      </c>
      <c r="E1110" s="1">
        <v>45153</v>
      </c>
      <c r="F1110" s="1">
        <v>45158</v>
      </c>
      <c r="G1110" s="1"/>
      <c r="H1110" s="4" t="str">
        <f>IF(Claims_Cleaned[[#This Row],[processed_date]]="","",Claims_Cleaned[[#This Row],[processed_date]]-Claims_Cleaned[[#This Row],[submission_date]])</f>
        <v/>
      </c>
      <c r="I1110" s="4" t="str">
        <f>TEXT(Claims_Cleaned[[#This Row],[claim_date]],"mmm-yyyy")</f>
        <v>Aug-2023</v>
      </c>
      <c r="J1110" t="s">
        <v>13</v>
      </c>
      <c r="K1110">
        <v>519.16999999999996</v>
      </c>
      <c r="L1110" t="s">
        <v>689</v>
      </c>
    </row>
    <row r="1111" spans="1:13" x14ac:dyDescent="0.35">
      <c r="A1111" t="s">
        <v>2303</v>
      </c>
      <c r="B1111" t="s">
        <v>158</v>
      </c>
      <c r="C1111" t="s">
        <v>571</v>
      </c>
      <c r="D1111" t="s">
        <v>633</v>
      </c>
      <c r="E1111" s="1">
        <v>45351</v>
      </c>
      <c r="F1111" s="1">
        <v>45355</v>
      </c>
      <c r="G1111" s="1">
        <v>45384</v>
      </c>
      <c r="H1111" s="4">
        <f>IF(Claims_Cleaned[[#This Row],[processed_date]]="","",Claims_Cleaned[[#This Row],[processed_date]]-Claims_Cleaned[[#This Row],[submission_date]])</f>
        <v>29</v>
      </c>
      <c r="I1111" s="4" t="str">
        <f>TEXT(Claims_Cleaned[[#This Row],[claim_date]],"mmm-yyyy")</f>
        <v>Feb-2024</v>
      </c>
      <c r="J1111" t="s">
        <v>11</v>
      </c>
      <c r="K1111">
        <v>518.47</v>
      </c>
      <c r="L1111" t="s">
        <v>683</v>
      </c>
      <c r="M1111">
        <v>29</v>
      </c>
    </row>
    <row r="1112" spans="1:13" x14ac:dyDescent="0.35">
      <c r="A1112" t="s">
        <v>1127</v>
      </c>
      <c r="B1112" t="s">
        <v>55</v>
      </c>
      <c r="C1112" t="s">
        <v>565</v>
      </c>
      <c r="D1112" t="s">
        <v>633</v>
      </c>
      <c r="E1112" s="1">
        <v>45129</v>
      </c>
      <c r="F1112" s="1">
        <v>45132</v>
      </c>
      <c r="G1112" s="1">
        <v>45143</v>
      </c>
      <c r="H1112" s="4">
        <f>IF(Claims_Cleaned[[#This Row],[processed_date]]="","",Claims_Cleaned[[#This Row],[processed_date]]-Claims_Cleaned[[#This Row],[submission_date]])</f>
        <v>11</v>
      </c>
      <c r="I1112" s="4" t="str">
        <f>TEXT(Claims_Cleaned[[#This Row],[claim_date]],"mmm-yyyy")</f>
        <v>Jul-2023</v>
      </c>
      <c r="J1112" t="s">
        <v>11</v>
      </c>
      <c r="K1112">
        <v>517.82000000000005</v>
      </c>
      <c r="L1112" t="s">
        <v>687</v>
      </c>
      <c r="M1112">
        <v>11</v>
      </c>
    </row>
    <row r="1113" spans="1:13" x14ac:dyDescent="0.35">
      <c r="A1113" t="s">
        <v>1627</v>
      </c>
      <c r="B1113" t="s">
        <v>465</v>
      </c>
      <c r="C1113" t="s">
        <v>597</v>
      </c>
      <c r="D1113" t="s">
        <v>633</v>
      </c>
      <c r="E1113" s="1">
        <v>45263</v>
      </c>
      <c r="F1113" s="1">
        <v>45264</v>
      </c>
      <c r="G1113" s="1">
        <v>45291</v>
      </c>
      <c r="H1113" s="4">
        <f>IF(Claims_Cleaned[[#This Row],[processed_date]]="","",Claims_Cleaned[[#This Row],[processed_date]]-Claims_Cleaned[[#This Row],[submission_date]])</f>
        <v>27</v>
      </c>
      <c r="I1113" s="4" t="str">
        <f>TEXT(Claims_Cleaned[[#This Row],[claim_date]],"mmm-yyyy")</f>
        <v>Dec-2023</v>
      </c>
      <c r="J1113" t="s">
        <v>11</v>
      </c>
      <c r="K1113">
        <v>517.14</v>
      </c>
      <c r="L1113" t="s">
        <v>683</v>
      </c>
      <c r="M1113">
        <v>27</v>
      </c>
    </row>
    <row r="1114" spans="1:13" x14ac:dyDescent="0.35">
      <c r="A1114" t="s">
        <v>2346</v>
      </c>
      <c r="B1114" t="s">
        <v>301</v>
      </c>
      <c r="C1114" t="s">
        <v>524</v>
      </c>
      <c r="D1114" t="s">
        <v>667</v>
      </c>
      <c r="E1114" s="1">
        <v>45184</v>
      </c>
      <c r="F1114" s="1">
        <v>45187</v>
      </c>
      <c r="G1114" s="1">
        <v>45198</v>
      </c>
      <c r="H1114" s="4">
        <f>IF(Claims_Cleaned[[#This Row],[processed_date]]="","",Claims_Cleaned[[#This Row],[processed_date]]-Claims_Cleaned[[#This Row],[submission_date]])</f>
        <v>11</v>
      </c>
      <c r="I1114" s="4" t="str">
        <f>TEXT(Claims_Cleaned[[#This Row],[claim_date]],"mmm-yyyy")</f>
        <v>Sep-2023</v>
      </c>
      <c r="J1114" t="s">
        <v>8</v>
      </c>
      <c r="K1114">
        <v>516.66</v>
      </c>
      <c r="L1114" t="s">
        <v>683</v>
      </c>
      <c r="M1114">
        <v>11</v>
      </c>
    </row>
    <row r="1115" spans="1:13" x14ac:dyDescent="0.35">
      <c r="A1115" t="s">
        <v>1470</v>
      </c>
      <c r="B1115" t="s">
        <v>481</v>
      </c>
      <c r="C1115" t="s">
        <v>583</v>
      </c>
      <c r="D1115" t="s">
        <v>667</v>
      </c>
      <c r="E1115" s="1">
        <v>45017</v>
      </c>
      <c r="F1115" s="1">
        <v>45018</v>
      </c>
      <c r="G1115" s="1">
        <v>45044</v>
      </c>
      <c r="H1115" s="4">
        <f>IF(Claims_Cleaned[[#This Row],[processed_date]]="","",Claims_Cleaned[[#This Row],[processed_date]]-Claims_Cleaned[[#This Row],[submission_date]])</f>
        <v>26</v>
      </c>
      <c r="I1115" s="4" t="str">
        <f>TEXT(Claims_Cleaned[[#This Row],[claim_date]],"mmm-yyyy")</f>
        <v>Apr-2023</v>
      </c>
      <c r="J1115" t="s">
        <v>8</v>
      </c>
      <c r="K1115">
        <v>515.11</v>
      </c>
      <c r="L1115" t="s">
        <v>683</v>
      </c>
      <c r="M1115">
        <v>26</v>
      </c>
    </row>
    <row r="1116" spans="1:13" x14ac:dyDescent="0.35">
      <c r="A1116" t="s">
        <v>1705</v>
      </c>
      <c r="B1116" t="s">
        <v>299</v>
      </c>
      <c r="C1116" t="s">
        <v>573</v>
      </c>
      <c r="D1116" t="s">
        <v>667</v>
      </c>
      <c r="E1116" s="1">
        <v>45462</v>
      </c>
      <c r="F1116" s="1">
        <v>45465</v>
      </c>
      <c r="G1116" s="1">
        <v>45472</v>
      </c>
      <c r="H1116" s="4">
        <f>IF(Claims_Cleaned[[#This Row],[processed_date]]="","",Claims_Cleaned[[#This Row],[processed_date]]-Claims_Cleaned[[#This Row],[submission_date]])</f>
        <v>7</v>
      </c>
      <c r="I1116" s="4" t="str">
        <f>TEXT(Claims_Cleaned[[#This Row],[claim_date]],"mmm-yyyy")</f>
        <v>Jun-2024</v>
      </c>
      <c r="J1116" t="s">
        <v>25</v>
      </c>
      <c r="K1116">
        <v>513.66</v>
      </c>
      <c r="L1116" t="s">
        <v>687</v>
      </c>
      <c r="M1116">
        <v>7</v>
      </c>
    </row>
    <row r="1117" spans="1:13" x14ac:dyDescent="0.35">
      <c r="A1117" t="s">
        <v>2356</v>
      </c>
      <c r="B1117" t="s">
        <v>88</v>
      </c>
      <c r="C1117" t="s">
        <v>565</v>
      </c>
      <c r="D1117" t="s">
        <v>633</v>
      </c>
      <c r="E1117" s="1">
        <v>45486</v>
      </c>
      <c r="F1117" s="1">
        <v>45491</v>
      </c>
      <c r="G1117" s="1"/>
      <c r="H1117" s="4" t="str">
        <f>IF(Claims_Cleaned[[#This Row],[processed_date]]="","",Claims_Cleaned[[#This Row],[processed_date]]-Claims_Cleaned[[#This Row],[submission_date]])</f>
        <v/>
      </c>
      <c r="I1117" s="4" t="str">
        <f>TEXT(Claims_Cleaned[[#This Row],[claim_date]],"mmm-yyyy")</f>
        <v>Jul-2024</v>
      </c>
      <c r="J1117" t="s">
        <v>13</v>
      </c>
      <c r="K1117">
        <v>513.63</v>
      </c>
      <c r="L1117" t="s">
        <v>689</v>
      </c>
    </row>
    <row r="1118" spans="1:13" x14ac:dyDescent="0.35">
      <c r="A1118" t="s">
        <v>2012</v>
      </c>
      <c r="B1118" t="s">
        <v>286</v>
      </c>
      <c r="C1118" t="s">
        <v>591</v>
      </c>
      <c r="D1118" t="s">
        <v>633</v>
      </c>
      <c r="E1118" s="1">
        <v>45551</v>
      </c>
      <c r="F1118" s="1">
        <v>45554</v>
      </c>
      <c r="G1118" s="1">
        <v>45562</v>
      </c>
      <c r="H1118" s="4">
        <f>IF(Claims_Cleaned[[#This Row],[processed_date]]="","",Claims_Cleaned[[#This Row],[processed_date]]-Claims_Cleaned[[#This Row],[submission_date]])</f>
        <v>8</v>
      </c>
      <c r="I1118" s="4" t="str">
        <f>TEXT(Claims_Cleaned[[#This Row],[claim_date]],"mmm-yyyy")</f>
        <v>Sep-2024</v>
      </c>
      <c r="J1118" t="s">
        <v>8</v>
      </c>
      <c r="K1118">
        <v>511.19</v>
      </c>
      <c r="L1118" t="s">
        <v>683</v>
      </c>
      <c r="M1118">
        <v>8</v>
      </c>
    </row>
    <row r="1119" spans="1:13" x14ac:dyDescent="0.35">
      <c r="A1119" t="s">
        <v>1128</v>
      </c>
      <c r="B1119" t="s">
        <v>44</v>
      </c>
      <c r="C1119" t="s">
        <v>605</v>
      </c>
      <c r="D1119" t="s">
        <v>633</v>
      </c>
      <c r="E1119" s="1">
        <v>45260</v>
      </c>
      <c r="F1119" s="1">
        <v>45264</v>
      </c>
      <c r="G1119" s="1">
        <v>45288</v>
      </c>
      <c r="H1119" s="4">
        <f>IF(Claims_Cleaned[[#This Row],[processed_date]]="","",Claims_Cleaned[[#This Row],[processed_date]]-Claims_Cleaned[[#This Row],[submission_date]])</f>
        <v>24</v>
      </c>
      <c r="I1119" s="4" t="str">
        <f>TEXT(Claims_Cleaned[[#This Row],[claim_date]],"mmm-yyyy")</f>
        <v>Nov-2023</v>
      </c>
      <c r="J1119" t="s">
        <v>11</v>
      </c>
      <c r="K1119">
        <v>510.43</v>
      </c>
      <c r="L1119" t="s">
        <v>683</v>
      </c>
      <c r="M1119">
        <v>24</v>
      </c>
    </row>
    <row r="1120" spans="1:13" x14ac:dyDescent="0.35">
      <c r="A1120" t="s">
        <v>970</v>
      </c>
      <c r="B1120" t="s">
        <v>149</v>
      </c>
      <c r="C1120" t="s">
        <v>605</v>
      </c>
      <c r="D1120" t="s">
        <v>633</v>
      </c>
      <c r="E1120" s="1">
        <v>45446</v>
      </c>
      <c r="F1120" s="1">
        <v>45451</v>
      </c>
      <c r="G1120" s="1">
        <v>45466</v>
      </c>
      <c r="H1120" s="4">
        <f>IF(Claims_Cleaned[[#This Row],[processed_date]]="","",Claims_Cleaned[[#This Row],[processed_date]]-Claims_Cleaned[[#This Row],[submission_date]])</f>
        <v>15</v>
      </c>
      <c r="I1120" s="4" t="str">
        <f>TEXT(Claims_Cleaned[[#This Row],[claim_date]],"mmm-yyyy")</f>
        <v>Jun-2024</v>
      </c>
      <c r="J1120" t="s">
        <v>8</v>
      </c>
      <c r="K1120">
        <v>510.33</v>
      </c>
      <c r="L1120" t="s">
        <v>683</v>
      </c>
      <c r="M1120">
        <v>15</v>
      </c>
    </row>
    <row r="1121" spans="1:13" x14ac:dyDescent="0.35">
      <c r="A1121" t="s">
        <v>1913</v>
      </c>
      <c r="B1121" t="s">
        <v>511</v>
      </c>
      <c r="C1121" t="s">
        <v>581</v>
      </c>
      <c r="D1121" t="s">
        <v>633</v>
      </c>
      <c r="E1121" s="1">
        <v>45444</v>
      </c>
      <c r="F1121" s="1">
        <v>45448</v>
      </c>
      <c r="G1121" s="1"/>
      <c r="H1121" s="4" t="str">
        <f>IF(Claims_Cleaned[[#This Row],[processed_date]]="","",Claims_Cleaned[[#This Row],[processed_date]]-Claims_Cleaned[[#This Row],[submission_date]])</f>
        <v/>
      </c>
      <c r="I1121" s="4" t="str">
        <f>TEXT(Claims_Cleaned[[#This Row],[claim_date]],"mmm-yyyy")</f>
        <v>Jun-2024</v>
      </c>
      <c r="J1121" t="s">
        <v>11</v>
      </c>
      <c r="K1121">
        <v>508.01</v>
      </c>
      <c r="L1121" t="s">
        <v>689</v>
      </c>
    </row>
    <row r="1122" spans="1:13" x14ac:dyDescent="0.35">
      <c r="A1122" t="s">
        <v>938</v>
      </c>
      <c r="B1122" t="s">
        <v>199</v>
      </c>
      <c r="C1122" t="s">
        <v>531</v>
      </c>
      <c r="D1122" t="s">
        <v>633</v>
      </c>
      <c r="E1122" s="1">
        <v>45353</v>
      </c>
      <c r="F1122" s="1">
        <v>45355</v>
      </c>
      <c r="G1122" s="1">
        <v>45381</v>
      </c>
      <c r="H1122" s="4">
        <f>IF(Claims_Cleaned[[#This Row],[processed_date]]="","",Claims_Cleaned[[#This Row],[processed_date]]-Claims_Cleaned[[#This Row],[submission_date]])</f>
        <v>26</v>
      </c>
      <c r="I1122" s="4" t="str">
        <f>TEXT(Claims_Cleaned[[#This Row],[claim_date]],"mmm-yyyy")</f>
        <v>Mar-2024</v>
      </c>
      <c r="J1122" t="s">
        <v>11</v>
      </c>
      <c r="K1122">
        <v>507.5</v>
      </c>
      <c r="L1122" t="s">
        <v>687</v>
      </c>
      <c r="M1122">
        <v>26</v>
      </c>
    </row>
    <row r="1123" spans="1:13" x14ac:dyDescent="0.35">
      <c r="A1123" t="s">
        <v>2262</v>
      </c>
      <c r="B1123" t="s">
        <v>470</v>
      </c>
      <c r="C1123" t="s">
        <v>607</v>
      </c>
      <c r="D1123" t="s">
        <v>667</v>
      </c>
      <c r="E1123" s="1">
        <v>44945</v>
      </c>
      <c r="F1123" s="1">
        <v>44947</v>
      </c>
      <c r="G1123" s="1">
        <v>44975</v>
      </c>
      <c r="H1123" s="4">
        <f>IF(Claims_Cleaned[[#This Row],[processed_date]]="","",Claims_Cleaned[[#This Row],[processed_date]]-Claims_Cleaned[[#This Row],[submission_date]])</f>
        <v>28</v>
      </c>
      <c r="I1123" s="4" t="str">
        <f>TEXT(Claims_Cleaned[[#This Row],[claim_date]],"mmm-yyyy")</f>
        <v>Jan-2023</v>
      </c>
      <c r="J1123" t="s">
        <v>11</v>
      </c>
      <c r="K1123">
        <v>506.12</v>
      </c>
      <c r="L1123" t="s">
        <v>683</v>
      </c>
      <c r="M1123">
        <v>28</v>
      </c>
    </row>
    <row r="1124" spans="1:13" x14ac:dyDescent="0.35">
      <c r="A1124" t="s">
        <v>1109</v>
      </c>
      <c r="B1124" t="s">
        <v>309</v>
      </c>
      <c r="C1124" t="s">
        <v>591</v>
      </c>
      <c r="D1124" t="s">
        <v>667</v>
      </c>
      <c r="E1124" s="1">
        <v>44989</v>
      </c>
      <c r="F1124" s="1">
        <v>44994</v>
      </c>
      <c r="G1124" s="1">
        <v>45022</v>
      </c>
      <c r="H1124" s="4">
        <f>IF(Claims_Cleaned[[#This Row],[processed_date]]="","",Claims_Cleaned[[#This Row],[processed_date]]-Claims_Cleaned[[#This Row],[submission_date]])</f>
        <v>28</v>
      </c>
      <c r="I1124" s="4" t="str">
        <f>TEXT(Claims_Cleaned[[#This Row],[claim_date]],"mmm-yyyy")</f>
        <v>Mar-2023</v>
      </c>
      <c r="J1124" t="s">
        <v>13</v>
      </c>
      <c r="K1124">
        <v>505.84</v>
      </c>
      <c r="L1124" t="s">
        <v>683</v>
      </c>
      <c r="M1124">
        <v>28</v>
      </c>
    </row>
    <row r="1125" spans="1:13" x14ac:dyDescent="0.35">
      <c r="A1125" t="s">
        <v>2378</v>
      </c>
      <c r="B1125" t="s">
        <v>399</v>
      </c>
      <c r="C1125" t="s">
        <v>561</v>
      </c>
      <c r="D1125" t="s">
        <v>633</v>
      </c>
      <c r="E1125" s="1">
        <v>45583</v>
      </c>
      <c r="F1125" s="1">
        <v>45588</v>
      </c>
      <c r="G1125" s="1">
        <v>45592</v>
      </c>
      <c r="H1125" s="4">
        <f>IF(Claims_Cleaned[[#This Row],[processed_date]]="","",Claims_Cleaned[[#This Row],[processed_date]]-Claims_Cleaned[[#This Row],[submission_date]])</f>
        <v>4</v>
      </c>
      <c r="I1125" s="4" t="str">
        <f>TEXT(Claims_Cleaned[[#This Row],[claim_date]],"mmm-yyyy")</f>
        <v>Oct-2024</v>
      </c>
      <c r="J1125" t="s">
        <v>13</v>
      </c>
      <c r="K1125">
        <v>504.02</v>
      </c>
      <c r="L1125" t="s">
        <v>683</v>
      </c>
      <c r="M1125">
        <v>4</v>
      </c>
    </row>
    <row r="1126" spans="1:13" x14ac:dyDescent="0.35">
      <c r="A1126" t="s">
        <v>1153</v>
      </c>
      <c r="B1126" t="s">
        <v>492</v>
      </c>
      <c r="C1126" t="s">
        <v>571</v>
      </c>
      <c r="D1126" t="s">
        <v>633</v>
      </c>
      <c r="E1126" s="1">
        <v>45251</v>
      </c>
      <c r="F1126" s="1">
        <v>45255</v>
      </c>
      <c r="G1126" s="1">
        <v>45275</v>
      </c>
      <c r="H1126" s="4">
        <f>IF(Claims_Cleaned[[#This Row],[processed_date]]="","",Claims_Cleaned[[#This Row],[processed_date]]-Claims_Cleaned[[#This Row],[submission_date]])</f>
        <v>20</v>
      </c>
      <c r="I1126" s="4" t="str">
        <f>TEXT(Claims_Cleaned[[#This Row],[claim_date]],"mmm-yyyy")</f>
        <v>Nov-2023</v>
      </c>
      <c r="J1126" t="s">
        <v>13</v>
      </c>
      <c r="K1126">
        <v>501.85</v>
      </c>
      <c r="L1126" t="s">
        <v>683</v>
      </c>
      <c r="M1126">
        <v>20</v>
      </c>
    </row>
    <row r="1127" spans="1:13" x14ac:dyDescent="0.35">
      <c r="A1127" t="s">
        <v>1252</v>
      </c>
      <c r="B1127" t="s">
        <v>502</v>
      </c>
      <c r="C1127" t="s">
        <v>537</v>
      </c>
      <c r="D1127" t="s">
        <v>667</v>
      </c>
      <c r="E1127" s="1">
        <v>45483</v>
      </c>
      <c r="F1127" s="1">
        <v>45484</v>
      </c>
      <c r="G1127" s="1">
        <v>45495</v>
      </c>
      <c r="H1127" s="4">
        <f>IF(Claims_Cleaned[[#This Row],[processed_date]]="","",Claims_Cleaned[[#This Row],[processed_date]]-Claims_Cleaned[[#This Row],[submission_date]])</f>
        <v>11</v>
      </c>
      <c r="I1127" s="4" t="str">
        <f>TEXT(Claims_Cleaned[[#This Row],[claim_date]],"mmm-yyyy")</f>
        <v>Jul-2024</v>
      </c>
      <c r="J1127" t="s">
        <v>13</v>
      </c>
      <c r="K1127">
        <v>500.93</v>
      </c>
      <c r="L1127" t="s">
        <v>683</v>
      </c>
      <c r="M1127">
        <v>11</v>
      </c>
    </row>
    <row r="1128" spans="1:13" x14ac:dyDescent="0.35">
      <c r="A1128" t="s">
        <v>924</v>
      </c>
      <c r="B1128" t="s">
        <v>187</v>
      </c>
      <c r="C1128" t="s">
        <v>581</v>
      </c>
      <c r="D1128" t="s">
        <v>633</v>
      </c>
      <c r="E1128" s="1">
        <v>44984</v>
      </c>
      <c r="F1128" s="1">
        <v>44988</v>
      </c>
      <c r="G1128" s="1">
        <v>45003</v>
      </c>
      <c r="H1128" s="4">
        <f>IF(Claims_Cleaned[[#This Row],[processed_date]]="","",Claims_Cleaned[[#This Row],[processed_date]]-Claims_Cleaned[[#This Row],[submission_date]])</f>
        <v>15</v>
      </c>
      <c r="I1128" s="4" t="str">
        <f>TEXT(Claims_Cleaned[[#This Row],[claim_date]],"mmm-yyyy")</f>
        <v>Feb-2023</v>
      </c>
      <c r="J1128" t="s">
        <v>11</v>
      </c>
      <c r="K1128">
        <v>500.13</v>
      </c>
      <c r="L1128" t="s">
        <v>683</v>
      </c>
      <c r="M1128">
        <v>15</v>
      </c>
    </row>
    <row r="1129" spans="1:13" x14ac:dyDescent="0.35">
      <c r="A1129" t="s">
        <v>2673</v>
      </c>
      <c r="B1129" t="s">
        <v>421</v>
      </c>
      <c r="C1129" t="s">
        <v>567</v>
      </c>
      <c r="D1129" t="s">
        <v>633</v>
      </c>
      <c r="E1129" s="1">
        <v>45147</v>
      </c>
      <c r="F1129" s="1">
        <v>45148</v>
      </c>
      <c r="G1129" s="1">
        <v>45171</v>
      </c>
      <c r="H1129" s="4">
        <f>IF(Claims_Cleaned[[#This Row],[processed_date]]="","",Claims_Cleaned[[#This Row],[processed_date]]-Claims_Cleaned[[#This Row],[submission_date]])</f>
        <v>23</v>
      </c>
      <c r="I1129" s="4" t="str">
        <f>TEXT(Claims_Cleaned[[#This Row],[claim_date]],"mmm-yyyy")</f>
        <v>Aug-2023</v>
      </c>
      <c r="J1129" t="s">
        <v>8</v>
      </c>
      <c r="K1129">
        <v>499.39</v>
      </c>
      <c r="L1129" t="s">
        <v>683</v>
      </c>
      <c r="M1129">
        <v>23</v>
      </c>
    </row>
    <row r="1130" spans="1:13" x14ac:dyDescent="0.35">
      <c r="A1130" t="s">
        <v>1908</v>
      </c>
      <c r="B1130" t="s">
        <v>428</v>
      </c>
      <c r="C1130" t="s">
        <v>527</v>
      </c>
      <c r="D1130" t="s">
        <v>667</v>
      </c>
      <c r="E1130" s="1">
        <v>45516</v>
      </c>
      <c r="F1130" s="1">
        <v>45519</v>
      </c>
      <c r="G1130" s="1">
        <v>45539</v>
      </c>
      <c r="H1130" s="4">
        <f>IF(Claims_Cleaned[[#This Row],[processed_date]]="","",Claims_Cleaned[[#This Row],[processed_date]]-Claims_Cleaned[[#This Row],[submission_date]])</f>
        <v>20</v>
      </c>
      <c r="I1130" s="4" t="str">
        <f>TEXT(Claims_Cleaned[[#This Row],[claim_date]],"mmm-yyyy")</f>
        <v>Aug-2024</v>
      </c>
      <c r="J1130" t="s">
        <v>20</v>
      </c>
      <c r="K1130">
        <v>499.26</v>
      </c>
      <c r="L1130" t="s">
        <v>683</v>
      </c>
      <c r="M1130">
        <v>20</v>
      </c>
    </row>
    <row r="1131" spans="1:13" x14ac:dyDescent="0.35">
      <c r="A1131" t="s">
        <v>1120</v>
      </c>
      <c r="B1131" t="s">
        <v>208</v>
      </c>
      <c r="C1131" t="s">
        <v>593</v>
      </c>
      <c r="D1131" t="s">
        <v>633</v>
      </c>
      <c r="E1131" s="1">
        <v>45212</v>
      </c>
      <c r="F1131" s="1">
        <v>45214</v>
      </c>
      <c r="G1131" s="1">
        <v>45228</v>
      </c>
      <c r="H1131" s="4">
        <f>IF(Claims_Cleaned[[#This Row],[processed_date]]="","",Claims_Cleaned[[#This Row],[processed_date]]-Claims_Cleaned[[#This Row],[submission_date]])</f>
        <v>14</v>
      </c>
      <c r="I1131" s="4" t="str">
        <f>TEXT(Claims_Cleaned[[#This Row],[claim_date]],"mmm-yyyy")</f>
        <v>Oct-2023</v>
      </c>
      <c r="J1131" t="s">
        <v>13</v>
      </c>
      <c r="K1131">
        <v>498.21</v>
      </c>
      <c r="L1131" t="s">
        <v>683</v>
      </c>
      <c r="M1131">
        <v>14</v>
      </c>
    </row>
    <row r="1132" spans="1:13" x14ac:dyDescent="0.35">
      <c r="A1132" t="s">
        <v>1013</v>
      </c>
      <c r="B1132" t="s">
        <v>200</v>
      </c>
      <c r="C1132" t="s">
        <v>607</v>
      </c>
      <c r="D1132" t="s">
        <v>633</v>
      </c>
      <c r="E1132" s="1">
        <v>45321</v>
      </c>
      <c r="F1132" s="1">
        <v>45322</v>
      </c>
      <c r="G1132" s="1">
        <v>45328</v>
      </c>
      <c r="H1132" s="4">
        <f>IF(Claims_Cleaned[[#This Row],[processed_date]]="","",Claims_Cleaned[[#This Row],[processed_date]]-Claims_Cleaned[[#This Row],[submission_date]])</f>
        <v>6</v>
      </c>
      <c r="I1132" s="4" t="str">
        <f>TEXT(Claims_Cleaned[[#This Row],[claim_date]],"mmm-yyyy")</f>
        <v>Jan-2024</v>
      </c>
      <c r="J1132" t="s">
        <v>20</v>
      </c>
      <c r="K1132">
        <v>498.07</v>
      </c>
      <c r="L1132" t="s">
        <v>683</v>
      </c>
      <c r="M1132">
        <v>6</v>
      </c>
    </row>
    <row r="1133" spans="1:13" x14ac:dyDescent="0.35">
      <c r="A1133" t="s">
        <v>1974</v>
      </c>
      <c r="B1133" t="s">
        <v>331</v>
      </c>
      <c r="C1133" t="s">
        <v>587</v>
      </c>
      <c r="D1133" t="s">
        <v>671</v>
      </c>
      <c r="E1133" s="1">
        <v>45063</v>
      </c>
      <c r="F1133" s="1">
        <v>45064</v>
      </c>
      <c r="G1133" s="1">
        <v>45075</v>
      </c>
      <c r="H1133" s="4">
        <f>IF(Claims_Cleaned[[#This Row],[processed_date]]="","",Claims_Cleaned[[#This Row],[processed_date]]-Claims_Cleaned[[#This Row],[submission_date]])</f>
        <v>11</v>
      </c>
      <c r="I1133" s="4" t="str">
        <f>TEXT(Claims_Cleaned[[#This Row],[claim_date]],"mmm-yyyy")</f>
        <v>May-2023</v>
      </c>
      <c r="J1133" t="s">
        <v>8</v>
      </c>
      <c r="K1133">
        <v>496.11</v>
      </c>
      <c r="L1133" t="s">
        <v>683</v>
      </c>
      <c r="M1133">
        <v>11</v>
      </c>
    </row>
    <row r="1134" spans="1:13" x14ac:dyDescent="0.35">
      <c r="A1134" t="s">
        <v>1815</v>
      </c>
      <c r="B1134" t="s">
        <v>302</v>
      </c>
      <c r="C1134" t="s">
        <v>585</v>
      </c>
      <c r="D1134" t="s">
        <v>671</v>
      </c>
      <c r="E1134" s="1">
        <v>45154</v>
      </c>
      <c r="F1134" s="1">
        <v>45156</v>
      </c>
      <c r="G1134" s="1">
        <v>45172</v>
      </c>
      <c r="H1134" s="4">
        <f>IF(Claims_Cleaned[[#This Row],[processed_date]]="","",Claims_Cleaned[[#This Row],[processed_date]]-Claims_Cleaned[[#This Row],[submission_date]])</f>
        <v>16</v>
      </c>
      <c r="I1134" s="4" t="str">
        <f>TEXT(Claims_Cleaned[[#This Row],[claim_date]],"mmm-yyyy")</f>
        <v>Aug-2023</v>
      </c>
      <c r="J1134" t="s">
        <v>8</v>
      </c>
      <c r="K1134">
        <v>495.53</v>
      </c>
      <c r="L1134" t="s">
        <v>687</v>
      </c>
      <c r="M1134">
        <v>16</v>
      </c>
    </row>
    <row r="1135" spans="1:13" x14ac:dyDescent="0.35">
      <c r="A1135" t="s">
        <v>2613</v>
      </c>
      <c r="B1135" t="s">
        <v>203</v>
      </c>
      <c r="C1135" t="s">
        <v>609</v>
      </c>
      <c r="D1135" t="s">
        <v>671</v>
      </c>
      <c r="E1135" s="1">
        <v>45377</v>
      </c>
      <c r="F1135" s="1">
        <v>45378</v>
      </c>
      <c r="G1135" s="1">
        <v>45399</v>
      </c>
      <c r="H1135" s="4">
        <f>IF(Claims_Cleaned[[#This Row],[processed_date]]="","",Claims_Cleaned[[#This Row],[processed_date]]-Claims_Cleaned[[#This Row],[submission_date]])</f>
        <v>21</v>
      </c>
      <c r="I1135" s="4" t="str">
        <f>TEXT(Claims_Cleaned[[#This Row],[claim_date]],"mmm-yyyy")</f>
        <v>Mar-2024</v>
      </c>
      <c r="J1135" t="s">
        <v>25</v>
      </c>
      <c r="K1135">
        <v>494.63</v>
      </c>
      <c r="L1135" t="s">
        <v>683</v>
      </c>
      <c r="M1135">
        <v>21</v>
      </c>
    </row>
    <row r="1136" spans="1:13" x14ac:dyDescent="0.35">
      <c r="A1136" t="s">
        <v>1950</v>
      </c>
      <c r="B1136" t="s">
        <v>288</v>
      </c>
      <c r="C1136" t="s">
        <v>531</v>
      </c>
      <c r="D1136" t="s">
        <v>671</v>
      </c>
      <c r="E1136" s="1">
        <v>45051</v>
      </c>
      <c r="F1136" s="1">
        <v>45052</v>
      </c>
      <c r="G1136" s="1">
        <v>45055</v>
      </c>
      <c r="H1136" s="4">
        <f>IF(Claims_Cleaned[[#This Row],[processed_date]]="","",Claims_Cleaned[[#This Row],[processed_date]]-Claims_Cleaned[[#This Row],[submission_date]])</f>
        <v>3</v>
      </c>
      <c r="I1136" s="4" t="str">
        <f>TEXT(Claims_Cleaned[[#This Row],[claim_date]],"mmm-yyyy")</f>
        <v>May-2023</v>
      </c>
      <c r="J1136" t="s">
        <v>11</v>
      </c>
      <c r="K1136">
        <v>493.87</v>
      </c>
      <c r="L1136" t="s">
        <v>683</v>
      </c>
      <c r="M1136">
        <v>3</v>
      </c>
    </row>
    <row r="1137" spans="1:13" x14ac:dyDescent="0.35">
      <c r="A1137" t="s">
        <v>820</v>
      </c>
      <c r="B1137" t="s">
        <v>373</v>
      </c>
      <c r="C1137" t="s">
        <v>567</v>
      </c>
      <c r="D1137" t="s">
        <v>671</v>
      </c>
      <c r="E1137" s="1">
        <v>45655</v>
      </c>
      <c r="F1137" s="1">
        <v>45660</v>
      </c>
      <c r="G1137" s="1">
        <v>45672</v>
      </c>
      <c r="H1137" s="4">
        <f>IF(Claims_Cleaned[[#This Row],[processed_date]]="","",Claims_Cleaned[[#This Row],[processed_date]]-Claims_Cleaned[[#This Row],[submission_date]])</f>
        <v>12</v>
      </c>
      <c r="I1137" s="4" t="str">
        <f>TEXT(Claims_Cleaned[[#This Row],[claim_date]],"mmm-yyyy")</f>
        <v>Dec-2024</v>
      </c>
      <c r="J1137" t="s">
        <v>20</v>
      </c>
      <c r="K1137">
        <v>491.69</v>
      </c>
      <c r="L1137" t="s">
        <v>687</v>
      </c>
      <c r="M1137">
        <v>12</v>
      </c>
    </row>
    <row r="1138" spans="1:13" x14ac:dyDescent="0.35">
      <c r="A1138" t="s">
        <v>1419</v>
      </c>
      <c r="B1138" t="s">
        <v>440</v>
      </c>
      <c r="C1138" t="s">
        <v>524</v>
      </c>
      <c r="D1138" t="s">
        <v>671</v>
      </c>
      <c r="E1138" s="1">
        <v>44985</v>
      </c>
      <c r="F1138" s="1">
        <v>44987</v>
      </c>
      <c r="G1138" s="1">
        <v>44998</v>
      </c>
      <c r="H1138" s="4">
        <f>IF(Claims_Cleaned[[#This Row],[processed_date]]="","",Claims_Cleaned[[#This Row],[processed_date]]-Claims_Cleaned[[#This Row],[submission_date]])</f>
        <v>11</v>
      </c>
      <c r="I1138" s="4" t="str">
        <f>TEXT(Claims_Cleaned[[#This Row],[claim_date]],"mmm-yyyy")</f>
        <v>Feb-2023</v>
      </c>
      <c r="J1138" t="s">
        <v>20</v>
      </c>
      <c r="K1138">
        <v>490.47</v>
      </c>
      <c r="L1138" t="s">
        <v>683</v>
      </c>
      <c r="M1138">
        <v>11</v>
      </c>
    </row>
    <row r="1139" spans="1:13" x14ac:dyDescent="0.35">
      <c r="A1139" t="s">
        <v>1618</v>
      </c>
      <c r="B1139" t="s">
        <v>459</v>
      </c>
      <c r="C1139" t="s">
        <v>577</v>
      </c>
      <c r="D1139" t="s">
        <v>671</v>
      </c>
      <c r="E1139" s="1">
        <v>45596</v>
      </c>
      <c r="F1139" s="1">
        <v>45600</v>
      </c>
      <c r="G1139" s="1">
        <v>45628</v>
      </c>
      <c r="H1139" s="4">
        <f>IF(Claims_Cleaned[[#This Row],[processed_date]]="","",Claims_Cleaned[[#This Row],[processed_date]]-Claims_Cleaned[[#This Row],[submission_date]])</f>
        <v>28</v>
      </c>
      <c r="I1139" s="4" t="str">
        <f>TEXT(Claims_Cleaned[[#This Row],[claim_date]],"mmm-yyyy")</f>
        <v>Oct-2024</v>
      </c>
      <c r="J1139" t="s">
        <v>25</v>
      </c>
      <c r="K1139">
        <v>488.95</v>
      </c>
      <c r="L1139" t="s">
        <v>683</v>
      </c>
      <c r="M1139">
        <v>28</v>
      </c>
    </row>
    <row r="1140" spans="1:13" x14ac:dyDescent="0.35">
      <c r="A1140" t="s">
        <v>1798</v>
      </c>
      <c r="B1140" t="s">
        <v>287</v>
      </c>
      <c r="C1140" t="s">
        <v>531</v>
      </c>
      <c r="D1140" t="s">
        <v>671</v>
      </c>
      <c r="E1140" s="1">
        <v>45600</v>
      </c>
      <c r="F1140" s="1">
        <v>45605</v>
      </c>
      <c r="G1140" s="1">
        <v>45633</v>
      </c>
      <c r="H1140" s="4">
        <f>IF(Claims_Cleaned[[#This Row],[processed_date]]="","",Claims_Cleaned[[#This Row],[processed_date]]-Claims_Cleaned[[#This Row],[submission_date]])</f>
        <v>28</v>
      </c>
      <c r="I1140" s="4" t="str">
        <f>TEXT(Claims_Cleaned[[#This Row],[claim_date]],"mmm-yyyy")</f>
        <v>Nov-2024</v>
      </c>
      <c r="J1140" t="s">
        <v>20</v>
      </c>
      <c r="K1140">
        <v>486.43</v>
      </c>
      <c r="L1140" t="s">
        <v>683</v>
      </c>
      <c r="M1140">
        <v>28</v>
      </c>
    </row>
    <row r="1141" spans="1:13" x14ac:dyDescent="0.35">
      <c r="A1141" t="s">
        <v>1958</v>
      </c>
      <c r="B1141" t="s">
        <v>278</v>
      </c>
      <c r="C1141" t="s">
        <v>567</v>
      </c>
      <c r="D1141" t="s">
        <v>633</v>
      </c>
      <c r="E1141" s="1">
        <v>45067</v>
      </c>
      <c r="F1141" s="1">
        <v>45071</v>
      </c>
      <c r="G1141" s="1">
        <v>45076</v>
      </c>
      <c r="H1141" s="4">
        <f>IF(Claims_Cleaned[[#This Row],[processed_date]]="","",Claims_Cleaned[[#This Row],[processed_date]]-Claims_Cleaned[[#This Row],[submission_date]])</f>
        <v>5</v>
      </c>
      <c r="I1141" s="4" t="str">
        <f>TEXT(Claims_Cleaned[[#This Row],[claim_date]],"mmm-yyyy")</f>
        <v>May-2023</v>
      </c>
      <c r="J1141" t="s">
        <v>25</v>
      </c>
      <c r="K1141">
        <v>485.94</v>
      </c>
      <c r="L1141" t="s">
        <v>687</v>
      </c>
      <c r="M1141">
        <v>5</v>
      </c>
    </row>
    <row r="1142" spans="1:13" x14ac:dyDescent="0.35">
      <c r="A1142" t="s">
        <v>1249</v>
      </c>
      <c r="B1142" t="s">
        <v>349</v>
      </c>
      <c r="C1142" t="s">
        <v>521</v>
      </c>
      <c r="D1142" t="s">
        <v>671</v>
      </c>
      <c r="E1142" s="1">
        <v>45259</v>
      </c>
      <c r="F1142" s="1">
        <v>45261</v>
      </c>
      <c r="G1142" s="1">
        <v>45266</v>
      </c>
      <c r="H1142" s="4">
        <f>IF(Claims_Cleaned[[#This Row],[processed_date]]="","",Claims_Cleaned[[#This Row],[processed_date]]-Claims_Cleaned[[#This Row],[submission_date]])</f>
        <v>5</v>
      </c>
      <c r="I1142" s="4" t="str">
        <f>TEXT(Claims_Cleaned[[#This Row],[claim_date]],"mmm-yyyy")</f>
        <v>Nov-2023</v>
      </c>
      <c r="J1142" t="s">
        <v>11</v>
      </c>
      <c r="K1142">
        <v>485.62</v>
      </c>
      <c r="L1142" t="s">
        <v>683</v>
      </c>
      <c r="M1142">
        <v>5</v>
      </c>
    </row>
    <row r="1143" spans="1:13" x14ac:dyDescent="0.35">
      <c r="A1143" t="s">
        <v>868</v>
      </c>
      <c r="B1143" t="s">
        <v>461</v>
      </c>
      <c r="C1143" t="s">
        <v>571</v>
      </c>
      <c r="D1143" t="s">
        <v>671</v>
      </c>
      <c r="E1143" s="1">
        <v>45215</v>
      </c>
      <c r="F1143" s="1">
        <v>45217</v>
      </c>
      <c r="G1143" s="1">
        <v>45233</v>
      </c>
      <c r="H1143" s="4">
        <f>IF(Claims_Cleaned[[#This Row],[processed_date]]="","",Claims_Cleaned[[#This Row],[processed_date]]-Claims_Cleaned[[#This Row],[submission_date]])</f>
        <v>16</v>
      </c>
      <c r="I1143" s="4" t="str">
        <f>TEXT(Claims_Cleaned[[#This Row],[claim_date]],"mmm-yyyy")</f>
        <v>Oct-2023</v>
      </c>
      <c r="J1143" t="s">
        <v>13</v>
      </c>
      <c r="K1143">
        <v>485.3</v>
      </c>
      <c r="L1143" t="s">
        <v>683</v>
      </c>
      <c r="M1143">
        <v>16</v>
      </c>
    </row>
    <row r="1144" spans="1:13" x14ac:dyDescent="0.35">
      <c r="A1144" t="s">
        <v>1256</v>
      </c>
      <c r="B1144" t="s">
        <v>236</v>
      </c>
      <c r="C1144" t="s">
        <v>585</v>
      </c>
      <c r="D1144" t="s">
        <v>633</v>
      </c>
      <c r="E1144" s="1">
        <v>44945</v>
      </c>
      <c r="F1144" s="1">
        <v>44950</v>
      </c>
      <c r="G1144" s="1">
        <v>44972</v>
      </c>
      <c r="H1144" s="4">
        <f>IF(Claims_Cleaned[[#This Row],[processed_date]]="","",Claims_Cleaned[[#This Row],[processed_date]]-Claims_Cleaned[[#This Row],[submission_date]])</f>
        <v>22</v>
      </c>
      <c r="I1144" s="4" t="str">
        <f>TEXT(Claims_Cleaned[[#This Row],[claim_date]],"mmm-yyyy")</f>
        <v>Jan-2023</v>
      </c>
      <c r="J1144" t="s">
        <v>11</v>
      </c>
      <c r="K1144">
        <v>482.05</v>
      </c>
      <c r="L1144" t="s">
        <v>683</v>
      </c>
      <c r="M1144">
        <v>22</v>
      </c>
    </row>
    <row r="1145" spans="1:13" x14ac:dyDescent="0.35">
      <c r="A1145" t="s">
        <v>2492</v>
      </c>
      <c r="B1145" t="s">
        <v>104</v>
      </c>
      <c r="C1145" t="s">
        <v>607</v>
      </c>
      <c r="D1145" t="s">
        <v>671</v>
      </c>
      <c r="E1145" s="1">
        <v>45522</v>
      </c>
      <c r="F1145" s="1">
        <v>45525</v>
      </c>
      <c r="G1145" s="1">
        <v>45546</v>
      </c>
      <c r="H1145" s="4">
        <f>IF(Claims_Cleaned[[#This Row],[processed_date]]="","",Claims_Cleaned[[#This Row],[processed_date]]-Claims_Cleaned[[#This Row],[submission_date]])</f>
        <v>21</v>
      </c>
      <c r="I1145" s="4" t="str">
        <f>TEXT(Claims_Cleaned[[#This Row],[claim_date]],"mmm-yyyy")</f>
        <v>Aug-2024</v>
      </c>
      <c r="J1145" t="s">
        <v>8</v>
      </c>
      <c r="K1145">
        <v>482.02</v>
      </c>
      <c r="L1145" t="s">
        <v>683</v>
      </c>
      <c r="M1145">
        <v>21</v>
      </c>
    </row>
    <row r="1146" spans="1:13" x14ac:dyDescent="0.35">
      <c r="A1146" t="s">
        <v>793</v>
      </c>
      <c r="B1146" t="s">
        <v>238</v>
      </c>
      <c r="C1146" t="s">
        <v>543</v>
      </c>
      <c r="D1146" t="s">
        <v>633</v>
      </c>
      <c r="E1146" s="1">
        <v>45564</v>
      </c>
      <c r="F1146" s="1">
        <v>45569</v>
      </c>
      <c r="G1146" s="1">
        <v>45581</v>
      </c>
      <c r="H1146" s="4">
        <f>IF(Claims_Cleaned[[#This Row],[processed_date]]="","",Claims_Cleaned[[#This Row],[processed_date]]-Claims_Cleaned[[#This Row],[submission_date]])</f>
        <v>12</v>
      </c>
      <c r="I1146" s="4" t="str">
        <f>TEXT(Claims_Cleaned[[#This Row],[claim_date]],"mmm-yyyy")</f>
        <v>Sep-2024</v>
      </c>
      <c r="J1146" t="s">
        <v>20</v>
      </c>
      <c r="K1146">
        <v>480.97</v>
      </c>
      <c r="L1146" t="s">
        <v>683</v>
      </c>
      <c r="M1146">
        <v>12</v>
      </c>
    </row>
    <row r="1147" spans="1:13" x14ac:dyDescent="0.35">
      <c r="A1147" t="s">
        <v>1561</v>
      </c>
      <c r="B1147" t="s">
        <v>356</v>
      </c>
      <c r="C1147" t="s">
        <v>543</v>
      </c>
      <c r="D1147" t="s">
        <v>671</v>
      </c>
      <c r="E1147" s="1">
        <v>45067</v>
      </c>
      <c r="F1147" s="1">
        <v>45072</v>
      </c>
      <c r="G1147" s="1">
        <v>45088</v>
      </c>
      <c r="H1147" s="4">
        <f>IF(Claims_Cleaned[[#This Row],[processed_date]]="","",Claims_Cleaned[[#This Row],[processed_date]]-Claims_Cleaned[[#This Row],[submission_date]])</f>
        <v>16</v>
      </c>
      <c r="I1147" s="4" t="str">
        <f>TEXT(Claims_Cleaned[[#This Row],[claim_date]],"mmm-yyyy")</f>
        <v>May-2023</v>
      </c>
      <c r="J1147" t="s">
        <v>13</v>
      </c>
      <c r="K1147">
        <v>480.77</v>
      </c>
      <c r="L1147" t="s">
        <v>683</v>
      </c>
      <c r="M1147">
        <v>16</v>
      </c>
    </row>
    <row r="1148" spans="1:13" x14ac:dyDescent="0.35">
      <c r="A1148" t="s">
        <v>802</v>
      </c>
      <c r="B1148" t="s">
        <v>126</v>
      </c>
      <c r="C1148" t="s">
        <v>571</v>
      </c>
      <c r="D1148" t="s">
        <v>671</v>
      </c>
      <c r="E1148" s="1">
        <v>45495</v>
      </c>
      <c r="F1148" s="1">
        <v>45500</v>
      </c>
      <c r="G1148" s="1">
        <v>45512</v>
      </c>
      <c r="H1148" s="4">
        <f>IF(Claims_Cleaned[[#This Row],[processed_date]]="","",Claims_Cleaned[[#This Row],[processed_date]]-Claims_Cleaned[[#This Row],[submission_date]])</f>
        <v>12</v>
      </c>
      <c r="I1148" s="4" t="str">
        <f>TEXT(Claims_Cleaned[[#This Row],[claim_date]],"mmm-yyyy")</f>
        <v>Jul-2024</v>
      </c>
      <c r="J1148" t="s">
        <v>8</v>
      </c>
      <c r="K1148">
        <v>480.63</v>
      </c>
      <c r="L1148" t="s">
        <v>683</v>
      </c>
      <c r="M1148">
        <v>12</v>
      </c>
    </row>
    <row r="1149" spans="1:13" x14ac:dyDescent="0.35">
      <c r="A1149" t="s">
        <v>697</v>
      </c>
      <c r="B1149" t="s">
        <v>65</v>
      </c>
      <c r="C1149" t="s">
        <v>599</v>
      </c>
      <c r="D1149" t="s">
        <v>671</v>
      </c>
      <c r="E1149" s="1">
        <v>45549</v>
      </c>
      <c r="F1149" s="1">
        <v>45553</v>
      </c>
      <c r="G1149" s="1">
        <v>45583</v>
      </c>
      <c r="H1149" s="4">
        <f>IF(Claims_Cleaned[[#This Row],[processed_date]]="","",Claims_Cleaned[[#This Row],[processed_date]]-Claims_Cleaned[[#This Row],[submission_date]])</f>
        <v>30</v>
      </c>
      <c r="I1149" s="4" t="str">
        <f>TEXT(Claims_Cleaned[[#This Row],[claim_date]],"mmm-yyyy")</f>
        <v>Sep-2024</v>
      </c>
      <c r="J1149" t="s">
        <v>8</v>
      </c>
      <c r="K1149">
        <v>480.31</v>
      </c>
      <c r="L1149" t="s">
        <v>683</v>
      </c>
      <c r="M1149">
        <v>30</v>
      </c>
    </row>
    <row r="1150" spans="1:13" x14ac:dyDescent="0.35">
      <c r="A1150" t="s">
        <v>1809</v>
      </c>
      <c r="B1150" t="s">
        <v>119</v>
      </c>
      <c r="C1150" t="s">
        <v>599</v>
      </c>
      <c r="D1150" t="s">
        <v>633</v>
      </c>
      <c r="E1150" s="1">
        <v>45454</v>
      </c>
      <c r="F1150" s="1">
        <v>45457</v>
      </c>
      <c r="G1150" s="1">
        <v>45478</v>
      </c>
      <c r="H1150" s="4">
        <f>IF(Claims_Cleaned[[#This Row],[processed_date]]="","",Claims_Cleaned[[#This Row],[processed_date]]-Claims_Cleaned[[#This Row],[submission_date]])</f>
        <v>21</v>
      </c>
      <c r="I1150" s="4" t="str">
        <f>TEXT(Claims_Cleaned[[#This Row],[claim_date]],"mmm-yyyy")</f>
        <v>Jun-2024</v>
      </c>
      <c r="J1150" t="s">
        <v>20</v>
      </c>
      <c r="K1150">
        <v>477.86</v>
      </c>
      <c r="L1150" t="s">
        <v>683</v>
      </c>
      <c r="M1150">
        <v>21</v>
      </c>
    </row>
    <row r="1151" spans="1:13" x14ac:dyDescent="0.35">
      <c r="A1151" t="s">
        <v>1460</v>
      </c>
      <c r="B1151" t="s">
        <v>230</v>
      </c>
      <c r="C1151" t="s">
        <v>524</v>
      </c>
      <c r="D1151" t="s">
        <v>671</v>
      </c>
      <c r="E1151" s="1">
        <v>45590</v>
      </c>
      <c r="F1151" s="1">
        <v>45591</v>
      </c>
      <c r="G1151" s="1"/>
      <c r="H1151" s="4" t="str">
        <f>IF(Claims_Cleaned[[#This Row],[processed_date]]="","",Claims_Cleaned[[#This Row],[processed_date]]-Claims_Cleaned[[#This Row],[submission_date]])</f>
        <v/>
      </c>
      <c r="I1151" s="4" t="str">
        <f>TEXT(Claims_Cleaned[[#This Row],[claim_date]],"mmm-yyyy")</f>
        <v>Oct-2024</v>
      </c>
      <c r="J1151" t="s">
        <v>20</v>
      </c>
      <c r="K1151">
        <v>477.41</v>
      </c>
      <c r="L1151" t="s">
        <v>689</v>
      </c>
    </row>
    <row r="1152" spans="1:13" x14ac:dyDescent="0.35">
      <c r="A1152" t="s">
        <v>1489</v>
      </c>
      <c r="B1152" t="s">
        <v>113</v>
      </c>
      <c r="C1152" t="s">
        <v>603</v>
      </c>
      <c r="D1152" t="s">
        <v>633</v>
      </c>
      <c r="E1152" s="1">
        <v>45592</v>
      </c>
      <c r="F1152" s="1">
        <v>45597</v>
      </c>
      <c r="G1152" s="1">
        <v>45615</v>
      </c>
      <c r="H1152" s="4">
        <f>IF(Claims_Cleaned[[#This Row],[processed_date]]="","",Claims_Cleaned[[#This Row],[processed_date]]-Claims_Cleaned[[#This Row],[submission_date]])</f>
        <v>18</v>
      </c>
      <c r="I1152" s="4" t="str">
        <f>TEXT(Claims_Cleaned[[#This Row],[claim_date]],"mmm-yyyy")</f>
        <v>Oct-2024</v>
      </c>
      <c r="J1152" t="s">
        <v>13</v>
      </c>
      <c r="K1152">
        <v>476.87</v>
      </c>
      <c r="L1152" t="s">
        <v>683</v>
      </c>
      <c r="M1152">
        <v>18</v>
      </c>
    </row>
    <row r="1153" spans="1:13" x14ac:dyDescent="0.35">
      <c r="A1153" t="s">
        <v>817</v>
      </c>
      <c r="B1153" t="s">
        <v>342</v>
      </c>
      <c r="C1153" t="s">
        <v>575</v>
      </c>
      <c r="D1153" t="s">
        <v>633</v>
      </c>
      <c r="E1153" s="1">
        <v>45326</v>
      </c>
      <c r="F1153" s="1">
        <v>45327</v>
      </c>
      <c r="G1153" s="1">
        <v>45332</v>
      </c>
      <c r="H1153" s="4">
        <f>IF(Claims_Cleaned[[#This Row],[processed_date]]="","",Claims_Cleaned[[#This Row],[processed_date]]-Claims_Cleaned[[#This Row],[submission_date]])</f>
        <v>5</v>
      </c>
      <c r="I1153" s="4" t="str">
        <f>TEXT(Claims_Cleaned[[#This Row],[claim_date]],"mmm-yyyy")</f>
        <v>Feb-2024</v>
      </c>
      <c r="J1153" t="s">
        <v>25</v>
      </c>
      <c r="K1153">
        <v>476.65</v>
      </c>
      <c r="L1153" t="s">
        <v>687</v>
      </c>
      <c r="M1153">
        <v>5</v>
      </c>
    </row>
    <row r="1154" spans="1:13" x14ac:dyDescent="0.35">
      <c r="A1154" t="s">
        <v>1317</v>
      </c>
      <c r="B1154" t="s">
        <v>415</v>
      </c>
      <c r="C1154" t="s">
        <v>561</v>
      </c>
      <c r="D1154" t="s">
        <v>671</v>
      </c>
      <c r="E1154" s="1">
        <v>45345</v>
      </c>
      <c r="F1154" s="1">
        <v>45349</v>
      </c>
      <c r="G1154" s="1">
        <v>45371</v>
      </c>
      <c r="H1154" s="4">
        <f>IF(Claims_Cleaned[[#This Row],[processed_date]]="","",Claims_Cleaned[[#This Row],[processed_date]]-Claims_Cleaned[[#This Row],[submission_date]])</f>
        <v>22</v>
      </c>
      <c r="I1154" s="4" t="str">
        <f>TEXT(Claims_Cleaned[[#This Row],[claim_date]],"mmm-yyyy")</f>
        <v>Feb-2024</v>
      </c>
      <c r="J1154" t="s">
        <v>13</v>
      </c>
      <c r="K1154">
        <v>476.5</v>
      </c>
      <c r="L1154" t="s">
        <v>687</v>
      </c>
      <c r="M1154">
        <v>22</v>
      </c>
    </row>
    <row r="1155" spans="1:13" x14ac:dyDescent="0.35">
      <c r="A1155" t="s">
        <v>884</v>
      </c>
      <c r="B1155" t="s">
        <v>307</v>
      </c>
      <c r="C1155" t="s">
        <v>524</v>
      </c>
      <c r="D1155" t="s">
        <v>671</v>
      </c>
      <c r="E1155" s="1">
        <v>45536</v>
      </c>
      <c r="F1155" s="1">
        <v>45538</v>
      </c>
      <c r="G1155" s="1">
        <v>45564</v>
      </c>
      <c r="H1155" s="4">
        <f>IF(Claims_Cleaned[[#This Row],[processed_date]]="","",Claims_Cleaned[[#This Row],[processed_date]]-Claims_Cleaned[[#This Row],[submission_date]])</f>
        <v>26</v>
      </c>
      <c r="I1155" s="4" t="str">
        <f>TEXT(Claims_Cleaned[[#This Row],[claim_date]],"mmm-yyyy")</f>
        <v>Sep-2024</v>
      </c>
      <c r="J1155" t="s">
        <v>8</v>
      </c>
      <c r="K1155">
        <v>475.52</v>
      </c>
      <c r="L1155" t="s">
        <v>683</v>
      </c>
      <c r="M1155">
        <v>26</v>
      </c>
    </row>
    <row r="1156" spans="1:13" x14ac:dyDescent="0.35">
      <c r="A1156" t="s">
        <v>730</v>
      </c>
      <c r="B1156" t="s">
        <v>281</v>
      </c>
      <c r="C1156" t="s">
        <v>601</v>
      </c>
      <c r="D1156" t="s">
        <v>633</v>
      </c>
      <c r="E1156" s="1">
        <v>45245</v>
      </c>
      <c r="F1156" s="1">
        <v>45246</v>
      </c>
      <c r="G1156" s="1">
        <v>45259</v>
      </c>
      <c r="H1156" s="4">
        <f>IF(Claims_Cleaned[[#This Row],[processed_date]]="","",Claims_Cleaned[[#This Row],[processed_date]]-Claims_Cleaned[[#This Row],[submission_date]])</f>
        <v>13</v>
      </c>
      <c r="I1156" s="4" t="str">
        <f>TEXT(Claims_Cleaned[[#This Row],[claim_date]],"mmm-yyyy")</f>
        <v>Nov-2023</v>
      </c>
      <c r="J1156" t="s">
        <v>11</v>
      </c>
      <c r="K1156">
        <v>475.01</v>
      </c>
      <c r="L1156" t="s">
        <v>683</v>
      </c>
      <c r="M1156">
        <v>13</v>
      </c>
    </row>
    <row r="1157" spans="1:13" x14ac:dyDescent="0.35">
      <c r="A1157" t="s">
        <v>1569</v>
      </c>
      <c r="B1157" t="s">
        <v>310</v>
      </c>
      <c r="C1157" t="s">
        <v>549</v>
      </c>
      <c r="D1157" t="s">
        <v>633</v>
      </c>
      <c r="E1157" s="1">
        <v>45473</v>
      </c>
      <c r="F1157" s="1">
        <v>45475</v>
      </c>
      <c r="G1157" s="1">
        <v>45478</v>
      </c>
      <c r="H1157" s="4">
        <f>IF(Claims_Cleaned[[#This Row],[processed_date]]="","",Claims_Cleaned[[#This Row],[processed_date]]-Claims_Cleaned[[#This Row],[submission_date]])</f>
        <v>3</v>
      </c>
      <c r="I1157" s="4" t="str">
        <f>TEXT(Claims_Cleaned[[#This Row],[claim_date]],"mmm-yyyy")</f>
        <v>Jun-2024</v>
      </c>
      <c r="J1157" t="s">
        <v>11</v>
      </c>
      <c r="K1157">
        <v>474.42</v>
      </c>
      <c r="L1157" t="s">
        <v>683</v>
      </c>
      <c r="M1157">
        <v>3</v>
      </c>
    </row>
    <row r="1158" spans="1:13" x14ac:dyDescent="0.35">
      <c r="A1158" t="s">
        <v>874</v>
      </c>
      <c r="B1158" t="s">
        <v>467</v>
      </c>
      <c r="C1158" t="s">
        <v>573</v>
      </c>
      <c r="D1158" t="s">
        <v>633</v>
      </c>
      <c r="E1158" s="1">
        <v>44954</v>
      </c>
      <c r="F1158" s="1">
        <v>44958</v>
      </c>
      <c r="G1158" s="1">
        <v>44980</v>
      </c>
      <c r="H1158" s="4">
        <f>IF(Claims_Cleaned[[#This Row],[processed_date]]="","",Claims_Cleaned[[#This Row],[processed_date]]-Claims_Cleaned[[#This Row],[submission_date]])</f>
        <v>22</v>
      </c>
      <c r="I1158" s="4" t="str">
        <f>TEXT(Claims_Cleaned[[#This Row],[claim_date]],"mmm-yyyy")</f>
        <v>Jan-2023</v>
      </c>
      <c r="J1158" t="s">
        <v>13</v>
      </c>
      <c r="K1158">
        <v>468.71</v>
      </c>
      <c r="L1158" t="s">
        <v>683</v>
      </c>
      <c r="M1158">
        <v>22</v>
      </c>
    </row>
    <row r="1159" spans="1:13" x14ac:dyDescent="0.35">
      <c r="A1159" t="s">
        <v>2015</v>
      </c>
      <c r="B1159" t="s">
        <v>509</v>
      </c>
      <c r="C1159" t="s">
        <v>571</v>
      </c>
      <c r="D1159" t="s">
        <v>633</v>
      </c>
      <c r="E1159" s="1">
        <v>45644</v>
      </c>
      <c r="F1159" s="1">
        <v>45646</v>
      </c>
      <c r="G1159" s="1">
        <v>45667</v>
      </c>
      <c r="H1159" s="4">
        <f>IF(Claims_Cleaned[[#This Row],[processed_date]]="","",Claims_Cleaned[[#This Row],[processed_date]]-Claims_Cleaned[[#This Row],[submission_date]])</f>
        <v>21</v>
      </c>
      <c r="I1159" s="4" t="str">
        <f>TEXT(Claims_Cleaned[[#This Row],[claim_date]],"mmm-yyyy")</f>
        <v>Dec-2024</v>
      </c>
      <c r="J1159" t="s">
        <v>25</v>
      </c>
      <c r="K1159">
        <v>467.69</v>
      </c>
      <c r="L1159" t="s">
        <v>687</v>
      </c>
      <c r="M1159">
        <v>21</v>
      </c>
    </row>
    <row r="1160" spans="1:13" x14ac:dyDescent="0.35">
      <c r="A1160" t="s">
        <v>1836</v>
      </c>
      <c r="B1160" t="s">
        <v>124</v>
      </c>
      <c r="C1160" t="s">
        <v>573</v>
      </c>
      <c r="D1160" t="s">
        <v>671</v>
      </c>
      <c r="E1160" s="1">
        <v>45131</v>
      </c>
      <c r="F1160" s="1">
        <v>45134</v>
      </c>
      <c r="G1160" s="1">
        <v>45149</v>
      </c>
      <c r="H1160" s="4">
        <f>IF(Claims_Cleaned[[#This Row],[processed_date]]="","",Claims_Cleaned[[#This Row],[processed_date]]-Claims_Cleaned[[#This Row],[submission_date]])</f>
        <v>15</v>
      </c>
      <c r="I1160" s="4" t="str">
        <f>TEXT(Claims_Cleaned[[#This Row],[claim_date]],"mmm-yyyy")</f>
        <v>Jul-2023</v>
      </c>
      <c r="J1160" t="s">
        <v>13</v>
      </c>
      <c r="K1160">
        <v>466.91</v>
      </c>
      <c r="L1160" t="s">
        <v>683</v>
      </c>
      <c r="M1160">
        <v>15</v>
      </c>
    </row>
    <row r="1161" spans="1:13" x14ac:dyDescent="0.35">
      <c r="A1161" t="s">
        <v>2548</v>
      </c>
      <c r="B1161" t="s">
        <v>63</v>
      </c>
      <c r="C1161" t="s">
        <v>537</v>
      </c>
      <c r="D1161" t="s">
        <v>671</v>
      </c>
      <c r="E1161" s="1">
        <v>45173</v>
      </c>
      <c r="F1161" s="1">
        <v>45177</v>
      </c>
      <c r="G1161" s="1">
        <v>45186</v>
      </c>
      <c r="H1161" s="4">
        <f>IF(Claims_Cleaned[[#This Row],[processed_date]]="","",Claims_Cleaned[[#This Row],[processed_date]]-Claims_Cleaned[[#This Row],[submission_date]])</f>
        <v>9</v>
      </c>
      <c r="I1161" s="4" t="str">
        <f>TEXT(Claims_Cleaned[[#This Row],[claim_date]],"mmm-yyyy")</f>
        <v>Sep-2023</v>
      </c>
      <c r="J1161" t="s">
        <v>25</v>
      </c>
      <c r="K1161">
        <v>466.86</v>
      </c>
      <c r="L1161" t="s">
        <v>683</v>
      </c>
      <c r="M1161">
        <v>9</v>
      </c>
    </row>
    <row r="1162" spans="1:13" x14ac:dyDescent="0.35">
      <c r="A1162" t="s">
        <v>1448</v>
      </c>
      <c r="B1162" t="s">
        <v>18</v>
      </c>
      <c r="C1162" t="s">
        <v>559</v>
      </c>
      <c r="D1162" t="s">
        <v>671</v>
      </c>
      <c r="E1162" s="1">
        <v>45530</v>
      </c>
      <c r="F1162" s="1">
        <v>45534</v>
      </c>
      <c r="G1162" s="1"/>
      <c r="H1162" s="4" t="str">
        <f>IF(Claims_Cleaned[[#This Row],[processed_date]]="","",Claims_Cleaned[[#This Row],[processed_date]]-Claims_Cleaned[[#This Row],[submission_date]])</f>
        <v/>
      </c>
      <c r="I1162" s="4" t="str">
        <f>TEXT(Claims_Cleaned[[#This Row],[claim_date]],"mmm-yyyy")</f>
        <v>Aug-2024</v>
      </c>
      <c r="J1162" t="s">
        <v>8</v>
      </c>
      <c r="K1162">
        <v>466.05</v>
      </c>
      <c r="L1162" t="s">
        <v>689</v>
      </c>
    </row>
    <row r="1163" spans="1:13" x14ac:dyDescent="0.35">
      <c r="A1163" t="s">
        <v>2570</v>
      </c>
      <c r="B1163" t="s">
        <v>322</v>
      </c>
      <c r="C1163" t="s">
        <v>534</v>
      </c>
      <c r="D1163" t="s">
        <v>633</v>
      </c>
      <c r="E1163" s="1">
        <v>45160</v>
      </c>
      <c r="F1163" s="1">
        <v>45165</v>
      </c>
      <c r="G1163" s="1">
        <v>45182</v>
      </c>
      <c r="H1163" s="4">
        <f>IF(Claims_Cleaned[[#This Row],[processed_date]]="","",Claims_Cleaned[[#This Row],[processed_date]]-Claims_Cleaned[[#This Row],[submission_date]])</f>
        <v>17</v>
      </c>
      <c r="I1163" s="4" t="str">
        <f>TEXT(Claims_Cleaned[[#This Row],[claim_date]],"mmm-yyyy")</f>
        <v>Aug-2023</v>
      </c>
      <c r="J1163" t="s">
        <v>11</v>
      </c>
      <c r="K1163">
        <v>464.57</v>
      </c>
      <c r="L1163" t="s">
        <v>687</v>
      </c>
      <c r="M1163">
        <v>17</v>
      </c>
    </row>
    <row r="1164" spans="1:13" x14ac:dyDescent="0.35">
      <c r="A1164" t="s">
        <v>1635</v>
      </c>
      <c r="B1164" t="s">
        <v>348</v>
      </c>
      <c r="C1164" t="s">
        <v>591</v>
      </c>
      <c r="D1164" t="s">
        <v>633</v>
      </c>
      <c r="E1164" s="1">
        <v>45382</v>
      </c>
      <c r="F1164" s="1">
        <v>45387</v>
      </c>
      <c r="G1164" s="1">
        <v>45399</v>
      </c>
      <c r="H1164" s="4">
        <f>IF(Claims_Cleaned[[#This Row],[processed_date]]="","",Claims_Cleaned[[#This Row],[processed_date]]-Claims_Cleaned[[#This Row],[submission_date]])</f>
        <v>12</v>
      </c>
      <c r="I1164" s="4" t="str">
        <f>TEXT(Claims_Cleaned[[#This Row],[claim_date]],"mmm-yyyy")</f>
        <v>Mar-2024</v>
      </c>
      <c r="J1164" t="s">
        <v>8</v>
      </c>
      <c r="K1164">
        <v>464.27</v>
      </c>
      <c r="L1164" t="s">
        <v>687</v>
      </c>
      <c r="M1164">
        <v>12</v>
      </c>
    </row>
    <row r="1165" spans="1:13" x14ac:dyDescent="0.35">
      <c r="A1165" t="s">
        <v>1844</v>
      </c>
      <c r="B1165" t="s">
        <v>287</v>
      </c>
      <c r="C1165" t="s">
        <v>559</v>
      </c>
      <c r="D1165" t="s">
        <v>671</v>
      </c>
      <c r="E1165" s="1">
        <v>45319</v>
      </c>
      <c r="F1165" s="1">
        <v>45324</v>
      </c>
      <c r="G1165" s="1">
        <v>45353</v>
      </c>
      <c r="H1165" s="4">
        <f>IF(Claims_Cleaned[[#This Row],[processed_date]]="","",Claims_Cleaned[[#This Row],[processed_date]]-Claims_Cleaned[[#This Row],[submission_date]])</f>
        <v>29</v>
      </c>
      <c r="I1165" s="4" t="str">
        <f>TEXT(Claims_Cleaned[[#This Row],[claim_date]],"mmm-yyyy")</f>
        <v>Jan-2024</v>
      </c>
      <c r="J1165" t="s">
        <v>20</v>
      </c>
      <c r="K1165">
        <v>464.1</v>
      </c>
      <c r="L1165" t="s">
        <v>683</v>
      </c>
      <c r="M1165">
        <v>29</v>
      </c>
    </row>
    <row r="1166" spans="1:13" x14ac:dyDescent="0.35">
      <c r="A1166" t="s">
        <v>994</v>
      </c>
      <c r="B1166" t="s">
        <v>446</v>
      </c>
      <c r="C1166" t="s">
        <v>587</v>
      </c>
      <c r="D1166" t="s">
        <v>671</v>
      </c>
      <c r="E1166" s="1">
        <v>45463</v>
      </c>
      <c r="F1166" s="1">
        <v>45468</v>
      </c>
      <c r="G1166" s="1">
        <v>45485</v>
      </c>
      <c r="H1166" s="4">
        <f>IF(Claims_Cleaned[[#This Row],[processed_date]]="","",Claims_Cleaned[[#This Row],[processed_date]]-Claims_Cleaned[[#This Row],[submission_date]])</f>
        <v>17</v>
      </c>
      <c r="I1166" s="4" t="str">
        <f>TEXT(Claims_Cleaned[[#This Row],[claim_date]],"mmm-yyyy")</f>
        <v>Jun-2024</v>
      </c>
      <c r="J1166" t="s">
        <v>8</v>
      </c>
      <c r="K1166">
        <v>462.01</v>
      </c>
      <c r="L1166" t="s">
        <v>683</v>
      </c>
      <c r="M1166">
        <v>17</v>
      </c>
    </row>
    <row r="1167" spans="1:13" x14ac:dyDescent="0.35">
      <c r="A1167" t="s">
        <v>1174</v>
      </c>
      <c r="B1167" t="s">
        <v>239</v>
      </c>
      <c r="C1167" t="s">
        <v>579</v>
      </c>
      <c r="D1167" t="s">
        <v>633</v>
      </c>
      <c r="E1167" s="1">
        <v>45485</v>
      </c>
      <c r="F1167" s="1">
        <v>45487</v>
      </c>
      <c r="G1167" s="1"/>
      <c r="H1167" s="4" t="str">
        <f>IF(Claims_Cleaned[[#This Row],[processed_date]]="","",Claims_Cleaned[[#This Row],[processed_date]]-Claims_Cleaned[[#This Row],[submission_date]])</f>
        <v/>
      </c>
      <c r="I1167" s="4" t="str">
        <f>TEXT(Claims_Cleaned[[#This Row],[claim_date]],"mmm-yyyy")</f>
        <v>Jul-2024</v>
      </c>
      <c r="J1167" t="s">
        <v>20</v>
      </c>
      <c r="K1167">
        <v>460.96</v>
      </c>
      <c r="L1167" t="s">
        <v>689</v>
      </c>
    </row>
    <row r="1168" spans="1:13" x14ac:dyDescent="0.35">
      <c r="A1168" t="s">
        <v>1338</v>
      </c>
      <c r="B1168" t="s">
        <v>172</v>
      </c>
      <c r="C1168" t="s">
        <v>599</v>
      </c>
      <c r="D1168" t="s">
        <v>633</v>
      </c>
      <c r="E1168" s="1">
        <v>44999</v>
      </c>
      <c r="F1168" s="1">
        <v>45002</v>
      </c>
      <c r="G1168" s="1">
        <v>45014</v>
      </c>
      <c r="H1168" s="4">
        <f>IF(Claims_Cleaned[[#This Row],[processed_date]]="","",Claims_Cleaned[[#This Row],[processed_date]]-Claims_Cleaned[[#This Row],[submission_date]])</f>
        <v>12</v>
      </c>
      <c r="I1168" s="4" t="str">
        <f>TEXT(Claims_Cleaned[[#This Row],[claim_date]],"mmm-yyyy")</f>
        <v>Mar-2023</v>
      </c>
      <c r="J1168" t="s">
        <v>13</v>
      </c>
      <c r="K1168">
        <v>459.47</v>
      </c>
      <c r="L1168" t="s">
        <v>683</v>
      </c>
      <c r="M1168">
        <v>12</v>
      </c>
    </row>
    <row r="1169" spans="1:13" x14ac:dyDescent="0.35">
      <c r="A1169" t="s">
        <v>892</v>
      </c>
      <c r="B1169" t="s">
        <v>430</v>
      </c>
      <c r="C1169" t="s">
        <v>524</v>
      </c>
      <c r="D1169" t="s">
        <v>671</v>
      </c>
      <c r="E1169" s="1">
        <v>45024</v>
      </c>
      <c r="F1169" s="1">
        <v>45029</v>
      </c>
      <c r="G1169" s="1">
        <v>45059</v>
      </c>
      <c r="H1169" s="4">
        <f>IF(Claims_Cleaned[[#This Row],[processed_date]]="","",Claims_Cleaned[[#This Row],[processed_date]]-Claims_Cleaned[[#This Row],[submission_date]])</f>
        <v>30</v>
      </c>
      <c r="I1169" s="4" t="str">
        <f>TEXT(Claims_Cleaned[[#This Row],[claim_date]],"mmm-yyyy")</f>
        <v>Apr-2023</v>
      </c>
      <c r="J1169" t="s">
        <v>20</v>
      </c>
      <c r="K1169">
        <v>456.61</v>
      </c>
      <c r="L1169" t="s">
        <v>683</v>
      </c>
      <c r="M1169">
        <v>30</v>
      </c>
    </row>
    <row r="1170" spans="1:13" x14ac:dyDescent="0.35">
      <c r="A1170" t="s">
        <v>1076</v>
      </c>
      <c r="B1170" t="s">
        <v>292</v>
      </c>
      <c r="C1170" t="s">
        <v>553</v>
      </c>
      <c r="D1170" t="s">
        <v>671</v>
      </c>
      <c r="E1170" s="1">
        <v>45177</v>
      </c>
      <c r="F1170" s="1">
        <v>45181</v>
      </c>
      <c r="G1170" s="1">
        <v>45189</v>
      </c>
      <c r="H1170" s="4">
        <f>IF(Claims_Cleaned[[#This Row],[processed_date]]="","",Claims_Cleaned[[#This Row],[processed_date]]-Claims_Cleaned[[#This Row],[submission_date]])</f>
        <v>8</v>
      </c>
      <c r="I1170" s="4" t="str">
        <f>TEXT(Claims_Cleaned[[#This Row],[claim_date]],"mmm-yyyy")</f>
        <v>Sep-2023</v>
      </c>
      <c r="J1170" t="s">
        <v>13</v>
      </c>
      <c r="K1170">
        <v>453.84</v>
      </c>
      <c r="L1170" t="s">
        <v>687</v>
      </c>
      <c r="M1170">
        <v>8</v>
      </c>
    </row>
    <row r="1171" spans="1:13" x14ac:dyDescent="0.35">
      <c r="A1171" t="s">
        <v>733</v>
      </c>
      <c r="B1171" t="s">
        <v>406</v>
      </c>
      <c r="C1171" t="s">
        <v>607</v>
      </c>
      <c r="D1171" t="s">
        <v>671</v>
      </c>
      <c r="E1171" s="1">
        <v>45590</v>
      </c>
      <c r="F1171" s="1">
        <v>45595</v>
      </c>
      <c r="G1171" s="1">
        <v>45612</v>
      </c>
      <c r="H1171" s="4">
        <f>IF(Claims_Cleaned[[#This Row],[processed_date]]="","",Claims_Cleaned[[#This Row],[processed_date]]-Claims_Cleaned[[#This Row],[submission_date]])</f>
        <v>17</v>
      </c>
      <c r="I1171" s="4" t="str">
        <f>TEXT(Claims_Cleaned[[#This Row],[claim_date]],"mmm-yyyy")</f>
        <v>Oct-2024</v>
      </c>
      <c r="J1171" t="s">
        <v>11</v>
      </c>
      <c r="K1171">
        <v>453.79</v>
      </c>
      <c r="L1171" t="s">
        <v>683</v>
      </c>
      <c r="M1171">
        <v>17</v>
      </c>
    </row>
    <row r="1172" spans="1:13" x14ac:dyDescent="0.35">
      <c r="A1172" t="s">
        <v>898</v>
      </c>
      <c r="B1172" t="s">
        <v>478</v>
      </c>
      <c r="C1172" t="s">
        <v>569</v>
      </c>
      <c r="D1172" t="s">
        <v>633</v>
      </c>
      <c r="E1172" s="1">
        <v>45514</v>
      </c>
      <c r="F1172" s="1">
        <v>45516</v>
      </c>
      <c r="G1172" s="1">
        <v>45530</v>
      </c>
      <c r="H1172" s="4">
        <f>IF(Claims_Cleaned[[#This Row],[processed_date]]="","",Claims_Cleaned[[#This Row],[processed_date]]-Claims_Cleaned[[#This Row],[submission_date]])</f>
        <v>14</v>
      </c>
      <c r="I1172" s="4" t="str">
        <f>TEXT(Claims_Cleaned[[#This Row],[claim_date]],"mmm-yyyy")</f>
        <v>Aug-2024</v>
      </c>
      <c r="J1172" t="s">
        <v>13</v>
      </c>
      <c r="K1172">
        <v>453.77</v>
      </c>
      <c r="L1172" t="s">
        <v>687</v>
      </c>
      <c r="M1172">
        <v>14</v>
      </c>
    </row>
    <row r="1173" spans="1:13" x14ac:dyDescent="0.35">
      <c r="A1173" t="s">
        <v>947</v>
      </c>
      <c r="B1173" t="s">
        <v>66</v>
      </c>
      <c r="C1173" t="s">
        <v>601</v>
      </c>
      <c r="D1173" t="s">
        <v>671</v>
      </c>
      <c r="E1173" s="1">
        <v>45223</v>
      </c>
      <c r="F1173" s="1">
        <v>45226</v>
      </c>
      <c r="G1173" s="1">
        <v>45244</v>
      </c>
      <c r="H1173" s="4">
        <f>IF(Claims_Cleaned[[#This Row],[processed_date]]="","",Claims_Cleaned[[#This Row],[processed_date]]-Claims_Cleaned[[#This Row],[submission_date]])</f>
        <v>18</v>
      </c>
      <c r="I1173" s="4" t="str">
        <f>TEXT(Claims_Cleaned[[#This Row],[claim_date]],"mmm-yyyy")</f>
        <v>Oct-2023</v>
      </c>
      <c r="J1173" t="s">
        <v>11</v>
      </c>
      <c r="K1173">
        <v>453.44</v>
      </c>
      <c r="L1173" t="s">
        <v>687</v>
      </c>
      <c r="M1173">
        <v>18</v>
      </c>
    </row>
    <row r="1174" spans="1:13" x14ac:dyDescent="0.35">
      <c r="A1174" t="s">
        <v>1584</v>
      </c>
      <c r="B1174" t="s">
        <v>129</v>
      </c>
      <c r="C1174" t="s">
        <v>577</v>
      </c>
      <c r="D1174" t="s">
        <v>671</v>
      </c>
      <c r="E1174" s="1">
        <v>45216</v>
      </c>
      <c r="F1174" s="1">
        <v>45220</v>
      </c>
      <c r="G1174" s="1">
        <v>45245</v>
      </c>
      <c r="H1174" s="4">
        <f>IF(Claims_Cleaned[[#This Row],[processed_date]]="","",Claims_Cleaned[[#This Row],[processed_date]]-Claims_Cleaned[[#This Row],[submission_date]])</f>
        <v>25</v>
      </c>
      <c r="I1174" s="4" t="str">
        <f>TEXT(Claims_Cleaned[[#This Row],[claim_date]],"mmm-yyyy")</f>
        <v>Oct-2023</v>
      </c>
      <c r="J1174" t="s">
        <v>8</v>
      </c>
      <c r="K1174">
        <v>452.87</v>
      </c>
      <c r="L1174" t="s">
        <v>683</v>
      </c>
      <c r="M1174">
        <v>25</v>
      </c>
    </row>
    <row r="1175" spans="1:13" x14ac:dyDescent="0.35">
      <c r="A1175" t="s">
        <v>1853</v>
      </c>
      <c r="B1175" t="s">
        <v>128</v>
      </c>
      <c r="C1175" t="s">
        <v>534</v>
      </c>
      <c r="D1175" t="s">
        <v>671</v>
      </c>
      <c r="E1175" s="1">
        <v>45159</v>
      </c>
      <c r="F1175" s="1">
        <v>45160</v>
      </c>
      <c r="G1175" s="1">
        <v>45177</v>
      </c>
      <c r="H1175" s="4">
        <f>IF(Claims_Cleaned[[#This Row],[processed_date]]="","",Claims_Cleaned[[#This Row],[processed_date]]-Claims_Cleaned[[#This Row],[submission_date]])</f>
        <v>17</v>
      </c>
      <c r="I1175" s="4" t="str">
        <f>TEXT(Claims_Cleaned[[#This Row],[claim_date]],"mmm-yyyy")</f>
        <v>Aug-2023</v>
      </c>
      <c r="J1175" t="s">
        <v>8</v>
      </c>
      <c r="K1175">
        <v>452.81</v>
      </c>
      <c r="L1175" t="s">
        <v>683</v>
      </c>
      <c r="M1175">
        <v>17</v>
      </c>
    </row>
    <row r="1176" spans="1:13" x14ac:dyDescent="0.35">
      <c r="A1176" t="s">
        <v>747</v>
      </c>
      <c r="B1176" t="s">
        <v>261</v>
      </c>
      <c r="C1176" t="s">
        <v>557</v>
      </c>
      <c r="D1176" t="s">
        <v>633</v>
      </c>
      <c r="E1176" s="1">
        <v>45407</v>
      </c>
      <c r="F1176" s="1">
        <v>45412</v>
      </c>
      <c r="G1176" s="1">
        <v>45441</v>
      </c>
      <c r="H1176" s="4">
        <f>IF(Claims_Cleaned[[#This Row],[processed_date]]="","",Claims_Cleaned[[#This Row],[processed_date]]-Claims_Cleaned[[#This Row],[submission_date]])</f>
        <v>29</v>
      </c>
      <c r="I1176" s="4" t="str">
        <f>TEXT(Claims_Cleaned[[#This Row],[claim_date]],"mmm-yyyy")</f>
        <v>Apr-2024</v>
      </c>
      <c r="J1176" t="s">
        <v>20</v>
      </c>
      <c r="K1176">
        <v>452.48</v>
      </c>
      <c r="L1176" t="s">
        <v>683</v>
      </c>
      <c r="M1176">
        <v>29</v>
      </c>
    </row>
    <row r="1177" spans="1:13" x14ac:dyDescent="0.35">
      <c r="A1177" t="s">
        <v>1235</v>
      </c>
      <c r="B1177" t="s">
        <v>513</v>
      </c>
      <c r="C1177" t="s">
        <v>593</v>
      </c>
      <c r="D1177" t="s">
        <v>671</v>
      </c>
      <c r="E1177" s="1">
        <v>45308</v>
      </c>
      <c r="F1177" s="1">
        <v>45311</v>
      </c>
      <c r="G1177" s="1">
        <v>45323</v>
      </c>
      <c r="H1177" s="4">
        <f>IF(Claims_Cleaned[[#This Row],[processed_date]]="","",Claims_Cleaned[[#This Row],[processed_date]]-Claims_Cleaned[[#This Row],[submission_date]])</f>
        <v>12</v>
      </c>
      <c r="I1177" s="4" t="str">
        <f>TEXT(Claims_Cleaned[[#This Row],[claim_date]],"mmm-yyyy")</f>
        <v>Jan-2024</v>
      </c>
      <c r="J1177" t="s">
        <v>20</v>
      </c>
      <c r="K1177">
        <v>452.32</v>
      </c>
      <c r="L1177" t="s">
        <v>687</v>
      </c>
      <c r="M1177">
        <v>12</v>
      </c>
    </row>
    <row r="1178" spans="1:13" x14ac:dyDescent="0.35">
      <c r="A1178" t="s">
        <v>2490</v>
      </c>
      <c r="B1178" t="s">
        <v>62</v>
      </c>
      <c r="C1178" t="s">
        <v>559</v>
      </c>
      <c r="D1178" t="s">
        <v>671</v>
      </c>
      <c r="E1178" s="1">
        <v>45547</v>
      </c>
      <c r="F1178" s="1">
        <v>45549</v>
      </c>
      <c r="G1178" s="1">
        <v>45552</v>
      </c>
      <c r="H1178" s="4">
        <f>IF(Claims_Cleaned[[#This Row],[processed_date]]="","",Claims_Cleaned[[#This Row],[processed_date]]-Claims_Cleaned[[#This Row],[submission_date]])</f>
        <v>3</v>
      </c>
      <c r="I1178" s="4" t="str">
        <f>TEXT(Claims_Cleaned[[#This Row],[claim_date]],"mmm-yyyy")</f>
        <v>Sep-2024</v>
      </c>
      <c r="J1178" t="s">
        <v>8</v>
      </c>
      <c r="K1178">
        <v>452.25</v>
      </c>
      <c r="L1178" t="s">
        <v>687</v>
      </c>
      <c r="M1178">
        <v>3</v>
      </c>
    </row>
    <row r="1179" spans="1:13" x14ac:dyDescent="0.35">
      <c r="A1179" t="s">
        <v>2254</v>
      </c>
      <c r="B1179" t="s">
        <v>162</v>
      </c>
      <c r="C1179" t="s">
        <v>573</v>
      </c>
      <c r="D1179" t="s">
        <v>671</v>
      </c>
      <c r="E1179" s="1">
        <v>45495</v>
      </c>
      <c r="F1179" s="1">
        <v>45499</v>
      </c>
      <c r="G1179" s="1">
        <v>45516</v>
      </c>
      <c r="H1179" s="4">
        <f>IF(Claims_Cleaned[[#This Row],[processed_date]]="","",Claims_Cleaned[[#This Row],[processed_date]]-Claims_Cleaned[[#This Row],[submission_date]])</f>
        <v>17</v>
      </c>
      <c r="I1179" s="4" t="str">
        <f>TEXT(Claims_Cleaned[[#This Row],[claim_date]],"mmm-yyyy")</f>
        <v>Jul-2024</v>
      </c>
      <c r="J1179" t="s">
        <v>11</v>
      </c>
      <c r="K1179">
        <v>452.24</v>
      </c>
      <c r="L1179" t="s">
        <v>683</v>
      </c>
      <c r="M1179">
        <v>17</v>
      </c>
    </row>
    <row r="1180" spans="1:13" x14ac:dyDescent="0.35">
      <c r="A1180" t="s">
        <v>2318</v>
      </c>
      <c r="B1180" t="s">
        <v>299</v>
      </c>
      <c r="C1180" t="s">
        <v>585</v>
      </c>
      <c r="D1180" t="s">
        <v>671</v>
      </c>
      <c r="E1180" s="1">
        <v>45365</v>
      </c>
      <c r="F1180" s="1">
        <v>45369</v>
      </c>
      <c r="G1180" s="1">
        <v>45383</v>
      </c>
      <c r="H1180" s="4">
        <f>IF(Claims_Cleaned[[#This Row],[processed_date]]="","",Claims_Cleaned[[#This Row],[processed_date]]-Claims_Cleaned[[#This Row],[submission_date]])</f>
        <v>14</v>
      </c>
      <c r="I1180" s="4" t="str">
        <f>TEXT(Claims_Cleaned[[#This Row],[claim_date]],"mmm-yyyy")</f>
        <v>Mar-2024</v>
      </c>
      <c r="J1180" t="s">
        <v>25</v>
      </c>
      <c r="K1180">
        <v>452.01</v>
      </c>
      <c r="L1180" t="s">
        <v>687</v>
      </c>
      <c r="M1180">
        <v>14</v>
      </c>
    </row>
    <row r="1181" spans="1:13" x14ac:dyDescent="0.35">
      <c r="A1181" t="s">
        <v>1610</v>
      </c>
      <c r="B1181" t="s">
        <v>208</v>
      </c>
      <c r="C1181" t="s">
        <v>549</v>
      </c>
      <c r="D1181" t="s">
        <v>633</v>
      </c>
      <c r="E1181" s="1">
        <v>45558</v>
      </c>
      <c r="F1181" s="1">
        <v>45561</v>
      </c>
      <c r="G1181" s="1">
        <v>45584</v>
      </c>
      <c r="H1181" s="4">
        <f>IF(Claims_Cleaned[[#This Row],[processed_date]]="","",Claims_Cleaned[[#This Row],[processed_date]]-Claims_Cleaned[[#This Row],[submission_date]])</f>
        <v>23</v>
      </c>
      <c r="I1181" s="4" t="str">
        <f>TEXT(Claims_Cleaned[[#This Row],[claim_date]],"mmm-yyyy")</f>
        <v>Sep-2024</v>
      </c>
      <c r="J1181" t="s">
        <v>13</v>
      </c>
      <c r="K1181">
        <v>450.34</v>
      </c>
      <c r="L1181" t="s">
        <v>683</v>
      </c>
      <c r="M1181">
        <v>23</v>
      </c>
    </row>
    <row r="1182" spans="1:13" x14ac:dyDescent="0.35">
      <c r="A1182" t="s">
        <v>914</v>
      </c>
      <c r="B1182" t="s">
        <v>357</v>
      </c>
      <c r="C1182" t="s">
        <v>563</v>
      </c>
      <c r="D1182" t="s">
        <v>671</v>
      </c>
      <c r="E1182" s="1">
        <v>45140</v>
      </c>
      <c r="F1182" s="1">
        <v>45143</v>
      </c>
      <c r="G1182" s="1">
        <v>45157</v>
      </c>
      <c r="H1182" s="4">
        <f>IF(Claims_Cleaned[[#This Row],[processed_date]]="","",Claims_Cleaned[[#This Row],[processed_date]]-Claims_Cleaned[[#This Row],[submission_date]])</f>
        <v>14</v>
      </c>
      <c r="I1182" s="4" t="str">
        <f>TEXT(Claims_Cleaned[[#This Row],[claim_date]],"mmm-yyyy")</f>
        <v>Aug-2023</v>
      </c>
      <c r="J1182" t="s">
        <v>8</v>
      </c>
      <c r="K1182">
        <v>450.27</v>
      </c>
      <c r="L1182" t="s">
        <v>683</v>
      </c>
      <c r="M1182">
        <v>14</v>
      </c>
    </row>
    <row r="1183" spans="1:13" x14ac:dyDescent="0.35">
      <c r="A1183" t="s">
        <v>1973</v>
      </c>
      <c r="B1183" t="s">
        <v>490</v>
      </c>
      <c r="C1183" t="s">
        <v>561</v>
      </c>
      <c r="D1183" t="s">
        <v>633</v>
      </c>
      <c r="E1183" s="1">
        <v>44970</v>
      </c>
      <c r="F1183" s="1">
        <v>44975</v>
      </c>
      <c r="G1183" s="1">
        <v>44996</v>
      </c>
      <c r="H1183" s="4">
        <f>IF(Claims_Cleaned[[#This Row],[processed_date]]="","",Claims_Cleaned[[#This Row],[processed_date]]-Claims_Cleaned[[#This Row],[submission_date]])</f>
        <v>21</v>
      </c>
      <c r="I1183" s="4" t="str">
        <f>TEXT(Claims_Cleaned[[#This Row],[claim_date]],"mmm-yyyy")</f>
        <v>Feb-2023</v>
      </c>
      <c r="J1183" t="s">
        <v>11</v>
      </c>
      <c r="K1183">
        <v>449.2</v>
      </c>
      <c r="L1183" t="s">
        <v>683</v>
      </c>
      <c r="M1183">
        <v>21</v>
      </c>
    </row>
    <row r="1184" spans="1:13" x14ac:dyDescent="0.35">
      <c r="A1184" t="s">
        <v>1334</v>
      </c>
      <c r="B1184" t="s">
        <v>285</v>
      </c>
      <c r="C1184" t="s">
        <v>609</v>
      </c>
      <c r="D1184" t="s">
        <v>671</v>
      </c>
      <c r="E1184" s="1">
        <v>45346</v>
      </c>
      <c r="F1184" s="1">
        <v>45351</v>
      </c>
      <c r="G1184" s="1">
        <v>45379</v>
      </c>
      <c r="H1184" s="4">
        <f>IF(Claims_Cleaned[[#This Row],[processed_date]]="","",Claims_Cleaned[[#This Row],[processed_date]]-Claims_Cleaned[[#This Row],[submission_date]])</f>
        <v>28</v>
      </c>
      <c r="I1184" s="4" t="str">
        <f>TEXT(Claims_Cleaned[[#This Row],[claim_date]],"mmm-yyyy")</f>
        <v>Feb-2024</v>
      </c>
      <c r="J1184" t="s">
        <v>13</v>
      </c>
      <c r="K1184">
        <v>447.82</v>
      </c>
      <c r="L1184" t="s">
        <v>687</v>
      </c>
      <c r="M1184">
        <v>28</v>
      </c>
    </row>
    <row r="1185" spans="1:13" x14ac:dyDescent="0.35">
      <c r="A1185" t="s">
        <v>2610</v>
      </c>
      <c r="B1185" t="s">
        <v>371</v>
      </c>
      <c r="C1185" t="s">
        <v>583</v>
      </c>
      <c r="D1185" t="s">
        <v>671</v>
      </c>
      <c r="E1185" s="1">
        <v>45195</v>
      </c>
      <c r="F1185" s="1">
        <v>45196</v>
      </c>
      <c r="G1185" s="1">
        <v>45226</v>
      </c>
      <c r="H1185" s="4">
        <f>IF(Claims_Cleaned[[#This Row],[processed_date]]="","",Claims_Cleaned[[#This Row],[processed_date]]-Claims_Cleaned[[#This Row],[submission_date]])</f>
        <v>30</v>
      </c>
      <c r="I1185" s="4" t="str">
        <f>TEXT(Claims_Cleaned[[#This Row],[claim_date]],"mmm-yyyy")</f>
        <v>Sep-2023</v>
      </c>
      <c r="J1185" t="s">
        <v>25</v>
      </c>
      <c r="K1185">
        <v>446.43</v>
      </c>
      <c r="L1185" t="s">
        <v>687</v>
      </c>
      <c r="M1185">
        <v>30</v>
      </c>
    </row>
    <row r="1186" spans="1:13" x14ac:dyDescent="0.35">
      <c r="A1186" t="s">
        <v>2405</v>
      </c>
      <c r="B1186" t="s">
        <v>276</v>
      </c>
      <c r="C1186" t="s">
        <v>595</v>
      </c>
      <c r="D1186" t="s">
        <v>671</v>
      </c>
      <c r="E1186" s="1">
        <v>45406</v>
      </c>
      <c r="F1186" s="1">
        <v>45410</v>
      </c>
      <c r="G1186" s="1">
        <v>45427</v>
      </c>
      <c r="H1186" s="4">
        <f>IF(Claims_Cleaned[[#This Row],[processed_date]]="","",Claims_Cleaned[[#This Row],[processed_date]]-Claims_Cleaned[[#This Row],[submission_date]])</f>
        <v>17</v>
      </c>
      <c r="I1186" s="4" t="str">
        <f>TEXT(Claims_Cleaned[[#This Row],[claim_date]],"mmm-yyyy")</f>
        <v>Apr-2024</v>
      </c>
      <c r="J1186" t="s">
        <v>20</v>
      </c>
      <c r="K1186">
        <v>445.32</v>
      </c>
      <c r="L1186" t="s">
        <v>683</v>
      </c>
      <c r="M1186">
        <v>17</v>
      </c>
    </row>
    <row r="1187" spans="1:13" x14ac:dyDescent="0.35">
      <c r="A1187" t="s">
        <v>1620</v>
      </c>
      <c r="B1187" t="s">
        <v>374</v>
      </c>
      <c r="C1187" t="s">
        <v>593</v>
      </c>
      <c r="D1187" t="s">
        <v>633</v>
      </c>
      <c r="E1187" s="1">
        <v>45459</v>
      </c>
      <c r="F1187" s="1">
        <v>45460</v>
      </c>
      <c r="G1187" s="1">
        <v>45486</v>
      </c>
      <c r="H1187" s="4">
        <f>IF(Claims_Cleaned[[#This Row],[processed_date]]="","",Claims_Cleaned[[#This Row],[processed_date]]-Claims_Cleaned[[#This Row],[submission_date]])</f>
        <v>26</v>
      </c>
      <c r="I1187" s="4" t="str">
        <f>TEXT(Claims_Cleaned[[#This Row],[claim_date]],"mmm-yyyy")</f>
        <v>Jun-2024</v>
      </c>
      <c r="J1187" t="s">
        <v>8</v>
      </c>
      <c r="K1187">
        <v>444.73</v>
      </c>
      <c r="L1187" t="s">
        <v>683</v>
      </c>
      <c r="M1187">
        <v>26</v>
      </c>
    </row>
    <row r="1188" spans="1:13" x14ac:dyDescent="0.35">
      <c r="A1188" t="s">
        <v>1546</v>
      </c>
      <c r="B1188" t="s">
        <v>487</v>
      </c>
      <c r="C1188" t="s">
        <v>531</v>
      </c>
      <c r="D1188" t="s">
        <v>633</v>
      </c>
      <c r="E1188" s="1">
        <v>44945</v>
      </c>
      <c r="F1188" s="1">
        <v>44948</v>
      </c>
      <c r="G1188" s="1">
        <v>44968</v>
      </c>
      <c r="H1188" s="4">
        <f>IF(Claims_Cleaned[[#This Row],[processed_date]]="","",Claims_Cleaned[[#This Row],[processed_date]]-Claims_Cleaned[[#This Row],[submission_date]])</f>
        <v>20</v>
      </c>
      <c r="I1188" s="4" t="str">
        <f>TEXT(Claims_Cleaned[[#This Row],[claim_date]],"mmm-yyyy")</f>
        <v>Jan-2023</v>
      </c>
      <c r="J1188" t="s">
        <v>20</v>
      </c>
      <c r="K1188">
        <v>444.37</v>
      </c>
      <c r="L1188" t="s">
        <v>683</v>
      </c>
      <c r="M1188">
        <v>20</v>
      </c>
    </row>
    <row r="1189" spans="1:13" x14ac:dyDescent="0.35">
      <c r="A1189" t="s">
        <v>1755</v>
      </c>
      <c r="B1189" t="s">
        <v>138</v>
      </c>
      <c r="C1189" t="s">
        <v>589</v>
      </c>
      <c r="D1189" t="s">
        <v>671</v>
      </c>
      <c r="E1189" s="1">
        <v>45161</v>
      </c>
      <c r="F1189" s="1">
        <v>45166</v>
      </c>
      <c r="G1189" s="1">
        <v>45178</v>
      </c>
      <c r="H1189" s="4">
        <f>IF(Claims_Cleaned[[#This Row],[processed_date]]="","",Claims_Cleaned[[#This Row],[processed_date]]-Claims_Cleaned[[#This Row],[submission_date]])</f>
        <v>12</v>
      </c>
      <c r="I1189" s="4" t="str">
        <f>TEXT(Claims_Cleaned[[#This Row],[claim_date]],"mmm-yyyy")</f>
        <v>Aug-2023</v>
      </c>
      <c r="J1189" t="s">
        <v>20</v>
      </c>
      <c r="K1189">
        <v>442.29</v>
      </c>
      <c r="L1189" t="s">
        <v>683</v>
      </c>
      <c r="M1189">
        <v>12</v>
      </c>
    </row>
    <row r="1190" spans="1:13" x14ac:dyDescent="0.35">
      <c r="A1190" t="s">
        <v>2460</v>
      </c>
      <c r="B1190" t="s">
        <v>446</v>
      </c>
      <c r="C1190" t="s">
        <v>589</v>
      </c>
      <c r="D1190" t="s">
        <v>671</v>
      </c>
      <c r="E1190" s="1">
        <v>45545</v>
      </c>
      <c r="F1190" s="1">
        <v>45546</v>
      </c>
      <c r="G1190" s="1">
        <v>45550</v>
      </c>
      <c r="H1190" s="4">
        <f>IF(Claims_Cleaned[[#This Row],[processed_date]]="","",Claims_Cleaned[[#This Row],[processed_date]]-Claims_Cleaned[[#This Row],[submission_date]])</f>
        <v>4</v>
      </c>
      <c r="I1190" s="4" t="str">
        <f>TEXT(Claims_Cleaned[[#This Row],[claim_date]],"mmm-yyyy")</f>
        <v>Sep-2024</v>
      </c>
      <c r="J1190" t="s">
        <v>8</v>
      </c>
      <c r="K1190">
        <v>442.28</v>
      </c>
      <c r="L1190" t="s">
        <v>683</v>
      </c>
      <c r="M1190">
        <v>4</v>
      </c>
    </row>
    <row r="1191" spans="1:13" x14ac:dyDescent="0.35">
      <c r="A1191" t="s">
        <v>1570</v>
      </c>
      <c r="B1191" t="s">
        <v>269</v>
      </c>
      <c r="C1191" t="s">
        <v>573</v>
      </c>
      <c r="D1191" t="s">
        <v>671</v>
      </c>
      <c r="E1191" s="1">
        <v>45120</v>
      </c>
      <c r="F1191" s="1">
        <v>45121</v>
      </c>
      <c r="G1191" s="1">
        <v>45145</v>
      </c>
      <c r="H1191" s="4">
        <f>IF(Claims_Cleaned[[#This Row],[processed_date]]="","",Claims_Cleaned[[#This Row],[processed_date]]-Claims_Cleaned[[#This Row],[submission_date]])</f>
        <v>24</v>
      </c>
      <c r="I1191" s="4" t="str">
        <f>TEXT(Claims_Cleaned[[#This Row],[claim_date]],"mmm-yyyy")</f>
        <v>Jul-2023</v>
      </c>
      <c r="J1191" t="s">
        <v>20</v>
      </c>
      <c r="K1191">
        <v>441.87</v>
      </c>
      <c r="L1191" t="s">
        <v>683</v>
      </c>
      <c r="M1191">
        <v>24</v>
      </c>
    </row>
    <row r="1192" spans="1:13" x14ac:dyDescent="0.35">
      <c r="A1192" t="s">
        <v>1495</v>
      </c>
      <c r="B1192" t="s">
        <v>386</v>
      </c>
      <c r="C1192" t="s">
        <v>557</v>
      </c>
      <c r="D1192" t="s">
        <v>633</v>
      </c>
      <c r="E1192" s="1">
        <v>45028</v>
      </c>
      <c r="F1192" s="1">
        <v>45030</v>
      </c>
      <c r="G1192" s="1"/>
      <c r="H1192" s="4" t="str">
        <f>IF(Claims_Cleaned[[#This Row],[processed_date]]="","",Claims_Cleaned[[#This Row],[processed_date]]-Claims_Cleaned[[#This Row],[submission_date]])</f>
        <v/>
      </c>
      <c r="I1192" s="4" t="str">
        <f>TEXT(Claims_Cleaned[[#This Row],[claim_date]],"mmm-yyyy")</f>
        <v>Apr-2023</v>
      </c>
      <c r="J1192" t="s">
        <v>13</v>
      </c>
      <c r="K1192">
        <v>441.24</v>
      </c>
      <c r="L1192" t="s">
        <v>689</v>
      </c>
    </row>
    <row r="1193" spans="1:13" x14ac:dyDescent="0.35">
      <c r="A1193" t="s">
        <v>1073</v>
      </c>
      <c r="B1193" t="s">
        <v>389</v>
      </c>
      <c r="C1193" t="s">
        <v>607</v>
      </c>
      <c r="D1193" t="s">
        <v>671</v>
      </c>
      <c r="E1193" s="1">
        <v>45136</v>
      </c>
      <c r="F1193" s="1">
        <v>45139</v>
      </c>
      <c r="G1193" s="1">
        <v>45151</v>
      </c>
      <c r="H1193" s="4">
        <f>IF(Claims_Cleaned[[#This Row],[processed_date]]="","",Claims_Cleaned[[#This Row],[processed_date]]-Claims_Cleaned[[#This Row],[submission_date]])</f>
        <v>12</v>
      </c>
      <c r="I1193" s="4" t="str">
        <f>TEXT(Claims_Cleaned[[#This Row],[claim_date]],"mmm-yyyy")</f>
        <v>Jul-2023</v>
      </c>
      <c r="J1193" t="s">
        <v>8</v>
      </c>
      <c r="K1193">
        <v>441.23</v>
      </c>
      <c r="L1193" t="s">
        <v>683</v>
      </c>
      <c r="M1193">
        <v>12</v>
      </c>
    </row>
    <row r="1194" spans="1:13" x14ac:dyDescent="0.35">
      <c r="A1194" t="s">
        <v>1849</v>
      </c>
      <c r="B1194" t="s">
        <v>245</v>
      </c>
      <c r="C1194" t="s">
        <v>540</v>
      </c>
      <c r="D1194" t="s">
        <v>671</v>
      </c>
      <c r="E1194" s="1">
        <v>45257</v>
      </c>
      <c r="F1194" s="1">
        <v>45258</v>
      </c>
      <c r="G1194" s="1"/>
      <c r="H1194" s="4" t="str">
        <f>IF(Claims_Cleaned[[#This Row],[processed_date]]="","",Claims_Cleaned[[#This Row],[processed_date]]-Claims_Cleaned[[#This Row],[submission_date]])</f>
        <v/>
      </c>
      <c r="I1194" s="4" t="str">
        <f>TEXT(Claims_Cleaned[[#This Row],[claim_date]],"mmm-yyyy")</f>
        <v>Nov-2023</v>
      </c>
      <c r="J1194" t="s">
        <v>8</v>
      </c>
      <c r="K1194">
        <v>440.57</v>
      </c>
      <c r="L1194" t="s">
        <v>689</v>
      </c>
    </row>
    <row r="1195" spans="1:13" x14ac:dyDescent="0.35">
      <c r="A1195" t="s">
        <v>1888</v>
      </c>
      <c r="B1195" t="s">
        <v>103</v>
      </c>
      <c r="C1195" t="s">
        <v>537</v>
      </c>
      <c r="D1195" t="s">
        <v>671</v>
      </c>
      <c r="E1195" s="1">
        <v>44931</v>
      </c>
      <c r="F1195" s="1">
        <v>44932</v>
      </c>
      <c r="G1195" s="1">
        <v>44958</v>
      </c>
      <c r="H1195" s="4">
        <f>IF(Claims_Cleaned[[#This Row],[processed_date]]="","",Claims_Cleaned[[#This Row],[processed_date]]-Claims_Cleaned[[#This Row],[submission_date]])</f>
        <v>26</v>
      </c>
      <c r="I1195" s="4" t="str">
        <f>TEXT(Claims_Cleaned[[#This Row],[claim_date]],"mmm-yyyy")</f>
        <v>Jan-2023</v>
      </c>
      <c r="J1195" t="s">
        <v>20</v>
      </c>
      <c r="K1195">
        <v>439.9</v>
      </c>
      <c r="L1195" t="s">
        <v>683</v>
      </c>
      <c r="M1195">
        <v>26</v>
      </c>
    </row>
    <row r="1196" spans="1:13" x14ac:dyDescent="0.35">
      <c r="A1196" t="s">
        <v>1684</v>
      </c>
      <c r="B1196" t="s">
        <v>206</v>
      </c>
      <c r="C1196" t="s">
        <v>555</v>
      </c>
      <c r="D1196" t="s">
        <v>671</v>
      </c>
      <c r="E1196" s="1">
        <v>45538</v>
      </c>
      <c r="F1196" s="1">
        <v>45540</v>
      </c>
      <c r="G1196" s="1">
        <v>45545</v>
      </c>
      <c r="H1196" s="4">
        <f>IF(Claims_Cleaned[[#This Row],[processed_date]]="","",Claims_Cleaned[[#This Row],[processed_date]]-Claims_Cleaned[[#This Row],[submission_date]])</f>
        <v>5</v>
      </c>
      <c r="I1196" s="4" t="str">
        <f>TEXT(Claims_Cleaned[[#This Row],[claim_date]],"mmm-yyyy")</f>
        <v>Sep-2024</v>
      </c>
      <c r="J1196" t="s">
        <v>13</v>
      </c>
      <c r="K1196">
        <v>438.09</v>
      </c>
      <c r="L1196" t="s">
        <v>683</v>
      </c>
      <c r="M1196">
        <v>5</v>
      </c>
    </row>
    <row r="1197" spans="1:13" x14ac:dyDescent="0.35">
      <c r="A1197" t="s">
        <v>1353</v>
      </c>
      <c r="B1197" t="s">
        <v>254</v>
      </c>
      <c r="C1197" t="s">
        <v>603</v>
      </c>
      <c r="D1197" t="s">
        <v>671</v>
      </c>
      <c r="E1197" s="1">
        <v>45598</v>
      </c>
      <c r="F1197" s="1">
        <v>45599</v>
      </c>
      <c r="G1197" s="1">
        <v>45614</v>
      </c>
      <c r="H1197" s="4">
        <f>IF(Claims_Cleaned[[#This Row],[processed_date]]="","",Claims_Cleaned[[#This Row],[processed_date]]-Claims_Cleaned[[#This Row],[submission_date]])</f>
        <v>15</v>
      </c>
      <c r="I1197" s="4" t="str">
        <f>TEXT(Claims_Cleaned[[#This Row],[claim_date]],"mmm-yyyy")</f>
        <v>Nov-2024</v>
      </c>
      <c r="J1197" t="s">
        <v>13</v>
      </c>
      <c r="K1197">
        <v>436.95</v>
      </c>
      <c r="L1197" t="s">
        <v>683</v>
      </c>
      <c r="M1197">
        <v>15</v>
      </c>
    </row>
    <row r="1198" spans="1:13" x14ac:dyDescent="0.35">
      <c r="A1198" t="s">
        <v>1776</v>
      </c>
      <c r="B1198" t="s">
        <v>384</v>
      </c>
      <c r="C1198" t="s">
        <v>559</v>
      </c>
      <c r="D1198" t="s">
        <v>633</v>
      </c>
      <c r="E1198" s="1">
        <v>45540</v>
      </c>
      <c r="F1198" s="1">
        <v>45542</v>
      </c>
      <c r="G1198" s="1"/>
      <c r="H1198" s="4" t="str">
        <f>IF(Claims_Cleaned[[#This Row],[processed_date]]="","",Claims_Cleaned[[#This Row],[processed_date]]-Claims_Cleaned[[#This Row],[submission_date]])</f>
        <v/>
      </c>
      <c r="I1198" s="4" t="str">
        <f>TEXT(Claims_Cleaned[[#This Row],[claim_date]],"mmm-yyyy")</f>
        <v>Sep-2024</v>
      </c>
      <c r="J1198" t="s">
        <v>13</v>
      </c>
      <c r="K1198">
        <v>436.68</v>
      </c>
      <c r="L1198" t="s">
        <v>689</v>
      </c>
    </row>
    <row r="1199" spans="1:13" x14ac:dyDescent="0.35">
      <c r="A1199" t="s">
        <v>1066</v>
      </c>
      <c r="B1199" t="s">
        <v>255</v>
      </c>
      <c r="C1199" t="s">
        <v>527</v>
      </c>
      <c r="D1199" t="s">
        <v>656</v>
      </c>
      <c r="E1199" s="1">
        <v>45228</v>
      </c>
      <c r="F1199" s="1">
        <v>45232</v>
      </c>
      <c r="G1199" s="1">
        <v>45246</v>
      </c>
      <c r="H1199" s="4">
        <f>IF(Claims_Cleaned[[#This Row],[processed_date]]="","",Claims_Cleaned[[#This Row],[processed_date]]-Claims_Cleaned[[#This Row],[submission_date]])</f>
        <v>14</v>
      </c>
      <c r="I1199" s="4" t="str">
        <f>TEXT(Claims_Cleaned[[#This Row],[claim_date]],"mmm-yyyy")</f>
        <v>Oct-2023</v>
      </c>
      <c r="J1199" t="s">
        <v>20</v>
      </c>
      <c r="K1199">
        <v>436.3</v>
      </c>
      <c r="L1199" t="s">
        <v>683</v>
      </c>
      <c r="M1199">
        <v>14</v>
      </c>
    </row>
    <row r="1200" spans="1:13" x14ac:dyDescent="0.35">
      <c r="A1200" t="s">
        <v>2621</v>
      </c>
      <c r="B1200" t="s">
        <v>490</v>
      </c>
      <c r="C1200" t="s">
        <v>579</v>
      </c>
      <c r="D1200" t="s">
        <v>671</v>
      </c>
      <c r="E1200" s="1">
        <v>45463</v>
      </c>
      <c r="F1200" s="1">
        <v>45465</v>
      </c>
      <c r="G1200" s="1">
        <v>45476</v>
      </c>
      <c r="H1200" s="4">
        <f>IF(Claims_Cleaned[[#This Row],[processed_date]]="","",Claims_Cleaned[[#This Row],[processed_date]]-Claims_Cleaned[[#This Row],[submission_date]])</f>
        <v>11</v>
      </c>
      <c r="I1200" s="4" t="str">
        <f>TEXT(Claims_Cleaned[[#This Row],[claim_date]],"mmm-yyyy")</f>
        <v>Jun-2024</v>
      </c>
      <c r="J1200" t="s">
        <v>11</v>
      </c>
      <c r="K1200">
        <v>436.09</v>
      </c>
      <c r="L1200" t="s">
        <v>683</v>
      </c>
      <c r="M1200">
        <v>11</v>
      </c>
    </row>
    <row r="1201" spans="1:13" x14ac:dyDescent="0.35">
      <c r="A1201" t="s">
        <v>858</v>
      </c>
      <c r="B1201" t="s">
        <v>497</v>
      </c>
      <c r="C1201" t="s">
        <v>561</v>
      </c>
      <c r="D1201" t="s">
        <v>656</v>
      </c>
      <c r="E1201" s="1">
        <v>45310</v>
      </c>
      <c r="F1201" s="1">
        <v>45312</v>
      </c>
      <c r="G1201" s="1">
        <v>45342</v>
      </c>
      <c r="H1201" s="4">
        <f>IF(Claims_Cleaned[[#This Row],[processed_date]]="","",Claims_Cleaned[[#This Row],[processed_date]]-Claims_Cleaned[[#This Row],[submission_date]])</f>
        <v>30</v>
      </c>
      <c r="I1201" s="4" t="str">
        <f>TEXT(Claims_Cleaned[[#This Row],[claim_date]],"mmm-yyyy")</f>
        <v>Jan-2024</v>
      </c>
      <c r="J1201" t="s">
        <v>13</v>
      </c>
      <c r="K1201">
        <v>434.54</v>
      </c>
      <c r="L1201" t="s">
        <v>683</v>
      </c>
      <c r="M1201">
        <v>30</v>
      </c>
    </row>
    <row r="1202" spans="1:13" x14ac:dyDescent="0.35">
      <c r="A1202" t="s">
        <v>1828</v>
      </c>
      <c r="B1202" t="s">
        <v>189</v>
      </c>
      <c r="C1202" t="s">
        <v>593</v>
      </c>
      <c r="D1202" t="s">
        <v>671</v>
      </c>
      <c r="E1202" s="1">
        <v>45570</v>
      </c>
      <c r="F1202" s="1">
        <v>45573</v>
      </c>
      <c r="G1202" s="1">
        <v>45602</v>
      </c>
      <c r="H1202" s="4">
        <f>IF(Claims_Cleaned[[#This Row],[processed_date]]="","",Claims_Cleaned[[#This Row],[processed_date]]-Claims_Cleaned[[#This Row],[submission_date]])</f>
        <v>29</v>
      </c>
      <c r="I1202" s="4" t="str">
        <f>TEXT(Claims_Cleaned[[#This Row],[claim_date]],"mmm-yyyy")</f>
        <v>Oct-2024</v>
      </c>
      <c r="J1202" t="s">
        <v>8</v>
      </c>
      <c r="K1202">
        <v>434.32</v>
      </c>
      <c r="L1202" t="s">
        <v>683</v>
      </c>
      <c r="M1202">
        <v>29</v>
      </c>
    </row>
    <row r="1203" spans="1:13" x14ac:dyDescent="0.35">
      <c r="A1203" t="s">
        <v>2582</v>
      </c>
      <c r="B1203" t="s">
        <v>148</v>
      </c>
      <c r="C1203" t="s">
        <v>589</v>
      </c>
      <c r="D1203" t="s">
        <v>671</v>
      </c>
      <c r="E1203" s="1">
        <v>45590</v>
      </c>
      <c r="F1203" s="1">
        <v>45591</v>
      </c>
      <c r="G1203" s="1">
        <v>45595</v>
      </c>
      <c r="H1203" s="4">
        <f>IF(Claims_Cleaned[[#This Row],[processed_date]]="","",Claims_Cleaned[[#This Row],[processed_date]]-Claims_Cleaned[[#This Row],[submission_date]])</f>
        <v>4</v>
      </c>
      <c r="I1203" s="4" t="str">
        <f>TEXT(Claims_Cleaned[[#This Row],[claim_date]],"mmm-yyyy")</f>
        <v>Oct-2024</v>
      </c>
      <c r="J1203" t="s">
        <v>8</v>
      </c>
      <c r="K1203">
        <v>433.89</v>
      </c>
      <c r="L1203" t="s">
        <v>683</v>
      </c>
      <c r="M1203">
        <v>4</v>
      </c>
    </row>
    <row r="1204" spans="1:13" x14ac:dyDescent="0.35">
      <c r="A1204" t="s">
        <v>1777</v>
      </c>
      <c r="B1204" t="s">
        <v>479</v>
      </c>
      <c r="C1204" t="s">
        <v>531</v>
      </c>
      <c r="D1204" t="s">
        <v>633</v>
      </c>
      <c r="E1204" s="1">
        <v>44943</v>
      </c>
      <c r="F1204" s="1">
        <v>44948</v>
      </c>
      <c r="G1204" s="1">
        <v>44962</v>
      </c>
      <c r="H1204" s="4">
        <f>IF(Claims_Cleaned[[#This Row],[processed_date]]="","",Claims_Cleaned[[#This Row],[processed_date]]-Claims_Cleaned[[#This Row],[submission_date]])</f>
        <v>14</v>
      </c>
      <c r="I1204" s="4" t="str">
        <f>TEXT(Claims_Cleaned[[#This Row],[claim_date]],"mmm-yyyy")</f>
        <v>Jan-2023</v>
      </c>
      <c r="J1204" t="s">
        <v>20</v>
      </c>
      <c r="K1204">
        <v>433.13</v>
      </c>
      <c r="L1204" t="s">
        <v>687</v>
      </c>
      <c r="M1204">
        <v>14</v>
      </c>
    </row>
    <row r="1205" spans="1:13" x14ac:dyDescent="0.35">
      <c r="A1205" t="s">
        <v>1393</v>
      </c>
      <c r="B1205" t="s">
        <v>156</v>
      </c>
      <c r="C1205" t="s">
        <v>567</v>
      </c>
      <c r="D1205" t="s">
        <v>633</v>
      </c>
      <c r="E1205" s="1">
        <v>45001</v>
      </c>
      <c r="F1205" s="1">
        <v>45003</v>
      </c>
      <c r="G1205" s="1">
        <v>45008</v>
      </c>
      <c r="H1205" s="4">
        <f>IF(Claims_Cleaned[[#This Row],[processed_date]]="","",Claims_Cleaned[[#This Row],[processed_date]]-Claims_Cleaned[[#This Row],[submission_date]])</f>
        <v>5</v>
      </c>
      <c r="I1205" s="4" t="str">
        <f>TEXT(Claims_Cleaned[[#This Row],[claim_date]],"mmm-yyyy")</f>
        <v>Mar-2023</v>
      </c>
      <c r="J1205" t="s">
        <v>25</v>
      </c>
      <c r="K1205">
        <v>433.11</v>
      </c>
      <c r="L1205" t="s">
        <v>683</v>
      </c>
      <c r="M1205">
        <v>5</v>
      </c>
    </row>
    <row r="1206" spans="1:13" x14ac:dyDescent="0.35">
      <c r="A1206" t="s">
        <v>2668</v>
      </c>
      <c r="B1206" t="s">
        <v>366</v>
      </c>
      <c r="C1206" t="s">
        <v>534</v>
      </c>
      <c r="D1206" t="s">
        <v>656</v>
      </c>
      <c r="E1206" s="1">
        <v>45008</v>
      </c>
      <c r="F1206" s="1">
        <v>45013</v>
      </c>
      <c r="G1206" s="1">
        <v>45034</v>
      </c>
      <c r="H1206" s="4">
        <f>IF(Claims_Cleaned[[#This Row],[processed_date]]="","",Claims_Cleaned[[#This Row],[processed_date]]-Claims_Cleaned[[#This Row],[submission_date]])</f>
        <v>21</v>
      </c>
      <c r="I1206" s="4" t="str">
        <f>TEXT(Claims_Cleaned[[#This Row],[claim_date]],"mmm-yyyy")</f>
        <v>Mar-2023</v>
      </c>
      <c r="J1206" t="s">
        <v>8</v>
      </c>
      <c r="K1206">
        <v>432.59</v>
      </c>
      <c r="L1206" t="s">
        <v>683</v>
      </c>
      <c r="M1206">
        <v>21</v>
      </c>
    </row>
    <row r="1207" spans="1:13" x14ac:dyDescent="0.35">
      <c r="A1207" t="s">
        <v>1589</v>
      </c>
      <c r="B1207" t="s">
        <v>487</v>
      </c>
      <c r="C1207" t="s">
        <v>607</v>
      </c>
      <c r="D1207" t="s">
        <v>633</v>
      </c>
      <c r="E1207" s="1">
        <v>45284</v>
      </c>
      <c r="F1207" s="1">
        <v>45288</v>
      </c>
      <c r="G1207" s="1">
        <v>45300</v>
      </c>
      <c r="H1207" s="4">
        <f>IF(Claims_Cleaned[[#This Row],[processed_date]]="","",Claims_Cleaned[[#This Row],[processed_date]]-Claims_Cleaned[[#This Row],[submission_date]])</f>
        <v>12</v>
      </c>
      <c r="I1207" s="4" t="str">
        <f>TEXT(Claims_Cleaned[[#This Row],[claim_date]],"mmm-yyyy")</f>
        <v>Dec-2023</v>
      </c>
      <c r="J1207" t="s">
        <v>20</v>
      </c>
      <c r="K1207">
        <v>432.04</v>
      </c>
      <c r="L1207" t="s">
        <v>683</v>
      </c>
      <c r="M1207">
        <v>12</v>
      </c>
    </row>
    <row r="1208" spans="1:13" x14ac:dyDescent="0.35">
      <c r="A1208" t="s">
        <v>1760</v>
      </c>
      <c r="B1208" t="s">
        <v>333</v>
      </c>
      <c r="C1208" t="s">
        <v>593</v>
      </c>
      <c r="D1208" t="s">
        <v>671</v>
      </c>
      <c r="E1208" s="1">
        <v>45044</v>
      </c>
      <c r="F1208" s="1">
        <v>45046</v>
      </c>
      <c r="G1208" s="1">
        <v>45075</v>
      </c>
      <c r="H1208" s="4">
        <f>IF(Claims_Cleaned[[#This Row],[processed_date]]="","",Claims_Cleaned[[#This Row],[processed_date]]-Claims_Cleaned[[#This Row],[submission_date]])</f>
        <v>29</v>
      </c>
      <c r="I1208" s="4" t="str">
        <f>TEXT(Claims_Cleaned[[#This Row],[claim_date]],"mmm-yyyy")</f>
        <v>Apr-2023</v>
      </c>
      <c r="J1208" t="s">
        <v>13</v>
      </c>
      <c r="K1208">
        <v>431.45</v>
      </c>
      <c r="L1208" t="s">
        <v>683</v>
      </c>
      <c r="M1208">
        <v>29</v>
      </c>
    </row>
    <row r="1209" spans="1:13" x14ac:dyDescent="0.35">
      <c r="A1209" t="s">
        <v>1297</v>
      </c>
      <c r="B1209" t="s">
        <v>266</v>
      </c>
      <c r="C1209" t="s">
        <v>557</v>
      </c>
      <c r="D1209" t="s">
        <v>656</v>
      </c>
      <c r="E1209" s="1">
        <v>45136</v>
      </c>
      <c r="F1209" s="1">
        <v>45140</v>
      </c>
      <c r="G1209" s="1">
        <v>45159</v>
      </c>
      <c r="H1209" s="4">
        <f>IF(Claims_Cleaned[[#This Row],[processed_date]]="","",Claims_Cleaned[[#This Row],[processed_date]]-Claims_Cleaned[[#This Row],[submission_date]])</f>
        <v>19</v>
      </c>
      <c r="I1209" s="4" t="str">
        <f>TEXT(Claims_Cleaned[[#This Row],[claim_date]],"mmm-yyyy")</f>
        <v>Jul-2023</v>
      </c>
      <c r="J1209" t="s">
        <v>20</v>
      </c>
      <c r="K1209">
        <v>430.65</v>
      </c>
      <c r="L1209" t="s">
        <v>683</v>
      </c>
      <c r="M1209">
        <v>19</v>
      </c>
    </row>
    <row r="1210" spans="1:13" x14ac:dyDescent="0.35">
      <c r="A1210" t="s">
        <v>867</v>
      </c>
      <c r="B1210" t="s">
        <v>315</v>
      </c>
      <c r="C1210" t="s">
        <v>540</v>
      </c>
      <c r="D1210" t="s">
        <v>633</v>
      </c>
      <c r="E1210" s="1">
        <v>45524</v>
      </c>
      <c r="F1210" s="1">
        <v>45525</v>
      </c>
      <c r="G1210" s="1">
        <v>45532</v>
      </c>
      <c r="H1210" s="4">
        <f>IF(Claims_Cleaned[[#This Row],[processed_date]]="","",Claims_Cleaned[[#This Row],[processed_date]]-Claims_Cleaned[[#This Row],[submission_date]])</f>
        <v>7</v>
      </c>
      <c r="I1210" s="4" t="str">
        <f>TEXT(Claims_Cleaned[[#This Row],[claim_date]],"mmm-yyyy")</f>
        <v>Aug-2024</v>
      </c>
      <c r="J1210" t="s">
        <v>13</v>
      </c>
      <c r="K1210">
        <v>430.59</v>
      </c>
      <c r="L1210" t="s">
        <v>683</v>
      </c>
      <c r="M1210">
        <v>7</v>
      </c>
    </row>
    <row r="1211" spans="1:13" x14ac:dyDescent="0.35">
      <c r="A1211" t="s">
        <v>2677</v>
      </c>
      <c r="B1211" t="s">
        <v>177</v>
      </c>
      <c r="C1211" t="s">
        <v>605</v>
      </c>
      <c r="D1211" t="s">
        <v>671</v>
      </c>
      <c r="E1211" s="1">
        <v>45620</v>
      </c>
      <c r="F1211" s="1">
        <v>45624</v>
      </c>
      <c r="G1211" s="1">
        <v>45651</v>
      </c>
      <c r="H1211" s="4">
        <f>IF(Claims_Cleaned[[#This Row],[processed_date]]="","",Claims_Cleaned[[#This Row],[processed_date]]-Claims_Cleaned[[#This Row],[submission_date]])</f>
        <v>27</v>
      </c>
      <c r="I1211" s="4" t="str">
        <f>TEXT(Claims_Cleaned[[#This Row],[claim_date]],"mmm-yyyy")</f>
        <v>Nov-2024</v>
      </c>
      <c r="J1211" t="s">
        <v>11</v>
      </c>
      <c r="K1211">
        <v>430.16</v>
      </c>
      <c r="L1211" t="s">
        <v>683</v>
      </c>
      <c r="M1211">
        <v>27</v>
      </c>
    </row>
    <row r="1212" spans="1:13" x14ac:dyDescent="0.35">
      <c r="A1212" t="s">
        <v>1680</v>
      </c>
      <c r="B1212" t="s">
        <v>115</v>
      </c>
      <c r="C1212" t="s">
        <v>540</v>
      </c>
      <c r="D1212" t="s">
        <v>633</v>
      </c>
      <c r="E1212" s="1">
        <v>45063</v>
      </c>
      <c r="F1212" s="1">
        <v>45066</v>
      </c>
      <c r="G1212" s="1">
        <v>45076</v>
      </c>
      <c r="H1212" s="4">
        <f>IF(Claims_Cleaned[[#This Row],[processed_date]]="","",Claims_Cleaned[[#This Row],[processed_date]]-Claims_Cleaned[[#This Row],[submission_date]])</f>
        <v>10</v>
      </c>
      <c r="I1212" s="4" t="str">
        <f>TEXT(Claims_Cleaned[[#This Row],[claim_date]],"mmm-yyyy")</f>
        <v>May-2023</v>
      </c>
      <c r="J1212" t="s">
        <v>20</v>
      </c>
      <c r="K1212">
        <v>429.83</v>
      </c>
      <c r="L1212" t="s">
        <v>683</v>
      </c>
      <c r="M1212">
        <v>10</v>
      </c>
    </row>
    <row r="1213" spans="1:13" x14ac:dyDescent="0.35">
      <c r="A1213" t="s">
        <v>1093</v>
      </c>
      <c r="B1213" t="s">
        <v>87</v>
      </c>
      <c r="C1213" t="s">
        <v>559</v>
      </c>
      <c r="D1213" t="s">
        <v>633</v>
      </c>
      <c r="E1213" s="1">
        <v>45207</v>
      </c>
      <c r="F1213" s="1">
        <v>45211</v>
      </c>
      <c r="G1213" s="1">
        <v>45224</v>
      </c>
      <c r="H1213" s="4">
        <f>IF(Claims_Cleaned[[#This Row],[processed_date]]="","",Claims_Cleaned[[#This Row],[processed_date]]-Claims_Cleaned[[#This Row],[submission_date]])</f>
        <v>13</v>
      </c>
      <c r="I1213" s="4" t="str">
        <f>TEXT(Claims_Cleaned[[#This Row],[claim_date]],"mmm-yyyy")</f>
        <v>Oct-2023</v>
      </c>
      <c r="J1213" t="s">
        <v>8</v>
      </c>
      <c r="K1213">
        <v>429.76</v>
      </c>
      <c r="L1213" t="s">
        <v>683</v>
      </c>
      <c r="M1213">
        <v>13</v>
      </c>
    </row>
    <row r="1214" spans="1:13" x14ac:dyDescent="0.35">
      <c r="A1214" t="s">
        <v>2624</v>
      </c>
      <c r="B1214" t="s">
        <v>505</v>
      </c>
      <c r="C1214" t="s">
        <v>543</v>
      </c>
      <c r="D1214" t="s">
        <v>671</v>
      </c>
      <c r="E1214" s="1">
        <v>45133</v>
      </c>
      <c r="F1214" s="1">
        <v>45135</v>
      </c>
      <c r="G1214" s="1">
        <v>45165</v>
      </c>
      <c r="H1214" s="4">
        <f>IF(Claims_Cleaned[[#This Row],[processed_date]]="","",Claims_Cleaned[[#This Row],[processed_date]]-Claims_Cleaned[[#This Row],[submission_date]])</f>
        <v>30</v>
      </c>
      <c r="I1214" s="4" t="str">
        <f>TEXT(Claims_Cleaned[[#This Row],[claim_date]],"mmm-yyyy")</f>
        <v>Jul-2023</v>
      </c>
      <c r="J1214" t="s">
        <v>20</v>
      </c>
      <c r="K1214">
        <v>429.45</v>
      </c>
      <c r="L1214" t="s">
        <v>683</v>
      </c>
      <c r="M1214">
        <v>30</v>
      </c>
    </row>
    <row r="1215" spans="1:13" x14ac:dyDescent="0.35">
      <c r="A1215" t="s">
        <v>1890</v>
      </c>
      <c r="B1215" t="s">
        <v>241</v>
      </c>
      <c r="C1215" t="s">
        <v>540</v>
      </c>
      <c r="D1215" t="s">
        <v>633</v>
      </c>
      <c r="E1215" s="1">
        <v>45287</v>
      </c>
      <c r="F1215" s="1">
        <v>45290</v>
      </c>
      <c r="G1215" s="1">
        <v>45313</v>
      </c>
      <c r="H1215" s="4">
        <f>IF(Claims_Cleaned[[#This Row],[processed_date]]="","",Claims_Cleaned[[#This Row],[processed_date]]-Claims_Cleaned[[#This Row],[submission_date]])</f>
        <v>23</v>
      </c>
      <c r="I1215" s="4" t="str">
        <f>TEXT(Claims_Cleaned[[#This Row],[claim_date]],"mmm-yyyy")</f>
        <v>Dec-2023</v>
      </c>
      <c r="J1215" t="s">
        <v>11</v>
      </c>
      <c r="K1215">
        <v>428.6</v>
      </c>
      <c r="L1215" t="s">
        <v>683</v>
      </c>
      <c r="M1215">
        <v>23</v>
      </c>
    </row>
    <row r="1216" spans="1:13" x14ac:dyDescent="0.35">
      <c r="A1216" t="s">
        <v>1552</v>
      </c>
      <c r="B1216" t="s">
        <v>145</v>
      </c>
      <c r="C1216" t="s">
        <v>567</v>
      </c>
      <c r="D1216" t="s">
        <v>633</v>
      </c>
      <c r="E1216" s="1">
        <v>45468</v>
      </c>
      <c r="F1216" s="1">
        <v>45473</v>
      </c>
      <c r="G1216" s="1">
        <v>45496</v>
      </c>
      <c r="H1216" s="4">
        <f>IF(Claims_Cleaned[[#This Row],[processed_date]]="","",Claims_Cleaned[[#This Row],[processed_date]]-Claims_Cleaned[[#This Row],[submission_date]])</f>
        <v>23</v>
      </c>
      <c r="I1216" s="4" t="str">
        <f>TEXT(Claims_Cleaned[[#This Row],[claim_date]],"mmm-yyyy")</f>
        <v>Jun-2024</v>
      </c>
      <c r="J1216" t="s">
        <v>8</v>
      </c>
      <c r="K1216">
        <v>427.34</v>
      </c>
      <c r="L1216" t="s">
        <v>683</v>
      </c>
      <c r="M1216">
        <v>23</v>
      </c>
    </row>
    <row r="1217" spans="1:13" x14ac:dyDescent="0.35">
      <c r="A1217" t="s">
        <v>1926</v>
      </c>
      <c r="B1217" t="s">
        <v>371</v>
      </c>
      <c r="C1217" t="s">
        <v>569</v>
      </c>
      <c r="D1217" t="s">
        <v>633</v>
      </c>
      <c r="E1217" s="1">
        <v>45594</v>
      </c>
      <c r="F1217" s="1">
        <v>45595</v>
      </c>
      <c r="G1217" s="1">
        <v>45612</v>
      </c>
      <c r="H1217" s="4">
        <f>IF(Claims_Cleaned[[#This Row],[processed_date]]="","",Claims_Cleaned[[#This Row],[processed_date]]-Claims_Cleaned[[#This Row],[submission_date]])</f>
        <v>17</v>
      </c>
      <c r="I1217" s="4" t="str">
        <f>TEXT(Claims_Cleaned[[#This Row],[claim_date]],"mmm-yyyy")</f>
        <v>Oct-2024</v>
      </c>
      <c r="J1217" t="s">
        <v>25</v>
      </c>
      <c r="K1217">
        <v>427.3</v>
      </c>
      <c r="L1217" t="s">
        <v>683</v>
      </c>
      <c r="M1217">
        <v>17</v>
      </c>
    </row>
    <row r="1218" spans="1:13" x14ac:dyDescent="0.35">
      <c r="A1218" t="s">
        <v>2471</v>
      </c>
      <c r="B1218" t="s">
        <v>68</v>
      </c>
      <c r="C1218" t="s">
        <v>546</v>
      </c>
      <c r="D1218" t="s">
        <v>656</v>
      </c>
      <c r="E1218" s="1">
        <v>45131</v>
      </c>
      <c r="F1218" s="1">
        <v>45135</v>
      </c>
      <c r="G1218" s="1">
        <v>45143</v>
      </c>
      <c r="H1218" s="4">
        <f>IF(Claims_Cleaned[[#This Row],[processed_date]]="","",Claims_Cleaned[[#This Row],[processed_date]]-Claims_Cleaned[[#This Row],[submission_date]])</f>
        <v>8</v>
      </c>
      <c r="I1218" s="4" t="str">
        <f>TEXT(Claims_Cleaned[[#This Row],[claim_date]],"mmm-yyyy")</f>
        <v>Jul-2023</v>
      </c>
      <c r="J1218" t="s">
        <v>25</v>
      </c>
      <c r="K1218">
        <v>426.91</v>
      </c>
      <c r="L1218" t="s">
        <v>683</v>
      </c>
      <c r="M1218">
        <v>8</v>
      </c>
    </row>
    <row r="1219" spans="1:13" x14ac:dyDescent="0.35">
      <c r="A1219" t="s">
        <v>1566</v>
      </c>
      <c r="B1219" t="s">
        <v>462</v>
      </c>
      <c r="C1219" t="s">
        <v>543</v>
      </c>
      <c r="D1219" t="s">
        <v>656</v>
      </c>
      <c r="E1219" s="1">
        <v>45053</v>
      </c>
      <c r="F1219" s="1">
        <v>45054</v>
      </c>
      <c r="G1219" s="1">
        <v>45080</v>
      </c>
      <c r="H1219" s="4">
        <f>IF(Claims_Cleaned[[#This Row],[processed_date]]="","",Claims_Cleaned[[#This Row],[processed_date]]-Claims_Cleaned[[#This Row],[submission_date]])</f>
        <v>26</v>
      </c>
      <c r="I1219" s="4" t="str">
        <f>TEXT(Claims_Cleaned[[#This Row],[claim_date]],"mmm-yyyy")</f>
        <v>May-2023</v>
      </c>
      <c r="J1219" t="s">
        <v>20</v>
      </c>
      <c r="K1219">
        <v>425.9</v>
      </c>
      <c r="L1219" t="s">
        <v>683</v>
      </c>
      <c r="M1219">
        <v>26</v>
      </c>
    </row>
    <row r="1220" spans="1:13" x14ac:dyDescent="0.35">
      <c r="A1220" t="s">
        <v>1433</v>
      </c>
      <c r="B1220" t="s">
        <v>449</v>
      </c>
      <c r="C1220" t="s">
        <v>579</v>
      </c>
      <c r="D1220" t="s">
        <v>633</v>
      </c>
      <c r="E1220" s="1">
        <v>45269</v>
      </c>
      <c r="F1220" s="1">
        <v>45273</v>
      </c>
      <c r="G1220" s="1">
        <v>45290</v>
      </c>
      <c r="H1220" s="4">
        <f>IF(Claims_Cleaned[[#This Row],[processed_date]]="","",Claims_Cleaned[[#This Row],[processed_date]]-Claims_Cleaned[[#This Row],[submission_date]])</f>
        <v>17</v>
      </c>
      <c r="I1220" s="4" t="str">
        <f>TEXT(Claims_Cleaned[[#This Row],[claim_date]],"mmm-yyyy")</f>
        <v>Dec-2023</v>
      </c>
      <c r="J1220" t="s">
        <v>13</v>
      </c>
      <c r="K1220">
        <v>425.31</v>
      </c>
      <c r="L1220" t="s">
        <v>683</v>
      </c>
      <c r="M1220">
        <v>17</v>
      </c>
    </row>
    <row r="1221" spans="1:13" x14ac:dyDescent="0.35">
      <c r="A1221" t="s">
        <v>1314</v>
      </c>
      <c r="B1221" t="s">
        <v>436</v>
      </c>
      <c r="C1221" t="s">
        <v>589</v>
      </c>
      <c r="D1221" t="s">
        <v>671</v>
      </c>
      <c r="E1221" s="1">
        <v>45184</v>
      </c>
      <c r="F1221" s="1">
        <v>45186</v>
      </c>
      <c r="G1221" s="1">
        <v>45194</v>
      </c>
      <c r="H1221" s="4">
        <f>IF(Claims_Cleaned[[#This Row],[processed_date]]="","",Claims_Cleaned[[#This Row],[processed_date]]-Claims_Cleaned[[#This Row],[submission_date]])</f>
        <v>8</v>
      </c>
      <c r="I1221" s="4" t="str">
        <f>TEXT(Claims_Cleaned[[#This Row],[claim_date]],"mmm-yyyy")</f>
        <v>Sep-2023</v>
      </c>
      <c r="J1221" t="s">
        <v>8</v>
      </c>
      <c r="K1221">
        <v>425.06</v>
      </c>
      <c r="L1221" t="s">
        <v>683</v>
      </c>
      <c r="M1221">
        <v>8</v>
      </c>
    </row>
    <row r="1222" spans="1:13" x14ac:dyDescent="0.35">
      <c r="A1222" t="s">
        <v>2536</v>
      </c>
      <c r="B1222" t="s">
        <v>224</v>
      </c>
      <c r="C1222" t="s">
        <v>549</v>
      </c>
      <c r="D1222" t="s">
        <v>671</v>
      </c>
      <c r="E1222" s="1">
        <v>45211</v>
      </c>
      <c r="F1222" s="1">
        <v>45212</v>
      </c>
      <c r="G1222" s="1">
        <v>45231</v>
      </c>
      <c r="H1222" s="4">
        <f>IF(Claims_Cleaned[[#This Row],[processed_date]]="","",Claims_Cleaned[[#This Row],[processed_date]]-Claims_Cleaned[[#This Row],[submission_date]])</f>
        <v>19</v>
      </c>
      <c r="I1222" s="4" t="str">
        <f>TEXT(Claims_Cleaned[[#This Row],[claim_date]],"mmm-yyyy")</f>
        <v>Oct-2023</v>
      </c>
      <c r="J1222" t="s">
        <v>11</v>
      </c>
      <c r="K1222">
        <v>425.01</v>
      </c>
      <c r="L1222" t="s">
        <v>683</v>
      </c>
      <c r="M1222">
        <v>19</v>
      </c>
    </row>
    <row r="1223" spans="1:13" x14ac:dyDescent="0.35">
      <c r="A1223" t="s">
        <v>1490</v>
      </c>
      <c r="B1223" t="s">
        <v>463</v>
      </c>
      <c r="C1223" t="s">
        <v>559</v>
      </c>
      <c r="D1223" t="s">
        <v>656</v>
      </c>
      <c r="E1223" s="1">
        <v>45230</v>
      </c>
      <c r="F1223" s="1">
        <v>45232</v>
      </c>
      <c r="G1223" s="1">
        <v>45250</v>
      </c>
      <c r="H1223" s="4">
        <f>IF(Claims_Cleaned[[#This Row],[processed_date]]="","",Claims_Cleaned[[#This Row],[processed_date]]-Claims_Cleaned[[#This Row],[submission_date]])</f>
        <v>18</v>
      </c>
      <c r="I1223" s="4" t="str">
        <f>TEXT(Claims_Cleaned[[#This Row],[claim_date]],"mmm-yyyy")</f>
        <v>Oct-2023</v>
      </c>
      <c r="J1223" t="s">
        <v>8</v>
      </c>
      <c r="K1223">
        <v>424.53</v>
      </c>
      <c r="L1223" t="s">
        <v>683</v>
      </c>
      <c r="M1223">
        <v>18</v>
      </c>
    </row>
    <row r="1224" spans="1:13" x14ac:dyDescent="0.35">
      <c r="A1224" t="s">
        <v>1229</v>
      </c>
      <c r="B1224" t="s">
        <v>240</v>
      </c>
      <c r="C1224" t="s">
        <v>575</v>
      </c>
      <c r="D1224" t="s">
        <v>656</v>
      </c>
      <c r="E1224" s="1">
        <v>45528</v>
      </c>
      <c r="F1224" s="1">
        <v>45531</v>
      </c>
      <c r="G1224" s="1">
        <v>45559</v>
      </c>
      <c r="H1224" s="4">
        <f>IF(Claims_Cleaned[[#This Row],[processed_date]]="","",Claims_Cleaned[[#This Row],[processed_date]]-Claims_Cleaned[[#This Row],[submission_date]])</f>
        <v>28</v>
      </c>
      <c r="I1224" s="4" t="str">
        <f>TEXT(Claims_Cleaned[[#This Row],[claim_date]],"mmm-yyyy")</f>
        <v>Aug-2024</v>
      </c>
      <c r="J1224" t="s">
        <v>11</v>
      </c>
      <c r="K1224">
        <v>424.25</v>
      </c>
      <c r="L1224" t="s">
        <v>683</v>
      </c>
      <c r="M1224">
        <v>28</v>
      </c>
    </row>
    <row r="1225" spans="1:13" x14ac:dyDescent="0.35">
      <c r="A1225" t="s">
        <v>1388</v>
      </c>
      <c r="B1225" t="s">
        <v>114</v>
      </c>
      <c r="C1225" t="s">
        <v>549</v>
      </c>
      <c r="D1225" t="s">
        <v>633</v>
      </c>
      <c r="E1225" s="1">
        <v>45360</v>
      </c>
      <c r="F1225" s="1">
        <v>45363</v>
      </c>
      <c r="G1225" s="1">
        <v>45381</v>
      </c>
      <c r="H1225" s="4">
        <f>IF(Claims_Cleaned[[#This Row],[processed_date]]="","",Claims_Cleaned[[#This Row],[processed_date]]-Claims_Cleaned[[#This Row],[submission_date]])</f>
        <v>18</v>
      </c>
      <c r="I1225" s="4" t="str">
        <f>TEXT(Claims_Cleaned[[#This Row],[claim_date]],"mmm-yyyy")</f>
        <v>Mar-2024</v>
      </c>
      <c r="J1225" t="s">
        <v>20</v>
      </c>
      <c r="K1225">
        <v>424.1</v>
      </c>
      <c r="L1225" t="s">
        <v>683</v>
      </c>
      <c r="M1225">
        <v>18</v>
      </c>
    </row>
    <row r="1226" spans="1:13" x14ac:dyDescent="0.35">
      <c r="A1226" t="s">
        <v>1593</v>
      </c>
      <c r="B1226" t="s">
        <v>165</v>
      </c>
      <c r="C1226" t="s">
        <v>537</v>
      </c>
      <c r="D1226" t="s">
        <v>633</v>
      </c>
      <c r="E1226" s="1">
        <v>45301</v>
      </c>
      <c r="F1226" s="1">
        <v>45306</v>
      </c>
      <c r="G1226" s="1">
        <v>45332</v>
      </c>
      <c r="H1226" s="4">
        <f>IF(Claims_Cleaned[[#This Row],[processed_date]]="","",Claims_Cleaned[[#This Row],[processed_date]]-Claims_Cleaned[[#This Row],[submission_date]])</f>
        <v>26</v>
      </c>
      <c r="I1226" s="4" t="str">
        <f>TEXT(Claims_Cleaned[[#This Row],[claim_date]],"mmm-yyyy")</f>
        <v>Jan-2024</v>
      </c>
      <c r="J1226" t="s">
        <v>25</v>
      </c>
      <c r="K1226">
        <v>423.58</v>
      </c>
      <c r="L1226" t="s">
        <v>687</v>
      </c>
      <c r="M1226">
        <v>26</v>
      </c>
    </row>
    <row r="1227" spans="1:13" x14ac:dyDescent="0.35">
      <c r="A1227" t="s">
        <v>1919</v>
      </c>
      <c r="B1227" t="s">
        <v>330</v>
      </c>
      <c r="C1227" t="s">
        <v>537</v>
      </c>
      <c r="D1227" t="s">
        <v>633</v>
      </c>
      <c r="E1227" s="1">
        <v>45546</v>
      </c>
      <c r="F1227" s="1">
        <v>45549</v>
      </c>
      <c r="G1227" s="1">
        <v>45559</v>
      </c>
      <c r="H1227" s="4">
        <f>IF(Claims_Cleaned[[#This Row],[processed_date]]="","",Claims_Cleaned[[#This Row],[processed_date]]-Claims_Cleaned[[#This Row],[submission_date]])</f>
        <v>10</v>
      </c>
      <c r="I1227" s="4" t="str">
        <f>TEXT(Claims_Cleaned[[#This Row],[claim_date]],"mmm-yyyy")</f>
        <v>Sep-2024</v>
      </c>
      <c r="J1227" t="s">
        <v>25</v>
      </c>
      <c r="K1227">
        <v>423.5</v>
      </c>
      <c r="L1227" t="s">
        <v>683</v>
      </c>
      <c r="M1227">
        <v>10</v>
      </c>
    </row>
    <row r="1228" spans="1:13" x14ac:dyDescent="0.35">
      <c r="A1228" t="s">
        <v>1884</v>
      </c>
      <c r="B1228" t="s">
        <v>12</v>
      </c>
      <c r="C1228" t="s">
        <v>589</v>
      </c>
      <c r="D1228" t="s">
        <v>671</v>
      </c>
      <c r="E1228" s="1">
        <v>45085</v>
      </c>
      <c r="F1228" s="1">
        <v>45088</v>
      </c>
      <c r="G1228" s="1">
        <v>45096</v>
      </c>
      <c r="H1228" s="4">
        <f>IF(Claims_Cleaned[[#This Row],[processed_date]]="","",Claims_Cleaned[[#This Row],[processed_date]]-Claims_Cleaned[[#This Row],[submission_date]])</f>
        <v>8</v>
      </c>
      <c r="I1228" s="4" t="str">
        <f>TEXT(Claims_Cleaned[[#This Row],[claim_date]],"mmm-yyyy")</f>
        <v>Jun-2023</v>
      </c>
      <c r="J1228" t="s">
        <v>13</v>
      </c>
      <c r="K1228">
        <v>423.31</v>
      </c>
      <c r="L1228" t="s">
        <v>683</v>
      </c>
      <c r="M1228">
        <v>8</v>
      </c>
    </row>
    <row r="1229" spans="1:13" x14ac:dyDescent="0.35">
      <c r="A1229" t="s">
        <v>1389</v>
      </c>
      <c r="B1229" t="s">
        <v>224</v>
      </c>
      <c r="C1229" t="s">
        <v>565</v>
      </c>
      <c r="D1229" t="s">
        <v>633</v>
      </c>
      <c r="E1229" s="1">
        <v>45302</v>
      </c>
      <c r="F1229" s="1">
        <v>45304</v>
      </c>
      <c r="G1229" s="1">
        <v>45326</v>
      </c>
      <c r="H1229" s="4">
        <f>IF(Claims_Cleaned[[#This Row],[processed_date]]="","",Claims_Cleaned[[#This Row],[processed_date]]-Claims_Cleaned[[#This Row],[submission_date]])</f>
        <v>22</v>
      </c>
      <c r="I1229" s="4" t="str">
        <f>TEXT(Claims_Cleaned[[#This Row],[claim_date]],"mmm-yyyy")</f>
        <v>Jan-2024</v>
      </c>
      <c r="J1229" t="s">
        <v>11</v>
      </c>
      <c r="K1229">
        <v>422.92</v>
      </c>
      <c r="L1229" t="s">
        <v>683</v>
      </c>
      <c r="M1229">
        <v>22</v>
      </c>
    </row>
    <row r="1230" spans="1:13" x14ac:dyDescent="0.35">
      <c r="A1230" t="s">
        <v>1304</v>
      </c>
      <c r="B1230" t="s">
        <v>61</v>
      </c>
      <c r="C1230" t="s">
        <v>603</v>
      </c>
      <c r="D1230" t="s">
        <v>656</v>
      </c>
      <c r="E1230" s="1">
        <v>45010</v>
      </c>
      <c r="F1230" s="1">
        <v>45015</v>
      </c>
      <c r="G1230" s="1">
        <v>45022</v>
      </c>
      <c r="H1230" s="4">
        <f>IF(Claims_Cleaned[[#This Row],[processed_date]]="","",Claims_Cleaned[[#This Row],[processed_date]]-Claims_Cleaned[[#This Row],[submission_date]])</f>
        <v>7</v>
      </c>
      <c r="I1230" s="4" t="str">
        <f>TEXT(Claims_Cleaned[[#This Row],[claim_date]],"mmm-yyyy")</f>
        <v>Mar-2023</v>
      </c>
      <c r="J1230" t="s">
        <v>11</v>
      </c>
      <c r="K1230">
        <v>422.38</v>
      </c>
      <c r="L1230" t="s">
        <v>687</v>
      </c>
      <c r="M1230">
        <v>7</v>
      </c>
    </row>
    <row r="1231" spans="1:13" x14ac:dyDescent="0.35">
      <c r="A1231" t="s">
        <v>1239</v>
      </c>
      <c r="B1231" t="s">
        <v>93</v>
      </c>
      <c r="C1231" t="s">
        <v>607</v>
      </c>
      <c r="D1231" t="s">
        <v>633</v>
      </c>
      <c r="E1231" s="1">
        <v>45479</v>
      </c>
      <c r="F1231" s="1">
        <v>45482</v>
      </c>
      <c r="G1231" s="1">
        <v>45498</v>
      </c>
      <c r="H1231" s="4">
        <f>IF(Claims_Cleaned[[#This Row],[processed_date]]="","",Claims_Cleaned[[#This Row],[processed_date]]-Claims_Cleaned[[#This Row],[submission_date]])</f>
        <v>16</v>
      </c>
      <c r="I1231" s="4" t="str">
        <f>TEXT(Claims_Cleaned[[#This Row],[claim_date]],"mmm-yyyy")</f>
        <v>Jul-2024</v>
      </c>
      <c r="J1231" t="s">
        <v>20</v>
      </c>
      <c r="K1231">
        <v>421.21</v>
      </c>
      <c r="L1231" t="s">
        <v>687</v>
      </c>
      <c r="M1231">
        <v>16</v>
      </c>
    </row>
    <row r="1232" spans="1:13" x14ac:dyDescent="0.35">
      <c r="A1232" t="s">
        <v>843</v>
      </c>
      <c r="B1232" t="s">
        <v>233</v>
      </c>
      <c r="C1232" t="s">
        <v>573</v>
      </c>
      <c r="D1232" t="s">
        <v>633</v>
      </c>
      <c r="E1232" s="1">
        <v>45352</v>
      </c>
      <c r="F1232" s="1">
        <v>45356</v>
      </c>
      <c r="G1232" s="1">
        <v>45384</v>
      </c>
      <c r="H1232" s="4">
        <f>IF(Claims_Cleaned[[#This Row],[processed_date]]="","",Claims_Cleaned[[#This Row],[processed_date]]-Claims_Cleaned[[#This Row],[submission_date]])</f>
        <v>28</v>
      </c>
      <c r="I1232" s="4" t="str">
        <f>TEXT(Claims_Cleaned[[#This Row],[claim_date]],"mmm-yyyy")</f>
        <v>Mar-2024</v>
      </c>
      <c r="J1232" t="s">
        <v>20</v>
      </c>
      <c r="K1232">
        <v>420.67</v>
      </c>
      <c r="L1232" t="s">
        <v>683</v>
      </c>
      <c r="M1232">
        <v>28</v>
      </c>
    </row>
    <row r="1233" spans="1:13" x14ac:dyDescent="0.35">
      <c r="A1233" t="s">
        <v>2045</v>
      </c>
      <c r="B1233" t="s">
        <v>288</v>
      </c>
      <c r="C1233" t="s">
        <v>540</v>
      </c>
      <c r="D1233" t="s">
        <v>656</v>
      </c>
      <c r="E1233" s="1">
        <v>45208</v>
      </c>
      <c r="F1233" s="1">
        <v>45213</v>
      </c>
      <c r="G1233" s="1">
        <v>45219</v>
      </c>
      <c r="H1233" s="4">
        <f>IF(Claims_Cleaned[[#This Row],[processed_date]]="","",Claims_Cleaned[[#This Row],[processed_date]]-Claims_Cleaned[[#This Row],[submission_date]])</f>
        <v>6</v>
      </c>
      <c r="I1233" s="4" t="str">
        <f>TEXT(Claims_Cleaned[[#This Row],[claim_date]],"mmm-yyyy")</f>
        <v>Oct-2023</v>
      </c>
      <c r="J1233" t="s">
        <v>11</v>
      </c>
      <c r="K1233">
        <v>420.48</v>
      </c>
      <c r="L1233" t="s">
        <v>687</v>
      </c>
      <c r="M1233">
        <v>6</v>
      </c>
    </row>
    <row r="1234" spans="1:13" x14ac:dyDescent="0.35">
      <c r="A1234" t="s">
        <v>745</v>
      </c>
      <c r="B1234" t="s">
        <v>506</v>
      </c>
      <c r="C1234" t="s">
        <v>577</v>
      </c>
      <c r="D1234" t="s">
        <v>671</v>
      </c>
      <c r="E1234" s="1">
        <v>45039</v>
      </c>
      <c r="F1234" s="1">
        <v>45043</v>
      </c>
      <c r="G1234" s="1">
        <v>45071</v>
      </c>
      <c r="H1234" s="4">
        <f>IF(Claims_Cleaned[[#This Row],[processed_date]]="","",Claims_Cleaned[[#This Row],[processed_date]]-Claims_Cleaned[[#This Row],[submission_date]])</f>
        <v>28</v>
      </c>
      <c r="I1234" s="4" t="str">
        <f>TEXT(Claims_Cleaned[[#This Row],[claim_date]],"mmm-yyyy")</f>
        <v>Apr-2023</v>
      </c>
      <c r="J1234" t="s">
        <v>11</v>
      </c>
      <c r="K1234">
        <v>420.22</v>
      </c>
      <c r="L1234" t="s">
        <v>683</v>
      </c>
      <c r="M1234">
        <v>28</v>
      </c>
    </row>
    <row r="1235" spans="1:13" x14ac:dyDescent="0.35">
      <c r="A1235" t="s">
        <v>1155</v>
      </c>
      <c r="B1235" t="s">
        <v>112</v>
      </c>
      <c r="C1235" t="s">
        <v>605</v>
      </c>
      <c r="D1235" t="s">
        <v>633</v>
      </c>
      <c r="E1235" s="1">
        <v>45202</v>
      </c>
      <c r="F1235" s="1">
        <v>45204</v>
      </c>
      <c r="G1235" s="1">
        <v>45221</v>
      </c>
      <c r="H1235" s="4">
        <f>IF(Claims_Cleaned[[#This Row],[processed_date]]="","",Claims_Cleaned[[#This Row],[processed_date]]-Claims_Cleaned[[#This Row],[submission_date]])</f>
        <v>17</v>
      </c>
      <c r="I1235" s="4" t="str">
        <f>TEXT(Claims_Cleaned[[#This Row],[claim_date]],"mmm-yyyy")</f>
        <v>Oct-2023</v>
      </c>
      <c r="J1235" t="s">
        <v>13</v>
      </c>
      <c r="K1235">
        <v>419.75</v>
      </c>
      <c r="L1235" t="s">
        <v>683</v>
      </c>
      <c r="M1235">
        <v>17</v>
      </c>
    </row>
    <row r="1236" spans="1:13" x14ac:dyDescent="0.35">
      <c r="A1236" t="s">
        <v>1278</v>
      </c>
      <c r="B1236" t="s">
        <v>410</v>
      </c>
      <c r="C1236" t="s">
        <v>569</v>
      </c>
      <c r="D1236" t="s">
        <v>656</v>
      </c>
      <c r="E1236" s="1">
        <v>45584</v>
      </c>
      <c r="F1236" s="1">
        <v>45585</v>
      </c>
      <c r="G1236" s="1">
        <v>45598</v>
      </c>
      <c r="H1236" s="4">
        <f>IF(Claims_Cleaned[[#This Row],[processed_date]]="","",Claims_Cleaned[[#This Row],[processed_date]]-Claims_Cleaned[[#This Row],[submission_date]])</f>
        <v>13</v>
      </c>
      <c r="I1236" s="4" t="str">
        <f>TEXT(Claims_Cleaned[[#This Row],[claim_date]],"mmm-yyyy")</f>
        <v>Oct-2024</v>
      </c>
      <c r="J1236" t="s">
        <v>20</v>
      </c>
      <c r="K1236">
        <v>419.68</v>
      </c>
      <c r="L1236" t="s">
        <v>683</v>
      </c>
      <c r="M1236">
        <v>13</v>
      </c>
    </row>
    <row r="1237" spans="1:13" x14ac:dyDescent="0.35">
      <c r="A1237" t="s">
        <v>968</v>
      </c>
      <c r="B1237" t="s">
        <v>293</v>
      </c>
      <c r="C1237" t="s">
        <v>557</v>
      </c>
      <c r="D1237" t="s">
        <v>656</v>
      </c>
      <c r="E1237" s="1">
        <v>45146</v>
      </c>
      <c r="F1237" s="1">
        <v>45147</v>
      </c>
      <c r="G1237" s="1">
        <v>45177</v>
      </c>
      <c r="H1237" s="4">
        <f>IF(Claims_Cleaned[[#This Row],[processed_date]]="","",Claims_Cleaned[[#This Row],[processed_date]]-Claims_Cleaned[[#This Row],[submission_date]])</f>
        <v>30</v>
      </c>
      <c r="I1237" s="4" t="str">
        <f>TEXT(Claims_Cleaned[[#This Row],[claim_date]],"mmm-yyyy")</f>
        <v>Aug-2023</v>
      </c>
      <c r="J1237" t="s">
        <v>20</v>
      </c>
      <c r="K1237">
        <v>419.16</v>
      </c>
      <c r="L1237" t="s">
        <v>683</v>
      </c>
      <c r="M1237">
        <v>30</v>
      </c>
    </row>
    <row r="1238" spans="1:13" x14ac:dyDescent="0.35">
      <c r="A1238" t="s">
        <v>2186</v>
      </c>
      <c r="B1238" t="s">
        <v>112</v>
      </c>
      <c r="C1238" t="s">
        <v>524</v>
      </c>
      <c r="D1238" t="s">
        <v>656</v>
      </c>
      <c r="E1238" s="1">
        <v>45487</v>
      </c>
      <c r="F1238" s="1">
        <v>45488</v>
      </c>
      <c r="G1238" s="1">
        <v>45493</v>
      </c>
      <c r="H1238" s="4">
        <f>IF(Claims_Cleaned[[#This Row],[processed_date]]="","",Claims_Cleaned[[#This Row],[processed_date]]-Claims_Cleaned[[#This Row],[submission_date]])</f>
        <v>5</v>
      </c>
      <c r="I1238" s="4" t="str">
        <f>TEXT(Claims_Cleaned[[#This Row],[claim_date]],"mmm-yyyy")</f>
        <v>Jul-2024</v>
      </c>
      <c r="J1238" t="s">
        <v>13</v>
      </c>
      <c r="K1238">
        <v>418.54</v>
      </c>
      <c r="L1238" t="s">
        <v>683</v>
      </c>
      <c r="M1238">
        <v>5</v>
      </c>
    </row>
    <row r="1239" spans="1:13" x14ac:dyDescent="0.35">
      <c r="A1239" t="s">
        <v>2483</v>
      </c>
      <c r="B1239" t="s">
        <v>374</v>
      </c>
      <c r="C1239" t="s">
        <v>561</v>
      </c>
      <c r="D1239" t="s">
        <v>633</v>
      </c>
      <c r="E1239" s="1">
        <v>44964</v>
      </c>
      <c r="F1239" s="1">
        <v>44966</v>
      </c>
      <c r="G1239" s="1">
        <v>44974</v>
      </c>
      <c r="H1239" s="4">
        <f>IF(Claims_Cleaned[[#This Row],[processed_date]]="","",Claims_Cleaned[[#This Row],[processed_date]]-Claims_Cleaned[[#This Row],[submission_date]])</f>
        <v>8</v>
      </c>
      <c r="I1239" s="4" t="str">
        <f>TEXT(Claims_Cleaned[[#This Row],[claim_date]],"mmm-yyyy")</f>
        <v>Feb-2023</v>
      </c>
      <c r="J1239" t="s">
        <v>8</v>
      </c>
      <c r="K1239">
        <v>418.21</v>
      </c>
      <c r="L1239" t="s">
        <v>687</v>
      </c>
      <c r="M1239">
        <v>8</v>
      </c>
    </row>
    <row r="1240" spans="1:13" x14ac:dyDescent="0.35">
      <c r="A1240" t="s">
        <v>1567</v>
      </c>
      <c r="B1240" t="s">
        <v>497</v>
      </c>
      <c r="C1240" t="s">
        <v>553</v>
      </c>
      <c r="D1240" t="s">
        <v>633</v>
      </c>
      <c r="E1240" s="1">
        <v>45183</v>
      </c>
      <c r="F1240" s="1">
        <v>45187</v>
      </c>
      <c r="G1240" s="1">
        <v>45204</v>
      </c>
      <c r="H1240" s="4">
        <f>IF(Claims_Cleaned[[#This Row],[processed_date]]="","",Claims_Cleaned[[#This Row],[processed_date]]-Claims_Cleaned[[#This Row],[submission_date]])</f>
        <v>17</v>
      </c>
      <c r="I1240" s="4" t="str">
        <f>TEXT(Claims_Cleaned[[#This Row],[claim_date]],"mmm-yyyy")</f>
        <v>Sep-2023</v>
      </c>
      <c r="J1240" t="s">
        <v>13</v>
      </c>
      <c r="K1240">
        <v>418.08</v>
      </c>
      <c r="L1240" t="s">
        <v>683</v>
      </c>
      <c r="M1240">
        <v>17</v>
      </c>
    </row>
    <row r="1241" spans="1:13" x14ac:dyDescent="0.35">
      <c r="A1241" t="s">
        <v>1062</v>
      </c>
      <c r="B1241" t="s">
        <v>228</v>
      </c>
      <c r="C1241" t="s">
        <v>589</v>
      </c>
      <c r="D1241" t="s">
        <v>656</v>
      </c>
      <c r="E1241" s="1">
        <v>45459</v>
      </c>
      <c r="F1241" s="1">
        <v>45464</v>
      </c>
      <c r="G1241" s="1">
        <v>45477</v>
      </c>
      <c r="H1241" s="4">
        <f>IF(Claims_Cleaned[[#This Row],[processed_date]]="","",Claims_Cleaned[[#This Row],[processed_date]]-Claims_Cleaned[[#This Row],[submission_date]])</f>
        <v>13</v>
      </c>
      <c r="I1241" s="4" t="str">
        <f>TEXT(Claims_Cleaned[[#This Row],[claim_date]],"mmm-yyyy")</f>
        <v>Jun-2024</v>
      </c>
      <c r="J1241" t="s">
        <v>25</v>
      </c>
      <c r="K1241">
        <v>417.9</v>
      </c>
      <c r="L1241" t="s">
        <v>683</v>
      </c>
      <c r="M1241">
        <v>13</v>
      </c>
    </row>
    <row r="1242" spans="1:13" x14ac:dyDescent="0.35">
      <c r="A1242" t="s">
        <v>1714</v>
      </c>
      <c r="B1242" t="s">
        <v>486</v>
      </c>
      <c r="C1242" t="s">
        <v>573</v>
      </c>
      <c r="D1242" t="s">
        <v>671</v>
      </c>
      <c r="E1242" s="1">
        <v>45219</v>
      </c>
      <c r="F1242" s="1">
        <v>45220</v>
      </c>
      <c r="G1242" s="1">
        <v>45227</v>
      </c>
      <c r="H1242" s="4">
        <f>IF(Claims_Cleaned[[#This Row],[processed_date]]="","",Claims_Cleaned[[#This Row],[processed_date]]-Claims_Cleaned[[#This Row],[submission_date]])</f>
        <v>7</v>
      </c>
      <c r="I1242" s="4" t="str">
        <f>TEXT(Claims_Cleaned[[#This Row],[claim_date]],"mmm-yyyy")</f>
        <v>Oct-2023</v>
      </c>
      <c r="J1242" t="s">
        <v>8</v>
      </c>
      <c r="K1242">
        <v>417.64</v>
      </c>
      <c r="L1242" t="s">
        <v>683</v>
      </c>
      <c r="M1242">
        <v>7</v>
      </c>
    </row>
    <row r="1243" spans="1:13" x14ac:dyDescent="0.35">
      <c r="A1243" t="s">
        <v>1494</v>
      </c>
      <c r="B1243" t="s">
        <v>224</v>
      </c>
      <c r="C1243" t="s">
        <v>537</v>
      </c>
      <c r="D1243" t="s">
        <v>671</v>
      </c>
      <c r="E1243" s="1">
        <v>45154</v>
      </c>
      <c r="F1243" s="1">
        <v>45159</v>
      </c>
      <c r="G1243" s="1">
        <v>45168</v>
      </c>
      <c r="H1243" s="4">
        <f>IF(Claims_Cleaned[[#This Row],[processed_date]]="","",Claims_Cleaned[[#This Row],[processed_date]]-Claims_Cleaned[[#This Row],[submission_date]])</f>
        <v>9</v>
      </c>
      <c r="I1243" s="4" t="str">
        <f>TEXT(Claims_Cleaned[[#This Row],[claim_date]],"mmm-yyyy")</f>
        <v>Aug-2023</v>
      </c>
      <c r="J1243" t="s">
        <v>11</v>
      </c>
      <c r="K1243">
        <v>417.47</v>
      </c>
      <c r="L1243" t="s">
        <v>683</v>
      </c>
      <c r="M1243">
        <v>9</v>
      </c>
    </row>
    <row r="1244" spans="1:13" x14ac:dyDescent="0.35">
      <c r="A1244" t="s">
        <v>2676</v>
      </c>
      <c r="B1244" t="s">
        <v>45</v>
      </c>
      <c r="C1244" t="s">
        <v>524</v>
      </c>
      <c r="D1244" t="s">
        <v>633</v>
      </c>
      <c r="E1244" s="1">
        <v>44929</v>
      </c>
      <c r="F1244" s="1">
        <v>44930</v>
      </c>
      <c r="G1244" s="1">
        <v>44951</v>
      </c>
      <c r="H1244" s="4">
        <f>IF(Claims_Cleaned[[#This Row],[processed_date]]="","",Claims_Cleaned[[#This Row],[processed_date]]-Claims_Cleaned[[#This Row],[submission_date]])</f>
        <v>21</v>
      </c>
      <c r="I1244" s="4" t="str">
        <f>TEXT(Claims_Cleaned[[#This Row],[claim_date]],"mmm-yyyy")</f>
        <v>Jan-2023</v>
      </c>
      <c r="J1244" t="s">
        <v>11</v>
      </c>
      <c r="K1244">
        <v>416.98</v>
      </c>
      <c r="L1244" t="s">
        <v>687</v>
      </c>
      <c r="M1244">
        <v>21</v>
      </c>
    </row>
    <row r="1245" spans="1:13" x14ac:dyDescent="0.35">
      <c r="A1245" t="s">
        <v>2388</v>
      </c>
      <c r="B1245" t="s">
        <v>21</v>
      </c>
      <c r="C1245" t="s">
        <v>549</v>
      </c>
      <c r="D1245" t="s">
        <v>656</v>
      </c>
      <c r="E1245" s="1">
        <v>45197</v>
      </c>
      <c r="F1245" s="1">
        <v>45199</v>
      </c>
      <c r="G1245" s="1">
        <v>45212</v>
      </c>
      <c r="H1245" s="4">
        <f>IF(Claims_Cleaned[[#This Row],[processed_date]]="","",Claims_Cleaned[[#This Row],[processed_date]]-Claims_Cleaned[[#This Row],[submission_date]])</f>
        <v>13</v>
      </c>
      <c r="I1245" s="4" t="str">
        <f>TEXT(Claims_Cleaned[[#This Row],[claim_date]],"mmm-yyyy")</f>
        <v>Sep-2023</v>
      </c>
      <c r="J1245" t="s">
        <v>11</v>
      </c>
      <c r="K1245">
        <v>416.57</v>
      </c>
      <c r="L1245" t="s">
        <v>683</v>
      </c>
      <c r="M1245">
        <v>13</v>
      </c>
    </row>
    <row r="1246" spans="1:13" x14ac:dyDescent="0.35">
      <c r="A1246" t="s">
        <v>2562</v>
      </c>
      <c r="B1246" t="s">
        <v>513</v>
      </c>
      <c r="C1246" t="s">
        <v>591</v>
      </c>
      <c r="D1246" t="s">
        <v>633</v>
      </c>
      <c r="E1246" s="1">
        <v>45161</v>
      </c>
      <c r="F1246" s="1">
        <v>45164</v>
      </c>
      <c r="G1246" s="1"/>
      <c r="H1246" s="4" t="str">
        <f>IF(Claims_Cleaned[[#This Row],[processed_date]]="","",Claims_Cleaned[[#This Row],[processed_date]]-Claims_Cleaned[[#This Row],[submission_date]])</f>
        <v/>
      </c>
      <c r="I1246" s="4" t="str">
        <f>TEXT(Claims_Cleaned[[#This Row],[claim_date]],"mmm-yyyy")</f>
        <v>Aug-2023</v>
      </c>
      <c r="J1246" t="s">
        <v>20</v>
      </c>
      <c r="K1246">
        <v>416.19</v>
      </c>
      <c r="L1246" t="s">
        <v>689</v>
      </c>
    </row>
    <row r="1247" spans="1:13" x14ac:dyDescent="0.35">
      <c r="A1247" t="s">
        <v>1313</v>
      </c>
      <c r="B1247" t="s">
        <v>454</v>
      </c>
      <c r="C1247" t="s">
        <v>559</v>
      </c>
      <c r="D1247" t="s">
        <v>633</v>
      </c>
      <c r="E1247" s="1">
        <v>45222</v>
      </c>
      <c r="F1247" s="1">
        <v>45226</v>
      </c>
      <c r="G1247" s="1">
        <v>45238</v>
      </c>
      <c r="H1247" s="4">
        <f>IF(Claims_Cleaned[[#This Row],[processed_date]]="","",Claims_Cleaned[[#This Row],[processed_date]]-Claims_Cleaned[[#This Row],[submission_date]])</f>
        <v>12</v>
      </c>
      <c r="I1247" s="4" t="str">
        <f>TEXT(Claims_Cleaned[[#This Row],[claim_date]],"mmm-yyyy")</f>
        <v>Oct-2023</v>
      </c>
      <c r="J1247" t="s">
        <v>20</v>
      </c>
      <c r="K1247">
        <v>415.59</v>
      </c>
      <c r="L1247" t="s">
        <v>683</v>
      </c>
      <c r="M1247">
        <v>12</v>
      </c>
    </row>
    <row r="1248" spans="1:13" x14ac:dyDescent="0.35">
      <c r="A1248" t="s">
        <v>1785</v>
      </c>
      <c r="B1248" t="s">
        <v>206</v>
      </c>
      <c r="C1248" t="s">
        <v>521</v>
      </c>
      <c r="D1248" t="s">
        <v>671</v>
      </c>
      <c r="E1248" s="1">
        <v>45156</v>
      </c>
      <c r="F1248" s="1">
        <v>45158</v>
      </c>
      <c r="G1248" s="1"/>
      <c r="H1248" s="4" t="str">
        <f>IF(Claims_Cleaned[[#This Row],[processed_date]]="","",Claims_Cleaned[[#This Row],[processed_date]]-Claims_Cleaned[[#This Row],[submission_date]])</f>
        <v/>
      </c>
      <c r="I1248" s="4" t="str">
        <f>TEXT(Claims_Cleaned[[#This Row],[claim_date]],"mmm-yyyy")</f>
        <v>Aug-2023</v>
      </c>
      <c r="J1248" t="s">
        <v>13</v>
      </c>
      <c r="K1248">
        <v>415.4</v>
      </c>
      <c r="L1248" t="s">
        <v>689</v>
      </c>
    </row>
    <row r="1249" spans="1:13" x14ac:dyDescent="0.35">
      <c r="A1249" t="s">
        <v>2355</v>
      </c>
      <c r="B1249" t="s">
        <v>105</v>
      </c>
      <c r="C1249" t="s">
        <v>521</v>
      </c>
      <c r="D1249" t="s">
        <v>656</v>
      </c>
      <c r="E1249" s="1">
        <v>45588</v>
      </c>
      <c r="F1249" s="1">
        <v>45590</v>
      </c>
      <c r="G1249" s="1">
        <v>45610</v>
      </c>
      <c r="H1249" s="4">
        <f>IF(Claims_Cleaned[[#This Row],[processed_date]]="","",Claims_Cleaned[[#This Row],[processed_date]]-Claims_Cleaned[[#This Row],[submission_date]])</f>
        <v>20</v>
      </c>
      <c r="I1249" s="4" t="str">
        <f>TEXT(Claims_Cleaned[[#This Row],[claim_date]],"mmm-yyyy")</f>
        <v>Oct-2024</v>
      </c>
      <c r="J1249" t="s">
        <v>20</v>
      </c>
      <c r="K1249">
        <v>414.28</v>
      </c>
      <c r="L1249" t="s">
        <v>683</v>
      </c>
      <c r="M1249">
        <v>20</v>
      </c>
    </row>
    <row r="1250" spans="1:13" x14ac:dyDescent="0.35">
      <c r="A1250" t="s">
        <v>1331</v>
      </c>
      <c r="B1250" t="s">
        <v>490</v>
      </c>
      <c r="C1250" t="s">
        <v>559</v>
      </c>
      <c r="D1250" t="s">
        <v>633</v>
      </c>
      <c r="E1250" s="1">
        <v>45364</v>
      </c>
      <c r="F1250" s="1">
        <v>45366</v>
      </c>
      <c r="G1250" s="1"/>
      <c r="H1250" s="4" t="str">
        <f>IF(Claims_Cleaned[[#This Row],[processed_date]]="","",Claims_Cleaned[[#This Row],[processed_date]]-Claims_Cleaned[[#This Row],[submission_date]])</f>
        <v/>
      </c>
      <c r="I1250" s="4" t="str">
        <f>TEXT(Claims_Cleaned[[#This Row],[claim_date]],"mmm-yyyy")</f>
        <v>Mar-2024</v>
      </c>
      <c r="J1250" t="s">
        <v>11</v>
      </c>
      <c r="K1250">
        <v>413.71</v>
      </c>
      <c r="L1250" t="s">
        <v>689</v>
      </c>
    </row>
    <row r="1251" spans="1:13" x14ac:dyDescent="0.35">
      <c r="A1251" t="s">
        <v>1505</v>
      </c>
      <c r="B1251" t="s">
        <v>303</v>
      </c>
      <c r="C1251" t="s">
        <v>537</v>
      </c>
      <c r="D1251" t="s">
        <v>656</v>
      </c>
      <c r="E1251" s="1">
        <v>45617</v>
      </c>
      <c r="F1251" s="1">
        <v>45621</v>
      </c>
      <c r="G1251" s="1">
        <v>45645</v>
      </c>
      <c r="H1251" s="4">
        <f>IF(Claims_Cleaned[[#This Row],[processed_date]]="","",Claims_Cleaned[[#This Row],[processed_date]]-Claims_Cleaned[[#This Row],[submission_date]])</f>
        <v>24</v>
      </c>
      <c r="I1251" s="4" t="str">
        <f>TEXT(Claims_Cleaned[[#This Row],[claim_date]],"mmm-yyyy")</f>
        <v>Nov-2024</v>
      </c>
      <c r="J1251" t="s">
        <v>8</v>
      </c>
      <c r="K1251">
        <v>412.31</v>
      </c>
      <c r="L1251" t="s">
        <v>683</v>
      </c>
      <c r="M1251">
        <v>24</v>
      </c>
    </row>
    <row r="1252" spans="1:13" x14ac:dyDescent="0.35">
      <c r="A1252" t="s">
        <v>1438</v>
      </c>
      <c r="B1252" t="s">
        <v>321</v>
      </c>
      <c r="C1252" t="s">
        <v>563</v>
      </c>
      <c r="D1252" t="s">
        <v>633</v>
      </c>
      <c r="E1252" s="1">
        <v>45489</v>
      </c>
      <c r="F1252" s="1">
        <v>45493</v>
      </c>
      <c r="G1252" s="1">
        <v>45503</v>
      </c>
      <c r="H1252" s="4">
        <f>IF(Claims_Cleaned[[#This Row],[processed_date]]="","",Claims_Cleaned[[#This Row],[processed_date]]-Claims_Cleaned[[#This Row],[submission_date]])</f>
        <v>10</v>
      </c>
      <c r="I1252" s="4" t="str">
        <f>TEXT(Claims_Cleaned[[#This Row],[claim_date]],"mmm-yyyy")</f>
        <v>Jul-2024</v>
      </c>
      <c r="J1252" t="s">
        <v>8</v>
      </c>
      <c r="K1252">
        <v>410.17</v>
      </c>
      <c r="L1252" t="s">
        <v>683</v>
      </c>
      <c r="M1252">
        <v>10</v>
      </c>
    </row>
    <row r="1253" spans="1:13" x14ac:dyDescent="0.35">
      <c r="A1253" t="s">
        <v>1887</v>
      </c>
      <c r="B1253" t="s">
        <v>92</v>
      </c>
      <c r="C1253" t="s">
        <v>593</v>
      </c>
      <c r="D1253" t="s">
        <v>656</v>
      </c>
      <c r="E1253" s="1">
        <v>45168</v>
      </c>
      <c r="F1253" s="1">
        <v>45173</v>
      </c>
      <c r="G1253" s="1"/>
      <c r="H1253" s="4" t="str">
        <f>IF(Claims_Cleaned[[#This Row],[processed_date]]="","",Claims_Cleaned[[#This Row],[processed_date]]-Claims_Cleaned[[#This Row],[submission_date]])</f>
        <v/>
      </c>
      <c r="I1253" s="4" t="str">
        <f>TEXT(Claims_Cleaned[[#This Row],[claim_date]],"mmm-yyyy")</f>
        <v>Aug-2023</v>
      </c>
      <c r="J1253" t="s">
        <v>25</v>
      </c>
      <c r="K1253">
        <v>409.99</v>
      </c>
      <c r="L1253" t="s">
        <v>689</v>
      </c>
    </row>
    <row r="1254" spans="1:13" x14ac:dyDescent="0.35">
      <c r="A1254" t="s">
        <v>1399</v>
      </c>
      <c r="B1254" t="s">
        <v>88</v>
      </c>
      <c r="C1254" t="s">
        <v>531</v>
      </c>
      <c r="D1254" t="s">
        <v>656</v>
      </c>
      <c r="E1254" s="1">
        <v>45374</v>
      </c>
      <c r="F1254" s="1">
        <v>45378</v>
      </c>
      <c r="G1254" s="1">
        <v>45400</v>
      </c>
      <c r="H1254" s="4">
        <f>IF(Claims_Cleaned[[#This Row],[processed_date]]="","",Claims_Cleaned[[#This Row],[processed_date]]-Claims_Cleaned[[#This Row],[submission_date]])</f>
        <v>22</v>
      </c>
      <c r="I1254" s="4" t="str">
        <f>TEXT(Claims_Cleaned[[#This Row],[claim_date]],"mmm-yyyy")</f>
        <v>Mar-2024</v>
      </c>
      <c r="J1254" t="s">
        <v>13</v>
      </c>
      <c r="K1254">
        <v>409.63</v>
      </c>
      <c r="L1254" t="s">
        <v>687</v>
      </c>
      <c r="M1254">
        <v>22</v>
      </c>
    </row>
    <row r="1255" spans="1:13" x14ac:dyDescent="0.35">
      <c r="A1255" t="s">
        <v>2052</v>
      </c>
      <c r="B1255" t="s">
        <v>291</v>
      </c>
      <c r="C1255" t="s">
        <v>561</v>
      </c>
      <c r="D1255" t="s">
        <v>656</v>
      </c>
      <c r="E1255" s="1">
        <v>45080</v>
      </c>
      <c r="F1255" s="1">
        <v>45084</v>
      </c>
      <c r="G1255" s="1">
        <v>45111</v>
      </c>
      <c r="H1255" s="4">
        <f>IF(Claims_Cleaned[[#This Row],[processed_date]]="","",Claims_Cleaned[[#This Row],[processed_date]]-Claims_Cleaned[[#This Row],[submission_date]])</f>
        <v>27</v>
      </c>
      <c r="I1255" s="4" t="str">
        <f>TEXT(Claims_Cleaned[[#This Row],[claim_date]],"mmm-yyyy")</f>
        <v>Jun-2023</v>
      </c>
      <c r="J1255" t="s">
        <v>13</v>
      </c>
      <c r="K1255">
        <v>409.13</v>
      </c>
      <c r="L1255" t="s">
        <v>687</v>
      </c>
      <c r="M1255">
        <v>27</v>
      </c>
    </row>
    <row r="1256" spans="1:13" x14ac:dyDescent="0.35">
      <c r="A1256" t="s">
        <v>2278</v>
      </c>
      <c r="B1256" t="s">
        <v>164</v>
      </c>
      <c r="C1256" t="s">
        <v>607</v>
      </c>
      <c r="D1256" t="s">
        <v>656</v>
      </c>
      <c r="E1256" s="1">
        <v>45329</v>
      </c>
      <c r="F1256" s="1">
        <v>45334</v>
      </c>
      <c r="G1256" s="1">
        <v>45338</v>
      </c>
      <c r="H1256" s="4">
        <f>IF(Claims_Cleaned[[#This Row],[processed_date]]="","",Claims_Cleaned[[#This Row],[processed_date]]-Claims_Cleaned[[#This Row],[submission_date]])</f>
        <v>4</v>
      </c>
      <c r="I1256" s="4" t="str">
        <f>TEXT(Claims_Cleaned[[#This Row],[claim_date]],"mmm-yyyy")</f>
        <v>Feb-2024</v>
      </c>
      <c r="J1256" t="s">
        <v>11</v>
      </c>
      <c r="K1256">
        <v>409.06</v>
      </c>
      <c r="L1256" t="s">
        <v>683</v>
      </c>
      <c r="M1256">
        <v>4</v>
      </c>
    </row>
    <row r="1257" spans="1:13" x14ac:dyDescent="0.35">
      <c r="A1257" t="s">
        <v>1695</v>
      </c>
      <c r="B1257" t="s">
        <v>445</v>
      </c>
      <c r="C1257" t="s">
        <v>549</v>
      </c>
      <c r="D1257" t="s">
        <v>671</v>
      </c>
      <c r="E1257" s="1">
        <v>45397</v>
      </c>
      <c r="F1257" s="1">
        <v>45400</v>
      </c>
      <c r="G1257" s="1">
        <v>45429</v>
      </c>
      <c r="H1257" s="4">
        <f>IF(Claims_Cleaned[[#This Row],[processed_date]]="","",Claims_Cleaned[[#This Row],[processed_date]]-Claims_Cleaned[[#This Row],[submission_date]])</f>
        <v>29</v>
      </c>
      <c r="I1257" s="4" t="str">
        <f>TEXT(Claims_Cleaned[[#This Row],[claim_date]],"mmm-yyyy")</f>
        <v>Apr-2024</v>
      </c>
      <c r="J1257" t="s">
        <v>20</v>
      </c>
      <c r="K1257">
        <v>408.99</v>
      </c>
      <c r="L1257" t="s">
        <v>683</v>
      </c>
      <c r="M1257">
        <v>29</v>
      </c>
    </row>
    <row r="1258" spans="1:13" x14ac:dyDescent="0.35">
      <c r="A1258" t="s">
        <v>2271</v>
      </c>
      <c r="B1258" t="s">
        <v>372</v>
      </c>
      <c r="C1258" t="s">
        <v>527</v>
      </c>
      <c r="D1258" t="s">
        <v>656</v>
      </c>
      <c r="E1258" s="1">
        <v>45010</v>
      </c>
      <c r="F1258" s="1">
        <v>45011</v>
      </c>
      <c r="G1258" s="1">
        <v>45028</v>
      </c>
      <c r="H1258" s="4">
        <f>IF(Claims_Cleaned[[#This Row],[processed_date]]="","",Claims_Cleaned[[#This Row],[processed_date]]-Claims_Cleaned[[#This Row],[submission_date]])</f>
        <v>17</v>
      </c>
      <c r="I1258" s="4" t="str">
        <f>TEXT(Claims_Cleaned[[#This Row],[claim_date]],"mmm-yyyy")</f>
        <v>Mar-2023</v>
      </c>
      <c r="J1258" t="s">
        <v>13</v>
      </c>
      <c r="K1258">
        <v>408.54</v>
      </c>
      <c r="L1258" t="s">
        <v>683</v>
      </c>
      <c r="M1258">
        <v>17</v>
      </c>
    </row>
    <row r="1259" spans="1:13" x14ac:dyDescent="0.35">
      <c r="A1259" t="s">
        <v>1741</v>
      </c>
      <c r="B1259" t="s">
        <v>415</v>
      </c>
      <c r="C1259" t="s">
        <v>609</v>
      </c>
      <c r="D1259" t="s">
        <v>671</v>
      </c>
      <c r="E1259" s="1">
        <v>45654</v>
      </c>
      <c r="F1259" s="1">
        <v>45658</v>
      </c>
      <c r="G1259" s="1">
        <v>45675</v>
      </c>
      <c r="H1259" s="4">
        <f>IF(Claims_Cleaned[[#This Row],[processed_date]]="","",Claims_Cleaned[[#This Row],[processed_date]]-Claims_Cleaned[[#This Row],[submission_date]])</f>
        <v>17</v>
      </c>
      <c r="I1259" s="4" t="str">
        <f>TEXT(Claims_Cleaned[[#This Row],[claim_date]],"mmm-yyyy")</f>
        <v>Dec-2024</v>
      </c>
      <c r="J1259" t="s">
        <v>13</v>
      </c>
      <c r="K1259">
        <v>407.95</v>
      </c>
      <c r="L1259" t="s">
        <v>683</v>
      </c>
      <c r="M1259">
        <v>17</v>
      </c>
    </row>
    <row r="1260" spans="1:13" x14ac:dyDescent="0.35">
      <c r="A1260" t="s">
        <v>940</v>
      </c>
      <c r="B1260" t="s">
        <v>213</v>
      </c>
      <c r="C1260" t="s">
        <v>546</v>
      </c>
      <c r="D1260" t="s">
        <v>671</v>
      </c>
      <c r="E1260" s="1">
        <v>45233</v>
      </c>
      <c r="F1260" s="1">
        <v>45236</v>
      </c>
      <c r="G1260" s="1">
        <v>45248</v>
      </c>
      <c r="H1260" s="4">
        <f>IF(Claims_Cleaned[[#This Row],[processed_date]]="","",Claims_Cleaned[[#This Row],[processed_date]]-Claims_Cleaned[[#This Row],[submission_date]])</f>
        <v>12</v>
      </c>
      <c r="I1260" s="4" t="str">
        <f>TEXT(Claims_Cleaned[[#This Row],[claim_date]],"mmm-yyyy")</f>
        <v>Nov-2023</v>
      </c>
      <c r="J1260" t="s">
        <v>8</v>
      </c>
      <c r="K1260">
        <v>406.78</v>
      </c>
      <c r="L1260" t="s">
        <v>683</v>
      </c>
      <c r="M1260">
        <v>12</v>
      </c>
    </row>
    <row r="1261" spans="1:13" x14ac:dyDescent="0.35">
      <c r="A1261" t="s">
        <v>1340</v>
      </c>
      <c r="B1261" t="s">
        <v>205</v>
      </c>
      <c r="C1261" t="s">
        <v>603</v>
      </c>
      <c r="D1261" t="s">
        <v>633</v>
      </c>
      <c r="E1261" s="1">
        <v>44956</v>
      </c>
      <c r="F1261" s="1">
        <v>44961</v>
      </c>
      <c r="G1261" s="1">
        <v>44981</v>
      </c>
      <c r="H1261" s="4">
        <f>IF(Claims_Cleaned[[#This Row],[processed_date]]="","",Claims_Cleaned[[#This Row],[processed_date]]-Claims_Cleaned[[#This Row],[submission_date]])</f>
        <v>20</v>
      </c>
      <c r="I1261" s="4" t="str">
        <f>TEXT(Claims_Cleaned[[#This Row],[claim_date]],"mmm-yyyy")</f>
        <v>Jan-2023</v>
      </c>
      <c r="J1261" t="s">
        <v>11</v>
      </c>
      <c r="K1261">
        <v>406.33</v>
      </c>
      <c r="L1261" t="s">
        <v>683</v>
      </c>
      <c r="M1261">
        <v>20</v>
      </c>
    </row>
    <row r="1262" spans="1:13" x14ac:dyDescent="0.35">
      <c r="A1262" t="s">
        <v>2650</v>
      </c>
      <c r="B1262" t="s">
        <v>60</v>
      </c>
      <c r="C1262" t="s">
        <v>557</v>
      </c>
      <c r="D1262" t="s">
        <v>633</v>
      </c>
      <c r="E1262" s="1">
        <v>45468</v>
      </c>
      <c r="F1262" s="1">
        <v>45471</v>
      </c>
      <c r="G1262" s="1">
        <v>45483</v>
      </c>
      <c r="H1262" s="4">
        <f>IF(Claims_Cleaned[[#This Row],[processed_date]]="","",Claims_Cleaned[[#This Row],[processed_date]]-Claims_Cleaned[[#This Row],[submission_date]])</f>
        <v>12</v>
      </c>
      <c r="I1262" s="4" t="str">
        <f>TEXT(Claims_Cleaned[[#This Row],[claim_date]],"mmm-yyyy")</f>
        <v>Jun-2024</v>
      </c>
      <c r="J1262" t="s">
        <v>11</v>
      </c>
      <c r="K1262">
        <v>405.91</v>
      </c>
      <c r="L1262" t="s">
        <v>683</v>
      </c>
      <c r="M1262">
        <v>12</v>
      </c>
    </row>
    <row r="1263" spans="1:13" x14ac:dyDescent="0.35">
      <c r="A1263" t="s">
        <v>2509</v>
      </c>
      <c r="B1263" t="s">
        <v>138</v>
      </c>
      <c r="C1263" t="s">
        <v>595</v>
      </c>
      <c r="D1263" t="s">
        <v>656</v>
      </c>
      <c r="E1263" s="1">
        <v>45470</v>
      </c>
      <c r="F1263" s="1">
        <v>45471</v>
      </c>
      <c r="G1263" s="1">
        <v>45478</v>
      </c>
      <c r="H1263" s="4">
        <f>IF(Claims_Cleaned[[#This Row],[processed_date]]="","",Claims_Cleaned[[#This Row],[processed_date]]-Claims_Cleaned[[#This Row],[submission_date]])</f>
        <v>7</v>
      </c>
      <c r="I1263" s="4" t="str">
        <f>TEXT(Claims_Cleaned[[#This Row],[claim_date]],"mmm-yyyy")</f>
        <v>Jun-2024</v>
      </c>
      <c r="J1263" t="s">
        <v>20</v>
      </c>
      <c r="K1263">
        <v>405.13</v>
      </c>
      <c r="L1263" t="s">
        <v>687</v>
      </c>
      <c r="M1263">
        <v>7</v>
      </c>
    </row>
    <row r="1264" spans="1:13" x14ac:dyDescent="0.35">
      <c r="A1264" t="s">
        <v>1075</v>
      </c>
      <c r="B1264" t="s">
        <v>382</v>
      </c>
      <c r="C1264" t="s">
        <v>577</v>
      </c>
      <c r="D1264" t="s">
        <v>671</v>
      </c>
      <c r="E1264" s="1">
        <v>45572</v>
      </c>
      <c r="F1264" s="1">
        <v>45573</v>
      </c>
      <c r="G1264" s="1">
        <v>45576</v>
      </c>
      <c r="H1264" s="4">
        <f>IF(Claims_Cleaned[[#This Row],[processed_date]]="","",Claims_Cleaned[[#This Row],[processed_date]]-Claims_Cleaned[[#This Row],[submission_date]])</f>
        <v>3</v>
      </c>
      <c r="I1264" s="4" t="str">
        <f>TEXT(Claims_Cleaned[[#This Row],[claim_date]],"mmm-yyyy")</f>
        <v>Oct-2024</v>
      </c>
      <c r="J1264" t="s">
        <v>8</v>
      </c>
      <c r="K1264">
        <v>404.83</v>
      </c>
      <c r="L1264" t="s">
        <v>683</v>
      </c>
      <c r="M1264">
        <v>3</v>
      </c>
    </row>
    <row r="1265" spans="1:13" x14ac:dyDescent="0.35">
      <c r="A1265" t="s">
        <v>1321</v>
      </c>
      <c r="B1265" t="s">
        <v>74</v>
      </c>
      <c r="C1265" t="s">
        <v>599</v>
      </c>
      <c r="D1265" t="s">
        <v>671</v>
      </c>
      <c r="E1265" s="1">
        <v>45139</v>
      </c>
      <c r="F1265" s="1">
        <v>45143</v>
      </c>
      <c r="G1265" s="1">
        <v>45161</v>
      </c>
      <c r="H1265" s="4">
        <f>IF(Claims_Cleaned[[#This Row],[processed_date]]="","",Claims_Cleaned[[#This Row],[processed_date]]-Claims_Cleaned[[#This Row],[submission_date]])</f>
        <v>18</v>
      </c>
      <c r="I1265" s="4" t="str">
        <f>TEXT(Claims_Cleaned[[#This Row],[claim_date]],"mmm-yyyy")</f>
        <v>Aug-2023</v>
      </c>
      <c r="J1265" t="s">
        <v>8</v>
      </c>
      <c r="K1265">
        <v>402.45</v>
      </c>
      <c r="L1265" t="s">
        <v>683</v>
      </c>
      <c r="M1265">
        <v>18</v>
      </c>
    </row>
    <row r="1266" spans="1:13" x14ac:dyDescent="0.35">
      <c r="A1266" t="s">
        <v>1983</v>
      </c>
      <c r="B1266" t="s">
        <v>446</v>
      </c>
      <c r="C1266" t="s">
        <v>573</v>
      </c>
      <c r="D1266" t="s">
        <v>656</v>
      </c>
      <c r="E1266" s="1">
        <v>45654</v>
      </c>
      <c r="F1266" s="1">
        <v>45658</v>
      </c>
      <c r="G1266" s="1">
        <v>45669</v>
      </c>
      <c r="H1266" s="4">
        <f>IF(Claims_Cleaned[[#This Row],[processed_date]]="","",Claims_Cleaned[[#This Row],[processed_date]]-Claims_Cleaned[[#This Row],[submission_date]])</f>
        <v>11</v>
      </c>
      <c r="I1266" s="4" t="str">
        <f>TEXT(Claims_Cleaned[[#This Row],[claim_date]],"mmm-yyyy")</f>
        <v>Dec-2024</v>
      </c>
      <c r="J1266" t="s">
        <v>8</v>
      </c>
      <c r="K1266">
        <v>402.29</v>
      </c>
      <c r="L1266" t="s">
        <v>683</v>
      </c>
      <c r="M1266">
        <v>11</v>
      </c>
    </row>
    <row r="1267" spans="1:13" x14ac:dyDescent="0.35">
      <c r="A1267" t="s">
        <v>1786</v>
      </c>
      <c r="B1267" t="s">
        <v>404</v>
      </c>
      <c r="C1267" t="s">
        <v>609</v>
      </c>
      <c r="D1267" t="s">
        <v>671</v>
      </c>
      <c r="E1267" s="1">
        <v>45045</v>
      </c>
      <c r="F1267" s="1">
        <v>45050</v>
      </c>
      <c r="G1267" s="1">
        <v>45060</v>
      </c>
      <c r="H1267" s="4">
        <f>IF(Claims_Cleaned[[#This Row],[processed_date]]="","",Claims_Cleaned[[#This Row],[processed_date]]-Claims_Cleaned[[#This Row],[submission_date]])</f>
        <v>10</v>
      </c>
      <c r="I1267" s="4" t="str">
        <f>TEXT(Claims_Cleaned[[#This Row],[claim_date]],"mmm-yyyy")</f>
        <v>Apr-2023</v>
      </c>
      <c r="J1267" t="s">
        <v>8</v>
      </c>
      <c r="K1267">
        <v>401.81</v>
      </c>
      <c r="L1267" t="s">
        <v>683</v>
      </c>
      <c r="M1267">
        <v>10</v>
      </c>
    </row>
    <row r="1268" spans="1:13" x14ac:dyDescent="0.35">
      <c r="A1268" t="s">
        <v>1707</v>
      </c>
      <c r="B1268" t="s">
        <v>257</v>
      </c>
      <c r="C1268" t="s">
        <v>521</v>
      </c>
      <c r="D1268" t="s">
        <v>656</v>
      </c>
      <c r="E1268" s="1">
        <v>45378</v>
      </c>
      <c r="F1268" s="1">
        <v>45380</v>
      </c>
      <c r="G1268" s="1">
        <v>45400</v>
      </c>
      <c r="H1268" s="4">
        <f>IF(Claims_Cleaned[[#This Row],[processed_date]]="","",Claims_Cleaned[[#This Row],[processed_date]]-Claims_Cleaned[[#This Row],[submission_date]])</f>
        <v>20</v>
      </c>
      <c r="I1268" s="4" t="str">
        <f>TEXT(Claims_Cleaned[[#This Row],[claim_date]],"mmm-yyyy")</f>
        <v>Mar-2024</v>
      </c>
      <c r="J1268" t="s">
        <v>8</v>
      </c>
      <c r="K1268">
        <v>401.09</v>
      </c>
      <c r="L1268" t="s">
        <v>683</v>
      </c>
      <c r="M1268">
        <v>20</v>
      </c>
    </row>
    <row r="1269" spans="1:13" x14ac:dyDescent="0.35">
      <c r="A1269" t="s">
        <v>1524</v>
      </c>
      <c r="B1269" t="s">
        <v>339</v>
      </c>
      <c r="C1269" t="s">
        <v>573</v>
      </c>
      <c r="D1269" t="s">
        <v>656</v>
      </c>
      <c r="E1269" s="1">
        <v>45213</v>
      </c>
      <c r="F1269" s="1">
        <v>45214</v>
      </c>
      <c r="G1269" s="1">
        <v>45241</v>
      </c>
      <c r="H1269" s="4">
        <f>IF(Claims_Cleaned[[#This Row],[processed_date]]="","",Claims_Cleaned[[#This Row],[processed_date]]-Claims_Cleaned[[#This Row],[submission_date]])</f>
        <v>27</v>
      </c>
      <c r="I1269" s="4" t="str">
        <f>TEXT(Claims_Cleaned[[#This Row],[claim_date]],"mmm-yyyy")</f>
        <v>Oct-2023</v>
      </c>
      <c r="J1269" t="s">
        <v>11</v>
      </c>
      <c r="K1269">
        <v>399.91</v>
      </c>
      <c r="L1269" t="s">
        <v>683</v>
      </c>
      <c r="M1269">
        <v>27</v>
      </c>
    </row>
    <row r="1270" spans="1:13" x14ac:dyDescent="0.35">
      <c r="A1270" t="s">
        <v>1942</v>
      </c>
      <c r="B1270" t="s">
        <v>80</v>
      </c>
      <c r="C1270" t="s">
        <v>603</v>
      </c>
      <c r="D1270" t="s">
        <v>671</v>
      </c>
      <c r="E1270" s="1">
        <v>45200</v>
      </c>
      <c r="F1270" s="1">
        <v>45201</v>
      </c>
      <c r="G1270" s="1"/>
      <c r="H1270" s="4" t="str">
        <f>IF(Claims_Cleaned[[#This Row],[processed_date]]="","",Claims_Cleaned[[#This Row],[processed_date]]-Claims_Cleaned[[#This Row],[submission_date]])</f>
        <v/>
      </c>
      <c r="I1270" s="4" t="str">
        <f>TEXT(Claims_Cleaned[[#This Row],[claim_date]],"mmm-yyyy")</f>
        <v>Oct-2023</v>
      </c>
      <c r="J1270" t="s">
        <v>8</v>
      </c>
      <c r="K1270">
        <v>399.47</v>
      </c>
      <c r="L1270" t="s">
        <v>689</v>
      </c>
    </row>
    <row r="1271" spans="1:13" x14ac:dyDescent="0.35">
      <c r="A1271" t="s">
        <v>1070</v>
      </c>
      <c r="B1271" t="s">
        <v>280</v>
      </c>
      <c r="C1271" t="s">
        <v>521</v>
      </c>
      <c r="D1271" t="s">
        <v>671</v>
      </c>
      <c r="E1271" s="1">
        <v>45477</v>
      </c>
      <c r="F1271" s="1">
        <v>45478</v>
      </c>
      <c r="G1271" s="1">
        <v>45503</v>
      </c>
      <c r="H1271" s="4">
        <f>IF(Claims_Cleaned[[#This Row],[processed_date]]="","",Claims_Cleaned[[#This Row],[processed_date]]-Claims_Cleaned[[#This Row],[submission_date]])</f>
        <v>25</v>
      </c>
      <c r="I1271" s="4" t="str">
        <f>TEXT(Claims_Cleaned[[#This Row],[claim_date]],"mmm-yyyy")</f>
        <v>Jul-2024</v>
      </c>
      <c r="J1271" t="s">
        <v>8</v>
      </c>
      <c r="K1271">
        <v>399.35</v>
      </c>
      <c r="L1271" t="s">
        <v>683</v>
      </c>
      <c r="M1271">
        <v>25</v>
      </c>
    </row>
    <row r="1272" spans="1:13" x14ac:dyDescent="0.35">
      <c r="A1272" t="s">
        <v>1420</v>
      </c>
      <c r="B1272" t="s">
        <v>423</v>
      </c>
      <c r="C1272" t="s">
        <v>597</v>
      </c>
      <c r="D1272" t="s">
        <v>671</v>
      </c>
      <c r="E1272" s="1">
        <v>45357</v>
      </c>
      <c r="F1272" s="1">
        <v>45359</v>
      </c>
      <c r="G1272" s="1">
        <v>45377</v>
      </c>
      <c r="H1272" s="4">
        <f>IF(Claims_Cleaned[[#This Row],[processed_date]]="","",Claims_Cleaned[[#This Row],[processed_date]]-Claims_Cleaned[[#This Row],[submission_date]])</f>
        <v>18</v>
      </c>
      <c r="I1272" s="4" t="str">
        <f>TEXT(Claims_Cleaned[[#This Row],[claim_date]],"mmm-yyyy")</f>
        <v>Mar-2024</v>
      </c>
      <c r="J1272" t="s">
        <v>13</v>
      </c>
      <c r="K1272">
        <v>399.04</v>
      </c>
      <c r="L1272" t="s">
        <v>683</v>
      </c>
      <c r="M1272">
        <v>18</v>
      </c>
    </row>
    <row r="1273" spans="1:13" x14ac:dyDescent="0.35">
      <c r="A1273" t="s">
        <v>841</v>
      </c>
      <c r="B1273" t="s">
        <v>192</v>
      </c>
      <c r="C1273" t="s">
        <v>543</v>
      </c>
      <c r="D1273" t="s">
        <v>656</v>
      </c>
      <c r="E1273" s="1">
        <v>45581</v>
      </c>
      <c r="F1273" s="1">
        <v>45584</v>
      </c>
      <c r="G1273" s="1">
        <v>45596</v>
      </c>
      <c r="H1273" s="4">
        <f>IF(Claims_Cleaned[[#This Row],[processed_date]]="","",Claims_Cleaned[[#This Row],[processed_date]]-Claims_Cleaned[[#This Row],[submission_date]])</f>
        <v>12</v>
      </c>
      <c r="I1273" s="4" t="str">
        <f>TEXT(Claims_Cleaned[[#This Row],[claim_date]],"mmm-yyyy")</f>
        <v>Oct-2024</v>
      </c>
      <c r="J1273" t="s">
        <v>11</v>
      </c>
      <c r="K1273">
        <v>397.59</v>
      </c>
      <c r="L1273" t="s">
        <v>683</v>
      </c>
      <c r="M1273">
        <v>12</v>
      </c>
    </row>
    <row r="1274" spans="1:13" x14ac:dyDescent="0.35">
      <c r="A1274" t="s">
        <v>2272</v>
      </c>
      <c r="B1274" t="s">
        <v>456</v>
      </c>
      <c r="C1274" t="s">
        <v>593</v>
      </c>
      <c r="D1274" t="s">
        <v>671</v>
      </c>
      <c r="E1274" s="1">
        <v>45620</v>
      </c>
      <c r="F1274" s="1">
        <v>45625</v>
      </c>
      <c r="G1274" s="1"/>
      <c r="H1274" s="4" t="str">
        <f>IF(Claims_Cleaned[[#This Row],[processed_date]]="","",Claims_Cleaned[[#This Row],[processed_date]]-Claims_Cleaned[[#This Row],[submission_date]])</f>
        <v/>
      </c>
      <c r="I1274" s="4" t="str">
        <f>TEXT(Claims_Cleaned[[#This Row],[claim_date]],"mmm-yyyy")</f>
        <v>Nov-2024</v>
      </c>
      <c r="J1274" t="s">
        <v>11</v>
      </c>
      <c r="K1274">
        <v>396.16</v>
      </c>
      <c r="L1274" t="s">
        <v>689</v>
      </c>
    </row>
    <row r="1275" spans="1:13" x14ac:dyDescent="0.35">
      <c r="A1275" t="s">
        <v>1855</v>
      </c>
      <c r="B1275" t="s">
        <v>395</v>
      </c>
      <c r="C1275" t="s">
        <v>595</v>
      </c>
      <c r="D1275" t="s">
        <v>671</v>
      </c>
      <c r="E1275" s="1">
        <v>45497</v>
      </c>
      <c r="F1275" s="1">
        <v>45502</v>
      </c>
      <c r="G1275" s="1"/>
      <c r="H1275" s="4" t="str">
        <f>IF(Claims_Cleaned[[#This Row],[processed_date]]="","",Claims_Cleaned[[#This Row],[processed_date]]-Claims_Cleaned[[#This Row],[submission_date]])</f>
        <v/>
      </c>
      <c r="I1275" s="4" t="str">
        <f>TEXT(Claims_Cleaned[[#This Row],[claim_date]],"mmm-yyyy")</f>
        <v>Jul-2024</v>
      </c>
      <c r="J1275" t="s">
        <v>11</v>
      </c>
      <c r="K1275">
        <v>396.11</v>
      </c>
      <c r="L1275" t="s">
        <v>689</v>
      </c>
    </row>
    <row r="1276" spans="1:13" x14ac:dyDescent="0.35">
      <c r="A1276" t="s">
        <v>1556</v>
      </c>
      <c r="B1276" t="s">
        <v>174</v>
      </c>
      <c r="C1276" t="s">
        <v>555</v>
      </c>
      <c r="D1276" t="s">
        <v>656</v>
      </c>
      <c r="E1276" s="1">
        <v>45218</v>
      </c>
      <c r="F1276" s="1">
        <v>45220</v>
      </c>
      <c r="G1276" s="1">
        <v>45242</v>
      </c>
      <c r="H1276" s="4">
        <f>IF(Claims_Cleaned[[#This Row],[processed_date]]="","",Claims_Cleaned[[#This Row],[processed_date]]-Claims_Cleaned[[#This Row],[submission_date]])</f>
        <v>22</v>
      </c>
      <c r="I1276" s="4" t="str">
        <f>TEXT(Claims_Cleaned[[#This Row],[claim_date]],"mmm-yyyy")</f>
        <v>Oct-2023</v>
      </c>
      <c r="J1276" t="s">
        <v>8</v>
      </c>
      <c r="K1276">
        <v>395.94</v>
      </c>
      <c r="L1276" t="s">
        <v>683</v>
      </c>
      <c r="M1276">
        <v>22</v>
      </c>
    </row>
    <row r="1277" spans="1:13" x14ac:dyDescent="0.35">
      <c r="A1277" t="s">
        <v>2629</v>
      </c>
      <c r="B1277" t="s">
        <v>219</v>
      </c>
      <c r="C1277" t="s">
        <v>537</v>
      </c>
      <c r="D1277" t="s">
        <v>656</v>
      </c>
      <c r="E1277" s="1">
        <v>45070</v>
      </c>
      <c r="F1277" s="1">
        <v>45075</v>
      </c>
      <c r="G1277" s="1">
        <v>45079</v>
      </c>
      <c r="H1277" s="4">
        <f>IF(Claims_Cleaned[[#This Row],[processed_date]]="","",Claims_Cleaned[[#This Row],[processed_date]]-Claims_Cleaned[[#This Row],[submission_date]])</f>
        <v>4</v>
      </c>
      <c r="I1277" s="4" t="str">
        <f>TEXT(Claims_Cleaned[[#This Row],[claim_date]],"mmm-yyyy")</f>
        <v>May-2023</v>
      </c>
      <c r="J1277" t="s">
        <v>11</v>
      </c>
      <c r="K1277">
        <v>395.79</v>
      </c>
      <c r="L1277" t="s">
        <v>683</v>
      </c>
      <c r="M1277">
        <v>4</v>
      </c>
    </row>
    <row r="1278" spans="1:13" x14ac:dyDescent="0.35">
      <c r="A1278" t="s">
        <v>1085</v>
      </c>
      <c r="B1278" t="s">
        <v>314</v>
      </c>
      <c r="C1278" t="s">
        <v>601</v>
      </c>
      <c r="D1278" t="s">
        <v>671</v>
      </c>
      <c r="E1278" s="1">
        <v>45538</v>
      </c>
      <c r="F1278" s="1">
        <v>45542</v>
      </c>
      <c r="G1278" s="1">
        <v>45549</v>
      </c>
      <c r="H1278" s="4">
        <f>IF(Claims_Cleaned[[#This Row],[processed_date]]="","",Claims_Cleaned[[#This Row],[processed_date]]-Claims_Cleaned[[#This Row],[submission_date]])</f>
        <v>7</v>
      </c>
      <c r="I1278" s="4" t="str">
        <f>TEXT(Claims_Cleaned[[#This Row],[claim_date]],"mmm-yyyy")</f>
        <v>Sep-2024</v>
      </c>
      <c r="J1278" t="s">
        <v>8</v>
      </c>
      <c r="K1278">
        <v>394.34</v>
      </c>
      <c r="L1278" t="s">
        <v>687</v>
      </c>
      <c r="M1278">
        <v>7</v>
      </c>
    </row>
    <row r="1279" spans="1:13" x14ac:dyDescent="0.35">
      <c r="A1279" t="s">
        <v>1502</v>
      </c>
      <c r="B1279" t="s">
        <v>416</v>
      </c>
      <c r="C1279" t="s">
        <v>540</v>
      </c>
      <c r="D1279" t="s">
        <v>656</v>
      </c>
      <c r="E1279" s="1">
        <v>45630</v>
      </c>
      <c r="F1279" s="1">
        <v>45631</v>
      </c>
      <c r="G1279" s="1">
        <v>45648</v>
      </c>
      <c r="H1279" s="4">
        <f>IF(Claims_Cleaned[[#This Row],[processed_date]]="","",Claims_Cleaned[[#This Row],[processed_date]]-Claims_Cleaned[[#This Row],[submission_date]])</f>
        <v>17</v>
      </c>
      <c r="I1279" s="4" t="str">
        <f>TEXT(Claims_Cleaned[[#This Row],[claim_date]],"mmm-yyyy")</f>
        <v>Dec-2024</v>
      </c>
      <c r="J1279" t="s">
        <v>13</v>
      </c>
      <c r="K1279">
        <v>393.67</v>
      </c>
      <c r="L1279" t="s">
        <v>687</v>
      </c>
      <c r="M1279">
        <v>17</v>
      </c>
    </row>
    <row r="1280" spans="1:13" x14ac:dyDescent="0.35">
      <c r="A1280" t="s">
        <v>743</v>
      </c>
      <c r="B1280" t="s">
        <v>362</v>
      </c>
      <c r="C1280" t="s">
        <v>527</v>
      </c>
      <c r="D1280" t="s">
        <v>656</v>
      </c>
      <c r="E1280" s="1">
        <v>45276</v>
      </c>
      <c r="F1280" s="1">
        <v>45279</v>
      </c>
      <c r="G1280" s="1"/>
      <c r="H1280" s="4" t="str">
        <f>IF(Claims_Cleaned[[#This Row],[processed_date]]="","",Claims_Cleaned[[#This Row],[processed_date]]-Claims_Cleaned[[#This Row],[submission_date]])</f>
        <v/>
      </c>
      <c r="I1280" s="4" t="str">
        <f>TEXT(Claims_Cleaned[[#This Row],[claim_date]],"mmm-yyyy")</f>
        <v>Dec-2023</v>
      </c>
      <c r="J1280" t="s">
        <v>25</v>
      </c>
      <c r="K1280">
        <v>393.59</v>
      </c>
      <c r="L1280" t="s">
        <v>689</v>
      </c>
    </row>
    <row r="1281" spans="1:13" x14ac:dyDescent="0.35">
      <c r="A1281" t="s">
        <v>1412</v>
      </c>
      <c r="B1281" t="s">
        <v>367</v>
      </c>
      <c r="C1281" t="s">
        <v>581</v>
      </c>
      <c r="D1281" t="s">
        <v>656</v>
      </c>
      <c r="E1281" s="1">
        <v>44961</v>
      </c>
      <c r="F1281" s="1">
        <v>44965</v>
      </c>
      <c r="G1281" s="1">
        <v>44981</v>
      </c>
      <c r="H1281" s="4">
        <f>IF(Claims_Cleaned[[#This Row],[processed_date]]="","",Claims_Cleaned[[#This Row],[processed_date]]-Claims_Cleaned[[#This Row],[submission_date]])</f>
        <v>16</v>
      </c>
      <c r="I1281" s="4" t="str">
        <f>TEXT(Claims_Cleaned[[#This Row],[claim_date]],"mmm-yyyy")</f>
        <v>Feb-2023</v>
      </c>
      <c r="J1281" t="s">
        <v>11</v>
      </c>
      <c r="K1281">
        <v>393.52</v>
      </c>
      <c r="L1281" t="s">
        <v>683</v>
      </c>
      <c r="M1281">
        <v>16</v>
      </c>
    </row>
    <row r="1282" spans="1:13" x14ac:dyDescent="0.35">
      <c r="A1282" t="s">
        <v>911</v>
      </c>
      <c r="B1282" t="s">
        <v>12</v>
      </c>
      <c r="C1282" t="s">
        <v>577</v>
      </c>
      <c r="D1282" t="s">
        <v>656</v>
      </c>
      <c r="E1282" s="1">
        <v>45080</v>
      </c>
      <c r="F1282" s="1">
        <v>45081</v>
      </c>
      <c r="G1282" s="1">
        <v>45089</v>
      </c>
      <c r="H1282" s="4">
        <f>IF(Claims_Cleaned[[#This Row],[processed_date]]="","",Claims_Cleaned[[#This Row],[processed_date]]-Claims_Cleaned[[#This Row],[submission_date]])</f>
        <v>8</v>
      </c>
      <c r="I1282" s="4" t="str">
        <f>TEXT(Claims_Cleaned[[#This Row],[claim_date]],"mmm-yyyy")</f>
        <v>Jun-2023</v>
      </c>
      <c r="J1282" t="s">
        <v>13</v>
      </c>
      <c r="K1282">
        <v>393.31</v>
      </c>
      <c r="L1282" t="s">
        <v>683</v>
      </c>
      <c r="M1282">
        <v>8</v>
      </c>
    </row>
    <row r="1283" spans="1:13" x14ac:dyDescent="0.35">
      <c r="A1283" t="s">
        <v>1285</v>
      </c>
      <c r="B1283" t="s">
        <v>303</v>
      </c>
      <c r="C1283" t="s">
        <v>575</v>
      </c>
      <c r="D1283" t="s">
        <v>671</v>
      </c>
      <c r="E1283" s="1">
        <v>45585</v>
      </c>
      <c r="F1283" s="1">
        <v>45589</v>
      </c>
      <c r="G1283" s="1">
        <v>45597</v>
      </c>
      <c r="H1283" s="4">
        <f>IF(Claims_Cleaned[[#This Row],[processed_date]]="","",Claims_Cleaned[[#This Row],[processed_date]]-Claims_Cleaned[[#This Row],[submission_date]])</f>
        <v>8</v>
      </c>
      <c r="I1283" s="4" t="str">
        <f>TEXT(Claims_Cleaned[[#This Row],[claim_date]],"mmm-yyyy")</f>
        <v>Oct-2024</v>
      </c>
      <c r="J1283" t="s">
        <v>8</v>
      </c>
      <c r="K1283">
        <v>392.19</v>
      </c>
      <c r="L1283" t="s">
        <v>687</v>
      </c>
      <c r="M1283">
        <v>8</v>
      </c>
    </row>
    <row r="1284" spans="1:13" x14ac:dyDescent="0.35">
      <c r="A1284" t="s">
        <v>1941</v>
      </c>
      <c r="B1284" t="s">
        <v>398</v>
      </c>
      <c r="C1284" t="s">
        <v>609</v>
      </c>
      <c r="D1284" t="s">
        <v>671</v>
      </c>
      <c r="E1284" s="1">
        <v>45527</v>
      </c>
      <c r="F1284" s="1">
        <v>45528</v>
      </c>
      <c r="G1284" s="1">
        <v>45544</v>
      </c>
      <c r="H1284" s="4">
        <f>IF(Claims_Cleaned[[#This Row],[processed_date]]="","",Claims_Cleaned[[#This Row],[processed_date]]-Claims_Cleaned[[#This Row],[submission_date]])</f>
        <v>16</v>
      </c>
      <c r="I1284" s="4" t="str">
        <f>TEXT(Claims_Cleaned[[#This Row],[claim_date]],"mmm-yyyy")</f>
        <v>Aug-2024</v>
      </c>
      <c r="J1284" t="s">
        <v>25</v>
      </c>
      <c r="K1284">
        <v>390.82</v>
      </c>
      <c r="L1284" t="s">
        <v>683</v>
      </c>
      <c r="M1284">
        <v>16</v>
      </c>
    </row>
    <row r="1285" spans="1:13" x14ac:dyDescent="0.35">
      <c r="A1285" t="s">
        <v>1547</v>
      </c>
      <c r="B1285" t="s">
        <v>148</v>
      </c>
      <c r="C1285" t="s">
        <v>557</v>
      </c>
      <c r="D1285" t="s">
        <v>656</v>
      </c>
      <c r="E1285" s="1">
        <v>45296</v>
      </c>
      <c r="F1285" s="1">
        <v>45300</v>
      </c>
      <c r="G1285" s="1">
        <v>45306</v>
      </c>
      <c r="H1285" s="4">
        <f>IF(Claims_Cleaned[[#This Row],[processed_date]]="","",Claims_Cleaned[[#This Row],[processed_date]]-Claims_Cleaned[[#This Row],[submission_date]])</f>
        <v>6</v>
      </c>
      <c r="I1285" s="4" t="str">
        <f>TEXT(Claims_Cleaned[[#This Row],[claim_date]],"mmm-yyyy")</f>
        <v>Jan-2024</v>
      </c>
      <c r="J1285" t="s">
        <v>8</v>
      </c>
      <c r="K1285">
        <v>389.67</v>
      </c>
      <c r="L1285" t="s">
        <v>683</v>
      </c>
      <c r="M1285">
        <v>6</v>
      </c>
    </row>
    <row r="1286" spans="1:13" x14ac:dyDescent="0.35">
      <c r="A1286" t="s">
        <v>2211</v>
      </c>
      <c r="B1286" t="s">
        <v>176</v>
      </c>
      <c r="C1286" t="s">
        <v>589</v>
      </c>
      <c r="D1286" t="s">
        <v>656</v>
      </c>
      <c r="E1286" s="1">
        <v>45379</v>
      </c>
      <c r="F1286" s="1">
        <v>45383</v>
      </c>
      <c r="G1286" s="1">
        <v>45398</v>
      </c>
      <c r="H1286" s="4">
        <f>IF(Claims_Cleaned[[#This Row],[processed_date]]="","",Claims_Cleaned[[#This Row],[processed_date]]-Claims_Cleaned[[#This Row],[submission_date]])</f>
        <v>15</v>
      </c>
      <c r="I1286" s="4" t="str">
        <f>TEXT(Claims_Cleaned[[#This Row],[claim_date]],"mmm-yyyy")</f>
        <v>Mar-2024</v>
      </c>
      <c r="J1286" t="s">
        <v>20</v>
      </c>
      <c r="K1286">
        <v>388.42</v>
      </c>
      <c r="L1286" t="s">
        <v>683</v>
      </c>
      <c r="M1286">
        <v>15</v>
      </c>
    </row>
    <row r="1287" spans="1:13" x14ac:dyDescent="0.35">
      <c r="A1287" t="s">
        <v>880</v>
      </c>
      <c r="B1287" t="s">
        <v>416</v>
      </c>
      <c r="C1287" t="s">
        <v>605</v>
      </c>
      <c r="D1287" t="s">
        <v>656</v>
      </c>
      <c r="E1287" s="1">
        <v>45455</v>
      </c>
      <c r="F1287" s="1">
        <v>45459</v>
      </c>
      <c r="G1287" s="1">
        <v>45488</v>
      </c>
      <c r="H1287" s="4">
        <f>IF(Claims_Cleaned[[#This Row],[processed_date]]="","",Claims_Cleaned[[#This Row],[processed_date]]-Claims_Cleaned[[#This Row],[submission_date]])</f>
        <v>29</v>
      </c>
      <c r="I1287" s="4" t="str">
        <f>TEXT(Claims_Cleaned[[#This Row],[claim_date]],"mmm-yyyy")</f>
        <v>Jun-2024</v>
      </c>
      <c r="J1287" t="s">
        <v>13</v>
      </c>
      <c r="K1287">
        <v>388.15</v>
      </c>
      <c r="L1287" t="s">
        <v>683</v>
      </c>
      <c r="M1287">
        <v>29</v>
      </c>
    </row>
    <row r="1288" spans="1:13" x14ac:dyDescent="0.35">
      <c r="A1288" t="s">
        <v>1403</v>
      </c>
      <c r="B1288" t="s">
        <v>337</v>
      </c>
      <c r="C1288" t="s">
        <v>557</v>
      </c>
      <c r="D1288" t="s">
        <v>656</v>
      </c>
      <c r="E1288" s="1">
        <v>45051</v>
      </c>
      <c r="F1288" s="1">
        <v>45055</v>
      </c>
      <c r="G1288" s="1">
        <v>45083</v>
      </c>
      <c r="H1288" s="4">
        <f>IF(Claims_Cleaned[[#This Row],[processed_date]]="","",Claims_Cleaned[[#This Row],[processed_date]]-Claims_Cleaned[[#This Row],[submission_date]])</f>
        <v>28</v>
      </c>
      <c r="I1288" s="4" t="str">
        <f>TEXT(Claims_Cleaned[[#This Row],[claim_date]],"mmm-yyyy")</f>
        <v>May-2023</v>
      </c>
      <c r="J1288" t="s">
        <v>11</v>
      </c>
      <c r="K1288">
        <v>388.1</v>
      </c>
      <c r="L1288" t="s">
        <v>683</v>
      </c>
      <c r="M1288">
        <v>28</v>
      </c>
    </row>
    <row r="1289" spans="1:13" x14ac:dyDescent="0.35">
      <c r="A1289" t="s">
        <v>1718</v>
      </c>
      <c r="B1289" t="s">
        <v>233</v>
      </c>
      <c r="C1289" t="s">
        <v>557</v>
      </c>
      <c r="D1289" t="s">
        <v>656</v>
      </c>
      <c r="E1289" s="1">
        <v>45466</v>
      </c>
      <c r="F1289" s="1">
        <v>45471</v>
      </c>
      <c r="G1289" s="1"/>
      <c r="H1289" s="4" t="str">
        <f>IF(Claims_Cleaned[[#This Row],[processed_date]]="","",Claims_Cleaned[[#This Row],[processed_date]]-Claims_Cleaned[[#This Row],[submission_date]])</f>
        <v/>
      </c>
      <c r="I1289" s="4" t="str">
        <f>TEXT(Claims_Cleaned[[#This Row],[claim_date]],"mmm-yyyy")</f>
        <v>Jun-2024</v>
      </c>
      <c r="J1289" t="s">
        <v>20</v>
      </c>
      <c r="K1289">
        <v>387.38</v>
      </c>
      <c r="L1289" t="s">
        <v>689</v>
      </c>
    </row>
    <row r="1290" spans="1:13" x14ac:dyDescent="0.35">
      <c r="A1290" t="s">
        <v>1692</v>
      </c>
      <c r="B1290" t="s">
        <v>353</v>
      </c>
      <c r="C1290" t="s">
        <v>557</v>
      </c>
      <c r="D1290" t="s">
        <v>671</v>
      </c>
      <c r="E1290" s="1">
        <v>45347</v>
      </c>
      <c r="F1290" s="1">
        <v>45351</v>
      </c>
      <c r="G1290" s="1">
        <v>45367</v>
      </c>
      <c r="H1290" s="4">
        <f>IF(Claims_Cleaned[[#This Row],[processed_date]]="","",Claims_Cleaned[[#This Row],[processed_date]]-Claims_Cleaned[[#This Row],[submission_date]])</f>
        <v>16</v>
      </c>
      <c r="I1290" s="4" t="str">
        <f>TEXT(Claims_Cleaned[[#This Row],[claim_date]],"mmm-yyyy")</f>
        <v>Feb-2024</v>
      </c>
      <c r="J1290" t="s">
        <v>20</v>
      </c>
      <c r="K1290">
        <v>386.96</v>
      </c>
      <c r="L1290" t="s">
        <v>683</v>
      </c>
      <c r="M1290">
        <v>16</v>
      </c>
    </row>
    <row r="1291" spans="1:13" x14ac:dyDescent="0.35">
      <c r="A1291" t="s">
        <v>1548</v>
      </c>
      <c r="B1291" t="s">
        <v>103</v>
      </c>
      <c r="C1291" t="s">
        <v>599</v>
      </c>
      <c r="D1291" t="s">
        <v>656</v>
      </c>
      <c r="E1291" s="1">
        <v>45190</v>
      </c>
      <c r="F1291" s="1">
        <v>45194</v>
      </c>
      <c r="G1291" s="1">
        <v>45224</v>
      </c>
      <c r="H1291" s="4">
        <f>IF(Claims_Cleaned[[#This Row],[processed_date]]="","",Claims_Cleaned[[#This Row],[processed_date]]-Claims_Cleaned[[#This Row],[submission_date]])</f>
        <v>30</v>
      </c>
      <c r="I1291" s="4" t="str">
        <f>TEXT(Claims_Cleaned[[#This Row],[claim_date]],"mmm-yyyy")</f>
        <v>Sep-2023</v>
      </c>
      <c r="J1291" t="s">
        <v>20</v>
      </c>
      <c r="K1291">
        <v>386.69</v>
      </c>
      <c r="L1291" t="s">
        <v>683</v>
      </c>
      <c r="M1291">
        <v>30</v>
      </c>
    </row>
    <row r="1292" spans="1:13" x14ac:dyDescent="0.35">
      <c r="A1292" t="s">
        <v>839</v>
      </c>
      <c r="B1292" t="s">
        <v>318</v>
      </c>
      <c r="C1292" t="s">
        <v>587</v>
      </c>
      <c r="D1292" t="s">
        <v>671</v>
      </c>
      <c r="E1292" s="1">
        <v>45074</v>
      </c>
      <c r="F1292" s="1">
        <v>45077</v>
      </c>
      <c r="G1292" s="1">
        <v>45104</v>
      </c>
      <c r="H1292" s="4">
        <f>IF(Claims_Cleaned[[#This Row],[processed_date]]="","",Claims_Cleaned[[#This Row],[processed_date]]-Claims_Cleaned[[#This Row],[submission_date]])</f>
        <v>27</v>
      </c>
      <c r="I1292" s="4" t="str">
        <f>TEXT(Claims_Cleaned[[#This Row],[claim_date]],"mmm-yyyy")</f>
        <v>May-2023</v>
      </c>
      <c r="J1292" t="s">
        <v>13</v>
      </c>
      <c r="K1292">
        <v>386.47</v>
      </c>
      <c r="L1292" t="s">
        <v>687</v>
      </c>
      <c r="M1292">
        <v>27</v>
      </c>
    </row>
    <row r="1293" spans="1:13" x14ac:dyDescent="0.35">
      <c r="A1293" t="s">
        <v>1047</v>
      </c>
      <c r="B1293" t="s">
        <v>19</v>
      </c>
      <c r="C1293" t="s">
        <v>527</v>
      </c>
      <c r="D1293" t="s">
        <v>656</v>
      </c>
      <c r="E1293" s="1">
        <v>45174</v>
      </c>
      <c r="F1293" s="1">
        <v>45178</v>
      </c>
      <c r="G1293" s="1">
        <v>45199</v>
      </c>
      <c r="H1293" s="4">
        <f>IF(Claims_Cleaned[[#This Row],[processed_date]]="","",Claims_Cleaned[[#This Row],[processed_date]]-Claims_Cleaned[[#This Row],[submission_date]])</f>
        <v>21</v>
      </c>
      <c r="I1293" s="4" t="str">
        <f>TEXT(Claims_Cleaned[[#This Row],[claim_date]],"mmm-yyyy")</f>
        <v>Sep-2023</v>
      </c>
      <c r="J1293" t="s">
        <v>20</v>
      </c>
      <c r="K1293">
        <v>386.15</v>
      </c>
      <c r="L1293" t="s">
        <v>683</v>
      </c>
      <c r="M1293">
        <v>21</v>
      </c>
    </row>
    <row r="1294" spans="1:13" x14ac:dyDescent="0.35">
      <c r="A1294" t="s">
        <v>2289</v>
      </c>
      <c r="B1294" t="s">
        <v>468</v>
      </c>
      <c r="C1294" t="s">
        <v>543</v>
      </c>
      <c r="D1294" t="s">
        <v>656</v>
      </c>
      <c r="E1294" s="1">
        <v>45500</v>
      </c>
      <c r="F1294" s="1">
        <v>45505</v>
      </c>
      <c r="G1294" s="1">
        <v>45512</v>
      </c>
      <c r="H1294" s="4">
        <f>IF(Claims_Cleaned[[#This Row],[processed_date]]="","",Claims_Cleaned[[#This Row],[processed_date]]-Claims_Cleaned[[#This Row],[submission_date]])</f>
        <v>7</v>
      </c>
      <c r="I1294" s="4" t="str">
        <f>TEXT(Claims_Cleaned[[#This Row],[claim_date]],"mmm-yyyy")</f>
        <v>Jul-2024</v>
      </c>
      <c r="J1294" t="s">
        <v>20</v>
      </c>
      <c r="K1294">
        <v>385.69</v>
      </c>
      <c r="L1294" t="s">
        <v>683</v>
      </c>
      <c r="M1294">
        <v>7</v>
      </c>
    </row>
    <row r="1295" spans="1:13" x14ac:dyDescent="0.35">
      <c r="A1295" t="s">
        <v>854</v>
      </c>
      <c r="B1295" t="s">
        <v>418</v>
      </c>
      <c r="C1295" t="s">
        <v>591</v>
      </c>
      <c r="D1295" t="s">
        <v>656</v>
      </c>
      <c r="E1295" s="1">
        <v>45525</v>
      </c>
      <c r="F1295" s="1">
        <v>45529</v>
      </c>
      <c r="G1295" s="1">
        <v>45540</v>
      </c>
      <c r="H1295" s="4">
        <f>IF(Claims_Cleaned[[#This Row],[processed_date]]="","",Claims_Cleaned[[#This Row],[processed_date]]-Claims_Cleaned[[#This Row],[submission_date]])</f>
        <v>11</v>
      </c>
      <c r="I1295" s="4" t="str">
        <f>TEXT(Claims_Cleaned[[#This Row],[claim_date]],"mmm-yyyy")</f>
        <v>Aug-2024</v>
      </c>
      <c r="J1295" t="s">
        <v>13</v>
      </c>
      <c r="K1295">
        <v>383.74</v>
      </c>
      <c r="L1295" t="s">
        <v>683</v>
      </c>
      <c r="M1295">
        <v>11</v>
      </c>
    </row>
    <row r="1296" spans="1:13" x14ac:dyDescent="0.35">
      <c r="A1296" t="s">
        <v>1015</v>
      </c>
      <c r="B1296" t="s">
        <v>110</v>
      </c>
      <c r="C1296" t="s">
        <v>540</v>
      </c>
      <c r="D1296" t="s">
        <v>671</v>
      </c>
      <c r="E1296" s="1">
        <v>45290</v>
      </c>
      <c r="F1296" s="1">
        <v>45294</v>
      </c>
      <c r="G1296" s="1">
        <v>45322</v>
      </c>
      <c r="H1296" s="4">
        <f>IF(Claims_Cleaned[[#This Row],[processed_date]]="","",Claims_Cleaned[[#This Row],[processed_date]]-Claims_Cleaned[[#This Row],[submission_date]])</f>
        <v>28</v>
      </c>
      <c r="I1296" s="4" t="str">
        <f>TEXT(Claims_Cleaned[[#This Row],[claim_date]],"mmm-yyyy")</f>
        <v>Dec-2023</v>
      </c>
      <c r="J1296" t="s">
        <v>25</v>
      </c>
      <c r="K1296">
        <v>383.36</v>
      </c>
      <c r="L1296" t="s">
        <v>683</v>
      </c>
      <c r="M1296">
        <v>28</v>
      </c>
    </row>
    <row r="1297" spans="1:13" x14ac:dyDescent="0.35">
      <c r="A1297" t="s">
        <v>2435</v>
      </c>
      <c r="B1297" t="s">
        <v>93</v>
      </c>
      <c r="C1297" t="s">
        <v>609</v>
      </c>
      <c r="D1297" t="s">
        <v>656</v>
      </c>
      <c r="E1297" s="1">
        <v>45529</v>
      </c>
      <c r="F1297" s="1">
        <v>45534</v>
      </c>
      <c r="G1297" s="1">
        <v>45550</v>
      </c>
      <c r="H1297" s="4">
        <f>IF(Claims_Cleaned[[#This Row],[processed_date]]="","",Claims_Cleaned[[#This Row],[processed_date]]-Claims_Cleaned[[#This Row],[submission_date]])</f>
        <v>16</v>
      </c>
      <c r="I1297" s="4" t="str">
        <f>TEXT(Claims_Cleaned[[#This Row],[claim_date]],"mmm-yyyy")</f>
        <v>Aug-2024</v>
      </c>
      <c r="J1297" t="s">
        <v>20</v>
      </c>
      <c r="K1297">
        <v>383.21</v>
      </c>
      <c r="L1297" t="s">
        <v>687</v>
      </c>
      <c r="M1297">
        <v>16</v>
      </c>
    </row>
    <row r="1298" spans="1:13" x14ac:dyDescent="0.35">
      <c r="A1298" t="s">
        <v>833</v>
      </c>
      <c r="B1298" t="s">
        <v>112</v>
      </c>
      <c r="C1298" t="s">
        <v>563</v>
      </c>
      <c r="D1298" t="s">
        <v>656</v>
      </c>
      <c r="E1298" s="1">
        <v>45445</v>
      </c>
      <c r="F1298" s="1">
        <v>45447</v>
      </c>
      <c r="G1298" s="1">
        <v>45473</v>
      </c>
      <c r="H1298" s="4">
        <f>IF(Claims_Cleaned[[#This Row],[processed_date]]="","",Claims_Cleaned[[#This Row],[processed_date]]-Claims_Cleaned[[#This Row],[submission_date]])</f>
        <v>26</v>
      </c>
      <c r="I1298" s="4" t="str">
        <f>TEXT(Claims_Cleaned[[#This Row],[claim_date]],"mmm-yyyy")</f>
        <v>Jun-2024</v>
      </c>
      <c r="J1298" t="s">
        <v>13</v>
      </c>
      <c r="K1298">
        <v>381.22</v>
      </c>
      <c r="L1298" t="s">
        <v>683</v>
      </c>
      <c r="M1298">
        <v>26</v>
      </c>
    </row>
    <row r="1299" spans="1:13" x14ac:dyDescent="0.35">
      <c r="A1299" t="s">
        <v>2366</v>
      </c>
      <c r="B1299" t="s">
        <v>70</v>
      </c>
      <c r="C1299" t="s">
        <v>579</v>
      </c>
      <c r="D1299" t="s">
        <v>671</v>
      </c>
      <c r="E1299" s="1">
        <v>45063</v>
      </c>
      <c r="F1299" s="1">
        <v>45068</v>
      </c>
      <c r="G1299" s="1">
        <v>45078</v>
      </c>
      <c r="H1299" s="4">
        <f>IF(Claims_Cleaned[[#This Row],[processed_date]]="","",Claims_Cleaned[[#This Row],[processed_date]]-Claims_Cleaned[[#This Row],[submission_date]])</f>
        <v>10</v>
      </c>
      <c r="I1299" s="4" t="str">
        <f>TEXT(Claims_Cleaned[[#This Row],[claim_date]],"mmm-yyyy")</f>
        <v>May-2023</v>
      </c>
      <c r="J1299" t="s">
        <v>11</v>
      </c>
      <c r="K1299">
        <v>379.61</v>
      </c>
      <c r="L1299" t="s">
        <v>683</v>
      </c>
      <c r="M1299">
        <v>10</v>
      </c>
    </row>
    <row r="1300" spans="1:13" x14ac:dyDescent="0.35">
      <c r="A1300" t="s">
        <v>2142</v>
      </c>
      <c r="B1300" t="s">
        <v>412</v>
      </c>
      <c r="C1300" t="s">
        <v>524</v>
      </c>
      <c r="D1300" t="s">
        <v>671</v>
      </c>
      <c r="E1300" s="1">
        <v>45447</v>
      </c>
      <c r="F1300" s="1">
        <v>45452</v>
      </c>
      <c r="G1300" s="1">
        <v>45481</v>
      </c>
      <c r="H1300" s="4">
        <f>IF(Claims_Cleaned[[#This Row],[processed_date]]="","",Claims_Cleaned[[#This Row],[processed_date]]-Claims_Cleaned[[#This Row],[submission_date]])</f>
        <v>29</v>
      </c>
      <c r="I1300" s="4" t="str">
        <f>TEXT(Claims_Cleaned[[#This Row],[claim_date]],"mmm-yyyy")</f>
        <v>Jun-2024</v>
      </c>
      <c r="J1300" t="s">
        <v>8</v>
      </c>
      <c r="K1300">
        <v>379.03</v>
      </c>
      <c r="L1300" t="s">
        <v>683</v>
      </c>
      <c r="M1300">
        <v>29</v>
      </c>
    </row>
    <row r="1301" spans="1:13" x14ac:dyDescent="0.35">
      <c r="A1301" t="s">
        <v>2432</v>
      </c>
      <c r="B1301" t="s">
        <v>42</v>
      </c>
      <c r="C1301" t="s">
        <v>524</v>
      </c>
      <c r="D1301" t="s">
        <v>656</v>
      </c>
      <c r="E1301" s="1">
        <v>45430</v>
      </c>
      <c r="F1301" s="1">
        <v>45433</v>
      </c>
      <c r="G1301" s="1">
        <v>45439</v>
      </c>
      <c r="H1301" s="4">
        <f>IF(Claims_Cleaned[[#This Row],[processed_date]]="","",Claims_Cleaned[[#This Row],[processed_date]]-Claims_Cleaned[[#This Row],[submission_date]])</f>
        <v>6</v>
      </c>
      <c r="I1301" s="4" t="str">
        <f>TEXT(Claims_Cleaned[[#This Row],[claim_date]],"mmm-yyyy")</f>
        <v>May-2024</v>
      </c>
      <c r="J1301" t="s">
        <v>20</v>
      </c>
      <c r="K1301">
        <v>378.64</v>
      </c>
      <c r="L1301" t="s">
        <v>683</v>
      </c>
      <c r="M1301">
        <v>6</v>
      </c>
    </row>
    <row r="1302" spans="1:13" x14ac:dyDescent="0.35">
      <c r="A1302" t="s">
        <v>1117</v>
      </c>
      <c r="B1302" t="s">
        <v>376</v>
      </c>
      <c r="C1302" t="s">
        <v>567</v>
      </c>
      <c r="D1302" t="s">
        <v>656</v>
      </c>
      <c r="E1302" s="1">
        <v>45363</v>
      </c>
      <c r="F1302" s="1">
        <v>45367</v>
      </c>
      <c r="G1302" s="1"/>
      <c r="H1302" s="4" t="str">
        <f>IF(Claims_Cleaned[[#This Row],[processed_date]]="","",Claims_Cleaned[[#This Row],[processed_date]]-Claims_Cleaned[[#This Row],[submission_date]])</f>
        <v/>
      </c>
      <c r="I1302" s="4" t="str">
        <f>TEXT(Claims_Cleaned[[#This Row],[claim_date]],"mmm-yyyy")</f>
        <v>Mar-2024</v>
      </c>
      <c r="J1302" t="s">
        <v>8</v>
      </c>
      <c r="K1302">
        <v>378.03</v>
      </c>
      <c r="L1302" t="s">
        <v>689</v>
      </c>
    </row>
    <row r="1303" spans="1:13" x14ac:dyDescent="0.35">
      <c r="A1303" t="s">
        <v>1686</v>
      </c>
      <c r="B1303" t="s">
        <v>289</v>
      </c>
      <c r="C1303" t="s">
        <v>577</v>
      </c>
      <c r="D1303" t="s">
        <v>656</v>
      </c>
      <c r="E1303" s="1">
        <v>45009</v>
      </c>
      <c r="F1303" s="1">
        <v>45011</v>
      </c>
      <c r="G1303" s="1">
        <v>45032</v>
      </c>
      <c r="H1303" s="4">
        <f>IF(Claims_Cleaned[[#This Row],[processed_date]]="","",Claims_Cleaned[[#This Row],[processed_date]]-Claims_Cleaned[[#This Row],[submission_date]])</f>
        <v>21</v>
      </c>
      <c r="I1303" s="4" t="str">
        <f>TEXT(Claims_Cleaned[[#This Row],[claim_date]],"mmm-yyyy")</f>
        <v>Mar-2023</v>
      </c>
      <c r="J1303" t="s">
        <v>13</v>
      </c>
      <c r="K1303">
        <v>377.05</v>
      </c>
      <c r="L1303" t="s">
        <v>687</v>
      </c>
      <c r="M1303">
        <v>21</v>
      </c>
    </row>
    <row r="1304" spans="1:13" x14ac:dyDescent="0.35">
      <c r="A1304" t="s">
        <v>2134</v>
      </c>
      <c r="B1304" t="s">
        <v>411</v>
      </c>
      <c r="C1304" t="s">
        <v>540</v>
      </c>
      <c r="D1304" t="s">
        <v>656</v>
      </c>
      <c r="E1304" s="1">
        <v>45587</v>
      </c>
      <c r="F1304" s="1">
        <v>45589</v>
      </c>
      <c r="G1304" s="1">
        <v>45610</v>
      </c>
      <c r="H1304" s="4">
        <f>IF(Claims_Cleaned[[#This Row],[processed_date]]="","",Claims_Cleaned[[#This Row],[processed_date]]-Claims_Cleaned[[#This Row],[submission_date]])</f>
        <v>21</v>
      </c>
      <c r="I1304" s="4" t="str">
        <f>TEXT(Claims_Cleaned[[#This Row],[claim_date]],"mmm-yyyy")</f>
        <v>Oct-2024</v>
      </c>
      <c r="J1304" t="s">
        <v>8</v>
      </c>
      <c r="K1304">
        <v>376</v>
      </c>
      <c r="L1304" t="s">
        <v>683</v>
      </c>
      <c r="M1304">
        <v>21</v>
      </c>
    </row>
    <row r="1305" spans="1:13" x14ac:dyDescent="0.35">
      <c r="A1305" t="s">
        <v>1967</v>
      </c>
      <c r="B1305" t="s">
        <v>204</v>
      </c>
      <c r="C1305" t="s">
        <v>577</v>
      </c>
      <c r="D1305" t="s">
        <v>673</v>
      </c>
      <c r="E1305" s="1">
        <v>45519</v>
      </c>
      <c r="F1305" s="1">
        <v>45522</v>
      </c>
      <c r="G1305" s="1">
        <v>45540</v>
      </c>
      <c r="H1305" s="4">
        <f>IF(Claims_Cleaned[[#This Row],[processed_date]]="","",Claims_Cleaned[[#This Row],[processed_date]]-Claims_Cleaned[[#This Row],[submission_date]])</f>
        <v>18</v>
      </c>
      <c r="I1305" s="4" t="str">
        <f>TEXT(Claims_Cleaned[[#This Row],[claim_date]],"mmm-yyyy")</f>
        <v>Aug-2024</v>
      </c>
      <c r="J1305" t="s">
        <v>8</v>
      </c>
      <c r="K1305">
        <v>374.4</v>
      </c>
      <c r="L1305" t="s">
        <v>683</v>
      </c>
      <c r="M1305">
        <v>18</v>
      </c>
    </row>
    <row r="1306" spans="1:13" x14ac:dyDescent="0.35">
      <c r="A1306" t="s">
        <v>786</v>
      </c>
      <c r="B1306" t="s">
        <v>400</v>
      </c>
      <c r="C1306" t="s">
        <v>571</v>
      </c>
      <c r="D1306" t="s">
        <v>673</v>
      </c>
      <c r="E1306" s="1">
        <v>45000</v>
      </c>
      <c r="F1306" s="1">
        <v>45002</v>
      </c>
      <c r="G1306" s="1">
        <v>45019</v>
      </c>
      <c r="H1306" s="4">
        <f>IF(Claims_Cleaned[[#This Row],[processed_date]]="","",Claims_Cleaned[[#This Row],[processed_date]]-Claims_Cleaned[[#This Row],[submission_date]])</f>
        <v>17</v>
      </c>
      <c r="I1306" s="4" t="str">
        <f>TEXT(Claims_Cleaned[[#This Row],[claim_date]],"mmm-yyyy")</f>
        <v>Mar-2023</v>
      </c>
      <c r="J1306" t="s">
        <v>25</v>
      </c>
      <c r="K1306">
        <v>373.88</v>
      </c>
      <c r="L1306" t="s">
        <v>683</v>
      </c>
      <c r="M1306">
        <v>17</v>
      </c>
    </row>
    <row r="1307" spans="1:13" x14ac:dyDescent="0.35">
      <c r="A1307" t="s">
        <v>2256</v>
      </c>
      <c r="B1307" t="s">
        <v>414</v>
      </c>
      <c r="C1307" t="s">
        <v>527</v>
      </c>
      <c r="D1307" t="s">
        <v>656</v>
      </c>
      <c r="E1307" s="1">
        <v>45044</v>
      </c>
      <c r="F1307" s="1">
        <v>45046</v>
      </c>
      <c r="G1307" s="1">
        <v>45052</v>
      </c>
      <c r="H1307" s="4">
        <f>IF(Claims_Cleaned[[#This Row],[processed_date]]="","",Claims_Cleaned[[#This Row],[processed_date]]-Claims_Cleaned[[#This Row],[submission_date]])</f>
        <v>6</v>
      </c>
      <c r="I1307" s="4" t="str">
        <f>TEXT(Claims_Cleaned[[#This Row],[claim_date]],"mmm-yyyy")</f>
        <v>Apr-2023</v>
      </c>
      <c r="J1307" t="s">
        <v>8</v>
      </c>
      <c r="K1307">
        <v>372.79</v>
      </c>
      <c r="L1307" t="s">
        <v>683</v>
      </c>
      <c r="M1307">
        <v>6</v>
      </c>
    </row>
    <row r="1308" spans="1:13" x14ac:dyDescent="0.35">
      <c r="A1308" t="s">
        <v>1523</v>
      </c>
      <c r="B1308" t="s">
        <v>227</v>
      </c>
      <c r="C1308" t="s">
        <v>583</v>
      </c>
      <c r="D1308" t="s">
        <v>629</v>
      </c>
      <c r="E1308" s="1">
        <v>45627</v>
      </c>
      <c r="F1308" s="1">
        <v>45630</v>
      </c>
      <c r="G1308" s="1">
        <v>45634</v>
      </c>
      <c r="H1308" s="4">
        <f>IF(Claims_Cleaned[[#This Row],[processed_date]]="","",Claims_Cleaned[[#This Row],[processed_date]]-Claims_Cleaned[[#This Row],[submission_date]])</f>
        <v>4</v>
      </c>
      <c r="I1308" s="4" t="str">
        <f>TEXT(Claims_Cleaned[[#This Row],[claim_date]],"mmm-yyyy")</f>
        <v>Dec-2024</v>
      </c>
      <c r="J1308" t="s">
        <v>8</v>
      </c>
      <c r="K1308">
        <v>370.83</v>
      </c>
      <c r="L1308" t="s">
        <v>687</v>
      </c>
      <c r="M1308">
        <v>4</v>
      </c>
    </row>
    <row r="1309" spans="1:13" x14ac:dyDescent="0.35">
      <c r="A1309" t="s">
        <v>2635</v>
      </c>
      <c r="B1309" t="s">
        <v>34</v>
      </c>
      <c r="C1309" t="s">
        <v>555</v>
      </c>
      <c r="D1309" t="s">
        <v>673</v>
      </c>
      <c r="E1309" s="1">
        <v>45431</v>
      </c>
      <c r="F1309" s="1">
        <v>45433</v>
      </c>
      <c r="G1309" s="1">
        <v>45457</v>
      </c>
      <c r="H1309" s="4">
        <f>IF(Claims_Cleaned[[#This Row],[processed_date]]="","",Claims_Cleaned[[#This Row],[processed_date]]-Claims_Cleaned[[#This Row],[submission_date]])</f>
        <v>24</v>
      </c>
      <c r="I1309" s="4" t="str">
        <f>TEXT(Claims_Cleaned[[#This Row],[claim_date]],"mmm-yyyy")</f>
        <v>May-2024</v>
      </c>
      <c r="J1309" t="s">
        <v>11</v>
      </c>
      <c r="K1309">
        <v>370.8</v>
      </c>
      <c r="L1309" t="s">
        <v>683</v>
      </c>
      <c r="M1309">
        <v>24</v>
      </c>
    </row>
    <row r="1310" spans="1:13" x14ac:dyDescent="0.35">
      <c r="A1310" t="s">
        <v>1929</v>
      </c>
      <c r="B1310" t="s">
        <v>242</v>
      </c>
      <c r="C1310" t="s">
        <v>546</v>
      </c>
      <c r="D1310" t="s">
        <v>629</v>
      </c>
      <c r="E1310" s="1">
        <v>45607</v>
      </c>
      <c r="F1310" s="1">
        <v>45609</v>
      </c>
      <c r="G1310" s="1">
        <v>45626</v>
      </c>
      <c r="H1310" s="4">
        <f>IF(Claims_Cleaned[[#This Row],[processed_date]]="","",Claims_Cleaned[[#This Row],[processed_date]]-Claims_Cleaned[[#This Row],[submission_date]])</f>
        <v>17</v>
      </c>
      <c r="I1310" s="4" t="str">
        <f>TEXT(Claims_Cleaned[[#This Row],[claim_date]],"mmm-yyyy")</f>
        <v>Nov-2024</v>
      </c>
      <c r="J1310" t="s">
        <v>11</v>
      </c>
      <c r="K1310">
        <v>370.47</v>
      </c>
      <c r="L1310" t="s">
        <v>683</v>
      </c>
      <c r="M1310">
        <v>17</v>
      </c>
    </row>
    <row r="1311" spans="1:13" x14ac:dyDescent="0.35">
      <c r="A1311" t="s">
        <v>1987</v>
      </c>
      <c r="B1311" t="s">
        <v>27</v>
      </c>
      <c r="C1311" t="s">
        <v>609</v>
      </c>
      <c r="D1311" t="s">
        <v>629</v>
      </c>
      <c r="E1311" s="1">
        <v>45382</v>
      </c>
      <c r="F1311" s="1">
        <v>45383</v>
      </c>
      <c r="G1311" s="1">
        <v>45397</v>
      </c>
      <c r="H1311" s="4">
        <f>IF(Claims_Cleaned[[#This Row],[processed_date]]="","",Claims_Cleaned[[#This Row],[processed_date]]-Claims_Cleaned[[#This Row],[submission_date]])</f>
        <v>14</v>
      </c>
      <c r="I1311" s="4" t="str">
        <f>TEXT(Claims_Cleaned[[#This Row],[claim_date]],"mmm-yyyy")</f>
        <v>Mar-2024</v>
      </c>
      <c r="J1311" t="s">
        <v>20</v>
      </c>
      <c r="K1311">
        <v>370.37</v>
      </c>
      <c r="L1311" t="s">
        <v>683</v>
      </c>
      <c r="M1311">
        <v>14</v>
      </c>
    </row>
    <row r="1312" spans="1:13" x14ac:dyDescent="0.35">
      <c r="A1312" t="s">
        <v>1868</v>
      </c>
      <c r="B1312" t="s">
        <v>483</v>
      </c>
      <c r="C1312" t="s">
        <v>559</v>
      </c>
      <c r="D1312" t="s">
        <v>656</v>
      </c>
      <c r="E1312" s="1">
        <v>45387</v>
      </c>
      <c r="F1312" s="1">
        <v>45391</v>
      </c>
      <c r="G1312" s="1">
        <v>45407</v>
      </c>
      <c r="H1312" s="4">
        <f>IF(Claims_Cleaned[[#This Row],[processed_date]]="","",Claims_Cleaned[[#This Row],[processed_date]]-Claims_Cleaned[[#This Row],[submission_date]])</f>
        <v>16</v>
      </c>
      <c r="I1312" s="4" t="str">
        <f>TEXT(Claims_Cleaned[[#This Row],[claim_date]],"mmm-yyyy")</f>
        <v>Apr-2024</v>
      </c>
      <c r="J1312" t="s">
        <v>11</v>
      </c>
      <c r="K1312">
        <v>370.11</v>
      </c>
      <c r="L1312" t="s">
        <v>683</v>
      </c>
      <c r="M1312">
        <v>16</v>
      </c>
    </row>
    <row r="1313" spans="1:13" x14ac:dyDescent="0.35">
      <c r="A1313" t="s">
        <v>2039</v>
      </c>
      <c r="B1313" t="s">
        <v>342</v>
      </c>
      <c r="C1313" t="s">
        <v>524</v>
      </c>
      <c r="D1313" t="s">
        <v>656</v>
      </c>
      <c r="E1313" s="1">
        <v>45635</v>
      </c>
      <c r="F1313" s="1">
        <v>45640</v>
      </c>
      <c r="G1313" s="1">
        <v>45651</v>
      </c>
      <c r="H1313" s="4">
        <f>IF(Claims_Cleaned[[#This Row],[processed_date]]="","",Claims_Cleaned[[#This Row],[processed_date]]-Claims_Cleaned[[#This Row],[submission_date]])</f>
        <v>11</v>
      </c>
      <c r="I1313" s="4" t="str">
        <f>TEXT(Claims_Cleaned[[#This Row],[claim_date]],"mmm-yyyy")</f>
        <v>Dec-2024</v>
      </c>
      <c r="J1313" t="s">
        <v>25</v>
      </c>
      <c r="K1313">
        <v>369.9</v>
      </c>
      <c r="L1313" t="s">
        <v>687</v>
      </c>
      <c r="M1313">
        <v>11</v>
      </c>
    </row>
    <row r="1314" spans="1:13" x14ac:dyDescent="0.35">
      <c r="A1314" t="s">
        <v>790</v>
      </c>
      <c r="B1314" t="s">
        <v>211</v>
      </c>
      <c r="C1314" t="s">
        <v>599</v>
      </c>
      <c r="D1314" t="s">
        <v>629</v>
      </c>
      <c r="E1314" s="1">
        <v>45508</v>
      </c>
      <c r="F1314" s="1">
        <v>45510</v>
      </c>
      <c r="G1314" s="1">
        <v>45514</v>
      </c>
      <c r="H1314" s="4">
        <f>IF(Claims_Cleaned[[#This Row],[processed_date]]="","",Claims_Cleaned[[#This Row],[processed_date]]-Claims_Cleaned[[#This Row],[submission_date]])</f>
        <v>4</v>
      </c>
      <c r="I1314" s="4" t="str">
        <f>TEXT(Claims_Cleaned[[#This Row],[claim_date]],"mmm-yyyy")</f>
        <v>Aug-2024</v>
      </c>
      <c r="J1314" t="s">
        <v>11</v>
      </c>
      <c r="K1314">
        <v>369.64</v>
      </c>
      <c r="L1314" t="s">
        <v>683</v>
      </c>
      <c r="M1314">
        <v>4</v>
      </c>
    </row>
    <row r="1315" spans="1:13" x14ac:dyDescent="0.35">
      <c r="A1315" t="s">
        <v>2671</v>
      </c>
      <c r="B1315" t="s">
        <v>409</v>
      </c>
      <c r="C1315" t="s">
        <v>587</v>
      </c>
      <c r="D1315" t="s">
        <v>629</v>
      </c>
      <c r="E1315" s="1">
        <v>45261</v>
      </c>
      <c r="F1315" s="1">
        <v>45266</v>
      </c>
      <c r="G1315" s="1">
        <v>45294</v>
      </c>
      <c r="H1315" s="4">
        <f>IF(Claims_Cleaned[[#This Row],[processed_date]]="","",Claims_Cleaned[[#This Row],[processed_date]]-Claims_Cleaned[[#This Row],[submission_date]])</f>
        <v>28</v>
      </c>
      <c r="I1315" s="4" t="str">
        <f>TEXT(Claims_Cleaned[[#This Row],[claim_date]],"mmm-yyyy")</f>
        <v>Dec-2023</v>
      </c>
      <c r="J1315" t="s">
        <v>8</v>
      </c>
      <c r="K1315">
        <v>369.29</v>
      </c>
      <c r="L1315" t="s">
        <v>683</v>
      </c>
      <c r="M1315">
        <v>28</v>
      </c>
    </row>
    <row r="1316" spans="1:13" x14ac:dyDescent="0.35">
      <c r="A1316" t="s">
        <v>1925</v>
      </c>
      <c r="B1316" t="s">
        <v>350</v>
      </c>
      <c r="C1316" t="s">
        <v>569</v>
      </c>
      <c r="D1316" t="s">
        <v>629</v>
      </c>
      <c r="E1316" s="1">
        <v>45449</v>
      </c>
      <c r="F1316" s="1">
        <v>45452</v>
      </c>
      <c r="G1316" s="1"/>
      <c r="H1316" s="4" t="str">
        <f>IF(Claims_Cleaned[[#This Row],[processed_date]]="","",Claims_Cleaned[[#This Row],[processed_date]]-Claims_Cleaned[[#This Row],[submission_date]])</f>
        <v/>
      </c>
      <c r="I1316" s="4" t="str">
        <f>TEXT(Claims_Cleaned[[#This Row],[claim_date]],"mmm-yyyy")</f>
        <v>Jun-2024</v>
      </c>
      <c r="J1316" t="s">
        <v>20</v>
      </c>
      <c r="K1316">
        <v>369.22</v>
      </c>
      <c r="L1316" t="s">
        <v>689</v>
      </c>
    </row>
    <row r="1317" spans="1:13" x14ac:dyDescent="0.35">
      <c r="A1317" t="s">
        <v>2370</v>
      </c>
      <c r="B1317" t="s">
        <v>70</v>
      </c>
      <c r="C1317" t="s">
        <v>587</v>
      </c>
      <c r="D1317" t="s">
        <v>629</v>
      </c>
      <c r="E1317" s="1">
        <v>45346</v>
      </c>
      <c r="F1317" s="1">
        <v>45351</v>
      </c>
      <c r="G1317" s="1">
        <v>45354</v>
      </c>
      <c r="H1317" s="4">
        <f>IF(Claims_Cleaned[[#This Row],[processed_date]]="","",Claims_Cleaned[[#This Row],[processed_date]]-Claims_Cleaned[[#This Row],[submission_date]])</f>
        <v>3</v>
      </c>
      <c r="I1317" s="4" t="str">
        <f>TEXT(Claims_Cleaned[[#This Row],[claim_date]],"mmm-yyyy")</f>
        <v>Feb-2024</v>
      </c>
      <c r="J1317" t="s">
        <v>11</v>
      </c>
      <c r="K1317">
        <v>369.05</v>
      </c>
      <c r="L1317" t="s">
        <v>683</v>
      </c>
      <c r="M1317">
        <v>3</v>
      </c>
    </row>
    <row r="1318" spans="1:13" x14ac:dyDescent="0.35">
      <c r="A1318" t="s">
        <v>2131</v>
      </c>
      <c r="B1318" t="s">
        <v>123</v>
      </c>
      <c r="C1318" t="s">
        <v>534</v>
      </c>
      <c r="D1318" t="s">
        <v>656</v>
      </c>
      <c r="E1318" s="1">
        <v>44948</v>
      </c>
      <c r="F1318" s="1">
        <v>44952</v>
      </c>
      <c r="G1318" s="1">
        <v>44966</v>
      </c>
      <c r="H1318" s="4">
        <f>IF(Claims_Cleaned[[#This Row],[processed_date]]="","",Claims_Cleaned[[#This Row],[processed_date]]-Claims_Cleaned[[#This Row],[submission_date]])</f>
        <v>14</v>
      </c>
      <c r="I1318" s="4" t="str">
        <f>TEXT(Claims_Cleaned[[#This Row],[claim_date]],"mmm-yyyy")</f>
        <v>Jan-2023</v>
      </c>
      <c r="J1318" t="s">
        <v>8</v>
      </c>
      <c r="K1318">
        <v>368.13</v>
      </c>
      <c r="L1318" t="s">
        <v>683</v>
      </c>
      <c r="M1318">
        <v>14</v>
      </c>
    </row>
    <row r="1319" spans="1:13" x14ac:dyDescent="0.35">
      <c r="A1319" t="s">
        <v>2213</v>
      </c>
      <c r="B1319" t="s">
        <v>105</v>
      </c>
      <c r="C1319" t="s">
        <v>531</v>
      </c>
      <c r="D1319" t="s">
        <v>656</v>
      </c>
      <c r="E1319" s="1">
        <v>45262</v>
      </c>
      <c r="F1319" s="1">
        <v>45266</v>
      </c>
      <c r="G1319" s="1">
        <v>45295</v>
      </c>
      <c r="H1319" s="4">
        <f>IF(Claims_Cleaned[[#This Row],[processed_date]]="","",Claims_Cleaned[[#This Row],[processed_date]]-Claims_Cleaned[[#This Row],[submission_date]])</f>
        <v>29</v>
      </c>
      <c r="I1319" s="4" t="str">
        <f>TEXT(Claims_Cleaned[[#This Row],[claim_date]],"mmm-yyyy")</f>
        <v>Dec-2023</v>
      </c>
      <c r="J1319" t="s">
        <v>20</v>
      </c>
      <c r="K1319">
        <v>367.9</v>
      </c>
      <c r="L1319" t="s">
        <v>683</v>
      </c>
      <c r="M1319">
        <v>29</v>
      </c>
    </row>
    <row r="1320" spans="1:13" x14ac:dyDescent="0.35">
      <c r="A1320" t="s">
        <v>1192</v>
      </c>
      <c r="B1320" t="s">
        <v>417</v>
      </c>
      <c r="C1320" t="s">
        <v>609</v>
      </c>
      <c r="D1320" t="s">
        <v>629</v>
      </c>
      <c r="E1320" s="1">
        <v>45505</v>
      </c>
      <c r="F1320" s="1">
        <v>45506</v>
      </c>
      <c r="G1320" s="1">
        <v>45511</v>
      </c>
      <c r="H1320" s="4">
        <f>IF(Claims_Cleaned[[#This Row],[processed_date]]="","",Claims_Cleaned[[#This Row],[processed_date]]-Claims_Cleaned[[#This Row],[submission_date]])</f>
        <v>5</v>
      </c>
      <c r="I1320" s="4" t="str">
        <f>TEXT(Claims_Cleaned[[#This Row],[claim_date]],"mmm-yyyy")</f>
        <v>Aug-2024</v>
      </c>
      <c r="J1320" t="s">
        <v>25</v>
      </c>
      <c r="K1320">
        <v>367.74</v>
      </c>
      <c r="L1320" t="s">
        <v>683</v>
      </c>
      <c r="M1320">
        <v>5</v>
      </c>
    </row>
    <row r="1321" spans="1:13" x14ac:dyDescent="0.35">
      <c r="A1321" t="s">
        <v>2171</v>
      </c>
      <c r="B1321" t="s">
        <v>506</v>
      </c>
      <c r="C1321" t="s">
        <v>567</v>
      </c>
      <c r="D1321" t="s">
        <v>629</v>
      </c>
      <c r="E1321" s="1">
        <v>45239</v>
      </c>
      <c r="F1321" s="1">
        <v>45242</v>
      </c>
      <c r="G1321" s="1">
        <v>45255</v>
      </c>
      <c r="H1321" s="4">
        <f>IF(Claims_Cleaned[[#This Row],[processed_date]]="","",Claims_Cleaned[[#This Row],[processed_date]]-Claims_Cleaned[[#This Row],[submission_date]])</f>
        <v>13</v>
      </c>
      <c r="I1321" s="4" t="str">
        <f>TEXT(Claims_Cleaned[[#This Row],[claim_date]],"mmm-yyyy")</f>
        <v>Nov-2023</v>
      </c>
      <c r="J1321" t="s">
        <v>11</v>
      </c>
      <c r="K1321">
        <v>367.43</v>
      </c>
      <c r="L1321" t="s">
        <v>683</v>
      </c>
      <c r="M1321">
        <v>13</v>
      </c>
    </row>
    <row r="1322" spans="1:13" x14ac:dyDescent="0.35">
      <c r="A1322" t="s">
        <v>807</v>
      </c>
      <c r="B1322" t="s">
        <v>294</v>
      </c>
      <c r="C1322" t="s">
        <v>555</v>
      </c>
      <c r="D1322" t="s">
        <v>671</v>
      </c>
      <c r="E1322" s="1">
        <v>45651</v>
      </c>
      <c r="F1322" s="1">
        <v>45653</v>
      </c>
      <c r="G1322" s="1">
        <v>45671</v>
      </c>
      <c r="H1322" s="4">
        <f>IF(Claims_Cleaned[[#This Row],[processed_date]]="","",Claims_Cleaned[[#This Row],[processed_date]]-Claims_Cleaned[[#This Row],[submission_date]])</f>
        <v>18</v>
      </c>
      <c r="I1322" s="4" t="str">
        <f>TEXT(Claims_Cleaned[[#This Row],[claim_date]],"mmm-yyyy")</f>
        <v>Dec-2024</v>
      </c>
      <c r="J1322" t="s">
        <v>11</v>
      </c>
      <c r="K1322">
        <v>366.97</v>
      </c>
      <c r="L1322" t="s">
        <v>683</v>
      </c>
      <c r="M1322">
        <v>18</v>
      </c>
    </row>
    <row r="1323" spans="1:13" x14ac:dyDescent="0.35">
      <c r="A1323" t="s">
        <v>2310</v>
      </c>
      <c r="B1323" t="s">
        <v>417</v>
      </c>
      <c r="C1323" t="s">
        <v>563</v>
      </c>
      <c r="D1323" t="s">
        <v>671</v>
      </c>
      <c r="E1323" s="1">
        <v>45271</v>
      </c>
      <c r="F1323" s="1">
        <v>45273</v>
      </c>
      <c r="G1323" s="1">
        <v>45279</v>
      </c>
      <c r="H1323" s="4">
        <f>IF(Claims_Cleaned[[#This Row],[processed_date]]="","",Claims_Cleaned[[#This Row],[processed_date]]-Claims_Cleaned[[#This Row],[submission_date]])</f>
        <v>6</v>
      </c>
      <c r="I1323" s="4" t="str">
        <f>TEXT(Claims_Cleaned[[#This Row],[claim_date]],"mmm-yyyy")</f>
        <v>Dec-2023</v>
      </c>
      <c r="J1323" t="s">
        <v>25</v>
      </c>
      <c r="K1323">
        <v>366.88</v>
      </c>
      <c r="L1323" t="s">
        <v>683</v>
      </c>
      <c r="M1323">
        <v>6</v>
      </c>
    </row>
    <row r="1324" spans="1:13" x14ac:dyDescent="0.35">
      <c r="A1324" t="s">
        <v>1037</v>
      </c>
      <c r="B1324" t="s">
        <v>430</v>
      </c>
      <c r="C1324" t="s">
        <v>577</v>
      </c>
      <c r="D1324" t="s">
        <v>673</v>
      </c>
      <c r="E1324" s="1">
        <v>45102</v>
      </c>
      <c r="F1324" s="1">
        <v>45107</v>
      </c>
      <c r="G1324" s="1">
        <v>45124</v>
      </c>
      <c r="H1324" s="4">
        <f>IF(Claims_Cleaned[[#This Row],[processed_date]]="","",Claims_Cleaned[[#This Row],[processed_date]]-Claims_Cleaned[[#This Row],[submission_date]])</f>
        <v>17</v>
      </c>
      <c r="I1324" s="4" t="str">
        <f>TEXT(Claims_Cleaned[[#This Row],[claim_date]],"mmm-yyyy")</f>
        <v>Jun-2023</v>
      </c>
      <c r="J1324" t="s">
        <v>20</v>
      </c>
      <c r="K1324">
        <v>366.59</v>
      </c>
      <c r="L1324" t="s">
        <v>683</v>
      </c>
      <c r="M1324">
        <v>17</v>
      </c>
    </row>
    <row r="1325" spans="1:13" x14ac:dyDescent="0.35">
      <c r="A1325" t="s">
        <v>1106</v>
      </c>
      <c r="B1325" t="s">
        <v>501</v>
      </c>
      <c r="C1325" t="s">
        <v>611</v>
      </c>
      <c r="D1325" t="s">
        <v>671</v>
      </c>
      <c r="E1325" s="1">
        <v>45099</v>
      </c>
      <c r="F1325" s="1">
        <v>45100</v>
      </c>
      <c r="G1325" s="1">
        <v>45112</v>
      </c>
      <c r="H1325" s="4">
        <f>IF(Claims_Cleaned[[#This Row],[processed_date]]="","",Claims_Cleaned[[#This Row],[processed_date]]-Claims_Cleaned[[#This Row],[submission_date]])</f>
        <v>12</v>
      </c>
      <c r="I1325" s="4" t="str">
        <f>TEXT(Claims_Cleaned[[#This Row],[claim_date]],"mmm-yyyy")</f>
        <v>Jun-2023</v>
      </c>
      <c r="J1325" t="s">
        <v>8</v>
      </c>
      <c r="K1325">
        <v>366.14</v>
      </c>
      <c r="L1325" t="s">
        <v>683</v>
      </c>
      <c r="M1325">
        <v>12</v>
      </c>
    </row>
    <row r="1326" spans="1:13" x14ac:dyDescent="0.35">
      <c r="A1326" t="s">
        <v>1725</v>
      </c>
      <c r="B1326" t="s">
        <v>406</v>
      </c>
      <c r="C1326" t="s">
        <v>593</v>
      </c>
      <c r="D1326" t="s">
        <v>656</v>
      </c>
      <c r="E1326" s="1">
        <v>45162</v>
      </c>
      <c r="F1326" s="1">
        <v>45166</v>
      </c>
      <c r="G1326" s="1">
        <v>45174</v>
      </c>
      <c r="H1326" s="4">
        <f>IF(Claims_Cleaned[[#This Row],[processed_date]]="","",Claims_Cleaned[[#This Row],[processed_date]]-Claims_Cleaned[[#This Row],[submission_date]])</f>
        <v>8</v>
      </c>
      <c r="I1326" s="4" t="str">
        <f>TEXT(Claims_Cleaned[[#This Row],[claim_date]],"mmm-yyyy")</f>
        <v>Aug-2023</v>
      </c>
      <c r="J1326" t="s">
        <v>11</v>
      </c>
      <c r="K1326">
        <v>365.57</v>
      </c>
      <c r="L1326" t="s">
        <v>687</v>
      </c>
      <c r="M1326">
        <v>8</v>
      </c>
    </row>
    <row r="1327" spans="1:13" x14ac:dyDescent="0.35">
      <c r="A1327" t="s">
        <v>1074</v>
      </c>
      <c r="B1327" t="s">
        <v>238</v>
      </c>
      <c r="C1327" t="s">
        <v>540</v>
      </c>
      <c r="D1327" t="s">
        <v>629</v>
      </c>
      <c r="E1327" s="1">
        <v>45041</v>
      </c>
      <c r="F1327" s="1">
        <v>45042</v>
      </c>
      <c r="G1327" s="1">
        <v>45065</v>
      </c>
      <c r="H1327" s="4">
        <f>IF(Claims_Cleaned[[#This Row],[processed_date]]="","",Claims_Cleaned[[#This Row],[processed_date]]-Claims_Cleaned[[#This Row],[submission_date]])</f>
        <v>23</v>
      </c>
      <c r="I1327" s="4" t="str">
        <f>TEXT(Claims_Cleaned[[#This Row],[claim_date]],"mmm-yyyy")</f>
        <v>Apr-2023</v>
      </c>
      <c r="J1327" t="s">
        <v>20</v>
      </c>
      <c r="K1327">
        <v>364.92</v>
      </c>
      <c r="L1327" t="s">
        <v>683</v>
      </c>
      <c r="M1327">
        <v>23</v>
      </c>
    </row>
    <row r="1328" spans="1:13" x14ac:dyDescent="0.35">
      <c r="A1328" t="s">
        <v>1662</v>
      </c>
      <c r="B1328" t="s">
        <v>401</v>
      </c>
      <c r="C1328" t="s">
        <v>591</v>
      </c>
      <c r="D1328" t="s">
        <v>656</v>
      </c>
      <c r="E1328" s="1">
        <v>45367</v>
      </c>
      <c r="F1328" s="1">
        <v>45372</v>
      </c>
      <c r="G1328" s="1">
        <v>45387</v>
      </c>
      <c r="H1328" s="4">
        <f>IF(Claims_Cleaned[[#This Row],[processed_date]]="","",Claims_Cleaned[[#This Row],[processed_date]]-Claims_Cleaned[[#This Row],[submission_date]])</f>
        <v>15</v>
      </c>
      <c r="I1328" s="4" t="str">
        <f>TEXT(Claims_Cleaned[[#This Row],[claim_date]],"mmm-yyyy")</f>
        <v>Mar-2024</v>
      </c>
      <c r="J1328" t="s">
        <v>8</v>
      </c>
      <c r="K1328">
        <v>363.39</v>
      </c>
      <c r="L1328" t="s">
        <v>683</v>
      </c>
      <c r="M1328">
        <v>15</v>
      </c>
    </row>
    <row r="1329" spans="1:13" x14ac:dyDescent="0.35">
      <c r="A1329" t="s">
        <v>2008</v>
      </c>
      <c r="B1329" t="s">
        <v>117</v>
      </c>
      <c r="C1329" t="s">
        <v>567</v>
      </c>
      <c r="D1329" t="s">
        <v>629</v>
      </c>
      <c r="E1329" s="1">
        <v>45555</v>
      </c>
      <c r="F1329" s="1">
        <v>45559</v>
      </c>
      <c r="G1329" s="1">
        <v>45589</v>
      </c>
      <c r="H1329" s="4">
        <f>IF(Claims_Cleaned[[#This Row],[processed_date]]="","",Claims_Cleaned[[#This Row],[processed_date]]-Claims_Cleaned[[#This Row],[submission_date]])</f>
        <v>30</v>
      </c>
      <c r="I1329" s="4" t="str">
        <f>TEXT(Claims_Cleaned[[#This Row],[claim_date]],"mmm-yyyy")</f>
        <v>Sep-2024</v>
      </c>
      <c r="J1329" t="s">
        <v>8</v>
      </c>
      <c r="K1329">
        <v>363.19</v>
      </c>
      <c r="L1329" t="s">
        <v>683</v>
      </c>
      <c r="M1329">
        <v>30</v>
      </c>
    </row>
    <row r="1330" spans="1:13" x14ac:dyDescent="0.35">
      <c r="A1330" t="s">
        <v>1228</v>
      </c>
      <c r="B1330" t="s">
        <v>361</v>
      </c>
      <c r="C1330" t="s">
        <v>589</v>
      </c>
      <c r="D1330" t="s">
        <v>629</v>
      </c>
      <c r="E1330" s="1">
        <v>45330</v>
      </c>
      <c r="F1330" s="1">
        <v>45334</v>
      </c>
      <c r="G1330" s="1">
        <v>45350</v>
      </c>
      <c r="H1330" s="4">
        <f>IF(Claims_Cleaned[[#This Row],[processed_date]]="","",Claims_Cleaned[[#This Row],[processed_date]]-Claims_Cleaned[[#This Row],[submission_date]])</f>
        <v>16</v>
      </c>
      <c r="I1330" s="4" t="str">
        <f>TEXT(Claims_Cleaned[[#This Row],[claim_date]],"mmm-yyyy")</f>
        <v>Feb-2024</v>
      </c>
      <c r="J1330" t="s">
        <v>20</v>
      </c>
      <c r="K1330">
        <v>362.58</v>
      </c>
      <c r="L1330" t="s">
        <v>687</v>
      </c>
      <c r="M1330">
        <v>16</v>
      </c>
    </row>
    <row r="1331" spans="1:13" x14ac:dyDescent="0.35">
      <c r="A1331" t="s">
        <v>1381</v>
      </c>
      <c r="B1331" t="s">
        <v>153</v>
      </c>
      <c r="C1331" t="s">
        <v>611</v>
      </c>
      <c r="D1331" t="s">
        <v>629</v>
      </c>
      <c r="E1331" s="1">
        <v>45554</v>
      </c>
      <c r="F1331" s="1">
        <v>45557</v>
      </c>
      <c r="G1331" s="1">
        <v>45568</v>
      </c>
      <c r="H1331" s="4">
        <f>IF(Claims_Cleaned[[#This Row],[processed_date]]="","",Claims_Cleaned[[#This Row],[processed_date]]-Claims_Cleaned[[#This Row],[submission_date]])</f>
        <v>11</v>
      </c>
      <c r="I1331" s="4" t="str">
        <f>TEXT(Claims_Cleaned[[#This Row],[claim_date]],"mmm-yyyy")</f>
        <v>Sep-2024</v>
      </c>
      <c r="J1331" t="s">
        <v>13</v>
      </c>
      <c r="K1331">
        <v>362.47</v>
      </c>
      <c r="L1331" t="s">
        <v>683</v>
      </c>
      <c r="M1331">
        <v>11</v>
      </c>
    </row>
    <row r="1332" spans="1:13" x14ac:dyDescent="0.35">
      <c r="A1332" t="s">
        <v>2662</v>
      </c>
      <c r="B1332" t="s">
        <v>442</v>
      </c>
      <c r="C1332" t="s">
        <v>555</v>
      </c>
      <c r="D1332" t="s">
        <v>671</v>
      </c>
      <c r="E1332" s="1">
        <v>45111</v>
      </c>
      <c r="F1332" s="1">
        <v>45116</v>
      </c>
      <c r="G1332" s="1">
        <v>45133</v>
      </c>
      <c r="H1332" s="4">
        <f>IF(Claims_Cleaned[[#This Row],[processed_date]]="","",Claims_Cleaned[[#This Row],[processed_date]]-Claims_Cleaned[[#This Row],[submission_date]])</f>
        <v>17</v>
      </c>
      <c r="I1332" s="4" t="str">
        <f>TEXT(Claims_Cleaned[[#This Row],[claim_date]],"mmm-yyyy")</f>
        <v>Jul-2023</v>
      </c>
      <c r="J1332" t="s">
        <v>11</v>
      </c>
      <c r="K1332">
        <v>362.19</v>
      </c>
      <c r="L1332" t="s">
        <v>683</v>
      </c>
      <c r="M1332">
        <v>17</v>
      </c>
    </row>
    <row r="1333" spans="1:13" x14ac:dyDescent="0.35">
      <c r="A1333" t="s">
        <v>2073</v>
      </c>
      <c r="B1333" t="s">
        <v>255</v>
      </c>
      <c r="C1333" t="s">
        <v>565</v>
      </c>
      <c r="D1333" t="s">
        <v>673</v>
      </c>
      <c r="E1333" s="1">
        <v>45347</v>
      </c>
      <c r="F1333" s="1">
        <v>45350</v>
      </c>
      <c r="G1333" s="1">
        <v>45377</v>
      </c>
      <c r="H1333" s="4">
        <f>IF(Claims_Cleaned[[#This Row],[processed_date]]="","",Claims_Cleaned[[#This Row],[processed_date]]-Claims_Cleaned[[#This Row],[submission_date]])</f>
        <v>27</v>
      </c>
      <c r="I1333" s="4" t="str">
        <f>TEXT(Claims_Cleaned[[#This Row],[claim_date]],"mmm-yyyy")</f>
        <v>Feb-2024</v>
      </c>
      <c r="J1333" t="s">
        <v>20</v>
      </c>
      <c r="K1333">
        <v>360.43</v>
      </c>
      <c r="L1333" t="s">
        <v>683</v>
      </c>
      <c r="M1333">
        <v>27</v>
      </c>
    </row>
    <row r="1334" spans="1:13" x14ac:dyDescent="0.35">
      <c r="A1334" t="s">
        <v>2527</v>
      </c>
      <c r="B1334" t="s">
        <v>369</v>
      </c>
      <c r="C1334" t="s">
        <v>577</v>
      </c>
      <c r="D1334" t="s">
        <v>629</v>
      </c>
      <c r="E1334" s="1">
        <v>45187</v>
      </c>
      <c r="F1334" s="1">
        <v>45190</v>
      </c>
      <c r="G1334" s="1">
        <v>45203</v>
      </c>
      <c r="H1334" s="4">
        <f>IF(Claims_Cleaned[[#This Row],[processed_date]]="","",Claims_Cleaned[[#This Row],[processed_date]]-Claims_Cleaned[[#This Row],[submission_date]])</f>
        <v>13</v>
      </c>
      <c r="I1334" s="4" t="str">
        <f>TEXT(Claims_Cleaned[[#This Row],[claim_date]],"mmm-yyyy")</f>
        <v>Sep-2023</v>
      </c>
      <c r="J1334" t="s">
        <v>11</v>
      </c>
      <c r="K1334">
        <v>360.21</v>
      </c>
      <c r="L1334" t="s">
        <v>683</v>
      </c>
      <c r="M1334">
        <v>13</v>
      </c>
    </row>
    <row r="1335" spans="1:13" x14ac:dyDescent="0.35">
      <c r="A1335" t="s">
        <v>896</v>
      </c>
      <c r="B1335" t="s">
        <v>182</v>
      </c>
      <c r="C1335" t="s">
        <v>597</v>
      </c>
      <c r="D1335" t="s">
        <v>656</v>
      </c>
      <c r="E1335" s="1">
        <v>45605</v>
      </c>
      <c r="F1335" s="1">
        <v>45606</v>
      </c>
      <c r="G1335" s="1">
        <v>45613</v>
      </c>
      <c r="H1335" s="4">
        <f>IF(Claims_Cleaned[[#This Row],[processed_date]]="","",Claims_Cleaned[[#This Row],[processed_date]]-Claims_Cleaned[[#This Row],[submission_date]])</f>
        <v>7</v>
      </c>
      <c r="I1335" s="4" t="str">
        <f>TEXT(Claims_Cleaned[[#This Row],[claim_date]],"mmm-yyyy")</f>
        <v>Nov-2024</v>
      </c>
      <c r="J1335" t="s">
        <v>11</v>
      </c>
      <c r="K1335">
        <v>360.04</v>
      </c>
      <c r="L1335" t="s">
        <v>683</v>
      </c>
      <c r="M1335">
        <v>7</v>
      </c>
    </row>
    <row r="1336" spans="1:13" x14ac:dyDescent="0.35">
      <c r="A1336" t="s">
        <v>2482</v>
      </c>
      <c r="B1336" t="s">
        <v>170</v>
      </c>
      <c r="C1336" t="s">
        <v>589</v>
      </c>
      <c r="D1336" t="s">
        <v>656</v>
      </c>
      <c r="E1336" s="1">
        <v>45540</v>
      </c>
      <c r="F1336" s="1">
        <v>45545</v>
      </c>
      <c r="G1336" s="1">
        <v>45566</v>
      </c>
      <c r="H1336" s="4">
        <f>IF(Claims_Cleaned[[#This Row],[processed_date]]="","",Claims_Cleaned[[#This Row],[processed_date]]-Claims_Cleaned[[#This Row],[submission_date]])</f>
        <v>21</v>
      </c>
      <c r="I1336" s="4" t="str">
        <f>TEXT(Claims_Cleaned[[#This Row],[claim_date]],"mmm-yyyy")</f>
        <v>Sep-2024</v>
      </c>
      <c r="J1336" t="s">
        <v>11</v>
      </c>
      <c r="K1336">
        <v>359.95</v>
      </c>
      <c r="L1336" t="s">
        <v>683</v>
      </c>
      <c r="M1336">
        <v>21</v>
      </c>
    </row>
    <row r="1337" spans="1:13" x14ac:dyDescent="0.35">
      <c r="A1337" t="s">
        <v>834</v>
      </c>
      <c r="B1337" t="s">
        <v>179</v>
      </c>
      <c r="C1337" t="s">
        <v>607</v>
      </c>
      <c r="D1337" t="s">
        <v>629</v>
      </c>
      <c r="E1337" s="1">
        <v>44996</v>
      </c>
      <c r="F1337" s="1">
        <v>44998</v>
      </c>
      <c r="G1337" s="1">
        <v>45009</v>
      </c>
      <c r="H1337" s="4">
        <f>IF(Claims_Cleaned[[#This Row],[processed_date]]="","",Claims_Cleaned[[#This Row],[processed_date]]-Claims_Cleaned[[#This Row],[submission_date]])</f>
        <v>11</v>
      </c>
      <c r="I1337" s="4" t="str">
        <f>TEXT(Claims_Cleaned[[#This Row],[claim_date]],"mmm-yyyy")</f>
        <v>Mar-2023</v>
      </c>
      <c r="J1337" t="s">
        <v>11</v>
      </c>
      <c r="K1337">
        <v>359.21</v>
      </c>
      <c r="L1337" t="s">
        <v>683</v>
      </c>
      <c r="M1337">
        <v>11</v>
      </c>
    </row>
    <row r="1338" spans="1:13" x14ac:dyDescent="0.35">
      <c r="A1338" t="s">
        <v>1366</v>
      </c>
      <c r="B1338" t="s">
        <v>132</v>
      </c>
      <c r="C1338" t="s">
        <v>607</v>
      </c>
      <c r="D1338" t="s">
        <v>629</v>
      </c>
      <c r="E1338" s="1">
        <v>45485</v>
      </c>
      <c r="F1338" s="1">
        <v>45486</v>
      </c>
      <c r="G1338" s="1">
        <v>45514</v>
      </c>
      <c r="H1338" s="4">
        <f>IF(Claims_Cleaned[[#This Row],[processed_date]]="","",Claims_Cleaned[[#This Row],[processed_date]]-Claims_Cleaned[[#This Row],[submission_date]])</f>
        <v>28</v>
      </c>
      <c r="I1338" s="4" t="str">
        <f>TEXT(Claims_Cleaned[[#This Row],[claim_date]],"mmm-yyyy")</f>
        <v>Jul-2024</v>
      </c>
      <c r="J1338" t="s">
        <v>8</v>
      </c>
      <c r="K1338">
        <v>359.12</v>
      </c>
      <c r="L1338" t="s">
        <v>683</v>
      </c>
      <c r="M1338">
        <v>28</v>
      </c>
    </row>
    <row r="1339" spans="1:13" x14ac:dyDescent="0.35">
      <c r="A1339" t="s">
        <v>1756</v>
      </c>
      <c r="B1339" t="s">
        <v>448</v>
      </c>
      <c r="C1339" t="s">
        <v>569</v>
      </c>
      <c r="D1339" t="s">
        <v>673</v>
      </c>
      <c r="E1339" s="1">
        <v>45153</v>
      </c>
      <c r="F1339" s="1">
        <v>45155</v>
      </c>
      <c r="G1339" s="1">
        <v>45163</v>
      </c>
      <c r="H1339" s="4">
        <f>IF(Claims_Cleaned[[#This Row],[processed_date]]="","",Claims_Cleaned[[#This Row],[processed_date]]-Claims_Cleaned[[#This Row],[submission_date]])</f>
        <v>8</v>
      </c>
      <c r="I1339" s="4" t="str">
        <f>TEXT(Claims_Cleaned[[#This Row],[claim_date]],"mmm-yyyy")</f>
        <v>Aug-2023</v>
      </c>
      <c r="J1339" t="s">
        <v>8</v>
      </c>
      <c r="K1339">
        <v>358.97</v>
      </c>
      <c r="L1339" t="s">
        <v>683</v>
      </c>
      <c r="M1339">
        <v>8</v>
      </c>
    </row>
    <row r="1340" spans="1:13" x14ac:dyDescent="0.35">
      <c r="A1340" t="s">
        <v>760</v>
      </c>
      <c r="B1340" t="s">
        <v>75</v>
      </c>
      <c r="C1340" t="s">
        <v>521</v>
      </c>
      <c r="D1340" t="s">
        <v>629</v>
      </c>
      <c r="E1340" s="1">
        <v>45325</v>
      </c>
      <c r="F1340" s="1">
        <v>45328</v>
      </c>
      <c r="G1340" s="1">
        <v>45344</v>
      </c>
      <c r="H1340" s="4">
        <f>IF(Claims_Cleaned[[#This Row],[processed_date]]="","",Claims_Cleaned[[#This Row],[processed_date]]-Claims_Cleaned[[#This Row],[submission_date]])</f>
        <v>16</v>
      </c>
      <c r="I1340" s="4" t="str">
        <f>TEXT(Claims_Cleaned[[#This Row],[claim_date]],"mmm-yyyy")</f>
        <v>Feb-2024</v>
      </c>
      <c r="J1340" t="s">
        <v>8</v>
      </c>
      <c r="K1340">
        <v>358.46</v>
      </c>
      <c r="L1340" t="s">
        <v>683</v>
      </c>
      <c r="M1340">
        <v>16</v>
      </c>
    </row>
    <row r="1341" spans="1:13" x14ac:dyDescent="0.35">
      <c r="A1341" t="s">
        <v>2501</v>
      </c>
      <c r="B1341" t="s">
        <v>132</v>
      </c>
      <c r="C1341" t="s">
        <v>587</v>
      </c>
      <c r="D1341" t="s">
        <v>656</v>
      </c>
      <c r="E1341" s="1">
        <v>45461</v>
      </c>
      <c r="F1341" s="1">
        <v>45464</v>
      </c>
      <c r="G1341" s="1">
        <v>45475</v>
      </c>
      <c r="H1341" s="4">
        <f>IF(Claims_Cleaned[[#This Row],[processed_date]]="","",Claims_Cleaned[[#This Row],[processed_date]]-Claims_Cleaned[[#This Row],[submission_date]])</f>
        <v>11</v>
      </c>
      <c r="I1341" s="4" t="str">
        <f>TEXT(Claims_Cleaned[[#This Row],[claim_date]],"mmm-yyyy")</f>
        <v>Jun-2024</v>
      </c>
      <c r="J1341" t="s">
        <v>8</v>
      </c>
      <c r="K1341">
        <v>357.66</v>
      </c>
      <c r="L1341" t="s">
        <v>683</v>
      </c>
      <c r="M1341">
        <v>11</v>
      </c>
    </row>
    <row r="1342" spans="1:13" x14ac:dyDescent="0.35">
      <c r="A1342" t="s">
        <v>2504</v>
      </c>
      <c r="B1342" t="s">
        <v>91</v>
      </c>
      <c r="C1342" t="s">
        <v>599</v>
      </c>
      <c r="D1342" t="s">
        <v>629</v>
      </c>
      <c r="E1342" s="1">
        <v>44987</v>
      </c>
      <c r="F1342" s="1">
        <v>44991</v>
      </c>
      <c r="G1342" s="1"/>
      <c r="H1342" s="4" t="str">
        <f>IF(Claims_Cleaned[[#This Row],[processed_date]]="","",Claims_Cleaned[[#This Row],[processed_date]]-Claims_Cleaned[[#This Row],[submission_date]])</f>
        <v/>
      </c>
      <c r="I1342" s="4" t="str">
        <f>TEXT(Claims_Cleaned[[#This Row],[claim_date]],"mmm-yyyy")</f>
        <v>Mar-2023</v>
      </c>
      <c r="J1342" t="s">
        <v>13</v>
      </c>
      <c r="K1342">
        <v>357.49</v>
      </c>
      <c r="L1342" t="s">
        <v>689</v>
      </c>
    </row>
    <row r="1343" spans="1:13" x14ac:dyDescent="0.35">
      <c r="A1343" t="s">
        <v>2362</v>
      </c>
      <c r="B1343" t="s">
        <v>112</v>
      </c>
      <c r="C1343" t="s">
        <v>575</v>
      </c>
      <c r="D1343" t="s">
        <v>629</v>
      </c>
      <c r="E1343" s="1">
        <v>45375</v>
      </c>
      <c r="F1343" s="1">
        <v>45380</v>
      </c>
      <c r="G1343" s="1">
        <v>45406</v>
      </c>
      <c r="H1343" s="4">
        <f>IF(Claims_Cleaned[[#This Row],[processed_date]]="","",Claims_Cleaned[[#This Row],[processed_date]]-Claims_Cleaned[[#This Row],[submission_date]])</f>
        <v>26</v>
      </c>
      <c r="I1343" s="4" t="str">
        <f>TEXT(Claims_Cleaned[[#This Row],[claim_date]],"mmm-yyyy")</f>
        <v>Mar-2024</v>
      </c>
      <c r="J1343" t="s">
        <v>13</v>
      </c>
      <c r="K1343">
        <v>357.34</v>
      </c>
      <c r="L1343" t="s">
        <v>683</v>
      </c>
      <c r="M1343">
        <v>26</v>
      </c>
    </row>
    <row r="1344" spans="1:13" x14ac:dyDescent="0.35">
      <c r="A1344" t="s">
        <v>1497</v>
      </c>
      <c r="B1344" t="s">
        <v>438</v>
      </c>
      <c r="C1344" t="s">
        <v>575</v>
      </c>
      <c r="D1344" t="s">
        <v>673</v>
      </c>
      <c r="E1344" s="1">
        <v>45343</v>
      </c>
      <c r="F1344" s="1">
        <v>45344</v>
      </c>
      <c r="G1344" s="1">
        <v>45354</v>
      </c>
      <c r="H1344" s="4">
        <f>IF(Claims_Cleaned[[#This Row],[processed_date]]="","",Claims_Cleaned[[#This Row],[processed_date]]-Claims_Cleaned[[#This Row],[submission_date]])</f>
        <v>10</v>
      </c>
      <c r="I1344" s="4" t="str">
        <f>TEXT(Claims_Cleaned[[#This Row],[claim_date]],"mmm-yyyy")</f>
        <v>Feb-2024</v>
      </c>
      <c r="J1344" t="s">
        <v>11</v>
      </c>
      <c r="K1344">
        <v>356.75</v>
      </c>
      <c r="L1344" t="s">
        <v>687</v>
      </c>
      <c r="M1344">
        <v>10</v>
      </c>
    </row>
    <row r="1345" spans="1:13" x14ac:dyDescent="0.35">
      <c r="A1345" t="s">
        <v>2422</v>
      </c>
      <c r="B1345" t="s">
        <v>358</v>
      </c>
      <c r="C1345" t="s">
        <v>579</v>
      </c>
      <c r="D1345" t="s">
        <v>673</v>
      </c>
      <c r="E1345" s="1">
        <v>45429</v>
      </c>
      <c r="F1345" s="1">
        <v>45433</v>
      </c>
      <c r="G1345" s="1">
        <v>45462</v>
      </c>
      <c r="H1345" s="4">
        <f>IF(Claims_Cleaned[[#This Row],[processed_date]]="","",Claims_Cleaned[[#This Row],[processed_date]]-Claims_Cleaned[[#This Row],[submission_date]])</f>
        <v>29</v>
      </c>
      <c r="I1345" s="4" t="str">
        <f>TEXT(Claims_Cleaned[[#This Row],[claim_date]],"mmm-yyyy")</f>
        <v>May-2024</v>
      </c>
      <c r="J1345" t="s">
        <v>11</v>
      </c>
      <c r="K1345">
        <v>356.53</v>
      </c>
      <c r="L1345" t="s">
        <v>683</v>
      </c>
      <c r="M1345">
        <v>29</v>
      </c>
    </row>
    <row r="1346" spans="1:13" x14ac:dyDescent="0.35">
      <c r="A1346" t="s">
        <v>2332</v>
      </c>
      <c r="B1346" t="s">
        <v>492</v>
      </c>
      <c r="C1346" t="s">
        <v>524</v>
      </c>
      <c r="D1346" t="s">
        <v>629</v>
      </c>
      <c r="E1346" s="1">
        <v>45340</v>
      </c>
      <c r="F1346" s="1">
        <v>45344</v>
      </c>
      <c r="G1346" s="1">
        <v>45349</v>
      </c>
      <c r="H1346" s="4">
        <f>IF(Claims_Cleaned[[#This Row],[processed_date]]="","",Claims_Cleaned[[#This Row],[processed_date]]-Claims_Cleaned[[#This Row],[submission_date]])</f>
        <v>5</v>
      </c>
      <c r="I1346" s="4" t="str">
        <f>TEXT(Claims_Cleaned[[#This Row],[claim_date]],"mmm-yyyy")</f>
        <v>Feb-2024</v>
      </c>
      <c r="J1346" t="s">
        <v>13</v>
      </c>
      <c r="K1346">
        <v>355.8</v>
      </c>
      <c r="L1346" t="s">
        <v>683</v>
      </c>
      <c r="M1346">
        <v>5</v>
      </c>
    </row>
    <row r="1347" spans="1:13" x14ac:dyDescent="0.35">
      <c r="A1347" t="s">
        <v>2553</v>
      </c>
      <c r="B1347" t="s">
        <v>438</v>
      </c>
      <c r="C1347" t="s">
        <v>609</v>
      </c>
      <c r="D1347" t="s">
        <v>656</v>
      </c>
      <c r="E1347" s="1">
        <v>45572</v>
      </c>
      <c r="F1347" s="1">
        <v>45577</v>
      </c>
      <c r="G1347" s="1">
        <v>45604</v>
      </c>
      <c r="H1347" s="4">
        <f>IF(Claims_Cleaned[[#This Row],[processed_date]]="","",Claims_Cleaned[[#This Row],[processed_date]]-Claims_Cleaned[[#This Row],[submission_date]])</f>
        <v>27</v>
      </c>
      <c r="I1347" s="4" t="str">
        <f>TEXT(Claims_Cleaned[[#This Row],[claim_date]],"mmm-yyyy")</f>
        <v>Oct-2024</v>
      </c>
      <c r="J1347" t="s">
        <v>11</v>
      </c>
      <c r="K1347">
        <v>355.52</v>
      </c>
      <c r="L1347" t="s">
        <v>683</v>
      </c>
      <c r="M1347">
        <v>27</v>
      </c>
    </row>
    <row r="1348" spans="1:13" x14ac:dyDescent="0.35">
      <c r="A1348" t="s">
        <v>1930</v>
      </c>
      <c r="B1348" t="s">
        <v>282</v>
      </c>
      <c r="C1348" t="s">
        <v>565</v>
      </c>
      <c r="D1348" t="s">
        <v>656</v>
      </c>
      <c r="E1348" s="1">
        <v>45198</v>
      </c>
      <c r="F1348" s="1">
        <v>45200</v>
      </c>
      <c r="G1348" s="1">
        <v>45226</v>
      </c>
      <c r="H1348" s="4">
        <f>IF(Claims_Cleaned[[#This Row],[processed_date]]="","",Claims_Cleaned[[#This Row],[processed_date]]-Claims_Cleaned[[#This Row],[submission_date]])</f>
        <v>26</v>
      </c>
      <c r="I1348" s="4" t="str">
        <f>TEXT(Claims_Cleaned[[#This Row],[claim_date]],"mmm-yyyy")</f>
        <v>Sep-2023</v>
      </c>
      <c r="J1348" t="s">
        <v>25</v>
      </c>
      <c r="K1348">
        <v>355.42</v>
      </c>
      <c r="L1348" t="s">
        <v>683</v>
      </c>
      <c r="M1348">
        <v>26</v>
      </c>
    </row>
    <row r="1349" spans="1:13" x14ac:dyDescent="0.35">
      <c r="A1349" t="s">
        <v>2152</v>
      </c>
      <c r="B1349" t="s">
        <v>197</v>
      </c>
      <c r="C1349" t="s">
        <v>565</v>
      </c>
      <c r="D1349" t="s">
        <v>673</v>
      </c>
      <c r="E1349" s="1">
        <v>45561</v>
      </c>
      <c r="F1349" s="1">
        <v>45563</v>
      </c>
      <c r="G1349" s="1">
        <v>45581</v>
      </c>
      <c r="H1349" s="4">
        <f>IF(Claims_Cleaned[[#This Row],[processed_date]]="","",Claims_Cleaned[[#This Row],[processed_date]]-Claims_Cleaned[[#This Row],[submission_date]])</f>
        <v>18</v>
      </c>
      <c r="I1349" s="4" t="str">
        <f>TEXT(Claims_Cleaned[[#This Row],[claim_date]],"mmm-yyyy")</f>
        <v>Sep-2024</v>
      </c>
      <c r="J1349" t="s">
        <v>13</v>
      </c>
      <c r="K1349">
        <v>354.86</v>
      </c>
      <c r="L1349" t="s">
        <v>687</v>
      </c>
      <c r="M1349">
        <v>18</v>
      </c>
    </row>
    <row r="1350" spans="1:13" x14ac:dyDescent="0.35">
      <c r="A1350" t="s">
        <v>725</v>
      </c>
      <c r="B1350" t="s">
        <v>60</v>
      </c>
      <c r="C1350" t="s">
        <v>569</v>
      </c>
      <c r="D1350" t="s">
        <v>656</v>
      </c>
      <c r="E1350" s="1">
        <v>45596</v>
      </c>
      <c r="F1350" s="1">
        <v>45601</v>
      </c>
      <c r="G1350" s="1">
        <v>45618</v>
      </c>
      <c r="H1350" s="4">
        <f>IF(Claims_Cleaned[[#This Row],[processed_date]]="","",Claims_Cleaned[[#This Row],[processed_date]]-Claims_Cleaned[[#This Row],[submission_date]])</f>
        <v>17</v>
      </c>
      <c r="I1350" s="4" t="str">
        <f>TEXT(Claims_Cleaned[[#This Row],[claim_date]],"mmm-yyyy")</f>
        <v>Oct-2024</v>
      </c>
      <c r="J1350" t="s">
        <v>11</v>
      </c>
      <c r="K1350">
        <v>354.28</v>
      </c>
      <c r="L1350" t="s">
        <v>683</v>
      </c>
      <c r="M1350">
        <v>17</v>
      </c>
    </row>
    <row r="1351" spans="1:13" x14ac:dyDescent="0.35">
      <c r="A1351" t="s">
        <v>2679</v>
      </c>
      <c r="B1351" t="s">
        <v>206</v>
      </c>
      <c r="C1351" t="s">
        <v>579</v>
      </c>
      <c r="D1351" t="s">
        <v>673</v>
      </c>
      <c r="E1351" s="1">
        <v>44966</v>
      </c>
      <c r="F1351" s="1">
        <v>44967</v>
      </c>
      <c r="G1351" s="1">
        <v>44976</v>
      </c>
      <c r="H1351" s="4">
        <f>IF(Claims_Cleaned[[#This Row],[processed_date]]="","",Claims_Cleaned[[#This Row],[processed_date]]-Claims_Cleaned[[#This Row],[submission_date]])</f>
        <v>9</v>
      </c>
      <c r="I1351" s="4" t="str">
        <f>TEXT(Claims_Cleaned[[#This Row],[claim_date]],"mmm-yyyy")</f>
        <v>Feb-2023</v>
      </c>
      <c r="J1351" t="s">
        <v>13</v>
      </c>
      <c r="K1351">
        <v>353.15</v>
      </c>
      <c r="L1351" t="s">
        <v>683</v>
      </c>
      <c r="M1351">
        <v>9</v>
      </c>
    </row>
    <row r="1352" spans="1:13" x14ac:dyDescent="0.35">
      <c r="A1352" t="s">
        <v>1896</v>
      </c>
      <c r="B1352" t="s">
        <v>295</v>
      </c>
      <c r="C1352" t="s">
        <v>571</v>
      </c>
      <c r="D1352" t="s">
        <v>656</v>
      </c>
      <c r="E1352" s="1">
        <v>44941</v>
      </c>
      <c r="F1352" s="1">
        <v>44946</v>
      </c>
      <c r="G1352" s="1"/>
      <c r="H1352" s="4" t="str">
        <f>IF(Claims_Cleaned[[#This Row],[processed_date]]="","",Claims_Cleaned[[#This Row],[processed_date]]-Claims_Cleaned[[#This Row],[submission_date]])</f>
        <v/>
      </c>
      <c r="I1352" s="4" t="str">
        <f>TEXT(Claims_Cleaned[[#This Row],[claim_date]],"mmm-yyyy")</f>
        <v>Jan-2023</v>
      </c>
      <c r="J1352" t="s">
        <v>8</v>
      </c>
      <c r="K1352">
        <v>352.89</v>
      </c>
      <c r="L1352" t="s">
        <v>689</v>
      </c>
    </row>
    <row r="1353" spans="1:13" x14ac:dyDescent="0.35">
      <c r="A1353" t="s">
        <v>694</v>
      </c>
      <c r="B1353" t="s">
        <v>402</v>
      </c>
      <c r="C1353" t="s">
        <v>531</v>
      </c>
      <c r="D1353" t="s">
        <v>656</v>
      </c>
      <c r="E1353" s="1">
        <v>45027</v>
      </c>
      <c r="F1353" s="1">
        <v>45029</v>
      </c>
      <c r="G1353" s="1">
        <v>45051</v>
      </c>
      <c r="H1353" s="4">
        <f>IF(Claims_Cleaned[[#This Row],[processed_date]]="","",Claims_Cleaned[[#This Row],[processed_date]]-Claims_Cleaned[[#This Row],[submission_date]])</f>
        <v>22</v>
      </c>
      <c r="I1353" s="4" t="str">
        <f>TEXT(Claims_Cleaned[[#This Row],[claim_date]],"mmm-yyyy")</f>
        <v>Apr-2023</v>
      </c>
      <c r="J1353" t="s">
        <v>11</v>
      </c>
      <c r="K1353">
        <v>352.03</v>
      </c>
      <c r="L1353" t="s">
        <v>683</v>
      </c>
      <c r="M1353">
        <v>22</v>
      </c>
    </row>
    <row r="1354" spans="1:13" x14ac:dyDescent="0.35">
      <c r="A1354" t="s">
        <v>1141</v>
      </c>
      <c r="B1354" t="s">
        <v>464</v>
      </c>
      <c r="C1354" t="s">
        <v>524</v>
      </c>
      <c r="D1354" t="s">
        <v>629</v>
      </c>
      <c r="E1354" s="1">
        <v>44942</v>
      </c>
      <c r="F1354" s="1">
        <v>44945</v>
      </c>
      <c r="G1354" s="1">
        <v>44953</v>
      </c>
      <c r="H1354" s="4">
        <f>IF(Claims_Cleaned[[#This Row],[processed_date]]="","",Claims_Cleaned[[#This Row],[processed_date]]-Claims_Cleaned[[#This Row],[submission_date]])</f>
        <v>8</v>
      </c>
      <c r="I1354" s="4" t="str">
        <f>TEXT(Claims_Cleaned[[#This Row],[claim_date]],"mmm-yyyy")</f>
        <v>Jan-2023</v>
      </c>
      <c r="J1354" t="s">
        <v>11</v>
      </c>
      <c r="K1354">
        <v>350.83</v>
      </c>
      <c r="L1354" t="s">
        <v>683</v>
      </c>
      <c r="M1354">
        <v>8</v>
      </c>
    </row>
    <row r="1355" spans="1:13" x14ac:dyDescent="0.35">
      <c r="A1355" t="s">
        <v>2481</v>
      </c>
      <c r="B1355" t="s">
        <v>412</v>
      </c>
      <c r="C1355" t="s">
        <v>537</v>
      </c>
      <c r="D1355" t="s">
        <v>656</v>
      </c>
      <c r="E1355" s="1">
        <v>45311</v>
      </c>
      <c r="F1355" s="1">
        <v>45312</v>
      </c>
      <c r="G1355" s="1">
        <v>45316</v>
      </c>
      <c r="H1355" s="4">
        <f>IF(Claims_Cleaned[[#This Row],[processed_date]]="","",Claims_Cleaned[[#This Row],[processed_date]]-Claims_Cleaned[[#This Row],[submission_date]])</f>
        <v>4</v>
      </c>
      <c r="I1355" s="4" t="str">
        <f>TEXT(Claims_Cleaned[[#This Row],[claim_date]],"mmm-yyyy")</f>
        <v>Jan-2024</v>
      </c>
      <c r="J1355" t="s">
        <v>8</v>
      </c>
      <c r="K1355">
        <v>350.12</v>
      </c>
      <c r="L1355" t="s">
        <v>683</v>
      </c>
      <c r="M1355">
        <v>4</v>
      </c>
    </row>
    <row r="1356" spans="1:13" x14ac:dyDescent="0.35">
      <c r="A1356" t="s">
        <v>749</v>
      </c>
      <c r="B1356" t="s">
        <v>78</v>
      </c>
      <c r="C1356" t="s">
        <v>546</v>
      </c>
      <c r="D1356" t="s">
        <v>629</v>
      </c>
      <c r="E1356" s="1">
        <v>45554</v>
      </c>
      <c r="F1356" s="1">
        <v>45559</v>
      </c>
      <c r="G1356" s="1">
        <v>45585</v>
      </c>
      <c r="H1356" s="4">
        <f>IF(Claims_Cleaned[[#This Row],[processed_date]]="","",Claims_Cleaned[[#This Row],[processed_date]]-Claims_Cleaned[[#This Row],[submission_date]])</f>
        <v>26</v>
      </c>
      <c r="I1356" s="4" t="str">
        <f>TEXT(Claims_Cleaned[[#This Row],[claim_date]],"mmm-yyyy")</f>
        <v>Sep-2024</v>
      </c>
      <c r="J1356" t="s">
        <v>11</v>
      </c>
      <c r="K1356">
        <v>349.63</v>
      </c>
      <c r="L1356" t="s">
        <v>683</v>
      </c>
      <c r="M1356">
        <v>26</v>
      </c>
    </row>
    <row r="1357" spans="1:13" x14ac:dyDescent="0.35">
      <c r="A1357" t="s">
        <v>1733</v>
      </c>
      <c r="B1357" t="s">
        <v>265</v>
      </c>
      <c r="C1357" t="s">
        <v>555</v>
      </c>
      <c r="D1357" t="s">
        <v>673</v>
      </c>
      <c r="E1357" s="1">
        <v>45575</v>
      </c>
      <c r="F1357" s="1">
        <v>45577</v>
      </c>
      <c r="G1357" s="1">
        <v>45605</v>
      </c>
      <c r="H1357" s="4">
        <f>IF(Claims_Cleaned[[#This Row],[processed_date]]="","",Claims_Cleaned[[#This Row],[processed_date]]-Claims_Cleaned[[#This Row],[submission_date]])</f>
        <v>28</v>
      </c>
      <c r="I1357" s="4" t="str">
        <f>TEXT(Claims_Cleaned[[#This Row],[claim_date]],"mmm-yyyy")</f>
        <v>Oct-2024</v>
      </c>
      <c r="J1357" t="s">
        <v>11</v>
      </c>
      <c r="K1357">
        <v>349.63</v>
      </c>
      <c r="L1357" t="s">
        <v>683</v>
      </c>
      <c r="M1357">
        <v>28</v>
      </c>
    </row>
    <row r="1358" spans="1:13" x14ac:dyDescent="0.35">
      <c r="A1358" t="s">
        <v>2374</v>
      </c>
      <c r="B1358" t="s">
        <v>36</v>
      </c>
      <c r="C1358" t="s">
        <v>563</v>
      </c>
      <c r="D1358" t="s">
        <v>629</v>
      </c>
      <c r="E1358" s="1">
        <v>45544</v>
      </c>
      <c r="F1358" s="1">
        <v>45548</v>
      </c>
      <c r="G1358" s="1">
        <v>45565</v>
      </c>
      <c r="H1358" s="4">
        <f>IF(Claims_Cleaned[[#This Row],[processed_date]]="","",Claims_Cleaned[[#This Row],[processed_date]]-Claims_Cleaned[[#This Row],[submission_date]])</f>
        <v>17</v>
      </c>
      <c r="I1358" s="4" t="str">
        <f>TEXT(Claims_Cleaned[[#This Row],[claim_date]],"mmm-yyyy")</f>
        <v>Sep-2024</v>
      </c>
      <c r="J1358" t="s">
        <v>11</v>
      </c>
      <c r="K1358">
        <v>349.32</v>
      </c>
      <c r="L1358" t="s">
        <v>683</v>
      </c>
      <c r="M1358">
        <v>17</v>
      </c>
    </row>
    <row r="1359" spans="1:13" x14ac:dyDescent="0.35">
      <c r="A1359" t="s">
        <v>2554</v>
      </c>
      <c r="B1359" t="s">
        <v>336</v>
      </c>
      <c r="C1359" t="s">
        <v>599</v>
      </c>
      <c r="D1359" t="s">
        <v>673</v>
      </c>
      <c r="E1359" s="1">
        <v>45546</v>
      </c>
      <c r="F1359" s="1">
        <v>45549</v>
      </c>
      <c r="G1359" s="1">
        <v>45556</v>
      </c>
      <c r="H1359" s="4">
        <f>IF(Claims_Cleaned[[#This Row],[processed_date]]="","",Claims_Cleaned[[#This Row],[processed_date]]-Claims_Cleaned[[#This Row],[submission_date]])</f>
        <v>7</v>
      </c>
      <c r="I1359" s="4" t="str">
        <f>TEXT(Claims_Cleaned[[#This Row],[claim_date]],"mmm-yyyy")</f>
        <v>Sep-2024</v>
      </c>
      <c r="J1359" t="s">
        <v>8</v>
      </c>
      <c r="K1359">
        <v>349.27</v>
      </c>
      <c r="L1359" t="s">
        <v>683</v>
      </c>
      <c r="M1359">
        <v>7</v>
      </c>
    </row>
    <row r="1360" spans="1:13" x14ac:dyDescent="0.35">
      <c r="A1360" t="s">
        <v>1172</v>
      </c>
      <c r="B1360" t="s">
        <v>81</v>
      </c>
      <c r="C1360" t="s">
        <v>597</v>
      </c>
      <c r="D1360" t="s">
        <v>673</v>
      </c>
      <c r="E1360" s="1">
        <v>45514</v>
      </c>
      <c r="F1360" s="1">
        <v>45517</v>
      </c>
      <c r="G1360" s="1">
        <v>45535</v>
      </c>
      <c r="H1360" s="4">
        <f>IF(Claims_Cleaned[[#This Row],[processed_date]]="","",Claims_Cleaned[[#This Row],[processed_date]]-Claims_Cleaned[[#This Row],[submission_date]])</f>
        <v>18</v>
      </c>
      <c r="I1360" s="4" t="str">
        <f>TEXT(Claims_Cleaned[[#This Row],[claim_date]],"mmm-yyyy")</f>
        <v>Aug-2024</v>
      </c>
      <c r="J1360" t="s">
        <v>20</v>
      </c>
      <c r="K1360">
        <v>348.83</v>
      </c>
      <c r="L1360" t="s">
        <v>683</v>
      </c>
      <c r="M1360">
        <v>18</v>
      </c>
    </row>
    <row r="1361" spans="1:13" x14ac:dyDescent="0.35">
      <c r="A1361" t="s">
        <v>2361</v>
      </c>
      <c r="B1361" t="s">
        <v>359</v>
      </c>
      <c r="C1361" t="s">
        <v>579</v>
      </c>
      <c r="D1361" t="s">
        <v>656</v>
      </c>
      <c r="E1361" s="1">
        <v>45210</v>
      </c>
      <c r="F1361" s="1">
        <v>45213</v>
      </c>
      <c r="G1361" s="1">
        <v>45241</v>
      </c>
      <c r="H1361" s="4">
        <f>IF(Claims_Cleaned[[#This Row],[processed_date]]="","",Claims_Cleaned[[#This Row],[processed_date]]-Claims_Cleaned[[#This Row],[submission_date]])</f>
        <v>28</v>
      </c>
      <c r="I1361" s="4" t="str">
        <f>TEXT(Claims_Cleaned[[#This Row],[claim_date]],"mmm-yyyy")</f>
        <v>Oct-2023</v>
      </c>
      <c r="J1361" t="s">
        <v>25</v>
      </c>
      <c r="K1361">
        <v>348.38</v>
      </c>
      <c r="L1361" t="s">
        <v>687</v>
      </c>
      <c r="M1361">
        <v>28</v>
      </c>
    </row>
    <row r="1362" spans="1:13" x14ac:dyDescent="0.35">
      <c r="A1362" t="s">
        <v>2641</v>
      </c>
      <c r="B1362" t="s">
        <v>273</v>
      </c>
      <c r="C1362" t="s">
        <v>611</v>
      </c>
      <c r="D1362" t="s">
        <v>656</v>
      </c>
      <c r="E1362" s="1">
        <v>45556</v>
      </c>
      <c r="F1362" s="1">
        <v>45561</v>
      </c>
      <c r="G1362" s="1"/>
      <c r="H1362" s="4" t="str">
        <f>IF(Claims_Cleaned[[#This Row],[processed_date]]="","",Claims_Cleaned[[#This Row],[processed_date]]-Claims_Cleaned[[#This Row],[submission_date]])</f>
        <v/>
      </c>
      <c r="I1362" s="4" t="str">
        <f>TEXT(Claims_Cleaned[[#This Row],[claim_date]],"mmm-yyyy")</f>
        <v>Sep-2024</v>
      </c>
      <c r="J1362" t="s">
        <v>8</v>
      </c>
      <c r="K1362">
        <v>348.19</v>
      </c>
      <c r="L1362" t="s">
        <v>689</v>
      </c>
    </row>
    <row r="1363" spans="1:13" x14ac:dyDescent="0.35">
      <c r="A1363" t="s">
        <v>1746</v>
      </c>
      <c r="B1363" t="s">
        <v>508</v>
      </c>
      <c r="C1363" t="s">
        <v>597</v>
      </c>
      <c r="D1363" t="s">
        <v>673</v>
      </c>
      <c r="E1363" s="1">
        <v>45252</v>
      </c>
      <c r="F1363" s="1">
        <v>45257</v>
      </c>
      <c r="G1363" s="1">
        <v>45265</v>
      </c>
      <c r="H1363" s="4">
        <f>IF(Claims_Cleaned[[#This Row],[processed_date]]="","",Claims_Cleaned[[#This Row],[processed_date]]-Claims_Cleaned[[#This Row],[submission_date]])</f>
        <v>8</v>
      </c>
      <c r="I1363" s="4" t="str">
        <f>TEXT(Claims_Cleaned[[#This Row],[claim_date]],"mmm-yyyy")</f>
        <v>Nov-2023</v>
      </c>
      <c r="J1363" t="s">
        <v>25</v>
      </c>
      <c r="K1363">
        <v>347.93</v>
      </c>
      <c r="L1363" t="s">
        <v>683</v>
      </c>
      <c r="M1363">
        <v>8</v>
      </c>
    </row>
    <row r="1364" spans="1:13" x14ac:dyDescent="0.35">
      <c r="A1364" t="s">
        <v>2044</v>
      </c>
      <c r="B1364" t="s">
        <v>240</v>
      </c>
      <c r="C1364" t="s">
        <v>531</v>
      </c>
      <c r="D1364" t="s">
        <v>656</v>
      </c>
      <c r="E1364" s="1">
        <v>45514</v>
      </c>
      <c r="F1364" s="1">
        <v>45517</v>
      </c>
      <c r="G1364" s="1">
        <v>45545</v>
      </c>
      <c r="H1364" s="4">
        <f>IF(Claims_Cleaned[[#This Row],[processed_date]]="","",Claims_Cleaned[[#This Row],[processed_date]]-Claims_Cleaned[[#This Row],[submission_date]])</f>
        <v>28</v>
      </c>
      <c r="I1364" s="4" t="str">
        <f>TEXT(Claims_Cleaned[[#This Row],[claim_date]],"mmm-yyyy")</f>
        <v>Aug-2024</v>
      </c>
      <c r="J1364" t="s">
        <v>11</v>
      </c>
      <c r="K1364">
        <v>347.9</v>
      </c>
      <c r="L1364" t="s">
        <v>683</v>
      </c>
      <c r="M1364">
        <v>28</v>
      </c>
    </row>
    <row r="1365" spans="1:13" x14ac:dyDescent="0.35">
      <c r="A1365" t="s">
        <v>1512</v>
      </c>
      <c r="B1365" t="s">
        <v>83</v>
      </c>
      <c r="C1365" t="s">
        <v>561</v>
      </c>
      <c r="D1365" t="s">
        <v>656</v>
      </c>
      <c r="E1365" s="1">
        <v>44974</v>
      </c>
      <c r="F1365" s="1">
        <v>44977</v>
      </c>
      <c r="G1365" s="1">
        <v>44997</v>
      </c>
      <c r="H1365" s="4">
        <f>IF(Claims_Cleaned[[#This Row],[processed_date]]="","",Claims_Cleaned[[#This Row],[processed_date]]-Claims_Cleaned[[#This Row],[submission_date]])</f>
        <v>20</v>
      </c>
      <c r="I1365" s="4" t="str">
        <f>TEXT(Claims_Cleaned[[#This Row],[claim_date]],"mmm-yyyy")</f>
        <v>Feb-2023</v>
      </c>
      <c r="J1365" t="s">
        <v>20</v>
      </c>
      <c r="K1365">
        <v>347.86</v>
      </c>
      <c r="L1365" t="s">
        <v>683</v>
      </c>
      <c r="M1365">
        <v>20</v>
      </c>
    </row>
    <row r="1366" spans="1:13" x14ac:dyDescent="0.35">
      <c r="A1366" t="s">
        <v>2438</v>
      </c>
      <c r="B1366" t="s">
        <v>36</v>
      </c>
      <c r="C1366" t="s">
        <v>583</v>
      </c>
      <c r="D1366" t="s">
        <v>629</v>
      </c>
      <c r="E1366" s="1">
        <v>45416</v>
      </c>
      <c r="F1366" s="1">
        <v>45419</v>
      </c>
      <c r="G1366" s="1">
        <v>45435</v>
      </c>
      <c r="H1366" s="4">
        <f>IF(Claims_Cleaned[[#This Row],[processed_date]]="","",Claims_Cleaned[[#This Row],[processed_date]]-Claims_Cleaned[[#This Row],[submission_date]])</f>
        <v>16</v>
      </c>
      <c r="I1366" s="4" t="str">
        <f>TEXT(Claims_Cleaned[[#This Row],[claim_date]],"mmm-yyyy")</f>
        <v>May-2024</v>
      </c>
      <c r="J1366" t="s">
        <v>11</v>
      </c>
      <c r="K1366">
        <v>347.31</v>
      </c>
      <c r="L1366" t="s">
        <v>683</v>
      </c>
      <c r="M1366">
        <v>16</v>
      </c>
    </row>
    <row r="1367" spans="1:13" x14ac:dyDescent="0.35">
      <c r="A1367" t="s">
        <v>1648</v>
      </c>
      <c r="B1367" t="s">
        <v>110</v>
      </c>
      <c r="C1367" t="s">
        <v>567</v>
      </c>
      <c r="D1367" t="s">
        <v>629</v>
      </c>
      <c r="E1367" s="1">
        <v>45186</v>
      </c>
      <c r="F1367" s="1">
        <v>45191</v>
      </c>
      <c r="G1367" s="1">
        <v>45196</v>
      </c>
      <c r="H1367" s="4">
        <f>IF(Claims_Cleaned[[#This Row],[processed_date]]="","",Claims_Cleaned[[#This Row],[processed_date]]-Claims_Cleaned[[#This Row],[submission_date]])</f>
        <v>5</v>
      </c>
      <c r="I1367" s="4" t="str">
        <f>TEXT(Claims_Cleaned[[#This Row],[claim_date]],"mmm-yyyy")</f>
        <v>Sep-2023</v>
      </c>
      <c r="J1367" t="s">
        <v>25</v>
      </c>
      <c r="K1367">
        <v>346.7</v>
      </c>
      <c r="L1367" t="s">
        <v>683</v>
      </c>
      <c r="M1367">
        <v>5</v>
      </c>
    </row>
    <row r="1368" spans="1:13" x14ac:dyDescent="0.35">
      <c r="A1368" t="s">
        <v>1727</v>
      </c>
      <c r="B1368" t="s">
        <v>75</v>
      </c>
      <c r="C1368" t="s">
        <v>555</v>
      </c>
      <c r="D1368" t="s">
        <v>656</v>
      </c>
      <c r="E1368" s="1">
        <v>44939</v>
      </c>
      <c r="F1368" s="1">
        <v>44943</v>
      </c>
      <c r="G1368" s="1">
        <v>44953</v>
      </c>
      <c r="H1368" s="4">
        <f>IF(Claims_Cleaned[[#This Row],[processed_date]]="","",Claims_Cleaned[[#This Row],[processed_date]]-Claims_Cleaned[[#This Row],[submission_date]])</f>
        <v>10</v>
      </c>
      <c r="I1368" s="4" t="str">
        <f>TEXT(Claims_Cleaned[[#This Row],[claim_date]],"mmm-yyyy")</f>
        <v>Jan-2023</v>
      </c>
      <c r="J1368" t="s">
        <v>8</v>
      </c>
      <c r="K1368">
        <v>345.85</v>
      </c>
      <c r="L1368" t="s">
        <v>683</v>
      </c>
      <c r="M1368">
        <v>10</v>
      </c>
    </row>
    <row r="1369" spans="1:13" x14ac:dyDescent="0.35">
      <c r="A1369" t="s">
        <v>1450</v>
      </c>
      <c r="B1369" t="s">
        <v>200</v>
      </c>
      <c r="C1369" t="s">
        <v>583</v>
      </c>
      <c r="D1369" t="s">
        <v>673</v>
      </c>
      <c r="E1369" s="1">
        <v>45563</v>
      </c>
      <c r="F1369" s="1">
        <v>45568</v>
      </c>
      <c r="G1369" s="1">
        <v>45594</v>
      </c>
      <c r="H1369" s="4">
        <f>IF(Claims_Cleaned[[#This Row],[processed_date]]="","",Claims_Cleaned[[#This Row],[processed_date]]-Claims_Cleaned[[#This Row],[submission_date]])</f>
        <v>26</v>
      </c>
      <c r="I1369" s="4" t="str">
        <f>TEXT(Claims_Cleaned[[#This Row],[claim_date]],"mmm-yyyy")</f>
        <v>Sep-2024</v>
      </c>
      <c r="J1369" t="s">
        <v>20</v>
      </c>
      <c r="K1369">
        <v>344.46</v>
      </c>
      <c r="L1369" t="s">
        <v>683</v>
      </c>
      <c r="M1369">
        <v>26</v>
      </c>
    </row>
    <row r="1370" spans="1:13" x14ac:dyDescent="0.35">
      <c r="A1370" t="s">
        <v>916</v>
      </c>
      <c r="B1370" t="s">
        <v>154</v>
      </c>
      <c r="C1370" t="s">
        <v>521</v>
      </c>
      <c r="D1370" t="s">
        <v>673</v>
      </c>
      <c r="E1370" s="1">
        <v>45302</v>
      </c>
      <c r="F1370" s="1">
        <v>45307</v>
      </c>
      <c r="G1370" s="1">
        <v>45328</v>
      </c>
      <c r="H1370" s="4">
        <f>IF(Claims_Cleaned[[#This Row],[processed_date]]="","",Claims_Cleaned[[#This Row],[processed_date]]-Claims_Cleaned[[#This Row],[submission_date]])</f>
        <v>21</v>
      </c>
      <c r="I1370" s="4" t="str">
        <f>TEXT(Claims_Cleaned[[#This Row],[claim_date]],"mmm-yyyy")</f>
        <v>Jan-2024</v>
      </c>
      <c r="J1370" t="s">
        <v>13</v>
      </c>
      <c r="K1370">
        <v>344.33</v>
      </c>
      <c r="L1370" t="s">
        <v>683</v>
      </c>
      <c r="M1370">
        <v>21</v>
      </c>
    </row>
    <row r="1371" spans="1:13" x14ac:dyDescent="0.35">
      <c r="A1371" t="s">
        <v>2655</v>
      </c>
      <c r="B1371" t="s">
        <v>117</v>
      </c>
      <c r="C1371" t="s">
        <v>527</v>
      </c>
      <c r="D1371" t="s">
        <v>629</v>
      </c>
      <c r="E1371" s="1">
        <v>45310</v>
      </c>
      <c r="F1371" s="1">
        <v>45315</v>
      </c>
      <c r="G1371" s="1">
        <v>45336</v>
      </c>
      <c r="H1371" s="4">
        <f>IF(Claims_Cleaned[[#This Row],[processed_date]]="","",Claims_Cleaned[[#This Row],[processed_date]]-Claims_Cleaned[[#This Row],[submission_date]])</f>
        <v>21</v>
      </c>
      <c r="I1371" s="4" t="str">
        <f>TEXT(Claims_Cleaned[[#This Row],[claim_date]],"mmm-yyyy")</f>
        <v>Jan-2024</v>
      </c>
      <c r="J1371" t="s">
        <v>8</v>
      </c>
      <c r="K1371">
        <v>343.72</v>
      </c>
      <c r="L1371" t="s">
        <v>683</v>
      </c>
      <c r="M1371">
        <v>21</v>
      </c>
    </row>
    <row r="1372" spans="1:13" x14ac:dyDescent="0.35">
      <c r="A1372" t="s">
        <v>1269</v>
      </c>
      <c r="B1372" t="s">
        <v>216</v>
      </c>
      <c r="C1372" t="s">
        <v>540</v>
      </c>
      <c r="D1372" t="s">
        <v>656</v>
      </c>
      <c r="E1372" s="1">
        <v>45446</v>
      </c>
      <c r="F1372" s="1">
        <v>45447</v>
      </c>
      <c r="G1372" s="1">
        <v>45454</v>
      </c>
      <c r="H1372" s="4">
        <f>IF(Claims_Cleaned[[#This Row],[processed_date]]="","",Claims_Cleaned[[#This Row],[processed_date]]-Claims_Cleaned[[#This Row],[submission_date]])</f>
        <v>7</v>
      </c>
      <c r="I1372" s="4" t="str">
        <f>TEXT(Claims_Cleaned[[#This Row],[claim_date]],"mmm-yyyy")</f>
        <v>Jun-2024</v>
      </c>
      <c r="J1372" t="s">
        <v>20</v>
      </c>
      <c r="K1372">
        <v>343.61</v>
      </c>
      <c r="L1372" t="s">
        <v>683</v>
      </c>
      <c r="M1372">
        <v>7</v>
      </c>
    </row>
    <row r="1373" spans="1:13" x14ac:dyDescent="0.35">
      <c r="A1373" t="s">
        <v>1138</v>
      </c>
      <c r="B1373" t="s">
        <v>14</v>
      </c>
      <c r="C1373" t="s">
        <v>563</v>
      </c>
      <c r="D1373" t="s">
        <v>673</v>
      </c>
      <c r="E1373" s="1">
        <v>45053</v>
      </c>
      <c r="F1373" s="1">
        <v>45055</v>
      </c>
      <c r="G1373" s="1">
        <v>45075</v>
      </c>
      <c r="H1373" s="4">
        <f>IF(Claims_Cleaned[[#This Row],[processed_date]]="","",Claims_Cleaned[[#This Row],[processed_date]]-Claims_Cleaned[[#This Row],[submission_date]])</f>
        <v>20</v>
      </c>
      <c r="I1373" s="4" t="str">
        <f>TEXT(Claims_Cleaned[[#This Row],[claim_date]],"mmm-yyyy")</f>
        <v>May-2023</v>
      </c>
      <c r="J1373" t="s">
        <v>8</v>
      </c>
      <c r="K1373">
        <v>342.74</v>
      </c>
      <c r="L1373" t="s">
        <v>683</v>
      </c>
      <c r="M1373">
        <v>20</v>
      </c>
    </row>
    <row r="1374" spans="1:13" x14ac:dyDescent="0.35">
      <c r="A1374" t="s">
        <v>1168</v>
      </c>
      <c r="B1374" t="s">
        <v>332</v>
      </c>
      <c r="C1374" t="s">
        <v>597</v>
      </c>
      <c r="D1374" t="s">
        <v>673</v>
      </c>
      <c r="E1374" s="1">
        <v>45357</v>
      </c>
      <c r="F1374" s="1">
        <v>45362</v>
      </c>
      <c r="G1374" s="1"/>
      <c r="H1374" s="4" t="str">
        <f>IF(Claims_Cleaned[[#This Row],[processed_date]]="","",Claims_Cleaned[[#This Row],[processed_date]]-Claims_Cleaned[[#This Row],[submission_date]])</f>
        <v/>
      </c>
      <c r="I1374" s="4" t="str">
        <f>TEXT(Claims_Cleaned[[#This Row],[claim_date]],"mmm-yyyy")</f>
        <v>Mar-2024</v>
      </c>
      <c r="J1374" t="s">
        <v>20</v>
      </c>
      <c r="K1374">
        <v>342.4</v>
      </c>
      <c r="L1374" t="s">
        <v>689</v>
      </c>
    </row>
    <row r="1375" spans="1:13" x14ac:dyDescent="0.35">
      <c r="A1375" t="s">
        <v>1605</v>
      </c>
      <c r="B1375" t="s">
        <v>196</v>
      </c>
      <c r="C1375" t="s">
        <v>567</v>
      </c>
      <c r="D1375" t="s">
        <v>629</v>
      </c>
      <c r="E1375" s="1">
        <v>45434</v>
      </c>
      <c r="F1375" s="1">
        <v>45436</v>
      </c>
      <c r="G1375" s="1">
        <v>45442</v>
      </c>
      <c r="H1375" s="4">
        <f>IF(Claims_Cleaned[[#This Row],[processed_date]]="","",Claims_Cleaned[[#This Row],[processed_date]]-Claims_Cleaned[[#This Row],[submission_date]])</f>
        <v>6</v>
      </c>
      <c r="I1375" s="4" t="str">
        <f>TEXT(Claims_Cleaned[[#This Row],[claim_date]],"mmm-yyyy")</f>
        <v>May-2024</v>
      </c>
      <c r="J1375" t="s">
        <v>13</v>
      </c>
      <c r="K1375">
        <v>341.55</v>
      </c>
      <c r="L1375" t="s">
        <v>683</v>
      </c>
      <c r="M1375">
        <v>6</v>
      </c>
    </row>
    <row r="1376" spans="1:13" x14ac:dyDescent="0.35">
      <c r="A1376" t="s">
        <v>2198</v>
      </c>
      <c r="B1376" t="s">
        <v>437</v>
      </c>
      <c r="C1376" t="s">
        <v>583</v>
      </c>
      <c r="D1376" t="s">
        <v>656</v>
      </c>
      <c r="E1376" s="1">
        <v>45295</v>
      </c>
      <c r="F1376" s="1">
        <v>45296</v>
      </c>
      <c r="G1376" s="1">
        <v>45317</v>
      </c>
      <c r="H1376" s="4">
        <f>IF(Claims_Cleaned[[#This Row],[processed_date]]="","",Claims_Cleaned[[#This Row],[processed_date]]-Claims_Cleaned[[#This Row],[submission_date]])</f>
        <v>21</v>
      </c>
      <c r="I1376" s="4" t="str">
        <f>TEXT(Claims_Cleaned[[#This Row],[claim_date]],"mmm-yyyy")</f>
        <v>Jan-2024</v>
      </c>
      <c r="J1376" t="s">
        <v>20</v>
      </c>
      <c r="K1376">
        <v>341.31</v>
      </c>
      <c r="L1376" t="s">
        <v>683</v>
      </c>
      <c r="M1376">
        <v>21</v>
      </c>
    </row>
    <row r="1377" spans="1:13" x14ac:dyDescent="0.35">
      <c r="A1377" t="s">
        <v>1712</v>
      </c>
      <c r="B1377" t="s">
        <v>18</v>
      </c>
      <c r="C1377" t="s">
        <v>577</v>
      </c>
      <c r="D1377" t="s">
        <v>673</v>
      </c>
      <c r="E1377" s="1">
        <v>45649</v>
      </c>
      <c r="F1377" s="1">
        <v>45652</v>
      </c>
      <c r="G1377" s="1">
        <v>45681</v>
      </c>
      <c r="H1377" s="4">
        <f>IF(Claims_Cleaned[[#This Row],[processed_date]]="","",Claims_Cleaned[[#This Row],[processed_date]]-Claims_Cleaned[[#This Row],[submission_date]])</f>
        <v>29</v>
      </c>
      <c r="I1377" s="4" t="str">
        <f>TEXT(Claims_Cleaned[[#This Row],[claim_date]],"mmm-yyyy")</f>
        <v>Dec-2024</v>
      </c>
      <c r="J1377" t="s">
        <v>8</v>
      </c>
      <c r="K1377">
        <v>341.12</v>
      </c>
      <c r="L1377" t="s">
        <v>683</v>
      </c>
      <c r="M1377">
        <v>29</v>
      </c>
    </row>
    <row r="1378" spans="1:13" x14ac:dyDescent="0.35">
      <c r="A1378" t="s">
        <v>1921</v>
      </c>
      <c r="B1378" t="s">
        <v>391</v>
      </c>
      <c r="C1378" t="s">
        <v>577</v>
      </c>
      <c r="D1378" t="s">
        <v>629</v>
      </c>
      <c r="E1378" s="1">
        <v>45647</v>
      </c>
      <c r="F1378" s="1">
        <v>45648</v>
      </c>
      <c r="G1378" s="1">
        <v>45653</v>
      </c>
      <c r="H1378" s="4">
        <f>IF(Claims_Cleaned[[#This Row],[processed_date]]="","",Claims_Cleaned[[#This Row],[processed_date]]-Claims_Cleaned[[#This Row],[submission_date]])</f>
        <v>5</v>
      </c>
      <c r="I1378" s="4" t="str">
        <f>TEXT(Claims_Cleaned[[#This Row],[claim_date]],"mmm-yyyy")</f>
        <v>Dec-2024</v>
      </c>
      <c r="J1378" t="s">
        <v>11</v>
      </c>
      <c r="K1378">
        <v>340.72</v>
      </c>
      <c r="L1378" t="s">
        <v>683</v>
      </c>
      <c r="M1378">
        <v>5</v>
      </c>
    </row>
    <row r="1379" spans="1:13" x14ac:dyDescent="0.35">
      <c r="A1379" t="s">
        <v>2060</v>
      </c>
      <c r="B1379" t="s">
        <v>372</v>
      </c>
      <c r="C1379" t="s">
        <v>575</v>
      </c>
      <c r="D1379" t="s">
        <v>629</v>
      </c>
      <c r="E1379" s="1">
        <v>45554</v>
      </c>
      <c r="F1379" s="1">
        <v>45558</v>
      </c>
      <c r="G1379" s="1">
        <v>45567</v>
      </c>
      <c r="H1379" s="4">
        <f>IF(Claims_Cleaned[[#This Row],[processed_date]]="","",Claims_Cleaned[[#This Row],[processed_date]]-Claims_Cleaned[[#This Row],[submission_date]])</f>
        <v>9</v>
      </c>
      <c r="I1379" s="4" t="str">
        <f>TEXT(Claims_Cleaned[[#This Row],[claim_date]],"mmm-yyyy")</f>
        <v>Sep-2024</v>
      </c>
      <c r="J1379" t="s">
        <v>13</v>
      </c>
      <c r="K1379">
        <v>340.43</v>
      </c>
      <c r="L1379" t="s">
        <v>683</v>
      </c>
      <c r="M1379">
        <v>9</v>
      </c>
    </row>
    <row r="1380" spans="1:13" x14ac:dyDescent="0.35">
      <c r="A1380" t="s">
        <v>1032</v>
      </c>
      <c r="B1380" t="s">
        <v>164</v>
      </c>
      <c r="C1380" t="s">
        <v>603</v>
      </c>
      <c r="D1380" t="s">
        <v>629</v>
      </c>
      <c r="E1380" s="1">
        <v>45233</v>
      </c>
      <c r="F1380" s="1">
        <v>45238</v>
      </c>
      <c r="G1380" s="1">
        <v>45265</v>
      </c>
      <c r="H1380" s="4">
        <f>IF(Claims_Cleaned[[#This Row],[processed_date]]="","",Claims_Cleaned[[#This Row],[processed_date]]-Claims_Cleaned[[#This Row],[submission_date]])</f>
        <v>27</v>
      </c>
      <c r="I1380" s="4" t="str">
        <f>TEXT(Claims_Cleaned[[#This Row],[claim_date]],"mmm-yyyy")</f>
        <v>Nov-2023</v>
      </c>
      <c r="J1380" t="s">
        <v>11</v>
      </c>
      <c r="K1380">
        <v>339.7</v>
      </c>
      <c r="L1380" t="s">
        <v>683</v>
      </c>
      <c r="M1380">
        <v>27</v>
      </c>
    </row>
    <row r="1381" spans="1:13" x14ac:dyDescent="0.35">
      <c r="A1381" t="s">
        <v>2436</v>
      </c>
      <c r="B1381" t="s">
        <v>428</v>
      </c>
      <c r="C1381" t="s">
        <v>609</v>
      </c>
      <c r="D1381" t="s">
        <v>673</v>
      </c>
      <c r="E1381" s="1">
        <v>45617</v>
      </c>
      <c r="F1381" s="1">
        <v>45621</v>
      </c>
      <c r="G1381" s="1">
        <v>45628</v>
      </c>
      <c r="H1381" s="4">
        <f>IF(Claims_Cleaned[[#This Row],[processed_date]]="","",Claims_Cleaned[[#This Row],[processed_date]]-Claims_Cleaned[[#This Row],[submission_date]])</f>
        <v>7</v>
      </c>
      <c r="I1381" s="4" t="str">
        <f>TEXT(Claims_Cleaned[[#This Row],[claim_date]],"mmm-yyyy")</f>
        <v>Nov-2024</v>
      </c>
      <c r="J1381" t="s">
        <v>20</v>
      </c>
      <c r="K1381">
        <v>339.46</v>
      </c>
      <c r="L1381" t="s">
        <v>683</v>
      </c>
      <c r="M1381">
        <v>7</v>
      </c>
    </row>
    <row r="1382" spans="1:13" x14ac:dyDescent="0.35">
      <c r="A1382" t="s">
        <v>1461</v>
      </c>
      <c r="B1382" t="s">
        <v>234</v>
      </c>
      <c r="C1382" t="s">
        <v>559</v>
      </c>
      <c r="D1382" t="s">
        <v>673</v>
      </c>
      <c r="E1382" s="1">
        <v>45091</v>
      </c>
      <c r="F1382" s="1">
        <v>45093</v>
      </c>
      <c r="G1382" s="1">
        <v>45097</v>
      </c>
      <c r="H1382" s="4">
        <f>IF(Claims_Cleaned[[#This Row],[processed_date]]="","",Claims_Cleaned[[#This Row],[processed_date]]-Claims_Cleaned[[#This Row],[submission_date]])</f>
        <v>4</v>
      </c>
      <c r="I1382" s="4" t="str">
        <f>TEXT(Claims_Cleaned[[#This Row],[claim_date]],"mmm-yyyy")</f>
        <v>Jun-2023</v>
      </c>
      <c r="J1382" t="s">
        <v>20</v>
      </c>
      <c r="K1382">
        <v>338.75</v>
      </c>
      <c r="L1382" t="s">
        <v>683</v>
      </c>
      <c r="M1382">
        <v>4</v>
      </c>
    </row>
    <row r="1383" spans="1:13" x14ac:dyDescent="0.35">
      <c r="A1383" t="s">
        <v>1264</v>
      </c>
      <c r="B1383" t="s">
        <v>242</v>
      </c>
      <c r="C1383" t="s">
        <v>603</v>
      </c>
      <c r="D1383" t="s">
        <v>629</v>
      </c>
      <c r="E1383" s="1">
        <v>45227</v>
      </c>
      <c r="F1383" s="1">
        <v>45230</v>
      </c>
      <c r="G1383" s="1">
        <v>45253</v>
      </c>
      <c r="H1383" s="4">
        <f>IF(Claims_Cleaned[[#This Row],[processed_date]]="","",Claims_Cleaned[[#This Row],[processed_date]]-Claims_Cleaned[[#This Row],[submission_date]])</f>
        <v>23</v>
      </c>
      <c r="I1383" s="4" t="str">
        <f>TEXT(Claims_Cleaned[[#This Row],[claim_date]],"mmm-yyyy")</f>
        <v>Oct-2023</v>
      </c>
      <c r="J1383" t="s">
        <v>11</v>
      </c>
      <c r="K1383">
        <v>338.49</v>
      </c>
      <c r="L1383" t="s">
        <v>683</v>
      </c>
      <c r="M1383">
        <v>23</v>
      </c>
    </row>
    <row r="1384" spans="1:13" x14ac:dyDescent="0.35">
      <c r="A1384" t="s">
        <v>770</v>
      </c>
      <c r="B1384" t="s">
        <v>316</v>
      </c>
      <c r="C1384" t="s">
        <v>603</v>
      </c>
      <c r="D1384" t="s">
        <v>673</v>
      </c>
      <c r="E1384" s="1">
        <v>45426</v>
      </c>
      <c r="F1384" s="1">
        <v>45431</v>
      </c>
      <c r="G1384" s="1">
        <v>45444</v>
      </c>
      <c r="H1384" s="4">
        <f>IF(Claims_Cleaned[[#This Row],[processed_date]]="","",Claims_Cleaned[[#This Row],[processed_date]]-Claims_Cleaned[[#This Row],[submission_date]])</f>
        <v>13</v>
      </c>
      <c r="I1384" s="4" t="str">
        <f>TEXT(Claims_Cleaned[[#This Row],[claim_date]],"mmm-yyyy")</f>
        <v>May-2024</v>
      </c>
      <c r="J1384" t="s">
        <v>13</v>
      </c>
      <c r="K1384">
        <v>337.14</v>
      </c>
      <c r="L1384" t="s">
        <v>683</v>
      </c>
      <c r="M1384">
        <v>13</v>
      </c>
    </row>
    <row r="1385" spans="1:13" x14ac:dyDescent="0.35">
      <c r="A1385" t="s">
        <v>2453</v>
      </c>
      <c r="B1385" t="s">
        <v>26</v>
      </c>
      <c r="C1385" t="s">
        <v>524</v>
      </c>
      <c r="D1385" t="s">
        <v>673</v>
      </c>
      <c r="E1385" s="1">
        <v>45289</v>
      </c>
      <c r="F1385" s="1">
        <v>45294</v>
      </c>
      <c r="G1385" s="1"/>
      <c r="H1385" s="4" t="str">
        <f>IF(Claims_Cleaned[[#This Row],[processed_date]]="","",Claims_Cleaned[[#This Row],[processed_date]]-Claims_Cleaned[[#This Row],[submission_date]])</f>
        <v/>
      </c>
      <c r="I1385" s="4" t="str">
        <f>TEXT(Claims_Cleaned[[#This Row],[claim_date]],"mmm-yyyy")</f>
        <v>Dec-2023</v>
      </c>
      <c r="J1385" t="s">
        <v>11</v>
      </c>
      <c r="K1385">
        <v>336.93</v>
      </c>
      <c r="L1385" t="s">
        <v>689</v>
      </c>
    </row>
    <row r="1386" spans="1:13" x14ac:dyDescent="0.35">
      <c r="A1386" t="s">
        <v>1046</v>
      </c>
      <c r="B1386" t="s">
        <v>251</v>
      </c>
      <c r="C1386" t="s">
        <v>587</v>
      </c>
      <c r="D1386" t="s">
        <v>656</v>
      </c>
      <c r="E1386" s="1">
        <v>45409</v>
      </c>
      <c r="F1386" s="1">
        <v>45413</v>
      </c>
      <c r="G1386" s="1">
        <v>45429</v>
      </c>
      <c r="H1386" s="4">
        <f>IF(Claims_Cleaned[[#This Row],[processed_date]]="","",Claims_Cleaned[[#This Row],[processed_date]]-Claims_Cleaned[[#This Row],[submission_date]])</f>
        <v>16</v>
      </c>
      <c r="I1386" s="4" t="str">
        <f>TEXT(Claims_Cleaned[[#This Row],[claim_date]],"mmm-yyyy")</f>
        <v>Apr-2024</v>
      </c>
      <c r="J1386" t="s">
        <v>13</v>
      </c>
      <c r="K1386">
        <v>335.65</v>
      </c>
      <c r="L1386" t="s">
        <v>683</v>
      </c>
      <c r="M1386">
        <v>16</v>
      </c>
    </row>
    <row r="1387" spans="1:13" x14ac:dyDescent="0.35">
      <c r="A1387" t="s">
        <v>2330</v>
      </c>
      <c r="B1387" t="s">
        <v>371</v>
      </c>
      <c r="C1387" t="s">
        <v>603</v>
      </c>
      <c r="D1387" t="s">
        <v>673</v>
      </c>
      <c r="E1387" s="1">
        <v>45409</v>
      </c>
      <c r="F1387" s="1">
        <v>45414</v>
      </c>
      <c r="G1387" s="1">
        <v>45423</v>
      </c>
      <c r="H1387" s="4">
        <f>IF(Claims_Cleaned[[#This Row],[processed_date]]="","",Claims_Cleaned[[#This Row],[processed_date]]-Claims_Cleaned[[#This Row],[submission_date]])</f>
        <v>9</v>
      </c>
      <c r="I1387" s="4" t="str">
        <f>TEXT(Claims_Cleaned[[#This Row],[claim_date]],"mmm-yyyy")</f>
        <v>Apr-2024</v>
      </c>
      <c r="J1387" t="s">
        <v>25</v>
      </c>
      <c r="K1387">
        <v>335.31</v>
      </c>
      <c r="L1387" t="s">
        <v>683</v>
      </c>
      <c r="M1387">
        <v>9</v>
      </c>
    </row>
    <row r="1388" spans="1:13" x14ac:dyDescent="0.35">
      <c r="A1388" t="s">
        <v>2334</v>
      </c>
      <c r="B1388" t="s">
        <v>126</v>
      </c>
      <c r="C1388" t="s">
        <v>546</v>
      </c>
      <c r="D1388" t="s">
        <v>673</v>
      </c>
      <c r="E1388" s="1">
        <v>45060</v>
      </c>
      <c r="F1388" s="1">
        <v>45065</v>
      </c>
      <c r="G1388" s="1">
        <v>45084</v>
      </c>
      <c r="H1388" s="4">
        <f>IF(Claims_Cleaned[[#This Row],[processed_date]]="","",Claims_Cleaned[[#This Row],[processed_date]]-Claims_Cleaned[[#This Row],[submission_date]])</f>
        <v>19</v>
      </c>
      <c r="I1388" s="4" t="str">
        <f>TEXT(Claims_Cleaned[[#This Row],[claim_date]],"mmm-yyyy")</f>
        <v>May-2023</v>
      </c>
      <c r="J1388" t="s">
        <v>8</v>
      </c>
      <c r="K1388">
        <v>334.64</v>
      </c>
      <c r="L1388" t="s">
        <v>683</v>
      </c>
      <c r="M1388">
        <v>19</v>
      </c>
    </row>
    <row r="1389" spans="1:13" x14ac:dyDescent="0.35">
      <c r="A1389" t="s">
        <v>1231</v>
      </c>
      <c r="B1389" t="s">
        <v>504</v>
      </c>
      <c r="C1389" t="s">
        <v>571</v>
      </c>
      <c r="D1389" t="s">
        <v>673</v>
      </c>
      <c r="E1389" s="1">
        <v>45630</v>
      </c>
      <c r="F1389" s="1">
        <v>45631</v>
      </c>
      <c r="G1389" s="1">
        <v>45647</v>
      </c>
      <c r="H1389" s="4">
        <f>IF(Claims_Cleaned[[#This Row],[processed_date]]="","",Claims_Cleaned[[#This Row],[processed_date]]-Claims_Cleaned[[#This Row],[submission_date]])</f>
        <v>16</v>
      </c>
      <c r="I1389" s="4" t="str">
        <f>TEXT(Claims_Cleaned[[#This Row],[claim_date]],"mmm-yyyy")</f>
        <v>Dec-2024</v>
      </c>
      <c r="J1389" t="s">
        <v>13</v>
      </c>
      <c r="K1389">
        <v>334.45</v>
      </c>
      <c r="L1389" t="s">
        <v>687</v>
      </c>
      <c r="M1389">
        <v>16</v>
      </c>
    </row>
    <row r="1390" spans="1:13" x14ac:dyDescent="0.35">
      <c r="A1390" t="s">
        <v>1729</v>
      </c>
      <c r="B1390" t="s">
        <v>258</v>
      </c>
      <c r="C1390" t="s">
        <v>605</v>
      </c>
      <c r="D1390" t="s">
        <v>673</v>
      </c>
      <c r="E1390" s="1">
        <v>45323</v>
      </c>
      <c r="F1390" s="1">
        <v>45326</v>
      </c>
      <c r="G1390" s="1"/>
      <c r="H1390" s="4" t="str">
        <f>IF(Claims_Cleaned[[#This Row],[processed_date]]="","",Claims_Cleaned[[#This Row],[processed_date]]-Claims_Cleaned[[#This Row],[submission_date]])</f>
        <v/>
      </c>
      <c r="I1390" s="4" t="str">
        <f>TEXT(Claims_Cleaned[[#This Row],[claim_date]],"mmm-yyyy")</f>
        <v>Feb-2024</v>
      </c>
      <c r="J1390" t="s">
        <v>8</v>
      </c>
      <c r="K1390">
        <v>334.44</v>
      </c>
      <c r="L1390" t="s">
        <v>689</v>
      </c>
    </row>
    <row r="1391" spans="1:13" x14ac:dyDescent="0.35">
      <c r="A1391" t="s">
        <v>1305</v>
      </c>
      <c r="B1391" t="s">
        <v>143</v>
      </c>
      <c r="C1391" t="s">
        <v>585</v>
      </c>
      <c r="D1391" t="s">
        <v>656</v>
      </c>
      <c r="E1391" s="1">
        <v>45380</v>
      </c>
      <c r="F1391" s="1">
        <v>45381</v>
      </c>
      <c r="G1391" s="1">
        <v>45400</v>
      </c>
      <c r="H1391" s="4">
        <f>IF(Claims_Cleaned[[#This Row],[processed_date]]="","",Claims_Cleaned[[#This Row],[processed_date]]-Claims_Cleaned[[#This Row],[submission_date]])</f>
        <v>19</v>
      </c>
      <c r="I1391" s="4" t="str">
        <f>TEXT(Claims_Cleaned[[#This Row],[claim_date]],"mmm-yyyy")</f>
        <v>Mar-2024</v>
      </c>
      <c r="J1391" t="s">
        <v>13</v>
      </c>
      <c r="K1391">
        <v>334.39</v>
      </c>
      <c r="L1391" t="s">
        <v>683</v>
      </c>
      <c r="M1391">
        <v>19</v>
      </c>
    </row>
    <row r="1392" spans="1:13" x14ac:dyDescent="0.35">
      <c r="A1392" t="s">
        <v>2429</v>
      </c>
      <c r="B1392" t="s">
        <v>362</v>
      </c>
      <c r="C1392" t="s">
        <v>563</v>
      </c>
      <c r="D1392" t="s">
        <v>673</v>
      </c>
      <c r="E1392" s="1">
        <v>45369</v>
      </c>
      <c r="F1392" s="1">
        <v>45374</v>
      </c>
      <c r="G1392" s="1">
        <v>45389</v>
      </c>
      <c r="H1392" s="4">
        <f>IF(Claims_Cleaned[[#This Row],[processed_date]]="","",Claims_Cleaned[[#This Row],[processed_date]]-Claims_Cleaned[[#This Row],[submission_date]])</f>
        <v>15</v>
      </c>
      <c r="I1392" s="4" t="str">
        <f>TEXT(Claims_Cleaned[[#This Row],[claim_date]],"mmm-yyyy")</f>
        <v>Mar-2024</v>
      </c>
      <c r="J1392" t="s">
        <v>25</v>
      </c>
      <c r="K1392">
        <v>333.97</v>
      </c>
      <c r="L1392" t="s">
        <v>683</v>
      </c>
      <c r="M1392">
        <v>15</v>
      </c>
    </row>
    <row r="1393" spans="1:13" x14ac:dyDescent="0.35">
      <c r="A1393" t="s">
        <v>1656</v>
      </c>
      <c r="B1393" t="s">
        <v>178</v>
      </c>
      <c r="C1393" t="s">
        <v>579</v>
      </c>
      <c r="D1393" t="s">
        <v>656</v>
      </c>
      <c r="E1393" s="1">
        <v>45280</v>
      </c>
      <c r="F1393" s="1">
        <v>45285</v>
      </c>
      <c r="G1393" s="1">
        <v>45306</v>
      </c>
      <c r="H1393" s="4">
        <f>IF(Claims_Cleaned[[#This Row],[processed_date]]="","",Claims_Cleaned[[#This Row],[processed_date]]-Claims_Cleaned[[#This Row],[submission_date]])</f>
        <v>21</v>
      </c>
      <c r="I1393" s="4" t="str">
        <f>TEXT(Claims_Cleaned[[#This Row],[claim_date]],"mmm-yyyy")</f>
        <v>Dec-2023</v>
      </c>
      <c r="J1393" t="s">
        <v>8</v>
      </c>
      <c r="K1393">
        <v>333.29</v>
      </c>
      <c r="L1393" t="s">
        <v>683</v>
      </c>
      <c r="M1393">
        <v>21</v>
      </c>
    </row>
    <row r="1394" spans="1:13" x14ac:dyDescent="0.35">
      <c r="A1394" t="s">
        <v>1416</v>
      </c>
      <c r="B1394" t="s">
        <v>237</v>
      </c>
      <c r="C1394" t="s">
        <v>567</v>
      </c>
      <c r="D1394" t="s">
        <v>656</v>
      </c>
      <c r="E1394" s="1">
        <v>45127</v>
      </c>
      <c r="F1394" s="1">
        <v>45128</v>
      </c>
      <c r="G1394" s="1">
        <v>45157</v>
      </c>
      <c r="H1394" s="4">
        <f>IF(Claims_Cleaned[[#This Row],[processed_date]]="","",Claims_Cleaned[[#This Row],[processed_date]]-Claims_Cleaned[[#This Row],[submission_date]])</f>
        <v>29</v>
      </c>
      <c r="I1394" s="4" t="str">
        <f>TEXT(Claims_Cleaned[[#This Row],[claim_date]],"mmm-yyyy")</f>
        <v>Jul-2023</v>
      </c>
      <c r="J1394" t="s">
        <v>11</v>
      </c>
      <c r="K1394">
        <v>332.26</v>
      </c>
      <c r="L1394" t="s">
        <v>683</v>
      </c>
      <c r="M1394">
        <v>29</v>
      </c>
    </row>
    <row r="1395" spans="1:13" x14ac:dyDescent="0.35">
      <c r="A1395" t="s">
        <v>1867</v>
      </c>
      <c r="B1395" t="s">
        <v>313</v>
      </c>
      <c r="C1395" t="s">
        <v>609</v>
      </c>
      <c r="D1395" t="s">
        <v>629</v>
      </c>
      <c r="E1395" s="1">
        <v>45193</v>
      </c>
      <c r="F1395" s="1">
        <v>45198</v>
      </c>
      <c r="G1395" s="1">
        <v>45222</v>
      </c>
      <c r="H1395" s="4">
        <f>IF(Claims_Cleaned[[#This Row],[processed_date]]="","",Claims_Cleaned[[#This Row],[processed_date]]-Claims_Cleaned[[#This Row],[submission_date]])</f>
        <v>24</v>
      </c>
      <c r="I1395" s="4" t="str">
        <f>TEXT(Claims_Cleaned[[#This Row],[claim_date]],"mmm-yyyy")</f>
        <v>Sep-2023</v>
      </c>
      <c r="J1395" t="s">
        <v>13</v>
      </c>
      <c r="K1395">
        <v>331.92</v>
      </c>
      <c r="L1395" t="s">
        <v>683</v>
      </c>
      <c r="M1395">
        <v>24</v>
      </c>
    </row>
    <row r="1396" spans="1:13" x14ac:dyDescent="0.35">
      <c r="A1396" t="s">
        <v>1563</v>
      </c>
      <c r="B1396" t="s">
        <v>132</v>
      </c>
      <c r="C1396" t="s">
        <v>555</v>
      </c>
      <c r="D1396" t="s">
        <v>673</v>
      </c>
      <c r="E1396" s="1">
        <v>45114</v>
      </c>
      <c r="F1396" s="1">
        <v>45116</v>
      </c>
      <c r="G1396" s="1">
        <v>45134</v>
      </c>
      <c r="H1396" s="4">
        <f>IF(Claims_Cleaned[[#This Row],[processed_date]]="","",Claims_Cleaned[[#This Row],[processed_date]]-Claims_Cleaned[[#This Row],[submission_date]])</f>
        <v>18</v>
      </c>
      <c r="I1396" s="4" t="str">
        <f>TEXT(Claims_Cleaned[[#This Row],[claim_date]],"mmm-yyyy")</f>
        <v>Jul-2023</v>
      </c>
      <c r="J1396" t="s">
        <v>8</v>
      </c>
      <c r="K1396">
        <v>331.52</v>
      </c>
      <c r="L1396" t="s">
        <v>683</v>
      </c>
      <c r="M1396">
        <v>18</v>
      </c>
    </row>
    <row r="1397" spans="1:13" x14ac:dyDescent="0.35">
      <c r="A1397" t="s">
        <v>2420</v>
      </c>
      <c r="B1397" t="s">
        <v>453</v>
      </c>
      <c r="C1397" t="s">
        <v>534</v>
      </c>
      <c r="D1397" t="s">
        <v>629</v>
      </c>
      <c r="E1397" s="1">
        <v>45532</v>
      </c>
      <c r="F1397" s="1">
        <v>45534</v>
      </c>
      <c r="G1397" s="1">
        <v>45556</v>
      </c>
      <c r="H1397" s="4">
        <f>IF(Claims_Cleaned[[#This Row],[processed_date]]="","",Claims_Cleaned[[#This Row],[processed_date]]-Claims_Cleaned[[#This Row],[submission_date]])</f>
        <v>22</v>
      </c>
      <c r="I1397" s="4" t="str">
        <f>TEXT(Claims_Cleaned[[#This Row],[claim_date]],"mmm-yyyy")</f>
        <v>Aug-2024</v>
      </c>
      <c r="J1397" t="s">
        <v>11</v>
      </c>
      <c r="K1397">
        <v>330.58</v>
      </c>
      <c r="L1397" t="s">
        <v>687</v>
      </c>
      <c r="M1397">
        <v>22</v>
      </c>
    </row>
    <row r="1398" spans="1:13" x14ac:dyDescent="0.35">
      <c r="A1398" t="s">
        <v>1632</v>
      </c>
      <c r="B1398" t="s">
        <v>283</v>
      </c>
      <c r="C1398" t="s">
        <v>567</v>
      </c>
      <c r="D1398" t="s">
        <v>656</v>
      </c>
      <c r="E1398" s="1">
        <v>45000</v>
      </c>
      <c r="F1398" s="1">
        <v>45004</v>
      </c>
      <c r="G1398" s="1"/>
      <c r="H1398" s="4" t="str">
        <f>IF(Claims_Cleaned[[#This Row],[processed_date]]="","",Claims_Cleaned[[#This Row],[processed_date]]-Claims_Cleaned[[#This Row],[submission_date]])</f>
        <v/>
      </c>
      <c r="I1398" s="4" t="str">
        <f>TEXT(Claims_Cleaned[[#This Row],[claim_date]],"mmm-yyyy")</f>
        <v>Mar-2023</v>
      </c>
      <c r="J1398" t="s">
        <v>25</v>
      </c>
      <c r="K1398">
        <v>330.52</v>
      </c>
      <c r="L1398" t="s">
        <v>689</v>
      </c>
    </row>
    <row r="1399" spans="1:13" x14ac:dyDescent="0.35">
      <c r="A1399" t="s">
        <v>2311</v>
      </c>
      <c r="B1399" t="s">
        <v>185</v>
      </c>
      <c r="C1399" t="s">
        <v>607</v>
      </c>
      <c r="D1399" t="s">
        <v>673</v>
      </c>
      <c r="E1399" s="1">
        <v>45134</v>
      </c>
      <c r="F1399" s="1">
        <v>45137</v>
      </c>
      <c r="G1399" s="1"/>
      <c r="H1399" s="4" t="str">
        <f>IF(Claims_Cleaned[[#This Row],[processed_date]]="","",Claims_Cleaned[[#This Row],[processed_date]]-Claims_Cleaned[[#This Row],[submission_date]])</f>
        <v/>
      </c>
      <c r="I1399" s="4" t="str">
        <f>TEXT(Claims_Cleaned[[#This Row],[claim_date]],"mmm-yyyy")</f>
        <v>Jul-2023</v>
      </c>
      <c r="J1399" t="s">
        <v>11</v>
      </c>
      <c r="K1399">
        <v>330.22</v>
      </c>
      <c r="L1399" t="s">
        <v>689</v>
      </c>
    </row>
    <row r="1400" spans="1:13" x14ac:dyDescent="0.35">
      <c r="A1400" t="s">
        <v>2439</v>
      </c>
      <c r="B1400" t="s">
        <v>456</v>
      </c>
      <c r="C1400" t="s">
        <v>573</v>
      </c>
      <c r="D1400" t="s">
        <v>629</v>
      </c>
      <c r="E1400" s="1">
        <v>45647</v>
      </c>
      <c r="F1400" s="1">
        <v>45651</v>
      </c>
      <c r="G1400" s="1">
        <v>45667</v>
      </c>
      <c r="H1400" s="4">
        <f>IF(Claims_Cleaned[[#This Row],[processed_date]]="","",Claims_Cleaned[[#This Row],[processed_date]]-Claims_Cleaned[[#This Row],[submission_date]])</f>
        <v>16</v>
      </c>
      <c r="I1400" s="4" t="str">
        <f>TEXT(Claims_Cleaned[[#This Row],[claim_date]],"mmm-yyyy")</f>
        <v>Dec-2024</v>
      </c>
      <c r="J1400" t="s">
        <v>11</v>
      </c>
      <c r="K1400">
        <v>329.99</v>
      </c>
      <c r="L1400" t="s">
        <v>683</v>
      </c>
      <c r="M1400">
        <v>16</v>
      </c>
    </row>
    <row r="1401" spans="1:13" x14ac:dyDescent="0.35">
      <c r="A1401" t="s">
        <v>1968</v>
      </c>
      <c r="B1401" t="s">
        <v>349</v>
      </c>
      <c r="C1401" t="s">
        <v>565</v>
      </c>
      <c r="D1401" t="s">
        <v>629</v>
      </c>
      <c r="E1401" s="1">
        <v>45113</v>
      </c>
      <c r="F1401" s="1">
        <v>45114</v>
      </c>
      <c r="G1401" s="1">
        <v>45117</v>
      </c>
      <c r="H1401" s="4">
        <f>IF(Claims_Cleaned[[#This Row],[processed_date]]="","",Claims_Cleaned[[#This Row],[processed_date]]-Claims_Cleaned[[#This Row],[submission_date]])</f>
        <v>3</v>
      </c>
      <c r="I1401" s="4" t="str">
        <f>TEXT(Claims_Cleaned[[#This Row],[claim_date]],"mmm-yyyy")</f>
        <v>Jul-2023</v>
      </c>
      <c r="J1401" t="s">
        <v>11</v>
      </c>
      <c r="K1401">
        <v>328.34</v>
      </c>
      <c r="L1401" t="s">
        <v>683</v>
      </c>
      <c r="M1401">
        <v>3</v>
      </c>
    </row>
    <row r="1402" spans="1:13" x14ac:dyDescent="0.35">
      <c r="A1402" t="s">
        <v>1355</v>
      </c>
      <c r="B1402" t="s">
        <v>354</v>
      </c>
      <c r="C1402" t="s">
        <v>557</v>
      </c>
      <c r="D1402" t="s">
        <v>656</v>
      </c>
      <c r="E1402" s="1">
        <v>45538</v>
      </c>
      <c r="F1402" s="1">
        <v>45543</v>
      </c>
      <c r="G1402" s="1">
        <v>45557</v>
      </c>
      <c r="H1402" s="4">
        <f>IF(Claims_Cleaned[[#This Row],[processed_date]]="","",Claims_Cleaned[[#This Row],[processed_date]]-Claims_Cleaned[[#This Row],[submission_date]])</f>
        <v>14</v>
      </c>
      <c r="I1402" s="4" t="str">
        <f>TEXT(Claims_Cleaned[[#This Row],[claim_date]],"mmm-yyyy")</f>
        <v>Sep-2024</v>
      </c>
      <c r="J1402" t="s">
        <v>11</v>
      </c>
      <c r="K1402">
        <v>327.82</v>
      </c>
      <c r="L1402" t="s">
        <v>683</v>
      </c>
      <c r="M1402">
        <v>14</v>
      </c>
    </row>
    <row r="1403" spans="1:13" x14ac:dyDescent="0.35">
      <c r="A1403" t="s">
        <v>1824</v>
      </c>
      <c r="B1403" t="s">
        <v>76</v>
      </c>
      <c r="C1403" t="s">
        <v>555</v>
      </c>
      <c r="D1403" t="s">
        <v>629</v>
      </c>
      <c r="E1403" s="1">
        <v>45382</v>
      </c>
      <c r="F1403" s="1">
        <v>45383</v>
      </c>
      <c r="G1403" s="1"/>
      <c r="H1403" s="4" t="str">
        <f>IF(Claims_Cleaned[[#This Row],[processed_date]]="","",Claims_Cleaned[[#This Row],[processed_date]]-Claims_Cleaned[[#This Row],[submission_date]])</f>
        <v/>
      </c>
      <c r="I1403" s="4" t="str">
        <f>TEXT(Claims_Cleaned[[#This Row],[claim_date]],"mmm-yyyy")</f>
        <v>Mar-2024</v>
      </c>
      <c r="J1403" t="s">
        <v>8</v>
      </c>
      <c r="K1403">
        <v>327.58</v>
      </c>
      <c r="L1403" t="s">
        <v>689</v>
      </c>
    </row>
    <row r="1404" spans="1:13" x14ac:dyDescent="0.35">
      <c r="A1404" t="s">
        <v>998</v>
      </c>
      <c r="B1404" t="s">
        <v>450</v>
      </c>
      <c r="C1404" t="s">
        <v>567</v>
      </c>
      <c r="D1404" t="s">
        <v>629</v>
      </c>
      <c r="E1404" s="1">
        <v>45592</v>
      </c>
      <c r="F1404" s="1">
        <v>45594</v>
      </c>
      <c r="G1404" s="1">
        <v>45606</v>
      </c>
      <c r="H1404" s="4">
        <f>IF(Claims_Cleaned[[#This Row],[processed_date]]="","",Claims_Cleaned[[#This Row],[processed_date]]-Claims_Cleaned[[#This Row],[submission_date]])</f>
        <v>12</v>
      </c>
      <c r="I1404" s="4" t="str">
        <f>TEXT(Claims_Cleaned[[#This Row],[claim_date]],"mmm-yyyy")</f>
        <v>Oct-2024</v>
      </c>
      <c r="J1404" t="s">
        <v>20</v>
      </c>
      <c r="K1404">
        <v>327.5</v>
      </c>
      <c r="L1404" t="s">
        <v>683</v>
      </c>
      <c r="M1404">
        <v>12</v>
      </c>
    </row>
    <row r="1405" spans="1:13" x14ac:dyDescent="0.35">
      <c r="A1405" t="s">
        <v>2036</v>
      </c>
      <c r="B1405" t="s">
        <v>301</v>
      </c>
      <c r="C1405" t="s">
        <v>555</v>
      </c>
      <c r="D1405" t="s">
        <v>629</v>
      </c>
      <c r="E1405" s="1">
        <v>45204</v>
      </c>
      <c r="F1405" s="1">
        <v>45205</v>
      </c>
      <c r="G1405" s="1">
        <v>45217</v>
      </c>
      <c r="H1405" s="4">
        <f>IF(Claims_Cleaned[[#This Row],[processed_date]]="","",Claims_Cleaned[[#This Row],[processed_date]]-Claims_Cleaned[[#This Row],[submission_date]])</f>
        <v>12</v>
      </c>
      <c r="I1405" s="4" t="str">
        <f>TEXT(Claims_Cleaned[[#This Row],[claim_date]],"mmm-yyyy")</f>
        <v>Oct-2023</v>
      </c>
      <c r="J1405" t="s">
        <v>8</v>
      </c>
      <c r="K1405">
        <v>326.91000000000003</v>
      </c>
      <c r="L1405" t="s">
        <v>683</v>
      </c>
      <c r="M1405">
        <v>12</v>
      </c>
    </row>
    <row r="1406" spans="1:13" x14ac:dyDescent="0.35">
      <c r="A1406" t="s">
        <v>2115</v>
      </c>
      <c r="B1406" t="s">
        <v>338</v>
      </c>
      <c r="C1406" t="s">
        <v>601</v>
      </c>
      <c r="D1406" t="s">
        <v>673</v>
      </c>
      <c r="E1406" s="1">
        <v>45269</v>
      </c>
      <c r="F1406" s="1">
        <v>45270</v>
      </c>
      <c r="G1406" s="1">
        <v>45293</v>
      </c>
      <c r="H1406" s="4">
        <f>IF(Claims_Cleaned[[#This Row],[processed_date]]="","",Claims_Cleaned[[#This Row],[processed_date]]-Claims_Cleaned[[#This Row],[submission_date]])</f>
        <v>23</v>
      </c>
      <c r="I1406" s="4" t="str">
        <f>TEXT(Claims_Cleaned[[#This Row],[claim_date]],"mmm-yyyy")</f>
        <v>Dec-2023</v>
      </c>
      <c r="J1406" t="s">
        <v>8</v>
      </c>
      <c r="K1406">
        <v>326.3</v>
      </c>
      <c r="L1406" t="s">
        <v>683</v>
      </c>
      <c r="M1406">
        <v>23</v>
      </c>
    </row>
    <row r="1407" spans="1:13" x14ac:dyDescent="0.35">
      <c r="A1407" t="s">
        <v>1621</v>
      </c>
      <c r="B1407" t="s">
        <v>365</v>
      </c>
      <c r="C1407" t="s">
        <v>540</v>
      </c>
      <c r="D1407" t="s">
        <v>673</v>
      </c>
      <c r="E1407" s="1">
        <v>45329</v>
      </c>
      <c r="F1407" s="1">
        <v>45334</v>
      </c>
      <c r="G1407" s="1"/>
      <c r="H1407" s="4" t="str">
        <f>IF(Claims_Cleaned[[#This Row],[processed_date]]="","",Claims_Cleaned[[#This Row],[processed_date]]-Claims_Cleaned[[#This Row],[submission_date]])</f>
        <v/>
      </c>
      <c r="I1407" s="4" t="str">
        <f>TEXT(Claims_Cleaned[[#This Row],[claim_date]],"mmm-yyyy")</f>
        <v>Feb-2024</v>
      </c>
      <c r="J1407" t="s">
        <v>11</v>
      </c>
      <c r="K1407">
        <v>326.08999999999997</v>
      </c>
      <c r="L1407" t="s">
        <v>689</v>
      </c>
    </row>
    <row r="1408" spans="1:13" x14ac:dyDescent="0.35">
      <c r="A1408" t="s">
        <v>1862</v>
      </c>
      <c r="B1408" t="s">
        <v>112</v>
      </c>
      <c r="C1408" t="s">
        <v>585</v>
      </c>
      <c r="D1408" t="s">
        <v>656</v>
      </c>
      <c r="E1408" s="1">
        <v>44951</v>
      </c>
      <c r="F1408" s="1">
        <v>44953</v>
      </c>
      <c r="G1408" s="1">
        <v>44968</v>
      </c>
      <c r="H1408" s="4">
        <f>IF(Claims_Cleaned[[#This Row],[processed_date]]="","",Claims_Cleaned[[#This Row],[processed_date]]-Claims_Cleaned[[#This Row],[submission_date]])</f>
        <v>15</v>
      </c>
      <c r="I1408" s="4" t="str">
        <f>TEXT(Claims_Cleaned[[#This Row],[claim_date]],"mmm-yyyy")</f>
        <v>Jan-2023</v>
      </c>
      <c r="J1408" t="s">
        <v>13</v>
      </c>
      <c r="K1408">
        <v>325.98</v>
      </c>
      <c r="L1408" t="s">
        <v>683</v>
      </c>
      <c r="M1408">
        <v>15</v>
      </c>
    </row>
    <row r="1409" spans="1:13" x14ac:dyDescent="0.35">
      <c r="A1409" t="s">
        <v>2291</v>
      </c>
      <c r="B1409" t="s">
        <v>120</v>
      </c>
      <c r="C1409" t="s">
        <v>571</v>
      </c>
      <c r="D1409" t="s">
        <v>656</v>
      </c>
      <c r="E1409" s="1">
        <v>45128</v>
      </c>
      <c r="F1409" s="1">
        <v>45133</v>
      </c>
      <c r="G1409" s="1">
        <v>45152</v>
      </c>
      <c r="H1409" s="4">
        <f>IF(Claims_Cleaned[[#This Row],[processed_date]]="","",Claims_Cleaned[[#This Row],[processed_date]]-Claims_Cleaned[[#This Row],[submission_date]])</f>
        <v>19</v>
      </c>
      <c r="I1409" s="4" t="str">
        <f>TEXT(Claims_Cleaned[[#This Row],[claim_date]],"mmm-yyyy")</f>
        <v>Jul-2023</v>
      </c>
      <c r="J1409" t="s">
        <v>13</v>
      </c>
      <c r="K1409">
        <v>325.27</v>
      </c>
      <c r="L1409" t="s">
        <v>683</v>
      </c>
      <c r="M1409">
        <v>19</v>
      </c>
    </row>
    <row r="1410" spans="1:13" x14ac:dyDescent="0.35">
      <c r="A1410" t="s">
        <v>2535</v>
      </c>
      <c r="B1410" t="s">
        <v>467</v>
      </c>
      <c r="C1410" t="s">
        <v>534</v>
      </c>
      <c r="D1410" t="s">
        <v>629</v>
      </c>
      <c r="E1410" s="1">
        <v>45383</v>
      </c>
      <c r="F1410" s="1">
        <v>45385</v>
      </c>
      <c r="G1410" s="1">
        <v>45406</v>
      </c>
      <c r="H1410" s="4">
        <f>IF(Claims_Cleaned[[#This Row],[processed_date]]="","",Claims_Cleaned[[#This Row],[processed_date]]-Claims_Cleaned[[#This Row],[submission_date]])</f>
        <v>21</v>
      </c>
      <c r="I1410" s="4" t="str">
        <f>TEXT(Claims_Cleaned[[#This Row],[claim_date]],"mmm-yyyy")</f>
        <v>Apr-2024</v>
      </c>
      <c r="J1410" t="s">
        <v>13</v>
      </c>
      <c r="K1410">
        <v>322.95999999999998</v>
      </c>
      <c r="L1410" t="s">
        <v>683</v>
      </c>
      <c r="M1410">
        <v>21</v>
      </c>
    </row>
    <row r="1411" spans="1:13" x14ac:dyDescent="0.35">
      <c r="A1411" t="s">
        <v>1606</v>
      </c>
      <c r="B1411" t="s">
        <v>513</v>
      </c>
      <c r="C1411" t="s">
        <v>587</v>
      </c>
      <c r="D1411" t="s">
        <v>656</v>
      </c>
      <c r="E1411" s="1">
        <v>45216</v>
      </c>
      <c r="F1411" s="1">
        <v>45220</v>
      </c>
      <c r="G1411" s="1">
        <v>45226</v>
      </c>
      <c r="H1411" s="4">
        <f>IF(Claims_Cleaned[[#This Row],[processed_date]]="","",Claims_Cleaned[[#This Row],[processed_date]]-Claims_Cleaned[[#This Row],[submission_date]])</f>
        <v>6</v>
      </c>
      <c r="I1411" s="4" t="str">
        <f>TEXT(Claims_Cleaned[[#This Row],[claim_date]],"mmm-yyyy")</f>
        <v>Oct-2023</v>
      </c>
      <c r="J1411" t="s">
        <v>20</v>
      </c>
      <c r="K1411">
        <v>322.77999999999997</v>
      </c>
      <c r="L1411" t="s">
        <v>683</v>
      </c>
      <c r="M1411">
        <v>6</v>
      </c>
    </row>
    <row r="1412" spans="1:13" x14ac:dyDescent="0.35">
      <c r="A1412" t="s">
        <v>885</v>
      </c>
      <c r="B1412" t="s">
        <v>516</v>
      </c>
      <c r="C1412" t="s">
        <v>581</v>
      </c>
      <c r="D1412" t="s">
        <v>629</v>
      </c>
      <c r="E1412" s="1">
        <v>45503</v>
      </c>
      <c r="F1412" s="1">
        <v>45505</v>
      </c>
      <c r="G1412" s="1">
        <v>45524</v>
      </c>
      <c r="H1412" s="4">
        <f>IF(Claims_Cleaned[[#This Row],[processed_date]]="","",Claims_Cleaned[[#This Row],[processed_date]]-Claims_Cleaned[[#This Row],[submission_date]])</f>
        <v>19</v>
      </c>
      <c r="I1412" s="4" t="str">
        <f>TEXT(Claims_Cleaned[[#This Row],[claim_date]],"mmm-yyyy")</f>
        <v>Jul-2024</v>
      </c>
      <c r="J1412" t="s">
        <v>8</v>
      </c>
      <c r="K1412">
        <v>320.95</v>
      </c>
      <c r="L1412" t="s">
        <v>683</v>
      </c>
      <c r="M1412">
        <v>19</v>
      </c>
    </row>
    <row r="1413" spans="1:13" x14ac:dyDescent="0.35">
      <c r="A1413" t="s">
        <v>1634</v>
      </c>
      <c r="B1413" t="s">
        <v>124</v>
      </c>
      <c r="C1413" t="s">
        <v>543</v>
      </c>
      <c r="D1413" t="s">
        <v>629</v>
      </c>
      <c r="E1413" s="1">
        <v>45410</v>
      </c>
      <c r="F1413" s="1">
        <v>45411</v>
      </c>
      <c r="G1413" s="1">
        <v>45438</v>
      </c>
      <c r="H1413" s="4">
        <f>IF(Claims_Cleaned[[#This Row],[processed_date]]="","",Claims_Cleaned[[#This Row],[processed_date]]-Claims_Cleaned[[#This Row],[submission_date]])</f>
        <v>27</v>
      </c>
      <c r="I1413" s="4" t="str">
        <f>TEXT(Claims_Cleaned[[#This Row],[claim_date]],"mmm-yyyy")</f>
        <v>Apr-2024</v>
      </c>
      <c r="J1413" t="s">
        <v>13</v>
      </c>
      <c r="K1413">
        <v>320.5</v>
      </c>
      <c r="L1413" t="s">
        <v>683</v>
      </c>
      <c r="M1413">
        <v>27</v>
      </c>
    </row>
    <row r="1414" spans="1:13" x14ac:dyDescent="0.35">
      <c r="A1414" t="s">
        <v>1430</v>
      </c>
      <c r="B1414" t="s">
        <v>326</v>
      </c>
      <c r="C1414" t="s">
        <v>540</v>
      </c>
      <c r="D1414" t="s">
        <v>656</v>
      </c>
      <c r="E1414" s="1">
        <v>45600</v>
      </c>
      <c r="F1414" s="1">
        <v>45603</v>
      </c>
      <c r="G1414" s="1">
        <v>45624</v>
      </c>
      <c r="H1414" s="4">
        <f>IF(Claims_Cleaned[[#This Row],[processed_date]]="","",Claims_Cleaned[[#This Row],[processed_date]]-Claims_Cleaned[[#This Row],[submission_date]])</f>
        <v>21</v>
      </c>
      <c r="I1414" s="4" t="str">
        <f>TEXT(Claims_Cleaned[[#This Row],[claim_date]],"mmm-yyyy")</f>
        <v>Nov-2024</v>
      </c>
      <c r="J1414" t="s">
        <v>20</v>
      </c>
      <c r="K1414">
        <v>319.73</v>
      </c>
      <c r="L1414" t="s">
        <v>683</v>
      </c>
      <c r="M1414">
        <v>21</v>
      </c>
    </row>
    <row r="1415" spans="1:13" x14ac:dyDescent="0.35">
      <c r="A1415" t="s">
        <v>942</v>
      </c>
      <c r="B1415" t="s">
        <v>331</v>
      </c>
      <c r="C1415" t="s">
        <v>583</v>
      </c>
      <c r="D1415" t="s">
        <v>656</v>
      </c>
      <c r="E1415" s="1">
        <v>45194</v>
      </c>
      <c r="F1415" s="1">
        <v>45196</v>
      </c>
      <c r="G1415" s="1">
        <v>45218</v>
      </c>
      <c r="H1415" s="4">
        <f>IF(Claims_Cleaned[[#This Row],[processed_date]]="","",Claims_Cleaned[[#This Row],[processed_date]]-Claims_Cleaned[[#This Row],[submission_date]])</f>
        <v>22</v>
      </c>
      <c r="I1415" s="4" t="str">
        <f>TEXT(Claims_Cleaned[[#This Row],[claim_date]],"mmm-yyyy")</f>
        <v>Sep-2023</v>
      </c>
      <c r="J1415" t="s">
        <v>8</v>
      </c>
      <c r="K1415">
        <v>319.7</v>
      </c>
      <c r="L1415" t="s">
        <v>683</v>
      </c>
      <c r="M1415">
        <v>22</v>
      </c>
    </row>
    <row r="1416" spans="1:13" x14ac:dyDescent="0.35">
      <c r="A1416" t="s">
        <v>818</v>
      </c>
      <c r="B1416" t="s">
        <v>488</v>
      </c>
      <c r="C1416" t="s">
        <v>577</v>
      </c>
      <c r="D1416" t="s">
        <v>673</v>
      </c>
      <c r="E1416" s="1">
        <v>45108</v>
      </c>
      <c r="F1416" s="1">
        <v>45111</v>
      </c>
      <c r="G1416" s="1">
        <v>45128</v>
      </c>
      <c r="H1416" s="4">
        <f>IF(Claims_Cleaned[[#This Row],[processed_date]]="","",Claims_Cleaned[[#This Row],[processed_date]]-Claims_Cleaned[[#This Row],[submission_date]])</f>
        <v>17</v>
      </c>
      <c r="I1416" s="4" t="str">
        <f>TEXT(Claims_Cleaned[[#This Row],[claim_date]],"mmm-yyyy")</f>
        <v>Jul-2023</v>
      </c>
      <c r="J1416" t="s">
        <v>25</v>
      </c>
      <c r="K1416">
        <v>319.43</v>
      </c>
      <c r="L1416" t="s">
        <v>687</v>
      </c>
      <c r="M1416">
        <v>17</v>
      </c>
    </row>
    <row r="1417" spans="1:13" x14ac:dyDescent="0.35">
      <c r="A1417" t="s">
        <v>1806</v>
      </c>
      <c r="B1417" t="s">
        <v>87</v>
      </c>
      <c r="C1417" t="s">
        <v>593</v>
      </c>
      <c r="D1417" t="s">
        <v>673</v>
      </c>
      <c r="E1417" s="1">
        <v>45445</v>
      </c>
      <c r="F1417" s="1">
        <v>45447</v>
      </c>
      <c r="G1417" s="1"/>
      <c r="H1417" s="4" t="str">
        <f>IF(Claims_Cleaned[[#This Row],[processed_date]]="","",Claims_Cleaned[[#This Row],[processed_date]]-Claims_Cleaned[[#This Row],[submission_date]])</f>
        <v/>
      </c>
      <c r="I1417" s="4" t="str">
        <f>TEXT(Claims_Cleaned[[#This Row],[claim_date]],"mmm-yyyy")</f>
        <v>Jun-2024</v>
      </c>
      <c r="J1417" t="s">
        <v>8</v>
      </c>
      <c r="K1417">
        <v>318.56</v>
      </c>
      <c r="L1417" t="s">
        <v>689</v>
      </c>
    </row>
    <row r="1418" spans="1:13" x14ac:dyDescent="0.35">
      <c r="A1418" t="s">
        <v>862</v>
      </c>
      <c r="B1418" t="s">
        <v>54</v>
      </c>
      <c r="C1418" t="s">
        <v>577</v>
      </c>
      <c r="D1418" t="s">
        <v>656</v>
      </c>
      <c r="E1418" s="1">
        <v>45104</v>
      </c>
      <c r="F1418" s="1">
        <v>45107</v>
      </c>
      <c r="G1418" s="1">
        <v>45115</v>
      </c>
      <c r="H1418" s="4">
        <f>IF(Claims_Cleaned[[#This Row],[processed_date]]="","",Claims_Cleaned[[#This Row],[processed_date]]-Claims_Cleaned[[#This Row],[submission_date]])</f>
        <v>8</v>
      </c>
      <c r="I1418" s="4" t="str">
        <f>TEXT(Claims_Cleaned[[#This Row],[claim_date]],"mmm-yyyy")</f>
        <v>Jun-2023</v>
      </c>
      <c r="J1418" t="s">
        <v>11</v>
      </c>
      <c r="K1418">
        <v>318.02999999999997</v>
      </c>
      <c r="L1418" t="s">
        <v>687</v>
      </c>
      <c r="M1418">
        <v>8</v>
      </c>
    </row>
    <row r="1419" spans="1:13" x14ac:dyDescent="0.35">
      <c r="A1419" t="s">
        <v>1352</v>
      </c>
      <c r="B1419" t="s">
        <v>237</v>
      </c>
      <c r="C1419" t="s">
        <v>524</v>
      </c>
      <c r="D1419" t="s">
        <v>673</v>
      </c>
      <c r="E1419" s="1">
        <v>45486</v>
      </c>
      <c r="F1419" s="1">
        <v>45490</v>
      </c>
      <c r="G1419" s="1">
        <v>45515</v>
      </c>
      <c r="H1419" s="4">
        <f>IF(Claims_Cleaned[[#This Row],[processed_date]]="","",Claims_Cleaned[[#This Row],[processed_date]]-Claims_Cleaned[[#This Row],[submission_date]])</f>
        <v>25</v>
      </c>
      <c r="I1419" s="4" t="str">
        <f>TEXT(Claims_Cleaned[[#This Row],[claim_date]],"mmm-yyyy")</f>
        <v>Jul-2024</v>
      </c>
      <c r="J1419" t="s">
        <v>11</v>
      </c>
      <c r="K1419">
        <v>318.01</v>
      </c>
      <c r="L1419" t="s">
        <v>683</v>
      </c>
      <c r="M1419">
        <v>25</v>
      </c>
    </row>
    <row r="1420" spans="1:13" x14ac:dyDescent="0.35">
      <c r="A1420" t="s">
        <v>1259</v>
      </c>
      <c r="B1420" t="s">
        <v>467</v>
      </c>
      <c r="C1420" t="s">
        <v>611</v>
      </c>
      <c r="D1420" t="s">
        <v>656</v>
      </c>
      <c r="E1420" s="1">
        <v>45382</v>
      </c>
      <c r="F1420" s="1">
        <v>45384</v>
      </c>
      <c r="G1420" s="1">
        <v>45404</v>
      </c>
      <c r="H1420" s="4">
        <f>IF(Claims_Cleaned[[#This Row],[processed_date]]="","",Claims_Cleaned[[#This Row],[processed_date]]-Claims_Cleaned[[#This Row],[submission_date]])</f>
        <v>20</v>
      </c>
      <c r="I1420" s="4" t="str">
        <f>TEXT(Claims_Cleaned[[#This Row],[claim_date]],"mmm-yyyy")</f>
        <v>Mar-2024</v>
      </c>
      <c r="J1420" t="s">
        <v>13</v>
      </c>
      <c r="K1420">
        <v>317.99</v>
      </c>
      <c r="L1420" t="s">
        <v>683</v>
      </c>
      <c r="M1420">
        <v>20</v>
      </c>
    </row>
    <row r="1421" spans="1:13" x14ac:dyDescent="0.35">
      <c r="A1421" t="s">
        <v>1306</v>
      </c>
      <c r="B1421" t="s">
        <v>442</v>
      </c>
      <c r="C1421" t="s">
        <v>534</v>
      </c>
      <c r="D1421" t="s">
        <v>673</v>
      </c>
      <c r="E1421" s="1">
        <v>45593</v>
      </c>
      <c r="F1421" s="1">
        <v>45594</v>
      </c>
      <c r="G1421" s="1">
        <v>45602</v>
      </c>
      <c r="H1421" s="4">
        <f>IF(Claims_Cleaned[[#This Row],[processed_date]]="","",Claims_Cleaned[[#This Row],[processed_date]]-Claims_Cleaned[[#This Row],[submission_date]])</f>
        <v>8</v>
      </c>
      <c r="I1421" s="4" t="str">
        <f>TEXT(Claims_Cleaned[[#This Row],[claim_date]],"mmm-yyyy")</f>
        <v>Oct-2024</v>
      </c>
      <c r="J1421" t="s">
        <v>11</v>
      </c>
      <c r="K1421">
        <v>317.83999999999997</v>
      </c>
      <c r="L1421" t="s">
        <v>683</v>
      </c>
      <c r="M1421">
        <v>8</v>
      </c>
    </row>
    <row r="1422" spans="1:13" x14ac:dyDescent="0.35">
      <c r="A1422" t="s">
        <v>905</v>
      </c>
      <c r="B1422" t="s">
        <v>199</v>
      </c>
      <c r="C1422" t="s">
        <v>599</v>
      </c>
      <c r="D1422" t="s">
        <v>656</v>
      </c>
      <c r="E1422" s="1">
        <v>45169</v>
      </c>
      <c r="F1422" s="1">
        <v>45173</v>
      </c>
      <c r="G1422" s="1">
        <v>45200</v>
      </c>
      <c r="H1422" s="4">
        <f>IF(Claims_Cleaned[[#This Row],[processed_date]]="","",Claims_Cleaned[[#This Row],[processed_date]]-Claims_Cleaned[[#This Row],[submission_date]])</f>
        <v>27</v>
      </c>
      <c r="I1422" s="4" t="str">
        <f>TEXT(Claims_Cleaned[[#This Row],[claim_date]],"mmm-yyyy")</f>
        <v>Aug-2023</v>
      </c>
      <c r="J1422" t="s">
        <v>11</v>
      </c>
      <c r="K1422">
        <v>317.82</v>
      </c>
      <c r="L1422" t="s">
        <v>683</v>
      </c>
      <c r="M1422">
        <v>27</v>
      </c>
    </row>
    <row r="1423" spans="1:13" x14ac:dyDescent="0.35">
      <c r="A1423" t="s">
        <v>950</v>
      </c>
      <c r="B1423" t="s">
        <v>129</v>
      </c>
      <c r="C1423" t="s">
        <v>571</v>
      </c>
      <c r="D1423" t="s">
        <v>673</v>
      </c>
      <c r="E1423" s="1">
        <v>45523</v>
      </c>
      <c r="F1423" s="1">
        <v>45528</v>
      </c>
      <c r="G1423" s="1">
        <v>45546</v>
      </c>
      <c r="H1423" s="4">
        <f>IF(Claims_Cleaned[[#This Row],[processed_date]]="","",Claims_Cleaned[[#This Row],[processed_date]]-Claims_Cleaned[[#This Row],[submission_date]])</f>
        <v>18</v>
      </c>
      <c r="I1423" s="4" t="str">
        <f>TEXT(Claims_Cleaned[[#This Row],[claim_date]],"mmm-yyyy")</f>
        <v>Aug-2024</v>
      </c>
      <c r="J1423" t="s">
        <v>8</v>
      </c>
      <c r="K1423">
        <v>316.91000000000003</v>
      </c>
      <c r="L1423" t="s">
        <v>683</v>
      </c>
      <c r="M1423">
        <v>18</v>
      </c>
    </row>
    <row r="1424" spans="1:13" x14ac:dyDescent="0.35">
      <c r="A1424" t="s">
        <v>2062</v>
      </c>
      <c r="B1424" t="s">
        <v>196</v>
      </c>
      <c r="C1424" t="s">
        <v>527</v>
      </c>
      <c r="D1424" t="s">
        <v>656</v>
      </c>
      <c r="E1424" s="1">
        <v>45147</v>
      </c>
      <c r="F1424" s="1">
        <v>45150</v>
      </c>
      <c r="G1424" s="1">
        <v>45157</v>
      </c>
      <c r="H1424" s="4">
        <f>IF(Claims_Cleaned[[#This Row],[processed_date]]="","",Claims_Cleaned[[#This Row],[processed_date]]-Claims_Cleaned[[#This Row],[submission_date]])</f>
        <v>7</v>
      </c>
      <c r="I1424" s="4" t="str">
        <f>TEXT(Claims_Cleaned[[#This Row],[claim_date]],"mmm-yyyy")</f>
        <v>Aug-2023</v>
      </c>
      <c r="J1424" t="s">
        <v>13</v>
      </c>
      <c r="K1424">
        <v>316.17</v>
      </c>
      <c r="L1424" t="s">
        <v>683</v>
      </c>
      <c r="M1424">
        <v>7</v>
      </c>
    </row>
    <row r="1425" spans="1:13" x14ac:dyDescent="0.35">
      <c r="A1425" t="s">
        <v>2319</v>
      </c>
      <c r="B1425" t="s">
        <v>388</v>
      </c>
      <c r="C1425" t="s">
        <v>579</v>
      </c>
      <c r="D1425" t="s">
        <v>673</v>
      </c>
      <c r="E1425" s="1">
        <v>45221</v>
      </c>
      <c r="F1425" s="1">
        <v>45225</v>
      </c>
      <c r="G1425" s="1">
        <v>45229</v>
      </c>
      <c r="H1425" s="4">
        <f>IF(Claims_Cleaned[[#This Row],[processed_date]]="","",Claims_Cleaned[[#This Row],[processed_date]]-Claims_Cleaned[[#This Row],[submission_date]])</f>
        <v>4</v>
      </c>
      <c r="I1425" s="4" t="str">
        <f>TEXT(Claims_Cleaned[[#This Row],[claim_date]],"mmm-yyyy")</f>
        <v>Oct-2023</v>
      </c>
      <c r="J1425" t="s">
        <v>8</v>
      </c>
      <c r="K1425">
        <v>316.10000000000002</v>
      </c>
      <c r="L1425" t="s">
        <v>687</v>
      </c>
      <c r="M1425">
        <v>4</v>
      </c>
    </row>
    <row r="1426" spans="1:13" x14ac:dyDescent="0.35">
      <c r="A1426" t="s">
        <v>1455</v>
      </c>
      <c r="B1426" t="s">
        <v>135</v>
      </c>
      <c r="C1426" t="s">
        <v>571</v>
      </c>
      <c r="D1426" t="s">
        <v>673</v>
      </c>
      <c r="E1426" s="1">
        <v>45435</v>
      </c>
      <c r="F1426" s="1">
        <v>45437</v>
      </c>
      <c r="G1426" s="1"/>
      <c r="H1426" s="4" t="str">
        <f>IF(Claims_Cleaned[[#This Row],[processed_date]]="","",Claims_Cleaned[[#This Row],[processed_date]]-Claims_Cleaned[[#This Row],[submission_date]])</f>
        <v/>
      </c>
      <c r="I1426" s="4" t="str">
        <f>TEXT(Claims_Cleaned[[#This Row],[claim_date]],"mmm-yyyy")</f>
        <v>May-2024</v>
      </c>
      <c r="J1426" t="s">
        <v>8</v>
      </c>
      <c r="K1426">
        <v>316.06</v>
      </c>
      <c r="L1426" t="s">
        <v>689</v>
      </c>
    </row>
    <row r="1427" spans="1:13" x14ac:dyDescent="0.35">
      <c r="A1427" t="s">
        <v>1090</v>
      </c>
      <c r="B1427" t="s">
        <v>26</v>
      </c>
      <c r="C1427" t="s">
        <v>579</v>
      </c>
      <c r="D1427" t="s">
        <v>673</v>
      </c>
      <c r="E1427" s="1">
        <v>45468</v>
      </c>
      <c r="F1427" s="1">
        <v>45472</v>
      </c>
      <c r="G1427" s="1">
        <v>45475</v>
      </c>
      <c r="H1427" s="4">
        <f>IF(Claims_Cleaned[[#This Row],[processed_date]]="","",Claims_Cleaned[[#This Row],[processed_date]]-Claims_Cleaned[[#This Row],[submission_date]])</f>
        <v>3</v>
      </c>
      <c r="I1427" s="4" t="str">
        <f>TEXT(Claims_Cleaned[[#This Row],[claim_date]],"mmm-yyyy")</f>
        <v>Jun-2024</v>
      </c>
      <c r="J1427" t="s">
        <v>11</v>
      </c>
      <c r="K1427">
        <v>315.99</v>
      </c>
      <c r="L1427" t="s">
        <v>683</v>
      </c>
      <c r="M1427">
        <v>3</v>
      </c>
    </row>
    <row r="1428" spans="1:13" x14ac:dyDescent="0.35">
      <c r="A1428" t="s">
        <v>772</v>
      </c>
      <c r="B1428" t="s">
        <v>223</v>
      </c>
      <c r="C1428" t="s">
        <v>537</v>
      </c>
      <c r="D1428" t="s">
        <v>673</v>
      </c>
      <c r="E1428" s="1">
        <v>45064</v>
      </c>
      <c r="F1428" s="1">
        <v>45066</v>
      </c>
      <c r="G1428" s="1">
        <v>45069</v>
      </c>
      <c r="H1428" s="4">
        <f>IF(Claims_Cleaned[[#This Row],[processed_date]]="","",Claims_Cleaned[[#This Row],[processed_date]]-Claims_Cleaned[[#This Row],[submission_date]])</f>
        <v>3</v>
      </c>
      <c r="I1428" s="4" t="str">
        <f>TEXT(Claims_Cleaned[[#This Row],[claim_date]],"mmm-yyyy")</f>
        <v>May-2023</v>
      </c>
      <c r="J1428" t="s">
        <v>8</v>
      </c>
      <c r="K1428">
        <v>315.18</v>
      </c>
      <c r="L1428" t="s">
        <v>683</v>
      </c>
      <c r="M1428">
        <v>3</v>
      </c>
    </row>
    <row r="1429" spans="1:13" x14ac:dyDescent="0.35">
      <c r="A1429" t="s">
        <v>860</v>
      </c>
      <c r="B1429" t="s">
        <v>397</v>
      </c>
      <c r="C1429" t="s">
        <v>573</v>
      </c>
      <c r="D1429" t="s">
        <v>673</v>
      </c>
      <c r="E1429" s="1">
        <v>45351</v>
      </c>
      <c r="F1429" s="1">
        <v>45355</v>
      </c>
      <c r="G1429" s="1">
        <v>45368</v>
      </c>
      <c r="H1429" s="4">
        <f>IF(Claims_Cleaned[[#This Row],[processed_date]]="","",Claims_Cleaned[[#This Row],[processed_date]]-Claims_Cleaned[[#This Row],[submission_date]])</f>
        <v>13</v>
      </c>
      <c r="I1429" s="4" t="str">
        <f>TEXT(Claims_Cleaned[[#This Row],[claim_date]],"mmm-yyyy")</f>
        <v>Feb-2024</v>
      </c>
      <c r="J1429" t="s">
        <v>11</v>
      </c>
      <c r="K1429">
        <v>314.5</v>
      </c>
      <c r="L1429" t="s">
        <v>683</v>
      </c>
      <c r="M1429">
        <v>13</v>
      </c>
    </row>
    <row r="1430" spans="1:13" x14ac:dyDescent="0.35">
      <c r="A1430" t="s">
        <v>1748</v>
      </c>
      <c r="B1430" t="s">
        <v>353</v>
      </c>
      <c r="C1430" t="s">
        <v>543</v>
      </c>
      <c r="D1430" t="s">
        <v>629</v>
      </c>
      <c r="E1430" s="1">
        <v>45466</v>
      </c>
      <c r="F1430" s="1">
        <v>45469</v>
      </c>
      <c r="G1430" s="1"/>
      <c r="H1430" s="4" t="str">
        <f>IF(Claims_Cleaned[[#This Row],[processed_date]]="","",Claims_Cleaned[[#This Row],[processed_date]]-Claims_Cleaned[[#This Row],[submission_date]])</f>
        <v/>
      </c>
      <c r="I1430" s="4" t="str">
        <f>TEXT(Claims_Cleaned[[#This Row],[claim_date]],"mmm-yyyy")</f>
        <v>Jun-2024</v>
      </c>
      <c r="J1430" t="s">
        <v>20</v>
      </c>
      <c r="K1430">
        <v>314.36</v>
      </c>
      <c r="L1430" t="s">
        <v>689</v>
      </c>
    </row>
    <row r="1431" spans="1:13" x14ac:dyDescent="0.35">
      <c r="A1431" t="s">
        <v>1633</v>
      </c>
      <c r="B1431" t="s">
        <v>492</v>
      </c>
      <c r="C1431" t="s">
        <v>579</v>
      </c>
      <c r="D1431" t="s">
        <v>673</v>
      </c>
      <c r="E1431" s="1">
        <v>44936</v>
      </c>
      <c r="F1431" s="1">
        <v>44938</v>
      </c>
      <c r="G1431" s="1">
        <v>44956</v>
      </c>
      <c r="H1431" s="4">
        <f>IF(Claims_Cleaned[[#This Row],[processed_date]]="","",Claims_Cleaned[[#This Row],[processed_date]]-Claims_Cleaned[[#This Row],[submission_date]])</f>
        <v>18</v>
      </c>
      <c r="I1431" s="4" t="str">
        <f>TEXT(Claims_Cleaned[[#This Row],[claim_date]],"mmm-yyyy")</f>
        <v>Jan-2023</v>
      </c>
      <c r="J1431" t="s">
        <v>13</v>
      </c>
      <c r="K1431">
        <v>314.17</v>
      </c>
      <c r="L1431" t="s">
        <v>683</v>
      </c>
      <c r="M1431">
        <v>18</v>
      </c>
    </row>
    <row r="1432" spans="1:13" x14ac:dyDescent="0.35">
      <c r="A1432" t="s">
        <v>977</v>
      </c>
      <c r="B1432" t="s">
        <v>474</v>
      </c>
      <c r="C1432" t="s">
        <v>611</v>
      </c>
      <c r="D1432" t="s">
        <v>629</v>
      </c>
      <c r="E1432" s="1">
        <v>45470</v>
      </c>
      <c r="F1432" s="1">
        <v>45471</v>
      </c>
      <c r="G1432" s="1">
        <v>45476</v>
      </c>
      <c r="H1432" s="4">
        <f>IF(Claims_Cleaned[[#This Row],[processed_date]]="","",Claims_Cleaned[[#This Row],[processed_date]]-Claims_Cleaned[[#This Row],[submission_date]])</f>
        <v>5</v>
      </c>
      <c r="I1432" s="4" t="str">
        <f>TEXT(Claims_Cleaned[[#This Row],[claim_date]],"mmm-yyyy")</f>
        <v>Jun-2024</v>
      </c>
      <c r="J1432" t="s">
        <v>25</v>
      </c>
      <c r="K1432">
        <v>313.57</v>
      </c>
      <c r="L1432" t="s">
        <v>683</v>
      </c>
      <c r="M1432">
        <v>5</v>
      </c>
    </row>
    <row r="1433" spans="1:13" x14ac:dyDescent="0.35">
      <c r="A1433" t="s">
        <v>928</v>
      </c>
      <c r="B1433" t="s">
        <v>443</v>
      </c>
      <c r="C1433" t="s">
        <v>595</v>
      </c>
      <c r="D1433" t="s">
        <v>629</v>
      </c>
      <c r="E1433" s="1">
        <v>45180</v>
      </c>
      <c r="F1433" s="1">
        <v>45185</v>
      </c>
      <c r="G1433" s="1"/>
      <c r="H1433" s="4" t="str">
        <f>IF(Claims_Cleaned[[#This Row],[processed_date]]="","",Claims_Cleaned[[#This Row],[processed_date]]-Claims_Cleaned[[#This Row],[submission_date]])</f>
        <v/>
      </c>
      <c r="I1433" s="4" t="str">
        <f>TEXT(Claims_Cleaned[[#This Row],[claim_date]],"mmm-yyyy")</f>
        <v>Sep-2023</v>
      </c>
      <c r="J1433" t="s">
        <v>11</v>
      </c>
      <c r="K1433">
        <v>312.49</v>
      </c>
      <c r="L1433" t="s">
        <v>689</v>
      </c>
    </row>
    <row r="1434" spans="1:13" x14ac:dyDescent="0.35">
      <c r="A1434" t="s">
        <v>955</v>
      </c>
      <c r="B1434" t="s">
        <v>30</v>
      </c>
      <c r="C1434" t="s">
        <v>557</v>
      </c>
      <c r="D1434" t="s">
        <v>629</v>
      </c>
      <c r="E1434" s="1">
        <v>45030</v>
      </c>
      <c r="F1434" s="1">
        <v>45035</v>
      </c>
      <c r="G1434" s="1">
        <v>45039</v>
      </c>
      <c r="H1434" s="4">
        <f>IF(Claims_Cleaned[[#This Row],[processed_date]]="","",Claims_Cleaned[[#This Row],[processed_date]]-Claims_Cleaned[[#This Row],[submission_date]])</f>
        <v>4</v>
      </c>
      <c r="I1434" s="4" t="str">
        <f>TEXT(Claims_Cleaned[[#This Row],[claim_date]],"mmm-yyyy")</f>
        <v>Apr-2023</v>
      </c>
      <c r="J1434" t="s">
        <v>13</v>
      </c>
      <c r="K1434">
        <v>312.38</v>
      </c>
      <c r="L1434" t="s">
        <v>687</v>
      </c>
      <c r="M1434">
        <v>4</v>
      </c>
    </row>
    <row r="1435" spans="1:13" x14ac:dyDescent="0.35">
      <c r="A1435" t="s">
        <v>1614</v>
      </c>
      <c r="B1435" t="s">
        <v>197</v>
      </c>
      <c r="C1435" t="s">
        <v>553</v>
      </c>
      <c r="D1435" t="s">
        <v>629</v>
      </c>
      <c r="E1435" s="1">
        <v>45157</v>
      </c>
      <c r="F1435" s="1">
        <v>45158</v>
      </c>
      <c r="G1435" s="1">
        <v>45181</v>
      </c>
      <c r="H1435" s="4">
        <f>IF(Claims_Cleaned[[#This Row],[processed_date]]="","",Claims_Cleaned[[#This Row],[processed_date]]-Claims_Cleaned[[#This Row],[submission_date]])</f>
        <v>23</v>
      </c>
      <c r="I1435" s="4" t="str">
        <f>TEXT(Claims_Cleaned[[#This Row],[claim_date]],"mmm-yyyy")</f>
        <v>Aug-2023</v>
      </c>
      <c r="J1435" t="s">
        <v>13</v>
      </c>
      <c r="K1435">
        <v>309.26</v>
      </c>
      <c r="L1435" t="s">
        <v>683</v>
      </c>
      <c r="M1435">
        <v>23</v>
      </c>
    </row>
    <row r="1436" spans="1:13" x14ac:dyDescent="0.35">
      <c r="A1436" t="s">
        <v>935</v>
      </c>
      <c r="B1436" t="s">
        <v>155</v>
      </c>
      <c r="C1436" t="s">
        <v>546</v>
      </c>
      <c r="D1436" t="s">
        <v>673</v>
      </c>
      <c r="E1436" s="1">
        <v>45527</v>
      </c>
      <c r="F1436" s="1">
        <v>45532</v>
      </c>
      <c r="G1436" s="1"/>
      <c r="H1436" s="4" t="str">
        <f>IF(Claims_Cleaned[[#This Row],[processed_date]]="","",Claims_Cleaned[[#This Row],[processed_date]]-Claims_Cleaned[[#This Row],[submission_date]])</f>
        <v/>
      </c>
      <c r="I1436" s="4" t="str">
        <f>TEXT(Claims_Cleaned[[#This Row],[claim_date]],"mmm-yyyy")</f>
        <v>Aug-2024</v>
      </c>
      <c r="J1436" t="s">
        <v>20</v>
      </c>
      <c r="K1436">
        <v>309.20999999999998</v>
      </c>
      <c r="L1436" t="s">
        <v>689</v>
      </c>
    </row>
    <row r="1437" spans="1:13" x14ac:dyDescent="0.35">
      <c r="A1437" t="s">
        <v>1660</v>
      </c>
      <c r="B1437" t="s">
        <v>361</v>
      </c>
      <c r="C1437" t="s">
        <v>534</v>
      </c>
      <c r="D1437" t="s">
        <v>629</v>
      </c>
      <c r="E1437" s="1">
        <v>45487</v>
      </c>
      <c r="F1437" s="1">
        <v>45491</v>
      </c>
      <c r="G1437" s="1">
        <v>45494</v>
      </c>
      <c r="H1437" s="4">
        <f>IF(Claims_Cleaned[[#This Row],[processed_date]]="","",Claims_Cleaned[[#This Row],[processed_date]]-Claims_Cleaned[[#This Row],[submission_date]])</f>
        <v>3</v>
      </c>
      <c r="I1437" s="4" t="str">
        <f>TEXT(Claims_Cleaned[[#This Row],[claim_date]],"mmm-yyyy")</f>
        <v>Jul-2024</v>
      </c>
      <c r="J1437" t="s">
        <v>20</v>
      </c>
      <c r="K1437">
        <v>308.31</v>
      </c>
      <c r="L1437" t="s">
        <v>683</v>
      </c>
      <c r="M1437">
        <v>3</v>
      </c>
    </row>
    <row r="1438" spans="1:13" x14ac:dyDescent="0.35">
      <c r="A1438" t="s">
        <v>1697</v>
      </c>
      <c r="B1438" t="s">
        <v>179</v>
      </c>
      <c r="C1438" t="s">
        <v>561</v>
      </c>
      <c r="D1438" t="s">
        <v>673</v>
      </c>
      <c r="E1438" s="1">
        <v>45655</v>
      </c>
      <c r="F1438" s="1">
        <v>45656</v>
      </c>
      <c r="G1438" s="1">
        <v>45679</v>
      </c>
      <c r="H1438" s="4">
        <f>IF(Claims_Cleaned[[#This Row],[processed_date]]="","",Claims_Cleaned[[#This Row],[processed_date]]-Claims_Cleaned[[#This Row],[submission_date]])</f>
        <v>23</v>
      </c>
      <c r="I1438" s="4" t="str">
        <f>TEXT(Claims_Cleaned[[#This Row],[claim_date]],"mmm-yyyy")</f>
        <v>Dec-2024</v>
      </c>
      <c r="J1438" t="s">
        <v>11</v>
      </c>
      <c r="K1438">
        <v>307.75</v>
      </c>
      <c r="L1438" t="s">
        <v>683</v>
      </c>
      <c r="M1438">
        <v>23</v>
      </c>
    </row>
    <row r="1439" spans="1:13" x14ac:dyDescent="0.35">
      <c r="A1439" t="s">
        <v>1291</v>
      </c>
      <c r="B1439" t="s">
        <v>361</v>
      </c>
      <c r="C1439" t="s">
        <v>567</v>
      </c>
      <c r="D1439" t="s">
        <v>673</v>
      </c>
      <c r="E1439" s="1">
        <v>45581</v>
      </c>
      <c r="F1439" s="1">
        <v>45585</v>
      </c>
      <c r="G1439" s="1">
        <v>45589</v>
      </c>
      <c r="H1439" s="4">
        <f>IF(Claims_Cleaned[[#This Row],[processed_date]]="","",Claims_Cleaned[[#This Row],[processed_date]]-Claims_Cleaned[[#This Row],[submission_date]])</f>
        <v>4</v>
      </c>
      <c r="I1439" s="4" t="str">
        <f>TEXT(Claims_Cleaned[[#This Row],[claim_date]],"mmm-yyyy")</f>
        <v>Oct-2024</v>
      </c>
      <c r="J1439" t="s">
        <v>20</v>
      </c>
      <c r="K1439">
        <v>307.20999999999998</v>
      </c>
      <c r="L1439" t="s">
        <v>683</v>
      </c>
      <c r="M1439">
        <v>4</v>
      </c>
    </row>
    <row r="1440" spans="1:13" x14ac:dyDescent="0.35">
      <c r="A1440" t="s">
        <v>2068</v>
      </c>
      <c r="B1440" t="s">
        <v>515</v>
      </c>
      <c r="C1440" t="s">
        <v>524</v>
      </c>
      <c r="D1440" t="s">
        <v>629</v>
      </c>
      <c r="E1440" s="1">
        <v>45484</v>
      </c>
      <c r="F1440" s="1">
        <v>45485</v>
      </c>
      <c r="G1440" s="1">
        <v>45508</v>
      </c>
      <c r="H1440" s="4">
        <f>IF(Claims_Cleaned[[#This Row],[processed_date]]="","",Claims_Cleaned[[#This Row],[processed_date]]-Claims_Cleaned[[#This Row],[submission_date]])</f>
        <v>23</v>
      </c>
      <c r="I1440" s="4" t="str">
        <f>TEXT(Claims_Cleaned[[#This Row],[claim_date]],"mmm-yyyy")</f>
        <v>Jul-2024</v>
      </c>
      <c r="J1440" t="s">
        <v>11</v>
      </c>
      <c r="K1440">
        <v>306.52</v>
      </c>
      <c r="L1440" t="s">
        <v>683</v>
      </c>
      <c r="M1440">
        <v>23</v>
      </c>
    </row>
    <row r="1441" spans="1:13" x14ac:dyDescent="0.35">
      <c r="A1441" t="s">
        <v>2425</v>
      </c>
      <c r="B1441" t="s">
        <v>472</v>
      </c>
      <c r="C1441" t="s">
        <v>603</v>
      </c>
      <c r="D1441" t="s">
        <v>673</v>
      </c>
      <c r="E1441" s="1">
        <v>45476</v>
      </c>
      <c r="F1441" s="1">
        <v>45478</v>
      </c>
      <c r="G1441" s="1">
        <v>45497</v>
      </c>
      <c r="H1441" s="4">
        <f>IF(Claims_Cleaned[[#This Row],[processed_date]]="","",Claims_Cleaned[[#This Row],[processed_date]]-Claims_Cleaned[[#This Row],[submission_date]])</f>
        <v>19</v>
      </c>
      <c r="I1441" s="4" t="str">
        <f>TEXT(Claims_Cleaned[[#This Row],[claim_date]],"mmm-yyyy")</f>
        <v>Jul-2024</v>
      </c>
      <c r="J1441" t="s">
        <v>13</v>
      </c>
      <c r="K1441">
        <v>305.62</v>
      </c>
      <c r="L1441" t="s">
        <v>687</v>
      </c>
      <c r="M1441">
        <v>19</v>
      </c>
    </row>
    <row r="1442" spans="1:13" x14ac:dyDescent="0.35">
      <c r="A1442" t="s">
        <v>705</v>
      </c>
      <c r="B1442" t="s">
        <v>64</v>
      </c>
      <c r="C1442" t="s">
        <v>563</v>
      </c>
      <c r="D1442" t="s">
        <v>673</v>
      </c>
      <c r="E1442" s="1">
        <v>45331</v>
      </c>
      <c r="F1442" s="1">
        <v>45332</v>
      </c>
      <c r="G1442" s="1">
        <v>45351</v>
      </c>
      <c r="H1442" s="4">
        <f>IF(Claims_Cleaned[[#This Row],[processed_date]]="","",Claims_Cleaned[[#This Row],[processed_date]]-Claims_Cleaned[[#This Row],[submission_date]])</f>
        <v>19</v>
      </c>
      <c r="I1442" s="4" t="str">
        <f>TEXT(Claims_Cleaned[[#This Row],[claim_date]],"mmm-yyyy")</f>
        <v>Feb-2024</v>
      </c>
      <c r="J1442" t="s">
        <v>8</v>
      </c>
      <c r="K1442">
        <v>305.55</v>
      </c>
      <c r="L1442" t="s">
        <v>683</v>
      </c>
      <c r="M1442">
        <v>19</v>
      </c>
    </row>
    <row r="1443" spans="1:13" x14ac:dyDescent="0.35">
      <c r="A1443" t="s">
        <v>1245</v>
      </c>
      <c r="B1443" t="s">
        <v>148</v>
      </c>
      <c r="C1443" t="s">
        <v>527</v>
      </c>
      <c r="D1443" t="s">
        <v>673</v>
      </c>
      <c r="E1443" s="1">
        <v>45323</v>
      </c>
      <c r="F1443" s="1">
        <v>45326</v>
      </c>
      <c r="G1443" s="1"/>
      <c r="H1443" s="4" t="str">
        <f>IF(Claims_Cleaned[[#This Row],[processed_date]]="","",Claims_Cleaned[[#This Row],[processed_date]]-Claims_Cleaned[[#This Row],[submission_date]])</f>
        <v/>
      </c>
      <c r="I1443" s="4" t="str">
        <f>TEXT(Claims_Cleaned[[#This Row],[claim_date]],"mmm-yyyy")</f>
        <v>Feb-2024</v>
      </c>
      <c r="J1443" t="s">
        <v>8</v>
      </c>
      <c r="K1443">
        <v>305.08999999999997</v>
      </c>
      <c r="L1443" t="s">
        <v>689</v>
      </c>
    </row>
    <row r="1444" spans="1:13" x14ac:dyDescent="0.35">
      <c r="A1444" t="s">
        <v>978</v>
      </c>
      <c r="B1444" t="s">
        <v>422</v>
      </c>
      <c r="C1444" t="s">
        <v>609</v>
      </c>
      <c r="D1444" t="s">
        <v>629</v>
      </c>
      <c r="E1444" s="1">
        <v>45575</v>
      </c>
      <c r="F1444" s="1">
        <v>45580</v>
      </c>
      <c r="G1444" s="1">
        <v>45599</v>
      </c>
      <c r="H1444" s="4">
        <f>IF(Claims_Cleaned[[#This Row],[processed_date]]="","",Claims_Cleaned[[#This Row],[processed_date]]-Claims_Cleaned[[#This Row],[submission_date]])</f>
        <v>19</v>
      </c>
      <c r="I1444" s="4" t="str">
        <f>TEXT(Claims_Cleaned[[#This Row],[claim_date]],"mmm-yyyy")</f>
        <v>Oct-2024</v>
      </c>
      <c r="J1444" t="s">
        <v>11</v>
      </c>
      <c r="K1444">
        <v>304.33</v>
      </c>
      <c r="L1444" t="s">
        <v>683</v>
      </c>
      <c r="M1444">
        <v>19</v>
      </c>
    </row>
    <row r="1445" spans="1:13" x14ac:dyDescent="0.35">
      <c r="A1445" t="s">
        <v>856</v>
      </c>
      <c r="B1445" t="s">
        <v>280</v>
      </c>
      <c r="C1445" t="s">
        <v>567</v>
      </c>
      <c r="D1445" t="s">
        <v>673</v>
      </c>
      <c r="E1445" s="1">
        <v>45231</v>
      </c>
      <c r="F1445" s="1">
        <v>45234</v>
      </c>
      <c r="G1445" s="1">
        <v>45239</v>
      </c>
      <c r="H1445" s="4">
        <f>IF(Claims_Cleaned[[#This Row],[processed_date]]="","",Claims_Cleaned[[#This Row],[processed_date]]-Claims_Cleaned[[#This Row],[submission_date]])</f>
        <v>5</v>
      </c>
      <c r="I1445" s="4" t="str">
        <f>TEXT(Claims_Cleaned[[#This Row],[claim_date]],"mmm-yyyy")</f>
        <v>Nov-2023</v>
      </c>
      <c r="J1445" t="s">
        <v>8</v>
      </c>
      <c r="K1445">
        <v>304.17</v>
      </c>
      <c r="L1445" t="s">
        <v>687</v>
      </c>
      <c r="M1445">
        <v>5</v>
      </c>
    </row>
    <row r="1446" spans="1:13" x14ac:dyDescent="0.35">
      <c r="A1446" t="s">
        <v>741</v>
      </c>
      <c r="B1446" t="s">
        <v>293</v>
      </c>
      <c r="C1446" t="s">
        <v>531</v>
      </c>
      <c r="D1446" t="s">
        <v>629</v>
      </c>
      <c r="E1446" s="1">
        <v>45358</v>
      </c>
      <c r="F1446" s="1">
        <v>45361</v>
      </c>
      <c r="G1446" s="1">
        <v>45385</v>
      </c>
      <c r="H1446" s="4">
        <f>IF(Claims_Cleaned[[#This Row],[processed_date]]="","",Claims_Cleaned[[#This Row],[processed_date]]-Claims_Cleaned[[#This Row],[submission_date]])</f>
        <v>24</v>
      </c>
      <c r="I1446" s="4" t="str">
        <f>TEXT(Claims_Cleaned[[#This Row],[claim_date]],"mmm-yyyy")</f>
        <v>Mar-2024</v>
      </c>
      <c r="J1446" t="s">
        <v>20</v>
      </c>
      <c r="K1446">
        <v>303.67</v>
      </c>
      <c r="L1446" t="s">
        <v>683</v>
      </c>
      <c r="M1446">
        <v>24</v>
      </c>
    </row>
    <row r="1447" spans="1:13" x14ac:dyDescent="0.35">
      <c r="A1447" t="s">
        <v>2359</v>
      </c>
      <c r="B1447" t="s">
        <v>228</v>
      </c>
      <c r="C1447" t="s">
        <v>527</v>
      </c>
      <c r="D1447" t="s">
        <v>673</v>
      </c>
      <c r="E1447" s="1">
        <v>45340</v>
      </c>
      <c r="F1447" s="1">
        <v>45343</v>
      </c>
      <c r="G1447" s="1">
        <v>45363</v>
      </c>
      <c r="H1447" s="4">
        <f>IF(Claims_Cleaned[[#This Row],[processed_date]]="","",Claims_Cleaned[[#This Row],[processed_date]]-Claims_Cleaned[[#This Row],[submission_date]])</f>
        <v>20</v>
      </c>
      <c r="I1447" s="4" t="str">
        <f>TEXT(Claims_Cleaned[[#This Row],[claim_date]],"mmm-yyyy")</f>
        <v>Feb-2024</v>
      </c>
      <c r="J1447" t="s">
        <v>25</v>
      </c>
      <c r="K1447">
        <v>302.64999999999998</v>
      </c>
      <c r="L1447" t="s">
        <v>687</v>
      </c>
      <c r="M1447">
        <v>20</v>
      </c>
    </row>
    <row r="1448" spans="1:13" x14ac:dyDescent="0.35">
      <c r="A1448" t="s">
        <v>1582</v>
      </c>
      <c r="B1448" t="s">
        <v>405</v>
      </c>
      <c r="C1448" t="s">
        <v>571</v>
      </c>
      <c r="D1448" t="s">
        <v>629</v>
      </c>
      <c r="E1448" s="1">
        <v>45114</v>
      </c>
      <c r="F1448" s="1">
        <v>45116</v>
      </c>
      <c r="G1448" s="1">
        <v>45135</v>
      </c>
      <c r="H1448" s="4">
        <f>IF(Claims_Cleaned[[#This Row],[processed_date]]="","",Claims_Cleaned[[#This Row],[processed_date]]-Claims_Cleaned[[#This Row],[submission_date]])</f>
        <v>19</v>
      </c>
      <c r="I1448" s="4" t="str">
        <f>TEXT(Claims_Cleaned[[#This Row],[claim_date]],"mmm-yyyy")</f>
        <v>Jul-2023</v>
      </c>
      <c r="J1448" t="s">
        <v>13</v>
      </c>
      <c r="K1448">
        <v>302.05</v>
      </c>
      <c r="L1448" t="s">
        <v>683</v>
      </c>
      <c r="M1448">
        <v>19</v>
      </c>
    </row>
    <row r="1449" spans="1:13" x14ac:dyDescent="0.35">
      <c r="A1449" t="s">
        <v>1214</v>
      </c>
      <c r="B1449" t="s">
        <v>444</v>
      </c>
      <c r="C1449" t="s">
        <v>555</v>
      </c>
      <c r="D1449" t="s">
        <v>629</v>
      </c>
      <c r="E1449" s="1">
        <v>45019</v>
      </c>
      <c r="F1449" s="1">
        <v>45021</v>
      </c>
      <c r="G1449" s="1"/>
      <c r="H1449" s="4" t="str">
        <f>IF(Claims_Cleaned[[#This Row],[processed_date]]="","",Claims_Cleaned[[#This Row],[processed_date]]-Claims_Cleaned[[#This Row],[submission_date]])</f>
        <v/>
      </c>
      <c r="I1449" s="4" t="str">
        <f>TEXT(Claims_Cleaned[[#This Row],[claim_date]],"mmm-yyyy")</f>
        <v>Apr-2023</v>
      </c>
      <c r="J1449" t="s">
        <v>25</v>
      </c>
      <c r="K1449">
        <v>301.63</v>
      </c>
      <c r="L1449" t="s">
        <v>689</v>
      </c>
    </row>
    <row r="1450" spans="1:13" x14ac:dyDescent="0.35">
      <c r="A1450" t="s">
        <v>1939</v>
      </c>
      <c r="B1450" t="s">
        <v>225</v>
      </c>
      <c r="C1450" t="s">
        <v>540</v>
      </c>
      <c r="D1450" t="s">
        <v>673</v>
      </c>
      <c r="E1450" s="1">
        <v>45065</v>
      </c>
      <c r="F1450" s="1">
        <v>45069</v>
      </c>
      <c r="G1450" s="1"/>
      <c r="H1450" s="4" t="str">
        <f>IF(Claims_Cleaned[[#This Row],[processed_date]]="","",Claims_Cleaned[[#This Row],[processed_date]]-Claims_Cleaned[[#This Row],[submission_date]])</f>
        <v/>
      </c>
      <c r="I1450" s="4" t="str">
        <f>TEXT(Claims_Cleaned[[#This Row],[claim_date]],"mmm-yyyy")</f>
        <v>May-2023</v>
      </c>
      <c r="J1450" t="s">
        <v>8</v>
      </c>
      <c r="K1450">
        <v>300.97000000000003</v>
      </c>
      <c r="L1450" t="s">
        <v>689</v>
      </c>
    </row>
    <row r="1451" spans="1:13" x14ac:dyDescent="0.35">
      <c r="A1451" t="s">
        <v>1668</v>
      </c>
      <c r="B1451" t="s">
        <v>401</v>
      </c>
      <c r="C1451" t="s">
        <v>611</v>
      </c>
      <c r="D1451" t="s">
        <v>629</v>
      </c>
      <c r="E1451" s="1">
        <v>45135</v>
      </c>
      <c r="F1451" s="1">
        <v>45137</v>
      </c>
      <c r="G1451" s="1">
        <v>45148</v>
      </c>
      <c r="H1451" s="4">
        <f>IF(Claims_Cleaned[[#This Row],[processed_date]]="","",Claims_Cleaned[[#This Row],[processed_date]]-Claims_Cleaned[[#This Row],[submission_date]])</f>
        <v>11</v>
      </c>
      <c r="I1451" s="4" t="str">
        <f>TEXT(Claims_Cleaned[[#This Row],[claim_date]],"mmm-yyyy")</f>
        <v>Jul-2023</v>
      </c>
      <c r="J1451" t="s">
        <v>8</v>
      </c>
      <c r="K1451">
        <v>300.41000000000003</v>
      </c>
      <c r="L1451" t="s">
        <v>683</v>
      </c>
      <c r="M1451">
        <v>11</v>
      </c>
    </row>
    <row r="1452" spans="1:13" x14ac:dyDescent="0.35">
      <c r="A1452" t="s">
        <v>2567</v>
      </c>
      <c r="B1452" t="s">
        <v>407</v>
      </c>
      <c r="C1452" t="s">
        <v>611</v>
      </c>
      <c r="D1452" t="s">
        <v>673</v>
      </c>
      <c r="E1452" s="1">
        <v>45041</v>
      </c>
      <c r="F1452" s="1">
        <v>45045</v>
      </c>
      <c r="G1452" s="1">
        <v>45070</v>
      </c>
      <c r="H1452" s="4">
        <f>IF(Claims_Cleaned[[#This Row],[processed_date]]="","",Claims_Cleaned[[#This Row],[processed_date]]-Claims_Cleaned[[#This Row],[submission_date]])</f>
        <v>25</v>
      </c>
      <c r="I1452" s="4" t="str">
        <f>TEXT(Claims_Cleaned[[#This Row],[claim_date]],"mmm-yyyy")</f>
        <v>Apr-2023</v>
      </c>
      <c r="J1452" t="s">
        <v>8</v>
      </c>
      <c r="K1452">
        <v>300.33999999999997</v>
      </c>
      <c r="L1452" t="s">
        <v>683</v>
      </c>
      <c r="M1452">
        <v>25</v>
      </c>
    </row>
    <row r="1453" spans="1:13" x14ac:dyDescent="0.35">
      <c r="A1453" t="s">
        <v>2640</v>
      </c>
      <c r="B1453" t="s">
        <v>269</v>
      </c>
      <c r="C1453" t="s">
        <v>540</v>
      </c>
      <c r="D1453" t="s">
        <v>673</v>
      </c>
      <c r="E1453" s="1">
        <v>45290</v>
      </c>
      <c r="F1453" s="1">
        <v>45295</v>
      </c>
      <c r="G1453" s="1">
        <v>45320</v>
      </c>
      <c r="H1453" s="4">
        <f>IF(Claims_Cleaned[[#This Row],[processed_date]]="","",Claims_Cleaned[[#This Row],[processed_date]]-Claims_Cleaned[[#This Row],[submission_date]])</f>
        <v>25</v>
      </c>
      <c r="I1453" s="4" t="str">
        <f>TEXT(Claims_Cleaned[[#This Row],[claim_date]],"mmm-yyyy")</f>
        <v>Dec-2023</v>
      </c>
      <c r="J1453" t="s">
        <v>20</v>
      </c>
      <c r="K1453">
        <v>299.99</v>
      </c>
      <c r="L1453" t="s">
        <v>683</v>
      </c>
      <c r="M1453">
        <v>25</v>
      </c>
    </row>
    <row r="1454" spans="1:13" x14ac:dyDescent="0.35">
      <c r="A1454" t="s">
        <v>1595</v>
      </c>
      <c r="B1454" t="s">
        <v>243</v>
      </c>
      <c r="C1454" t="s">
        <v>607</v>
      </c>
      <c r="D1454" t="s">
        <v>673</v>
      </c>
      <c r="E1454" s="1">
        <v>45306</v>
      </c>
      <c r="F1454" s="1">
        <v>45311</v>
      </c>
      <c r="G1454" s="1">
        <v>45319</v>
      </c>
      <c r="H1454" s="4">
        <f>IF(Claims_Cleaned[[#This Row],[processed_date]]="","",Claims_Cleaned[[#This Row],[processed_date]]-Claims_Cleaned[[#This Row],[submission_date]])</f>
        <v>8</v>
      </c>
      <c r="I1454" s="4" t="str">
        <f>TEXT(Claims_Cleaned[[#This Row],[claim_date]],"mmm-yyyy")</f>
        <v>Jan-2024</v>
      </c>
      <c r="J1454" t="s">
        <v>13</v>
      </c>
      <c r="K1454">
        <v>299.75</v>
      </c>
      <c r="L1454" t="s">
        <v>683</v>
      </c>
      <c r="M1454">
        <v>8</v>
      </c>
    </row>
    <row r="1455" spans="1:13" x14ac:dyDescent="0.35">
      <c r="A1455" t="s">
        <v>1437</v>
      </c>
      <c r="B1455" t="s">
        <v>360</v>
      </c>
      <c r="C1455" t="s">
        <v>563</v>
      </c>
      <c r="D1455" t="s">
        <v>673</v>
      </c>
      <c r="E1455" s="1">
        <v>45035</v>
      </c>
      <c r="F1455" s="1">
        <v>45039</v>
      </c>
      <c r="G1455" s="1">
        <v>45062</v>
      </c>
      <c r="H1455" s="4">
        <f>IF(Claims_Cleaned[[#This Row],[processed_date]]="","",Claims_Cleaned[[#This Row],[processed_date]]-Claims_Cleaned[[#This Row],[submission_date]])</f>
        <v>23</v>
      </c>
      <c r="I1455" s="4" t="str">
        <f>TEXT(Claims_Cleaned[[#This Row],[claim_date]],"mmm-yyyy")</f>
        <v>Apr-2023</v>
      </c>
      <c r="J1455" t="s">
        <v>11</v>
      </c>
      <c r="K1455">
        <v>298.86</v>
      </c>
      <c r="L1455" t="s">
        <v>683</v>
      </c>
      <c r="M1455">
        <v>23</v>
      </c>
    </row>
    <row r="1456" spans="1:13" x14ac:dyDescent="0.35">
      <c r="A1456" t="s">
        <v>2645</v>
      </c>
      <c r="B1456" t="s">
        <v>103</v>
      </c>
      <c r="C1456" t="s">
        <v>549</v>
      </c>
      <c r="D1456" t="s">
        <v>673</v>
      </c>
      <c r="E1456" s="1">
        <v>45265</v>
      </c>
      <c r="F1456" s="1">
        <v>45266</v>
      </c>
      <c r="G1456" s="1">
        <v>45277</v>
      </c>
      <c r="H1456" s="4">
        <f>IF(Claims_Cleaned[[#This Row],[processed_date]]="","",Claims_Cleaned[[#This Row],[processed_date]]-Claims_Cleaned[[#This Row],[submission_date]])</f>
        <v>11</v>
      </c>
      <c r="I1456" s="4" t="str">
        <f>TEXT(Claims_Cleaned[[#This Row],[claim_date]],"mmm-yyyy")</f>
        <v>Dec-2023</v>
      </c>
      <c r="J1456" t="s">
        <v>20</v>
      </c>
      <c r="K1456">
        <v>298.76</v>
      </c>
      <c r="L1456" t="s">
        <v>687</v>
      </c>
      <c r="M1456">
        <v>11</v>
      </c>
    </row>
    <row r="1457" spans="1:13" x14ac:dyDescent="0.35">
      <c r="A1457" t="s">
        <v>1466</v>
      </c>
      <c r="B1457" t="s">
        <v>285</v>
      </c>
      <c r="C1457" t="s">
        <v>557</v>
      </c>
      <c r="D1457" t="s">
        <v>629</v>
      </c>
      <c r="E1457" s="1">
        <v>45539</v>
      </c>
      <c r="F1457" s="1">
        <v>45540</v>
      </c>
      <c r="G1457" s="1">
        <v>45569</v>
      </c>
      <c r="H1457" s="4">
        <f>IF(Claims_Cleaned[[#This Row],[processed_date]]="","",Claims_Cleaned[[#This Row],[processed_date]]-Claims_Cleaned[[#This Row],[submission_date]])</f>
        <v>29</v>
      </c>
      <c r="I1457" s="4" t="str">
        <f>TEXT(Claims_Cleaned[[#This Row],[claim_date]],"mmm-yyyy")</f>
        <v>Sep-2024</v>
      </c>
      <c r="J1457" t="s">
        <v>13</v>
      </c>
      <c r="K1457">
        <v>298.68</v>
      </c>
      <c r="L1457" t="s">
        <v>687</v>
      </c>
      <c r="M1457">
        <v>29</v>
      </c>
    </row>
    <row r="1458" spans="1:13" x14ac:dyDescent="0.35">
      <c r="A1458" t="s">
        <v>2639</v>
      </c>
      <c r="B1458" t="s">
        <v>471</v>
      </c>
      <c r="C1458" t="s">
        <v>577</v>
      </c>
      <c r="D1458" t="s">
        <v>673</v>
      </c>
      <c r="E1458" s="1">
        <v>45425</v>
      </c>
      <c r="F1458" s="1">
        <v>45426</v>
      </c>
      <c r="G1458" s="1">
        <v>45429</v>
      </c>
      <c r="H1458" s="4">
        <f>IF(Claims_Cleaned[[#This Row],[processed_date]]="","",Claims_Cleaned[[#This Row],[processed_date]]-Claims_Cleaned[[#This Row],[submission_date]])</f>
        <v>3</v>
      </c>
      <c r="I1458" s="4" t="str">
        <f>TEXT(Claims_Cleaned[[#This Row],[claim_date]],"mmm-yyyy")</f>
        <v>May-2024</v>
      </c>
      <c r="J1458" t="s">
        <v>25</v>
      </c>
      <c r="K1458">
        <v>298.45</v>
      </c>
      <c r="L1458" t="s">
        <v>683</v>
      </c>
      <c r="M1458">
        <v>3</v>
      </c>
    </row>
    <row r="1459" spans="1:13" x14ac:dyDescent="0.35">
      <c r="A1459" t="s">
        <v>1478</v>
      </c>
      <c r="B1459" t="s">
        <v>268</v>
      </c>
      <c r="C1459" t="s">
        <v>561</v>
      </c>
      <c r="D1459" t="s">
        <v>629</v>
      </c>
      <c r="E1459" s="1">
        <v>45321</v>
      </c>
      <c r="F1459" s="1">
        <v>45322</v>
      </c>
      <c r="G1459" s="1">
        <v>45343</v>
      </c>
      <c r="H1459" s="4">
        <f>IF(Claims_Cleaned[[#This Row],[processed_date]]="","",Claims_Cleaned[[#This Row],[processed_date]]-Claims_Cleaned[[#This Row],[submission_date]])</f>
        <v>21</v>
      </c>
      <c r="I1459" s="4" t="str">
        <f>TEXT(Claims_Cleaned[[#This Row],[claim_date]],"mmm-yyyy")</f>
        <v>Jan-2024</v>
      </c>
      <c r="J1459" t="s">
        <v>11</v>
      </c>
      <c r="K1459">
        <v>297.02</v>
      </c>
      <c r="L1459" t="s">
        <v>683</v>
      </c>
      <c r="M1459">
        <v>21</v>
      </c>
    </row>
    <row r="1460" spans="1:13" x14ac:dyDescent="0.35">
      <c r="A1460" t="s">
        <v>1676</v>
      </c>
      <c r="B1460" t="s">
        <v>351</v>
      </c>
      <c r="C1460" t="s">
        <v>575</v>
      </c>
      <c r="D1460" t="s">
        <v>629</v>
      </c>
      <c r="E1460" s="1">
        <v>45559</v>
      </c>
      <c r="F1460" s="1">
        <v>45561</v>
      </c>
      <c r="G1460" s="1">
        <v>45571</v>
      </c>
      <c r="H1460" s="4">
        <f>IF(Claims_Cleaned[[#This Row],[processed_date]]="","",Claims_Cleaned[[#This Row],[processed_date]]-Claims_Cleaned[[#This Row],[submission_date]])</f>
        <v>10</v>
      </c>
      <c r="I1460" s="4" t="str">
        <f>TEXT(Claims_Cleaned[[#This Row],[claim_date]],"mmm-yyyy")</f>
        <v>Sep-2024</v>
      </c>
      <c r="J1460" t="s">
        <v>11</v>
      </c>
      <c r="K1460">
        <v>296.77999999999997</v>
      </c>
      <c r="L1460" t="s">
        <v>683</v>
      </c>
      <c r="M1460">
        <v>10</v>
      </c>
    </row>
    <row r="1461" spans="1:13" x14ac:dyDescent="0.35">
      <c r="A1461" t="s">
        <v>1287</v>
      </c>
      <c r="B1461" t="s">
        <v>271</v>
      </c>
      <c r="C1461" t="s">
        <v>571</v>
      </c>
      <c r="D1461" t="s">
        <v>673</v>
      </c>
      <c r="E1461" s="1">
        <v>45010</v>
      </c>
      <c r="F1461" s="1">
        <v>45011</v>
      </c>
      <c r="G1461" s="1">
        <v>45029</v>
      </c>
      <c r="H1461" s="4">
        <f>IF(Claims_Cleaned[[#This Row],[processed_date]]="","",Claims_Cleaned[[#This Row],[processed_date]]-Claims_Cleaned[[#This Row],[submission_date]])</f>
        <v>18</v>
      </c>
      <c r="I1461" s="4" t="str">
        <f>TEXT(Claims_Cleaned[[#This Row],[claim_date]],"mmm-yyyy")</f>
        <v>Mar-2023</v>
      </c>
      <c r="J1461" t="s">
        <v>8</v>
      </c>
      <c r="K1461">
        <v>296.62</v>
      </c>
      <c r="L1461" t="s">
        <v>683</v>
      </c>
      <c r="M1461">
        <v>18</v>
      </c>
    </row>
    <row r="1462" spans="1:13" x14ac:dyDescent="0.35">
      <c r="A1462" t="s">
        <v>1018</v>
      </c>
      <c r="B1462" t="s">
        <v>338</v>
      </c>
      <c r="C1462" t="s">
        <v>581</v>
      </c>
      <c r="D1462" t="s">
        <v>673</v>
      </c>
      <c r="E1462" s="1">
        <v>45654</v>
      </c>
      <c r="F1462" s="1">
        <v>45658</v>
      </c>
      <c r="G1462" s="1">
        <v>45676</v>
      </c>
      <c r="H1462" s="4">
        <f>IF(Claims_Cleaned[[#This Row],[processed_date]]="","",Claims_Cleaned[[#This Row],[processed_date]]-Claims_Cleaned[[#This Row],[submission_date]])</f>
        <v>18</v>
      </c>
      <c r="I1462" s="4" t="str">
        <f>TEXT(Claims_Cleaned[[#This Row],[claim_date]],"mmm-yyyy")</f>
        <v>Dec-2024</v>
      </c>
      <c r="J1462" t="s">
        <v>8</v>
      </c>
      <c r="K1462">
        <v>296.52</v>
      </c>
      <c r="L1462" t="s">
        <v>683</v>
      </c>
      <c r="M1462">
        <v>18</v>
      </c>
    </row>
    <row r="1463" spans="1:13" x14ac:dyDescent="0.35">
      <c r="A1463" t="s">
        <v>2203</v>
      </c>
      <c r="B1463" t="s">
        <v>201</v>
      </c>
      <c r="C1463" t="s">
        <v>587</v>
      </c>
      <c r="D1463" t="s">
        <v>673</v>
      </c>
      <c r="E1463" s="1">
        <v>45196</v>
      </c>
      <c r="F1463" s="1">
        <v>45198</v>
      </c>
      <c r="G1463" s="1">
        <v>45221</v>
      </c>
      <c r="H1463" s="4">
        <f>IF(Claims_Cleaned[[#This Row],[processed_date]]="","",Claims_Cleaned[[#This Row],[processed_date]]-Claims_Cleaned[[#This Row],[submission_date]])</f>
        <v>23</v>
      </c>
      <c r="I1463" s="4" t="str">
        <f>TEXT(Claims_Cleaned[[#This Row],[claim_date]],"mmm-yyyy")</f>
        <v>Sep-2023</v>
      </c>
      <c r="J1463" t="s">
        <v>8</v>
      </c>
      <c r="K1463">
        <v>296.47000000000003</v>
      </c>
      <c r="L1463" t="s">
        <v>683</v>
      </c>
      <c r="M1463">
        <v>23</v>
      </c>
    </row>
    <row r="1464" spans="1:13" x14ac:dyDescent="0.35">
      <c r="A1464" t="s">
        <v>2601</v>
      </c>
      <c r="B1464" t="s">
        <v>315</v>
      </c>
      <c r="C1464" t="s">
        <v>575</v>
      </c>
      <c r="D1464" t="s">
        <v>629</v>
      </c>
      <c r="E1464" s="1">
        <v>45486</v>
      </c>
      <c r="F1464" s="1">
        <v>45491</v>
      </c>
      <c r="G1464" s="1">
        <v>45496</v>
      </c>
      <c r="H1464" s="4">
        <f>IF(Claims_Cleaned[[#This Row],[processed_date]]="","",Claims_Cleaned[[#This Row],[processed_date]]-Claims_Cleaned[[#This Row],[submission_date]])</f>
        <v>5</v>
      </c>
      <c r="I1464" s="4" t="str">
        <f>TEXT(Claims_Cleaned[[#This Row],[claim_date]],"mmm-yyyy")</f>
        <v>Jul-2024</v>
      </c>
      <c r="J1464" t="s">
        <v>13</v>
      </c>
      <c r="K1464">
        <v>295.68</v>
      </c>
      <c r="L1464" t="s">
        <v>687</v>
      </c>
      <c r="M1464">
        <v>5</v>
      </c>
    </row>
    <row r="1465" spans="1:13" x14ac:dyDescent="0.35">
      <c r="A1465" t="s">
        <v>2579</v>
      </c>
      <c r="B1465" t="s">
        <v>434</v>
      </c>
      <c r="C1465" t="s">
        <v>583</v>
      </c>
      <c r="D1465" t="s">
        <v>673</v>
      </c>
      <c r="E1465" s="1">
        <v>45044</v>
      </c>
      <c r="F1465" s="1">
        <v>45045</v>
      </c>
      <c r="G1465" s="1">
        <v>45065</v>
      </c>
      <c r="H1465" s="4">
        <f>IF(Claims_Cleaned[[#This Row],[processed_date]]="","",Claims_Cleaned[[#This Row],[processed_date]]-Claims_Cleaned[[#This Row],[submission_date]])</f>
        <v>20</v>
      </c>
      <c r="I1465" s="4" t="str">
        <f>TEXT(Claims_Cleaned[[#This Row],[claim_date]],"mmm-yyyy")</f>
        <v>Apr-2023</v>
      </c>
      <c r="J1465" t="s">
        <v>11</v>
      </c>
      <c r="K1465">
        <v>293.38</v>
      </c>
      <c r="L1465" t="s">
        <v>683</v>
      </c>
      <c r="M1465">
        <v>20</v>
      </c>
    </row>
    <row r="1466" spans="1:13" x14ac:dyDescent="0.35">
      <c r="A1466" t="s">
        <v>1372</v>
      </c>
      <c r="B1466" t="s">
        <v>495</v>
      </c>
      <c r="C1466" t="s">
        <v>605</v>
      </c>
      <c r="D1466" t="s">
        <v>673</v>
      </c>
      <c r="E1466" s="1">
        <v>45353</v>
      </c>
      <c r="F1466" s="1">
        <v>45356</v>
      </c>
      <c r="G1466" s="1">
        <v>45375</v>
      </c>
      <c r="H1466" s="4">
        <f>IF(Claims_Cleaned[[#This Row],[processed_date]]="","",Claims_Cleaned[[#This Row],[processed_date]]-Claims_Cleaned[[#This Row],[submission_date]])</f>
        <v>19</v>
      </c>
      <c r="I1466" s="4" t="str">
        <f>TEXT(Claims_Cleaned[[#This Row],[claim_date]],"mmm-yyyy")</f>
        <v>Mar-2024</v>
      </c>
      <c r="J1466" t="s">
        <v>13</v>
      </c>
      <c r="K1466">
        <v>293.22000000000003</v>
      </c>
      <c r="L1466" t="s">
        <v>683</v>
      </c>
      <c r="M1466">
        <v>19</v>
      </c>
    </row>
    <row r="1467" spans="1:13" x14ac:dyDescent="0.35">
      <c r="A1467" t="s">
        <v>801</v>
      </c>
      <c r="B1467" t="s">
        <v>394</v>
      </c>
      <c r="C1467" t="s">
        <v>581</v>
      </c>
      <c r="D1467" t="s">
        <v>629</v>
      </c>
      <c r="E1467" s="1">
        <v>45114</v>
      </c>
      <c r="F1467" s="1">
        <v>45118</v>
      </c>
      <c r="G1467" s="1">
        <v>45137</v>
      </c>
      <c r="H1467" s="4">
        <f>IF(Claims_Cleaned[[#This Row],[processed_date]]="","",Claims_Cleaned[[#This Row],[processed_date]]-Claims_Cleaned[[#This Row],[submission_date]])</f>
        <v>19</v>
      </c>
      <c r="I1467" s="4" t="str">
        <f>TEXT(Claims_Cleaned[[#This Row],[claim_date]],"mmm-yyyy")</f>
        <v>Jul-2023</v>
      </c>
      <c r="J1467" t="s">
        <v>8</v>
      </c>
      <c r="K1467">
        <v>292.60000000000002</v>
      </c>
      <c r="L1467" t="s">
        <v>683</v>
      </c>
      <c r="M1467">
        <v>19</v>
      </c>
    </row>
    <row r="1468" spans="1:13" x14ac:dyDescent="0.35">
      <c r="A1468" t="s">
        <v>2144</v>
      </c>
      <c r="B1468" t="s">
        <v>225</v>
      </c>
      <c r="C1468" t="s">
        <v>595</v>
      </c>
      <c r="D1468" t="s">
        <v>673</v>
      </c>
      <c r="E1468" s="1">
        <v>45406</v>
      </c>
      <c r="F1468" s="1">
        <v>45407</v>
      </c>
      <c r="G1468" s="1">
        <v>45436</v>
      </c>
      <c r="H1468" s="4">
        <f>IF(Claims_Cleaned[[#This Row],[processed_date]]="","",Claims_Cleaned[[#This Row],[processed_date]]-Claims_Cleaned[[#This Row],[submission_date]])</f>
        <v>29</v>
      </c>
      <c r="I1468" s="4" t="str">
        <f>TEXT(Claims_Cleaned[[#This Row],[claim_date]],"mmm-yyyy")</f>
        <v>Apr-2024</v>
      </c>
      <c r="J1468" t="s">
        <v>8</v>
      </c>
      <c r="K1468">
        <v>292.49</v>
      </c>
      <c r="L1468" t="s">
        <v>683</v>
      </c>
      <c r="M1468">
        <v>29</v>
      </c>
    </row>
    <row r="1469" spans="1:13" x14ac:dyDescent="0.35">
      <c r="A1469" t="s">
        <v>1664</v>
      </c>
      <c r="B1469" t="s">
        <v>294</v>
      </c>
      <c r="C1469" t="s">
        <v>569</v>
      </c>
      <c r="D1469" t="s">
        <v>673</v>
      </c>
      <c r="E1469" s="1">
        <v>45080</v>
      </c>
      <c r="F1469" s="1">
        <v>45082</v>
      </c>
      <c r="G1469" s="1"/>
      <c r="H1469" s="4" t="str">
        <f>IF(Claims_Cleaned[[#This Row],[processed_date]]="","",Claims_Cleaned[[#This Row],[processed_date]]-Claims_Cleaned[[#This Row],[submission_date]])</f>
        <v/>
      </c>
      <c r="I1469" s="4" t="str">
        <f>TEXT(Claims_Cleaned[[#This Row],[claim_date]],"mmm-yyyy")</f>
        <v>Jun-2023</v>
      </c>
      <c r="J1469" t="s">
        <v>11</v>
      </c>
      <c r="K1469">
        <v>291.76</v>
      </c>
      <c r="L1469" t="s">
        <v>689</v>
      </c>
    </row>
    <row r="1470" spans="1:13" x14ac:dyDescent="0.35">
      <c r="A1470" t="s">
        <v>1303</v>
      </c>
      <c r="B1470" t="s">
        <v>29</v>
      </c>
      <c r="C1470" t="s">
        <v>561</v>
      </c>
      <c r="D1470" t="s">
        <v>673</v>
      </c>
      <c r="E1470" s="1">
        <v>45466</v>
      </c>
      <c r="F1470" s="1">
        <v>45467</v>
      </c>
      <c r="G1470" s="1">
        <v>45481</v>
      </c>
      <c r="H1470" s="4">
        <f>IF(Claims_Cleaned[[#This Row],[processed_date]]="","",Claims_Cleaned[[#This Row],[processed_date]]-Claims_Cleaned[[#This Row],[submission_date]])</f>
        <v>14</v>
      </c>
      <c r="I1470" s="4" t="str">
        <f>TEXT(Claims_Cleaned[[#This Row],[claim_date]],"mmm-yyyy")</f>
        <v>Jun-2024</v>
      </c>
      <c r="J1470" t="s">
        <v>8</v>
      </c>
      <c r="K1470">
        <v>291.64999999999998</v>
      </c>
      <c r="L1470" t="s">
        <v>683</v>
      </c>
      <c r="M1470">
        <v>14</v>
      </c>
    </row>
    <row r="1471" spans="1:13" x14ac:dyDescent="0.35">
      <c r="A1471" t="s">
        <v>1451</v>
      </c>
      <c r="B1471" t="s">
        <v>502</v>
      </c>
      <c r="C1471" t="s">
        <v>559</v>
      </c>
      <c r="D1471" t="s">
        <v>629</v>
      </c>
      <c r="E1471" s="1">
        <v>45409</v>
      </c>
      <c r="F1471" s="1">
        <v>45414</v>
      </c>
      <c r="G1471" s="1">
        <v>45419</v>
      </c>
      <c r="H1471" s="4">
        <f>IF(Claims_Cleaned[[#This Row],[processed_date]]="","",Claims_Cleaned[[#This Row],[processed_date]]-Claims_Cleaned[[#This Row],[submission_date]])</f>
        <v>5</v>
      </c>
      <c r="I1471" s="4" t="str">
        <f>TEXT(Claims_Cleaned[[#This Row],[claim_date]],"mmm-yyyy")</f>
        <v>Apr-2024</v>
      </c>
      <c r="J1471" t="s">
        <v>13</v>
      </c>
      <c r="K1471">
        <v>291.04000000000002</v>
      </c>
      <c r="L1471" t="s">
        <v>683</v>
      </c>
      <c r="M1471">
        <v>5</v>
      </c>
    </row>
    <row r="1472" spans="1:13" x14ac:dyDescent="0.35">
      <c r="A1472" t="s">
        <v>1577</v>
      </c>
      <c r="B1472" t="s">
        <v>41</v>
      </c>
      <c r="C1472" t="s">
        <v>573</v>
      </c>
      <c r="D1472" t="s">
        <v>673</v>
      </c>
      <c r="E1472" s="1">
        <v>45340</v>
      </c>
      <c r="F1472" s="1">
        <v>45345</v>
      </c>
      <c r="G1472" s="1">
        <v>45373</v>
      </c>
      <c r="H1472" s="4">
        <f>IF(Claims_Cleaned[[#This Row],[processed_date]]="","",Claims_Cleaned[[#This Row],[processed_date]]-Claims_Cleaned[[#This Row],[submission_date]])</f>
        <v>28</v>
      </c>
      <c r="I1472" s="4" t="str">
        <f>TEXT(Claims_Cleaned[[#This Row],[claim_date]],"mmm-yyyy")</f>
        <v>Feb-2024</v>
      </c>
      <c r="J1472" t="s">
        <v>11</v>
      </c>
      <c r="K1472">
        <v>290.85000000000002</v>
      </c>
      <c r="L1472" t="s">
        <v>683</v>
      </c>
      <c r="M1472">
        <v>28</v>
      </c>
    </row>
    <row r="1473" spans="1:13" x14ac:dyDescent="0.35">
      <c r="A1473" t="s">
        <v>737</v>
      </c>
      <c r="B1473" t="s">
        <v>416</v>
      </c>
      <c r="C1473" t="s">
        <v>527</v>
      </c>
      <c r="D1473" t="s">
        <v>629</v>
      </c>
      <c r="E1473" s="1">
        <v>45240</v>
      </c>
      <c r="F1473" s="1">
        <v>45241</v>
      </c>
      <c r="G1473" s="1">
        <v>45270</v>
      </c>
      <c r="H1473" s="4">
        <f>IF(Claims_Cleaned[[#This Row],[processed_date]]="","",Claims_Cleaned[[#This Row],[processed_date]]-Claims_Cleaned[[#This Row],[submission_date]])</f>
        <v>29</v>
      </c>
      <c r="I1473" s="4" t="str">
        <f>TEXT(Claims_Cleaned[[#This Row],[claim_date]],"mmm-yyyy")</f>
        <v>Nov-2023</v>
      </c>
      <c r="J1473" t="s">
        <v>13</v>
      </c>
      <c r="K1473">
        <v>290.11</v>
      </c>
      <c r="L1473" t="s">
        <v>683</v>
      </c>
      <c r="M1473">
        <v>29</v>
      </c>
    </row>
    <row r="1474" spans="1:13" x14ac:dyDescent="0.35">
      <c r="A1474" t="s">
        <v>888</v>
      </c>
      <c r="B1474" t="s">
        <v>421</v>
      </c>
      <c r="C1474" t="s">
        <v>607</v>
      </c>
      <c r="D1474" t="s">
        <v>673</v>
      </c>
      <c r="E1474" s="1">
        <v>44948</v>
      </c>
      <c r="F1474" s="1">
        <v>44950</v>
      </c>
      <c r="G1474" s="1">
        <v>44975</v>
      </c>
      <c r="H1474" s="4">
        <f>IF(Claims_Cleaned[[#This Row],[processed_date]]="","",Claims_Cleaned[[#This Row],[processed_date]]-Claims_Cleaned[[#This Row],[submission_date]])</f>
        <v>25</v>
      </c>
      <c r="I1474" s="4" t="str">
        <f>TEXT(Claims_Cleaned[[#This Row],[claim_date]],"mmm-yyyy")</f>
        <v>Jan-2023</v>
      </c>
      <c r="J1474" t="s">
        <v>8</v>
      </c>
      <c r="K1474">
        <v>289.08999999999997</v>
      </c>
      <c r="L1474" t="s">
        <v>683</v>
      </c>
      <c r="M1474">
        <v>25</v>
      </c>
    </row>
    <row r="1475" spans="1:13" x14ac:dyDescent="0.35">
      <c r="A1475" t="s">
        <v>2138</v>
      </c>
      <c r="B1475" t="s">
        <v>343</v>
      </c>
      <c r="C1475" t="s">
        <v>543</v>
      </c>
      <c r="D1475" t="s">
        <v>673</v>
      </c>
      <c r="E1475" s="1">
        <v>44958</v>
      </c>
      <c r="F1475" s="1">
        <v>44959</v>
      </c>
      <c r="G1475" s="1">
        <v>44972</v>
      </c>
      <c r="H1475" s="4">
        <f>IF(Claims_Cleaned[[#This Row],[processed_date]]="","",Claims_Cleaned[[#This Row],[processed_date]]-Claims_Cleaned[[#This Row],[submission_date]])</f>
        <v>13</v>
      </c>
      <c r="I1475" s="4" t="str">
        <f>TEXT(Claims_Cleaned[[#This Row],[claim_date]],"mmm-yyyy")</f>
        <v>Feb-2023</v>
      </c>
      <c r="J1475" t="s">
        <v>8</v>
      </c>
      <c r="K1475">
        <v>288.64</v>
      </c>
      <c r="L1475" t="s">
        <v>683</v>
      </c>
      <c r="M1475">
        <v>13</v>
      </c>
    </row>
    <row r="1476" spans="1:13" x14ac:dyDescent="0.35">
      <c r="A1476" t="s">
        <v>1944</v>
      </c>
      <c r="B1476" t="s">
        <v>348</v>
      </c>
      <c r="C1476" t="s">
        <v>531</v>
      </c>
      <c r="D1476" t="s">
        <v>629</v>
      </c>
      <c r="E1476" s="1">
        <v>45237</v>
      </c>
      <c r="F1476" s="1">
        <v>45241</v>
      </c>
      <c r="G1476" s="1">
        <v>45256</v>
      </c>
      <c r="H1476" s="4">
        <f>IF(Claims_Cleaned[[#This Row],[processed_date]]="","",Claims_Cleaned[[#This Row],[processed_date]]-Claims_Cleaned[[#This Row],[submission_date]])</f>
        <v>15</v>
      </c>
      <c r="I1476" s="4" t="str">
        <f>TEXT(Claims_Cleaned[[#This Row],[claim_date]],"mmm-yyyy")</f>
        <v>Nov-2023</v>
      </c>
      <c r="J1476" t="s">
        <v>8</v>
      </c>
      <c r="K1476">
        <v>287.97000000000003</v>
      </c>
      <c r="L1476" t="s">
        <v>683</v>
      </c>
      <c r="M1476">
        <v>15</v>
      </c>
    </row>
    <row r="1477" spans="1:13" x14ac:dyDescent="0.35">
      <c r="A1477" t="s">
        <v>1847</v>
      </c>
      <c r="B1477" t="s">
        <v>112</v>
      </c>
      <c r="C1477" t="s">
        <v>571</v>
      </c>
      <c r="D1477" t="s">
        <v>629</v>
      </c>
      <c r="E1477" s="1">
        <v>45534</v>
      </c>
      <c r="F1477" s="1">
        <v>45537</v>
      </c>
      <c r="G1477" s="1">
        <v>45549</v>
      </c>
      <c r="H1477" s="4">
        <f>IF(Claims_Cleaned[[#This Row],[processed_date]]="","",Claims_Cleaned[[#This Row],[processed_date]]-Claims_Cleaned[[#This Row],[submission_date]])</f>
        <v>12</v>
      </c>
      <c r="I1477" s="4" t="str">
        <f>TEXT(Claims_Cleaned[[#This Row],[claim_date]],"mmm-yyyy")</f>
        <v>Aug-2024</v>
      </c>
      <c r="J1477" t="s">
        <v>13</v>
      </c>
      <c r="K1477">
        <v>287.93</v>
      </c>
      <c r="L1477" t="s">
        <v>683</v>
      </c>
      <c r="M1477">
        <v>12</v>
      </c>
    </row>
    <row r="1478" spans="1:13" x14ac:dyDescent="0.35">
      <c r="A1478" t="s">
        <v>1115</v>
      </c>
      <c r="B1478" t="s">
        <v>72</v>
      </c>
      <c r="C1478" t="s">
        <v>589</v>
      </c>
      <c r="D1478" t="s">
        <v>629</v>
      </c>
      <c r="E1478" s="1">
        <v>45324</v>
      </c>
      <c r="F1478" s="1">
        <v>45329</v>
      </c>
      <c r="G1478" s="1">
        <v>45357</v>
      </c>
      <c r="H1478" s="4">
        <f>IF(Claims_Cleaned[[#This Row],[processed_date]]="","",Claims_Cleaned[[#This Row],[processed_date]]-Claims_Cleaned[[#This Row],[submission_date]])</f>
        <v>28</v>
      </c>
      <c r="I1478" s="4" t="str">
        <f>TEXT(Claims_Cleaned[[#This Row],[claim_date]],"mmm-yyyy")</f>
        <v>Feb-2024</v>
      </c>
      <c r="J1478" t="s">
        <v>20</v>
      </c>
      <c r="K1478">
        <v>287.3</v>
      </c>
      <c r="L1478" t="s">
        <v>683</v>
      </c>
      <c r="M1478">
        <v>28</v>
      </c>
    </row>
    <row r="1479" spans="1:13" x14ac:dyDescent="0.35">
      <c r="A1479" t="s">
        <v>1710</v>
      </c>
      <c r="B1479" t="s">
        <v>179</v>
      </c>
      <c r="C1479" t="s">
        <v>583</v>
      </c>
      <c r="D1479" t="s">
        <v>629</v>
      </c>
      <c r="E1479" s="1">
        <v>45639</v>
      </c>
      <c r="F1479" s="1">
        <v>45642</v>
      </c>
      <c r="G1479" s="1">
        <v>45655</v>
      </c>
      <c r="H1479" s="4">
        <f>IF(Claims_Cleaned[[#This Row],[processed_date]]="","",Claims_Cleaned[[#This Row],[processed_date]]-Claims_Cleaned[[#This Row],[submission_date]])</f>
        <v>13</v>
      </c>
      <c r="I1479" s="4" t="str">
        <f>TEXT(Claims_Cleaned[[#This Row],[claim_date]],"mmm-yyyy")</f>
        <v>Dec-2024</v>
      </c>
      <c r="J1479" t="s">
        <v>11</v>
      </c>
      <c r="K1479">
        <v>286.02999999999997</v>
      </c>
      <c r="L1479" t="s">
        <v>683</v>
      </c>
      <c r="M1479">
        <v>13</v>
      </c>
    </row>
    <row r="1480" spans="1:13" x14ac:dyDescent="0.35">
      <c r="A1480" t="s">
        <v>1122</v>
      </c>
      <c r="B1480" t="s">
        <v>109</v>
      </c>
      <c r="C1480" t="s">
        <v>607</v>
      </c>
      <c r="D1480" t="s">
        <v>673</v>
      </c>
      <c r="E1480" s="1">
        <v>45246</v>
      </c>
      <c r="F1480" s="1">
        <v>45247</v>
      </c>
      <c r="G1480" s="1">
        <v>45277</v>
      </c>
      <c r="H1480" s="4">
        <f>IF(Claims_Cleaned[[#This Row],[processed_date]]="","",Claims_Cleaned[[#This Row],[processed_date]]-Claims_Cleaned[[#This Row],[submission_date]])</f>
        <v>30</v>
      </c>
      <c r="I1480" s="4" t="str">
        <f>TEXT(Claims_Cleaned[[#This Row],[claim_date]],"mmm-yyyy")</f>
        <v>Nov-2023</v>
      </c>
      <c r="J1480" t="s">
        <v>11</v>
      </c>
      <c r="K1480">
        <v>285.48</v>
      </c>
      <c r="L1480" t="s">
        <v>683</v>
      </c>
      <c r="M1480">
        <v>30</v>
      </c>
    </row>
    <row r="1481" spans="1:13" x14ac:dyDescent="0.35">
      <c r="A1481" t="s">
        <v>753</v>
      </c>
      <c r="B1481" t="s">
        <v>461</v>
      </c>
      <c r="C1481" t="s">
        <v>561</v>
      </c>
      <c r="D1481" t="s">
        <v>673</v>
      </c>
      <c r="E1481" s="1">
        <v>45044</v>
      </c>
      <c r="F1481" s="1">
        <v>45049</v>
      </c>
      <c r="G1481" s="1"/>
      <c r="H1481" s="4" t="str">
        <f>IF(Claims_Cleaned[[#This Row],[processed_date]]="","",Claims_Cleaned[[#This Row],[processed_date]]-Claims_Cleaned[[#This Row],[submission_date]])</f>
        <v/>
      </c>
      <c r="I1481" s="4" t="str">
        <f>TEXT(Claims_Cleaned[[#This Row],[claim_date]],"mmm-yyyy")</f>
        <v>Apr-2023</v>
      </c>
      <c r="J1481" t="s">
        <v>13</v>
      </c>
      <c r="K1481">
        <v>284.75</v>
      </c>
      <c r="L1481" t="s">
        <v>689</v>
      </c>
    </row>
    <row r="1482" spans="1:13" x14ac:dyDescent="0.35">
      <c r="A1482" t="s">
        <v>1377</v>
      </c>
      <c r="B1482" t="s">
        <v>430</v>
      </c>
      <c r="C1482" t="s">
        <v>531</v>
      </c>
      <c r="D1482" t="s">
        <v>629</v>
      </c>
      <c r="E1482" s="1">
        <v>45502</v>
      </c>
      <c r="F1482" s="1">
        <v>45505</v>
      </c>
      <c r="G1482" s="1">
        <v>45522</v>
      </c>
      <c r="H1482" s="4">
        <f>IF(Claims_Cleaned[[#This Row],[processed_date]]="","",Claims_Cleaned[[#This Row],[processed_date]]-Claims_Cleaned[[#This Row],[submission_date]])</f>
        <v>17</v>
      </c>
      <c r="I1482" s="4" t="str">
        <f>TEXT(Claims_Cleaned[[#This Row],[claim_date]],"mmm-yyyy")</f>
        <v>Jul-2024</v>
      </c>
      <c r="J1482" t="s">
        <v>20</v>
      </c>
      <c r="K1482">
        <v>283.69</v>
      </c>
      <c r="L1482" t="s">
        <v>687</v>
      </c>
      <c r="M1482">
        <v>17</v>
      </c>
    </row>
    <row r="1483" spans="1:13" x14ac:dyDescent="0.35">
      <c r="A1483" t="s">
        <v>2326</v>
      </c>
      <c r="B1483" t="s">
        <v>59</v>
      </c>
      <c r="C1483" t="s">
        <v>577</v>
      </c>
      <c r="D1483" t="s">
        <v>673</v>
      </c>
      <c r="E1483" s="1">
        <v>45074</v>
      </c>
      <c r="F1483" s="1">
        <v>45079</v>
      </c>
      <c r="G1483" s="1">
        <v>45102</v>
      </c>
      <c r="H1483" s="4">
        <f>IF(Claims_Cleaned[[#This Row],[processed_date]]="","",Claims_Cleaned[[#This Row],[processed_date]]-Claims_Cleaned[[#This Row],[submission_date]])</f>
        <v>23</v>
      </c>
      <c r="I1483" s="4" t="str">
        <f>TEXT(Claims_Cleaned[[#This Row],[claim_date]],"mmm-yyyy")</f>
        <v>May-2023</v>
      </c>
      <c r="J1483" t="s">
        <v>25</v>
      </c>
      <c r="K1483">
        <v>283.06</v>
      </c>
      <c r="L1483" t="s">
        <v>683</v>
      </c>
      <c r="M1483">
        <v>23</v>
      </c>
    </row>
    <row r="1484" spans="1:13" x14ac:dyDescent="0.35">
      <c r="A1484" t="s">
        <v>2219</v>
      </c>
      <c r="B1484" t="s">
        <v>362</v>
      </c>
      <c r="C1484" t="s">
        <v>553</v>
      </c>
      <c r="D1484" t="s">
        <v>629</v>
      </c>
      <c r="E1484" s="1">
        <v>45642</v>
      </c>
      <c r="F1484" s="1">
        <v>45646</v>
      </c>
      <c r="G1484" s="1">
        <v>45660</v>
      </c>
      <c r="H1484" s="4">
        <f>IF(Claims_Cleaned[[#This Row],[processed_date]]="","",Claims_Cleaned[[#This Row],[processed_date]]-Claims_Cleaned[[#This Row],[submission_date]])</f>
        <v>14</v>
      </c>
      <c r="I1484" s="4" t="str">
        <f>TEXT(Claims_Cleaned[[#This Row],[claim_date]],"mmm-yyyy")</f>
        <v>Dec-2024</v>
      </c>
      <c r="J1484" t="s">
        <v>25</v>
      </c>
      <c r="K1484">
        <v>282.98</v>
      </c>
      <c r="L1484" t="s">
        <v>683</v>
      </c>
      <c r="M1484">
        <v>14</v>
      </c>
    </row>
    <row r="1485" spans="1:13" x14ac:dyDescent="0.35">
      <c r="A1485" t="s">
        <v>845</v>
      </c>
      <c r="B1485" t="s">
        <v>382</v>
      </c>
      <c r="C1485" t="s">
        <v>611</v>
      </c>
      <c r="D1485" t="s">
        <v>629</v>
      </c>
      <c r="E1485" s="1">
        <v>45418</v>
      </c>
      <c r="F1485" s="1">
        <v>45423</v>
      </c>
      <c r="G1485" s="1">
        <v>45447</v>
      </c>
      <c r="H1485" s="4">
        <f>IF(Claims_Cleaned[[#This Row],[processed_date]]="","",Claims_Cleaned[[#This Row],[processed_date]]-Claims_Cleaned[[#This Row],[submission_date]])</f>
        <v>24</v>
      </c>
      <c r="I1485" s="4" t="str">
        <f>TEXT(Claims_Cleaned[[#This Row],[claim_date]],"mmm-yyyy")</f>
        <v>May-2024</v>
      </c>
      <c r="J1485" t="s">
        <v>8</v>
      </c>
      <c r="K1485">
        <v>282.7</v>
      </c>
      <c r="L1485" t="s">
        <v>683</v>
      </c>
      <c r="M1485">
        <v>24</v>
      </c>
    </row>
    <row r="1486" spans="1:13" x14ac:dyDescent="0.35">
      <c r="A1486" t="s">
        <v>1957</v>
      </c>
      <c r="B1486" t="s">
        <v>160</v>
      </c>
      <c r="C1486" t="s">
        <v>534</v>
      </c>
      <c r="D1486" t="s">
        <v>673</v>
      </c>
      <c r="E1486" s="1">
        <v>45446</v>
      </c>
      <c r="F1486" s="1">
        <v>45448</v>
      </c>
      <c r="G1486" s="1">
        <v>45452</v>
      </c>
      <c r="H1486" s="4">
        <f>IF(Claims_Cleaned[[#This Row],[processed_date]]="","",Claims_Cleaned[[#This Row],[processed_date]]-Claims_Cleaned[[#This Row],[submission_date]])</f>
        <v>4</v>
      </c>
      <c r="I1486" s="4" t="str">
        <f>TEXT(Claims_Cleaned[[#This Row],[claim_date]],"mmm-yyyy")</f>
        <v>Jun-2024</v>
      </c>
      <c r="J1486" t="s">
        <v>20</v>
      </c>
      <c r="K1486">
        <v>279.61</v>
      </c>
      <c r="L1486" t="s">
        <v>683</v>
      </c>
      <c r="M1486">
        <v>4</v>
      </c>
    </row>
    <row r="1487" spans="1:13" x14ac:dyDescent="0.35">
      <c r="A1487" t="s">
        <v>1947</v>
      </c>
      <c r="B1487" t="s">
        <v>482</v>
      </c>
      <c r="C1487" t="s">
        <v>534</v>
      </c>
      <c r="D1487" t="s">
        <v>673</v>
      </c>
      <c r="E1487" s="1">
        <v>45186</v>
      </c>
      <c r="F1487" s="1">
        <v>45189</v>
      </c>
      <c r="G1487" s="1">
        <v>45198</v>
      </c>
      <c r="H1487" s="4">
        <f>IF(Claims_Cleaned[[#This Row],[processed_date]]="","",Claims_Cleaned[[#This Row],[processed_date]]-Claims_Cleaned[[#This Row],[submission_date]])</f>
        <v>9</v>
      </c>
      <c r="I1487" s="4" t="str">
        <f>TEXT(Claims_Cleaned[[#This Row],[claim_date]],"mmm-yyyy")</f>
        <v>Sep-2023</v>
      </c>
      <c r="J1487" t="s">
        <v>25</v>
      </c>
      <c r="K1487">
        <v>278.95</v>
      </c>
      <c r="L1487" t="s">
        <v>683</v>
      </c>
      <c r="M1487">
        <v>9</v>
      </c>
    </row>
    <row r="1488" spans="1:13" x14ac:dyDescent="0.35">
      <c r="A1488" t="s">
        <v>1394</v>
      </c>
      <c r="B1488" t="s">
        <v>497</v>
      </c>
      <c r="C1488" t="s">
        <v>565</v>
      </c>
      <c r="D1488" t="s">
        <v>629</v>
      </c>
      <c r="E1488" s="1">
        <v>45483</v>
      </c>
      <c r="F1488" s="1">
        <v>45487</v>
      </c>
      <c r="G1488" s="1">
        <v>45492</v>
      </c>
      <c r="H1488" s="4">
        <f>IF(Claims_Cleaned[[#This Row],[processed_date]]="","",Claims_Cleaned[[#This Row],[processed_date]]-Claims_Cleaned[[#This Row],[submission_date]])</f>
        <v>5</v>
      </c>
      <c r="I1488" s="4" t="str">
        <f>TEXT(Claims_Cleaned[[#This Row],[claim_date]],"mmm-yyyy")</f>
        <v>Jul-2024</v>
      </c>
      <c r="J1488" t="s">
        <v>13</v>
      </c>
      <c r="K1488">
        <v>278.36</v>
      </c>
      <c r="L1488" t="s">
        <v>683</v>
      </c>
      <c r="M1488">
        <v>5</v>
      </c>
    </row>
    <row r="1489" spans="1:13" x14ac:dyDescent="0.35">
      <c r="A1489" t="s">
        <v>762</v>
      </c>
      <c r="B1489" t="s">
        <v>56</v>
      </c>
      <c r="C1489" t="s">
        <v>563</v>
      </c>
      <c r="D1489" t="s">
        <v>629</v>
      </c>
      <c r="E1489" s="1">
        <v>45485</v>
      </c>
      <c r="F1489" s="1">
        <v>45490</v>
      </c>
      <c r="G1489" s="1">
        <v>45501</v>
      </c>
      <c r="H1489" s="4">
        <f>IF(Claims_Cleaned[[#This Row],[processed_date]]="","",Claims_Cleaned[[#This Row],[processed_date]]-Claims_Cleaned[[#This Row],[submission_date]])</f>
        <v>11</v>
      </c>
      <c r="I1489" s="4" t="str">
        <f>TEXT(Claims_Cleaned[[#This Row],[claim_date]],"mmm-yyyy")</f>
        <v>Jul-2024</v>
      </c>
      <c r="J1489" t="s">
        <v>11</v>
      </c>
      <c r="K1489">
        <v>278.19</v>
      </c>
      <c r="L1489" t="s">
        <v>683</v>
      </c>
      <c r="M1489">
        <v>11</v>
      </c>
    </row>
    <row r="1490" spans="1:13" x14ac:dyDescent="0.35">
      <c r="A1490" t="s">
        <v>1123</v>
      </c>
      <c r="B1490" t="s">
        <v>366</v>
      </c>
      <c r="C1490" t="s">
        <v>559</v>
      </c>
      <c r="D1490" t="s">
        <v>629</v>
      </c>
      <c r="E1490" s="1">
        <v>45599</v>
      </c>
      <c r="F1490" s="1">
        <v>45603</v>
      </c>
      <c r="G1490" s="1">
        <v>45612</v>
      </c>
      <c r="H1490" s="4">
        <f>IF(Claims_Cleaned[[#This Row],[processed_date]]="","",Claims_Cleaned[[#This Row],[processed_date]]-Claims_Cleaned[[#This Row],[submission_date]])</f>
        <v>9</v>
      </c>
      <c r="I1490" s="4" t="str">
        <f>TEXT(Claims_Cleaned[[#This Row],[claim_date]],"mmm-yyyy")</f>
        <v>Nov-2024</v>
      </c>
      <c r="J1490" t="s">
        <v>8</v>
      </c>
      <c r="K1490">
        <v>277.69</v>
      </c>
      <c r="L1490" t="s">
        <v>683</v>
      </c>
      <c r="M1490">
        <v>9</v>
      </c>
    </row>
    <row r="1491" spans="1:13" x14ac:dyDescent="0.35">
      <c r="A1491" t="s">
        <v>795</v>
      </c>
      <c r="B1491" t="s">
        <v>145</v>
      </c>
      <c r="C1491" t="s">
        <v>563</v>
      </c>
      <c r="D1491" t="s">
        <v>673</v>
      </c>
      <c r="E1491" s="1">
        <v>45567</v>
      </c>
      <c r="F1491" s="1">
        <v>45569</v>
      </c>
      <c r="G1491" s="1">
        <v>45573</v>
      </c>
      <c r="H1491" s="4">
        <f>IF(Claims_Cleaned[[#This Row],[processed_date]]="","",Claims_Cleaned[[#This Row],[processed_date]]-Claims_Cleaned[[#This Row],[submission_date]])</f>
        <v>4</v>
      </c>
      <c r="I1491" s="4" t="str">
        <f>TEXT(Claims_Cleaned[[#This Row],[claim_date]],"mmm-yyyy")</f>
        <v>Oct-2024</v>
      </c>
      <c r="J1491" t="s">
        <v>8</v>
      </c>
      <c r="K1491">
        <v>277.14</v>
      </c>
      <c r="L1491" t="s">
        <v>683</v>
      </c>
      <c r="M1491">
        <v>4</v>
      </c>
    </row>
    <row r="1492" spans="1:13" x14ac:dyDescent="0.35">
      <c r="A1492" t="s">
        <v>785</v>
      </c>
      <c r="B1492" t="s">
        <v>385</v>
      </c>
      <c r="C1492" t="s">
        <v>595</v>
      </c>
      <c r="D1492" t="s">
        <v>673</v>
      </c>
      <c r="E1492" s="1">
        <v>44975</v>
      </c>
      <c r="F1492" s="1">
        <v>44977</v>
      </c>
      <c r="G1492" s="1">
        <v>45004</v>
      </c>
      <c r="H1492" s="4">
        <f>IF(Claims_Cleaned[[#This Row],[processed_date]]="","",Claims_Cleaned[[#This Row],[processed_date]]-Claims_Cleaned[[#This Row],[submission_date]])</f>
        <v>27</v>
      </c>
      <c r="I1492" s="4" t="str">
        <f>TEXT(Claims_Cleaned[[#This Row],[claim_date]],"mmm-yyyy")</f>
        <v>Feb-2023</v>
      </c>
      <c r="J1492" t="s">
        <v>20</v>
      </c>
      <c r="K1492">
        <v>276.97000000000003</v>
      </c>
      <c r="L1492" t="s">
        <v>683</v>
      </c>
      <c r="M1492">
        <v>27</v>
      </c>
    </row>
    <row r="1493" spans="1:13" x14ac:dyDescent="0.35">
      <c r="A1493" t="s">
        <v>1678</v>
      </c>
      <c r="B1493" t="s">
        <v>38</v>
      </c>
      <c r="C1493" t="s">
        <v>524</v>
      </c>
      <c r="D1493" t="s">
        <v>673</v>
      </c>
      <c r="E1493" s="1">
        <v>45545</v>
      </c>
      <c r="F1493" s="1">
        <v>45546</v>
      </c>
      <c r="G1493" s="1">
        <v>45557</v>
      </c>
      <c r="H1493" s="4">
        <f>IF(Claims_Cleaned[[#This Row],[processed_date]]="","",Claims_Cleaned[[#This Row],[processed_date]]-Claims_Cleaned[[#This Row],[submission_date]])</f>
        <v>11</v>
      </c>
      <c r="I1493" s="4" t="str">
        <f>TEXT(Claims_Cleaned[[#This Row],[claim_date]],"mmm-yyyy")</f>
        <v>Sep-2024</v>
      </c>
      <c r="J1493" t="s">
        <v>8</v>
      </c>
      <c r="K1493">
        <v>276.14999999999998</v>
      </c>
      <c r="L1493" t="s">
        <v>683</v>
      </c>
      <c r="M1493">
        <v>11</v>
      </c>
    </row>
    <row r="1494" spans="1:13" x14ac:dyDescent="0.35">
      <c r="A1494" t="s">
        <v>1282</v>
      </c>
      <c r="B1494" t="s">
        <v>92</v>
      </c>
      <c r="C1494" t="s">
        <v>605</v>
      </c>
      <c r="D1494" t="s">
        <v>629</v>
      </c>
      <c r="E1494" s="1">
        <v>45346</v>
      </c>
      <c r="F1494" s="1">
        <v>45349</v>
      </c>
      <c r="G1494" s="1">
        <v>45364</v>
      </c>
      <c r="H1494" s="4">
        <f>IF(Claims_Cleaned[[#This Row],[processed_date]]="","",Claims_Cleaned[[#This Row],[processed_date]]-Claims_Cleaned[[#This Row],[submission_date]])</f>
        <v>15</v>
      </c>
      <c r="I1494" s="4" t="str">
        <f>TEXT(Claims_Cleaned[[#This Row],[claim_date]],"mmm-yyyy")</f>
        <v>Feb-2024</v>
      </c>
      <c r="J1494" t="s">
        <v>25</v>
      </c>
      <c r="K1494">
        <v>275.93</v>
      </c>
      <c r="L1494" t="s">
        <v>687</v>
      </c>
      <c r="M1494">
        <v>15</v>
      </c>
    </row>
    <row r="1495" spans="1:13" x14ac:dyDescent="0.35">
      <c r="A1495" t="s">
        <v>1637</v>
      </c>
      <c r="B1495" t="s">
        <v>106</v>
      </c>
      <c r="C1495" t="s">
        <v>577</v>
      </c>
      <c r="D1495" t="s">
        <v>673</v>
      </c>
      <c r="E1495" s="1">
        <v>45490</v>
      </c>
      <c r="F1495" s="1">
        <v>45495</v>
      </c>
      <c r="G1495" s="1">
        <v>45508</v>
      </c>
      <c r="H1495" s="4">
        <f>IF(Claims_Cleaned[[#This Row],[processed_date]]="","",Claims_Cleaned[[#This Row],[processed_date]]-Claims_Cleaned[[#This Row],[submission_date]])</f>
        <v>13</v>
      </c>
      <c r="I1495" s="4" t="str">
        <f>TEXT(Claims_Cleaned[[#This Row],[claim_date]],"mmm-yyyy")</f>
        <v>Jul-2024</v>
      </c>
      <c r="J1495" t="s">
        <v>11</v>
      </c>
      <c r="K1495">
        <v>275.49</v>
      </c>
      <c r="L1495" t="s">
        <v>683</v>
      </c>
      <c r="M1495">
        <v>13</v>
      </c>
    </row>
    <row r="1496" spans="1:13" x14ac:dyDescent="0.35">
      <c r="A1496" t="s">
        <v>1559</v>
      </c>
      <c r="B1496" t="s">
        <v>165</v>
      </c>
      <c r="C1496" t="s">
        <v>599</v>
      </c>
      <c r="D1496" t="s">
        <v>629</v>
      </c>
      <c r="E1496" s="1">
        <v>44927</v>
      </c>
      <c r="F1496" s="1">
        <v>44930</v>
      </c>
      <c r="G1496" s="1">
        <v>44946</v>
      </c>
      <c r="H1496" s="4">
        <f>IF(Claims_Cleaned[[#This Row],[processed_date]]="","",Claims_Cleaned[[#This Row],[processed_date]]-Claims_Cleaned[[#This Row],[submission_date]])</f>
        <v>16</v>
      </c>
      <c r="I1496" s="4" t="str">
        <f>TEXT(Claims_Cleaned[[#This Row],[claim_date]],"mmm-yyyy")</f>
        <v>Jan-2023</v>
      </c>
      <c r="J1496" t="s">
        <v>25</v>
      </c>
      <c r="K1496">
        <v>275.45999999999998</v>
      </c>
      <c r="L1496" t="s">
        <v>687</v>
      </c>
      <c r="M1496">
        <v>16</v>
      </c>
    </row>
    <row r="1497" spans="1:13" x14ac:dyDescent="0.35">
      <c r="A1497" t="s">
        <v>1384</v>
      </c>
      <c r="B1497" t="s">
        <v>5</v>
      </c>
      <c r="C1497" t="s">
        <v>573</v>
      </c>
      <c r="D1497" t="s">
        <v>673</v>
      </c>
      <c r="E1497" s="1">
        <v>45412</v>
      </c>
      <c r="F1497" s="1">
        <v>45415</v>
      </c>
      <c r="G1497" s="1">
        <v>45429</v>
      </c>
      <c r="H1497" s="4">
        <f>IF(Claims_Cleaned[[#This Row],[processed_date]]="","",Claims_Cleaned[[#This Row],[processed_date]]-Claims_Cleaned[[#This Row],[submission_date]])</f>
        <v>14</v>
      </c>
      <c r="I1497" s="4" t="str">
        <f>TEXT(Claims_Cleaned[[#This Row],[claim_date]],"mmm-yyyy")</f>
        <v>Apr-2024</v>
      </c>
      <c r="J1497" t="s">
        <v>8</v>
      </c>
      <c r="K1497">
        <v>275.18</v>
      </c>
      <c r="L1497" t="s">
        <v>683</v>
      </c>
      <c r="M1497">
        <v>14</v>
      </c>
    </row>
    <row r="1498" spans="1:13" x14ac:dyDescent="0.35">
      <c r="A1498" t="s">
        <v>716</v>
      </c>
      <c r="B1498" t="s">
        <v>311</v>
      </c>
      <c r="C1498" t="s">
        <v>577</v>
      </c>
      <c r="D1498" t="s">
        <v>673</v>
      </c>
      <c r="E1498" s="1">
        <v>45452</v>
      </c>
      <c r="F1498" s="1">
        <v>45457</v>
      </c>
      <c r="G1498" s="1">
        <v>45480</v>
      </c>
      <c r="H1498" s="4">
        <f>IF(Claims_Cleaned[[#This Row],[processed_date]]="","",Claims_Cleaned[[#This Row],[processed_date]]-Claims_Cleaned[[#This Row],[submission_date]])</f>
        <v>23</v>
      </c>
      <c r="I1498" s="4" t="str">
        <f>TEXT(Claims_Cleaned[[#This Row],[claim_date]],"mmm-yyyy")</f>
        <v>Jun-2024</v>
      </c>
      <c r="J1498" t="s">
        <v>25</v>
      </c>
      <c r="K1498">
        <v>274.94</v>
      </c>
      <c r="L1498" t="s">
        <v>687</v>
      </c>
      <c r="M1498">
        <v>23</v>
      </c>
    </row>
    <row r="1499" spans="1:13" x14ac:dyDescent="0.35">
      <c r="A1499" t="s">
        <v>775</v>
      </c>
      <c r="B1499" t="s">
        <v>234</v>
      </c>
      <c r="C1499" t="s">
        <v>567</v>
      </c>
      <c r="D1499" t="s">
        <v>673</v>
      </c>
      <c r="E1499" s="1">
        <v>45551</v>
      </c>
      <c r="F1499" s="1">
        <v>45553</v>
      </c>
      <c r="G1499" s="1"/>
      <c r="H1499" s="4" t="str">
        <f>IF(Claims_Cleaned[[#This Row],[processed_date]]="","",Claims_Cleaned[[#This Row],[processed_date]]-Claims_Cleaned[[#This Row],[submission_date]])</f>
        <v/>
      </c>
      <c r="I1499" s="4" t="str">
        <f>TEXT(Claims_Cleaned[[#This Row],[claim_date]],"mmm-yyyy")</f>
        <v>Sep-2024</v>
      </c>
      <c r="J1499" t="s">
        <v>20</v>
      </c>
      <c r="K1499">
        <v>274.26</v>
      </c>
      <c r="L1499" t="s">
        <v>689</v>
      </c>
    </row>
    <row r="1500" spans="1:13" x14ac:dyDescent="0.35">
      <c r="A1500" t="s">
        <v>1040</v>
      </c>
      <c r="B1500" t="s">
        <v>356</v>
      </c>
      <c r="C1500" t="s">
        <v>581</v>
      </c>
      <c r="D1500" t="s">
        <v>629</v>
      </c>
      <c r="E1500" s="1">
        <v>45546</v>
      </c>
      <c r="F1500" s="1">
        <v>45548</v>
      </c>
      <c r="G1500" s="1">
        <v>45554</v>
      </c>
      <c r="H1500" s="4">
        <f>IF(Claims_Cleaned[[#This Row],[processed_date]]="","",Claims_Cleaned[[#This Row],[processed_date]]-Claims_Cleaned[[#This Row],[submission_date]])</f>
        <v>6</v>
      </c>
      <c r="I1500" s="4" t="str">
        <f>TEXT(Claims_Cleaned[[#This Row],[claim_date]],"mmm-yyyy")</f>
        <v>Sep-2024</v>
      </c>
      <c r="J1500" t="s">
        <v>13</v>
      </c>
      <c r="K1500">
        <v>273.95999999999998</v>
      </c>
      <c r="L1500" t="s">
        <v>687</v>
      </c>
      <c r="M1500">
        <v>6</v>
      </c>
    </row>
    <row r="1501" spans="1:13" x14ac:dyDescent="0.35">
      <c r="A1501" t="s">
        <v>2103</v>
      </c>
      <c r="B1501" t="s">
        <v>494</v>
      </c>
      <c r="C1501" t="s">
        <v>565</v>
      </c>
      <c r="D1501" t="s">
        <v>629</v>
      </c>
      <c r="E1501" s="1">
        <v>45541</v>
      </c>
      <c r="F1501" s="1">
        <v>45542</v>
      </c>
      <c r="G1501" s="1">
        <v>45571</v>
      </c>
      <c r="H1501" s="4">
        <f>IF(Claims_Cleaned[[#This Row],[processed_date]]="","",Claims_Cleaned[[#This Row],[processed_date]]-Claims_Cleaned[[#This Row],[submission_date]])</f>
        <v>29</v>
      </c>
      <c r="I1501" s="4" t="str">
        <f>TEXT(Claims_Cleaned[[#This Row],[claim_date]],"mmm-yyyy")</f>
        <v>Sep-2024</v>
      </c>
      <c r="J1501" t="s">
        <v>11</v>
      </c>
      <c r="K1501">
        <v>273.64999999999998</v>
      </c>
      <c r="L1501" t="s">
        <v>683</v>
      </c>
      <c r="M1501">
        <v>29</v>
      </c>
    </row>
    <row r="1502" spans="1:13" x14ac:dyDescent="0.35">
      <c r="A1502" t="s">
        <v>780</v>
      </c>
      <c r="B1502" t="s">
        <v>362</v>
      </c>
      <c r="C1502" t="s">
        <v>587</v>
      </c>
      <c r="D1502" t="s">
        <v>629</v>
      </c>
      <c r="E1502" s="1">
        <v>45352</v>
      </c>
      <c r="F1502" s="1">
        <v>45353</v>
      </c>
      <c r="G1502" s="1">
        <v>45371</v>
      </c>
      <c r="H1502" s="4">
        <f>IF(Claims_Cleaned[[#This Row],[processed_date]]="","",Claims_Cleaned[[#This Row],[processed_date]]-Claims_Cleaned[[#This Row],[submission_date]])</f>
        <v>18</v>
      </c>
      <c r="I1502" s="4" t="str">
        <f>TEXT(Claims_Cleaned[[#This Row],[claim_date]],"mmm-yyyy")</f>
        <v>Mar-2024</v>
      </c>
      <c r="J1502" t="s">
        <v>25</v>
      </c>
      <c r="K1502">
        <v>273.27999999999997</v>
      </c>
      <c r="L1502" t="s">
        <v>683</v>
      </c>
      <c r="M1502">
        <v>18</v>
      </c>
    </row>
    <row r="1503" spans="1:13" x14ac:dyDescent="0.35">
      <c r="A1503" t="s">
        <v>1734</v>
      </c>
      <c r="B1503" t="s">
        <v>30</v>
      </c>
      <c r="C1503" t="s">
        <v>534</v>
      </c>
      <c r="D1503" t="s">
        <v>673</v>
      </c>
      <c r="E1503" s="1">
        <v>45255</v>
      </c>
      <c r="F1503" s="1">
        <v>45258</v>
      </c>
      <c r="G1503" s="1">
        <v>45264</v>
      </c>
      <c r="H1503" s="4">
        <f>IF(Claims_Cleaned[[#This Row],[processed_date]]="","",Claims_Cleaned[[#This Row],[processed_date]]-Claims_Cleaned[[#This Row],[submission_date]])</f>
        <v>6</v>
      </c>
      <c r="I1503" s="4" t="str">
        <f>TEXT(Claims_Cleaned[[#This Row],[claim_date]],"mmm-yyyy")</f>
        <v>Nov-2023</v>
      </c>
      <c r="J1503" t="s">
        <v>13</v>
      </c>
      <c r="K1503">
        <v>272.31</v>
      </c>
      <c r="L1503" t="s">
        <v>687</v>
      </c>
      <c r="M1503">
        <v>6</v>
      </c>
    </row>
    <row r="1504" spans="1:13" x14ac:dyDescent="0.35">
      <c r="A1504" t="s">
        <v>2315</v>
      </c>
      <c r="B1504" t="s">
        <v>114</v>
      </c>
      <c r="C1504" t="s">
        <v>559</v>
      </c>
      <c r="D1504" t="s">
        <v>673</v>
      </c>
      <c r="E1504" s="1">
        <v>45092</v>
      </c>
      <c r="F1504" s="1">
        <v>45097</v>
      </c>
      <c r="G1504" s="1">
        <v>45109</v>
      </c>
      <c r="H1504" s="4">
        <f>IF(Claims_Cleaned[[#This Row],[processed_date]]="","",Claims_Cleaned[[#This Row],[processed_date]]-Claims_Cleaned[[#This Row],[submission_date]])</f>
        <v>12</v>
      </c>
      <c r="I1504" s="4" t="str">
        <f>TEXT(Claims_Cleaned[[#This Row],[claim_date]],"mmm-yyyy")</f>
        <v>Jun-2023</v>
      </c>
      <c r="J1504" t="s">
        <v>20</v>
      </c>
      <c r="K1504">
        <v>272</v>
      </c>
      <c r="L1504" t="s">
        <v>683</v>
      </c>
      <c r="M1504">
        <v>12</v>
      </c>
    </row>
    <row r="1505" spans="1:13" x14ac:dyDescent="0.35">
      <c r="A1505" t="s">
        <v>2365</v>
      </c>
      <c r="B1505" t="s">
        <v>511</v>
      </c>
      <c r="C1505" t="s">
        <v>521</v>
      </c>
      <c r="D1505" t="s">
        <v>673</v>
      </c>
      <c r="E1505" s="1">
        <v>44933</v>
      </c>
      <c r="F1505" s="1">
        <v>44938</v>
      </c>
      <c r="G1505" s="1">
        <v>44955</v>
      </c>
      <c r="H1505" s="4">
        <f>IF(Claims_Cleaned[[#This Row],[processed_date]]="","",Claims_Cleaned[[#This Row],[processed_date]]-Claims_Cleaned[[#This Row],[submission_date]])</f>
        <v>17</v>
      </c>
      <c r="I1505" s="4" t="str">
        <f>TEXT(Claims_Cleaned[[#This Row],[claim_date]],"mmm-yyyy")</f>
        <v>Jan-2023</v>
      </c>
      <c r="J1505" t="s">
        <v>11</v>
      </c>
      <c r="K1505">
        <v>271.02</v>
      </c>
      <c r="L1505" t="s">
        <v>683</v>
      </c>
      <c r="M1505">
        <v>17</v>
      </c>
    </row>
    <row r="1506" spans="1:13" x14ac:dyDescent="0.35">
      <c r="A1506" t="s">
        <v>1977</v>
      </c>
      <c r="B1506" t="s">
        <v>95</v>
      </c>
      <c r="C1506" t="s">
        <v>575</v>
      </c>
      <c r="D1506" t="s">
        <v>673</v>
      </c>
      <c r="E1506" s="1">
        <v>45474</v>
      </c>
      <c r="F1506" s="1">
        <v>45475</v>
      </c>
      <c r="G1506" s="1">
        <v>45491</v>
      </c>
      <c r="H1506" s="4">
        <f>IF(Claims_Cleaned[[#This Row],[processed_date]]="","",Claims_Cleaned[[#This Row],[processed_date]]-Claims_Cleaned[[#This Row],[submission_date]])</f>
        <v>16</v>
      </c>
      <c r="I1506" s="4" t="str">
        <f>TEXT(Claims_Cleaned[[#This Row],[claim_date]],"mmm-yyyy")</f>
        <v>Jul-2024</v>
      </c>
      <c r="J1506" t="s">
        <v>20</v>
      </c>
      <c r="K1506">
        <v>270.04000000000002</v>
      </c>
      <c r="L1506" t="s">
        <v>683</v>
      </c>
      <c r="M1506">
        <v>16</v>
      </c>
    </row>
    <row r="1507" spans="1:13" x14ac:dyDescent="0.35">
      <c r="A1507" t="s">
        <v>2091</v>
      </c>
      <c r="B1507" t="s">
        <v>493</v>
      </c>
      <c r="C1507" t="s">
        <v>605</v>
      </c>
      <c r="D1507" t="s">
        <v>617</v>
      </c>
      <c r="E1507" s="1">
        <v>45507</v>
      </c>
      <c r="F1507" s="1">
        <v>45510</v>
      </c>
      <c r="G1507" s="1">
        <v>45526</v>
      </c>
      <c r="H1507" s="4">
        <f>IF(Claims_Cleaned[[#This Row],[processed_date]]="","",Claims_Cleaned[[#This Row],[processed_date]]-Claims_Cleaned[[#This Row],[submission_date]])</f>
        <v>16</v>
      </c>
      <c r="I1507" s="4" t="str">
        <f>TEXT(Claims_Cleaned[[#This Row],[claim_date]],"mmm-yyyy")</f>
        <v>Aug-2024</v>
      </c>
      <c r="J1507" t="s">
        <v>20</v>
      </c>
      <c r="K1507">
        <v>249.72</v>
      </c>
      <c r="L1507" t="s">
        <v>683</v>
      </c>
      <c r="M1507">
        <v>16</v>
      </c>
    </row>
    <row r="1508" spans="1:13" x14ac:dyDescent="0.35">
      <c r="A1508" t="s">
        <v>878</v>
      </c>
      <c r="B1508" t="s">
        <v>367</v>
      </c>
      <c r="C1508" t="s">
        <v>577</v>
      </c>
      <c r="D1508" t="s">
        <v>617</v>
      </c>
      <c r="E1508" s="1">
        <v>45524</v>
      </c>
      <c r="F1508" s="1">
        <v>45527</v>
      </c>
      <c r="G1508" s="1">
        <v>45549</v>
      </c>
      <c r="H1508" s="4">
        <f>IF(Claims_Cleaned[[#This Row],[processed_date]]="","",Claims_Cleaned[[#This Row],[processed_date]]-Claims_Cleaned[[#This Row],[submission_date]])</f>
        <v>22</v>
      </c>
      <c r="I1508" s="4" t="str">
        <f>TEXT(Claims_Cleaned[[#This Row],[claim_date]],"mmm-yyyy")</f>
        <v>Aug-2024</v>
      </c>
      <c r="J1508" t="s">
        <v>11</v>
      </c>
      <c r="K1508">
        <v>247.95</v>
      </c>
      <c r="L1508" t="s">
        <v>683</v>
      </c>
      <c r="M1508">
        <v>22</v>
      </c>
    </row>
    <row r="1509" spans="1:13" x14ac:dyDescent="0.35">
      <c r="A1509" t="s">
        <v>1186</v>
      </c>
      <c r="B1509" t="s">
        <v>105</v>
      </c>
      <c r="C1509" t="s">
        <v>577</v>
      </c>
      <c r="D1509" t="s">
        <v>617</v>
      </c>
      <c r="E1509" s="1">
        <v>45058</v>
      </c>
      <c r="F1509" s="1">
        <v>45059</v>
      </c>
      <c r="G1509" s="1">
        <v>45075</v>
      </c>
      <c r="H1509" s="4">
        <f>IF(Claims_Cleaned[[#This Row],[processed_date]]="","",Claims_Cleaned[[#This Row],[processed_date]]-Claims_Cleaned[[#This Row],[submission_date]])</f>
        <v>16</v>
      </c>
      <c r="I1509" s="4" t="str">
        <f>TEXT(Claims_Cleaned[[#This Row],[claim_date]],"mmm-yyyy")</f>
        <v>May-2023</v>
      </c>
      <c r="J1509" t="s">
        <v>20</v>
      </c>
      <c r="K1509">
        <v>246.79</v>
      </c>
      <c r="L1509" t="s">
        <v>683</v>
      </c>
      <c r="M1509">
        <v>16</v>
      </c>
    </row>
    <row r="1510" spans="1:13" x14ac:dyDescent="0.35">
      <c r="A1510" t="s">
        <v>2589</v>
      </c>
      <c r="B1510" t="s">
        <v>194</v>
      </c>
      <c r="C1510" t="s">
        <v>563</v>
      </c>
      <c r="D1510" t="s">
        <v>617</v>
      </c>
      <c r="E1510" s="1">
        <v>45407</v>
      </c>
      <c r="F1510" s="1">
        <v>45411</v>
      </c>
      <c r="G1510" s="1">
        <v>45425</v>
      </c>
      <c r="H1510" s="4">
        <f>IF(Claims_Cleaned[[#This Row],[processed_date]]="","",Claims_Cleaned[[#This Row],[processed_date]]-Claims_Cleaned[[#This Row],[submission_date]])</f>
        <v>14</v>
      </c>
      <c r="I1510" s="4" t="str">
        <f>TEXT(Claims_Cleaned[[#This Row],[claim_date]],"mmm-yyyy")</f>
        <v>Apr-2024</v>
      </c>
      <c r="J1510" t="s">
        <v>25</v>
      </c>
      <c r="K1510">
        <v>245.64</v>
      </c>
      <c r="L1510" t="s">
        <v>687</v>
      </c>
      <c r="M1510">
        <v>14</v>
      </c>
    </row>
    <row r="1511" spans="1:13" x14ac:dyDescent="0.35">
      <c r="A1511" t="s">
        <v>1953</v>
      </c>
      <c r="B1511" t="s">
        <v>34</v>
      </c>
      <c r="C1511" t="s">
        <v>546</v>
      </c>
      <c r="D1511" t="s">
        <v>617</v>
      </c>
      <c r="E1511" s="1">
        <v>45545</v>
      </c>
      <c r="F1511" s="1">
        <v>45549</v>
      </c>
      <c r="G1511" s="1">
        <v>45579</v>
      </c>
      <c r="H1511" s="4">
        <f>IF(Claims_Cleaned[[#This Row],[processed_date]]="","",Claims_Cleaned[[#This Row],[processed_date]]-Claims_Cleaned[[#This Row],[submission_date]])</f>
        <v>30</v>
      </c>
      <c r="I1511" s="4" t="str">
        <f>TEXT(Claims_Cleaned[[#This Row],[claim_date]],"mmm-yyyy")</f>
        <v>Sep-2024</v>
      </c>
      <c r="J1511" t="s">
        <v>11</v>
      </c>
      <c r="K1511">
        <v>244.95</v>
      </c>
      <c r="L1511" t="s">
        <v>683</v>
      </c>
      <c r="M1511">
        <v>30</v>
      </c>
    </row>
    <row r="1512" spans="1:13" x14ac:dyDescent="0.35">
      <c r="A1512" t="s">
        <v>1289</v>
      </c>
      <c r="B1512" t="s">
        <v>206</v>
      </c>
      <c r="C1512" t="s">
        <v>537</v>
      </c>
      <c r="D1512" t="s">
        <v>617</v>
      </c>
      <c r="E1512" s="1">
        <v>45258</v>
      </c>
      <c r="F1512" s="1">
        <v>45260</v>
      </c>
      <c r="G1512" s="1">
        <v>45277</v>
      </c>
      <c r="H1512" s="4">
        <f>IF(Claims_Cleaned[[#This Row],[processed_date]]="","",Claims_Cleaned[[#This Row],[processed_date]]-Claims_Cleaned[[#This Row],[submission_date]])</f>
        <v>17</v>
      </c>
      <c r="I1512" s="4" t="str">
        <f>TEXT(Claims_Cleaned[[#This Row],[claim_date]],"mmm-yyyy")</f>
        <v>Nov-2023</v>
      </c>
      <c r="J1512" t="s">
        <v>13</v>
      </c>
      <c r="K1512">
        <v>243.42</v>
      </c>
      <c r="L1512" t="s">
        <v>683</v>
      </c>
      <c r="M1512">
        <v>17</v>
      </c>
    </row>
    <row r="1513" spans="1:13" x14ac:dyDescent="0.35">
      <c r="A1513" t="s">
        <v>746</v>
      </c>
      <c r="B1513" t="s">
        <v>501</v>
      </c>
      <c r="C1513" t="s">
        <v>563</v>
      </c>
      <c r="D1513" t="s">
        <v>617</v>
      </c>
      <c r="E1513" s="1">
        <v>45109</v>
      </c>
      <c r="F1513" s="1">
        <v>45112</v>
      </c>
      <c r="G1513" s="1">
        <v>45133</v>
      </c>
      <c r="H1513" s="4">
        <f>IF(Claims_Cleaned[[#This Row],[processed_date]]="","",Claims_Cleaned[[#This Row],[processed_date]]-Claims_Cleaned[[#This Row],[submission_date]])</f>
        <v>21</v>
      </c>
      <c r="I1513" s="4" t="str">
        <f>TEXT(Claims_Cleaned[[#This Row],[claim_date]],"mmm-yyyy")</f>
        <v>Jul-2023</v>
      </c>
      <c r="J1513" t="s">
        <v>8</v>
      </c>
      <c r="K1513">
        <v>241.25</v>
      </c>
      <c r="L1513" t="s">
        <v>683</v>
      </c>
      <c r="M1513">
        <v>21</v>
      </c>
    </row>
    <row r="1514" spans="1:13" x14ac:dyDescent="0.35">
      <c r="A1514" t="s">
        <v>925</v>
      </c>
      <c r="B1514" t="s">
        <v>466</v>
      </c>
      <c r="C1514" t="s">
        <v>537</v>
      </c>
      <c r="D1514" t="s">
        <v>617</v>
      </c>
      <c r="E1514" s="1">
        <v>44952</v>
      </c>
      <c r="F1514" s="1">
        <v>44953</v>
      </c>
      <c r="G1514" s="1">
        <v>44959</v>
      </c>
      <c r="H1514" s="4">
        <f>IF(Claims_Cleaned[[#This Row],[processed_date]]="","",Claims_Cleaned[[#This Row],[processed_date]]-Claims_Cleaned[[#This Row],[submission_date]])</f>
        <v>6</v>
      </c>
      <c r="I1514" s="4" t="str">
        <f>TEXT(Claims_Cleaned[[#This Row],[claim_date]],"mmm-yyyy")</f>
        <v>Jan-2023</v>
      </c>
      <c r="J1514" t="s">
        <v>20</v>
      </c>
      <c r="K1514">
        <v>240.99</v>
      </c>
      <c r="L1514" t="s">
        <v>687</v>
      </c>
      <c r="M1514">
        <v>6</v>
      </c>
    </row>
    <row r="1515" spans="1:13" x14ac:dyDescent="0.35">
      <c r="A1515" t="s">
        <v>777</v>
      </c>
      <c r="B1515" t="s">
        <v>194</v>
      </c>
      <c r="C1515" t="s">
        <v>559</v>
      </c>
      <c r="D1515" t="s">
        <v>617</v>
      </c>
      <c r="E1515" s="1">
        <v>45556</v>
      </c>
      <c r="F1515" s="1">
        <v>45557</v>
      </c>
      <c r="G1515" s="1">
        <v>45574</v>
      </c>
      <c r="H1515" s="4">
        <f>IF(Claims_Cleaned[[#This Row],[processed_date]]="","",Claims_Cleaned[[#This Row],[processed_date]]-Claims_Cleaned[[#This Row],[submission_date]])</f>
        <v>17</v>
      </c>
      <c r="I1515" s="4" t="str">
        <f>TEXT(Claims_Cleaned[[#This Row],[claim_date]],"mmm-yyyy")</f>
        <v>Sep-2024</v>
      </c>
      <c r="J1515" t="s">
        <v>25</v>
      </c>
      <c r="K1515">
        <v>238.31</v>
      </c>
      <c r="L1515" t="s">
        <v>683</v>
      </c>
      <c r="M1515">
        <v>17</v>
      </c>
    </row>
    <row r="1516" spans="1:13" x14ac:dyDescent="0.35">
      <c r="A1516" t="s">
        <v>1401</v>
      </c>
      <c r="B1516" t="s">
        <v>206</v>
      </c>
      <c r="C1516" t="s">
        <v>571</v>
      </c>
      <c r="D1516" t="s">
        <v>617</v>
      </c>
      <c r="E1516" s="1">
        <v>45489</v>
      </c>
      <c r="F1516" s="1">
        <v>45490</v>
      </c>
      <c r="G1516" s="1">
        <v>45493</v>
      </c>
      <c r="H1516" s="4">
        <f>IF(Claims_Cleaned[[#This Row],[processed_date]]="","",Claims_Cleaned[[#This Row],[processed_date]]-Claims_Cleaned[[#This Row],[submission_date]])</f>
        <v>3</v>
      </c>
      <c r="I1516" s="4" t="str">
        <f>TEXT(Claims_Cleaned[[#This Row],[claim_date]],"mmm-yyyy")</f>
        <v>Jul-2024</v>
      </c>
      <c r="J1516" t="s">
        <v>13</v>
      </c>
      <c r="K1516">
        <v>237.53</v>
      </c>
      <c r="L1516" t="s">
        <v>687</v>
      </c>
      <c r="M1516">
        <v>3</v>
      </c>
    </row>
    <row r="1517" spans="1:13" x14ac:dyDescent="0.35">
      <c r="A1517" t="s">
        <v>2017</v>
      </c>
      <c r="B1517" t="s">
        <v>140</v>
      </c>
      <c r="C1517" t="s">
        <v>587</v>
      </c>
      <c r="D1517" t="s">
        <v>617</v>
      </c>
      <c r="E1517" s="1">
        <v>45200</v>
      </c>
      <c r="F1517" s="1">
        <v>45205</v>
      </c>
      <c r="G1517" s="1">
        <v>45220</v>
      </c>
      <c r="H1517" s="4">
        <f>IF(Claims_Cleaned[[#This Row],[processed_date]]="","",Claims_Cleaned[[#This Row],[processed_date]]-Claims_Cleaned[[#This Row],[submission_date]])</f>
        <v>15</v>
      </c>
      <c r="I1517" s="4" t="str">
        <f>TEXT(Claims_Cleaned[[#This Row],[claim_date]],"mmm-yyyy")</f>
        <v>Oct-2023</v>
      </c>
      <c r="J1517" t="s">
        <v>20</v>
      </c>
      <c r="K1517">
        <v>236.21</v>
      </c>
      <c r="L1517" t="s">
        <v>687</v>
      </c>
      <c r="M1517">
        <v>15</v>
      </c>
    </row>
    <row r="1518" spans="1:13" x14ac:dyDescent="0.35">
      <c r="A1518" t="s">
        <v>2648</v>
      </c>
      <c r="B1518" t="s">
        <v>406</v>
      </c>
      <c r="C1518" t="s">
        <v>524</v>
      </c>
      <c r="D1518" t="s">
        <v>617</v>
      </c>
      <c r="E1518" s="1">
        <v>45065</v>
      </c>
      <c r="F1518" s="1">
        <v>45068</v>
      </c>
      <c r="G1518" s="1">
        <v>45087</v>
      </c>
      <c r="H1518" s="4">
        <f>IF(Claims_Cleaned[[#This Row],[processed_date]]="","",Claims_Cleaned[[#This Row],[processed_date]]-Claims_Cleaned[[#This Row],[submission_date]])</f>
        <v>19</v>
      </c>
      <c r="I1518" s="4" t="str">
        <f>TEXT(Claims_Cleaned[[#This Row],[claim_date]],"mmm-yyyy")</f>
        <v>May-2023</v>
      </c>
      <c r="J1518" t="s">
        <v>11</v>
      </c>
      <c r="K1518">
        <v>235.86</v>
      </c>
      <c r="L1518" t="s">
        <v>687</v>
      </c>
      <c r="M1518">
        <v>19</v>
      </c>
    </row>
    <row r="1519" spans="1:13" x14ac:dyDescent="0.35">
      <c r="A1519" t="s">
        <v>1682</v>
      </c>
      <c r="B1519" t="s">
        <v>224</v>
      </c>
      <c r="C1519" t="s">
        <v>583</v>
      </c>
      <c r="D1519" t="s">
        <v>617</v>
      </c>
      <c r="E1519" s="1">
        <v>45354</v>
      </c>
      <c r="F1519" s="1">
        <v>45357</v>
      </c>
      <c r="G1519" s="1">
        <v>45385</v>
      </c>
      <c r="H1519" s="4">
        <f>IF(Claims_Cleaned[[#This Row],[processed_date]]="","",Claims_Cleaned[[#This Row],[processed_date]]-Claims_Cleaned[[#This Row],[submission_date]])</f>
        <v>28</v>
      </c>
      <c r="I1519" s="4" t="str">
        <f>TEXT(Claims_Cleaned[[#This Row],[claim_date]],"mmm-yyyy")</f>
        <v>Mar-2024</v>
      </c>
      <c r="J1519" t="s">
        <v>11</v>
      </c>
      <c r="K1519">
        <v>233.25</v>
      </c>
      <c r="L1519" t="s">
        <v>683</v>
      </c>
      <c r="M1519">
        <v>28</v>
      </c>
    </row>
    <row r="1520" spans="1:13" x14ac:dyDescent="0.35">
      <c r="A1520" t="s">
        <v>1226</v>
      </c>
      <c r="B1520" t="s">
        <v>212</v>
      </c>
      <c r="C1520" t="s">
        <v>601</v>
      </c>
      <c r="D1520" t="s">
        <v>617</v>
      </c>
      <c r="E1520" s="1">
        <v>45062</v>
      </c>
      <c r="F1520" s="1">
        <v>45066</v>
      </c>
      <c r="G1520" s="1">
        <v>45085</v>
      </c>
      <c r="H1520" s="4">
        <f>IF(Claims_Cleaned[[#This Row],[processed_date]]="","",Claims_Cleaned[[#This Row],[processed_date]]-Claims_Cleaned[[#This Row],[submission_date]])</f>
        <v>19</v>
      </c>
      <c r="I1520" s="4" t="str">
        <f>TEXT(Claims_Cleaned[[#This Row],[claim_date]],"mmm-yyyy")</f>
        <v>May-2023</v>
      </c>
      <c r="J1520" t="s">
        <v>20</v>
      </c>
      <c r="K1520">
        <v>232.39</v>
      </c>
      <c r="L1520" t="s">
        <v>683</v>
      </c>
      <c r="M1520">
        <v>19</v>
      </c>
    </row>
    <row r="1521" spans="1:13" x14ac:dyDescent="0.35">
      <c r="A1521" t="s">
        <v>2448</v>
      </c>
      <c r="B1521" t="s">
        <v>478</v>
      </c>
      <c r="C1521" t="s">
        <v>559</v>
      </c>
      <c r="D1521" t="s">
        <v>617</v>
      </c>
      <c r="E1521" s="1">
        <v>45575</v>
      </c>
      <c r="F1521" s="1">
        <v>45577</v>
      </c>
      <c r="G1521" s="1"/>
      <c r="H1521" s="4" t="str">
        <f>IF(Claims_Cleaned[[#This Row],[processed_date]]="","",Claims_Cleaned[[#This Row],[processed_date]]-Claims_Cleaned[[#This Row],[submission_date]])</f>
        <v/>
      </c>
      <c r="I1521" s="4" t="str">
        <f>TEXT(Claims_Cleaned[[#This Row],[claim_date]],"mmm-yyyy")</f>
        <v>Oct-2024</v>
      </c>
      <c r="J1521" t="s">
        <v>13</v>
      </c>
      <c r="K1521">
        <v>230.43</v>
      </c>
      <c r="L1521" t="s">
        <v>689</v>
      </c>
    </row>
    <row r="1522" spans="1:13" x14ac:dyDescent="0.35">
      <c r="A1522" t="s">
        <v>1277</v>
      </c>
      <c r="B1522" t="s">
        <v>115</v>
      </c>
      <c r="C1522" t="s">
        <v>595</v>
      </c>
      <c r="D1522" t="s">
        <v>617</v>
      </c>
      <c r="E1522" s="1">
        <v>45613</v>
      </c>
      <c r="F1522" s="1">
        <v>45617</v>
      </c>
      <c r="G1522" s="1">
        <v>45638</v>
      </c>
      <c r="H1522" s="4">
        <f>IF(Claims_Cleaned[[#This Row],[processed_date]]="","",Claims_Cleaned[[#This Row],[processed_date]]-Claims_Cleaned[[#This Row],[submission_date]])</f>
        <v>21</v>
      </c>
      <c r="I1522" s="4" t="str">
        <f>TEXT(Claims_Cleaned[[#This Row],[claim_date]],"mmm-yyyy")</f>
        <v>Nov-2024</v>
      </c>
      <c r="J1522" t="s">
        <v>20</v>
      </c>
      <c r="K1522">
        <v>230.36</v>
      </c>
      <c r="L1522" t="s">
        <v>683</v>
      </c>
      <c r="M1522">
        <v>21</v>
      </c>
    </row>
    <row r="1523" spans="1:13" x14ac:dyDescent="0.35">
      <c r="A1523" t="s">
        <v>2358</v>
      </c>
      <c r="B1523" t="s">
        <v>145</v>
      </c>
      <c r="C1523" t="s">
        <v>591</v>
      </c>
      <c r="D1523" t="s">
        <v>617</v>
      </c>
      <c r="E1523" s="1">
        <v>45536</v>
      </c>
      <c r="F1523" s="1">
        <v>45537</v>
      </c>
      <c r="G1523" s="1">
        <v>45544</v>
      </c>
      <c r="H1523" s="4">
        <f>IF(Claims_Cleaned[[#This Row],[processed_date]]="","",Claims_Cleaned[[#This Row],[processed_date]]-Claims_Cleaned[[#This Row],[submission_date]])</f>
        <v>7</v>
      </c>
      <c r="I1523" s="4" t="str">
        <f>TEXT(Claims_Cleaned[[#This Row],[claim_date]],"mmm-yyyy")</f>
        <v>Sep-2024</v>
      </c>
      <c r="J1523" t="s">
        <v>8</v>
      </c>
      <c r="K1523">
        <v>228.87</v>
      </c>
      <c r="L1523" t="s">
        <v>683</v>
      </c>
      <c r="M1523">
        <v>7</v>
      </c>
    </row>
    <row r="1524" spans="1:13" x14ac:dyDescent="0.35">
      <c r="A1524" t="s">
        <v>1923</v>
      </c>
      <c r="B1524" t="s">
        <v>441</v>
      </c>
      <c r="C1524" t="s">
        <v>565</v>
      </c>
      <c r="D1524" t="s">
        <v>617</v>
      </c>
      <c r="E1524" s="1">
        <v>45259</v>
      </c>
      <c r="F1524" s="1">
        <v>45262</v>
      </c>
      <c r="G1524" s="1"/>
      <c r="H1524" s="4" t="str">
        <f>IF(Claims_Cleaned[[#This Row],[processed_date]]="","",Claims_Cleaned[[#This Row],[processed_date]]-Claims_Cleaned[[#This Row],[submission_date]])</f>
        <v/>
      </c>
      <c r="I1524" s="4" t="str">
        <f>TEXT(Claims_Cleaned[[#This Row],[claim_date]],"mmm-yyyy")</f>
        <v>Nov-2023</v>
      </c>
      <c r="J1524" t="s">
        <v>11</v>
      </c>
      <c r="K1524">
        <v>228.64</v>
      </c>
      <c r="L1524" t="s">
        <v>689</v>
      </c>
    </row>
    <row r="1525" spans="1:13" x14ac:dyDescent="0.35">
      <c r="A1525" t="s">
        <v>2324</v>
      </c>
      <c r="B1525" t="s">
        <v>222</v>
      </c>
      <c r="C1525" t="s">
        <v>587</v>
      </c>
      <c r="D1525" t="s">
        <v>617</v>
      </c>
      <c r="E1525" s="1">
        <v>44946</v>
      </c>
      <c r="F1525" s="1">
        <v>44948</v>
      </c>
      <c r="G1525" s="1"/>
      <c r="H1525" s="4" t="str">
        <f>IF(Claims_Cleaned[[#This Row],[processed_date]]="","",Claims_Cleaned[[#This Row],[processed_date]]-Claims_Cleaned[[#This Row],[submission_date]])</f>
        <v/>
      </c>
      <c r="I1525" s="4" t="str">
        <f>TEXT(Claims_Cleaned[[#This Row],[claim_date]],"mmm-yyyy")</f>
        <v>Jan-2023</v>
      </c>
      <c r="J1525" t="s">
        <v>20</v>
      </c>
      <c r="K1525">
        <v>228.29</v>
      </c>
      <c r="L1525" t="s">
        <v>689</v>
      </c>
    </row>
    <row r="1526" spans="1:13" x14ac:dyDescent="0.35">
      <c r="A1526" t="s">
        <v>1116</v>
      </c>
      <c r="B1526" t="s">
        <v>423</v>
      </c>
      <c r="C1526" t="s">
        <v>599</v>
      </c>
      <c r="D1526" t="s">
        <v>617</v>
      </c>
      <c r="E1526" s="1">
        <v>45046</v>
      </c>
      <c r="F1526" s="1">
        <v>45048</v>
      </c>
      <c r="G1526" s="1"/>
      <c r="H1526" s="4" t="str">
        <f>IF(Claims_Cleaned[[#This Row],[processed_date]]="","",Claims_Cleaned[[#This Row],[processed_date]]-Claims_Cleaned[[#This Row],[submission_date]])</f>
        <v/>
      </c>
      <c r="I1526" s="4" t="str">
        <f>TEXT(Claims_Cleaned[[#This Row],[claim_date]],"mmm-yyyy")</f>
        <v>Apr-2023</v>
      </c>
      <c r="J1526" t="s">
        <v>13</v>
      </c>
      <c r="K1526">
        <v>228.24</v>
      </c>
      <c r="L1526" t="s">
        <v>689</v>
      </c>
    </row>
    <row r="1527" spans="1:13" x14ac:dyDescent="0.35">
      <c r="A1527" t="s">
        <v>1984</v>
      </c>
      <c r="B1527" t="s">
        <v>79</v>
      </c>
      <c r="C1527" t="s">
        <v>521</v>
      </c>
      <c r="D1527" t="s">
        <v>617</v>
      </c>
      <c r="E1527" s="1">
        <v>45096</v>
      </c>
      <c r="F1527" s="1">
        <v>45100</v>
      </c>
      <c r="G1527" s="1">
        <v>45106</v>
      </c>
      <c r="H1527" s="4">
        <f>IF(Claims_Cleaned[[#This Row],[processed_date]]="","",Claims_Cleaned[[#This Row],[processed_date]]-Claims_Cleaned[[#This Row],[submission_date]])</f>
        <v>6</v>
      </c>
      <c r="I1527" s="4" t="str">
        <f>TEXT(Claims_Cleaned[[#This Row],[claim_date]],"mmm-yyyy")</f>
        <v>Jun-2023</v>
      </c>
      <c r="J1527" t="s">
        <v>11</v>
      </c>
      <c r="K1527">
        <v>228.16</v>
      </c>
      <c r="L1527" t="s">
        <v>683</v>
      </c>
      <c r="M1527">
        <v>6</v>
      </c>
    </row>
    <row r="1528" spans="1:13" x14ac:dyDescent="0.35">
      <c r="A1528" t="s">
        <v>855</v>
      </c>
      <c r="B1528" t="s">
        <v>274</v>
      </c>
      <c r="C1528" t="s">
        <v>557</v>
      </c>
      <c r="D1528" t="s">
        <v>617</v>
      </c>
      <c r="E1528" s="1">
        <v>45656</v>
      </c>
      <c r="F1528" s="1">
        <v>45660</v>
      </c>
      <c r="G1528" s="1">
        <v>45688</v>
      </c>
      <c r="H1528" s="4">
        <f>IF(Claims_Cleaned[[#This Row],[processed_date]]="","",Claims_Cleaned[[#This Row],[processed_date]]-Claims_Cleaned[[#This Row],[submission_date]])</f>
        <v>28</v>
      </c>
      <c r="I1528" s="4" t="str">
        <f>TEXT(Claims_Cleaned[[#This Row],[claim_date]],"mmm-yyyy")</f>
        <v>Dec-2024</v>
      </c>
      <c r="J1528" t="s">
        <v>13</v>
      </c>
      <c r="K1528">
        <v>228.12</v>
      </c>
      <c r="L1528" t="s">
        <v>683</v>
      </c>
      <c r="M1528">
        <v>28</v>
      </c>
    </row>
    <row r="1529" spans="1:13" x14ac:dyDescent="0.35">
      <c r="A1529" t="s">
        <v>1638</v>
      </c>
      <c r="B1529" t="s">
        <v>221</v>
      </c>
      <c r="C1529" t="s">
        <v>553</v>
      </c>
      <c r="D1529" t="s">
        <v>617</v>
      </c>
      <c r="E1529" s="1">
        <v>45586</v>
      </c>
      <c r="F1529" s="1">
        <v>45591</v>
      </c>
      <c r="G1529" s="1">
        <v>45618</v>
      </c>
      <c r="H1529" s="4">
        <f>IF(Claims_Cleaned[[#This Row],[processed_date]]="","",Claims_Cleaned[[#This Row],[processed_date]]-Claims_Cleaned[[#This Row],[submission_date]])</f>
        <v>27</v>
      </c>
      <c r="I1529" s="4" t="str">
        <f>TEXT(Claims_Cleaned[[#This Row],[claim_date]],"mmm-yyyy")</f>
        <v>Oct-2024</v>
      </c>
      <c r="J1529" t="s">
        <v>20</v>
      </c>
      <c r="K1529">
        <v>227.99</v>
      </c>
      <c r="L1529" t="s">
        <v>683</v>
      </c>
      <c r="M1529">
        <v>27</v>
      </c>
    </row>
    <row r="1530" spans="1:13" x14ac:dyDescent="0.35">
      <c r="A1530" t="s">
        <v>1555</v>
      </c>
      <c r="B1530" t="s">
        <v>82</v>
      </c>
      <c r="C1530" t="s">
        <v>524</v>
      </c>
      <c r="D1530" t="s">
        <v>617</v>
      </c>
      <c r="E1530" s="1">
        <v>44991</v>
      </c>
      <c r="F1530" s="1">
        <v>44996</v>
      </c>
      <c r="G1530" s="1">
        <v>45024</v>
      </c>
      <c r="H1530" s="4">
        <f>IF(Claims_Cleaned[[#This Row],[processed_date]]="","",Claims_Cleaned[[#This Row],[processed_date]]-Claims_Cleaned[[#This Row],[submission_date]])</f>
        <v>28</v>
      </c>
      <c r="I1530" s="4" t="str">
        <f>TEXT(Claims_Cleaned[[#This Row],[claim_date]],"mmm-yyyy")</f>
        <v>Mar-2023</v>
      </c>
      <c r="J1530" t="s">
        <v>11</v>
      </c>
      <c r="K1530">
        <v>227.81</v>
      </c>
      <c r="L1530" t="s">
        <v>683</v>
      </c>
      <c r="M1530">
        <v>28</v>
      </c>
    </row>
    <row r="1531" spans="1:13" x14ac:dyDescent="0.35">
      <c r="A1531" t="s">
        <v>717</v>
      </c>
      <c r="B1531" t="s">
        <v>496</v>
      </c>
      <c r="C1531" t="s">
        <v>534</v>
      </c>
      <c r="D1531" t="s">
        <v>617</v>
      </c>
      <c r="E1531" s="1">
        <v>45441</v>
      </c>
      <c r="F1531" s="1">
        <v>45442</v>
      </c>
      <c r="G1531" s="1">
        <v>45445</v>
      </c>
      <c r="H1531" s="4">
        <f>IF(Claims_Cleaned[[#This Row],[processed_date]]="","",Claims_Cleaned[[#This Row],[processed_date]]-Claims_Cleaned[[#This Row],[submission_date]])</f>
        <v>3</v>
      </c>
      <c r="I1531" s="4" t="str">
        <f>TEXT(Claims_Cleaned[[#This Row],[claim_date]],"mmm-yyyy")</f>
        <v>May-2024</v>
      </c>
      <c r="J1531" t="s">
        <v>13</v>
      </c>
      <c r="K1531">
        <v>226.8</v>
      </c>
      <c r="L1531" t="s">
        <v>683</v>
      </c>
      <c r="M1531">
        <v>3</v>
      </c>
    </row>
    <row r="1532" spans="1:13" x14ac:dyDescent="0.35">
      <c r="A1532" t="s">
        <v>2404</v>
      </c>
      <c r="B1532" t="s">
        <v>183</v>
      </c>
      <c r="C1532" t="s">
        <v>540</v>
      </c>
      <c r="D1532" t="s">
        <v>617</v>
      </c>
      <c r="E1532" s="1">
        <v>45037</v>
      </c>
      <c r="F1532" s="1">
        <v>45041</v>
      </c>
      <c r="G1532" s="1"/>
      <c r="H1532" s="4" t="str">
        <f>IF(Claims_Cleaned[[#This Row],[processed_date]]="","",Claims_Cleaned[[#This Row],[processed_date]]-Claims_Cleaned[[#This Row],[submission_date]])</f>
        <v/>
      </c>
      <c r="I1532" s="4" t="str">
        <f>TEXT(Claims_Cleaned[[#This Row],[claim_date]],"mmm-yyyy")</f>
        <v>Apr-2023</v>
      </c>
      <c r="J1532" t="s">
        <v>8</v>
      </c>
      <c r="K1532">
        <v>226.73</v>
      </c>
      <c r="L1532" t="s">
        <v>689</v>
      </c>
    </row>
    <row r="1533" spans="1:13" x14ac:dyDescent="0.35">
      <c r="A1533" t="s">
        <v>2014</v>
      </c>
      <c r="B1533" t="s">
        <v>87</v>
      </c>
      <c r="C1533" t="s">
        <v>609</v>
      </c>
      <c r="D1533" t="s">
        <v>617</v>
      </c>
      <c r="E1533" s="1">
        <v>45529</v>
      </c>
      <c r="F1533" s="1">
        <v>45532</v>
      </c>
      <c r="G1533" s="1">
        <v>45538</v>
      </c>
      <c r="H1533" s="4">
        <f>IF(Claims_Cleaned[[#This Row],[processed_date]]="","",Claims_Cleaned[[#This Row],[processed_date]]-Claims_Cleaned[[#This Row],[submission_date]])</f>
        <v>6</v>
      </c>
      <c r="I1533" s="4" t="str">
        <f>TEXT(Claims_Cleaned[[#This Row],[claim_date]],"mmm-yyyy")</f>
        <v>Aug-2024</v>
      </c>
      <c r="J1533" t="s">
        <v>8</v>
      </c>
      <c r="K1533">
        <v>226.14</v>
      </c>
      <c r="L1533" t="s">
        <v>683</v>
      </c>
      <c r="M1533">
        <v>6</v>
      </c>
    </row>
    <row r="1534" spans="1:13" x14ac:dyDescent="0.35">
      <c r="A1534" t="s">
        <v>2033</v>
      </c>
      <c r="B1534" t="s">
        <v>43</v>
      </c>
      <c r="C1534" t="s">
        <v>555</v>
      </c>
      <c r="D1534" t="s">
        <v>617</v>
      </c>
      <c r="E1534" s="1">
        <v>45031</v>
      </c>
      <c r="F1534" s="1">
        <v>45033</v>
      </c>
      <c r="G1534" s="1">
        <v>45045</v>
      </c>
      <c r="H1534" s="4">
        <f>IF(Claims_Cleaned[[#This Row],[processed_date]]="","",Claims_Cleaned[[#This Row],[processed_date]]-Claims_Cleaned[[#This Row],[submission_date]])</f>
        <v>12</v>
      </c>
      <c r="I1534" s="4" t="str">
        <f>TEXT(Claims_Cleaned[[#This Row],[claim_date]],"mmm-yyyy")</f>
        <v>Apr-2023</v>
      </c>
      <c r="J1534" t="s">
        <v>20</v>
      </c>
      <c r="K1534">
        <v>225.93</v>
      </c>
      <c r="L1534" t="s">
        <v>683</v>
      </c>
      <c r="M1534">
        <v>12</v>
      </c>
    </row>
    <row r="1535" spans="1:13" x14ac:dyDescent="0.35">
      <c r="A1535" t="s">
        <v>2452</v>
      </c>
      <c r="B1535" t="s">
        <v>427</v>
      </c>
      <c r="C1535" t="s">
        <v>571</v>
      </c>
      <c r="D1535" t="s">
        <v>617</v>
      </c>
      <c r="E1535" s="1">
        <v>45496</v>
      </c>
      <c r="F1535" s="1">
        <v>45497</v>
      </c>
      <c r="G1535" s="1">
        <v>45521</v>
      </c>
      <c r="H1535" s="4">
        <f>IF(Claims_Cleaned[[#This Row],[processed_date]]="","",Claims_Cleaned[[#This Row],[processed_date]]-Claims_Cleaned[[#This Row],[submission_date]])</f>
        <v>24</v>
      </c>
      <c r="I1535" s="4" t="str">
        <f>TEXT(Claims_Cleaned[[#This Row],[claim_date]],"mmm-yyyy")</f>
        <v>Jul-2024</v>
      </c>
      <c r="J1535" t="s">
        <v>20</v>
      </c>
      <c r="K1535">
        <v>225.41</v>
      </c>
      <c r="L1535" t="s">
        <v>683</v>
      </c>
      <c r="M1535">
        <v>24</v>
      </c>
    </row>
    <row r="1536" spans="1:13" x14ac:dyDescent="0.35">
      <c r="A1536" t="s">
        <v>1645</v>
      </c>
      <c r="B1536" t="s">
        <v>454</v>
      </c>
      <c r="C1536" t="s">
        <v>581</v>
      </c>
      <c r="D1536" t="s">
        <v>617</v>
      </c>
      <c r="E1536" s="1">
        <v>44948</v>
      </c>
      <c r="F1536" s="1">
        <v>44953</v>
      </c>
      <c r="G1536" s="1">
        <v>44958</v>
      </c>
      <c r="H1536" s="4">
        <f>IF(Claims_Cleaned[[#This Row],[processed_date]]="","",Claims_Cleaned[[#This Row],[processed_date]]-Claims_Cleaned[[#This Row],[submission_date]])</f>
        <v>5</v>
      </c>
      <c r="I1536" s="4" t="str">
        <f>TEXT(Claims_Cleaned[[#This Row],[claim_date]],"mmm-yyyy")</f>
        <v>Jan-2023</v>
      </c>
      <c r="J1536" t="s">
        <v>20</v>
      </c>
      <c r="K1536">
        <v>224.67</v>
      </c>
      <c r="L1536" t="s">
        <v>683</v>
      </c>
      <c r="M1536">
        <v>5</v>
      </c>
    </row>
    <row r="1537" spans="1:13" x14ac:dyDescent="0.35">
      <c r="A1537" t="s">
        <v>1709</v>
      </c>
      <c r="B1537" t="s">
        <v>261</v>
      </c>
      <c r="C1537" t="s">
        <v>553</v>
      </c>
      <c r="D1537" t="s">
        <v>617</v>
      </c>
      <c r="E1537" s="1">
        <v>45532</v>
      </c>
      <c r="F1537" s="1">
        <v>45535</v>
      </c>
      <c r="G1537" s="1"/>
      <c r="H1537" s="4" t="str">
        <f>IF(Claims_Cleaned[[#This Row],[processed_date]]="","",Claims_Cleaned[[#This Row],[processed_date]]-Claims_Cleaned[[#This Row],[submission_date]])</f>
        <v/>
      </c>
      <c r="I1537" s="4" t="str">
        <f>TEXT(Claims_Cleaned[[#This Row],[claim_date]],"mmm-yyyy")</f>
        <v>Aug-2024</v>
      </c>
      <c r="J1537" t="s">
        <v>20</v>
      </c>
      <c r="K1537">
        <v>224.04</v>
      </c>
      <c r="L1537" t="s">
        <v>689</v>
      </c>
    </row>
    <row r="1538" spans="1:13" x14ac:dyDescent="0.35">
      <c r="A1538" t="s">
        <v>2206</v>
      </c>
      <c r="B1538" t="s">
        <v>379</v>
      </c>
      <c r="C1538" t="s">
        <v>595</v>
      </c>
      <c r="D1538" t="s">
        <v>635</v>
      </c>
      <c r="E1538" s="1">
        <v>45654</v>
      </c>
      <c r="F1538" s="1">
        <v>45658</v>
      </c>
      <c r="G1538" s="1">
        <v>45663</v>
      </c>
      <c r="H1538" s="4">
        <f>IF(Claims_Cleaned[[#This Row],[processed_date]]="","",Claims_Cleaned[[#This Row],[processed_date]]-Claims_Cleaned[[#This Row],[submission_date]])</f>
        <v>5</v>
      </c>
      <c r="I1538" s="4" t="str">
        <f>TEXT(Claims_Cleaned[[#This Row],[claim_date]],"mmm-yyyy")</f>
        <v>Dec-2024</v>
      </c>
      <c r="J1538" t="s">
        <v>13</v>
      </c>
      <c r="K1538">
        <v>223.87</v>
      </c>
      <c r="L1538" t="s">
        <v>683</v>
      </c>
      <c r="M1538">
        <v>5</v>
      </c>
    </row>
    <row r="1539" spans="1:13" x14ac:dyDescent="0.35">
      <c r="A1539" t="s">
        <v>1767</v>
      </c>
      <c r="B1539" t="s">
        <v>371</v>
      </c>
      <c r="C1539" t="s">
        <v>555</v>
      </c>
      <c r="D1539" t="s">
        <v>617</v>
      </c>
      <c r="E1539" s="1">
        <v>45484</v>
      </c>
      <c r="F1539" s="1">
        <v>45489</v>
      </c>
      <c r="G1539" s="1">
        <v>45518</v>
      </c>
      <c r="H1539" s="4">
        <f>IF(Claims_Cleaned[[#This Row],[processed_date]]="","",Claims_Cleaned[[#This Row],[processed_date]]-Claims_Cleaned[[#This Row],[submission_date]])</f>
        <v>29</v>
      </c>
      <c r="I1539" s="4" t="str">
        <f>TEXT(Claims_Cleaned[[#This Row],[claim_date]],"mmm-yyyy")</f>
        <v>Jul-2024</v>
      </c>
      <c r="J1539" t="s">
        <v>25</v>
      </c>
      <c r="K1539">
        <v>223.24</v>
      </c>
      <c r="L1539" t="s">
        <v>687</v>
      </c>
      <c r="M1539">
        <v>29</v>
      </c>
    </row>
    <row r="1540" spans="1:13" x14ac:dyDescent="0.35">
      <c r="A1540" t="s">
        <v>1316</v>
      </c>
      <c r="B1540" t="s">
        <v>401</v>
      </c>
      <c r="C1540" t="s">
        <v>601</v>
      </c>
      <c r="D1540" t="s">
        <v>617</v>
      </c>
      <c r="E1540" s="1">
        <v>45194</v>
      </c>
      <c r="F1540" s="1">
        <v>45199</v>
      </c>
      <c r="G1540" s="1">
        <v>45207</v>
      </c>
      <c r="H1540" s="4">
        <f>IF(Claims_Cleaned[[#This Row],[processed_date]]="","",Claims_Cleaned[[#This Row],[processed_date]]-Claims_Cleaned[[#This Row],[submission_date]])</f>
        <v>8</v>
      </c>
      <c r="I1540" s="4" t="str">
        <f>TEXT(Claims_Cleaned[[#This Row],[claim_date]],"mmm-yyyy")</f>
        <v>Sep-2023</v>
      </c>
      <c r="J1540" t="s">
        <v>8</v>
      </c>
      <c r="K1540">
        <v>223.02</v>
      </c>
      <c r="L1540" t="s">
        <v>683</v>
      </c>
      <c r="M1540">
        <v>8</v>
      </c>
    </row>
    <row r="1541" spans="1:13" x14ac:dyDescent="0.35">
      <c r="A1541" t="s">
        <v>707</v>
      </c>
      <c r="B1541" t="s">
        <v>436</v>
      </c>
      <c r="C1541" t="s">
        <v>559</v>
      </c>
      <c r="D1541" t="s">
        <v>617</v>
      </c>
      <c r="E1541" s="1">
        <v>44964</v>
      </c>
      <c r="F1541" s="1">
        <v>44967</v>
      </c>
      <c r="G1541" s="1">
        <v>44988</v>
      </c>
      <c r="H1541" s="4">
        <f>IF(Claims_Cleaned[[#This Row],[processed_date]]="","",Claims_Cleaned[[#This Row],[processed_date]]-Claims_Cleaned[[#This Row],[submission_date]])</f>
        <v>21</v>
      </c>
      <c r="I1541" s="4" t="str">
        <f>TEXT(Claims_Cleaned[[#This Row],[claim_date]],"mmm-yyyy")</f>
        <v>Feb-2023</v>
      </c>
      <c r="J1541" t="s">
        <v>8</v>
      </c>
      <c r="K1541">
        <v>222.92</v>
      </c>
      <c r="L1541" t="s">
        <v>683</v>
      </c>
      <c r="M1541">
        <v>21</v>
      </c>
    </row>
    <row r="1542" spans="1:13" x14ac:dyDescent="0.35">
      <c r="A1542" t="s">
        <v>958</v>
      </c>
      <c r="B1542" t="s">
        <v>411</v>
      </c>
      <c r="C1542" t="s">
        <v>593</v>
      </c>
      <c r="D1542" t="s">
        <v>635</v>
      </c>
      <c r="E1542" s="1">
        <v>45394</v>
      </c>
      <c r="F1542" s="1">
        <v>45395</v>
      </c>
      <c r="G1542" s="1">
        <v>45400</v>
      </c>
      <c r="H1542" s="4">
        <f>IF(Claims_Cleaned[[#This Row],[processed_date]]="","",Claims_Cleaned[[#This Row],[processed_date]]-Claims_Cleaned[[#This Row],[submission_date]])</f>
        <v>5</v>
      </c>
      <c r="I1542" s="4" t="str">
        <f>TEXT(Claims_Cleaned[[#This Row],[claim_date]],"mmm-yyyy")</f>
        <v>Apr-2024</v>
      </c>
      <c r="J1542" t="s">
        <v>8</v>
      </c>
      <c r="K1542">
        <v>222.57</v>
      </c>
      <c r="L1542" t="s">
        <v>683</v>
      </c>
      <c r="M1542">
        <v>5</v>
      </c>
    </row>
    <row r="1543" spans="1:13" x14ac:dyDescent="0.35">
      <c r="A1543" t="s">
        <v>927</v>
      </c>
      <c r="B1543" t="s">
        <v>77</v>
      </c>
      <c r="C1543" t="s">
        <v>537</v>
      </c>
      <c r="D1543" t="s">
        <v>617</v>
      </c>
      <c r="E1543" s="1">
        <v>44992</v>
      </c>
      <c r="F1543" s="1">
        <v>44993</v>
      </c>
      <c r="G1543" s="1">
        <v>45001</v>
      </c>
      <c r="H1543" s="4">
        <f>IF(Claims_Cleaned[[#This Row],[processed_date]]="","",Claims_Cleaned[[#This Row],[processed_date]]-Claims_Cleaned[[#This Row],[submission_date]])</f>
        <v>8</v>
      </c>
      <c r="I1543" s="4" t="str">
        <f>TEXT(Claims_Cleaned[[#This Row],[claim_date]],"mmm-yyyy")</f>
        <v>Mar-2023</v>
      </c>
      <c r="J1543" t="s">
        <v>20</v>
      </c>
      <c r="K1543">
        <v>222.54</v>
      </c>
      <c r="L1543" t="s">
        <v>683</v>
      </c>
      <c r="M1543">
        <v>8</v>
      </c>
    </row>
    <row r="1544" spans="1:13" x14ac:dyDescent="0.35">
      <c r="A1544" t="s">
        <v>1861</v>
      </c>
      <c r="B1544" t="s">
        <v>417</v>
      </c>
      <c r="C1544" t="s">
        <v>607</v>
      </c>
      <c r="D1544" t="s">
        <v>617</v>
      </c>
      <c r="E1544" s="1">
        <v>44952</v>
      </c>
      <c r="F1544" s="1">
        <v>44954</v>
      </c>
      <c r="G1544" s="1">
        <v>44971</v>
      </c>
      <c r="H1544" s="4">
        <f>IF(Claims_Cleaned[[#This Row],[processed_date]]="","",Claims_Cleaned[[#This Row],[processed_date]]-Claims_Cleaned[[#This Row],[submission_date]])</f>
        <v>17</v>
      </c>
      <c r="I1544" s="4" t="str">
        <f>TEXT(Claims_Cleaned[[#This Row],[claim_date]],"mmm-yyyy")</f>
        <v>Jan-2023</v>
      </c>
      <c r="J1544" t="s">
        <v>25</v>
      </c>
      <c r="K1544">
        <v>222.42</v>
      </c>
      <c r="L1544" t="s">
        <v>687</v>
      </c>
      <c r="M1544">
        <v>17</v>
      </c>
    </row>
    <row r="1545" spans="1:13" x14ac:dyDescent="0.35">
      <c r="A1545" t="s">
        <v>1216</v>
      </c>
      <c r="B1545" t="s">
        <v>227</v>
      </c>
      <c r="C1545" t="s">
        <v>571</v>
      </c>
      <c r="D1545" t="s">
        <v>617</v>
      </c>
      <c r="E1545" s="1">
        <v>45350</v>
      </c>
      <c r="F1545" s="1">
        <v>45354</v>
      </c>
      <c r="G1545" s="1">
        <v>45373</v>
      </c>
      <c r="H1545" s="4">
        <f>IF(Claims_Cleaned[[#This Row],[processed_date]]="","",Claims_Cleaned[[#This Row],[processed_date]]-Claims_Cleaned[[#This Row],[submission_date]])</f>
        <v>19</v>
      </c>
      <c r="I1545" s="4" t="str">
        <f>TEXT(Claims_Cleaned[[#This Row],[claim_date]],"mmm-yyyy")</f>
        <v>Feb-2024</v>
      </c>
      <c r="J1545" t="s">
        <v>8</v>
      </c>
      <c r="K1545">
        <v>221.96</v>
      </c>
      <c r="L1545" t="s">
        <v>683</v>
      </c>
      <c r="M1545">
        <v>19</v>
      </c>
    </row>
    <row r="1546" spans="1:13" x14ac:dyDescent="0.35">
      <c r="A1546" t="s">
        <v>1421</v>
      </c>
      <c r="B1546" t="s">
        <v>72</v>
      </c>
      <c r="C1546" t="s">
        <v>569</v>
      </c>
      <c r="D1546" t="s">
        <v>635</v>
      </c>
      <c r="E1546" s="1">
        <v>45564</v>
      </c>
      <c r="F1546" s="1">
        <v>45566</v>
      </c>
      <c r="G1546" s="1">
        <v>45580</v>
      </c>
      <c r="H1546" s="4">
        <f>IF(Claims_Cleaned[[#This Row],[processed_date]]="","",Claims_Cleaned[[#This Row],[processed_date]]-Claims_Cleaned[[#This Row],[submission_date]])</f>
        <v>14</v>
      </c>
      <c r="I1546" s="4" t="str">
        <f>TEXT(Claims_Cleaned[[#This Row],[claim_date]],"mmm-yyyy")</f>
        <v>Sep-2024</v>
      </c>
      <c r="J1546" t="s">
        <v>20</v>
      </c>
      <c r="K1546">
        <v>221.86</v>
      </c>
      <c r="L1546" t="s">
        <v>683</v>
      </c>
      <c r="M1546">
        <v>14</v>
      </c>
    </row>
    <row r="1547" spans="1:13" x14ac:dyDescent="0.35">
      <c r="A1547" t="s">
        <v>1255</v>
      </c>
      <c r="B1547" t="s">
        <v>136</v>
      </c>
      <c r="C1547" t="s">
        <v>521</v>
      </c>
      <c r="D1547" t="s">
        <v>635</v>
      </c>
      <c r="E1547" s="1">
        <v>45546</v>
      </c>
      <c r="F1547" s="1">
        <v>45547</v>
      </c>
      <c r="G1547" s="1">
        <v>45556</v>
      </c>
      <c r="H1547" s="4">
        <f>IF(Claims_Cleaned[[#This Row],[processed_date]]="","",Claims_Cleaned[[#This Row],[processed_date]]-Claims_Cleaned[[#This Row],[submission_date]])</f>
        <v>9</v>
      </c>
      <c r="I1547" s="4" t="str">
        <f>TEXT(Claims_Cleaned[[#This Row],[claim_date]],"mmm-yyyy")</f>
        <v>Sep-2024</v>
      </c>
      <c r="J1547" t="s">
        <v>11</v>
      </c>
      <c r="K1547">
        <v>221.52</v>
      </c>
      <c r="L1547" t="s">
        <v>683</v>
      </c>
      <c r="M1547">
        <v>9</v>
      </c>
    </row>
    <row r="1548" spans="1:13" x14ac:dyDescent="0.35">
      <c r="A1548" t="s">
        <v>803</v>
      </c>
      <c r="B1548" t="s">
        <v>285</v>
      </c>
      <c r="C1548" t="s">
        <v>567</v>
      </c>
      <c r="D1548" t="s">
        <v>635</v>
      </c>
      <c r="E1548" s="1">
        <v>45469</v>
      </c>
      <c r="F1548" s="1">
        <v>45472</v>
      </c>
      <c r="G1548" s="1">
        <v>45492</v>
      </c>
      <c r="H1548" s="4">
        <f>IF(Claims_Cleaned[[#This Row],[processed_date]]="","",Claims_Cleaned[[#This Row],[processed_date]]-Claims_Cleaned[[#This Row],[submission_date]])</f>
        <v>20</v>
      </c>
      <c r="I1548" s="4" t="str">
        <f>TEXT(Claims_Cleaned[[#This Row],[claim_date]],"mmm-yyyy")</f>
        <v>Jun-2024</v>
      </c>
      <c r="J1548" t="s">
        <v>13</v>
      </c>
      <c r="K1548">
        <v>221.36</v>
      </c>
      <c r="L1548" t="s">
        <v>683</v>
      </c>
      <c r="M1548">
        <v>20</v>
      </c>
    </row>
    <row r="1549" spans="1:13" x14ac:dyDescent="0.35">
      <c r="A1549" t="s">
        <v>1699</v>
      </c>
      <c r="B1549" t="s">
        <v>30</v>
      </c>
      <c r="C1549" t="s">
        <v>611</v>
      </c>
      <c r="D1549" t="s">
        <v>617</v>
      </c>
      <c r="E1549" s="1">
        <v>45101</v>
      </c>
      <c r="F1549" s="1">
        <v>45105</v>
      </c>
      <c r="G1549" s="1">
        <v>45127</v>
      </c>
      <c r="H1549" s="4">
        <f>IF(Claims_Cleaned[[#This Row],[processed_date]]="","",Claims_Cleaned[[#This Row],[processed_date]]-Claims_Cleaned[[#This Row],[submission_date]])</f>
        <v>22</v>
      </c>
      <c r="I1549" s="4" t="str">
        <f>TEXT(Claims_Cleaned[[#This Row],[claim_date]],"mmm-yyyy")</f>
        <v>Jun-2023</v>
      </c>
      <c r="J1549" t="s">
        <v>13</v>
      </c>
      <c r="K1549">
        <v>221.25</v>
      </c>
      <c r="L1549" t="s">
        <v>683</v>
      </c>
      <c r="M1549">
        <v>22</v>
      </c>
    </row>
    <row r="1550" spans="1:13" x14ac:dyDescent="0.35">
      <c r="A1550" t="s">
        <v>1343</v>
      </c>
      <c r="B1550" t="s">
        <v>9</v>
      </c>
      <c r="C1550" t="s">
        <v>597</v>
      </c>
      <c r="D1550" t="s">
        <v>635</v>
      </c>
      <c r="E1550" s="1">
        <v>45377</v>
      </c>
      <c r="F1550" s="1">
        <v>45382</v>
      </c>
      <c r="G1550" s="1">
        <v>45397</v>
      </c>
      <c r="H1550" s="4">
        <f>IF(Claims_Cleaned[[#This Row],[processed_date]]="","",Claims_Cleaned[[#This Row],[processed_date]]-Claims_Cleaned[[#This Row],[submission_date]])</f>
        <v>15</v>
      </c>
      <c r="I1550" s="4" t="str">
        <f>TEXT(Claims_Cleaned[[#This Row],[claim_date]],"mmm-yyyy")</f>
        <v>Mar-2024</v>
      </c>
      <c r="J1550" t="s">
        <v>11</v>
      </c>
      <c r="K1550">
        <v>221.23</v>
      </c>
      <c r="L1550" t="s">
        <v>683</v>
      </c>
      <c r="M1550">
        <v>15</v>
      </c>
    </row>
    <row r="1551" spans="1:13" x14ac:dyDescent="0.35">
      <c r="A1551" t="s">
        <v>2480</v>
      </c>
      <c r="B1551" t="s">
        <v>425</v>
      </c>
      <c r="C1551" t="s">
        <v>561</v>
      </c>
      <c r="D1551" t="s">
        <v>617</v>
      </c>
      <c r="E1551" s="1">
        <v>45047</v>
      </c>
      <c r="F1551" s="1">
        <v>45050</v>
      </c>
      <c r="G1551" s="1">
        <v>45068</v>
      </c>
      <c r="H1551" s="4">
        <f>IF(Claims_Cleaned[[#This Row],[processed_date]]="","",Claims_Cleaned[[#This Row],[processed_date]]-Claims_Cleaned[[#This Row],[submission_date]])</f>
        <v>18</v>
      </c>
      <c r="I1551" s="4" t="str">
        <f>TEXT(Claims_Cleaned[[#This Row],[claim_date]],"mmm-yyyy")</f>
        <v>May-2023</v>
      </c>
      <c r="J1551" t="s">
        <v>25</v>
      </c>
      <c r="K1551">
        <v>220.57</v>
      </c>
      <c r="L1551" t="s">
        <v>683</v>
      </c>
      <c r="M1551">
        <v>18</v>
      </c>
    </row>
    <row r="1552" spans="1:13" x14ac:dyDescent="0.35">
      <c r="A1552" t="s">
        <v>2478</v>
      </c>
      <c r="B1552" t="s">
        <v>333</v>
      </c>
      <c r="C1552" t="s">
        <v>559</v>
      </c>
      <c r="D1552" t="s">
        <v>617</v>
      </c>
      <c r="E1552" s="1">
        <v>45055</v>
      </c>
      <c r="F1552" s="1">
        <v>45059</v>
      </c>
      <c r="G1552" s="1">
        <v>45079</v>
      </c>
      <c r="H1552" s="4">
        <f>IF(Claims_Cleaned[[#This Row],[processed_date]]="","",Claims_Cleaned[[#This Row],[processed_date]]-Claims_Cleaned[[#This Row],[submission_date]])</f>
        <v>20</v>
      </c>
      <c r="I1552" s="4" t="str">
        <f>TEXT(Claims_Cleaned[[#This Row],[claim_date]],"mmm-yyyy")</f>
        <v>May-2023</v>
      </c>
      <c r="J1552" t="s">
        <v>13</v>
      </c>
      <c r="K1552">
        <v>220.48</v>
      </c>
      <c r="L1552" t="s">
        <v>687</v>
      </c>
      <c r="M1552">
        <v>20</v>
      </c>
    </row>
    <row r="1553" spans="1:13" x14ac:dyDescent="0.35">
      <c r="A1553" t="s">
        <v>873</v>
      </c>
      <c r="B1553" t="s">
        <v>474</v>
      </c>
      <c r="C1553" t="s">
        <v>593</v>
      </c>
      <c r="D1553" t="s">
        <v>617</v>
      </c>
      <c r="E1553" s="1">
        <v>45280</v>
      </c>
      <c r="F1553" s="1">
        <v>45282</v>
      </c>
      <c r="G1553" s="1">
        <v>45296</v>
      </c>
      <c r="H1553" s="4">
        <f>IF(Claims_Cleaned[[#This Row],[processed_date]]="","",Claims_Cleaned[[#This Row],[processed_date]]-Claims_Cleaned[[#This Row],[submission_date]])</f>
        <v>14</v>
      </c>
      <c r="I1553" s="4" t="str">
        <f>TEXT(Claims_Cleaned[[#This Row],[claim_date]],"mmm-yyyy")</f>
        <v>Dec-2023</v>
      </c>
      <c r="J1553" t="s">
        <v>25</v>
      </c>
      <c r="K1553">
        <v>220.07</v>
      </c>
      <c r="L1553" t="s">
        <v>683</v>
      </c>
      <c r="M1553">
        <v>14</v>
      </c>
    </row>
    <row r="1554" spans="1:13" x14ac:dyDescent="0.35">
      <c r="A1554" t="s">
        <v>1932</v>
      </c>
      <c r="B1554" t="s">
        <v>475</v>
      </c>
      <c r="C1554" t="s">
        <v>524</v>
      </c>
      <c r="D1554" t="s">
        <v>635</v>
      </c>
      <c r="E1554" s="1">
        <v>45178</v>
      </c>
      <c r="F1554" s="1">
        <v>45179</v>
      </c>
      <c r="G1554" s="1">
        <v>45199</v>
      </c>
      <c r="H1554" s="4">
        <f>IF(Claims_Cleaned[[#This Row],[processed_date]]="","",Claims_Cleaned[[#This Row],[processed_date]]-Claims_Cleaned[[#This Row],[submission_date]])</f>
        <v>20</v>
      </c>
      <c r="I1554" s="4" t="str">
        <f>TEXT(Claims_Cleaned[[#This Row],[claim_date]],"mmm-yyyy")</f>
        <v>Sep-2023</v>
      </c>
      <c r="J1554" t="s">
        <v>20</v>
      </c>
      <c r="K1554">
        <v>218.79</v>
      </c>
      <c r="L1554" t="s">
        <v>683</v>
      </c>
      <c r="M1554">
        <v>20</v>
      </c>
    </row>
    <row r="1555" spans="1:13" x14ac:dyDescent="0.35">
      <c r="A1555" t="s">
        <v>1694</v>
      </c>
      <c r="B1555" t="s">
        <v>94</v>
      </c>
      <c r="C1555" t="s">
        <v>553</v>
      </c>
      <c r="D1555" t="s">
        <v>635</v>
      </c>
      <c r="E1555" s="1">
        <v>45624</v>
      </c>
      <c r="F1555" s="1">
        <v>45627</v>
      </c>
      <c r="G1555" s="1">
        <v>45642</v>
      </c>
      <c r="H1555" s="4">
        <f>IF(Claims_Cleaned[[#This Row],[processed_date]]="","",Claims_Cleaned[[#This Row],[processed_date]]-Claims_Cleaned[[#This Row],[submission_date]])</f>
        <v>15</v>
      </c>
      <c r="I1555" s="4" t="str">
        <f>TEXT(Claims_Cleaned[[#This Row],[claim_date]],"mmm-yyyy")</f>
        <v>Nov-2024</v>
      </c>
      <c r="J1555" t="s">
        <v>8</v>
      </c>
      <c r="K1555">
        <v>218.56</v>
      </c>
      <c r="L1555" t="s">
        <v>683</v>
      </c>
      <c r="M1555">
        <v>15</v>
      </c>
    </row>
    <row r="1556" spans="1:13" x14ac:dyDescent="0.35">
      <c r="A1556" t="s">
        <v>2391</v>
      </c>
      <c r="B1556" t="s">
        <v>451</v>
      </c>
      <c r="C1556" t="s">
        <v>599</v>
      </c>
      <c r="D1556" t="s">
        <v>617</v>
      </c>
      <c r="E1556" s="1">
        <v>45305</v>
      </c>
      <c r="F1556" s="1">
        <v>45309</v>
      </c>
      <c r="G1556" s="1">
        <v>45312</v>
      </c>
      <c r="H1556" s="4">
        <f>IF(Claims_Cleaned[[#This Row],[processed_date]]="","",Claims_Cleaned[[#This Row],[processed_date]]-Claims_Cleaned[[#This Row],[submission_date]])</f>
        <v>3</v>
      </c>
      <c r="I1556" s="4" t="str">
        <f>TEXT(Claims_Cleaned[[#This Row],[claim_date]],"mmm-yyyy")</f>
        <v>Jan-2024</v>
      </c>
      <c r="J1556" t="s">
        <v>11</v>
      </c>
      <c r="K1556">
        <v>216.89</v>
      </c>
      <c r="L1556" t="s">
        <v>683</v>
      </c>
      <c r="M1556">
        <v>3</v>
      </c>
    </row>
    <row r="1557" spans="1:13" x14ac:dyDescent="0.35">
      <c r="A1557" t="s">
        <v>2069</v>
      </c>
      <c r="B1557" t="s">
        <v>419</v>
      </c>
      <c r="C1557" t="s">
        <v>531</v>
      </c>
      <c r="D1557" t="s">
        <v>617</v>
      </c>
      <c r="E1557" s="1">
        <v>45420</v>
      </c>
      <c r="F1557" s="1">
        <v>45425</v>
      </c>
      <c r="G1557" s="1">
        <v>45449</v>
      </c>
      <c r="H1557" s="4">
        <f>IF(Claims_Cleaned[[#This Row],[processed_date]]="","",Claims_Cleaned[[#This Row],[processed_date]]-Claims_Cleaned[[#This Row],[submission_date]])</f>
        <v>24</v>
      </c>
      <c r="I1557" s="4" t="str">
        <f>TEXT(Claims_Cleaned[[#This Row],[claim_date]],"mmm-yyyy")</f>
        <v>May-2024</v>
      </c>
      <c r="J1557" t="s">
        <v>8</v>
      </c>
      <c r="K1557">
        <v>216.44</v>
      </c>
      <c r="L1557" t="s">
        <v>683</v>
      </c>
      <c r="M1557">
        <v>24</v>
      </c>
    </row>
    <row r="1558" spans="1:13" x14ac:dyDescent="0.35">
      <c r="A1558" t="s">
        <v>1398</v>
      </c>
      <c r="B1558" t="s">
        <v>408</v>
      </c>
      <c r="C1558" t="s">
        <v>593</v>
      </c>
      <c r="D1558" t="s">
        <v>635</v>
      </c>
      <c r="E1558" s="1">
        <v>45289</v>
      </c>
      <c r="F1558" s="1">
        <v>45293</v>
      </c>
      <c r="G1558" s="1">
        <v>45312</v>
      </c>
      <c r="H1558" s="4">
        <f>IF(Claims_Cleaned[[#This Row],[processed_date]]="","",Claims_Cleaned[[#This Row],[processed_date]]-Claims_Cleaned[[#This Row],[submission_date]])</f>
        <v>19</v>
      </c>
      <c r="I1558" s="4" t="str">
        <f>TEXT(Claims_Cleaned[[#This Row],[claim_date]],"mmm-yyyy")</f>
        <v>Dec-2023</v>
      </c>
      <c r="J1558" t="s">
        <v>11</v>
      </c>
      <c r="K1558">
        <v>216.4</v>
      </c>
      <c r="L1558" t="s">
        <v>687</v>
      </c>
      <c r="M1558">
        <v>19</v>
      </c>
    </row>
    <row r="1559" spans="1:13" x14ac:dyDescent="0.35">
      <c r="A1559" t="s">
        <v>1726</v>
      </c>
      <c r="B1559" t="s">
        <v>214</v>
      </c>
      <c r="C1559" t="s">
        <v>581</v>
      </c>
      <c r="D1559" t="s">
        <v>635</v>
      </c>
      <c r="E1559" s="1">
        <v>45381</v>
      </c>
      <c r="F1559" s="1">
        <v>45382</v>
      </c>
      <c r="G1559" s="1">
        <v>45410</v>
      </c>
      <c r="H1559" s="4">
        <f>IF(Claims_Cleaned[[#This Row],[processed_date]]="","",Claims_Cleaned[[#This Row],[processed_date]]-Claims_Cleaned[[#This Row],[submission_date]])</f>
        <v>28</v>
      </c>
      <c r="I1559" s="4" t="str">
        <f>TEXT(Claims_Cleaned[[#This Row],[claim_date]],"mmm-yyyy")</f>
        <v>Mar-2024</v>
      </c>
      <c r="J1559" t="s">
        <v>20</v>
      </c>
      <c r="K1559">
        <v>216.17</v>
      </c>
      <c r="L1559" t="s">
        <v>683</v>
      </c>
      <c r="M1559">
        <v>28</v>
      </c>
    </row>
    <row r="1560" spans="1:13" x14ac:dyDescent="0.35">
      <c r="A1560" t="s">
        <v>1362</v>
      </c>
      <c r="B1560" t="s">
        <v>71</v>
      </c>
      <c r="C1560" t="s">
        <v>553</v>
      </c>
      <c r="D1560" t="s">
        <v>617</v>
      </c>
      <c r="E1560" s="1">
        <v>45122</v>
      </c>
      <c r="F1560" s="1">
        <v>45127</v>
      </c>
      <c r="G1560" s="1">
        <v>45138</v>
      </c>
      <c r="H1560" s="4">
        <f>IF(Claims_Cleaned[[#This Row],[processed_date]]="","",Claims_Cleaned[[#This Row],[processed_date]]-Claims_Cleaned[[#This Row],[submission_date]])</f>
        <v>11</v>
      </c>
      <c r="I1560" s="4" t="str">
        <f>TEXT(Claims_Cleaned[[#This Row],[claim_date]],"mmm-yyyy")</f>
        <v>Jul-2023</v>
      </c>
      <c r="J1560" t="s">
        <v>25</v>
      </c>
      <c r="K1560">
        <v>215.25</v>
      </c>
      <c r="L1560" t="s">
        <v>683</v>
      </c>
      <c r="M1560">
        <v>11</v>
      </c>
    </row>
    <row r="1561" spans="1:13" x14ac:dyDescent="0.35">
      <c r="A1561" t="s">
        <v>2035</v>
      </c>
      <c r="B1561" t="s">
        <v>516</v>
      </c>
      <c r="C1561" t="s">
        <v>607</v>
      </c>
      <c r="D1561" t="s">
        <v>617</v>
      </c>
      <c r="E1561" s="1">
        <v>45327</v>
      </c>
      <c r="F1561" s="1">
        <v>45331</v>
      </c>
      <c r="G1561" s="1">
        <v>45349</v>
      </c>
      <c r="H1561" s="4">
        <f>IF(Claims_Cleaned[[#This Row],[processed_date]]="","",Claims_Cleaned[[#This Row],[processed_date]]-Claims_Cleaned[[#This Row],[submission_date]])</f>
        <v>18</v>
      </c>
      <c r="I1561" s="4" t="str">
        <f>TEXT(Claims_Cleaned[[#This Row],[claim_date]],"mmm-yyyy")</f>
        <v>Feb-2024</v>
      </c>
      <c r="J1561" t="s">
        <v>8</v>
      </c>
      <c r="K1561">
        <v>213.97</v>
      </c>
      <c r="L1561" t="s">
        <v>683</v>
      </c>
      <c r="M1561">
        <v>18</v>
      </c>
    </row>
    <row r="1562" spans="1:13" x14ac:dyDescent="0.35">
      <c r="A1562" t="s">
        <v>1315</v>
      </c>
      <c r="B1562" t="s">
        <v>497</v>
      </c>
      <c r="C1562" t="s">
        <v>583</v>
      </c>
      <c r="D1562" t="s">
        <v>635</v>
      </c>
      <c r="E1562" s="1">
        <v>45007</v>
      </c>
      <c r="F1562" s="1">
        <v>45009</v>
      </c>
      <c r="G1562" s="1">
        <v>45035</v>
      </c>
      <c r="H1562" s="4">
        <f>IF(Claims_Cleaned[[#This Row],[processed_date]]="","",Claims_Cleaned[[#This Row],[processed_date]]-Claims_Cleaned[[#This Row],[submission_date]])</f>
        <v>26</v>
      </c>
      <c r="I1562" s="4" t="str">
        <f>TEXT(Claims_Cleaned[[#This Row],[claim_date]],"mmm-yyyy")</f>
        <v>Mar-2023</v>
      </c>
      <c r="J1562" t="s">
        <v>13</v>
      </c>
      <c r="K1562">
        <v>213.71</v>
      </c>
      <c r="L1562" t="s">
        <v>683</v>
      </c>
      <c r="M1562">
        <v>26</v>
      </c>
    </row>
    <row r="1563" spans="1:13" x14ac:dyDescent="0.35">
      <c r="A1563" t="s">
        <v>1781</v>
      </c>
      <c r="B1563" t="s">
        <v>203</v>
      </c>
      <c r="C1563" t="s">
        <v>563</v>
      </c>
      <c r="D1563" t="s">
        <v>617</v>
      </c>
      <c r="E1563" s="1">
        <v>45097</v>
      </c>
      <c r="F1563" s="1">
        <v>45100</v>
      </c>
      <c r="G1563" s="1">
        <v>45111</v>
      </c>
      <c r="H1563" s="4">
        <f>IF(Claims_Cleaned[[#This Row],[processed_date]]="","",Claims_Cleaned[[#This Row],[processed_date]]-Claims_Cleaned[[#This Row],[submission_date]])</f>
        <v>11</v>
      </c>
      <c r="I1563" s="4" t="str">
        <f>TEXT(Claims_Cleaned[[#This Row],[claim_date]],"mmm-yyyy")</f>
        <v>Jun-2023</v>
      </c>
      <c r="J1563" t="s">
        <v>25</v>
      </c>
      <c r="K1563">
        <v>213.37</v>
      </c>
      <c r="L1563" t="s">
        <v>687</v>
      </c>
      <c r="M1563">
        <v>11</v>
      </c>
    </row>
    <row r="1564" spans="1:13" x14ac:dyDescent="0.35">
      <c r="A1564" t="s">
        <v>2270</v>
      </c>
      <c r="B1564" t="s">
        <v>461</v>
      </c>
      <c r="C1564" t="s">
        <v>605</v>
      </c>
      <c r="D1564" t="s">
        <v>617</v>
      </c>
      <c r="E1564" s="1">
        <v>45067</v>
      </c>
      <c r="F1564" s="1">
        <v>45071</v>
      </c>
      <c r="G1564" s="1">
        <v>45089</v>
      </c>
      <c r="H1564" s="4">
        <f>IF(Claims_Cleaned[[#This Row],[processed_date]]="","",Claims_Cleaned[[#This Row],[processed_date]]-Claims_Cleaned[[#This Row],[submission_date]])</f>
        <v>18</v>
      </c>
      <c r="I1564" s="4" t="str">
        <f>TEXT(Claims_Cleaned[[#This Row],[claim_date]],"mmm-yyyy")</f>
        <v>May-2023</v>
      </c>
      <c r="J1564" t="s">
        <v>13</v>
      </c>
      <c r="K1564">
        <v>213.36</v>
      </c>
      <c r="L1564" t="s">
        <v>683</v>
      </c>
      <c r="M1564">
        <v>18</v>
      </c>
    </row>
    <row r="1565" spans="1:13" x14ac:dyDescent="0.35">
      <c r="A1565" t="s">
        <v>2586</v>
      </c>
      <c r="B1565" t="s">
        <v>5</v>
      </c>
      <c r="C1565" t="s">
        <v>605</v>
      </c>
      <c r="D1565" t="s">
        <v>617</v>
      </c>
      <c r="E1565" s="1">
        <v>45063</v>
      </c>
      <c r="F1565" s="1">
        <v>45066</v>
      </c>
      <c r="G1565" s="1">
        <v>45084</v>
      </c>
      <c r="H1565" s="4">
        <f>IF(Claims_Cleaned[[#This Row],[processed_date]]="","",Claims_Cleaned[[#This Row],[processed_date]]-Claims_Cleaned[[#This Row],[submission_date]])</f>
        <v>18</v>
      </c>
      <c r="I1565" s="4" t="str">
        <f>TEXT(Claims_Cleaned[[#This Row],[claim_date]],"mmm-yyyy")</f>
        <v>May-2023</v>
      </c>
      <c r="J1565" t="s">
        <v>8</v>
      </c>
      <c r="K1565">
        <v>213.3</v>
      </c>
      <c r="L1565" t="s">
        <v>687</v>
      </c>
      <c r="M1565">
        <v>18</v>
      </c>
    </row>
    <row r="1566" spans="1:13" x14ac:dyDescent="0.35">
      <c r="A1566" t="s">
        <v>1817</v>
      </c>
      <c r="B1566" t="s">
        <v>246</v>
      </c>
      <c r="C1566" t="s">
        <v>563</v>
      </c>
      <c r="D1566" t="s">
        <v>635</v>
      </c>
      <c r="E1566" s="1">
        <v>45233</v>
      </c>
      <c r="F1566" s="1">
        <v>45237</v>
      </c>
      <c r="G1566" s="1">
        <v>45244</v>
      </c>
      <c r="H1566" s="4">
        <f>IF(Claims_Cleaned[[#This Row],[processed_date]]="","",Claims_Cleaned[[#This Row],[processed_date]]-Claims_Cleaned[[#This Row],[submission_date]])</f>
        <v>7</v>
      </c>
      <c r="I1566" s="4" t="str">
        <f>TEXT(Claims_Cleaned[[#This Row],[claim_date]],"mmm-yyyy")</f>
        <v>Nov-2023</v>
      </c>
      <c r="J1566" t="s">
        <v>11</v>
      </c>
      <c r="K1566">
        <v>213.1</v>
      </c>
      <c r="L1566" t="s">
        <v>683</v>
      </c>
      <c r="M1566">
        <v>7</v>
      </c>
    </row>
    <row r="1567" spans="1:13" x14ac:dyDescent="0.35">
      <c r="A1567" t="s">
        <v>1525</v>
      </c>
      <c r="B1567" t="s">
        <v>168</v>
      </c>
      <c r="C1567" t="s">
        <v>543</v>
      </c>
      <c r="D1567" t="s">
        <v>635</v>
      </c>
      <c r="E1567" s="1">
        <v>45646</v>
      </c>
      <c r="F1567" s="1">
        <v>45647</v>
      </c>
      <c r="G1567" s="1">
        <v>45653</v>
      </c>
      <c r="H1567" s="4">
        <f>IF(Claims_Cleaned[[#This Row],[processed_date]]="","",Claims_Cleaned[[#This Row],[processed_date]]-Claims_Cleaned[[#This Row],[submission_date]])</f>
        <v>6</v>
      </c>
      <c r="I1567" s="4" t="str">
        <f>TEXT(Claims_Cleaned[[#This Row],[claim_date]],"mmm-yyyy")</f>
        <v>Dec-2024</v>
      </c>
      <c r="J1567" t="s">
        <v>8</v>
      </c>
      <c r="K1567">
        <v>212.49</v>
      </c>
      <c r="L1567" t="s">
        <v>683</v>
      </c>
      <c r="M1567">
        <v>6</v>
      </c>
    </row>
    <row r="1568" spans="1:13" x14ac:dyDescent="0.35">
      <c r="A1568" t="s">
        <v>1086</v>
      </c>
      <c r="B1568" t="s">
        <v>366</v>
      </c>
      <c r="C1568" t="s">
        <v>559</v>
      </c>
      <c r="D1568" t="s">
        <v>617</v>
      </c>
      <c r="E1568" s="1">
        <v>45427</v>
      </c>
      <c r="F1568" s="1">
        <v>45429</v>
      </c>
      <c r="G1568" s="1"/>
      <c r="H1568" s="4" t="str">
        <f>IF(Claims_Cleaned[[#This Row],[processed_date]]="","",Claims_Cleaned[[#This Row],[processed_date]]-Claims_Cleaned[[#This Row],[submission_date]])</f>
        <v/>
      </c>
      <c r="I1568" s="4" t="str">
        <f>TEXT(Claims_Cleaned[[#This Row],[claim_date]],"mmm-yyyy")</f>
        <v>May-2024</v>
      </c>
      <c r="J1568" t="s">
        <v>8</v>
      </c>
      <c r="K1568">
        <v>211.39</v>
      </c>
      <c r="L1568" t="s">
        <v>689</v>
      </c>
    </row>
    <row r="1569" spans="1:13" x14ac:dyDescent="0.35">
      <c r="A1569" t="s">
        <v>2265</v>
      </c>
      <c r="B1569" t="s">
        <v>436</v>
      </c>
      <c r="C1569" t="s">
        <v>534</v>
      </c>
      <c r="D1569" t="s">
        <v>617</v>
      </c>
      <c r="E1569" s="1">
        <v>45376</v>
      </c>
      <c r="F1569" s="1">
        <v>45378</v>
      </c>
      <c r="G1569" s="1">
        <v>45391</v>
      </c>
      <c r="H1569" s="4">
        <f>IF(Claims_Cleaned[[#This Row],[processed_date]]="","",Claims_Cleaned[[#This Row],[processed_date]]-Claims_Cleaned[[#This Row],[submission_date]])</f>
        <v>13</v>
      </c>
      <c r="I1569" s="4" t="str">
        <f>TEXT(Claims_Cleaned[[#This Row],[claim_date]],"mmm-yyyy")</f>
        <v>Mar-2024</v>
      </c>
      <c r="J1569" t="s">
        <v>8</v>
      </c>
      <c r="K1569">
        <v>210.61</v>
      </c>
      <c r="L1569" t="s">
        <v>683</v>
      </c>
      <c r="M1569">
        <v>13</v>
      </c>
    </row>
    <row r="1570" spans="1:13" x14ac:dyDescent="0.35">
      <c r="A1570" t="s">
        <v>1842</v>
      </c>
      <c r="B1570" t="s">
        <v>122</v>
      </c>
      <c r="C1570" t="s">
        <v>591</v>
      </c>
      <c r="D1570" t="s">
        <v>617</v>
      </c>
      <c r="E1570" s="1">
        <v>45528</v>
      </c>
      <c r="F1570" s="1">
        <v>45530</v>
      </c>
      <c r="G1570" s="1">
        <v>45536</v>
      </c>
      <c r="H1570" s="4">
        <f>IF(Claims_Cleaned[[#This Row],[processed_date]]="","",Claims_Cleaned[[#This Row],[processed_date]]-Claims_Cleaned[[#This Row],[submission_date]])</f>
        <v>6</v>
      </c>
      <c r="I1570" s="4" t="str">
        <f>TEXT(Claims_Cleaned[[#This Row],[claim_date]],"mmm-yyyy")</f>
        <v>Aug-2024</v>
      </c>
      <c r="J1570" t="s">
        <v>13</v>
      </c>
      <c r="K1570">
        <v>210.59</v>
      </c>
      <c r="L1570" t="s">
        <v>687</v>
      </c>
      <c r="M1570">
        <v>6</v>
      </c>
    </row>
    <row r="1571" spans="1:13" x14ac:dyDescent="0.35">
      <c r="A1571" t="s">
        <v>1639</v>
      </c>
      <c r="B1571" t="s">
        <v>395</v>
      </c>
      <c r="C1571" t="s">
        <v>524</v>
      </c>
      <c r="D1571" t="s">
        <v>617</v>
      </c>
      <c r="E1571" s="1">
        <v>45086</v>
      </c>
      <c r="F1571" s="1">
        <v>45087</v>
      </c>
      <c r="G1571" s="1">
        <v>45115</v>
      </c>
      <c r="H1571" s="4">
        <f>IF(Claims_Cleaned[[#This Row],[processed_date]]="","",Claims_Cleaned[[#This Row],[processed_date]]-Claims_Cleaned[[#This Row],[submission_date]])</f>
        <v>28</v>
      </c>
      <c r="I1571" s="4" t="str">
        <f>TEXT(Claims_Cleaned[[#This Row],[claim_date]],"mmm-yyyy")</f>
        <v>Jun-2023</v>
      </c>
      <c r="J1571" t="s">
        <v>11</v>
      </c>
      <c r="K1571">
        <v>210.54</v>
      </c>
      <c r="L1571" t="s">
        <v>683</v>
      </c>
      <c r="M1571">
        <v>28</v>
      </c>
    </row>
    <row r="1572" spans="1:13" x14ac:dyDescent="0.35">
      <c r="A1572" t="s">
        <v>1178</v>
      </c>
      <c r="B1572" t="s">
        <v>455</v>
      </c>
      <c r="C1572" t="s">
        <v>585</v>
      </c>
      <c r="D1572" t="s">
        <v>635</v>
      </c>
      <c r="E1572" s="1">
        <v>45531</v>
      </c>
      <c r="F1572" s="1">
        <v>45533</v>
      </c>
      <c r="G1572" s="1">
        <v>45563</v>
      </c>
      <c r="H1572" s="4">
        <f>IF(Claims_Cleaned[[#This Row],[processed_date]]="","",Claims_Cleaned[[#This Row],[processed_date]]-Claims_Cleaned[[#This Row],[submission_date]])</f>
        <v>30</v>
      </c>
      <c r="I1572" s="4" t="str">
        <f>TEXT(Claims_Cleaned[[#This Row],[claim_date]],"mmm-yyyy")</f>
        <v>Aug-2024</v>
      </c>
      <c r="J1572" t="s">
        <v>13</v>
      </c>
      <c r="K1572">
        <v>210.01</v>
      </c>
      <c r="L1572" t="s">
        <v>683</v>
      </c>
      <c r="M1572">
        <v>30</v>
      </c>
    </row>
    <row r="1573" spans="1:13" x14ac:dyDescent="0.35">
      <c r="A1573" t="s">
        <v>2500</v>
      </c>
      <c r="B1573" t="s">
        <v>457</v>
      </c>
      <c r="C1573" t="s">
        <v>597</v>
      </c>
      <c r="D1573" t="s">
        <v>617</v>
      </c>
      <c r="E1573" s="1">
        <v>45238</v>
      </c>
      <c r="F1573" s="1">
        <v>45242</v>
      </c>
      <c r="G1573" s="1">
        <v>45265</v>
      </c>
      <c r="H1573" s="4">
        <f>IF(Claims_Cleaned[[#This Row],[processed_date]]="","",Claims_Cleaned[[#This Row],[processed_date]]-Claims_Cleaned[[#This Row],[submission_date]])</f>
        <v>23</v>
      </c>
      <c r="I1573" s="4" t="str">
        <f>TEXT(Claims_Cleaned[[#This Row],[claim_date]],"mmm-yyyy")</f>
        <v>Nov-2023</v>
      </c>
      <c r="J1573" t="s">
        <v>11</v>
      </c>
      <c r="K1573">
        <v>209.79</v>
      </c>
      <c r="L1573" t="s">
        <v>683</v>
      </c>
      <c r="M1573">
        <v>23</v>
      </c>
    </row>
    <row r="1574" spans="1:13" x14ac:dyDescent="0.35">
      <c r="A1574" t="s">
        <v>1126</v>
      </c>
      <c r="B1574" t="s">
        <v>154</v>
      </c>
      <c r="C1574" t="s">
        <v>524</v>
      </c>
      <c r="D1574" t="s">
        <v>635</v>
      </c>
      <c r="E1574" s="1">
        <v>45580</v>
      </c>
      <c r="F1574" s="1">
        <v>45581</v>
      </c>
      <c r="G1574" s="1">
        <v>45604</v>
      </c>
      <c r="H1574" s="4">
        <f>IF(Claims_Cleaned[[#This Row],[processed_date]]="","",Claims_Cleaned[[#This Row],[processed_date]]-Claims_Cleaned[[#This Row],[submission_date]])</f>
        <v>23</v>
      </c>
      <c r="I1574" s="4" t="str">
        <f>TEXT(Claims_Cleaned[[#This Row],[claim_date]],"mmm-yyyy")</f>
        <v>Oct-2024</v>
      </c>
      <c r="J1574" t="s">
        <v>13</v>
      </c>
      <c r="K1574">
        <v>209.46</v>
      </c>
      <c r="L1574" t="s">
        <v>683</v>
      </c>
      <c r="M1574">
        <v>23</v>
      </c>
    </row>
    <row r="1575" spans="1:13" x14ac:dyDescent="0.35">
      <c r="A1575" t="s">
        <v>1044</v>
      </c>
      <c r="B1575" t="s">
        <v>446</v>
      </c>
      <c r="C1575" t="s">
        <v>583</v>
      </c>
      <c r="D1575" t="s">
        <v>635</v>
      </c>
      <c r="E1575" s="1">
        <v>45198</v>
      </c>
      <c r="F1575" s="1">
        <v>45201</v>
      </c>
      <c r="G1575" s="1">
        <v>45212</v>
      </c>
      <c r="H1575" s="4">
        <f>IF(Claims_Cleaned[[#This Row],[processed_date]]="","",Claims_Cleaned[[#This Row],[processed_date]]-Claims_Cleaned[[#This Row],[submission_date]])</f>
        <v>11</v>
      </c>
      <c r="I1575" s="4" t="str">
        <f>TEXT(Claims_Cleaned[[#This Row],[claim_date]],"mmm-yyyy")</f>
        <v>Sep-2023</v>
      </c>
      <c r="J1575" t="s">
        <v>8</v>
      </c>
      <c r="K1575">
        <v>209.02</v>
      </c>
      <c r="L1575" t="s">
        <v>683</v>
      </c>
      <c r="M1575">
        <v>11</v>
      </c>
    </row>
    <row r="1576" spans="1:13" x14ac:dyDescent="0.35">
      <c r="A1576" t="s">
        <v>1213</v>
      </c>
      <c r="B1576" t="s">
        <v>348</v>
      </c>
      <c r="C1576" t="s">
        <v>546</v>
      </c>
      <c r="D1576" t="s">
        <v>635</v>
      </c>
      <c r="E1576" s="1">
        <v>45367</v>
      </c>
      <c r="F1576" s="1">
        <v>45372</v>
      </c>
      <c r="G1576" s="1"/>
      <c r="H1576" s="4" t="str">
        <f>IF(Claims_Cleaned[[#This Row],[processed_date]]="","",Claims_Cleaned[[#This Row],[processed_date]]-Claims_Cleaned[[#This Row],[submission_date]])</f>
        <v/>
      </c>
      <c r="I1576" s="4" t="str">
        <f>TEXT(Claims_Cleaned[[#This Row],[claim_date]],"mmm-yyyy")</f>
        <v>Mar-2024</v>
      </c>
      <c r="J1576" t="s">
        <v>8</v>
      </c>
      <c r="K1576">
        <v>208.37</v>
      </c>
      <c r="L1576" t="s">
        <v>689</v>
      </c>
    </row>
    <row r="1577" spans="1:13" x14ac:dyDescent="0.35">
      <c r="A1577" t="s">
        <v>1294</v>
      </c>
      <c r="B1577" t="s">
        <v>303</v>
      </c>
      <c r="C1577" t="s">
        <v>577</v>
      </c>
      <c r="D1577" t="s">
        <v>635</v>
      </c>
      <c r="E1577" s="1">
        <v>45128</v>
      </c>
      <c r="F1577" s="1">
        <v>45129</v>
      </c>
      <c r="G1577" s="1">
        <v>45156</v>
      </c>
      <c r="H1577" s="4">
        <f>IF(Claims_Cleaned[[#This Row],[processed_date]]="","",Claims_Cleaned[[#This Row],[processed_date]]-Claims_Cleaned[[#This Row],[submission_date]])</f>
        <v>27</v>
      </c>
      <c r="I1577" s="4" t="str">
        <f>TEXT(Claims_Cleaned[[#This Row],[claim_date]],"mmm-yyyy")</f>
        <v>Jul-2023</v>
      </c>
      <c r="J1577" t="s">
        <v>8</v>
      </c>
      <c r="K1577">
        <v>207.84</v>
      </c>
      <c r="L1577" t="s">
        <v>683</v>
      </c>
      <c r="M1577">
        <v>27</v>
      </c>
    </row>
    <row r="1578" spans="1:13" x14ac:dyDescent="0.35">
      <c r="A1578" t="s">
        <v>1265</v>
      </c>
      <c r="B1578" t="s">
        <v>224</v>
      </c>
      <c r="C1578" t="s">
        <v>549</v>
      </c>
      <c r="D1578" t="s">
        <v>635</v>
      </c>
      <c r="E1578" s="1">
        <v>45528</v>
      </c>
      <c r="F1578" s="1">
        <v>45529</v>
      </c>
      <c r="G1578" s="1">
        <v>45557</v>
      </c>
      <c r="H1578" s="4">
        <f>IF(Claims_Cleaned[[#This Row],[processed_date]]="","",Claims_Cleaned[[#This Row],[processed_date]]-Claims_Cleaned[[#This Row],[submission_date]])</f>
        <v>28</v>
      </c>
      <c r="I1578" s="4" t="str">
        <f>TEXT(Claims_Cleaned[[#This Row],[claim_date]],"mmm-yyyy")</f>
        <v>Aug-2024</v>
      </c>
      <c r="J1578" t="s">
        <v>11</v>
      </c>
      <c r="K1578">
        <v>207.81</v>
      </c>
      <c r="L1578" t="s">
        <v>683</v>
      </c>
      <c r="M1578">
        <v>28</v>
      </c>
    </row>
    <row r="1579" spans="1:13" x14ac:dyDescent="0.35">
      <c r="A1579" t="s">
        <v>1843</v>
      </c>
      <c r="B1579" t="s">
        <v>162</v>
      </c>
      <c r="C1579" t="s">
        <v>567</v>
      </c>
      <c r="D1579" t="s">
        <v>617</v>
      </c>
      <c r="E1579" s="1">
        <v>45030</v>
      </c>
      <c r="F1579" s="1">
        <v>45032</v>
      </c>
      <c r="G1579" s="1">
        <v>45061</v>
      </c>
      <c r="H1579" s="4">
        <f>IF(Claims_Cleaned[[#This Row],[processed_date]]="","",Claims_Cleaned[[#This Row],[processed_date]]-Claims_Cleaned[[#This Row],[submission_date]])</f>
        <v>29</v>
      </c>
      <c r="I1579" s="4" t="str">
        <f>TEXT(Claims_Cleaned[[#This Row],[claim_date]],"mmm-yyyy")</f>
        <v>Apr-2023</v>
      </c>
      <c r="J1579" t="s">
        <v>11</v>
      </c>
      <c r="K1579">
        <v>207.78</v>
      </c>
      <c r="L1579" t="s">
        <v>683</v>
      </c>
      <c r="M1579">
        <v>29</v>
      </c>
    </row>
    <row r="1580" spans="1:13" x14ac:dyDescent="0.35">
      <c r="A1580" t="s">
        <v>1612</v>
      </c>
      <c r="B1580" t="s">
        <v>394</v>
      </c>
      <c r="C1580" t="s">
        <v>583</v>
      </c>
      <c r="D1580" t="s">
        <v>635</v>
      </c>
      <c r="E1580" s="1">
        <v>44953</v>
      </c>
      <c r="F1580" s="1">
        <v>44958</v>
      </c>
      <c r="G1580" s="1">
        <v>44981</v>
      </c>
      <c r="H1580" s="4">
        <f>IF(Claims_Cleaned[[#This Row],[processed_date]]="","",Claims_Cleaned[[#This Row],[processed_date]]-Claims_Cleaned[[#This Row],[submission_date]])</f>
        <v>23</v>
      </c>
      <c r="I1580" s="4" t="str">
        <f>TEXT(Claims_Cleaned[[#This Row],[claim_date]],"mmm-yyyy")</f>
        <v>Jan-2023</v>
      </c>
      <c r="J1580" t="s">
        <v>8</v>
      </c>
      <c r="K1580">
        <v>206.32</v>
      </c>
      <c r="L1580" t="s">
        <v>683</v>
      </c>
      <c r="M1580">
        <v>23</v>
      </c>
    </row>
    <row r="1581" spans="1:13" x14ac:dyDescent="0.35">
      <c r="A1581" t="s">
        <v>2100</v>
      </c>
      <c r="B1581" t="s">
        <v>84</v>
      </c>
      <c r="C1581" t="s">
        <v>557</v>
      </c>
      <c r="D1581" t="s">
        <v>635</v>
      </c>
      <c r="E1581" s="1">
        <v>45576</v>
      </c>
      <c r="F1581" s="1">
        <v>45577</v>
      </c>
      <c r="G1581" s="1">
        <v>45594</v>
      </c>
      <c r="H1581" s="4">
        <f>IF(Claims_Cleaned[[#This Row],[processed_date]]="","",Claims_Cleaned[[#This Row],[processed_date]]-Claims_Cleaned[[#This Row],[submission_date]])</f>
        <v>17</v>
      </c>
      <c r="I1581" s="4" t="str">
        <f>TEXT(Claims_Cleaned[[#This Row],[claim_date]],"mmm-yyyy")</f>
        <v>Oct-2024</v>
      </c>
      <c r="J1581" t="s">
        <v>25</v>
      </c>
      <c r="K1581">
        <v>205.27</v>
      </c>
      <c r="L1581" t="s">
        <v>683</v>
      </c>
      <c r="M1581">
        <v>17</v>
      </c>
    </row>
    <row r="1582" spans="1:13" x14ac:dyDescent="0.35">
      <c r="A1582" t="s">
        <v>805</v>
      </c>
      <c r="B1582" t="s">
        <v>372</v>
      </c>
      <c r="C1582" t="s">
        <v>524</v>
      </c>
      <c r="D1582" t="s">
        <v>617</v>
      </c>
      <c r="E1582" s="1">
        <v>45590</v>
      </c>
      <c r="F1582" s="1">
        <v>45592</v>
      </c>
      <c r="G1582" s="1">
        <v>45622</v>
      </c>
      <c r="H1582" s="4">
        <f>IF(Claims_Cleaned[[#This Row],[processed_date]]="","",Claims_Cleaned[[#This Row],[processed_date]]-Claims_Cleaned[[#This Row],[submission_date]])</f>
        <v>30</v>
      </c>
      <c r="I1582" s="4" t="str">
        <f>TEXT(Claims_Cleaned[[#This Row],[claim_date]],"mmm-yyyy")</f>
        <v>Oct-2024</v>
      </c>
      <c r="J1582" t="s">
        <v>13</v>
      </c>
      <c r="K1582">
        <v>204.66</v>
      </c>
      <c r="L1582" t="s">
        <v>683</v>
      </c>
      <c r="M1582">
        <v>30</v>
      </c>
    </row>
    <row r="1583" spans="1:13" x14ac:dyDescent="0.35">
      <c r="A1583" t="s">
        <v>1883</v>
      </c>
      <c r="B1583" t="s">
        <v>506</v>
      </c>
      <c r="C1583" t="s">
        <v>597</v>
      </c>
      <c r="D1583" t="s">
        <v>617</v>
      </c>
      <c r="E1583" s="1">
        <v>45485</v>
      </c>
      <c r="F1583" s="1">
        <v>45490</v>
      </c>
      <c r="G1583" s="1">
        <v>45517</v>
      </c>
      <c r="H1583" s="4">
        <f>IF(Claims_Cleaned[[#This Row],[processed_date]]="","",Claims_Cleaned[[#This Row],[processed_date]]-Claims_Cleaned[[#This Row],[submission_date]])</f>
        <v>27</v>
      </c>
      <c r="I1583" s="4" t="str">
        <f>TEXT(Claims_Cleaned[[#This Row],[claim_date]],"mmm-yyyy")</f>
        <v>Jul-2024</v>
      </c>
      <c r="J1583" t="s">
        <v>11</v>
      </c>
      <c r="K1583">
        <v>204.52</v>
      </c>
      <c r="L1583" t="s">
        <v>683</v>
      </c>
      <c r="M1583">
        <v>27</v>
      </c>
    </row>
    <row r="1584" spans="1:13" x14ac:dyDescent="0.35">
      <c r="A1584" t="s">
        <v>1220</v>
      </c>
      <c r="B1584" t="s">
        <v>243</v>
      </c>
      <c r="C1584" t="s">
        <v>543</v>
      </c>
      <c r="D1584" t="s">
        <v>635</v>
      </c>
      <c r="E1584" s="1">
        <v>45615</v>
      </c>
      <c r="F1584" s="1">
        <v>45616</v>
      </c>
      <c r="G1584" s="1">
        <v>45621</v>
      </c>
      <c r="H1584" s="4">
        <f>IF(Claims_Cleaned[[#This Row],[processed_date]]="","",Claims_Cleaned[[#This Row],[processed_date]]-Claims_Cleaned[[#This Row],[submission_date]])</f>
        <v>5</v>
      </c>
      <c r="I1584" s="4" t="str">
        <f>TEXT(Claims_Cleaned[[#This Row],[claim_date]],"mmm-yyyy")</f>
        <v>Nov-2024</v>
      </c>
      <c r="J1584" t="s">
        <v>13</v>
      </c>
      <c r="K1584">
        <v>203.73</v>
      </c>
      <c r="L1584" t="s">
        <v>687</v>
      </c>
      <c r="M1584">
        <v>5</v>
      </c>
    </row>
    <row r="1585" spans="1:13" x14ac:dyDescent="0.35">
      <c r="A1585" t="s">
        <v>2173</v>
      </c>
      <c r="B1585" t="s">
        <v>385</v>
      </c>
      <c r="C1585" t="s">
        <v>605</v>
      </c>
      <c r="D1585" t="s">
        <v>617</v>
      </c>
      <c r="E1585" s="1">
        <v>45344</v>
      </c>
      <c r="F1585" s="1">
        <v>45346</v>
      </c>
      <c r="G1585" s="1">
        <v>45371</v>
      </c>
      <c r="H1585" s="4">
        <f>IF(Claims_Cleaned[[#This Row],[processed_date]]="","",Claims_Cleaned[[#This Row],[processed_date]]-Claims_Cleaned[[#This Row],[submission_date]])</f>
        <v>25</v>
      </c>
      <c r="I1585" s="4" t="str">
        <f>TEXT(Claims_Cleaned[[#This Row],[claim_date]],"mmm-yyyy")</f>
        <v>Feb-2024</v>
      </c>
      <c r="J1585" t="s">
        <v>20</v>
      </c>
      <c r="K1585">
        <v>202.61</v>
      </c>
      <c r="L1585" t="s">
        <v>683</v>
      </c>
      <c r="M1585">
        <v>25</v>
      </c>
    </row>
    <row r="1586" spans="1:13" x14ac:dyDescent="0.35">
      <c r="A1586" t="s">
        <v>1826</v>
      </c>
      <c r="B1586" t="s">
        <v>187</v>
      </c>
      <c r="C1586" t="s">
        <v>531</v>
      </c>
      <c r="D1586" t="s">
        <v>617</v>
      </c>
      <c r="E1586" s="1">
        <v>45140</v>
      </c>
      <c r="F1586" s="1">
        <v>45142</v>
      </c>
      <c r="G1586" s="1">
        <v>45165</v>
      </c>
      <c r="H1586" s="4">
        <f>IF(Claims_Cleaned[[#This Row],[processed_date]]="","",Claims_Cleaned[[#This Row],[processed_date]]-Claims_Cleaned[[#This Row],[submission_date]])</f>
        <v>23</v>
      </c>
      <c r="I1586" s="4" t="str">
        <f>TEXT(Claims_Cleaned[[#This Row],[claim_date]],"mmm-yyyy")</f>
        <v>Aug-2023</v>
      </c>
      <c r="J1586" t="s">
        <v>11</v>
      </c>
      <c r="K1586">
        <v>202.21</v>
      </c>
      <c r="L1586" t="s">
        <v>683</v>
      </c>
      <c r="M1586">
        <v>23</v>
      </c>
    </row>
    <row r="1587" spans="1:13" x14ac:dyDescent="0.35">
      <c r="A1587" t="s">
        <v>1335</v>
      </c>
      <c r="B1587" t="s">
        <v>439</v>
      </c>
      <c r="C1587" t="s">
        <v>549</v>
      </c>
      <c r="D1587" t="s">
        <v>617</v>
      </c>
      <c r="E1587" s="1">
        <v>45537</v>
      </c>
      <c r="F1587" s="1">
        <v>45542</v>
      </c>
      <c r="G1587" s="1">
        <v>45570</v>
      </c>
      <c r="H1587" s="4">
        <f>IF(Claims_Cleaned[[#This Row],[processed_date]]="","",Claims_Cleaned[[#This Row],[processed_date]]-Claims_Cleaned[[#This Row],[submission_date]])</f>
        <v>28</v>
      </c>
      <c r="I1587" s="4" t="str">
        <f>TEXT(Claims_Cleaned[[#This Row],[claim_date]],"mmm-yyyy")</f>
        <v>Sep-2024</v>
      </c>
      <c r="J1587" t="s">
        <v>11</v>
      </c>
      <c r="K1587">
        <v>202.15</v>
      </c>
      <c r="L1587" t="s">
        <v>683</v>
      </c>
      <c r="M1587">
        <v>28</v>
      </c>
    </row>
    <row r="1588" spans="1:13" x14ac:dyDescent="0.35">
      <c r="A1588" t="s">
        <v>1483</v>
      </c>
      <c r="B1588" t="s">
        <v>300</v>
      </c>
      <c r="C1588" t="s">
        <v>571</v>
      </c>
      <c r="D1588" t="s">
        <v>635</v>
      </c>
      <c r="E1588" s="1">
        <v>44946</v>
      </c>
      <c r="F1588" s="1">
        <v>44951</v>
      </c>
      <c r="G1588" s="1">
        <v>44955</v>
      </c>
      <c r="H1588" s="4">
        <f>IF(Claims_Cleaned[[#This Row],[processed_date]]="","",Claims_Cleaned[[#This Row],[processed_date]]-Claims_Cleaned[[#This Row],[submission_date]])</f>
        <v>4</v>
      </c>
      <c r="I1588" s="4" t="str">
        <f>TEXT(Claims_Cleaned[[#This Row],[claim_date]],"mmm-yyyy")</f>
        <v>Jan-2023</v>
      </c>
      <c r="J1588" t="s">
        <v>20</v>
      </c>
      <c r="K1588">
        <v>202.11</v>
      </c>
      <c r="L1588" t="s">
        <v>687</v>
      </c>
      <c r="M1588">
        <v>4</v>
      </c>
    </row>
    <row r="1589" spans="1:13" x14ac:dyDescent="0.35">
      <c r="A1589" t="s">
        <v>778</v>
      </c>
      <c r="B1589" t="s">
        <v>412</v>
      </c>
      <c r="C1589" t="s">
        <v>587</v>
      </c>
      <c r="D1589" t="s">
        <v>617</v>
      </c>
      <c r="E1589" s="1">
        <v>45636</v>
      </c>
      <c r="F1589" s="1">
        <v>45637</v>
      </c>
      <c r="G1589" s="1">
        <v>45641</v>
      </c>
      <c r="H1589" s="4">
        <f>IF(Claims_Cleaned[[#This Row],[processed_date]]="","",Claims_Cleaned[[#This Row],[processed_date]]-Claims_Cleaned[[#This Row],[submission_date]])</f>
        <v>4</v>
      </c>
      <c r="I1589" s="4" t="str">
        <f>TEXT(Claims_Cleaned[[#This Row],[claim_date]],"mmm-yyyy")</f>
        <v>Dec-2024</v>
      </c>
      <c r="J1589" t="s">
        <v>8</v>
      </c>
      <c r="K1589">
        <v>200.83</v>
      </c>
      <c r="L1589" t="s">
        <v>683</v>
      </c>
      <c r="M1589">
        <v>4</v>
      </c>
    </row>
    <row r="1590" spans="1:13" x14ac:dyDescent="0.35">
      <c r="A1590" t="s">
        <v>996</v>
      </c>
      <c r="B1590" t="s">
        <v>450</v>
      </c>
      <c r="C1590" t="s">
        <v>527</v>
      </c>
      <c r="D1590" t="s">
        <v>635</v>
      </c>
      <c r="E1590" s="1">
        <v>45279</v>
      </c>
      <c r="F1590" s="1">
        <v>45281</v>
      </c>
      <c r="G1590" s="1">
        <v>45295</v>
      </c>
      <c r="H1590" s="4">
        <f>IF(Claims_Cleaned[[#This Row],[processed_date]]="","",Claims_Cleaned[[#This Row],[processed_date]]-Claims_Cleaned[[#This Row],[submission_date]])</f>
        <v>14</v>
      </c>
      <c r="I1590" s="4" t="str">
        <f>TEXT(Claims_Cleaned[[#This Row],[claim_date]],"mmm-yyyy")</f>
        <v>Dec-2023</v>
      </c>
      <c r="J1590" t="s">
        <v>20</v>
      </c>
      <c r="K1590">
        <v>200.6</v>
      </c>
      <c r="L1590" t="s">
        <v>683</v>
      </c>
      <c r="M1590">
        <v>14</v>
      </c>
    </row>
    <row r="1591" spans="1:13" x14ac:dyDescent="0.35">
      <c r="A1591" t="s">
        <v>2560</v>
      </c>
      <c r="B1591" t="s">
        <v>353</v>
      </c>
      <c r="C1591" t="s">
        <v>575</v>
      </c>
      <c r="D1591" t="s">
        <v>635</v>
      </c>
      <c r="E1591" s="1">
        <v>45647</v>
      </c>
      <c r="F1591" s="1">
        <v>45649</v>
      </c>
      <c r="G1591" s="1">
        <v>45661</v>
      </c>
      <c r="H1591" s="4">
        <f>IF(Claims_Cleaned[[#This Row],[processed_date]]="","",Claims_Cleaned[[#This Row],[processed_date]]-Claims_Cleaned[[#This Row],[submission_date]])</f>
        <v>12</v>
      </c>
      <c r="I1591" s="4" t="str">
        <f>TEXT(Claims_Cleaned[[#This Row],[claim_date]],"mmm-yyyy")</f>
        <v>Dec-2024</v>
      </c>
      <c r="J1591" t="s">
        <v>20</v>
      </c>
      <c r="K1591">
        <v>200.57</v>
      </c>
      <c r="L1591" t="s">
        <v>683</v>
      </c>
      <c r="M1591">
        <v>12</v>
      </c>
    </row>
    <row r="1592" spans="1:13" x14ac:dyDescent="0.35">
      <c r="A1592" t="s">
        <v>1646</v>
      </c>
      <c r="B1592" t="s">
        <v>236</v>
      </c>
      <c r="C1592" t="s">
        <v>531</v>
      </c>
      <c r="D1592" t="s">
        <v>617</v>
      </c>
      <c r="E1592" s="1">
        <v>44956</v>
      </c>
      <c r="F1592" s="1">
        <v>44960</v>
      </c>
      <c r="G1592" s="1">
        <v>44989</v>
      </c>
      <c r="H1592" s="4">
        <f>IF(Claims_Cleaned[[#This Row],[processed_date]]="","",Claims_Cleaned[[#This Row],[processed_date]]-Claims_Cleaned[[#This Row],[submission_date]])</f>
        <v>29</v>
      </c>
      <c r="I1592" s="4" t="str">
        <f>TEXT(Claims_Cleaned[[#This Row],[claim_date]],"mmm-yyyy")</f>
        <v>Jan-2023</v>
      </c>
      <c r="J1592" t="s">
        <v>11</v>
      </c>
      <c r="K1592">
        <v>200.17</v>
      </c>
      <c r="L1592" t="s">
        <v>683</v>
      </c>
      <c r="M1592">
        <v>29</v>
      </c>
    </row>
    <row r="1593" spans="1:13" x14ac:dyDescent="0.35">
      <c r="A1593" t="s">
        <v>1586</v>
      </c>
      <c r="B1593" t="s">
        <v>128</v>
      </c>
      <c r="C1593" t="s">
        <v>546</v>
      </c>
      <c r="D1593" t="s">
        <v>617</v>
      </c>
      <c r="E1593" s="1">
        <v>45499</v>
      </c>
      <c r="F1593" s="1">
        <v>45500</v>
      </c>
      <c r="G1593" s="1">
        <v>45518</v>
      </c>
      <c r="H1593" s="4">
        <f>IF(Claims_Cleaned[[#This Row],[processed_date]]="","",Claims_Cleaned[[#This Row],[processed_date]]-Claims_Cleaned[[#This Row],[submission_date]])</f>
        <v>18</v>
      </c>
      <c r="I1593" s="4" t="str">
        <f>TEXT(Claims_Cleaned[[#This Row],[claim_date]],"mmm-yyyy")</f>
        <v>Jul-2024</v>
      </c>
      <c r="J1593" t="s">
        <v>8</v>
      </c>
      <c r="K1593">
        <v>199.63</v>
      </c>
      <c r="L1593" t="s">
        <v>683</v>
      </c>
      <c r="M1593">
        <v>18</v>
      </c>
    </row>
    <row r="1594" spans="1:13" x14ac:dyDescent="0.35">
      <c r="A1594" t="s">
        <v>2396</v>
      </c>
      <c r="B1594" t="s">
        <v>213</v>
      </c>
      <c r="C1594" t="s">
        <v>527</v>
      </c>
      <c r="D1594" t="s">
        <v>635</v>
      </c>
      <c r="E1594" s="1">
        <v>44967</v>
      </c>
      <c r="F1594" s="1">
        <v>44971</v>
      </c>
      <c r="G1594" s="1">
        <v>44981</v>
      </c>
      <c r="H1594" s="4">
        <f>IF(Claims_Cleaned[[#This Row],[processed_date]]="","",Claims_Cleaned[[#This Row],[processed_date]]-Claims_Cleaned[[#This Row],[submission_date]])</f>
        <v>10</v>
      </c>
      <c r="I1594" s="4" t="str">
        <f>TEXT(Claims_Cleaned[[#This Row],[claim_date]],"mmm-yyyy")</f>
        <v>Feb-2023</v>
      </c>
      <c r="J1594" t="s">
        <v>8</v>
      </c>
      <c r="K1594">
        <v>199.44</v>
      </c>
      <c r="L1594" t="s">
        <v>683</v>
      </c>
      <c r="M1594">
        <v>10</v>
      </c>
    </row>
    <row r="1595" spans="1:13" x14ac:dyDescent="0.35">
      <c r="A1595" t="s">
        <v>2437</v>
      </c>
      <c r="B1595" t="s">
        <v>153</v>
      </c>
      <c r="C1595" t="s">
        <v>589</v>
      </c>
      <c r="D1595" t="s">
        <v>635</v>
      </c>
      <c r="E1595" s="1">
        <v>45420</v>
      </c>
      <c r="F1595" s="1">
        <v>45424</v>
      </c>
      <c r="G1595" s="1">
        <v>45442</v>
      </c>
      <c r="H1595" s="4">
        <f>IF(Claims_Cleaned[[#This Row],[processed_date]]="","",Claims_Cleaned[[#This Row],[processed_date]]-Claims_Cleaned[[#This Row],[submission_date]])</f>
        <v>18</v>
      </c>
      <c r="I1595" s="4" t="str">
        <f>TEXT(Claims_Cleaned[[#This Row],[claim_date]],"mmm-yyyy")</f>
        <v>May-2024</v>
      </c>
      <c r="J1595" t="s">
        <v>13</v>
      </c>
      <c r="K1595">
        <v>199.29</v>
      </c>
      <c r="L1595" t="s">
        <v>683</v>
      </c>
      <c r="M1595">
        <v>18</v>
      </c>
    </row>
    <row r="1596" spans="1:13" x14ac:dyDescent="0.35">
      <c r="A1596" t="s">
        <v>1933</v>
      </c>
      <c r="B1596" t="s">
        <v>26</v>
      </c>
      <c r="C1596" t="s">
        <v>603</v>
      </c>
      <c r="D1596" t="s">
        <v>617</v>
      </c>
      <c r="E1596" s="1">
        <v>45486</v>
      </c>
      <c r="F1596" s="1">
        <v>45487</v>
      </c>
      <c r="G1596" s="1">
        <v>45491</v>
      </c>
      <c r="H1596" s="4">
        <f>IF(Claims_Cleaned[[#This Row],[processed_date]]="","",Claims_Cleaned[[#This Row],[processed_date]]-Claims_Cleaned[[#This Row],[submission_date]])</f>
        <v>4</v>
      </c>
      <c r="I1596" s="4" t="str">
        <f>TEXT(Claims_Cleaned[[#This Row],[claim_date]],"mmm-yyyy")</f>
        <v>Jul-2024</v>
      </c>
      <c r="J1596" t="s">
        <v>11</v>
      </c>
      <c r="K1596">
        <v>198.93</v>
      </c>
      <c r="L1596" t="s">
        <v>687</v>
      </c>
      <c r="M1596">
        <v>4</v>
      </c>
    </row>
    <row r="1597" spans="1:13" x14ac:dyDescent="0.35">
      <c r="A1597" t="s">
        <v>1270</v>
      </c>
      <c r="B1597" t="s">
        <v>263</v>
      </c>
      <c r="C1597" t="s">
        <v>561</v>
      </c>
      <c r="D1597" t="s">
        <v>617</v>
      </c>
      <c r="E1597" s="1">
        <v>45079</v>
      </c>
      <c r="F1597" s="1">
        <v>45083</v>
      </c>
      <c r="G1597" s="1">
        <v>45086</v>
      </c>
      <c r="H1597" s="4">
        <f>IF(Claims_Cleaned[[#This Row],[processed_date]]="","",Claims_Cleaned[[#This Row],[processed_date]]-Claims_Cleaned[[#This Row],[submission_date]])</f>
        <v>3</v>
      </c>
      <c r="I1597" s="4" t="str">
        <f>TEXT(Claims_Cleaned[[#This Row],[claim_date]],"mmm-yyyy")</f>
        <v>Jun-2023</v>
      </c>
      <c r="J1597" t="s">
        <v>20</v>
      </c>
      <c r="K1597">
        <v>198.44</v>
      </c>
      <c r="L1597" t="s">
        <v>687</v>
      </c>
      <c r="M1597">
        <v>3</v>
      </c>
    </row>
    <row r="1598" spans="1:13" x14ac:dyDescent="0.35">
      <c r="A1598" t="s">
        <v>2300</v>
      </c>
      <c r="B1598" t="s">
        <v>353</v>
      </c>
      <c r="C1598" t="s">
        <v>589</v>
      </c>
      <c r="D1598" t="s">
        <v>617</v>
      </c>
      <c r="E1598" s="1">
        <v>45008</v>
      </c>
      <c r="F1598" s="1">
        <v>45012</v>
      </c>
      <c r="G1598" s="1">
        <v>45040</v>
      </c>
      <c r="H1598" s="4">
        <f>IF(Claims_Cleaned[[#This Row],[processed_date]]="","",Claims_Cleaned[[#This Row],[processed_date]]-Claims_Cleaned[[#This Row],[submission_date]])</f>
        <v>28</v>
      </c>
      <c r="I1598" s="4" t="str">
        <f>TEXT(Claims_Cleaned[[#This Row],[claim_date]],"mmm-yyyy")</f>
        <v>Mar-2023</v>
      </c>
      <c r="J1598" t="s">
        <v>20</v>
      </c>
      <c r="K1598">
        <v>198.35</v>
      </c>
      <c r="L1598" t="s">
        <v>683</v>
      </c>
      <c r="M1598">
        <v>28</v>
      </c>
    </row>
    <row r="1599" spans="1:13" x14ac:dyDescent="0.35">
      <c r="A1599" t="s">
        <v>2170</v>
      </c>
      <c r="B1599" t="s">
        <v>211</v>
      </c>
      <c r="C1599" t="s">
        <v>609</v>
      </c>
      <c r="D1599" t="s">
        <v>635</v>
      </c>
      <c r="E1599" s="1">
        <v>45564</v>
      </c>
      <c r="F1599" s="1">
        <v>45565</v>
      </c>
      <c r="G1599" s="1">
        <v>45583</v>
      </c>
      <c r="H1599" s="4">
        <f>IF(Claims_Cleaned[[#This Row],[processed_date]]="","",Claims_Cleaned[[#This Row],[processed_date]]-Claims_Cleaned[[#This Row],[submission_date]])</f>
        <v>18</v>
      </c>
      <c r="I1599" s="4" t="str">
        <f>TEXT(Claims_Cleaned[[#This Row],[claim_date]],"mmm-yyyy")</f>
        <v>Sep-2024</v>
      </c>
      <c r="J1599" t="s">
        <v>11</v>
      </c>
      <c r="K1599">
        <v>198.12</v>
      </c>
      <c r="L1599" t="s">
        <v>683</v>
      </c>
      <c r="M1599">
        <v>18</v>
      </c>
    </row>
    <row r="1600" spans="1:13" x14ac:dyDescent="0.35">
      <c r="A1600" t="s">
        <v>1540</v>
      </c>
      <c r="B1600" t="s">
        <v>178</v>
      </c>
      <c r="C1600" t="s">
        <v>565</v>
      </c>
      <c r="D1600" t="s">
        <v>635</v>
      </c>
      <c r="E1600" s="1">
        <v>45473</v>
      </c>
      <c r="F1600" s="1">
        <v>45478</v>
      </c>
      <c r="G1600" s="1">
        <v>45506</v>
      </c>
      <c r="H1600" s="4">
        <f>IF(Claims_Cleaned[[#This Row],[processed_date]]="","",Claims_Cleaned[[#This Row],[processed_date]]-Claims_Cleaned[[#This Row],[submission_date]])</f>
        <v>28</v>
      </c>
      <c r="I1600" s="4" t="str">
        <f>TEXT(Claims_Cleaned[[#This Row],[claim_date]],"mmm-yyyy")</f>
        <v>Jun-2024</v>
      </c>
      <c r="J1600" t="s">
        <v>8</v>
      </c>
      <c r="K1600">
        <v>197.95</v>
      </c>
      <c r="L1600" t="s">
        <v>687</v>
      </c>
      <c r="M1600">
        <v>28</v>
      </c>
    </row>
    <row r="1601" spans="1:13" x14ac:dyDescent="0.35">
      <c r="A1601" t="s">
        <v>1092</v>
      </c>
      <c r="B1601" t="s">
        <v>450</v>
      </c>
      <c r="C1601" t="s">
        <v>567</v>
      </c>
      <c r="D1601" t="s">
        <v>635</v>
      </c>
      <c r="E1601" s="1">
        <v>45522</v>
      </c>
      <c r="F1601" s="1">
        <v>45524</v>
      </c>
      <c r="G1601" s="1">
        <v>45549</v>
      </c>
      <c r="H1601" s="4">
        <f>IF(Claims_Cleaned[[#This Row],[processed_date]]="","",Claims_Cleaned[[#This Row],[processed_date]]-Claims_Cleaned[[#This Row],[submission_date]])</f>
        <v>25</v>
      </c>
      <c r="I1601" s="4" t="str">
        <f>TEXT(Claims_Cleaned[[#This Row],[claim_date]],"mmm-yyyy")</f>
        <v>Aug-2024</v>
      </c>
      <c r="J1601" t="s">
        <v>20</v>
      </c>
      <c r="K1601">
        <v>197.65</v>
      </c>
      <c r="L1601" t="s">
        <v>683</v>
      </c>
      <c r="M1601">
        <v>25</v>
      </c>
    </row>
    <row r="1602" spans="1:13" x14ac:dyDescent="0.35">
      <c r="A1602" t="s">
        <v>726</v>
      </c>
      <c r="B1602" t="s">
        <v>45</v>
      </c>
      <c r="C1602" t="s">
        <v>549</v>
      </c>
      <c r="D1602" t="s">
        <v>635</v>
      </c>
      <c r="E1602" s="1">
        <v>45520</v>
      </c>
      <c r="F1602" s="1">
        <v>45525</v>
      </c>
      <c r="G1602" s="1">
        <v>45534</v>
      </c>
      <c r="H1602" s="4">
        <f>IF(Claims_Cleaned[[#This Row],[processed_date]]="","",Claims_Cleaned[[#This Row],[processed_date]]-Claims_Cleaned[[#This Row],[submission_date]])</f>
        <v>9</v>
      </c>
      <c r="I1602" s="4" t="str">
        <f>TEXT(Claims_Cleaned[[#This Row],[claim_date]],"mmm-yyyy")</f>
        <v>Aug-2024</v>
      </c>
      <c r="J1602" t="s">
        <v>11</v>
      </c>
      <c r="K1602">
        <v>196.8</v>
      </c>
      <c r="L1602" t="s">
        <v>683</v>
      </c>
      <c r="M1602">
        <v>9</v>
      </c>
    </row>
    <row r="1603" spans="1:13" x14ac:dyDescent="0.35">
      <c r="A1603" t="s">
        <v>1530</v>
      </c>
      <c r="B1603" t="s">
        <v>480</v>
      </c>
      <c r="C1603" t="s">
        <v>579</v>
      </c>
      <c r="D1603" t="s">
        <v>635</v>
      </c>
      <c r="E1603" s="1">
        <v>45652</v>
      </c>
      <c r="F1603" s="1">
        <v>45655</v>
      </c>
      <c r="G1603" s="1">
        <v>45668</v>
      </c>
      <c r="H1603" s="4">
        <f>IF(Claims_Cleaned[[#This Row],[processed_date]]="","",Claims_Cleaned[[#This Row],[processed_date]]-Claims_Cleaned[[#This Row],[submission_date]])</f>
        <v>13</v>
      </c>
      <c r="I1603" s="4" t="str">
        <f>TEXT(Claims_Cleaned[[#This Row],[claim_date]],"mmm-yyyy")</f>
        <v>Dec-2024</v>
      </c>
      <c r="J1603" t="s">
        <v>11</v>
      </c>
      <c r="K1603">
        <v>196.77</v>
      </c>
      <c r="L1603" t="s">
        <v>683</v>
      </c>
      <c r="M1603">
        <v>13</v>
      </c>
    </row>
    <row r="1604" spans="1:13" x14ac:dyDescent="0.35">
      <c r="A1604" t="s">
        <v>2005</v>
      </c>
      <c r="B1604" t="s">
        <v>365</v>
      </c>
      <c r="C1604" t="s">
        <v>546</v>
      </c>
      <c r="D1604" t="s">
        <v>635</v>
      </c>
      <c r="E1604" s="1">
        <v>45531</v>
      </c>
      <c r="F1604" s="1">
        <v>45535</v>
      </c>
      <c r="G1604" s="1">
        <v>45539</v>
      </c>
      <c r="H1604" s="4">
        <f>IF(Claims_Cleaned[[#This Row],[processed_date]]="","",Claims_Cleaned[[#This Row],[processed_date]]-Claims_Cleaned[[#This Row],[submission_date]])</f>
        <v>4</v>
      </c>
      <c r="I1604" s="4" t="str">
        <f>TEXT(Claims_Cleaned[[#This Row],[claim_date]],"mmm-yyyy")</f>
        <v>Aug-2024</v>
      </c>
      <c r="J1604" t="s">
        <v>11</v>
      </c>
      <c r="K1604">
        <v>196.1</v>
      </c>
      <c r="L1604" t="s">
        <v>683</v>
      </c>
      <c r="M1604">
        <v>4</v>
      </c>
    </row>
    <row r="1605" spans="1:13" x14ac:dyDescent="0.35">
      <c r="A1605" t="s">
        <v>1995</v>
      </c>
      <c r="B1605" t="s">
        <v>392</v>
      </c>
      <c r="C1605" t="s">
        <v>589</v>
      </c>
      <c r="D1605" t="s">
        <v>635</v>
      </c>
      <c r="E1605" s="1">
        <v>44936</v>
      </c>
      <c r="F1605" s="1">
        <v>44937</v>
      </c>
      <c r="G1605" s="1">
        <v>44941</v>
      </c>
      <c r="H1605" s="4">
        <f>IF(Claims_Cleaned[[#This Row],[processed_date]]="","",Claims_Cleaned[[#This Row],[processed_date]]-Claims_Cleaned[[#This Row],[submission_date]])</f>
        <v>4</v>
      </c>
      <c r="I1605" s="4" t="str">
        <f>TEXT(Claims_Cleaned[[#This Row],[claim_date]],"mmm-yyyy")</f>
        <v>Jan-2023</v>
      </c>
      <c r="J1605" t="s">
        <v>13</v>
      </c>
      <c r="K1605">
        <v>195.86</v>
      </c>
      <c r="L1605" t="s">
        <v>683</v>
      </c>
      <c r="M1605">
        <v>4</v>
      </c>
    </row>
    <row r="1606" spans="1:13" x14ac:dyDescent="0.35">
      <c r="A1606" t="s">
        <v>1484</v>
      </c>
      <c r="B1606" t="s">
        <v>401</v>
      </c>
      <c r="C1606" t="s">
        <v>571</v>
      </c>
      <c r="D1606" t="s">
        <v>617</v>
      </c>
      <c r="E1606" s="1">
        <v>45484</v>
      </c>
      <c r="F1606" s="1">
        <v>45485</v>
      </c>
      <c r="G1606" s="1">
        <v>45495</v>
      </c>
      <c r="H1606" s="4">
        <f>IF(Claims_Cleaned[[#This Row],[processed_date]]="","",Claims_Cleaned[[#This Row],[processed_date]]-Claims_Cleaned[[#This Row],[submission_date]])</f>
        <v>10</v>
      </c>
      <c r="I1606" s="4" t="str">
        <f>TEXT(Claims_Cleaned[[#This Row],[claim_date]],"mmm-yyyy")</f>
        <v>Jul-2024</v>
      </c>
      <c r="J1606" t="s">
        <v>8</v>
      </c>
      <c r="K1606">
        <v>195.49</v>
      </c>
      <c r="L1606" t="s">
        <v>683</v>
      </c>
      <c r="M1606">
        <v>10</v>
      </c>
    </row>
    <row r="1607" spans="1:13" x14ac:dyDescent="0.35">
      <c r="A1607" t="s">
        <v>2472</v>
      </c>
      <c r="B1607" t="s">
        <v>390</v>
      </c>
      <c r="C1607" t="s">
        <v>597</v>
      </c>
      <c r="D1607" t="s">
        <v>635</v>
      </c>
      <c r="E1607" s="1">
        <v>45140</v>
      </c>
      <c r="F1607" s="1">
        <v>45142</v>
      </c>
      <c r="G1607" s="1">
        <v>45164</v>
      </c>
      <c r="H1607" s="4">
        <f>IF(Claims_Cleaned[[#This Row],[processed_date]]="","",Claims_Cleaned[[#This Row],[processed_date]]-Claims_Cleaned[[#This Row],[submission_date]])</f>
        <v>22</v>
      </c>
      <c r="I1607" s="4" t="str">
        <f>TEXT(Claims_Cleaned[[#This Row],[claim_date]],"mmm-yyyy")</f>
        <v>Aug-2023</v>
      </c>
      <c r="J1607" t="s">
        <v>11</v>
      </c>
      <c r="K1607">
        <v>195.1</v>
      </c>
      <c r="L1607" t="s">
        <v>683</v>
      </c>
      <c r="M1607">
        <v>22</v>
      </c>
    </row>
    <row r="1608" spans="1:13" x14ac:dyDescent="0.35">
      <c r="A1608" t="s">
        <v>1208</v>
      </c>
      <c r="B1608" t="s">
        <v>98</v>
      </c>
      <c r="C1608" t="s">
        <v>531</v>
      </c>
      <c r="D1608" t="s">
        <v>617</v>
      </c>
      <c r="E1608" s="1">
        <v>45574</v>
      </c>
      <c r="F1608" s="1">
        <v>45576</v>
      </c>
      <c r="G1608" s="1">
        <v>45596</v>
      </c>
      <c r="H1608" s="4">
        <f>IF(Claims_Cleaned[[#This Row],[processed_date]]="","",Claims_Cleaned[[#This Row],[processed_date]]-Claims_Cleaned[[#This Row],[submission_date]])</f>
        <v>20</v>
      </c>
      <c r="I1608" s="4" t="str">
        <f>TEXT(Claims_Cleaned[[#This Row],[claim_date]],"mmm-yyyy")</f>
        <v>Oct-2024</v>
      </c>
      <c r="J1608" t="s">
        <v>11</v>
      </c>
      <c r="K1608">
        <v>194.61</v>
      </c>
      <c r="L1608" t="s">
        <v>683</v>
      </c>
      <c r="M1608">
        <v>20</v>
      </c>
    </row>
    <row r="1609" spans="1:13" x14ac:dyDescent="0.35">
      <c r="A1609" t="s">
        <v>2550</v>
      </c>
      <c r="B1609" t="s">
        <v>80</v>
      </c>
      <c r="C1609" t="s">
        <v>603</v>
      </c>
      <c r="D1609" t="s">
        <v>617</v>
      </c>
      <c r="E1609" s="1">
        <v>45523</v>
      </c>
      <c r="F1609" s="1">
        <v>45524</v>
      </c>
      <c r="G1609" s="1"/>
      <c r="H1609" s="4" t="str">
        <f>IF(Claims_Cleaned[[#This Row],[processed_date]]="","",Claims_Cleaned[[#This Row],[processed_date]]-Claims_Cleaned[[#This Row],[submission_date]])</f>
        <v/>
      </c>
      <c r="I1609" s="4" t="str">
        <f>TEXT(Claims_Cleaned[[#This Row],[claim_date]],"mmm-yyyy")</f>
        <v>Aug-2024</v>
      </c>
      <c r="J1609" t="s">
        <v>8</v>
      </c>
      <c r="K1609">
        <v>194.32</v>
      </c>
      <c r="L1609" t="s">
        <v>689</v>
      </c>
    </row>
    <row r="1610" spans="1:13" x14ac:dyDescent="0.35">
      <c r="A1610" t="s">
        <v>944</v>
      </c>
      <c r="B1610" t="s">
        <v>67</v>
      </c>
      <c r="C1610" t="s">
        <v>565</v>
      </c>
      <c r="D1610" t="s">
        <v>635</v>
      </c>
      <c r="E1610" s="1">
        <v>44934</v>
      </c>
      <c r="F1610" s="1">
        <v>44935</v>
      </c>
      <c r="G1610" s="1">
        <v>44946</v>
      </c>
      <c r="H1610" s="4">
        <f>IF(Claims_Cleaned[[#This Row],[processed_date]]="","",Claims_Cleaned[[#This Row],[processed_date]]-Claims_Cleaned[[#This Row],[submission_date]])</f>
        <v>11</v>
      </c>
      <c r="I1610" s="4" t="str">
        <f>TEXT(Claims_Cleaned[[#This Row],[claim_date]],"mmm-yyyy")</f>
        <v>Jan-2023</v>
      </c>
      <c r="J1610" t="s">
        <v>11</v>
      </c>
      <c r="K1610">
        <v>194.3</v>
      </c>
      <c r="L1610" t="s">
        <v>683</v>
      </c>
      <c r="M1610">
        <v>11</v>
      </c>
    </row>
    <row r="1611" spans="1:13" x14ac:dyDescent="0.35">
      <c r="A1611" t="s">
        <v>2093</v>
      </c>
      <c r="B1611" t="s">
        <v>306</v>
      </c>
      <c r="C1611" t="s">
        <v>601</v>
      </c>
      <c r="D1611" t="s">
        <v>635</v>
      </c>
      <c r="E1611" s="1">
        <v>45107</v>
      </c>
      <c r="F1611" s="1">
        <v>45108</v>
      </c>
      <c r="G1611" s="1">
        <v>45112</v>
      </c>
      <c r="H1611" s="4">
        <f>IF(Claims_Cleaned[[#This Row],[processed_date]]="","",Claims_Cleaned[[#This Row],[processed_date]]-Claims_Cleaned[[#This Row],[submission_date]])</f>
        <v>4</v>
      </c>
      <c r="I1611" s="4" t="str">
        <f>TEXT(Claims_Cleaned[[#This Row],[claim_date]],"mmm-yyyy")</f>
        <v>Jun-2023</v>
      </c>
      <c r="J1611" t="s">
        <v>25</v>
      </c>
      <c r="K1611">
        <v>193.66</v>
      </c>
      <c r="L1611" t="s">
        <v>683</v>
      </c>
      <c r="M1611">
        <v>4</v>
      </c>
    </row>
    <row r="1612" spans="1:13" x14ac:dyDescent="0.35">
      <c r="A1612" t="s">
        <v>1035</v>
      </c>
      <c r="B1612" t="s">
        <v>312</v>
      </c>
      <c r="C1612" t="s">
        <v>579</v>
      </c>
      <c r="D1612" t="s">
        <v>635</v>
      </c>
      <c r="E1612" s="1">
        <v>45001</v>
      </c>
      <c r="F1612" s="1">
        <v>45002</v>
      </c>
      <c r="G1612" s="1">
        <v>45012</v>
      </c>
      <c r="H1612" s="4">
        <f>IF(Claims_Cleaned[[#This Row],[processed_date]]="","",Claims_Cleaned[[#This Row],[processed_date]]-Claims_Cleaned[[#This Row],[submission_date]])</f>
        <v>10</v>
      </c>
      <c r="I1612" s="4" t="str">
        <f>TEXT(Claims_Cleaned[[#This Row],[claim_date]],"mmm-yyyy")</f>
        <v>Mar-2023</v>
      </c>
      <c r="J1612" t="s">
        <v>11</v>
      </c>
      <c r="K1612">
        <v>193.52</v>
      </c>
      <c r="L1612" t="s">
        <v>683</v>
      </c>
      <c r="M1612">
        <v>10</v>
      </c>
    </row>
    <row r="1613" spans="1:13" x14ac:dyDescent="0.35">
      <c r="A1613" t="s">
        <v>1568</v>
      </c>
      <c r="B1613" t="s">
        <v>388</v>
      </c>
      <c r="C1613" t="s">
        <v>603</v>
      </c>
      <c r="D1613" t="s">
        <v>617</v>
      </c>
      <c r="E1613" s="1">
        <v>45602</v>
      </c>
      <c r="F1613" s="1">
        <v>45607</v>
      </c>
      <c r="G1613" s="1">
        <v>45628</v>
      </c>
      <c r="H1613" s="4">
        <f>IF(Claims_Cleaned[[#This Row],[processed_date]]="","",Claims_Cleaned[[#This Row],[processed_date]]-Claims_Cleaned[[#This Row],[submission_date]])</f>
        <v>21</v>
      </c>
      <c r="I1613" s="4" t="str">
        <f>TEXT(Claims_Cleaned[[#This Row],[claim_date]],"mmm-yyyy")</f>
        <v>Nov-2024</v>
      </c>
      <c r="J1613" t="s">
        <v>8</v>
      </c>
      <c r="K1613">
        <v>193.37</v>
      </c>
      <c r="L1613" t="s">
        <v>683</v>
      </c>
      <c r="M1613">
        <v>21</v>
      </c>
    </row>
    <row r="1614" spans="1:13" x14ac:dyDescent="0.35">
      <c r="A1614" t="s">
        <v>1960</v>
      </c>
      <c r="B1614" t="s">
        <v>380</v>
      </c>
      <c r="C1614" t="s">
        <v>555</v>
      </c>
      <c r="D1614" t="s">
        <v>617</v>
      </c>
      <c r="E1614" s="1">
        <v>44934</v>
      </c>
      <c r="F1614" s="1">
        <v>44938</v>
      </c>
      <c r="G1614" s="1">
        <v>44948</v>
      </c>
      <c r="H1614" s="4">
        <f>IF(Claims_Cleaned[[#This Row],[processed_date]]="","",Claims_Cleaned[[#This Row],[processed_date]]-Claims_Cleaned[[#This Row],[submission_date]])</f>
        <v>10</v>
      </c>
      <c r="I1614" s="4" t="str">
        <f>TEXT(Claims_Cleaned[[#This Row],[claim_date]],"mmm-yyyy")</f>
        <v>Jan-2023</v>
      </c>
      <c r="J1614" t="s">
        <v>8</v>
      </c>
      <c r="K1614">
        <v>192.69</v>
      </c>
      <c r="L1614" t="s">
        <v>683</v>
      </c>
      <c r="M1614">
        <v>10</v>
      </c>
    </row>
    <row r="1615" spans="1:13" x14ac:dyDescent="0.35">
      <c r="A1615" t="s">
        <v>2325</v>
      </c>
      <c r="B1615" t="s">
        <v>351</v>
      </c>
      <c r="C1615" t="s">
        <v>543</v>
      </c>
      <c r="D1615" t="s">
        <v>635</v>
      </c>
      <c r="E1615" s="1">
        <v>45479</v>
      </c>
      <c r="F1615" s="1">
        <v>45484</v>
      </c>
      <c r="G1615" s="1">
        <v>45494</v>
      </c>
      <c r="H1615" s="4">
        <f>IF(Claims_Cleaned[[#This Row],[processed_date]]="","",Claims_Cleaned[[#This Row],[processed_date]]-Claims_Cleaned[[#This Row],[submission_date]])</f>
        <v>10</v>
      </c>
      <c r="I1615" s="4" t="str">
        <f>TEXT(Claims_Cleaned[[#This Row],[claim_date]],"mmm-yyyy")</f>
        <v>Jul-2024</v>
      </c>
      <c r="J1615" t="s">
        <v>11</v>
      </c>
      <c r="K1615">
        <v>192.36</v>
      </c>
      <c r="L1615" t="s">
        <v>683</v>
      </c>
      <c r="M1615">
        <v>10</v>
      </c>
    </row>
    <row r="1616" spans="1:13" x14ac:dyDescent="0.35">
      <c r="A1616" t="s">
        <v>2056</v>
      </c>
      <c r="B1616" t="s">
        <v>443</v>
      </c>
      <c r="C1616" t="s">
        <v>595</v>
      </c>
      <c r="D1616" t="s">
        <v>635</v>
      </c>
      <c r="E1616" s="1">
        <v>45388</v>
      </c>
      <c r="F1616" s="1">
        <v>45393</v>
      </c>
      <c r="G1616" s="1">
        <v>45405</v>
      </c>
      <c r="H1616" s="4">
        <f>IF(Claims_Cleaned[[#This Row],[processed_date]]="","",Claims_Cleaned[[#This Row],[processed_date]]-Claims_Cleaned[[#This Row],[submission_date]])</f>
        <v>12</v>
      </c>
      <c r="I1616" s="4" t="str">
        <f>TEXT(Claims_Cleaned[[#This Row],[claim_date]],"mmm-yyyy")</f>
        <v>Apr-2024</v>
      </c>
      <c r="J1616" t="s">
        <v>11</v>
      </c>
      <c r="K1616">
        <v>191.63</v>
      </c>
      <c r="L1616" t="s">
        <v>683</v>
      </c>
      <c r="M1616">
        <v>12</v>
      </c>
    </row>
    <row r="1617" spans="1:13" x14ac:dyDescent="0.35">
      <c r="A1617" t="s">
        <v>902</v>
      </c>
      <c r="B1617" t="s">
        <v>496</v>
      </c>
      <c r="C1617" t="s">
        <v>521</v>
      </c>
      <c r="D1617" t="s">
        <v>635</v>
      </c>
      <c r="E1617" s="1">
        <v>45576</v>
      </c>
      <c r="F1617" s="1">
        <v>45578</v>
      </c>
      <c r="G1617" s="1">
        <v>45586</v>
      </c>
      <c r="H1617" s="4">
        <f>IF(Claims_Cleaned[[#This Row],[processed_date]]="","",Claims_Cleaned[[#This Row],[processed_date]]-Claims_Cleaned[[#This Row],[submission_date]])</f>
        <v>8</v>
      </c>
      <c r="I1617" s="4" t="str">
        <f>TEXT(Claims_Cleaned[[#This Row],[claim_date]],"mmm-yyyy")</f>
        <v>Oct-2024</v>
      </c>
      <c r="J1617" t="s">
        <v>13</v>
      </c>
      <c r="K1617">
        <v>190.99</v>
      </c>
      <c r="L1617" t="s">
        <v>683</v>
      </c>
      <c r="M1617">
        <v>8</v>
      </c>
    </row>
    <row r="1618" spans="1:13" x14ac:dyDescent="0.35">
      <c r="A1618" t="s">
        <v>1043</v>
      </c>
      <c r="B1618" t="s">
        <v>160</v>
      </c>
      <c r="C1618" t="s">
        <v>553</v>
      </c>
      <c r="D1618" t="s">
        <v>617</v>
      </c>
      <c r="E1618" s="1">
        <v>45650</v>
      </c>
      <c r="F1618" s="1">
        <v>45651</v>
      </c>
      <c r="G1618" s="1">
        <v>45674</v>
      </c>
      <c r="H1618" s="4">
        <f>IF(Claims_Cleaned[[#This Row],[processed_date]]="","",Claims_Cleaned[[#This Row],[processed_date]]-Claims_Cleaned[[#This Row],[submission_date]])</f>
        <v>23</v>
      </c>
      <c r="I1618" s="4" t="str">
        <f>TEXT(Claims_Cleaned[[#This Row],[claim_date]],"mmm-yyyy")</f>
        <v>Dec-2024</v>
      </c>
      <c r="J1618" t="s">
        <v>20</v>
      </c>
      <c r="K1618">
        <v>190.37</v>
      </c>
      <c r="L1618" t="s">
        <v>683</v>
      </c>
      <c r="M1618">
        <v>23</v>
      </c>
    </row>
    <row r="1619" spans="1:13" x14ac:dyDescent="0.35">
      <c r="A1619" t="s">
        <v>702</v>
      </c>
      <c r="B1619" t="s">
        <v>498</v>
      </c>
      <c r="C1619" t="s">
        <v>537</v>
      </c>
      <c r="D1619" t="s">
        <v>635</v>
      </c>
      <c r="E1619" s="1">
        <v>45153</v>
      </c>
      <c r="F1619" s="1">
        <v>45155</v>
      </c>
      <c r="G1619" s="1">
        <v>45176</v>
      </c>
      <c r="H1619" s="4">
        <f>IF(Claims_Cleaned[[#This Row],[processed_date]]="","",Claims_Cleaned[[#This Row],[processed_date]]-Claims_Cleaned[[#This Row],[submission_date]])</f>
        <v>21</v>
      </c>
      <c r="I1619" s="4" t="str">
        <f>TEXT(Claims_Cleaned[[#This Row],[claim_date]],"mmm-yyyy")</f>
        <v>Aug-2023</v>
      </c>
      <c r="J1619" t="s">
        <v>25</v>
      </c>
      <c r="K1619">
        <v>189.87</v>
      </c>
      <c r="L1619" t="s">
        <v>683</v>
      </c>
      <c r="M1619">
        <v>21</v>
      </c>
    </row>
    <row r="1620" spans="1:13" x14ac:dyDescent="0.35">
      <c r="A1620" t="s">
        <v>2575</v>
      </c>
      <c r="B1620" t="s">
        <v>5</v>
      </c>
      <c r="C1620" t="s">
        <v>577</v>
      </c>
      <c r="D1620" t="s">
        <v>617</v>
      </c>
      <c r="E1620" s="1">
        <v>45173</v>
      </c>
      <c r="F1620" s="1">
        <v>45178</v>
      </c>
      <c r="G1620" s="1">
        <v>45208</v>
      </c>
      <c r="H1620" s="4">
        <f>IF(Claims_Cleaned[[#This Row],[processed_date]]="","",Claims_Cleaned[[#This Row],[processed_date]]-Claims_Cleaned[[#This Row],[submission_date]])</f>
        <v>30</v>
      </c>
      <c r="I1620" s="4" t="str">
        <f>TEXT(Claims_Cleaned[[#This Row],[claim_date]],"mmm-yyyy")</f>
        <v>Sep-2023</v>
      </c>
      <c r="J1620" t="s">
        <v>8</v>
      </c>
      <c r="K1620">
        <v>189.48</v>
      </c>
      <c r="L1620" t="s">
        <v>683</v>
      </c>
      <c r="M1620">
        <v>30</v>
      </c>
    </row>
    <row r="1621" spans="1:13" x14ac:dyDescent="0.35">
      <c r="A1621" t="s">
        <v>2342</v>
      </c>
      <c r="B1621" t="s">
        <v>228</v>
      </c>
      <c r="C1621" t="s">
        <v>537</v>
      </c>
      <c r="D1621" t="s">
        <v>617</v>
      </c>
      <c r="E1621" s="1">
        <v>45369</v>
      </c>
      <c r="F1621" s="1">
        <v>45370</v>
      </c>
      <c r="G1621" s="1"/>
      <c r="H1621" s="4" t="str">
        <f>IF(Claims_Cleaned[[#This Row],[processed_date]]="","",Claims_Cleaned[[#This Row],[processed_date]]-Claims_Cleaned[[#This Row],[submission_date]])</f>
        <v/>
      </c>
      <c r="I1621" s="4" t="str">
        <f>TEXT(Claims_Cleaned[[#This Row],[claim_date]],"mmm-yyyy")</f>
        <v>Mar-2024</v>
      </c>
      <c r="J1621" t="s">
        <v>25</v>
      </c>
      <c r="K1621">
        <v>189.38</v>
      </c>
      <c r="L1621" t="s">
        <v>689</v>
      </c>
    </row>
    <row r="1622" spans="1:13" x14ac:dyDescent="0.35">
      <c r="A1622" t="s">
        <v>1223</v>
      </c>
      <c r="B1622" t="s">
        <v>416</v>
      </c>
      <c r="C1622" t="s">
        <v>540</v>
      </c>
      <c r="D1622" t="s">
        <v>617</v>
      </c>
      <c r="E1622" s="1">
        <v>44975</v>
      </c>
      <c r="F1622" s="1">
        <v>44980</v>
      </c>
      <c r="G1622" s="1">
        <v>44995</v>
      </c>
      <c r="H1622" s="4">
        <f>IF(Claims_Cleaned[[#This Row],[processed_date]]="","",Claims_Cleaned[[#This Row],[processed_date]]-Claims_Cleaned[[#This Row],[submission_date]])</f>
        <v>15</v>
      </c>
      <c r="I1622" s="4" t="str">
        <f>TEXT(Claims_Cleaned[[#This Row],[claim_date]],"mmm-yyyy")</f>
        <v>Feb-2023</v>
      </c>
      <c r="J1622" t="s">
        <v>13</v>
      </c>
      <c r="K1622">
        <v>188.97</v>
      </c>
      <c r="L1622" t="s">
        <v>683</v>
      </c>
      <c r="M1622">
        <v>15</v>
      </c>
    </row>
    <row r="1623" spans="1:13" x14ac:dyDescent="0.35">
      <c r="A1623" t="s">
        <v>1897</v>
      </c>
      <c r="B1623" t="s">
        <v>218</v>
      </c>
      <c r="C1623" t="s">
        <v>607</v>
      </c>
      <c r="D1623" t="s">
        <v>617</v>
      </c>
      <c r="E1623" s="1">
        <v>45499</v>
      </c>
      <c r="F1623" s="1">
        <v>45500</v>
      </c>
      <c r="G1623" s="1">
        <v>45528</v>
      </c>
      <c r="H1623" s="4">
        <f>IF(Claims_Cleaned[[#This Row],[processed_date]]="","",Claims_Cleaned[[#This Row],[processed_date]]-Claims_Cleaned[[#This Row],[submission_date]])</f>
        <v>28</v>
      </c>
      <c r="I1623" s="4" t="str">
        <f>TEXT(Claims_Cleaned[[#This Row],[claim_date]],"mmm-yyyy")</f>
        <v>Jul-2024</v>
      </c>
      <c r="J1623" t="s">
        <v>11</v>
      </c>
      <c r="K1623">
        <v>188.18</v>
      </c>
      <c r="L1623" t="s">
        <v>683</v>
      </c>
      <c r="M1623">
        <v>28</v>
      </c>
    </row>
    <row r="1624" spans="1:13" x14ac:dyDescent="0.35">
      <c r="A1624" t="s">
        <v>1654</v>
      </c>
      <c r="B1624" t="s">
        <v>200</v>
      </c>
      <c r="C1624" t="s">
        <v>521</v>
      </c>
      <c r="D1624" t="s">
        <v>638</v>
      </c>
      <c r="E1624" s="1">
        <v>45557</v>
      </c>
      <c r="F1624" s="1">
        <v>45562</v>
      </c>
      <c r="G1624" s="1">
        <v>45577</v>
      </c>
      <c r="H1624" s="4">
        <f>IF(Claims_Cleaned[[#This Row],[processed_date]]="","",Claims_Cleaned[[#This Row],[processed_date]]-Claims_Cleaned[[#This Row],[submission_date]])</f>
        <v>15</v>
      </c>
      <c r="I1624" s="4" t="str">
        <f>TEXT(Claims_Cleaned[[#This Row],[claim_date]],"mmm-yyyy")</f>
        <v>Sep-2024</v>
      </c>
      <c r="J1624" t="s">
        <v>20</v>
      </c>
      <c r="K1624">
        <v>187.28</v>
      </c>
      <c r="L1624" t="s">
        <v>683</v>
      </c>
      <c r="M1624">
        <v>15</v>
      </c>
    </row>
    <row r="1625" spans="1:13" x14ac:dyDescent="0.35">
      <c r="A1625" t="s">
        <v>1360</v>
      </c>
      <c r="B1625" t="s">
        <v>165</v>
      </c>
      <c r="C1625" t="s">
        <v>583</v>
      </c>
      <c r="D1625" t="s">
        <v>635</v>
      </c>
      <c r="E1625" s="1">
        <v>45594</v>
      </c>
      <c r="F1625" s="1">
        <v>45599</v>
      </c>
      <c r="G1625" s="1">
        <v>45607</v>
      </c>
      <c r="H1625" s="4">
        <f>IF(Claims_Cleaned[[#This Row],[processed_date]]="","",Claims_Cleaned[[#This Row],[processed_date]]-Claims_Cleaned[[#This Row],[submission_date]])</f>
        <v>8</v>
      </c>
      <c r="I1625" s="4" t="str">
        <f>TEXT(Claims_Cleaned[[#This Row],[claim_date]],"mmm-yyyy")</f>
        <v>Oct-2024</v>
      </c>
      <c r="J1625" t="s">
        <v>25</v>
      </c>
      <c r="K1625">
        <v>187.21</v>
      </c>
      <c r="L1625" t="s">
        <v>683</v>
      </c>
      <c r="M1625">
        <v>8</v>
      </c>
    </row>
    <row r="1626" spans="1:13" x14ac:dyDescent="0.35">
      <c r="A1626" t="s">
        <v>1526</v>
      </c>
      <c r="B1626" t="s">
        <v>16</v>
      </c>
      <c r="C1626" t="s">
        <v>573</v>
      </c>
      <c r="D1626" t="s">
        <v>635</v>
      </c>
      <c r="E1626" s="1">
        <v>45040</v>
      </c>
      <c r="F1626" s="1">
        <v>45041</v>
      </c>
      <c r="G1626" s="1">
        <v>45049</v>
      </c>
      <c r="H1626" s="4">
        <f>IF(Claims_Cleaned[[#This Row],[processed_date]]="","",Claims_Cleaned[[#This Row],[processed_date]]-Claims_Cleaned[[#This Row],[submission_date]])</f>
        <v>8</v>
      </c>
      <c r="I1626" s="4" t="str">
        <f>TEXT(Claims_Cleaned[[#This Row],[claim_date]],"mmm-yyyy")</f>
        <v>Apr-2023</v>
      </c>
      <c r="J1626" t="s">
        <v>8</v>
      </c>
      <c r="K1626">
        <v>187.05</v>
      </c>
      <c r="L1626" t="s">
        <v>683</v>
      </c>
      <c r="M1626">
        <v>8</v>
      </c>
    </row>
    <row r="1627" spans="1:13" x14ac:dyDescent="0.35">
      <c r="A1627" t="s">
        <v>1572</v>
      </c>
      <c r="B1627" t="s">
        <v>266</v>
      </c>
      <c r="C1627" t="s">
        <v>543</v>
      </c>
      <c r="D1627" t="s">
        <v>638</v>
      </c>
      <c r="E1627" s="1">
        <v>45030</v>
      </c>
      <c r="F1627" s="1">
        <v>45033</v>
      </c>
      <c r="G1627" s="1">
        <v>45053</v>
      </c>
      <c r="H1627" s="4">
        <f>IF(Claims_Cleaned[[#This Row],[processed_date]]="","",Claims_Cleaned[[#This Row],[processed_date]]-Claims_Cleaned[[#This Row],[submission_date]])</f>
        <v>20</v>
      </c>
      <c r="I1627" s="4" t="str">
        <f>TEXT(Claims_Cleaned[[#This Row],[claim_date]],"mmm-yyyy")</f>
        <v>Apr-2023</v>
      </c>
      <c r="J1627" t="s">
        <v>20</v>
      </c>
      <c r="K1627">
        <v>186.88</v>
      </c>
      <c r="L1627" t="s">
        <v>683</v>
      </c>
      <c r="M1627">
        <v>20</v>
      </c>
    </row>
    <row r="1628" spans="1:13" x14ac:dyDescent="0.35">
      <c r="A1628" t="s">
        <v>1898</v>
      </c>
      <c r="B1628" t="s">
        <v>99</v>
      </c>
      <c r="C1628" t="s">
        <v>581</v>
      </c>
      <c r="D1628" t="s">
        <v>638</v>
      </c>
      <c r="E1628" s="1">
        <v>45048</v>
      </c>
      <c r="F1628" s="1">
        <v>45050</v>
      </c>
      <c r="G1628" s="1">
        <v>45073</v>
      </c>
      <c r="H1628" s="4">
        <f>IF(Claims_Cleaned[[#This Row],[processed_date]]="","",Claims_Cleaned[[#This Row],[processed_date]]-Claims_Cleaned[[#This Row],[submission_date]])</f>
        <v>23</v>
      </c>
      <c r="I1628" s="4" t="str">
        <f>TEXT(Claims_Cleaned[[#This Row],[claim_date]],"mmm-yyyy")</f>
        <v>May-2023</v>
      </c>
      <c r="J1628" t="s">
        <v>25</v>
      </c>
      <c r="K1628">
        <v>186.76</v>
      </c>
      <c r="L1628" t="s">
        <v>687</v>
      </c>
      <c r="M1628">
        <v>23</v>
      </c>
    </row>
    <row r="1629" spans="1:13" x14ac:dyDescent="0.35">
      <c r="A1629" t="s">
        <v>1650</v>
      </c>
      <c r="B1629" t="s">
        <v>119</v>
      </c>
      <c r="C1629" t="s">
        <v>591</v>
      </c>
      <c r="D1629" t="s">
        <v>617</v>
      </c>
      <c r="E1629" s="1">
        <v>44985</v>
      </c>
      <c r="F1629" s="1">
        <v>44989</v>
      </c>
      <c r="G1629" s="1">
        <v>44999</v>
      </c>
      <c r="H1629" s="4">
        <f>IF(Claims_Cleaned[[#This Row],[processed_date]]="","",Claims_Cleaned[[#This Row],[processed_date]]-Claims_Cleaned[[#This Row],[submission_date]])</f>
        <v>10</v>
      </c>
      <c r="I1629" s="4" t="str">
        <f>TEXT(Claims_Cleaned[[#This Row],[claim_date]],"mmm-yyyy")</f>
        <v>Feb-2023</v>
      </c>
      <c r="J1629" t="s">
        <v>20</v>
      </c>
      <c r="K1629">
        <v>186.63</v>
      </c>
      <c r="L1629" t="s">
        <v>683</v>
      </c>
      <c r="M1629">
        <v>10</v>
      </c>
    </row>
    <row r="1630" spans="1:13" x14ac:dyDescent="0.35">
      <c r="A1630" t="s">
        <v>2205</v>
      </c>
      <c r="B1630" t="s">
        <v>258</v>
      </c>
      <c r="C1630" t="s">
        <v>561</v>
      </c>
      <c r="D1630" t="s">
        <v>635</v>
      </c>
      <c r="E1630" s="1">
        <v>45627</v>
      </c>
      <c r="F1630" s="1">
        <v>45629</v>
      </c>
      <c r="G1630" s="1">
        <v>45633</v>
      </c>
      <c r="H1630" s="4">
        <f>IF(Claims_Cleaned[[#This Row],[processed_date]]="","",Claims_Cleaned[[#This Row],[processed_date]]-Claims_Cleaned[[#This Row],[submission_date]])</f>
        <v>4</v>
      </c>
      <c r="I1630" s="4" t="str">
        <f>TEXT(Claims_Cleaned[[#This Row],[claim_date]],"mmm-yyyy")</f>
        <v>Dec-2024</v>
      </c>
      <c r="J1630" t="s">
        <v>8</v>
      </c>
      <c r="K1630">
        <v>186.31</v>
      </c>
      <c r="L1630" t="s">
        <v>683</v>
      </c>
      <c r="M1630">
        <v>4</v>
      </c>
    </row>
    <row r="1631" spans="1:13" x14ac:dyDescent="0.35">
      <c r="A1631" t="s">
        <v>2545</v>
      </c>
      <c r="B1631" t="s">
        <v>451</v>
      </c>
      <c r="C1631" t="s">
        <v>527</v>
      </c>
      <c r="D1631" t="s">
        <v>635</v>
      </c>
      <c r="E1631" s="1">
        <v>45550</v>
      </c>
      <c r="F1631" s="1">
        <v>45555</v>
      </c>
      <c r="G1631" s="1">
        <v>45575</v>
      </c>
      <c r="H1631" s="4">
        <f>IF(Claims_Cleaned[[#This Row],[processed_date]]="","",Claims_Cleaned[[#This Row],[processed_date]]-Claims_Cleaned[[#This Row],[submission_date]])</f>
        <v>20</v>
      </c>
      <c r="I1631" s="4" t="str">
        <f>TEXT(Claims_Cleaned[[#This Row],[claim_date]],"mmm-yyyy")</f>
        <v>Sep-2024</v>
      </c>
      <c r="J1631" t="s">
        <v>11</v>
      </c>
      <c r="K1631">
        <v>185.31</v>
      </c>
      <c r="L1631" t="s">
        <v>683</v>
      </c>
      <c r="M1631">
        <v>20</v>
      </c>
    </row>
    <row r="1632" spans="1:13" x14ac:dyDescent="0.35">
      <c r="A1632" t="s">
        <v>2294</v>
      </c>
      <c r="B1632" t="s">
        <v>247</v>
      </c>
      <c r="C1632" t="s">
        <v>589</v>
      </c>
      <c r="D1632" t="s">
        <v>617</v>
      </c>
      <c r="E1632" s="1">
        <v>45444</v>
      </c>
      <c r="F1632" s="1">
        <v>45448</v>
      </c>
      <c r="G1632" s="1">
        <v>45459</v>
      </c>
      <c r="H1632" s="4">
        <f>IF(Claims_Cleaned[[#This Row],[processed_date]]="","",Claims_Cleaned[[#This Row],[processed_date]]-Claims_Cleaned[[#This Row],[submission_date]])</f>
        <v>11</v>
      </c>
      <c r="I1632" s="4" t="str">
        <f>TEXT(Claims_Cleaned[[#This Row],[claim_date]],"mmm-yyyy")</f>
        <v>Jun-2024</v>
      </c>
      <c r="J1632" t="s">
        <v>8</v>
      </c>
      <c r="K1632">
        <v>185.06</v>
      </c>
      <c r="L1632" t="s">
        <v>683</v>
      </c>
      <c r="M1632">
        <v>11</v>
      </c>
    </row>
    <row r="1633" spans="1:13" x14ac:dyDescent="0.35">
      <c r="A1633" t="s">
        <v>875</v>
      </c>
      <c r="B1633" t="s">
        <v>381</v>
      </c>
      <c r="C1633" t="s">
        <v>583</v>
      </c>
      <c r="D1633" t="s">
        <v>635</v>
      </c>
      <c r="E1633" s="1">
        <v>44969</v>
      </c>
      <c r="F1633" s="1">
        <v>44973</v>
      </c>
      <c r="G1633" s="1">
        <v>44989</v>
      </c>
      <c r="H1633" s="4">
        <f>IF(Claims_Cleaned[[#This Row],[processed_date]]="","",Claims_Cleaned[[#This Row],[processed_date]]-Claims_Cleaned[[#This Row],[submission_date]])</f>
        <v>16</v>
      </c>
      <c r="I1633" s="4" t="str">
        <f>TEXT(Claims_Cleaned[[#This Row],[claim_date]],"mmm-yyyy")</f>
        <v>Feb-2023</v>
      </c>
      <c r="J1633" t="s">
        <v>11</v>
      </c>
      <c r="K1633">
        <v>184.91</v>
      </c>
      <c r="L1633" t="s">
        <v>683</v>
      </c>
      <c r="M1633">
        <v>16</v>
      </c>
    </row>
    <row r="1634" spans="1:13" x14ac:dyDescent="0.35">
      <c r="A1634" t="s">
        <v>2600</v>
      </c>
      <c r="B1634" t="s">
        <v>139</v>
      </c>
      <c r="C1634" t="s">
        <v>534</v>
      </c>
      <c r="D1634" t="s">
        <v>638</v>
      </c>
      <c r="E1634" s="1">
        <v>45131</v>
      </c>
      <c r="F1634" s="1">
        <v>45136</v>
      </c>
      <c r="G1634" s="1">
        <v>45154</v>
      </c>
      <c r="H1634" s="4">
        <f>IF(Claims_Cleaned[[#This Row],[processed_date]]="","",Claims_Cleaned[[#This Row],[processed_date]]-Claims_Cleaned[[#This Row],[submission_date]])</f>
        <v>18</v>
      </c>
      <c r="I1634" s="4" t="str">
        <f>TEXT(Claims_Cleaned[[#This Row],[claim_date]],"mmm-yyyy")</f>
        <v>Jul-2023</v>
      </c>
      <c r="J1634" t="s">
        <v>20</v>
      </c>
      <c r="K1634">
        <v>184.91</v>
      </c>
      <c r="L1634" t="s">
        <v>687</v>
      </c>
      <c r="M1634">
        <v>18</v>
      </c>
    </row>
    <row r="1635" spans="1:13" x14ac:dyDescent="0.35">
      <c r="A1635" t="s">
        <v>2027</v>
      </c>
      <c r="B1635" t="s">
        <v>291</v>
      </c>
      <c r="C1635" t="s">
        <v>561</v>
      </c>
      <c r="D1635" t="s">
        <v>617</v>
      </c>
      <c r="E1635" s="1">
        <v>45330</v>
      </c>
      <c r="F1635" s="1">
        <v>45333</v>
      </c>
      <c r="G1635" s="1">
        <v>45344</v>
      </c>
      <c r="H1635" s="4">
        <f>IF(Claims_Cleaned[[#This Row],[processed_date]]="","",Claims_Cleaned[[#This Row],[processed_date]]-Claims_Cleaned[[#This Row],[submission_date]])</f>
        <v>11</v>
      </c>
      <c r="I1635" s="4" t="str">
        <f>TEXT(Claims_Cleaned[[#This Row],[claim_date]],"mmm-yyyy")</f>
        <v>Feb-2024</v>
      </c>
      <c r="J1635" t="s">
        <v>13</v>
      </c>
      <c r="K1635">
        <v>184.7</v>
      </c>
      <c r="L1635" t="s">
        <v>683</v>
      </c>
      <c r="M1635">
        <v>11</v>
      </c>
    </row>
    <row r="1636" spans="1:13" x14ac:dyDescent="0.35">
      <c r="A1636" t="s">
        <v>1409</v>
      </c>
      <c r="B1636" t="s">
        <v>155</v>
      </c>
      <c r="C1636" t="s">
        <v>569</v>
      </c>
      <c r="D1636" t="s">
        <v>635</v>
      </c>
      <c r="E1636" s="1">
        <v>45475</v>
      </c>
      <c r="F1636" s="1">
        <v>45480</v>
      </c>
      <c r="G1636" s="1">
        <v>45493</v>
      </c>
      <c r="H1636" s="4">
        <f>IF(Claims_Cleaned[[#This Row],[processed_date]]="","",Claims_Cleaned[[#This Row],[processed_date]]-Claims_Cleaned[[#This Row],[submission_date]])</f>
        <v>13</v>
      </c>
      <c r="I1636" s="4" t="str">
        <f>TEXT(Claims_Cleaned[[#This Row],[claim_date]],"mmm-yyyy")</f>
        <v>Jul-2024</v>
      </c>
      <c r="J1636" t="s">
        <v>20</v>
      </c>
      <c r="K1636">
        <v>184.64</v>
      </c>
      <c r="L1636" t="s">
        <v>687</v>
      </c>
      <c r="M1636">
        <v>13</v>
      </c>
    </row>
    <row r="1637" spans="1:13" x14ac:dyDescent="0.35">
      <c r="A1637" t="s">
        <v>2569</v>
      </c>
      <c r="B1637" t="s">
        <v>397</v>
      </c>
      <c r="C1637" t="s">
        <v>569</v>
      </c>
      <c r="D1637" t="s">
        <v>638</v>
      </c>
      <c r="E1637" s="1">
        <v>45639</v>
      </c>
      <c r="F1637" s="1">
        <v>45641</v>
      </c>
      <c r="G1637" s="1">
        <v>45659</v>
      </c>
      <c r="H1637" s="4">
        <f>IF(Claims_Cleaned[[#This Row],[processed_date]]="","",Claims_Cleaned[[#This Row],[processed_date]]-Claims_Cleaned[[#This Row],[submission_date]])</f>
        <v>18</v>
      </c>
      <c r="I1637" s="4" t="str">
        <f>TEXT(Claims_Cleaned[[#This Row],[claim_date]],"mmm-yyyy")</f>
        <v>Dec-2024</v>
      </c>
      <c r="J1637" t="s">
        <v>11</v>
      </c>
      <c r="K1637">
        <v>184.17</v>
      </c>
      <c r="L1637" t="s">
        <v>683</v>
      </c>
      <c r="M1637">
        <v>18</v>
      </c>
    </row>
    <row r="1638" spans="1:13" x14ac:dyDescent="0.35">
      <c r="A1638" t="s">
        <v>1829</v>
      </c>
      <c r="B1638" t="s">
        <v>167</v>
      </c>
      <c r="C1638" t="s">
        <v>577</v>
      </c>
      <c r="D1638" t="s">
        <v>617</v>
      </c>
      <c r="E1638" s="1">
        <v>45542</v>
      </c>
      <c r="F1638" s="1">
        <v>45545</v>
      </c>
      <c r="G1638" s="1">
        <v>45552</v>
      </c>
      <c r="H1638" s="4">
        <f>IF(Claims_Cleaned[[#This Row],[processed_date]]="","",Claims_Cleaned[[#This Row],[processed_date]]-Claims_Cleaned[[#This Row],[submission_date]])</f>
        <v>7</v>
      </c>
      <c r="I1638" s="4" t="str">
        <f>TEXT(Claims_Cleaned[[#This Row],[claim_date]],"mmm-yyyy")</f>
        <v>Sep-2024</v>
      </c>
      <c r="J1638" t="s">
        <v>11</v>
      </c>
      <c r="K1638">
        <v>183.62</v>
      </c>
      <c r="L1638" t="s">
        <v>683</v>
      </c>
      <c r="M1638">
        <v>7</v>
      </c>
    </row>
    <row r="1639" spans="1:13" x14ac:dyDescent="0.35">
      <c r="A1639" t="s">
        <v>1079</v>
      </c>
      <c r="B1639" t="s">
        <v>325</v>
      </c>
      <c r="C1639" t="s">
        <v>605</v>
      </c>
      <c r="D1639" t="s">
        <v>635</v>
      </c>
      <c r="E1639" s="1">
        <v>45369</v>
      </c>
      <c r="F1639" s="1">
        <v>45374</v>
      </c>
      <c r="G1639" s="1">
        <v>45393</v>
      </c>
      <c r="H1639" s="4">
        <f>IF(Claims_Cleaned[[#This Row],[processed_date]]="","",Claims_Cleaned[[#This Row],[processed_date]]-Claims_Cleaned[[#This Row],[submission_date]])</f>
        <v>19</v>
      </c>
      <c r="I1639" s="4" t="str">
        <f>TEXT(Claims_Cleaned[[#This Row],[claim_date]],"mmm-yyyy")</f>
        <v>Mar-2024</v>
      </c>
      <c r="J1639" t="s">
        <v>25</v>
      </c>
      <c r="K1639">
        <v>183.2</v>
      </c>
      <c r="L1639" t="s">
        <v>683</v>
      </c>
      <c r="M1639">
        <v>19</v>
      </c>
    </row>
    <row r="1640" spans="1:13" x14ac:dyDescent="0.35">
      <c r="A1640" t="s">
        <v>1112</v>
      </c>
      <c r="B1640" t="s">
        <v>88</v>
      </c>
      <c r="C1640" t="s">
        <v>599</v>
      </c>
      <c r="D1640" t="s">
        <v>635</v>
      </c>
      <c r="E1640" s="1">
        <v>45301</v>
      </c>
      <c r="F1640" s="1">
        <v>45302</v>
      </c>
      <c r="G1640" s="1">
        <v>45307</v>
      </c>
      <c r="H1640" s="4">
        <f>IF(Claims_Cleaned[[#This Row],[processed_date]]="","",Claims_Cleaned[[#This Row],[processed_date]]-Claims_Cleaned[[#This Row],[submission_date]])</f>
        <v>5</v>
      </c>
      <c r="I1640" s="4" t="str">
        <f>TEXT(Claims_Cleaned[[#This Row],[claim_date]],"mmm-yyyy")</f>
        <v>Jan-2024</v>
      </c>
      <c r="J1640" t="s">
        <v>13</v>
      </c>
      <c r="K1640">
        <v>182.96</v>
      </c>
      <c r="L1640" t="s">
        <v>683</v>
      </c>
      <c r="M1640">
        <v>5</v>
      </c>
    </row>
    <row r="1641" spans="1:13" x14ac:dyDescent="0.35">
      <c r="A1641" t="s">
        <v>690</v>
      </c>
      <c r="B1641" t="s">
        <v>112</v>
      </c>
      <c r="C1641" t="s">
        <v>605</v>
      </c>
      <c r="D1641" t="s">
        <v>638</v>
      </c>
      <c r="E1641" s="1">
        <v>44946</v>
      </c>
      <c r="F1641" s="1">
        <v>44948</v>
      </c>
      <c r="G1641" s="1">
        <v>44969</v>
      </c>
      <c r="H1641" s="4">
        <f>IF(Claims_Cleaned[[#This Row],[processed_date]]="","",Claims_Cleaned[[#This Row],[processed_date]]-Claims_Cleaned[[#This Row],[submission_date]])</f>
        <v>21</v>
      </c>
      <c r="I1641" s="4" t="str">
        <f>TEXT(Claims_Cleaned[[#This Row],[claim_date]],"mmm-yyyy")</f>
        <v>Jan-2023</v>
      </c>
      <c r="J1641" t="s">
        <v>13</v>
      </c>
      <c r="K1641">
        <v>182.89</v>
      </c>
      <c r="L1641" t="s">
        <v>683</v>
      </c>
      <c r="M1641">
        <v>21</v>
      </c>
    </row>
    <row r="1642" spans="1:13" x14ac:dyDescent="0.35">
      <c r="A1642" t="s">
        <v>2228</v>
      </c>
      <c r="B1642" t="s">
        <v>82</v>
      </c>
      <c r="C1642" t="s">
        <v>603</v>
      </c>
      <c r="D1642" t="s">
        <v>635</v>
      </c>
      <c r="E1642" s="1">
        <v>45077</v>
      </c>
      <c r="F1642" s="1">
        <v>45082</v>
      </c>
      <c r="G1642" s="1">
        <v>45091</v>
      </c>
      <c r="H1642" s="4">
        <f>IF(Claims_Cleaned[[#This Row],[processed_date]]="","",Claims_Cleaned[[#This Row],[processed_date]]-Claims_Cleaned[[#This Row],[submission_date]])</f>
        <v>9</v>
      </c>
      <c r="I1642" s="4" t="str">
        <f>TEXT(Claims_Cleaned[[#This Row],[claim_date]],"mmm-yyyy")</f>
        <v>May-2023</v>
      </c>
      <c r="J1642" t="s">
        <v>11</v>
      </c>
      <c r="K1642">
        <v>182.64</v>
      </c>
      <c r="L1642" t="s">
        <v>683</v>
      </c>
      <c r="M1642">
        <v>9</v>
      </c>
    </row>
    <row r="1643" spans="1:13" x14ac:dyDescent="0.35">
      <c r="A1643" t="s">
        <v>1107</v>
      </c>
      <c r="B1643" t="s">
        <v>100</v>
      </c>
      <c r="C1643" t="s">
        <v>595</v>
      </c>
      <c r="D1643" t="s">
        <v>635</v>
      </c>
      <c r="E1643" s="1">
        <v>45253</v>
      </c>
      <c r="F1643" s="1">
        <v>45258</v>
      </c>
      <c r="G1643" s="1">
        <v>45274</v>
      </c>
      <c r="H1643" s="4">
        <f>IF(Claims_Cleaned[[#This Row],[processed_date]]="","",Claims_Cleaned[[#This Row],[processed_date]]-Claims_Cleaned[[#This Row],[submission_date]])</f>
        <v>16</v>
      </c>
      <c r="I1643" s="4" t="str">
        <f>TEXT(Claims_Cleaned[[#This Row],[claim_date]],"mmm-yyyy")</f>
        <v>Nov-2023</v>
      </c>
      <c r="J1643" t="s">
        <v>20</v>
      </c>
      <c r="K1643">
        <v>182.58</v>
      </c>
      <c r="L1643" t="s">
        <v>687</v>
      </c>
      <c r="M1643">
        <v>16</v>
      </c>
    </row>
    <row r="1644" spans="1:13" x14ac:dyDescent="0.35">
      <c r="A1644" t="s">
        <v>712</v>
      </c>
      <c r="B1644" t="s">
        <v>373</v>
      </c>
      <c r="C1644" t="s">
        <v>546</v>
      </c>
      <c r="D1644" t="s">
        <v>638</v>
      </c>
      <c r="E1644" s="1">
        <v>45045</v>
      </c>
      <c r="F1644" s="1">
        <v>45048</v>
      </c>
      <c r="G1644" s="1">
        <v>45066</v>
      </c>
      <c r="H1644" s="4">
        <f>IF(Claims_Cleaned[[#This Row],[processed_date]]="","",Claims_Cleaned[[#This Row],[processed_date]]-Claims_Cleaned[[#This Row],[submission_date]])</f>
        <v>18</v>
      </c>
      <c r="I1644" s="4" t="str">
        <f>TEXT(Claims_Cleaned[[#This Row],[claim_date]],"mmm-yyyy")</f>
        <v>Apr-2023</v>
      </c>
      <c r="J1644" t="s">
        <v>20</v>
      </c>
      <c r="K1644">
        <v>182.54</v>
      </c>
      <c r="L1644" t="s">
        <v>683</v>
      </c>
      <c r="M1644">
        <v>18</v>
      </c>
    </row>
    <row r="1645" spans="1:13" x14ac:dyDescent="0.35">
      <c r="A1645" t="s">
        <v>1119</v>
      </c>
      <c r="B1645" t="s">
        <v>126</v>
      </c>
      <c r="C1645" t="s">
        <v>589</v>
      </c>
      <c r="D1645" t="s">
        <v>635</v>
      </c>
      <c r="E1645" s="1">
        <v>45391</v>
      </c>
      <c r="F1645" s="1">
        <v>45396</v>
      </c>
      <c r="G1645" s="1">
        <v>45410</v>
      </c>
      <c r="H1645" s="4">
        <f>IF(Claims_Cleaned[[#This Row],[processed_date]]="","",Claims_Cleaned[[#This Row],[processed_date]]-Claims_Cleaned[[#This Row],[submission_date]])</f>
        <v>14</v>
      </c>
      <c r="I1645" s="4" t="str">
        <f>TEXT(Claims_Cleaned[[#This Row],[claim_date]],"mmm-yyyy")</f>
        <v>Apr-2024</v>
      </c>
      <c r="J1645" t="s">
        <v>8</v>
      </c>
      <c r="K1645">
        <v>182.13</v>
      </c>
      <c r="L1645" t="s">
        <v>683</v>
      </c>
      <c r="M1645">
        <v>14</v>
      </c>
    </row>
    <row r="1646" spans="1:13" x14ac:dyDescent="0.35">
      <c r="A1646" t="s">
        <v>1036</v>
      </c>
      <c r="B1646" t="s">
        <v>490</v>
      </c>
      <c r="C1646" t="s">
        <v>567</v>
      </c>
      <c r="D1646" t="s">
        <v>638</v>
      </c>
      <c r="E1646" s="1">
        <v>45205</v>
      </c>
      <c r="F1646" s="1">
        <v>45209</v>
      </c>
      <c r="G1646" s="1">
        <v>45220</v>
      </c>
      <c r="H1646" s="4">
        <f>IF(Claims_Cleaned[[#This Row],[processed_date]]="","",Claims_Cleaned[[#This Row],[processed_date]]-Claims_Cleaned[[#This Row],[submission_date]])</f>
        <v>11</v>
      </c>
      <c r="I1646" s="4" t="str">
        <f>TEXT(Claims_Cleaned[[#This Row],[claim_date]],"mmm-yyyy")</f>
        <v>Oct-2023</v>
      </c>
      <c r="J1646" t="s">
        <v>11</v>
      </c>
      <c r="K1646">
        <v>181.94</v>
      </c>
      <c r="L1646" t="s">
        <v>683</v>
      </c>
      <c r="M1646">
        <v>11</v>
      </c>
    </row>
    <row r="1647" spans="1:13" x14ac:dyDescent="0.35">
      <c r="A1647" t="s">
        <v>1425</v>
      </c>
      <c r="B1647" t="s">
        <v>118</v>
      </c>
      <c r="C1647" t="s">
        <v>527</v>
      </c>
      <c r="D1647" t="s">
        <v>638</v>
      </c>
      <c r="E1647" s="1">
        <v>44994</v>
      </c>
      <c r="F1647" s="1">
        <v>44995</v>
      </c>
      <c r="G1647" s="1">
        <v>44999</v>
      </c>
      <c r="H1647" s="4">
        <f>IF(Claims_Cleaned[[#This Row],[processed_date]]="","",Claims_Cleaned[[#This Row],[processed_date]]-Claims_Cleaned[[#This Row],[submission_date]])</f>
        <v>4</v>
      </c>
      <c r="I1647" s="4" t="str">
        <f>TEXT(Claims_Cleaned[[#This Row],[claim_date]],"mmm-yyyy")</f>
        <v>Mar-2023</v>
      </c>
      <c r="J1647" t="s">
        <v>8</v>
      </c>
      <c r="K1647">
        <v>181.92</v>
      </c>
      <c r="L1647" t="s">
        <v>683</v>
      </c>
      <c r="M1647">
        <v>4</v>
      </c>
    </row>
    <row r="1648" spans="1:13" x14ac:dyDescent="0.35">
      <c r="A1648" t="s">
        <v>2408</v>
      </c>
      <c r="B1648" t="s">
        <v>118</v>
      </c>
      <c r="C1648" t="s">
        <v>603</v>
      </c>
      <c r="D1648" t="s">
        <v>638</v>
      </c>
      <c r="E1648" s="1">
        <v>45501</v>
      </c>
      <c r="F1648" s="1">
        <v>45504</v>
      </c>
      <c r="G1648" s="1">
        <v>45533</v>
      </c>
      <c r="H1648" s="4">
        <f>IF(Claims_Cleaned[[#This Row],[processed_date]]="","",Claims_Cleaned[[#This Row],[processed_date]]-Claims_Cleaned[[#This Row],[submission_date]])</f>
        <v>29</v>
      </c>
      <c r="I1648" s="4" t="str">
        <f>TEXT(Claims_Cleaned[[#This Row],[claim_date]],"mmm-yyyy")</f>
        <v>Jul-2024</v>
      </c>
      <c r="J1648" t="s">
        <v>8</v>
      </c>
      <c r="K1648">
        <v>181.91</v>
      </c>
      <c r="L1648" t="s">
        <v>683</v>
      </c>
      <c r="M1648">
        <v>29</v>
      </c>
    </row>
    <row r="1649" spans="1:13" x14ac:dyDescent="0.35">
      <c r="A1649" t="s">
        <v>1750</v>
      </c>
      <c r="B1649" t="s">
        <v>419</v>
      </c>
      <c r="C1649" t="s">
        <v>549</v>
      </c>
      <c r="D1649" t="s">
        <v>617</v>
      </c>
      <c r="E1649" s="1">
        <v>45364</v>
      </c>
      <c r="F1649" s="1">
        <v>45367</v>
      </c>
      <c r="G1649" s="1">
        <v>45386</v>
      </c>
      <c r="H1649" s="4">
        <f>IF(Claims_Cleaned[[#This Row],[processed_date]]="","",Claims_Cleaned[[#This Row],[processed_date]]-Claims_Cleaned[[#This Row],[submission_date]])</f>
        <v>19</v>
      </c>
      <c r="I1649" s="4" t="str">
        <f>TEXT(Claims_Cleaned[[#This Row],[claim_date]],"mmm-yyyy")</f>
        <v>Mar-2024</v>
      </c>
      <c r="J1649" t="s">
        <v>8</v>
      </c>
      <c r="K1649">
        <v>181.85</v>
      </c>
      <c r="L1649" t="s">
        <v>683</v>
      </c>
      <c r="M1649">
        <v>19</v>
      </c>
    </row>
    <row r="1650" spans="1:13" x14ac:dyDescent="0.35">
      <c r="A1650" t="s">
        <v>1344</v>
      </c>
      <c r="B1650" t="s">
        <v>262</v>
      </c>
      <c r="C1650" t="s">
        <v>549</v>
      </c>
      <c r="D1650" t="s">
        <v>638</v>
      </c>
      <c r="E1650" s="1">
        <v>45121</v>
      </c>
      <c r="F1650" s="1">
        <v>45122</v>
      </c>
      <c r="G1650" s="1">
        <v>45143</v>
      </c>
      <c r="H1650" s="4">
        <f>IF(Claims_Cleaned[[#This Row],[processed_date]]="","",Claims_Cleaned[[#This Row],[processed_date]]-Claims_Cleaned[[#This Row],[submission_date]])</f>
        <v>21</v>
      </c>
      <c r="I1650" s="4" t="str">
        <f>TEXT(Claims_Cleaned[[#This Row],[claim_date]],"mmm-yyyy")</f>
        <v>Jul-2023</v>
      </c>
      <c r="J1650" t="s">
        <v>20</v>
      </c>
      <c r="K1650">
        <v>181.83</v>
      </c>
      <c r="L1650" t="s">
        <v>683</v>
      </c>
      <c r="M1650">
        <v>21</v>
      </c>
    </row>
    <row r="1651" spans="1:13" x14ac:dyDescent="0.35">
      <c r="A1651" t="s">
        <v>774</v>
      </c>
      <c r="B1651" t="s">
        <v>97</v>
      </c>
      <c r="C1651" t="s">
        <v>581</v>
      </c>
      <c r="D1651" t="s">
        <v>638</v>
      </c>
      <c r="E1651" s="1">
        <v>45545</v>
      </c>
      <c r="F1651" s="1">
        <v>45548</v>
      </c>
      <c r="G1651" s="1">
        <v>45562</v>
      </c>
      <c r="H1651" s="4">
        <f>IF(Claims_Cleaned[[#This Row],[processed_date]]="","",Claims_Cleaned[[#This Row],[processed_date]]-Claims_Cleaned[[#This Row],[submission_date]])</f>
        <v>14</v>
      </c>
      <c r="I1651" s="4" t="str">
        <f>TEXT(Claims_Cleaned[[#This Row],[claim_date]],"mmm-yyyy")</f>
        <v>Sep-2024</v>
      </c>
      <c r="J1651" t="s">
        <v>20</v>
      </c>
      <c r="K1651">
        <v>181.61</v>
      </c>
      <c r="L1651" t="s">
        <v>683</v>
      </c>
      <c r="M1651">
        <v>14</v>
      </c>
    </row>
    <row r="1652" spans="1:13" x14ac:dyDescent="0.35">
      <c r="A1652" t="s">
        <v>2434</v>
      </c>
      <c r="B1652" t="s">
        <v>315</v>
      </c>
      <c r="C1652" t="s">
        <v>603</v>
      </c>
      <c r="D1652" t="s">
        <v>617</v>
      </c>
      <c r="E1652" s="1">
        <v>45313</v>
      </c>
      <c r="F1652" s="1">
        <v>45316</v>
      </c>
      <c r="G1652" s="1">
        <v>45339</v>
      </c>
      <c r="H1652" s="4">
        <f>IF(Claims_Cleaned[[#This Row],[processed_date]]="","",Claims_Cleaned[[#This Row],[processed_date]]-Claims_Cleaned[[#This Row],[submission_date]])</f>
        <v>23</v>
      </c>
      <c r="I1652" s="4" t="str">
        <f>TEXT(Claims_Cleaned[[#This Row],[claim_date]],"mmm-yyyy")</f>
        <v>Jan-2024</v>
      </c>
      <c r="J1652" t="s">
        <v>13</v>
      </c>
      <c r="K1652">
        <v>180.82</v>
      </c>
      <c r="L1652" t="s">
        <v>683</v>
      </c>
      <c r="M1652">
        <v>23</v>
      </c>
    </row>
    <row r="1653" spans="1:13" x14ac:dyDescent="0.35">
      <c r="A1653" t="s">
        <v>1519</v>
      </c>
      <c r="B1653" t="s">
        <v>420</v>
      </c>
      <c r="C1653" t="s">
        <v>527</v>
      </c>
      <c r="D1653" t="s">
        <v>638</v>
      </c>
      <c r="E1653" s="1">
        <v>45249</v>
      </c>
      <c r="F1653" s="1">
        <v>45251</v>
      </c>
      <c r="G1653" s="1"/>
      <c r="H1653" s="4" t="str">
        <f>IF(Claims_Cleaned[[#This Row],[processed_date]]="","",Claims_Cleaned[[#This Row],[processed_date]]-Claims_Cleaned[[#This Row],[submission_date]])</f>
        <v/>
      </c>
      <c r="I1653" s="4" t="str">
        <f>TEXT(Claims_Cleaned[[#This Row],[claim_date]],"mmm-yyyy")</f>
        <v>Nov-2023</v>
      </c>
      <c r="J1653" t="s">
        <v>20</v>
      </c>
      <c r="K1653">
        <v>180.69</v>
      </c>
      <c r="L1653" t="s">
        <v>689</v>
      </c>
    </row>
    <row r="1654" spans="1:13" x14ac:dyDescent="0.35">
      <c r="A1654" t="s">
        <v>2465</v>
      </c>
      <c r="B1654" t="s">
        <v>236</v>
      </c>
      <c r="C1654" t="s">
        <v>534</v>
      </c>
      <c r="D1654" t="s">
        <v>635</v>
      </c>
      <c r="E1654" s="1">
        <v>44989</v>
      </c>
      <c r="F1654" s="1">
        <v>44992</v>
      </c>
      <c r="G1654" s="1"/>
      <c r="H1654" s="4" t="str">
        <f>IF(Claims_Cleaned[[#This Row],[processed_date]]="","",Claims_Cleaned[[#This Row],[processed_date]]-Claims_Cleaned[[#This Row],[submission_date]])</f>
        <v/>
      </c>
      <c r="I1654" s="4" t="str">
        <f>TEXT(Claims_Cleaned[[#This Row],[claim_date]],"mmm-yyyy")</f>
        <v>Mar-2023</v>
      </c>
      <c r="J1654" t="s">
        <v>11</v>
      </c>
      <c r="K1654">
        <v>180.65</v>
      </c>
      <c r="L1654" t="s">
        <v>689</v>
      </c>
    </row>
    <row r="1655" spans="1:13" x14ac:dyDescent="0.35">
      <c r="A1655" t="s">
        <v>1787</v>
      </c>
      <c r="B1655" t="s">
        <v>445</v>
      </c>
      <c r="C1655" t="s">
        <v>595</v>
      </c>
      <c r="D1655" t="s">
        <v>638</v>
      </c>
      <c r="E1655" s="1">
        <v>45082</v>
      </c>
      <c r="F1655" s="1">
        <v>45084</v>
      </c>
      <c r="G1655" s="1">
        <v>45093</v>
      </c>
      <c r="H1655" s="4">
        <f>IF(Claims_Cleaned[[#This Row],[processed_date]]="","",Claims_Cleaned[[#This Row],[processed_date]]-Claims_Cleaned[[#This Row],[submission_date]])</f>
        <v>9</v>
      </c>
      <c r="I1655" s="4" t="str">
        <f>TEXT(Claims_Cleaned[[#This Row],[claim_date]],"mmm-yyyy")</f>
        <v>Jun-2023</v>
      </c>
      <c r="J1655" t="s">
        <v>20</v>
      </c>
      <c r="K1655">
        <v>180.51</v>
      </c>
      <c r="L1655" t="s">
        <v>683</v>
      </c>
      <c r="M1655">
        <v>9</v>
      </c>
    </row>
    <row r="1656" spans="1:13" x14ac:dyDescent="0.35">
      <c r="A1656" t="s">
        <v>1789</v>
      </c>
      <c r="B1656" t="s">
        <v>300</v>
      </c>
      <c r="C1656" t="s">
        <v>565</v>
      </c>
      <c r="D1656" t="s">
        <v>638</v>
      </c>
      <c r="E1656" s="1">
        <v>45391</v>
      </c>
      <c r="F1656" s="1">
        <v>45393</v>
      </c>
      <c r="G1656" s="1">
        <v>45405</v>
      </c>
      <c r="H1656" s="4">
        <f>IF(Claims_Cleaned[[#This Row],[processed_date]]="","",Claims_Cleaned[[#This Row],[processed_date]]-Claims_Cleaned[[#This Row],[submission_date]])</f>
        <v>12</v>
      </c>
      <c r="I1656" s="4" t="str">
        <f>TEXT(Claims_Cleaned[[#This Row],[claim_date]],"mmm-yyyy")</f>
        <v>Apr-2024</v>
      </c>
      <c r="J1656" t="s">
        <v>20</v>
      </c>
      <c r="K1656">
        <v>180.03</v>
      </c>
      <c r="L1656" t="s">
        <v>683</v>
      </c>
      <c r="M1656">
        <v>12</v>
      </c>
    </row>
    <row r="1657" spans="1:13" x14ac:dyDescent="0.35">
      <c r="A1657" t="s">
        <v>1296</v>
      </c>
      <c r="B1657" t="s">
        <v>229</v>
      </c>
      <c r="C1657" t="s">
        <v>583</v>
      </c>
      <c r="D1657" t="s">
        <v>638</v>
      </c>
      <c r="E1657" s="1">
        <v>45192</v>
      </c>
      <c r="F1657" s="1">
        <v>45194</v>
      </c>
      <c r="G1657" s="1">
        <v>45212</v>
      </c>
      <c r="H1657" s="4">
        <f>IF(Claims_Cleaned[[#This Row],[processed_date]]="","",Claims_Cleaned[[#This Row],[processed_date]]-Claims_Cleaned[[#This Row],[submission_date]])</f>
        <v>18</v>
      </c>
      <c r="I1657" s="4" t="str">
        <f>TEXT(Claims_Cleaned[[#This Row],[claim_date]],"mmm-yyyy")</f>
        <v>Sep-2023</v>
      </c>
      <c r="J1657" t="s">
        <v>11</v>
      </c>
      <c r="K1657">
        <v>179.98</v>
      </c>
      <c r="L1657" t="s">
        <v>683</v>
      </c>
      <c r="M1657">
        <v>18</v>
      </c>
    </row>
    <row r="1658" spans="1:13" x14ac:dyDescent="0.35">
      <c r="A1658" t="s">
        <v>2200</v>
      </c>
      <c r="B1658" t="s">
        <v>224</v>
      </c>
      <c r="C1658" t="s">
        <v>607</v>
      </c>
      <c r="D1658" t="s">
        <v>635</v>
      </c>
      <c r="E1658" s="1">
        <v>45345</v>
      </c>
      <c r="F1658" s="1">
        <v>45349</v>
      </c>
      <c r="G1658" s="1">
        <v>45366</v>
      </c>
      <c r="H1658" s="4">
        <f>IF(Claims_Cleaned[[#This Row],[processed_date]]="","",Claims_Cleaned[[#This Row],[processed_date]]-Claims_Cleaned[[#This Row],[submission_date]])</f>
        <v>17</v>
      </c>
      <c r="I1658" s="4" t="str">
        <f>TEXT(Claims_Cleaned[[#This Row],[claim_date]],"mmm-yyyy")</f>
        <v>Feb-2024</v>
      </c>
      <c r="J1658" t="s">
        <v>11</v>
      </c>
      <c r="K1658">
        <v>179.9</v>
      </c>
      <c r="L1658" t="s">
        <v>683</v>
      </c>
      <c r="M1658">
        <v>17</v>
      </c>
    </row>
    <row r="1659" spans="1:13" x14ac:dyDescent="0.35">
      <c r="A1659" t="s">
        <v>1160</v>
      </c>
      <c r="B1659" t="s">
        <v>282</v>
      </c>
      <c r="C1659" t="s">
        <v>546</v>
      </c>
      <c r="D1659" t="s">
        <v>638</v>
      </c>
      <c r="E1659" s="1">
        <v>44961</v>
      </c>
      <c r="F1659" s="1">
        <v>44964</v>
      </c>
      <c r="G1659" s="1">
        <v>44974</v>
      </c>
      <c r="H1659" s="4">
        <f>IF(Claims_Cleaned[[#This Row],[processed_date]]="","",Claims_Cleaned[[#This Row],[processed_date]]-Claims_Cleaned[[#This Row],[submission_date]])</f>
        <v>10</v>
      </c>
      <c r="I1659" s="4" t="str">
        <f>TEXT(Claims_Cleaned[[#This Row],[claim_date]],"mmm-yyyy")</f>
        <v>Feb-2023</v>
      </c>
      <c r="J1659" t="s">
        <v>25</v>
      </c>
      <c r="K1659">
        <v>178.99</v>
      </c>
      <c r="L1659" t="s">
        <v>687</v>
      </c>
      <c r="M1659">
        <v>10</v>
      </c>
    </row>
    <row r="1660" spans="1:13" x14ac:dyDescent="0.35">
      <c r="A1660" t="s">
        <v>1227</v>
      </c>
      <c r="B1660" t="s">
        <v>203</v>
      </c>
      <c r="C1660" t="s">
        <v>591</v>
      </c>
      <c r="D1660" t="s">
        <v>635</v>
      </c>
      <c r="E1660" s="1">
        <v>45481</v>
      </c>
      <c r="F1660" s="1">
        <v>45486</v>
      </c>
      <c r="G1660" s="1">
        <v>45489</v>
      </c>
      <c r="H1660" s="4">
        <f>IF(Claims_Cleaned[[#This Row],[processed_date]]="","",Claims_Cleaned[[#This Row],[processed_date]]-Claims_Cleaned[[#This Row],[submission_date]])</f>
        <v>3</v>
      </c>
      <c r="I1660" s="4" t="str">
        <f>TEXT(Claims_Cleaned[[#This Row],[claim_date]],"mmm-yyyy")</f>
        <v>Jul-2024</v>
      </c>
      <c r="J1660" t="s">
        <v>25</v>
      </c>
      <c r="K1660">
        <v>178.51</v>
      </c>
      <c r="L1660" t="s">
        <v>683</v>
      </c>
      <c r="M1660">
        <v>3</v>
      </c>
    </row>
    <row r="1661" spans="1:13" x14ac:dyDescent="0.35">
      <c r="A1661" t="s">
        <v>2172</v>
      </c>
      <c r="B1661" t="s">
        <v>299</v>
      </c>
      <c r="C1661" t="s">
        <v>607</v>
      </c>
      <c r="D1661" t="s">
        <v>638</v>
      </c>
      <c r="E1661" s="1">
        <v>45519</v>
      </c>
      <c r="F1661" s="1">
        <v>45522</v>
      </c>
      <c r="G1661" s="1">
        <v>45551</v>
      </c>
      <c r="H1661" s="4">
        <f>IF(Claims_Cleaned[[#This Row],[processed_date]]="","",Claims_Cleaned[[#This Row],[processed_date]]-Claims_Cleaned[[#This Row],[submission_date]])</f>
        <v>29</v>
      </c>
      <c r="I1661" s="4" t="str">
        <f>TEXT(Claims_Cleaned[[#This Row],[claim_date]],"mmm-yyyy")</f>
        <v>Aug-2024</v>
      </c>
      <c r="J1661" t="s">
        <v>25</v>
      </c>
      <c r="K1661">
        <v>178.49</v>
      </c>
      <c r="L1661" t="s">
        <v>683</v>
      </c>
      <c r="M1661">
        <v>29</v>
      </c>
    </row>
    <row r="1662" spans="1:13" x14ac:dyDescent="0.35">
      <c r="A1662" t="s">
        <v>2394</v>
      </c>
      <c r="B1662" t="s">
        <v>204</v>
      </c>
      <c r="C1662" t="s">
        <v>540</v>
      </c>
      <c r="D1662" t="s">
        <v>638</v>
      </c>
      <c r="E1662" s="1">
        <v>44969</v>
      </c>
      <c r="F1662" s="1">
        <v>44972</v>
      </c>
      <c r="G1662" s="1">
        <v>44980</v>
      </c>
      <c r="H1662" s="4">
        <f>IF(Claims_Cleaned[[#This Row],[processed_date]]="","",Claims_Cleaned[[#This Row],[processed_date]]-Claims_Cleaned[[#This Row],[submission_date]])</f>
        <v>8</v>
      </c>
      <c r="I1662" s="4" t="str">
        <f>TEXT(Claims_Cleaned[[#This Row],[claim_date]],"mmm-yyyy")</f>
        <v>Feb-2023</v>
      </c>
      <c r="J1662" t="s">
        <v>8</v>
      </c>
      <c r="K1662">
        <v>178.47</v>
      </c>
      <c r="L1662" t="s">
        <v>683</v>
      </c>
      <c r="M1662">
        <v>8</v>
      </c>
    </row>
    <row r="1663" spans="1:13" x14ac:dyDescent="0.35">
      <c r="A1663" t="s">
        <v>1369</v>
      </c>
      <c r="B1663" t="s">
        <v>196</v>
      </c>
      <c r="C1663" t="s">
        <v>597</v>
      </c>
      <c r="D1663" t="s">
        <v>635</v>
      </c>
      <c r="E1663" s="1">
        <v>45128</v>
      </c>
      <c r="F1663" s="1">
        <v>45129</v>
      </c>
      <c r="G1663" s="1">
        <v>45136</v>
      </c>
      <c r="H1663" s="4">
        <f>IF(Claims_Cleaned[[#This Row],[processed_date]]="","",Claims_Cleaned[[#This Row],[processed_date]]-Claims_Cleaned[[#This Row],[submission_date]])</f>
        <v>7</v>
      </c>
      <c r="I1663" s="4" t="str">
        <f>TEXT(Claims_Cleaned[[#This Row],[claim_date]],"mmm-yyyy")</f>
        <v>Jul-2023</v>
      </c>
      <c r="J1663" t="s">
        <v>13</v>
      </c>
      <c r="K1663">
        <v>178.23</v>
      </c>
      <c r="L1663" t="s">
        <v>687</v>
      </c>
      <c r="M1663">
        <v>7</v>
      </c>
    </row>
    <row r="1664" spans="1:13" x14ac:dyDescent="0.35">
      <c r="A1664" t="s">
        <v>2139</v>
      </c>
      <c r="B1664" t="s">
        <v>426</v>
      </c>
      <c r="C1664" t="s">
        <v>593</v>
      </c>
      <c r="D1664" t="s">
        <v>635</v>
      </c>
      <c r="E1664" s="1">
        <v>45369</v>
      </c>
      <c r="F1664" s="1">
        <v>45371</v>
      </c>
      <c r="G1664" s="1">
        <v>45389</v>
      </c>
      <c r="H1664" s="4">
        <f>IF(Claims_Cleaned[[#This Row],[processed_date]]="","",Claims_Cleaned[[#This Row],[processed_date]]-Claims_Cleaned[[#This Row],[submission_date]])</f>
        <v>18</v>
      </c>
      <c r="I1664" s="4" t="str">
        <f>TEXT(Claims_Cleaned[[#This Row],[claim_date]],"mmm-yyyy")</f>
        <v>Mar-2024</v>
      </c>
      <c r="J1664" t="s">
        <v>8</v>
      </c>
      <c r="K1664">
        <v>177.89</v>
      </c>
      <c r="L1664" t="s">
        <v>683</v>
      </c>
      <c r="M1664">
        <v>18</v>
      </c>
    </row>
    <row r="1665" spans="1:13" x14ac:dyDescent="0.35">
      <c r="A1665" t="s">
        <v>806</v>
      </c>
      <c r="B1665" t="s">
        <v>407</v>
      </c>
      <c r="C1665" t="s">
        <v>549</v>
      </c>
      <c r="D1665" t="s">
        <v>635</v>
      </c>
      <c r="E1665" s="1">
        <v>45474</v>
      </c>
      <c r="F1665" s="1">
        <v>45475</v>
      </c>
      <c r="G1665" s="1">
        <v>45483</v>
      </c>
      <c r="H1665" s="4">
        <f>IF(Claims_Cleaned[[#This Row],[processed_date]]="","",Claims_Cleaned[[#This Row],[processed_date]]-Claims_Cleaned[[#This Row],[submission_date]])</f>
        <v>8</v>
      </c>
      <c r="I1665" s="4" t="str">
        <f>TEXT(Claims_Cleaned[[#This Row],[claim_date]],"mmm-yyyy")</f>
        <v>Jul-2024</v>
      </c>
      <c r="J1665" t="s">
        <v>8</v>
      </c>
      <c r="K1665">
        <v>176.75</v>
      </c>
      <c r="L1665" t="s">
        <v>683</v>
      </c>
      <c r="M1665">
        <v>8</v>
      </c>
    </row>
    <row r="1666" spans="1:13" x14ac:dyDescent="0.35">
      <c r="A1666" t="s">
        <v>1454</v>
      </c>
      <c r="B1666" t="s">
        <v>54</v>
      </c>
      <c r="C1666" t="s">
        <v>583</v>
      </c>
      <c r="D1666" t="s">
        <v>635</v>
      </c>
      <c r="E1666" s="1">
        <v>45361</v>
      </c>
      <c r="F1666" s="1">
        <v>45363</v>
      </c>
      <c r="G1666" s="1">
        <v>45383</v>
      </c>
      <c r="H1666" s="4">
        <f>IF(Claims_Cleaned[[#This Row],[processed_date]]="","",Claims_Cleaned[[#This Row],[processed_date]]-Claims_Cleaned[[#This Row],[submission_date]])</f>
        <v>20</v>
      </c>
      <c r="I1666" s="4" t="str">
        <f>TEXT(Claims_Cleaned[[#This Row],[claim_date]],"mmm-yyyy")</f>
        <v>Mar-2024</v>
      </c>
      <c r="J1666" t="s">
        <v>11</v>
      </c>
      <c r="K1666">
        <v>175.84</v>
      </c>
      <c r="L1666" t="s">
        <v>687</v>
      </c>
      <c r="M1666">
        <v>20</v>
      </c>
    </row>
    <row r="1667" spans="1:13" x14ac:dyDescent="0.35">
      <c r="A1667" t="s">
        <v>1262</v>
      </c>
      <c r="B1667" t="s">
        <v>253</v>
      </c>
      <c r="C1667" t="s">
        <v>587</v>
      </c>
      <c r="D1667" t="s">
        <v>635</v>
      </c>
      <c r="E1667" s="1">
        <v>45371</v>
      </c>
      <c r="F1667" s="1">
        <v>45376</v>
      </c>
      <c r="G1667" s="1">
        <v>45390</v>
      </c>
      <c r="H1667" s="4">
        <f>IF(Claims_Cleaned[[#This Row],[processed_date]]="","",Claims_Cleaned[[#This Row],[processed_date]]-Claims_Cleaned[[#This Row],[submission_date]])</f>
        <v>14</v>
      </c>
      <c r="I1667" s="4" t="str">
        <f>TEXT(Claims_Cleaned[[#This Row],[claim_date]],"mmm-yyyy")</f>
        <v>Mar-2024</v>
      </c>
      <c r="J1667" t="s">
        <v>8</v>
      </c>
      <c r="K1667">
        <v>175.82</v>
      </c>
      <c r="L1667" t="s">
        <v>683</v>
      </c>
      <c r="M1667">
        <v>14</v>
      </c>
    </row>
    <row r="1668" spans="1:13" x14ac:dyDescent="0.35">
      <c r="A1668" t="s">
        <v>755</v>
      </c>
      <c r="B1668" t="s">
        <v>283</v>
      </c>
      <c r="C1668" t="s">
        <v>607</v>
      </c>
      <c r="D1668" t="s">
        <v>635</v>
      </c>
      <c r="E1668" s="1">
        <v>45327</v>
      </c>
      <c r="F1668" s="1">
        <v>45330</v>
      </c>
      <c r="G1668" s="1">
        <v>45353</v>
      </c>
      <c r="H1668" s="4">
        <f>IF(Claims_Cleaned[[#This Row],[processed_date]]="","",Claims_Cleaned[[#This Row],[processed_date]]-Claims_Cleaned[[#This Row],[submission_date]])</f>
        <v>23</v>
      </c>
      <c r="I1668" s="4" t="str">
        <f>TEXT(Claims_Cleaned[[#This Row],[claim_date]],"mmm-yyyy")</f>
        <v>Feb-2024</v>
      </c>
      <c r="J1668" t="s">
        <v>25</v>
      </c>
      <c r="K1668">
        <v>175.09</v>
      </c>
      <c r="L1668" t="s">
        <v>687</v>
      </c>
      <c r="M1668">
        <v>23</v>
      </c>
    </row>
    <row r="1669" spans="1:13" x14ac:dyDescent="0.35">
      <c r="A1669" t="s">
        <v>1230</v>
      </c>
      <c r="B1669" t="s">
        <v>334</v>
      </c>
      <c r="C1669" t="s">
        <v>553</v>
      </c>
      <c r="D1669" t="s">
        <v>635</v>
      </c>
      <c r="E1669" s="1">
        <v>45267</v>
      </c>
      <c r="F1669" s="1">
        <v>45269</v>
      </c>
      <c r="G1669" s="1">
        <v>45274</v>
      </c>
      <c r="H1669" s="4">
        <f>IF(Claims_Cleaned[[#This Row],[processed_date]]="","",Claims_Cleaned[[#This Row],[processed_date]]-Claims_Cleaned[[#This Row],[submission_date]])</f>
        <v>5</v>
      </c>
      <c r="I1669" s="4" t="str">
        <f>TEXT(Claims_Cleaned[[#This Row],[claim_date]],"mmm-yyyy")</f>
        <v>Dec-2023</v>
      </c>
      <c r="J1669" t="s">
        <v>11</v>
      </c>
      <c r="K1669">
        <v>174.38</v>
      </c>
      <c r="L1669" t="s">
        <v>683</v>
      </c>
      <c r="M1669">
        <v>5</v>
      </c>
    </row>
    <row r="1670" spans="1:13" x14ac:dyDescent="0.35">
      <c r="A1670" t="s">
        <v>1955</v>
      </c>
      <c r="B1670" t="s">
        <v>203</v>
      </c>
      <c r="C1670" t="s">
        <v>579</v>
      </c>
      <c r="D1670" t="s">
        <v>638</v>
      </c>
      <c r="E1670" s="1">
        <v>45376</v>
      </c>
      <c r="F1670" s="1">
        <v>45381</v>
      </c>
      <c r="G1670" s="1">
        <v>45401</v>
      </c>
      <c r="H1670" s="4">
        <f>IF(Claims_Cleaned[[#This Row],[processed_date]]="","",Claims_Cleaned[[#This Row],[processed_date]]-Claims_Cleaned[[#This Row],[submission_date]])</f>
        <v>20</v>
      </c>
      <c r="I1670" s="4" t="str">
        <f>TEXT(Claims_Cleaned[[#This Row],[claim_date]],"mmm-yyyy")</f>
        <v>Mar-2024</v>
      </c>
      <c r="J1670" t="s">
        <v>25</v>
      </c>
      <c r="K1670">
        <v>172.83</v>
      </c>
      <c r="L1670" t="s">
        <v>683</v>
      </c>
      <c r="M1670">
        <v>20</v>
      </c>
    </row>
    <row r="1671" spans="1:13" x14ac:dyDescent="0.35">
      <c r="A1671" t="s">
        <v>2119</v>
      </c>
      <c r="B1671" t="s">
        <v>146</v>
      </c>
      <c r="C1671" t="s">
        <v>571</v>
      </c>
      <c r="D1671" t="s">
        <v>638</v>
      </c>
      <c r="E1671" s="1">
        <v>45463</v>
      </c>
      <c r="F1671" s="1">
        <v>45464</v>
      </c>
      <c r="G1671" s="1">
        <v>45492</v>
      </c>
      <c r="H1671" s="4">
        <f>IF(Claims_Cleaned[[#This Row],[processed_date]]="","",Claims_Cleaned[[#This Row],[processed_date]]-Claims_Cleaned[[#This Row],[submission_date]])</f>
        <v>28</v>
      </c>
      <c r="I1671" s="4" t="str">
        <f>TEXT(Claims_Cleaned[[#This Row],[claim_date]],"mmm-yyyy")</f>
        <v>Jun-2024</v>
      </c>
      <c r="J1671" t="s">
        <v>11</v>
      </c>
      <c r="K1671">
        <v>172.73</v>
      </c>
      <c r="L1671" t="s">
        <v>687</v>
      </c>
      <c r="M1671">
        <v>28</v>
      </c>
    </row>
    <row r="1672" spans="1:13" x14ac:dyDescent="0.35">
      <c r="A1672" t="s">
        <v>2264</v>
      </c>
      <c r="B1672" t="s">
        <v>189</v>
      </c>
      <c r="C1672" t="s">
        <v>543</v>
      </c>
      <c r="D1672" t="s">
        <v>638</v>
      </c>
      <c r="E1672" s="1">
        <v>45123</v>
      </c>
      <c r="F1672" s="1">
        <v>45127</v>
      </c>
      <c r="G1672" s="1">
        <v>45134</v>
      </c>
      <c r="H1672" s="4">
        <f>IF(Claims_Cleaned[[#This Row],[processed_date]]="","",Claims_Cleaned[[#This Row],[processed_date]]-Claims_Cleaned[[#This Row],[submission_date]])</f>
        <v>7</v>
      </c>
      <c r="I1672" s="4" t="str">
        <f>TEXT(Claims_Cleaned[[#This Row],[claim_date]],"mmm-yyyy")</f>
        <v>Jul-2023</v>
      </c>
      <c r="J1672" t="s">
        <v>8</v>
      </c>
      <c r="K1672">
        <v>172.62</v>
      </c>
      <c r="L1672" t="s">
        <v>683</v>
      </c>
      <c r="M1672">
        <v>7</v>
      </c>
    </row>
    <row r="1673" spans="1:13" x14ac:dyDescent="0.35">
      <c r="A1673" t="s">
        <v>825</v>
      </c>
      <c r="B1673" t="s">
        <v>408</v>
      </c>
      <c r="C1673" t="s">
        <v>569</v>
      </c>
      <c r="D1673" t="s">
        <v>635</v>
      </c>
      <c r="E1673" s="1">
        <v>45622</v>
      </c>
      <c r="F1673" s="1">
        <v>45626</v>
      </c>
      <c r="G1673" s="1">
        <v>45651</v>
      </c>
      <c r="H1673" s="4">
        <f>IF(Claims_Cleaned[[#This Row],[processed_date]]="","",Claims_Cleaned[[#This Row],[processed_date]]-Claims_Cleaned[[#This Row],[submission_date]])</f>
        <v>25</v>
      </c>
      <c r="I1673" s="4" t="str">
        <f>TEXT(Claims_Cleaned[[#This Row],[claim_date]],"mmm-yyyy")</f>
        <v>Nov-2024</v>
      </c>
      <c r="J1673" t="s">
        <v>11</v>
      </c>
      <c r="K1673">
        <v>172.61</v>
      </c>
      <c r="L1673" t="s">
        <v>683</v>
      </c>
      <c r="M1673">
        <v>25</v>
      </c>
    </row>
    <row r="1674" spans="1:13" x14ac:dyDescent="0.35">
      <c r="A1674" t="s">
        <v>1234</v>
      </c>
      <c r="B1674" t="s">
        <v>353</v>
      </c>
      <c r="C1674" t="s">
        <v>521</v>
      </c>
      <c r="D1674" t="s">
        <v>638</v>
      </c>
      <c r="E1674" s="1">
        <v>45289</v>
      </c>
      <c r="F1674" s="1">
        <v>45291</v>
      </c>
      <c r="G1674" s="1">
        <v>45309</v>
      </c>
      <c r="H1674" s="4">
        <f>IF(Claims_Cleaned[[#This Row],[processed_date]]="","",Claims_Cleaned[[#This Row],[processed_date]]-Claims_Cleaned[[#This Row],[submission_date]])</f>
        <v>18</v>
      </c>
      <c r="I1674" s="4" t="str">
        <f>TEXT(Claims_Cleaned[[#This Row],[claim_date]],"mmm-yyyy")</f>
        <v>Dec-2023</v>
      </c>
      <c r="J1674" t="s">
        <v>20</v>
      </c>
      <c r="K1674">
        <v>172.45</v>
      </c>
      <c r="L1674" t="s">
        <v>687</v>
      </c>
      <c r="M1674">
        <v>18</v>
      </c>
    </row>
    <row r="1675" spans="1:13" x14ac:dyDescent="0.35">
      <c r="A1675" t="s">
        <v>1367</v>
      </c>
      <c r="B1675" t="s">
        <v>159</v>
      </c>
      <c r="C1675" t="s">
        <v>579</v>
      </c>
      <c r="D1675" t="s">
        <v>638</v>
      </c>
      <c r="E1675" s="1">
        <v>45074</v>
      </c>
      <c r="F1675" s="1">
        <v>45076</v>
      </c>
      <c r="G1675" s="1">
        <v>45091</v>
      </c>
      <c r="H1675" s="4">
        <f>IF(Claims_Cleaned[[#This Row],[processed_date]]="","",Claims_Cleaned[[#This Row],[processed_date]]-Claims_Cleaned[[#This Row],[submission_date]])</f>
        <v>15</v>
      </c>
      <c r="I1675" s="4" t="str">
        <f>TEXT(Claims_Cleaned[[#This Row],[claim_date]],"mmm-yyyy")</f>
        <v>May-2023</v>
      </c>
      <c r="J1675" t="s">
        <v>11</v>
      </c>
      <c r="K1675">
        <v>172.07</v>
      </c>
      <c r="L1675" t="s">
        <v>683</v>
      </c>
      <c r="M1675">
        <v>15</v>
      </c>
    </row>
    <row r="1676" spans="1:13" x14ac:dyDescent="0.35">
      <c r="A1676" t="s">
        <v>1006</v>
      </c>
      <c r="B1676" t="s">
        <v>312</v>
      </c>
      <c r="C1676" t="s">
        <v>579</v>
      </c>
      <c r="D1676" t="s">
        <v>638</v>
      </c>
      <c r="E1676" s="1">
        <v>45298</v>
      </c>
      <c r="F1676" s="1">
        <v>45300</v>
      </c>
      <c r="G1676" s="1">
        <v>45322</v>
      </c>
      <c r="H1676" s="4">
        <f>IF(Claims_Cleaned[[#This Row],[processed_date]]="","",Claims_Cleaned[[#This Row],[processed_date]]-Claims_Cleaned[[#This Row],[submission_date]])</f>
        <v>22</v>
      </c>
      <c r="I1676" s="4" t="str">
        <f>TEXT(Claims_Cleaned[[#This Row],[claim_date]],"mmm-yyyy")</f>
        <v>Jan-2024</v>
      </c>
      <c r="J1676" t="s">
        <v>11</v>
      </c>
      <c r="K1676">
        <v>171.82</v>
      </c>
      <c r="L1676" t="s">
        <v>683</v>
      </c>
      <c r="M1676">
        <v>22</v>
      </c>
    </row>
    <row r="1677" spans="1:13" x14ac:dyDescent="0.35">
      <c r="A1677" t="s">
        <v>2511</v>
      </c>
      <c r="B1677" t="s">
        <v>364</v>
      </c>
      <c r="C1677" t="s">
        <v>527</v>
      </c>
      <c r="D1677" t="s">
        <v>635</v>
      </c>
      <c r="E1677" s="1">
        <v>45315</v>
      </c>
      <c r="F1677" s="1">
        <v>45317</v>
      </c>
      <c r="G1677" s="1">
        <v>45327</v>
      </c>
      <c r="H1677" s="4">
        <f>IF(Claims_Cleaned[[#This Row],[processed_date]]="","",Claims_Cleaned[[#This Row],[processed_date]]-Claims_Cleaned[[#This Row],[submission_date]])</f>
        <v>10</v>
      </c>
      <c r="I1677" s="4" t="str">
        <f>TEXT(Claims_Cleaned[[#This Row],[claim_date]],"mmm-yyyy")</f>
        <v>Jan-2024</v>
      </c>
      <c r="J1677" t="s">
        <v>11</v>
      </c>
      <c r="K1677">
        <v>171.15</v>
      </c>
      <c r="L1677" t="s">
        <v>683</v>
      </c>
      <c r="M1677">
        <v>10</v>
      </c>
    </row>
    <row r="1678" spans="1:13" x14ac:dyDescent="0.35">
      <c r="A1678" t="s">
        <v>1202</v>
      </c>
      <c r="B1678" t="s">
        <v>409</v>
      </c>
      <c r="C1678" t="s">
        <v>567</v>
      </c>
      <c r="D1678" t="s">
        <v>635</v>
      </c>
      <c r="E1678" s="1">
        <v>45591</v>
      </c>
      <c r="F1678" s="1">
        <v>45594</v>
      </c>
      <c r="G1678" s="1">
        <v>45612</v>
      </c>
      <c r="H1678" s="4">
        <f>IF(Claims_Cleaned[[#This Row],[processed_date]]="","",Claims_Cleaned[[#This Row],[processed_date]]-Claims_Cleaned[[#This Row],[submission_date]])</f>
        <v>18</v>
      </c>
      <c r="I1678" s="4" t="str">
        <f>TEXT(Claims_Cleaned[[#This Row],[claim_date]],"mmm-yyyy")</f>
        <v>Oct-2024</v>
      </c>
      <c r="J1678" t="s">
        <v>8</v>
      </c>
      <c r="K1678">
        <v>170.89</v>
      </c>
      <c r="L1678" t="s">
        <v>683</v>
      </c>
      <c r="M1678">
        <v>18</v>
      </c>
    </row>
    <row r="1679" spans="1:13" x14ac:dyDescent="0.35">
      <c r="A1679" t="s">
        <v>956</v>
      </c>
      <c r="B1679" t="s">
        <v>219</v>
      </c>
      <c r="C1679" t="s">
        <v>531</v>
      </c>
      <c r="D1679" t="s">
        <v>638</v>
      </c>
      <c r="E1679" s="1">
        <v>45136</v>
      </c>
      <c r="F1679" s="1">
        <v>45138</v>
      </c>
      <c r="G1679" s="1">
        <v>45163</v>
      </c>
      <c r="H1679" s="4">
        <f>IF(Claims_Cleaned[[#This Row],[processed_date]]="","",Claims_Cleaned[[#This Row],[processed_date]]-Claims_Cleaned[[#This Row],[submission_date]])</f>
        <v>25</v>
      </c>
      <c r="I1679" s="4" t="str">
        <f>TEXT(Claims_Cleaned[[#This Row],[claim_date]],"mmm-yyyy")</f>
        <v>Jul-2023</v>
      </c>
      <c r="J1679" t="s">
        <v>11</v>
      </c>
      <c r="K1679">
        <v>170.63</v>
      </c>
      <c r="L1679" t="s">
        <v>683</v>
      </c>
      <c r="M1679">
        <v>25</v>
      </c>
    </row>
    <row r="1680" spans="1:13" x14ac:dyDescent="0.35">
      <c r="A1680" t="s">
        <v>2669</v>
      </c>
      <c r="B1680" t="s">
        <v>171</v>
      </c>
      <c r="C1680" t="s">
        <v>521</v>
      </c>
      <c r="D1680" t="s">
        <v>638</v>
      </c>
      <c r="E1680" s="1">
        <v>45259</v>
      </c>
      <c r="F1680" s="1">
        <v>45262</v>
      </c>
      <c r="G1680" s="1">
        <v>45271</v>
      </c>
      <c r="H1680" s="4">
        <f>IF(Claims_Cleaned[[#This Row],[processed_date]]="","",Claims_Cleaned[[#This Row],[processed_date]]-Claims_Cleaned[[#This Row],[submission_date]])</f>
        <v>9</v>
      </c>
      <c r="I1680" s="4" t="str">
        <f>TEXT(Claims_Cleaned[[#This Row],[claim_date]],"mmm-yyyy")</f>
        <v>Nov-2023</v>
      </c>
      <c r="J1680" t="s">
        <v>8</v>
      </c>
      <c r="K1680">
        <v>170.62</v>
      </c>
      <c r="L1680" t="s">
        <v>683</v>
      </c>
      <c r="M1680">
        <v>9</v>
      </c>
    </row>
    <row r="1681" spans="1:13" x14ac:dyDescent="0.35">
      <c r="A1681" t="s">
        <v>2654</v>
      </c>
      <c r="B1681" t="s">
        <v>35</v>
      </c>
      <c r="C1681" t="s">
        <v>607</v>
      </c>
      <c r="D1681" t="s">
        <v>638</v>
      </c>
      <c r="E1681" s="1">
        <v>45361</v>
      </c>
      <c r="F1681" s="1">
        <v>45362</v>
      </c>
      <c r="G1681" s="1">
        <v>45389</v>
      </c>
      <c r="H1681" s="4">
        <f>IF(Claims_Cleaned[[#This Row],[processed_date]]="","",Claims_Cleaned[[#This Row],[processed_date]]-Claims_Cleaned[[#This Row],[submission_date]])</f>
        <v>27</v>
      </c>
      <c r="I1681" s="4" t="str">
        <f>TEXT(Claims_Cleaned[[#This Row],[claim_date]],"mmm-yyyy")</f>
        <v>Mar-2024</v>
      </c>
      <c r="J1681" t="s">
        <v>11</v>
      </c>
      <c r="K1681">
        <v>170.5</v>
      </c>
      <c r="L1681" t="s">
        <v>683</v>
      </c>
      <c r="M1681">
        <v>27</v>
      </c>
    </row>
    <row r="1682" spans="1:13" x14ac:dyDescent="0.35">
      <c r="A1682" t="s">
        <v>877</v>
      </c>
      <c r="B1682" t="s">
        <v>179</v>
      </c>
      <c r="C1682" t="s">
        <v>557</v>
      </c>
      <c r="D1682" t="s">
        <v>638</v>
      </c>
      <c r="E1682" s="1">
        <v>45349</v>
      </c>
      <c r="F1682" s="1">
        <v>45350</v>
      </c>
      <c r="G1682" s="1">
        <v>45376</v>
      </c>
      <c r="H1682" s="4">
        <f>IF(Claims_Cleaned[[#This Row],[processed_date]]="","",Claims_Cleaned[[#This Row],[processed_date]]-Claims_Cleaned[[#This Row],[submission_date]])</f>
        <v>26</v>
      </c>
      <c r="I1682" s="4" t="str">
        <f>TEXT(Claims_Cleaned[[#This Row],[claim_date]],"mmm-yyyy")</f>
        <v>Feb-2024</v>
      </c>
      <c r="J1682" t="s">
        <v>11</v>
      </c>
      <c r="K1682">
        <v>170.15</v>
      </c>
      <c r="L1682" t="s">
        <v>683</v>
      </c>
      <c r="M1682">
        <v>26</v>
      </c>
    </row>
    <row r="1683" spans="1:13" x14ac:dyDescent="0.35">
      <c r="A1683" t="s">
        <v>2280</v>
      </c>
      <c r="B1683" t="s">
        <v>310</v>
      </c>
      <c r="C1683" t="s">
        <v>607</v>
      </c>
      <c r="D1683" t="s">
        <v>635</v>
      </c>
      <c r="E1683" s="1">
        <v>45403</v>
      </c>
      <c r="F1683" s="1">
        <v>45406</v>
      </c>
      <c r="G1683" s="1">
        <v>45424</v>
      </c>
      <c r="H1683" s="4">
        <f>IF(Claims_Cleaned[[#This Row],[processed_date]]="","",Claims_Cleaned[[#This Row],[processed_date]]-Claims_Cleaned[[#This Row],[submission_date]])</f>
        <v>18</v>
      </c>
      <c r="I1683" s="4" t="str">
        <f>TEXT(Claims_Cleaned[[#This Row],[claim_date]],"mmm-yyyy")</f>
        <v>Apr-2024</v>
      </c>
      <c r="J1683" t="s">
        <v>11</v>
      </c>
      <c r="K1683">
        <v>169.74</v>
      </c>
      <c r="L1683" t="s">
        <v>683</v>
      </c>
      <c r="M1683">
        <v>18</v>
      </c>
    </row>
    <row r="1684" spans="1:13" x14ac:dyDescent="0.35">
      <c r="A1684" t="s">
        <v>1982</v>
      </c>
      <c r="B1684" t="s">
        <v>391</v>
      </c>
      <c r="C1684" t="s">
        <v>521</v>
      </c>
      <c r="D1684" t="s">
        <v>638</v>
      </c>
      <c r="E1684" s="1">
        <v>45097</v>
      </c>
      <c r="F1684" s="1">
        <v>45100</v>
      </c>
      <c r="G1684" s="1">
        <v>45109</v>
      </c>
      <c r="H1684" s="4">
        <f>IF(Claims_Cleaned[[#This Row],[processed_date]]="","",Claims_Cleaned[[#This Row],[processed_date]]-Claims_Cleaned[[#This Row],[submission_date]])</f>
        <v>9</v>
      </c>
      <c r="I1684" s="4" t="str">
        <f>TEXT(Claims_Cleaned[[#This Row],[claim_date]],"mmm-yyyy")</f>
        <v>Jun-2023</v>
      </c>
      <c r="J1684" t="s">
        <v>11</v>
      </c>
      <c r="K1684">
        <v>169.21</v>
      </c>
      <c r="L1684" t="s">
        <v>683</v>
      </c>
      <c r="M1684">
        <v>9</v>
      </c>
    </row>
    <row r="1685" spans="1:13" x14ac:dyDescent="0.35">
      <c r="A1685" t="s">
        <v>2023</v>
      </c>
      <c r="B1685" t="s">
        <v>244</v>
      </c>
      <c r="C1685" t="s">
        <v>577</v>
      </c>
      <c r="D1685" t="s">
        <v>638</v>
      </c>
      <c r="E1685" s="1">
        <v>45250</v>
      </c>
      <c r="F1685" s="1">
        <v>45251</v>
      </c>
      <c r="G1685" s="1">
        <v>45280</v>
      </c>
      <c r="H1685" s="4">
        <f>IF(Claims_Cleaned[[#This Row],[processed_date]]="","",Claims_Cleaned[[#This Row],[processed_date]]-Claims_Cleaned[[#This Row],[submission_date]])</f>
        <v>29</v>
      </c>
      <c r="I1685" s="4" t="str">
        <f>TEXT(Claims_Cleaned[[#This Row],[claim_date]],"mmm-yyyy")</f>
        <v>Nov-2023</v>
      </c>
      <c r="J1685" t="s">
        <v>11</v>
      </c>
      <c r="K1685">
        <v>169.03</v>
      </c>
      <c r="L1685" t="s">
        <v>683</v>
      </c>
      <c r="M1685">
        <v>29</v>
      </c>
    </row>
    <row r="1686" spans="1:13" x14ac:dyDescent="0.35">
      <c r="A1686" t="s">
        <v>2427</v>
      </c>
      <c r="B1686" t="s">
        <v>216</v>
      </c>
      <c r="C1686" t="s">
        <v>603</v>
      </c>
      <c r="D1686" t="s">
        <v>638</v>
      </c>
      <c r="E1686" s="1">
        <v>45201</v>
      </c>
      <c r="F1686" s="1">
        <v>45202</v>
      </c>
      <c r="G1686" s="1">
        <v>45225</v>
      </c>
      <c r="H1686" s="4">
        <f>IF(Claims_Cleaned[[#This Row],[processed_date]]="","",Claims_Cleaned[[#This Row],[processed_date]]-Claims_Cleaned[[#This Row],[submission_date]])</f>
        <v>23</v>
      </c>
      <c r="I1686" s="4" t="str">
        <f>TEXT(Claims_Cleaned[[#This Row],[claim_date]],"mmm-yyyy")</f>
        <v>Oct-2023</v>
      </c>
      <c r="J1686" t="s">
        <v>20</v>
      </c>
      <c r="K1686">
        <v>168.86</v>
      </c>
      <c r="L1686" t="s">
        <v>683</v>
      </c>
      <c r="M1686">
        <v>23</v>
      </c>
    </row>
    <row r="1687" spans="1:13" x14ac:dyDescent="0.35">
      <c r="A1687" t="s">
        <v>2377</v>
      </c>
      <c r="B1687" t="s">
        <v>209</v>
      </c>
      <c r="C1687" t="s">
        <v>563</v>
      </c>
      <c r="D1687" t="s">
        <v>638</v>
      </c>
      <c r="E1687" s="1">
        <v>45092</v>
      </c>
      <c r="F1687" s="1">
        <v>45095</v>
      </c>
      <c r="G1687" s="1">
        <v>45107</v>
      </c>
      <c r="H1687" s="4">
        <f>IF(Claims_Cleaned[[#This Row],[processed_date]]="","",Claims_Cleaned[[#This Row],[processed_date]]-Claims_Cleaned[[#This Row],[submission_date]])</f>
        <v>12</v>
      </c>
      <c r="I1687" s="4" t="str">
        <f>TEXT(Claims_Cleaned[[#This Row],[claim_date]],"mmm-yyyy")</f>
        <v>Jun-2023</v>
      </c>
      <c r="J1687" t="s">
        <v>8</v>
      </c>
      <c r="K1687">
        <v>168.5</v>
      </c>
      <c r="L1687" t="s">
        <v>683</v>
      </c>
      <c r="M1687">
        <v>12</v>
      </c>
    </row>
    <row r="1688" spans="1:13" x14ac:dyDescent="0.35">
      <c r="A1688" t="s">
        <v>1473</v>
      </c>
      <c r="B1688" t="s">
        <v>263</v>
      </c>
      <c r="C1688" t="s">
        <v>603</v>
      </c>
      <c r="D1688" t="s">
        <v>635</v>
      </c>
      <c r="E1688" s="1">
        <v>45611</v>
      </c>
      <c r="F1688" s="1">
        <v>45615</v>
      </c>
      <c r="G1688" s="1">
        <v>45621</v>
      </c>
      <c r="H1688" s="4">
        <f>IF(Claims_Cleaned[[#This Row],[processed_date]]="","",Claims_Cleaned[[#This Row],[processed_date]]-Claims_Cleaned[[#This Row],[submission_date]])</f>
        <v>6</v>
      </c>
      <c r="I1688" s="4" t="str">
        <f>TEXT(Claims_Cleaned[[#This Row],[claim_date]],"mmm-yyyy")</f>
        <v>Nov-2024</v>
      </c>
      <c r="J1688" t="s">
        <v>20</v>
      </c>
      <c r="K1688">
        <v>168.03</v>
      </c>
      <c r="L1688" t="s">
        <v>683</v>
      </c>
      <c r="M1688">
        <v>6</v>
      </c>
    </row>
    <row r="1689" spans="1:13" x14ac:dyDescent="0.35">
      <c r="A1689" t="s">
        <v>2376</v>
      </c>
      <c r="B1689" t="s">
        <v>467</v>
      </c>
      <c r="C1689" t="s">
        <v>561</v>
      </c>
      <c r="D1689" t="s">
        <v>638</v>
      </c>
      <c r="E1689" s="1">
        <v>45102</v>
      </c>
      <c r="F1689" s="1">
        <v>45105</v>
      </c>
      <c r="G1689" s="1">
        <v>45121</v>
      </c>
      <c r="H1689" s="4">
        <f>IF(Claims_Cleaned[[#This Row],[processed_date]]="","",Claims_Cleaned[[#This Row],[processed_date]]-Claims_Cleaned[[#This Row],[submission_date]])</f>
        <v>16</v>
      </c>
      <c r="I1689" s="4" t="str">
        <f>TEXT(Claims_Cleaned[[#This Row],[claim_date]],"mmm-yyyy")</f>
        <v>Jun-2023</v>
      </c>
      <c r="J1689" t="s">
        <v>13</v>
      </c>
      <c r="K1689">
        <v>167.91</v>
      </c>
      <c r="L1689" t="s">
        <v>683</v>
      </c>
      <c r="M1689">
        <v>16</v>
      </c>
    </row>
    <row r="1690" spans="1:13" x14ac:dyDescent="0.35">
      <c r="A1690" t="s">
        <v>1784</v>
      </c>
      <c r="B1690" t="s">
        <v>416</v>
      </c>
      <c r="C1690" t="s">
        <v>599</v>
      </c>
      <c r="D1690" t="s">
        <v>638</v>
      </c>
      <c r="E1690" s="1">
        <v>45114</v>
      </c>
      <c r="F1690" s="1">
        <v>45118</v>
      </c>
      <c r="G1690" s="1">
        <v>45138</v>
      </c>
      <c r="H1690" s="4">
        <f>IF(Claims_Cleaned[[#This Row],[processed_date]]="","",Claims_Cleaned[[#This Row],[processed_date]]-Claims_Cleaned[[#This Row],[submission_date]])</f>
        <v>20</v>
      </c>
      <c r="I1690" s="4" t="str">
        <f>TEXT(Claims_Cleaned[[#This Row],[claim_date]],"mmm-yyyy")</f>
        <v>Jul-2023</v>
      </c>
      <c r="J1690" t="s">
        <v>13</v>
      </c>
      <c r="K1690">
        <v>166.77</v>
      </c>
      <c r="L1690" t="s">
        <v>683</v>
      </c>
      <c r="M1690">
        <v>20</v>
      </c>
    </row>
    <row r="1691" spans="1:13" x14ac:dyDescent="0.35">
      <c r="A1691" t="s">
        <v>1978</v>
      </c>
      <c r="B1691" t="s">
        <v>88</v>
      </c>
      <c r="C1691" t="s">
        <v>585</v>
      </c>
      <c r="D1691" t="s">
        <v>638</v>
      </c>
      <c r="E1691" s="1">
        <v>45539</v>
      </c>
      <c r="F1691" s="1">
        <v>45543</v>
      </c>
      <c r="G1691" s="1">
        <v>45550</v>
      </c>
      <c r="H1691" s="4">
        <f>IF(Claims_Cleaned[[#This Row],[processed_date]]="","",Claims_Cleaned[[#This Row],[processed_date]]-Claims_Cleaned[[#This Row],[submission_date]])</f>
        <v>7</v>
      </c>
      <c r="I1691" s="4" t="str">
        <f>TEXT(Claims_Cleaned[[#This Row],[claim_date]],"mmm-yyyy")</f>
        <v>Sep-2024</v>
      </c>
      <c r="J1691" t="s">
        <v>13</v>
      </c>
      <c r="K1691">
        <v>166.3</v>
      </c>
      <c r="L1691" t="s">
        <v>683</v>
      </c>
      <c r="M1691">
        <v>7</v>
      </c>
    </row>
    <row r="1692" spans="1:13" x14ac:dyDescent="0.35">
      <c r="A1692" t="s">
        <v>1164</v>
      </c>
      <c r="B1692" t="s">
        <v>424</v>
      </c>
      <c r="C1692" t="s">
        <v>575</v>
      </c>
      <c r="D1692" t="s">
        <v>638</v>
      </c>
      <c r="E1692" s="1">
        <v>44991</v>
      </c>
      <c r="F1692" s="1">
        <v>44996</v>
      </c>
      <c r="G1692" s="1"/>
      <c r="H1692" s="4" t="str">
        <f>IF(Claims_Cleaned[[#This Row],[processed_date]]="","",Claims_Cleaned[[#This Row],[processed_date]]-Claims_Cleaned[[#This Row],[submission_date]])</f>
        <v/>
      </c>
      <c r="I1692" s="4" t="str">
        <f>TEXT(Claims_Cleaned[[#This Row],[claim_date]],"mmm-yyyy")</f>
        <v>Mar-2023</v>
      </c>
      <c r="J1692" t="s">
        <v>11</v>
      </c>
      <c r="K1692">
        <v>166.13</v>
      </c>
      <c r="L1692" t="s">
        <v>689</v>
      </c>
    </row>
    <row r="1693" spans="1:13" x14ac:dyDescent="0.35">
      <c r="A1693" t="s">
        <v>2683</v>
      </c>
      <c r="B1693" t="s">
        <v>196</v>
      </c>
      <c r="C1693" t="s">
        <v>553</v>
      </c>
      <c r="D1693" t="s">
        <v>635</v>
      </c>
      <c r="E1693" s="1">
        <v>45433</v>
      </c>
      <c r="F1693" s="1">
        <v>45437</v>
      </c>
      <c r="G1693" s="1">
        <v>45450</v>
      </c>
      <c r="H1693" s="4">
        <f>IF(Claims_Cleaned[[#This Row],[processed_date]]="","",Claims_Cleaned[[#This Row],[processed_date]]-Claims_Cleaned[[#This Row],[submission_date]])</f>
        <v>13</v>
      </c>
      <c r="I1693" s="4" t="str">
        <f>TEXT(Claims_Cleaned[[#This Row],[claim_date]],"mmm-yyyy")</f>
        <v>May-2024</v>
      </c>
      <c r="J1693" t="s">
        <v>13</v>
      </c>
      <c r="K1693">
        <v>166.05</v>
      </c>
      <c r="L1693" t="s">
        <v>683</v>
      </c>
      <c r="M1693">
        <v>13</v>
      </c>
    </row>
    <row r="1694" spans="1:13" x14ac:dyDescent="0.35">
      <c r="A1694" t="s">
        <v>1903</v>
      </c>
      <c r="B1694" t="s">
        <v>388</v>
      </c>
      <c r="C1694" t="s">
        <v>537</v>
      </c>
      <c r="D1694" t="s">
        <v>635</v>
      </c>
      <c r="E1694" s="1">
        <v>45220</v>
      </c>
      <c r="F1694" s="1">
        <v>45224</v>
      </c>
      <c r="G1694" s="1">
        <v>45254</v>
      </c>
      <c r="H1694" s="4">
        <f>IF(Claims_Cleaned[[#This Row],[processed_date]]="","",Claims_Cleaned[[#This Row],[processed_date]]-Claims_Cleaned[[#This Row],[submission_date]])</f>
        <v>30</v>
      </c>
      <c r="I1694" s="4" t="str">
        <f>TEXT(Claims_Cleaned[[#This Row],[claim_date]],"mmm-yyyy")</f>
        <v>Oct-2023</v>
      </c>
      <c r="J1694" t="s">
        <v>8</v>
      </c>
      <c r="K1694">
        <v>166.03</v>
      </c>
      <c r="L1694" t="s">
        <v>683</v>
      </c>
      <c r="M1694">
        <v>30</v>
      </c>
    </row>
    <row r="1695" spans="1:13" x14ac:dyDescent="0.35">
      <c r="A1695" t="s">
        <v>2156</v>
      </c>
      <c r="B1695" t="s">
        <v>122</v>
      </c>
      <c r="C1695" t="s">
        <v>585</v>
      </c>
      <c r="D1695" t="s">
        <v>638</v>
      </c>
      <c r="E1695" s="1">
        <v>45489</v>
      </c>
      <c r="F1695" s="1">
        <v>45492</v>
      </c>
      <c r="G1695" s="1">
        <v>45508</v>
      </c>
      <c r="H1695" s="4">
        <f>IF(Claims_Cleaned[[#This Row],[processed_date]]="","",Claims_Cleaned[[#This Row],[processed_date]]-Claims_Cleaned[[#This Row],[submission_date]])</f>
        <v>16</v>
      </c>
      <c r="I1695" s="4" t="str">
        <f>TEXT(Claims_Cleaned[[#This Row],[claim_date]],"mmm-yyyy")</f>
        <v>Jul-2024</v>
      </c>
      <c r="J1695" t="s">
        <v>13</v>
      </c>
      <c r="K1695">
        <v>165.74</v>
      </c>
      <c r="L1695" t="s">
        <v>683</v>
      </c>
      <c r="M1695">
        <v>16</v>
      </c>
    </row>
    <row r="1696" spans="1:13" x14ac:dyDescent="0.35">
      <c r="A1696" t="s">
        <v>2351</v>
      </c>
      <c r="B1696" t="s">
        <v>466</v>
      </c>
      <c r="C1696" t="s">
        <v>609</v>
      </c>
      <c r="D1696" t="s">
        <v>638</v>
      </c>
      <c r="E1696" s="1">
        <v>45080</v>
      </c>
      <c r="F1696" s="1">
        <v>45083</v>
      </c>
      <c r="G1696" s="1">
        <v>45102</v>
      </c>
      <c r="H1696" s="4">
        <f>IF(Claims_Cleaned[[#This Row],[processed_date]]="","",Claims_Cleaned[[#This Row],[processed_date]]-Claims_Cleaned[[#This Row],[submission_date]])</f>
        <v>19</v>
      </c>
      <c r="I1696" s="4" t="str">
        <f>TEXT(Claims_Cleaned[[#This Row],[claim_date]],"mmm-yyyy")</f>
        <v>Jun-2023</v>
      </c>
      <c r="J1696" t="s">
        <v>20</v>
      </c>
      <c r="K1696">
        <v>165.72</v>
      </c>
      <c r="L1696" t="s">
        <v>683</v>
      </c>
      <c r="M1696">
        <v>19</v>
      </c>
    </row>
    <row r="1697" spans="1:13" x14ac:dyDescent="0.35">
      <c r="A1697" t="s">
        <v>1150</v>
      </c>
      <c r="B1697" t="s">
        <v>47</v>
      </c>
      <c r="C1697" t="s">
        <v>581</v>
      </c>
      <c r="D1697" t="s">
        <v>635</v>
      </c>
      <c r="E1697" s="1">
        <v>45488</v>
      </c>
      <c r="F1697" s="1">
        <v>45489</v>
      </c>
      <c r="G1697" s="1">
        <v>45515</v>
      </c>
      <c r="H1697" s="4">
        <f>IF(Claims_Cleaned[[#This Row],[processed_date]]="","",Claims_Cleaned[[#This Row],[processed_date]]-Claims_Cleaned[[#This Row],[submission_date]])</f>
        <v>26</v>
      </c>
      <c r="I1697" s="4" t="str">
        <f>TEXT(Claims_Cleaned[[#This Row],[claim_date]],"mmm-yyyy")</f>
        <v>Jul-2024</v>
      </c>
      <c r="J1697" t="s">
        <v>20</v>
      </c>
      <c r="K1697">
        <v>165.37</v>
      </c>
      <c r="L1697" t="s">
        <v>683</v>
      </c>
      <c r="M1697">
        <v>26</v>
      </c>
    </row>
    <row r="1698" spans="1:13" x14ac:dyDescent="0.35">
      <c r="A1698" t="s">
        <v>2571</v>
      </c>
      <c r="B1698" t="s">
        <v>246</v>
      </c>
      <c r="C1698" t="s">
        <v>553</v>
      </c>
      <c r="D1698" t="s">
        <v>638</v>
      </c>
      <c r="E1698" s="1">
        <v>45466</v>
      </c>
      <c r="F1698" s="1">
        <v>45469</v>
      </c>
      <c r="G1698" s="1">
        <v>45499</v>
      </c>
      <c r="H1698" s="4">
        <f>IF(Claims_Cleaned[[#This Row],[processed_date]]="","",Claims_Cleaned[[#This Row],[processed_date]]-Claims_Cleaned[[#This Row],[submission_date]])</f>
        <v>30</v>
      </c>
      <c r="I1698" s="4" t="str">
        <f>TEXT(Claims_Cleaned[[#This Row],[claim_date]],"mmm-yyyy")</f>
        <v>Jun-2024</v>
      </c>
      <c r="J1698" t="s">
        <v>11</v>
      </c>
      <c r="K1698">
        <v>165.26</v>
      </c>
      <c r="L1698" t="s">
        <v>683</v>
      </c>
      <c r="M1698">
        <v>30</v>
      </c>
    </row>
    <row r="1699" spans="1:13" x14ac:dyDescent="0.35">
      <c r="A1699" t="s">
        <v>2497</v>
      </c>
      <c r="B1699" t="s">
        <v>397</v>
      </c>
      <c r="C1699" t="s">
        <v>557</v>
      </c>
      <c r="D1699" t="s">
        <v>638</v>
      </c>
      <c r="E1699" s="1">
        <v>45066</v>
      </c>
      <c r="F1699" s="1">
        <v>45069</v>
      </c>
      <c r="G1699" s="1">
        <v>45072</v>
      </c>
      <c r="H1699" s="4">
        <f>IF(Claims_Cleaned[[#This Row],[processed_date]]="","",Claims_Cleaned[[#This Row],[processed_date]]-Claims_Cleaned[[#This Row],[submission_date]])</f>
        <v>3</v>
      </c>
      <c r="I1699" s="4" t="str">
        <f>TEXT(Claims_Cleaned[[#This Row],[claim_date]],"mmm-yyyy")</f>
        <v>May-2023</v>
      </c>
      <c r="J1699" t="s">
        <v>11</v>
      </c>
      <c r="K1699">
        <v>164.63</v>
      </c>
      <c r="L1699" t="s">
        <v>683</v>
      </c>
      <c r="M1699">
        <v>3</v>
      </c>
    </row>
    <row r="1700" spans="1:13" x14ac:dyDescent="0.35">
      <c r="A1700" t="s">
        <v>2243</v>
      </c>
      <c r="B1700" t="s">
        <v>117</v>
      </c>
      <c r="C1700" t="s">
        <v>567</v>
      </c>
      <c r="D1700" t="s">
        <v>638</v>
      </c>
      <c r="E1700" s="1">
        <v>45050</v>
      </c>
      <c r="F1700" s="1">
        <v>45052</v>
      </c>
      <c r="G1700" s="1">
        <v>45070</v>
      </c>
      <c r="H1700" s="4">
        <f>IF(Claims_Cleaned[[#This Row],[processed_date]]="","",Claims_Cleaned[[#This Row],[processed_date]]-Claims_Cleaned[[#This Row],[submission_date]])</f>
        <v>18</v>
      </c>
      <c r="I1700" s="4" t="str">
        <f>TEXT(Claims_Cleaned[[#This Row],[claim_date]],"mmm-yyyy")</f>
        <v>May-2023</v>
      </c>
      <c r="J1700" t="s">
        <v>8</v>
      </c>
      <c r="K1700">
        <v>164.2</v>
      </c>
      <c r="L1700" t="s">
        <v>683</v>
      </c>
      <c r="M1700">
        <v>18</v>
      </c>
    </row>
    <row r="1701" spans="1:13" x14ac:dyDescent="0.35">
      <c r="A1701" t="s">
        <v>2643</v>
      </c>
      <c r="B1701" t="s">
        <v>458</v>
      </c>
      <c r="C1701" t="s">
        <v>557</v>
      </c>
      <c r="D1701" t="s">
        <v>635</v>
      </c>
      <c r="E1701" s="1">
        <v>45644</v>
      </c>
      <c r="F1701" s="1">
        <v>45649</v>
      </c>
      <c r="G1701" s="1">
        <v>45679</v>
      </c>
      <c r="H1701" s="4">
        <f>IF(Claims_Cleaned[[#This Row],[processed_date]]="","",Claims_Cleaned[[#This Row],[processed_date]]-Claims_Cleaned[[#This Row],[submission_date]])</f>
        <v>30</v>
      </c>
      <c r="I1701" s="4" t="str">
        <f>TEXT(Claims_Cleaned[[#This Row],[claim_date]],"mmm-yyyy")</f>
        <v>Dec-2024</v>
      </c>
      <c r="J1701" t="s">
        <v>11</v>
      </c>
      <c r="K1701">
        <v>164.01</v>
      </c>
      <c r="L1701" t="s">
        <v>687</v>
      </c>
      <c r="M1701">
        <v>30</v>
      </c>
    </row>
    <row r="1702" spans="1:13" x14ac:dyDescent="0.35">
      <c r="A1702" t="s">
        <v>2522</v>
      </c>
      <c r="B1702" t="s">
        <v>42</v>
      </c>
      <c r="C1702" t="s">
        <v>531</v>
      </c>
      <c r="D1702" t="s">
        <v>638</v>
      </c>
      <c r="E1702" s="1">
        <v>45473</v>
      </c>
      <c r="F1702" s="1">
        <v>45475</v>
      </c>
      <c r="G1702" s="1">
        <v>45489</v>
      </c>
      <c r="H1702" s="4">
        <f>IF(Claims_Cleaned[[#This Row],[processed_date]]="","",Claims_Cleaned[[#This Row],[processed_date]]-Claims_Cleaned[[#This Row],[submission_date]])</f>
        <v>14</v>
      </c>
      <c r="I1702" s="4" t="str">
        <f>TEXT(Claims_Cleaned[[#This Row],[claim_date]],"mmm-yyyy")</f>
        <v>Jun-2024</v>
      </c>
      <c r="J1702" t="s">
        <v>20</v>
      </c>
      <c r="K1702">
        <v>163.72</v>
      </c>
      <c r="L1702" t="s">
        <v>683</v>
      </c>
      <c r="M1702">
        <v>14</v>
      </c>
    </row>
    <row r="1703" spans="1:13" x14ac:dyDescent="0.35">
      <c r="A1703" t="s">
        <v>824</v>
      </c>
      <c r="B1703" t="s">
        <v>44</v>
      </c>
      <c r="C1703" t="s">
        <v>597</v>
      </c>
      <c r="D1703" t="s">
        <v>638</v>
      </c>
      <c r="E1703" s="1">
        <v>45154</v>
      </c>
      <c r="F1703" s="1">
        <v>45155</v>
      </c>
      <c r="G1703" s="1">
        <v>45172</v>
      </c>
      <c r="H1703" s="4">
        <f>IF(Claims_Cleaned[[#This Row],[processed_date]]="","",Claims_Cleaned[[#This Row],[processed_date]]-Claims_Cleaned[[#This Row],[submission_date]])</f>
        <v>17</v>
      </c>
      <c r="I1703" s="4" t="str">
        <f>TEXT(Claims_Cleaned[[#This Row],[claim_date]],"mmm-yyyy")</f>
        <v>Aug-2023</v>
      </c>
      <c r="J1703" t="s">
        <v>11</v>
      </c>
      <c r="K1703">
        <v>163.58000000000001</v>
      </c>
      <c r="L1703" t="s">
        <v>683</v>
      </c>
      <c r="M1703">
        <v>17</v>
      </c>
    </row>
    <row r="1704" spans="1:13" x14ac:dyDescent="0.35">
      <c r="A1704" t="s">
        <v>2066</v>
      </c>
      <c r="B1704" t="s">
        <v>345</v>
      </c>
      <c r="C1704" t="s">
        <v>540</v>
      </c>
      <c r="D1704" t="s">
        <v>638</v>
      </c>
      <c r="E1704" s="1">
        <v>45038</v>
      </c>
      <c r="F1704" s="1">
        <v>45041</v>
      </c>
      <c r="G1704" s="1">
        <v>45054</v>
      </c>
      <c r="H1704" s="4">
        <f>IF(Claims_Cleaned[[#This Row],[processed_date]]="","",Claims_Cleaned[[#This Row],[processed_date]]-Claims_Cleaned[[#This Row],[submission_date]])</f>
        <v>13</v>
      </c>
      <c r="I1704" s="4" t="str">
        <f>TEXT(Claims_Cleaned[[#This Row],[claim_date]],"mmm-yyyy")</f>
        <v>Apr-2023</v>
      </c>
      <c r="J1704" t="s">
        <v>8</v>
      </c>
      <c r="K1704">
        <v>163.5</v>
      </c>
      <c r="L1704" t="s">
        <v>683</v>
      </c>
      <c r="M1704">
        <v>13</v>
      </c>
    </row>
    <row r="1705" spans="1:13" x14ac:dyDescent="0.35">
      <c r="A1705" t="s">
        <v>2231</v>
      </c>
      <c r="B1705" t="s">
        <v>140</v>
      </c>
      <c r="C1705" t="s">
        <v>521</v>
      </c>
      <c r="D1705" t="s">
        <v>635</v>
      </c>
      <c r="E1705" s="1">
        <v>44948</v>
      </c>
      <c r="F1705" s="1">
        <v>44951</v>
      </c>
      <c r="G1705" s="1">
        <v>44980</v>
      </c>
      <c r="H1705" s="4">
        <f>IF(Claims_Cleaned[[#This Row],[processed_date]]="","",Claims_Cleaned[[#This Row],[processed_date]]-Claims_Cleaned[[#This Row],[submission_date]])</f>
        <v>29</v>
      </c>
      <c r="I1705" s="4" t="str">
        <f>TEXT(Claims_Cleaned[[#This Row],[claim_date]],"mmm-yyyy")</f>
        <v>Jan-2023</v>
      </c>
      <c r="J1705" t="s">
        <v>20</v>
      </c>
      <c r="K1705">
        <v>163.24</v>
      </c>
      <c r="L1705" t="s">
        <v>683</v>
      </c>
      <c r="M1705">
        <v>29</v>
      </c>
    </row>
    <row r="1706" spans="1:13" x14ac:dyDescent="0.35">
      <c r="A1706" t="s">
        <v>1758</v>
      </c>
      <c r="B1706" t="s">
        <v>376</v>
      </c>
      <c r="C1706" t="s">
        <v>555</v>
      </c>
      <c r="D1706" t="s">
        <v>635</v>
      </c>
      <c r="E1706" s="1">
        <v>45239</v>
      </c>
      <c r="F1706" s="1">
        <v>45240</v>
      </c>
      <c r="G1706" s="1">
        <v>45254</v>
      </c>
      <c r="H1706" s="4">
        <f>IF(Claims_Cleaned[[#This Row],[processed_date]]="","",Claims_Cleaned[[#This Row],[processed_date]]-Claims_Cleaned[[#This Row],[submission_date]])</f>
        <v>14</v>
      </c>
      <c r="I1706" s="4" t="str">
        <f>TEXT(Claims_Cleaned[[#This Row],[claim_date]],"mmm-yyyy")</f>
        <v>Nov-2023</v>
      </c>
      <c r="J1706" t="s">
        <v>8</v>
      </c>
      <c r="K1706">
        <v>163.13</v>
      </c>
      <c r="L1706" t="s">
        <v>683</v>
      </c>
      <c r="M1706">
        <v>14</v>
      </c>
    </row>
    <row r="1707" spans="1:13" x14ac:dyDescent="0.35">
      <c r="A1707" t="s">
        <v>1345</v>
      </c>
      <c r="B1707" t="s">
        <v>226</v>
      </c>
      <c r="C1707" t="s">
        <v>555</v>
      </c>
      <c r="D1707" t="s">
        <v>638</v>
      </c>
      <c r="E1707" s="1">
        <v>45082</v>
      </c>
      <c r="F1707" s="1">
        <v>45087</v>
      </c>
      <c r="G1707" s="1">
        <v>45113</v>
      </c>
      <c r="H1707" s="4">
        <f>IF(Claims_Cleaned[[#This Row],[processed_date]]="","",Claims_Cleaned[[#This Row],[processed_date]]-Claims_Cleaned[[#This Row],[submission_date]])</f>
        <v>26</v>
      </c>
      <c r="I1707" s="4" t="str">
        <f>TEXT(Claims_Cleaned[[#This Row],[claim_date]],"mmm-yyyy")</f>
        <v>Jun-2023</v>
      </c>
      <c r="J1707" t="s">
        <v>20</v>
      </c>
      <c r="K1707">
        <v>163.11000000000001</v>
      </c>
      <c r="L1707" t="s">
        <v>683</v>
      </c>
      <c r="M1707">
        <v>26</v>
      </c>
    </row>
    <row r="1708" spans="1:13" x14ac:dyDescent="0.35">
      <c r="A1708" t="s">
        <v>2335</v>
      </c>
      <c r="B1708" t="s">
        <v>454</v>
      </c>
      <c r="C1708" t="s">
        <v>585</v>
      </c>
      <c r="D1708" t="s">
        <v>635</v>
      </c>
      <c r="E1708" s="1">
        <v>45645</v>
      </c>
      <c r="F1708" s="1">
        <v>45648</v>
      </c>
      <c r="G1708" s="1">
        <v>45668</v>
      </c>
      <c r="H1708" s="4">
        <f>IF(Claims_Cleaned[[#This Row],[processed_date]]="","",Claims_Cleaned[[#This Row],[processed_date]]-Claims_Cleaned[[#This Row],[submission_date]])</f>
        <v>20</v>
      </c>
      <c r="I1708" s="4" t="str">
        <f>TEXT(Claims_Cleaned[[#This Row],[claim_date]],"mmm-yyyy")</f>
        <v>Dec-2024</v>
      </c>
      <c r="J1708" t="s">
        <v>20</v>
      </c>
      <c r="K1708">
        <v>162.80000000000001</v>
      </c>
      <c r="L1708" t="s">
        <v>683</v>
      </c>
      <c r="M1708">
        <v>20</v>
      </c>
    </row>
    <row r="1709" spans="1:13" x14ac:dyDescent="0.35">
      <c r="A1709" t="s">
        <v>2164</v>
      </c>
      <c r="B1709" t="s">
        <v>322</v>
      </c>
      <c r="C1709" t="s">
        <v>589</v>
      </c>
      <c r="D1709" t="s">
        <v>635</v>
      </c>
      <c r="E1709" s="1">
        <v>45124</v>
      </c>
      <c r="F1709" s="1">
        <v>45128</v>
      </c>
      <c r="G1709" s="1">
        <v>45150</v>
      </c>
      <c r="H1709" s="4">
        <f>IF(Claims_Cleaned[[#This Row],[processed_date]]="","",Claims_Cleaned[[#This Row],[processed_date]]-Claims_Cleaned[[#This Row],[submission_date]])</f>
        <v>22</v>
      </c>
      <c r="I1709" s="4" t="str">
        <f>TEXT(Claims_Cleaned[[#This Row],[claim_date]],"mmm-yyyy")</f>
        <v>Jul-2023</v>
      </c>
      <c r="J1709" t="s">
        <v>11</v>
      </c>
      <c r="K1709">
        <v>162.76</v>
      </c>
      <c r="L1709" t="s">
        <v>683</v>
      </c>
      <c r="M1709">
        <v>22</v>
      </c>
    </row>
    <row r="1710" spans="1:13" x14ac:dyDescent="0.35">
      <c r="A1710" t="s">
        <v>2165</v>
      </c>
      <c r="B1710" t="s">
        <v>187</v>
      </c>
      <c r="C1710" t="s">
        <v>543</v>
      </c>
      <c r="D1710" t="s">
        <v>638</v>
      </c>
      <c r="E1710" s="1">
        <v>44927</v>
      </c>
      <c r="F1710" s="1">
        <v>44930</v>
      </c>
      <c r="G1710" s="1"/>
      <c r="H1710" s="4" t="str">
        <f>IF(Claims_Cleaned[[#This Row],[processed_date]]="","",Claims_Cleaned[[#This Row],[processed_date]]-Claims_Cleaned[[#This Row],[submission_date]])</f>
        <v/>
      </c>
      <c r="I1710" s="4" t="str">
        <f>TEXT(Claims_Cleaned[[#This Row],[claim_date]],"mmm-yyyy")</f>
        <v>Jan-2023</v>
      </c>
      <c r="J1710" t="s">
        <v>11</v>
      </c>
      <c r="K1710">
        <v>162.24</v>
      </c>
      <c r="L1710" t="s">
        <v>689</v>
      </c>
    </row>
    <row r="1711" spans="1:13" x14ac:dyDescent="0.35">
      <c r="A1711" t="s">
        <v>2658</v>
      </c>
      <c r="B1711" t="s">
        <v>270</v>
      </c>
      <c r="C1711" t="s">
        <v>527</v>
      </c>
      <c r="D1711" t="s">
        <v>635</v>
      </c>
      <c r="E1711" s="1">
        <v>45574</v>
      </c>
      <c r="F1711" s="1">
        <v>45577</v>
      </c>
      <c r="G1711" s="1">
        <v>45582</v>
      </c>
      <c r="H1711" s="4">
        <f>IF(Claims_Cleaned[[#This Row],[processed_date]]="","",Claims_Cleaned[[#This Row],[processed_date]]-Claims_Cleaned[[#This Row],[submission_date]])</f>
        <v>5</v>
      </c>
      <c r="I1711" s="4" t="str">
        <f>TEXT(Claims_Cleaned[[#This Row],[claim_date]],"mmm-yyyy")</f>
        <v>Oct-2024</v>
      </c>
      <c r="J1711" t="s">
        <v>11</v>
      </c>
      <c r="K1711">
        <v>162</v>
      </c>
      <c r="L1711" t="s">
        <v>683</v>
      </c>
      <c r="M1711">
        <v>5</v>
      </c>
    </row>
    <row r="1712" spans="1:13" x14ac:dyDescent="0.35">
      <c r="A1712" t="s">
        <v>2216</v>
      </c>
      <c r="B1712" t="s">
        <v>440</v>
      </c>
      <c r="C1712" t="s">
        <v>553</v>
      </c>
      <c r="D1712" t="s">
        <v>638</v>
      </c>
      <c r="E1712" s="1">
        <v>45166</v>
      </c>
      <c r="F1712" s="1">
        <v>45170</v>
      </c>
      <c r="G1712" s="1">
        <v>45184</v>
      </c>
      <c r="H1712" s="4">
        <f>IF(Claims_Cleaned[[#This Row],[processed_date]]="","",Claims_Cleaned[[#This Row],[processed_date]]-Claims_Cleaned[[#This Row],[submission_date]])</f>
        <v>14</v>
      </c>
      <c r="I1712" s="4" t="str">
        <f>TEXT(Claims_Cleaned[[#This Row],[claim_date]],"mmm-yyyy")</f>
        <v>Aug-2023</v>
      </c>
      <c r="J1712" t="s">
        <v>20</v>
      </c>
      <c r="K1712">
        <v>161.5</v>
      </c>
      <c r="L1712" t="s">
        <v>683</v>
      </c>
      <c r="M1712">
        <v>14</v>
      </c>
    </row>
    <row r="1713" spans="1:13" x14ac:dyDescent="0.35">
      <c r="A1713" t="s">
        <v>756</v>
      </c>
      <c r="B1713" t="s">
        <v>70</v>
      </c>
      <c r="C1713" t="s">
        <v>599</v>
      </c>
      <c r="D1713" t="s">
        <v>638</v>
      </c>
      <c r="E1713" s="1">
        <v>45124</v>
      </c>
      <c r="F1713" s="1">
        <v>45128</v>
      </c>
      <c r="G1713" s="1">
        <v>45133</v>
      </c>
      <c r="H1713" s="4">
        <f>IF(Claims_Cleaned[[#This Row],[processed_date]]="","",Claims_Cleaned[[#This Row],[processed_date]]-Claims_Cleaned[[#This Row],[submission_date]])</f>
        <v>5</v>
      </c>
      <c r="I1713" s="4" t="str">
        <f>TEXT(Claims_Cleaned[[#This Row],[claim_date]],"mmm-yyyy")</f>
        <v>Jul-2023</v>
      </c>
      <c r="J1713" t="s">
        <v>11</v>
      </c>
      <c r="K1713">
        <v>161.46</v>
      </c>
      <c r="L1713" t="s">
        <v>683</v>
      </c>
      <c r="M1713">
        <v>5</v>
      </c>
    </row>
    <row r="1714" spans="1:13" x14ac:dyDescent="0.35">
      <c r="A1714" t="s">
        <v>837</v>
      </c>
      <c r="B1714" t="s">
        <v>332</v>
      </c>
      <c r="C1714" t="s">
        <v>575</v>
      </c>
      <c r="D1714" t="s">
        <v>638</v>
      </c>
      <c r="E1714" s="1">
        <v>45598</v>
      </c>
      <c r="F1714" s="1">
        <v>45601</v>
      </c>
      <c r="G1714" s="1">
        <v>45608</v>
      </c>
      <c r="H1714" s="4">
        <f>IF(Claims_Cleaned[[#This Row],[processed_date]]="","",Claims_Cleaned[[#This Row],[processed_date]]-Claims_Cleaned[[#This Row],[submission_date]])</f>
        <v>7</v>
      </c>
      <c r="I1714" s="4" t="str">
        <f>TEXT(Claims_Cleaned[[#This Row],[claim_date]],"mmm-yyyy")</f>
        <v>Nov-2024</v>
      </c>
      <c r="J1714" t="s">
        <v>20</v>
      </c>
      <c r="K1714">
        <v>160.9</v>
      </c>
      <c r="L1714" t="s">
        <v>683</v>
      </c>
      <c r="M1714">
        <v>7</v>
      </c>
    </row>
    <row r="1715" spans="1:13" x14ac:dyDescent="0.35">
      <c r="A1715" t="s">
        <v>1963</v>
      </c>
      <c r="B1715" t="s">
        <v>255</v>
      </c>
      <c r="C1715" t="s">
        <v>591</v>
      </c>
      <c r="D1715" t="s">
        <v>638</v>
      </c>
      <c r="E1715" s="1">
        <v>45421</v>
      </c>
      <c r="F1715" s="1">
        <v>45425</v>
      </c>
      <c r="G1715" s="1">
        <v>45445</v>
      </c>
      <c r="H1715" s="4">
        <f>IF(Claims_Cleaned[[#This Row],[processed_date]]="","",Claims_Cleaned[[#This Row],[processed_date]]-Claims_Cleaned[[#This Row],[submission_date]])</f>
        <v>20</v>
      </c>
      <c r="I1715" s="4" t="str">
        <f>TEXT(Claims_Cleaned[[#This Row],[claim_date]],"mmm-yyyy")</f>
        <v>May-2024</v>
      </c>
      <c r="J1715" t="s">
        <v>20</v>
      </c>
      <c r="K1715">
        <v>159.6</v>
      </c>
      <c r="L1715" t="s">
        <v>683</v>
      </c>
      <c r="M1715">
        <v>20</v>
      </c>
    </row>
    <row r="1716" spans="1:13" x14ac:dyDescent="0.35">
      <c r="A1716" t="s">
        <v>1814</v>
      </c>
      <c r="B1716" t="s">
        <v>499</v>
      </c>
      <c r="C1716" t="s">
        <v>561</v>
      </c>
      <c r="D1716" t="s">
        <v>638</v>
      </c>
      <c r="E1716" s="1">
        <v>45573</v>
      </c>
      <c r="F1716" s="1">
        <v>45576</v>
      </c>
      <c r="G1716" s="1">
        <v>45604</v>
      </c>
      <c r="H1716" s="4">
        <f>IF(Claims_Cleaned[[#This Row],[processed_date]]="","",Claims_Cleaned[[#This Row],[processed_date]]-Claims_Cleaned[[#This Row],[submission_date]])</f>
        <v>28</v>
      </c>
      <c r="I1716" s="4" t="str">
        <f>TEXT(Claims_Cleaned[[#This Row],[claim_date]],"mmm-yyyy")</f>
        <v>Oct-2024</v>
      </c>
      <c r="J1716" t="s">
        <v>11</v>
      </c>
      <c r="K1716">
        <v>159.56</v>
      </c>
      <c r="L1716" t="s">
        <v>683</v>
      </c>
      <c r="M1716">
        <v>28</v>
      </c>
    </row>
    <row r="1717" spans="1:13" x14ac:dyDescent="0.35">
      <c r="A1717" t="s">
        <v>1989</v>
      </c>
      <c r="B1717" t="s">
        <v>270</v>
      </c>
      <c r="C1717" t="s">
        <v>567</v>
      </c>
      <c r="D1717" t="s">
        <v>638</v>
      </c>
      <c r="E1717" s="1">
        <v>45539</v>
      </c>
      <c r="F1717" s="1">
        <v>45541</v>
      </c>
      <c r="G1717" s="1">
        <v>45561</v>
      </c>
      <c r="H1717" s="4">
        <f>IF(Claims_Cleaned[[#This Row],[processed_date]]="","",Claims_Cleaned[[#This Row],[processed_date]]-Claims_Cleaned[[#This Row],[submission_date]])</f>
        <v>20</v>
      </c>
      <c r="I1717" s="4" t="str">
        <f>TEXT(Claims_Cleaned[[#This Row],[claim_date]],"mmm-yyyy")</f>
        <v>Sep-2024</v>
      </c>
      <c r="J1717" t="s">
        <v>11</v>
      </c>
      <c r="K1717">
        <v>159.01</v>
      </c>
      <c r="L1717" t="s">
        <v>683</v>
      </c>
      <c r="M1717">
        <v>20</v>
      </c>
    </row>
    <row r="1718" spans="1:13" x14ac:dyDescent="0.35">
      <c r="A1718" t="s">
        <v>1468</v>
      </c>
      <c r="B1718" t="s">
        <v>74</v>
      </c>
      <c r="C1718" t="s">
        <v>579</v>
      </c>
      <c r="D1718" t="s">
        <v>638</v>
      </c>
      <c r="E1718" s="1">
        <v>45585</v>
      </c>
      <c r="F1718" s="1">
        <v>45589</v>
      </c>
      <c r="G1718" s="1">
        <v>45593</v>
      </c>
      <c r="H1718" s="4">
        <f>IF(Claims_Cleaned[[#This Row],[processed_date]]="","",Claims_Cleaned[[#This Row],[processed_date]]-Claims_Cleaned[[#This Row],[submission_date]])</f>
        <v>4</v>
      </c>
      <c r="I1718" s="4" t="str">
        <f>TEXT(Claims_Cleaned[[#This Row],[claim_date]],"mmm-yyyy")</f>
        <v>Oct-2024</v>
      </c>
      <c r="J1718" t="s">
        <v>8</v>
      </c>
      <c r="K1718">
        <v>158.9</v>
      </c>
      <c r="L1718" t="s">
        <v>687</v>
      </c>
      <c r="M1718">
        <v>4</v>
      </c>
    </row>
    <row r="1719" spans="1:13" x14ac:dyDescent="0.35">
      <c r="A1719" t="s">
        <v>2075</v>
      </c>
      <c r="B1719" t="s">
        <v>457</v>
      </c>
      <c r="C1719" t="s">
        <v>569</v>
      </c>
      <c r="D1719" t="s">
        <v>638</v>
      </c>
      <c r="E1719" s="1">
        <v>45293</v>
      </c>
      <c r="F1719" s="1">
        <v>45294</v>
      </c>
      <c r="G1719" s="1">
        <v>45314</v>
      </c>
      <c r="H1719" s="4">
        <f>IF(Claims_Cleaned[[#This Row],[processed_date]]="","",Claims_Cleaned[[#This Row],[processed_date]]-Claims_Cleaned[[#This Row],[submission_date]])</f>
        <v>20</v>
      </c>
      <c r="I1719" s="4" t="str">
        <f>TEXT(Claims_Cleaned[[#This Row],[claim_date]],"mmm-yyyy")</f>
        <v>Jan-2024</v>
      </c>
      <c r="J1719" t="s">
        <v>11</v>
      </c>
      <c r="K1719">
        <v>158.71</v>
      </c>
      <c r="L1719" t="s">
        <v>683</v>
      </c>
      <c r="M1719">
        <v>20</v>
      </c>
    </row>
    <row r="1720" spans="1:13" x14ac:dyDescent="0.35">
      <c r="A1720" t="s">
        <v>1907</v>
      </c>
      <c r="B1720" t="s">
        <v>297</v>
      </c>
      <c r="C1720" t="s">
        <v>521</v>
      </c>
      <c r="D1720" t="s">
        <v>638</v>
      </c>
      <c r="E1720" s="1">
        <v>45136</v>
      </c>
      <c r="F1720" s="1">
        <v>45138</v>
      </c>
      <c r="G1720" s="1">
        <v>45155</v>
      </c>
      <c r="H1720" s="4">
        <f>IF(Claims_Cleaned[[#This Row],[processed_date]]="","",Claims_Cleaned[[#This Row],[processed_date]]-Claims_Cleaned[[#This Row],[submission_date]])</f>
        <v>17</v>
      </c>
      <c r="I1720" s="4" t="str">
        <f>TEXT(Claims_Cleaned[[#This Row],[claim_date]],"mmm-yyyy")</f>
        <v>Jul-2023</v>
      </c>
      <c r="J1720" t="s">
        <v>8</v>
      </c>
      <c r="K1720">
        <v>158.63</v>
      </c>
      <c r="L1720" t="s">
        <v>683</v>
      </c>
      <c r="M1720">
        <v>17</v>
      </c>
    </row>
    <row r="1721" spans="1:13" x14ac:dyDescent="0.35">
      <c r="A1721" t="s">
        <v>1971</v>
      </c>
      <c r="B1721" t="s">
        <v>262</v>
      </c>
      <c r="C1721" t="s">
        <v>595</v>
      </c>
      <c r="D1721" t="s">
        <v>638</v>
      </c>
      <c r="E1721" s="1">
        <v>45019</v>
      </c>
      <c r="F1721" s="1">
        <v>45020</v>
      </c>
      <c r="G1721" s="1">
        <v>45041</v>
      </c>
      <c r="H1721" s="4">
        <f>IF(Claims_Cleaned[[#This Row],[processed_date]]="","",Claims_Cleaned[[#This Row],[processed_date]]-Claims_Cleaned[[#This Row],[submission_date]])</f>
        <v>21</v>
      </c>
      <c r="I1721" s="4" t="str">
        <f>TEXT(Claims_Cleaned[[#This Row],[claim_date]],"mmm-yyyy")</f>
        <v>Apr-2023</v>
      </c>
      <c r="J1721" t="s">
        <v>20</v>
      </c>
      <c r="K1721">
        <v>157.29</v>
      </c>
      <c r="L1721" t="s">
        <v>683</v>
      </c>
      <c r="M1721">
        <v>21</v>
      </c>
    </row>
    <row r="1722" spans="1:13" x14ac:dyDescent="0.35">
      <c r="A1722" t="s">
        <v>1914</v>
      </c>
      <c r="B1722" t="s">
        <v>41</v>
      </c>
      <c r="C1722" t="s">
        <v>607</v>
      </c>
      <c r="D1722" t="s">
        <v>638</v>
      </c>
      <c r="E1722" s="1">
        <v>45019</v>
      </c>
      <c r="F1722" s="1">
        <v>45024</v>
      </c>
      <c r="G1722" s="1">
        <v>45037</v>
      </c>
      <c r="H1722" s="4">
        <f>IF(Claims_Cleaned[[#This Row],[processed_date]]="","",Claims_Cleaned[[#This Row],[processed_date]]-Claims_Cleaned[[#This Row],[submission_date]])</f>
        <v>13</v>
      </c>
      <c r="I1722" s="4" t="str">
        <f>TEXT(Claims_Cleaned[[#This Row],[claim_date]],"mmm-yyyy")</f>
        <v>Apr-2023</v>
      </c>
      <c r="J1722" t="s">
        <v>11</v>
      </c>
      <c r="K1722">
        <v>156.85</v>
      </c>
      <c r="L1722" t="s">
        <v>687</v>
      </c>
      <c r="M1722">
        <v>13</v>
      </c>
    </row>
    <row r="1723" spans="1:13" x14ac:dyDescent="0.35">
      <c r="A1723" t="s">
        <v>2412</v>
      </c>
      <c r="B1723" t="s">
        <v>157</v>
      </c>
      <c r="C1723" t="s">
        <v>521</v>
      </c>
      <c r="D1723" t="s">
        <v>638</v>
      </c>
      <c r="E1723" s="1">
        <v>45222</v>
      </c>
      <c r="F1723" s="1">
        <v>45223</v>
      </c>
      <c r="G1723" s="1">
        <v>45238</v>
      </c>
      <c r="H1723" s="4">
        <f>IF(Claims_Cleaned[[#This Row],[processed_date]]="","",Claims_Cleaned[[#This Row],[processed_date]]-Claims_Cleaned[[#This Row],[submission_date]])</f>
        <v>15</v>
      </c>
      <c r="I1723" s="4" t="str">
        <f>TEXT(Claims_Cleaned[[#This Row],[claim_date]],"mmm-yyyy")</f>
        <v>Oct-2023</v>
      </c>
      <c r="J1723" t="s">
        <v>11</v>
      </c>
      <c r="K1723">
        <v>155.47999999999999</v>
      </c>
      <c r="L1723" t="s">
        <v>683</v>
      </c>
      <c r="M1723">
        <v>15</v>
      </c>
    </row>
    <row r="1724" spans="1:13" x14ac:dyDescent="0.35">
      <c r="A1724" t="s">
        <v>738</v>
      </c>
      <c r="B1724" t="s">
        <v>231</v>
      </c>
      <c r="C1724" t="s">
        <v>543</v>
      </c>
      <c r="D1724" t="s">
        <v>638</v>
      </c>
      <c r="E1724" s="1">
        <v>45043</v>
      </c>
      <c r="F1724" s="1">
        <v>45048</v>
      </c>
      <c r="G1724" s="1">
        <v>45067</v>
      </c>
      <c r="H1724" s="4">
        <f>IF(Claims_Cleaned[[#This Row],[processed_date]]="","",Claims_Cleaned[[#This Row],[processed_date]]-Claims_Cleaned[[#This Row],[submission_date]])</f>
        <v>19</v>
      </c>
      <c r="I1724" s="4" t="str">
        <f>TEXT(Claims_Cleaned[[#This Row],[claim_date]],"mmm-yyyy")</f>
        <v>Apr-2023</v>
      </c>
      <c r="J1724" t="s">
        <v>8</v>
      </c>
      <c r="K1724">
        <v>155.28</v>
      </c>
      <c r="L1724" t="s">
        <v>683</v>
      </c>
      <c r="M1724">
        <v>19</v>
      </c>
    </row>
    <row r="1725" spans="1:13" x14ac:dyDescent="0.35">
      <c r="A1725" t="s">
        <v>1636</v>
      </c>
      <c r="B1725" t="s">
        <v>439</v>
      </c>
      <c r="C1725" t="s">
        <v>549</v>
      </c>
      <c r="D1725" t="s">
        <v>638</v>
      </c>
      <c r="E1725" s="1">
        <v>45492</v>
      </c>
      <c r="F1725" s="1">
        <v>45496</v>
      </c>
      <c r="G1725" s="1">
        <v>45507</v>
      </c>
      <c r="H1725" s="4">
        <f>IF(Claims_Cleaned[[#This Row],[processed_date]]="","",Claims_Cleaned[[#This Row],[processed_date]]-Claims_Cleaned[[#This Row],[submission_date]])</f>
        <v>11</v>
      </c>
      <c r="I1725" s="4" t="str">
        <f>TEXT(Claims_Cleaned[[#This Row],[claim_date]],"mmm-yyyy")</f>
        <v>Jul-2024</v>
      </c>
      <c r="J1725" t="s">
        <v>11</v>
      </c>
      <c r="K1725">
        <v>154.07</v>
      </c>
      <c r="L1725" t="s">
        <v>683</v>
      </c>
      <c r="M1725">
        <v>11</v>
      </c>
    </row>
    <row r="1726" spans="1:13" x14ac:dyDescent="0.35">
      <c r="A1726" t="s">
        <v>1298</v>
      </c>
      <c r="B1726" t="s">
        <v>100</v>
      </c>
      <c r="C1726" t="s">
        <v>540</v>
      </c>
      <c r="D1726" t="s">
        <v>638</v>
      </c>
      <c r="E1726" s="1">
        <v>45489</v>
      </c>
      <c r="F1726" s="1">
        <v>45492</v>
      </c>
      <c r="G1726" s="1">
        <v>45518</v>
      </c>
      <c r="H1726" s="4">
        <f>IF(Claims_Cleaned[[#This Row],[processed_date]]="","",Claims_Cleaned[[#This Row],[processed_date]]-Claims_Cleaned[[#This Row],[submission_date]])</f>
        <v>26</v>
      </c>
      <c r="I1726" s="4" t="str">
        <f>TEXT(Claims_Cleaned[[#This Row],[claim_date]],"mmm-yyyy")</f>
        <v>Jul-2024</v>
      </c>
      <c r="J1726" t="s">
        <v>20</v>
      </c>
      <c r="K1726">
        <v>152.63999999999999</v>
      </c>
      <c r="L1726" t="s">
        <v>683</v>
      </c>
      <c r="M1726">
        <v>26</v>
      </c>
    </row>
    <row r="1727" spans="1:13" x14ac:dyDescent="0.35">
      <c r="A1727" t="s">
        <v>1754</v>
      </c>
      <c r="B1727" t="s">
        <v>432</v>
      </c>
      <c r="C1727" t="s">
        <v>534</v>
      </c>
      <c r="D1727" t="s">
        <v>638</v>
      </c>
      <c r="E1727" s="1">
        <v>45178</v>
      </c>
      <c r="F1727" s="1">
        <v>45179</v>
      </c>
      <c r="G1727" s="1"/>
      <c r="H1727" s="4" t="str">
        <f>IF(Claims_Cleaned[[#This Row],[processed_date]]="","",Claims_Cleaned[[#This Row],[processed_date]]-Claims_Cleaned[[#This Row],[submission_date]])</f>
        <v/>
      </c>
      <c r="I1727" s="4" t="str">
        <f>TEXT(Claims_Cleaned[[#This Row],[claim_date]],"mmm-yyyy")</f>
        <v>Sep-2023</v>
      </c>
      <c r="J1727" t="s">
        <v>11</v>
      </c>
      <c r="K1727">
        <v>152.29</v>
      </c>
      <c r="L1727" t="s">
        <v>689</v>
      </c>
    </row>
    <row r="1728" spans="1:13" x14ac:dyDescent="0.35">
      <c r="A1728" t="s">
        <v>2608</v>
      </c>
      <c r="B1728" t="s">
        <v>429</v>
      </c>
      <c r="C1728" t="s">
        <v>567</v>
      </c>
      <c r="D1728" t="s">
        <v>638</v>
      </c>
      <c r="E1728" s="1">
        <v>44943</v>
      </c>
      <c r="F1728" s="1">
        <v>44947</v>
      </c>
      <c r="G1728" s="1">
        <v>44975</v>
      </c>
      <c r="H1728" s="4">
        <f>IF(Claims_Cleaned[[#This Row],[processed_date]]="","",Claims_Cleaned[[#This Row],[processed_date]]-Claims_Cleaned[[#This Row],[submission_date]])</f>
        <v>28</v>
      </c>
      <c r="I1728" s="4" t="str">
        <f>TEXT(Claims_Cleaned[[#This Row],[claim_date]],"mmm-yyyy")</f>
        <v>Jan-2023</v>
      </c>
      <c r="J1728" t="s">
        <v>13</v>
      </c>
      <c r="K1728">
        <v>151.94999999999999</v>
      </c>
      <c r="L1728" t="s">
        <v>687</v>
      </c>
      <c r="M1728">
        <v>28</v>
      </c>
    </row>
    <row r="1729" spans="1:13" x14ac:dyDescent="0.35">
      <c r="A1729" t="s">
        <v>1432</v>
      </c>
      <c r="B1729" t="s">
        <v>249</v>
      </c>
      <c r="C1729" t="s">
        <v>563</v>
      </c>
      <c r="D1729" t="s">
        <v>638</v>
      </c>
      <c r="E1729" s="1">
        <v>45305</v>
      </c>
      <c r="F1729" s="1">
        <v>45310</v>
      </c>
      <c r="G1729" s="1">
        <v>45314</v>
      </c>
      <c r="H1729" s="4">
        <f>IF(Claims_Cleaned[[#This Row],[processed_date]]="","",Claims_Cleaned[[#This Row],[processed_date]]-Claims_Cleaned[[#This Row],[submission_date]])</f>
        <v>4</v>
      </c>
      <c r="I1729" s="4" t="str">
        <f>TEXT(Claims_Cleaned[[#This Row],[claim_date]],"mmm-yyyy")</f>
        <v>Jan-2024</v>
      </c>
      <c r="J1729" t="s">
        <v>8</v>
      </c>
      <c r="K1729">
        <v>151.53</v>
      </c>
      <c r="L1729" t="s">
        <v>683</v>
      </c>
      <c r="M1729">
        <v>4</v>
      </c>
    </row>
    <row r="1730" spans="1:13" x14ac:dyDescent="0.35">
      <c r="A1730" t="s">
        <v>2191</v>
      </c>
      <c r="B1730" t="s">
        <v>312</v>
      </c>
      <c r="C1730" t="s">
        <v>587</v>
      </c>
      <c r="D1730" t="s">
        <v>638</v>
      </c>
      <c r="E1730" s="1">
        <v>45118</v>
      </c>
      <c r="F1730" s="1">
        <v>45120</v>
      </c>
      <c r="G1730" s="1">
        <v>45128</v>
      </c>
      <c r="H1730" s="4">
        <f>IF(Claims_Cleaned[[#This Row],[processed_date]]="","",Claims_Cleaned[[#This Row],[processed_date]]-Claims_Cleaned[[#This Row],[submission_date]])</f>
        <v>8</v>
      </c>
      <c r="I1730" s="4" t="str">
        <f>TEXT(Claims_Cleaned[[#This Row],[claim_date]],"mmm-yyyy")</f>
        <v>Jul-2023</v>
      </c>
      <c r="J1730" t="s">
        <v>11</v>
      </c>
      <c r="K1730">
        <v>151.44999999999999</v>
      </c>
      <c r="L1730" t="s">
        <v>683</v>
      </c>
      <c r="M1730">
        <v>8</v>
      </c>
    </row>
    <row r="1731" spans="1:13" x14ac:dyDescent="0.35">
      <c r="A1731" t="s">
        <v>1935</v>
      </c>
      <c r="B1731" t="s">
        <v>421</v>
      </c>
      <c r="C1731" t="s">
        <v>565</v>
      </c>
      <c r="D1731" t="s">
        <v>651</v>
      </c>
      <c r="E1731" s="1">
        <v>45625</v>
      </c>
      <c r="F1731" s="1">
        <v>45627</v>
      </c>
      <c r="G1731" s="1">
        <v>45645</v>
      </c>
      <c r="H1731" s="4">
        <f>IF(Claims_Cleaned[[#This Row],[processed_date]]="","",Claims_Cleaned[[#This Row],[processed_date]]-Claims_Cleaned[[#This Row],[submission_date]])</f>
        <v>18</v>
      </c>
      <c r="I1731" s="4" t="str">
        <f>TEXT(Claims_Cleaned[[#This Row],[claim_date]],"mmm-yyyy")</f>
        <v>Nov-2024</v>
      </c>
      <c r="J1731" t="s">
        <v>8</v>
      </c>
      <c r="K1731">
        <v>149.82</v>
      </c>
      <c r="L1731" t="s">
        <v>683</v>
      </c>
      <c r="M1731">
        <v>18</v>
      </c>
    </row>
    <row r="1732" spans="1:13" x14ac:dyDescent="0.35">
      <c r="A1732" t="s">
        <v>2274</v>
      </c>
      <c r="B1732" t="s">
        <v>112</v>
      </c>
      <c r="C1732" t="s">
        <v>563</v>
      </c>
      <c r="D1732" t="s">
        <v>651</v>
      </c>
      <c r="E1732" s="1">
        <v>45517</v>
      </c>
      <c r="F1732" s="1">
        <v>45521</v>
      </c>
      <c r="G1732" s="1">
        <v>45543</v>
      </c>
      <c r="H1732" s="4">
        <f>IF(Claims_Cleaned[[#This Row],[processed_date]]="","",Claims_Cleaned[[#This Row],[processed_date]]-Claims_Cleaned[[#This Row],[submission_date]])</f>
        <v>22</v>
      </c>
      <c r="I1732" s="4" t="str">
        <f>TEXT(Claims_Cleaned[[#This Row],[claim_date]],"mmm-yyyy")</f>
        <v>Aug-2024</v>
      </c>
      <c r="J1732" t="s">
        <v>13</v>
      </c>
      <c r="K1732">
        <v>149.66</v>
      </c>
      <c r="L1732" t="s">
        <v>687</v>
      </c>
      <c r="M1732">
        <v>22</v>
      </c>
    </row>
    <row r="1733" spans="1:13" x14ac:dyDescent="0.35">
      <c r="A1733" t="s">
        <v>853</v>
      </c>
      <c r="B1733" t="s">
        <v>246</v>
      </c>
      <c r="C1733" t="s">
        <v>595</v>
      </c>
      <c r="D1733" t="s">
        <v>651</v>
      </c>
      <c r="E1733" s="1">
        <v>45057</v>
      </c>
      <c r="F1733" s="1">
        <v>45060</v>
      </c>
      <c r="G1733" s="1">
        <v>45072</v>
      </c>
      <c r="H1733" s="4">
        <f>IF(Claims_Cleaned[[#This Row],[processed_date]]="","",Claims_Cleaned[[#This Row],[processed_date]]-Claims_Cleaned[[#This Row],[submission_date]])</f>
        <v>12</v>
      </c>
      <c r="I1733" s="4" t="str">
        <f>TEXT(Claims_Cleaned[[#This Row],[claim_date]],"mmm-yyyy")</f>
        <v>May-2023</v>
      </c>
      <c r="J1733" t="s">
        <v>11</v>
      </c>
      <c r="K1733">
        <v>149.46</v>
      </c>
      <c r="L1733" t="s">
        <v>683</v>
      </c>
      <c r="M1733">
        <v>12</v>
      </c>
    </row>
    <row r="1734" spans="1:13" x14ac:dyDescent="0.35">
      <c r="A1734" t="s">
        <v>918</v>
      </c>
      <c r="B1734" t="s">
        <v>41</v>
      </c>
      <c r="C1734" t="s">
        <v>597</v>
      </c>
      <c r="D1734" t="s">
        <v>638</v>
      </c>
      <c r="E1734" s="1">
        <v>45005</v>
      </c>
      <c r="F1734" s="1">
        <v>45010</v>
      </c>
      <c r="G1734" s="1">
        <v>45014</v>
      </c>
      <c r="H1734" s="4">
        <f>IF(Claims_Cleaned[[#This Row],[processed_date]]="","",Claims_Cleaned[[#This Row],[processed_date]]-Claims_Cleaned[[#This Row],[submission_date]])</f>
        <v>4</v>
      </c>
      <c r="I1734" s="4" t="str">
        <f>TEXT(Claims_Cleaned[[#This Row],[claim_date]],"mmm-yyyy")</f>
        <v>Mar-2023</v>
      </c>
      <c r="J1734" t="s">
        <v>11</v>
      </c>
      <c r="K1734">
        <v>148.44</v>
      </c>
      <c r="L1734" t="s">
        <v>683</v>
      </c>
      <c r="M1734">
        <v>4</v>
      </c>
    </row>
    <row r="1735" spans="1:13" x14ac:dyDescent="0.35">
      <c r="A1735" t="s">
        <v>1892</v>
      </c>
      <c r="B1735" t="s">
        <v>129</v>
      </c>
      <c r="C1735" t="s">
        <v>573</v>
      </c>
      <c r="D1735" t="s">
        <v>638</v>
      </c>
      <c r="E1735" s="1">
        <v>45174</v>
      </c>
      <c r="F1735" s="1">
        <v>45179</v>
      </c>
      <c r="G1735" s="1">
        <v>45195</v>
      </c>
      <c r="H1735" s="4">
        <f>IF(Claims_Cleaned[[#This Row],[processed_date]]="","",Claims_Cleaned[[#This Row],[processed_date]]-Claims_Cleaned[[#This Row],[submission_date]])</f>
        <v>16</v>
      </c>
      <c r="I1735" s="4" t="str">
        <f>TEXT(Claims_Cleaned[[#This Row],[claim_date]],"mmm-yyyy")</f>
        <v>Sep-2023</v>
      </c>
      <c r="J1735" t="s">
        <v>8</v>
      </c>
      <c r="K1735">
        <v>148.32</v>
      </c>
      <c r="L1735" t="s">
        <v>683</v>
      </c>
      <c r="M1735">
        <v>16</v>
      </c>
    </row>
    <row r="1736" spans="1:13" x14ac:dyDescent="0.35">
      <c r="A1736" t="s">
        <v>1906</v>
      </c>
      <c r="B1736" t="s">
        <v>46</v>
      </c>
      <c r="C1736" t="s">
        <v>597</v>
      </c>
      <c r="D1736" t="s">
        <v>638</v>
      </c>
      <c r="E1736" s="1">
        <v>45372</v>
      </c>
      <c r="F1736" s="1">
        <v>45377</v>
      </c>
      <c r="G1736" s="1">
        <v>45392</v>
      </c>
      <c r="H1736" s="4">
        <f>IF(Claims_Cleaned[[#This Row],[processed_date]]="","",Claims_Cleaned[[#This Row],[processed_date]]-Claims_Cleaned[[#This Row],[submission_date]])</f>
        <v>15</v>
      </c>
      <c r="I1736" s="4" t="str">
        <f>TEXT(Claims_Cleaned[[#This Row],[claim_date]],"mmm-yyyy")</f>
        <v>Mar-2024</v>
      </c>
      <c r="J1736" t="s">
        <v>11</v>
      </c>
      <c r="K1736">
        <v>147.94999999999999</v>
      </c>
      <c r="L1736" t="s">
        <v>683</v>
      </c>
      <c r="M1736">
        <v>15</v>
      </c>
    </row>
    <row r="1737" spans="1:13" x14ac:dyDescent="0.35">
      <c r="A1737" t="s">
        <v>2581</v>
      </c>
      <c r="B1737" t="s">
        <v>417</v>
      </c>
      <c r="C1737" t="s">
        <v>569</v>
      </c>
      <c r="D1737" t="s">
        <v>651</v>
      </c>
      <c r="E1737" s="1">
        <v>45338</v>
      </c>
      <c r="F1737" s="1">
        <v>45342</v>
      </c>
      <c r="G1737" s="1"/>
      <c r="H1737" s="4" t="str">
        <f>IF(Claims_Cleaned[[#This Row],[processed_date]]="","",Claims_Cleaned[[#This Row],[processed_date]]-Claims_Cleaned[[#This Row],[submission_date]])</f>
        <v/>
      </c>
      <c r="I1737" s="4" t="str">
        <f>TEXT(Claims_Cleaned[[#This Row],[claim_date]],"mmm-yyyy")</f>
        <v>Feb-2024</v>
      </c>
      <c r="J1737" t="s">
        <v>25</v>
      </c>
      <c r="K1737">
        <v>147.62</v>
      </c>
      <c r="L1737" t="s">
        <v>689</v>
      </c>
    </row>
    <row r="1738" spans="1:13" x14ac:dyDescent="0.35">
      <c r="A1738" t="s">
        <v>2174</v>
      </c>
      <c r="B1738" t="s">
        <v>198</v>
      </c>
      <c r="C1738" t="s">
        <v>591</v>
      </c>
      <c r="D1738" t="s">
        <v>638</v>
      </c>
      <c r="E1738" s="1">
        <v>45607</v>
      </c>
      <c r="F1738" s="1">
        <v>45608</v>
      </c>
      <c r="G1738" s="1">
        <v>45616</v>
      </c>
      <c r="H1738" s="4">
        <f>IF(Claims_Cleaned[[#This Row],[processed_date]]="","",Claims_Cleaned[[#This Row],[processed_date]]-Claims_Cleaned[[#This Row],[submission_date]])</f>
        <v>8</v>
      </c>
      <c r="I1738" s="4" t="str">
        <f>TEXT(Claims_Cleaned[[#This Row],[claim_date]],"mmm-yyyy")</f>
        <v>Nov-2024</v>
      </c>
      <c r="J1738" t="s">
        <v>11</v>
      </c>
      <c r="K1738">
        <v>147.46</v>
      </c>
      <c r="L1738" t="s">
        <v>687</v>
      </c>
      <c r="M1738">
        <v>8</v>
      </c>
    </row>
    <row r="1739" spans="1:13" x14ac:dyDescent="0.35">
      <c r="A1739" t="s">
        <v>1964</v>
      </c>
      <c r="B1739" t="s">
        <v>320</v>
      </c>
      <c r="C1739" t="s">
        <v>579</v>
      </c>
      <c r="D1739" t="s">
        <v>651</v>
      </c>
      <c r="E1739" s="1">
        <v>45532</v>
      </c>
      <c r="F1739" s="1">
        <v>45537</v>
      </c>
      <c r="G1739" s="1">
        <v>45545</v>
      </c>
      <c r="H1739" s="4">
        <f>IF(Claims_Cleaned[[#This Row],[processed_date]]="","",Claims_Cleaned[[#This Row],[processed_date]]-Claims_Cleaned[[#This Row],[submission_date]])</f>
        <v>8</v>
      </c>
      <c r="I1739" s="4" t="str">
        <f>TEXT(Claims_Cleaned[[#This Row],[claim_date]],"mmm-yyyy")</f>
        <v>Aug-2024</v>
      </c>
      <c r="J1739" t="s">
        <v>11</v>
      </c>
      <c r="K1739">
        <v>147.41999999999999</v>
      </c>
      <c r="L1739" t="s">
        <v>683</v>
      </c>
      <c r="M1739">
        <v>8</v>
      </c>
    </row>
    <row r="1740" spans="1:13" x14ac:dyDescent="0.35">
      <c r="A1740" t="s">
        <v>1267</v>
      </c>
      <c r="B1740" t="s">
        <v>112</v>
      </c>
      <c r="C1740" t="s">
        <v>577</v>
      </c>
      <c r="D1740" t="s">
        <v>651</v>
      </c>
      <c r="E1740" s="1">
        <v>45176</v>
      </c>
      <c r="F1740" s="1">
        <v>45180</v>
      </c>
      <c r="G1740" s="1">
        <v>45184</v>
      </c>
      <c r="H1740" s="4">
        <f>IF(Claims_Cleaned[[#This Row],[processed_date]]="","",Claims_Cleaned[[#This Row],[processed_date]]-Claims_Cleaned[[#This Row],[submission_date]])</f>
        <v>4</v>
      </c>
      <c r="I1740" s="4" t="str">
        <f>TEXT(Claims_Cleaned[[#This Row],[claim_date]],"mmm-yyyy")</f>
        <v>Sep-2023</v>
      </c>
      <c r="J1740" t="s">
        <v>13</v>
      </c>
      <c r="K1740">
        <v>147.35</v>
      </c>
      <c r="L1740" t="s">
        <v>687</v>
      </c>
      <c r="M1740">
        <v>4</v>
      </c>
    </row>
    <row r="1741" spans="1:13" x14ac:dyDescent="0.35">
      <c r="A1741" t="s">
        <v>2663</v>
      </c>
      <c r="B1741" t="s">
        <v>49</v>
      </c>
      <c r="C1741" t="s">
        <v>534</v>
      </c>
      <c r="D1741" t="s">
        <v>651</v>
      </c>
      <c r="E1741" s="1">
        <v>45218</v>
      </c>
      <c r="F1741" s="1">
        <v>45223</v>
      </c>
      <c r="G1741" s="1">
        <v>45242</v>
      </c>
      <c r="H1741" s="4">
        <f>IF(Claims_Cleaned[[#This Row],[processed_date]]="","",Claims_Cleaned[[#This Row],[processed_date]]-Claims_Cleaned[[#This Row],[submission_date]])</f>
        <v>19</v>
      </c>
      <c r="I1741" s="4" t="str">
        <f>TEXT(Claims_Cleaned[[#This Row],[claim_date]],"mmm-yyyy")</f>
        <v>Oct-2023</v>
      </c>
      <c r="J1741" t="s">
        <v>8</v>
      </c>
      <c r="K1741">
        <v>147.22</v>
      </c>
      <c r="L1741" t="s">
        <v>683</v>
      </c>
      <c r="M1741">
        <v>19</v>
      </c>
    </row>
    <row r="1742" spans="1:13" x14ac:dyDescent="0.35">
      <c r="A1742" t="s">
        <v>2159</v>
      </c>
      <c r="B1742" t="s">
        <v>124</v>
      </c>
      <c r="C1742" t="s">
        <v>524</v>
      </c>
      <c r="D1742" t="s">
        <v>638</v>
      </c>
      <c r="E1742" s="1">
        <v>45014</v>
      </c>
      <c r="F1742" s="1">
        <v>45019</v>
      </c>
      <c r="G1742" s="1">
        <v>45039</v>
      </c>
      <c r="H1742" s="4">
        <f>IF(Claims_Cleaned[[#This Row],[processed_date]]="","",Claims_Cleaned[[#This Row],[processed_date]]-Claims_Cleaned[[#This Row],[submission_date]])</f>
        <v>20</v>
      </c>
      <c r="I1742" s="4" t="str">
        <f>TEXT(Claims_Cleaned[[#This Row],[claim_date]],"mmm-yyyy")</f>
        <v>Mar-2023</v>
      </c>
      <c r="J1742" t="s">
        <v>13</v>
      </c>
      <c r="K1742">
        <v>146.69999999999999</v>
      </c>
      <c r="L1742" t="s">
        <v>687</v>
      </c>
      <c r="M1742">
        <v>20</v>
      </c>
    </row>
    <row r="1743" spans="1:13" x14ac:dyDescent="0.35">
      <c r="A1743" t="s">
        <v>2054</v>
      </c>
      <c r="B1743" t="s">
        <v>50</v>
      </c>
      <c r="C1743" t="s">
        <v>537</v>
      </c>
      <c r="D1743" t="s">
        <v>638</v>
      </c>
      <c r="E1743" s="1">
        <v>45571</v>
      </c>
      <c r="F1743" s="1">
        <v>45573</v>
      </c>
      <c r="G1743" s="1">
        <v>45600</v>
      </c>
      <c r="H1743" s="4">
        <f>IF(Claims_Cleaned[[#This Row],[processed_date]]="","",Claims_Cleaned[[#This Row],[processed_date]]-Claims_Cleaned[[#This Row],[submission_date]])</f>
        <v>27</v>
      </c>
      <c r="I1743" s="4" t="str">
        <f>TEXT(Claims_Cleaned[[#This Row],[claim_date]],"mmm-yyyy")</f>
        <v>Oct-2024</v>
      </c>
      <c r="J1743" t="s">
        <v>13</v>
      </c>
      <c r="K1743">
        <v>146.63</v>
      </c>
      <c r="L1743" t="s">
        <v>683</v>
      </c>
      <c r="M1743">
        <v>27</v>
      </c>
    </row>
    <row r="1744" spans="1:13" x14ac:dyDescent="0.35">
      <c r="A1744" t="s">
        <v>2341</v>
      </c>
      <c r="B1744" t="s">
        <v>267</v>
      </c>
      <c r="C1744" t="s">
        <v>537</v>
      </c>
      <c r="D1744" t="s">
        <v>651</v>
      </c>
      <c r="E1744" s="1">
        <v>45252</v>
      </c>
      <c r="F1744" s="1">
        <v>45257</v>
      </c>
      <c r="G1744" s="1">
        <v>45285</v>
      </c>
      <c r="H1744" s="4">
        <f>IF(Claims_Cleaned[[#This Row],[processed_date]]="","",Claims_Cleaned[[#This Row],[processed_date]]-Claims_Cleaned[[#This Row],[submission_date]])</f>
        <v>28</v>
      </c>
      <c r="I1744" s="4" t="str">
        <f>TEXT(Claims_Cleaned[[#This Row],[claim_date]],"mmm-yyyy")</f>
        <v>Nov-2023</v>
      </c>
      <c r="J1744" t="s">
        <v>25</v>
      </c>
      <c r="K1744">
        <v>146.52000000000001</v>
      </c>
      <c r="L1744" t="s">
        <v>683</v>
      </c>
      <c r="M1744">
        <v>28</v>
      </c>
    </row>
    <row r="1745" spans="1:13" x14ac:dyDescent="0.35">
      <c r="A1745" t="s">
        <v>933</v>
      </c>
      <c r="B1745" t="s">
        <v>359</v>
      </c>
      <c r="C1745" t="s">
        <v>567</v>
      </c>
      <c r="D1745" t="s">
        <v>651</v>
      </c>
      <c r="E1745" s="1">
        <v>45605</v>
      </c>
      <c r="F1745" s="1">
        <v>45607</v>
      </c>
      <c r="G1745" s="1">
        <v>45636</v>
      </c>
      <c r="H1745" s="4">
        <f>IF(Claims_Cleaned[[#This Row],[processed_date]]="","",Claims_Cleaned[[#This Row],[processed_date]]-Claims_Cleaned[[#This Row],[submission_date]])</f>
        <v>29</v>
      </c>
      <c r="I1745" s="4" t="str">
        <f>TEXT(Claims_Cleaned[[#This Row],[claim_date]],"mmm-yyyy")</f>
        <v>Nov-2024</v>
      </c>
      <c r="J1745" t="s">
        <v>25</v>
      </c>
      <c r="K1745">
        <v>146.38</v>
      </c>
      <c r="L1745" t="s">
        <v>687</v>
      </c>
      <c r="M1745">
        <v>29</v>
      </c>
    </row>
    <row r="1746" spans="1:13" x14ac:dyDescent="0.35">
      <c r="A1746" t="s">
        <v>2384</v>
      </c>
      <c r="B1746" t="s">
        <v>210</v>
      </c>
      <c r="C1746" t="s">
        <v>531</v>
      </c>
      <c r="D1746" t="s">
        <v>638</v>
      </c>
      <c r="E1746" s="1">
        <v>45267</v>
      </c>
      <c r="F1746" s="1">
        <v>45269</v>
      </c>
      <c r="G1746" s="1">
        <v>45276</v>
      </c>
      <c r="H1746" s="4">
        <f>IF(Claims_Cleaned[[#This Row],[processed_date]]="","",Claims_Cleaned[[#This Row],[processed_date]]-Claims_Cleaned[[#This Row],[submission_date]])</f>
        <v>7</v>
      </c>
      <c r="I1746" s="4" t="str">
        <f>TEXT(Claims_Cleaned[[#This Row],[claim_date]],"mmm-yyyy")</f>
        <v>Dec-2023</v>
      </c>
      <c r="J1746" t="s">
        <v>20</v>
      </c>
      <c r="K1746">
        <v>146.32</v>
      </c>
      <c r="L1746" t="s">
        <v>687</v>
      </c>
      <c r="M1746">
        <v>7</v>
      </c>
    </row>
    <row r="1747" spans="1:13" x14ac:dyDescent="0.35">
      <c r="A1747" t="s">
        <v>2038</v>
      </c>
      <c r="B1747" t="s">
        <v>297</v>
      </c>
      <c r="C1747" t="s">
        <v>567</v>
      </c>
      <c r="D1747" t="s">
        <v>651</v>
      </c>
      <c r="E1747" s="1">
        <v>45506</v>
      </c>
      <c r="F1747" s="1">
        <v>45511</v>
      </c>
      <c r="G1747" s="1">
        <v>45526</v>
      </c>
      <c r="H1747" s="4">
        <f>IF(Claims_Cleaned[[#This Row],[processed_date]]="","",Claims_Cleaned[[#This Row],[processed_date]]-Claims_Cleaned[[#This Row],[submission_date]])</f>
        <v>15</v>
      </c>
      <c r="I1747" s="4" t="str">
        <f>TEXT(Claims_Cleaned[[#This Row],[claim_date]],"mmm-yyyy")</f>
        <v>Aug-2024</v>
      </c>
      <c r="J1747" t="s">
        <v>8</v>
      </c>
      <c r="K1747">
        <v>145.80000000000001</v>
      </c>
      <c r="L1747" t="s">
        <v>683</v>
      </c>
      <c r="M1747">
        <v>15</v>
      </c>
    </row>
    <row r="1748" spans="1:13" x14ac:dyDescent="0.35">
      <c r="A1748" t="s">
        <v>1440</v>
      </c>
      <c r="B1748" t="s">
        <v>131</v>
      </c>
      <c r="C1748" t="s">
        <v>589</v>
      </c>
      <c r="D1748" t="s">
        <v>651</v>
      </c>
      <c r="E1748" s="1">
        <v>45267</v>
      </c>
      <c r="F1748" s="1">
        <v>45272</v>
      </c>
      <c r="G1748" s="1">
        <v>45284</v>
      </c>
      <c r="H1748" s="4">
        <f>IF(Claims_Cleaned[[#This Row],[processed_date]]="","",Claims_Cleaned[[#This Row],[processed_date]]-Claims_Cleaned[[#This Row],[submission_date]])</f>
        <v>12</v>
      </c>
      <c r="I1748" s="4" t="str">
        <f>TEXT(Claims_Cleaned[[#This Row],[claim_date]],"mmm-yyyy")</f>
        <v>Dec-2023</v>
      </c>
      <c r="J1748" t="s">
        <v>20</v>
      </c>
      <c r="K1748">
        <v>145.59</v>
      </c>
      <c r="L1748" t="s">
        <v>683</v>
      </c>
      <c r="M1748">
        <v>12</v>
      </c>
    </row>
    <row r="1749" spans="1:13" x14ac:dyDescent="0.35">
      <c r="A1749" t="s">
        <v>2053</v>
      </c>
      <c r="B1749" t="s">
        <v>487</v>
      </c>
      <c r="C1749" t="s">
        <v>559</v>
      </c>
      <c r="D1749" t="s">
        <v>651</v>
      </c>
      <c r="E1749" s="1">
        <v>45478</v>
      </c>
      <c r="F1749" s="1">
        <v>45481</v>
      </c>
      <c r="G1749" s="1">
        <v>45487</v>
      </c>
      <c r="H1749" s="4">
        <f>IF(Claims_Cleaned[[#This Row],[processed_date]]="","",Claims_Cleaned[[#This Row],[processed_date]]-Claims_Cleaned[[#This Row],[submission_date]])</f>
        <v>6</v>
      </c>
      <c r="I1749" s="4" t="str">
        <f>TEXT(Claims_Cleaned[[#This Row],[claim_date]],"mmm-yyyy")</f>
        <v>Jul-2024</v>
      </c>
      <c r="J1749" t="s">
        <v>20</v>
      </c>
      <c r="K1749">
        <v>145.16999999999999</v>
      </c>
      <c r="L1749" t="s">
        <v>683</v>
      </c>
      <c r="M1749">
        <v>6</v>
      </c>
    </row>
    <row r="1750" spans="1:13" x14ac:dyDescent="0.35">
      <c r="A1750" t="s">
        <v>1431</v>
      </c>
      <c r="B1750" t="s">
        <v>216</v>
      </c>
      <c r="C1750" t="s">
        <v>603</v>
      </c>
      <c r="D1750" t="s">
        <v>651</v>
      </c>
      <c r="E1750" s="1">
        <v>45291</v>
      </c>
      <c r="F1750" s="1">
        <v>45294</v>
      </c>
      <c r="G1750" s="1">
        <v>45302</v>
      </c>
      <c r="H1750" s="4">
        <f>IF(Claims_Cleaned[[#This Row],[processed_date]]="","",Claims_Cleaned[[#This Row],[processed_date]]-Claims_Cleaned[[#This Row],[submission_date]])</f>
        <v>8</v>
      </c>
      <c r="I1750" s="4" t="str">
        <f>TEXT(Claims_Cleaned[[#This Row],[claim_date]],"mmm-yyyy")</f>
        <v>Dec-2023</v>
      </c>
      <c r="J1750" t="s">
        <v>20</v>
      </c>
      <c r="K1750">
        <v>144.91</v>
      </c>
      <c r="L1750" t="s">
        <v>683</v>
      </c>
      <c r="M1750">
        <v>8</v>
      </c>
    </row>
    <row r="1751" spans="1:13" x14ac:dyDescent="0.35">
      <c r="A1751" t="s">
        <v>2195</v>
      </c>
      <c r="B1751" t="s">
        <v>390</v>
      </c>
      <c r="C1751" t="s">
        <v>585</v>
      </c>
      <c r="D1751" t="s">
        <v>651</v>
      </c>
      <c r="E1751" s="1">
        <v>45470</v>
      </c>
      <c r="F1751" s="1">
        <v>45474</v>
      </c>
      <c r="G1751" s="1">
        <v>45501</v>
      </c>
      <c r="H1751" s="4">
        <f>IF(Claims_Cleaned[[#This Row],[processed_date]]="","",Claims_Cleaned[[#This Row],[processed_date]]-Claims_Cleaned[[#This Row],[submission_date]])</f>
        <v>27</v>
      </c>
      <c r="I1751" s="4" t="str">
        <f>TEXT(Claims_Cleaned[[#This Row],[claim_date]],"mmm-yyyy")</f>
        <v>Jun-2024</v>
      </c>
      <c r="J1751" t="s">
        <v>11</v>
      </c>
      <c r="K1751">
        <v>144.36000000000001</v>
      </c>
      <c r="L1751" t="s">
        <v>683</v>
      </c>
      <c r="M1751">
        <v>27</v>
      </c>
    </row>
    <row r="1752" spans="1:13" x14ac:dyDescent="0.35">
      <c r="A1752" t="s">
        <v>1918</v>
      </c>
      <c r="B1752" t="s">
        <v>510</v>
      </c>
      <c r="C1752" t="s">
        <v>577</v>
      </c>
      <c r="D1752" t="s">
        <v>651</v>
      </c>
      <c r="E1752" s="1">
        <v>45161</v>
      </c>
      <c r="F1752" s="1">
        <v>45163</v>
      </c>
      <c r="G1752" s="1">
        <v>45173</v>
      </c>
      <c r="H1752" s="4">
        <f>IF(Claims_Cleaned[[#This Row],[processed_date]]="","",Claims_Cleaned[[#This Row],[processed_date]]-Claims_Cleaned[[#This Row],[submission_date]])</f>
        <v>10</v>
      </c>
      <c r="I1752" s="4" t="str">
        <f>TEXT(Claims_Cleaned[[#This Row],[claim_date]],"mmm-yyyy")</f>
        <v>Aug-2023</v>
      </c>
      <c r="J1752" t="s">
        <v>11</v>
      </c>
      <c r="K1752">
        <v>144.06</v>
      </c>
      <c r="L1752" t="s">
        <v>683</v>
      </c>
      <c r="M1752">
        <v>10</v>
      </c>
    </row>
    <row r="1753" spans="1:13" x14ac:dyDescent="0.35">
      <c r="A1753" t="s">
        <v>1969</v>
      </c>
      <c r="B1753" t="s">
        <v>404</v>
      </c>
      <c r="C1753" t="s">
        <v>521</v>
      </c>
      <c r="D1753" t="s">
        <v>638</v>
      </c>
      <c r="E1753" s="1">
        <v>45522</v>
      </c>
      <c r="F1753" s="1">
        <v>45525</v>
      </c>
      <c r="G1753" s="1">
        <v>45539</v>
      </c>
      <c r="H1753" s="4">
        <f>IF(Claims_Cleaned[[#This Row],[processed_date]]="","",Claims_Cleaned[[#This Row],[processed_date]]-Claims_Cleaned[[#This Row],[submission_date]])</f>
        <v>14</v>
      </c>
      <c r="I1753" s="4" t="str">
        <f>TEXT(Claims_Cleaned[[#This Row],[claim_date]],"mmm-yyyy")</f>
        <v>Aug-2024</v>
      </c>
      <c r="J1753" t="s">
        <v>8</v>
      </c>
      <c r="K1753">
        <v>143.93</v>
      </c>
      <c r="L1753" t="s">
        <v>683</v>
      </c>
      <c r="M1753">
        <v>14</v>
      </c>
    </row>
    <row r="1754" spans="1:13" x14ac:dyDescent="0.35">
      <c r="A1754" t="s">
        <v>2637</v>
      </c>
      <c r="B1754" t="s">
        <v>197</v>
      </c>
      <c r="C1754" t="s">
        <v>559</v>
      </c>
      <c r="D1754" t="s">
        <v>651</v>
      </c>
      <c r="E1754" s="1">
        <v>45262</v>
      </c>
      <c r="F1754" s="1">
        <v>45264</v>
      </c>
      <c r="G1754" s="1">
        <v>45289</v>
      </c>
      <c r="H1754" s="4">
        <f>IF(Claims_Cleaned[[#This Row],[processed_date]]="","",Claims_Cleaned[[#This Row],[processed_date]]-Claims_Cleaned[[#This Row],[submission_date]])</f>
        <v>25</v>
      </c>
      <c r="I1754" s="4" t="str">
        <f>TEXT(Claims_Cleaned[[#This Row],[claim_date]],"mmm-yyyy")</f>
        <v>Dec-2023</v>
      </c>
      <c r="J1754" t="s">
        <v>13</v>
      </c>
      <c r="K1754">
        <v>143.87</v>
      </c>
      <c r="L1754" t="s">
        <v>683</v>
      </c>
      <c r="M1754">
        <v>25</v>
      </c>
    </row>
    <row r="1755" spans="1:13" x14ac:dyDescent="0.35">
      <c r="A1755" t="s">
        <v>2532</v>
      </c>
      <c r="B1755" t="s">
        <v>302</v>
      </c>
      <c r="C1755" t="s">
        <v>595</v>
      </c>
      <c r="D1755" t="s">
        <v>651</v>
      </c>
      <c r="E1755" s="1">
        <v>45397</v>
      </c>
      <c r="F1755" s="1">
        <v>45401</v>
      </c>
      <c r="G1755" s="1">
        <v>45411</v>
      </c>
      <c r="H1755" s="4">
        <f>IF(Claims_Cleaned[[#This Row],[processed_date]]="","",Claims_Cleaned[[#This Row],[processed_date]]-Claims_Cleaned[[#This Row],[submission_date]])</f>
        <v>10</v>
      </c>
      <c r="I1755" s="4" t="str">
        <f>TEXT(Claims_Cleaned[[#This Row],[claim_date]],"mmm-yyyy")</f>
        <v>Apr-2024</v>
      </c>
      <c r="J1755" t="s">
        <v>8</v>
      </c>
      <c r="K1755">
        <v>143.81</v>
      </c>
      <c r="L1755" t="s">
        <v>683</v>
      </c>
      <c r="M1755">
        <v>10</v>
      </c>
    </row>
    <row r="1756" spans="1:13" x14ac:dyDescent="0.35">
      <c r="A1756" t="s">
        <v>2147</v>
      </c>
      <c r="B1756" t="s">
        <v>364</v>
      </c>
      <c r="C1756" t="s">
        <v>563</v>
      </c>
      <c r="D1756" t="s">
        <v>638</v>
      </c>
      <c r="E1756" s="1">
        <v>45431</v>
      </c>
      <c r="F1756" s="1">
        <v>45436</v>
      </c>
      <c r="G1756" s="1"/>
      <c r="H1756" s="4" t="str">
        <f>IF(Claims_Cleaned[[#This Row],[processed_date]]="","",Claims_Cleaned[[#This Row],[processed_date]]-Claims_Cleaned[[#This Row],[submission_date]])</f>
        <v/>
      </c>
      <c r="I1756" s="4" t="str">
        <f>TEXT(Claims_Cleaned[[#This Row],[claim_date]],"mmm-yyyy")</f>
        <v>May-2024</v>
      </c>
      <c r="J1756" t="s">
        <v>11</v>
      </c>
      <c r="K1756">
        <v>142.54</v>
      </c>
      <c r="L1756" t="s">
        <v>689</v>
      </c>
    </row>
    <row r="1757" spans="1:13" x14ac:dyDescent="0.35">
      <c r="A1757" t="s">
        <v>2106</v>
      </c>
      <c r="B1757" t="s">
        <v>179</v>
      </c>
      <c r="C1757" t="s">
        <v>601</v>
      </c>
      <c r="D1757" t="s">
        <v>651</v>
      </c>
      <c r="E1757" s="1">
        <v>45138</v>
      </c>
      <c r="F1757" s="1">
        <v>45143</v>
      </c>
      <c r="G1757" s="1">
        <v>45173</v>
      </c>
      <c r="H1757" s="4">
        <f>IF(Claims_Cleaned[[#This Row],[processed_date]]="","",Claims_Cleaned[[#This Row],[processed_date]]-Claims_Cleaned[[#This Row],[submission_date]])</f>
        <v>30</v>
      </c>
      <c r="I1757" s="4" t="str">
        <f>TEXT(Claims_Cleaned[[#This Row],[claim_date]],"mmm-yyyy")</f>
        <v>Jul-2023</v>
      </c>
      <c r="J1757" t="s">
        <v>11</v>
      </c>
      <c r="K1757">
        <v>141.97999999999999</v>
      </c>
      <c r="L1757" t="s">
        <v>687</v>
      </c>
      <c r="M1757">
        <v>30</v>
      </c>
    </row>
    <row r="1758" spans="1:13" x14ac:dyDescent="0.35">
      <c r="A1758" t="s">
        <v>2540</v>
      </c>
      <c r="B1758" t="s">
        <v>109</v>
      </c>
      <c r="C1758" t="s">
        <v>591</v>
      </c>
      <c r="D1758" t="s">
        <v>638</v>
      </c>
      <c r="E1758" s="1">
        <v>45579</v>
      </c>
      <c r="F1758" s="1">
        <v>45580</v>
      </c>
      <c r="G1758" s="1">
        <v>45588</v>
      </c>
      <c r="H1758" s="4">
        <f>IF(Claims_Cleaned[[#This Row],[processed_date]]="","",Claims_Cleaned[[#This Row],[processed_date]]-Claims_Cleaned[[#This Row],[submission_date]])</f>
        <v>8</v>
      </c>
      <c r="I1758" s="4" t="str">
        <f>TEXT(Claims_Cleaned[[#This Row],[claim_date]],"mmm-yyyy")</f>
        <v>Oct-2024</v>
      </c>
      <c r="J1758" t="s">
        <v>11</v>
      </c>
      <c r="K1758">
        <v>141.91999999999999</v>
      </c>
      <c r="L1758" t="s">
        <v>683</v>
      </c>
      <c r="M1758">
        <v>8</v>
      </c>
    </row>
    <row r="1759" spans="1:13" x14ac:dyDescent="0.35">
      <c r="A1759" t="s">
        <v>2246</v>
      </c>
      <c r="B1759" t="s">
        <v>141</v>
      </c>
      <c r="C1759" t="s">
        <v>546</v>
      </c>
      <c r="D1759" t="s">
        <v>638</v>
      </c>
      <c r="E1759" s="1">
        <v>45052</v>
      </c>
      <c r="F1759" s="1">
        <v>45056</v>
      </c>
      <c r="G1759" s="1">
        <v>45066</v>
      </c>
      <c r="H1759" s="4">
        <f>IF(Claims_Cleaned[[#This Row],[processed_date]]="","",Claims_Cleaned[[#This Row],[processed_date]]-Claims_Cleaned[[#This Row],[submission_date]])</f>
        <v>10</v>
      </c>
      <c r="I1759" s="4" t="str">
        <f>TEXT(Claims_Cleaned[[#This Row],[claim_date]],"mmm-yyyy")</f>
        <v>May-2023</v>
      </c>
      <c r="J1759" t="s">
        <v>8</v>
      </c>
      <c r="K1759">
        <v>141.63</v>
      </c>
      <c r="L1759" t="s">
        <v>683</v>
      </c>
      <c r="M1759">
        <v>10</v>
      </c>
    </row>
    <row r="1760" spans="1:13" x14ac:dyDescent="0.35">
      <c r="A1760" t="s">
        <v>2498</v>
      </c>
      <c r="B1760" t="s">
        <v>134</v>
      </c>
      <c r="C1760" t="s">
        <v>531</v>
      </c>
      <c r="D1760" t="s">
        <v>638</v>
      </c>
      <c r="E1760" s="1">
        <v>45370</v>
      </c>
      <c r="F1760" s="1">
        <v>45375</v>
      </c>
      <c r="G1760" s="1">
        <v>45400</v>
      </c>
      <c r="H1760" s="4">
        <f>IF(Claims_Cleaned[[#This Row],[processed_date]]="","",Claims_Cleaned[[#This Row],[processed_date]]-Claims_Cleaned[[#This Row],[submission_date]])</f>
        <v>25</v>
      </c>
      <c r="I1760" s="4" t="str">
        <f>TEXT(Claims_Cleaned[[#This Row],[claim_date]],"mmm-yyyy")</f>
        <v>Mar-2024</v>
      </c>
      <c r="J1760" t="s">
        <v>11</v>
      </c>
      <c r="K1760">
        <v>141.01</v>
      </c>
      <c r="L1760" t="s">
        <v>683</v>
      </c>
      <c r="M1760">
        <v>25</v>
      </c>
    </row>
    <row r="1761" spans="1:13" x14ac:dyDescent="0.35">
      <c r="A1761" t="s">
        <v>1805</v>
      </c>
      <c r="B1761" t="s">
        <v>280</v>
      </c>
      <c r="C1761" t="s">
        <v>611</v>
      </c>
      <c r="D1761" t="s">
        <v>651</v>
      </c>
      <c r="E1761" s="1">
        <v>44981</v>
      </c>
      <c r="F1761" s="1">
        <v>44986</v>
      </c>
      <c r="G1761" s="1">
        <v>44995</v>
      </c>
      <c r="H1761" s="4">
        <f>IF(Claims_Cleaned[[#This Row],[processed_date]]="","",Claims_Cleaned[[#This Row],[processed_date]]-Claims_Cleaned[[#This Row],[submission_date]])</f>
        <v>9</v>
      </c>
      <c r="I1761" s="4" t="str">
        <f>TEXT(Claims_Cleaned[[#This Row],[claim_date]],"mmm-yyyy")</f>
        <v>Feb-2023</v>
      </c>
      <c r="J1761" t="s">
        <v>8</v>
      </c>
      <c r="K1761">
        <v>141</v>
      </c>
      <c r="L1761" t="s">
        <v>683</v>
      </c>
      <c r="M1761">
        <v>9</v>
      </c>
    </row>
    <row r="1762" spans="1:13" x14ac:dyDescent="0.35">
      <c r="A1762" t="s">
        <v>1810</v>
      </c>
      <c r="B1762" t="s">
        <v>506</v>
      </c>
      <c r="C1762" t="s">
        <v>579</v>
      </c>
      <c r="D1762" t="s">
        <v>651</v>
      </c>
      <c r="E1762" s="1">
        <v>45646</v>
      </c>
      <c r="F1762" s="1">
        <v>45650</v>
      </c>
      <c r="G1762" s="1"/>
      <c r="H1762" s="4" t="str">
        <f>IF(Claims_Cleaned[[#This Row],[processed_date]]="","",Claims_Cleaned[[#This Row],[processed_date]]-Claims_Cleaned[[#This Row],[submission_date]])</f>
        <v/>
      </c>
      <c r="I1762" s="4" t="str">
        <f>TEXT(Claims_Cleaned[[#This Row],[claim_date]],"mmm-yyyy")</f>
        <v>Dec-2024</v>
      </c>
      <c r="J1762" t="s">
        <v>11</v>
      </c>
      <c r="K1762">
        <v>140.97</v>
      </c>
      <c r="L1762" t="s">
        <v>689</v>
      </c>
    </row>
    <row r="1763" spans="1:13" x14ac:dyDescent="0.35">
      <c r="A1763" t="s">
        <v>1276</v>
      </c>
      <c r="B1763" t="s">
        <v>48</v>
      </c>
      <c r="C1763" t="s">
        <v>540</v>
      </c>
      <c r="D1763" t="s">
        <v>638</v>
      </c>
      <c r="E1763" s="1">
        <v>45615</v>
      </c>
      <c r="F1763" s="1">
        <v>45617</v>
      </c>
      <c r="G1763" s="1"/>
      <c r="H1763" s="4" t="str">
        <f>IF(Claims_Cleaned[[#This Row],[processed_date]]="","",Claims_Cleaned[[#This Row],[processed_date]]-Claims_Cleaned[[#This Row],[submission_date]])</f>
        <v/>
      </c>
      <c r="I1763" s="4" t="str">
        <f>TEXT(Claims_Cleaned[[#This Row],[claim_date]],"mmm-yyyy")</f>
        <v>Nov-2024</v>
      </c>
      <c r="J1763" t="s">
        <v>20</v>
      </c>
      <c r="K1763">
        <v>140.62</v>
      </c>
      <c r="L1763" t="s">
        <v>689</v>
      </c>
    </row>
    <row r="1764" spans="1:13" x14ac:dyDescent="0.35">
      <c r="A1764" t="s">
        <v>1205</v>
      </c>
      <c r="B1764" t="s">
        <v>234</v>
      </c>
      <c r="C1764" t="s">
        <v>537</v>
      </c>
      <c r="D1764" t="s">
        <v>638</v>
      </c>
      <c r="E1764" s="1">
        <v>45188</v>
      </c>
      <c r="F1764" s="1">
        <v>45192</v>
      </c>
      <c r="G1764" s="1"/>
      <c r="H1764" s="4" t="str">
        <f>IF(Claims_Cleaned[[#This Row],[processed_date]]="","",Claims_Cleaned[[#This Row],[processed_date]]-Claims_Cleaned[[#This Row],[submission_date]])</f>
        <v/>
      </c>
      <c r="I1764" s="4" t="str">
        <f>TEXT(Claims_Cleaned[[#This Row],[claim_date]],"mmm-yyyy")</f>
        <v>Sep-2023</v>
      </c>
      <c r="J1764" t="s">
        <v>20</v>
      </c>
      <c r="K1764">
        <v>139.6</v>
      </c>
      <c r="L1764" t="s">
        <v>689</v>
      </c>
    </row>
    <row r="1765" spans="1:13" x14ac:dyDescent="0.35">
      <c r="A1765" t="s">
        <v>2444</v>
      </c>
      <c r="B1765" t="s">
        <v>284</v>
      </c>
      <c r="C1765" t="s">
        <v>593</v>
      </c>
      <c r="D1765" t="s">
        <v>638</v>
      </c>
      <c r="E1765" s="1">
        <v>45221</v>
      </c>
      <c r="F1765" s="1">
        <v>45226</v>
      </c>
      <c r="G1765" s="1">
        <v>45242</v>
      </c>
      <c r="H1765" s="4">
        <f>IF(Claims_Cleaned[[#This Row],[processed_date]]="","",Claims_Cleaned[[#This Row],[processed_date]]-Claims_Cleaned[[#This Row],[submission_date]])</f>
        <v>16</v>
      </c>
      <c r="I1765" s="4" t="str">
        <f>TEXT(Claims_Cleaned[[#This Row],[claim_date]],"mmm-yyyy")</f>
        <v>Oct-2023</v>
      </c>
      <c r="J1765" t="s">
        <v>8</v>
      </c>
      <c r="K1765">
        <v>139.18</v>
      </c>
      <c r="L1765" t="s">
        <v>683</v>
      </c>
      <c r="M1765">
        <v>16</v>
      </c>
    </row>
    <row r="1766" spans="1:13" x14ac:dyDescent="0.35">
      <c r="A1766" t="s">
        <v>912</v>
      </c>
      <c r="B1766" t="s">
        <v>224</v>
      </c>
      <c r="C1766" t="s">
        <v>569</v>
      </c>
      <c r="D1766" t="s">
        <v>638</v>
      </c>
      <c r="E1766" s="1">
        <v>45309</v>
      </c>
      <c r="F1766" s="1">
        <v>45311</v>
      </c>
      <c r="G1766" s="1">
        <v>45325</v>
      </c>
      <c r="H1766" s="4">
        <f>IF(Claims_Cleaned[[#This Row],[processed_date]]="","",Claims_Cleaned[[#This Row],[processed_date]]-Claims_Cleaned[[#This Row],[submission_date]])</f>
        <v>14</v>
      </c>
      <c r="I1766" s="4" t="str">
        <f>TEXT(Claims_Cleaned[[#This Row],[claim_date]],"mmm-yyyy")</f>
        <v>Jan-2024</v>
      </c>
      <c r="J1766" t="s">
        <v>11</v>
      </c>
      <c r="K1766">
        <v>138.94999999999999</v>
      </c>
      <c r="L1766" t="s">
        <v>683</v>
      </c>
      <c r="M1766">
        <v>14</v>
      </c>
    </row>
    <row r="1767" spans="1:13" x14ac:dyDescent="0.35">
      <c r="A1767" t="s">
        <v>2657</v>
      </c>
      <c r="B1767" t="s">
        <v>111</v>
      </c>
      <c r="C1767" t="s">
        <v>569</v>
      </c>
      <c r="D1767" t="s">
        <v>651</v>
      </c>
      <c r="E1767" s="1">
        <v>45120</v>
      </c>
      <c r="F1767" s="1">
        <v>45122</v>
      </c>
      <c r="G1767" s="1">
        <v>45149</v>
      </c>
      <c r="H1767" s="4">
        <f>IF(Claims_Cleaned[[#This Row],[processed_date]]="","",Claims_Cleaned[[#This Row],[processed_date]]-Claims_Cleaned[[#This Row],[submission_date]])</f>
        <v>27</v>
      </c>
      <c r="I1767" s="4" t="str">
        <f>TEXT(Claims_Cleaned[[#This Row],[claim_date]],"mmm-yyyy")</f>
        <v>Jul-2023</v>
      </c>
      <c r="J1767" t="s">
        <v>8</v>
      </c>
      <c r="K1767">
        <v>138.6</v>
      </c>
      <c r="L1767" t="s">
        <v>683</v>
      </c>
      <c r="M1767">
        <v>27</v>
      </c>
    </row>
    <row r="1768" spans="1:13" x14ac:dyDescent="0.35">
      <c r="A1768" t="s">
        <v>2440</v>
      </c>
      <c r="B1768" t="s">
        <v>227</v>
      </c>
      <c r="C1768" t="s">
        <v>565</v>
      </c>
      <c r="D1768" t="s">
        <v>638</v>
      </c>
      <c r="E1768" s="1">
        <v>44999</v>
      </c>
      <c r="F1768" s="1">
        <v>45004</v>
      </c>
      <c r="G1768" s="1">
        <v>45020</v>
      </c>
      <c r="H1768" s="4">
        <f>IF(Claims_Cleaned[[#This Row],[processed_date]]="","",Claims_Cleaned[[#This Row],[processed_date]]-Claims_Cleaned[[#This Row],[submission_date]])</f>
        <v>16</v>
      </c>
      <c r="I1768" s="4" t="str">
        <f>TEXT(Claims_Cleaned[[#This Row],[claim_date]],"mmm-yyyy")</f>
        <v>Mar-2023</v>
      </c>
      <c r="J1768" t="s">
        <v>8</v>
      </c>
      <c r="K1768">
        <v>138.5</v>
      </c>
      <c r="L1768" t="s">
        <v>683</v>
      </c>
      <c r="M1768">
        <v>16</v>
      </c>
    </row>
    <row r="1769" spans="1:13" x14ac:dyDescent="0.35">
      <c r="A1769" t="s">
        <v>2357</v>
      </c>
      <c r="B1769" t="s">
        <v>263</v>
      </c>
      <c r="C1769" t="s">
        <v>521</v>
      </c>
      <c r="D1769" t="s">
        <v>651</v>
      </c>
      <c r="E1769" s="1">
        <v>45174</v>
      </c>
      <c r="F1769" s="1">
        <v>45175</v>
      </c>
      <c r="G1769" s="1">
        <v>45190</v>
      </c>
      <c r="H1769" s="4">
        <f>IF(Claims_Cleaned[[#This Row],[processed_date]]="","",Claims_Cleaned[[#This Row],[processed_date]]-Claims_Cleaned[[#This Row],[submission_date]])</f>
        <v>15</v>
      </c>
      <c r="I1769" s="4" t="str">
        <f>TEXT(Claims_Cleaned[[#This Row],[claim_date]],"mmm-yyyy")</f>
        <v>Sep-2023</v>
      </c>
      <c r="J1769" t="s">
        <v>20</v>
      </c>
      <c r="K1769">
        <v>138.44</v>
      </c>
      <c r="L1769" t="s">
        <v>683</v>
      </c>
      <c r="M1769">
        <v>15</v>
      </c>
    </row>
    <row r="1770" spans="1:13" x14ac:dyDescent="0.35">
      <c r="A1770" t="s">
        <v>2180</v>
      </c>
      <c r="B1770" t="s">
        <v>198</v>
      </c>
      <c r="C1770" t="s">
        <v>597</v>
      </c>
      <c r="D1770" t="s">
        <v>651</v>
      </c>
      <c r="E1770" s="1">
        <v>45266</v>
      </c>
      <c r="F1770" s="1">
        <v>45271</v>
      </c>
      <c r="G1770" s="1">
        <v>45282</v>
      </c>
      <c r="H1770" s="4">
        <f>IF(Claims_Cleaned[[#This Row],[processed_date]]="","",Claims_Cleaned[[#This Row],[processed_date]]-Claims_Cleaned[[#This Row],[submission_date]])</f>
        <v>11</v>
      </c>
      <c r="I1770" s="4" t="str">
        <f>TEXT(Claims_Cleaned[[#This Row],[claim_date]],"mmm-yyyy")</f>
        <v>Dec-2023</v>
      </c>
      <c r="J1770" t="s">
        <v>11</v>
      </c>
      <c r="K1770">
        <v>138.38999999999999</v>
      </c>
      <c r="L1770" t="s">
        <v>683</v>
      </c>
      <c r="M1770">
        <v>11</v>
      </c>
    </row>
    <row r="1771" spans="1:13" x14ac:dyDescent="0.35">
      <c r="A1771" t="s">
        <v>2328</v>
      </c>
      <c r="B1771" t="s">
        <v>261</v>
      </c>
      <c r="C1771" t="s">
        <v>534</v>
      </c>
      <c r="D1771" t="s">
        <v>638</v>
      </c>
      <c r="E1771" s="1">
        <v>45329</v>
      </c>
      <c r="F1771" s="1">
        <v>45334</v>
      </c>
      <c r="G1771" s="1">
        <v>45343</v>
      </c>
      <c r="H1771" s="4">
        <f>IF(Claims_Cleaned[[#This Row],[processed_date]]="","",Claims_Cleaned[[#This Row],[processed_date]]-Claims_Cleaned[[#This Row],[submission_date]])</f>
        <v>9</v>
      </c>
      <c r="I1771" s="4" t="str">
        <f>TEXT(Claims_Cleaned[[#This Row],[claim_date]],"mmm-yyyy")</f>
        <v>Feb-2024</v>
      </c>
      <c r="J1771" t="s">
        <v>20</v>
      </c>
      <c r="K1771">
        <v>138.38999999999999</v>
      </c>
      <c r="L1771" t="s">
        <v>683</v>
      </c>
      <c r="M1771">
        <v>9</v>
      </c>
    </row>
    <row r="1772" spans="1:13" x14ac:dyDescent="0.35">
      <c r="A1772" t="s">
        <v>2506</v>
      </c>
      <c r="B1772" t="s">
        <v>321</v>
      </c>
      <c r="C1772" t="s">
        <v>534</v>
      </c>
      <c r="D1772" t="s">
        <v>651</v>
      </c>
      <c r="E1772" s="1">
        <v>44978</v>
      </c>
      <c r="F1772" s="1">
        <v>44982</v>
      </c>
      <c r="G1772" s="1">
        <v>45008</v>
      </c>
      <c r="H1772" s="4">
        <f>IF(Claims_Cleaned[[#This Row],[processed_date]]="","",Claims_Cleaned[[#This Row],[processed_date]]-Claims_Cleaned[[#This Row],[submission_date]])</f>
        <v>26</v>
      </c>
      <c r="I1772" s="4" t="str">
        <f>TEXT(Claims_Cleaned[[#This Row],[claim_date]],"mmm-yyyy")</f>
        <v>Feb-2023</v>
      </c>
      <c r="J1772" t="s">
        <v>8</v>
      </c>
      <c r="K1772">
        <v>138.22</v>
      </c>
      <c r="L1772" t="s">
        <v>687</v>
      </c>
      <c r="M1772">
        <v>26</v>
      </c>
    </row>
    <row r="1773" spans="1:13" x14ac:dyDescent="0.35">
      <c r="A1773" t="s">
        <v>1240</v>
      </c>
      <c r="B1773" t="s">
        <v>204</v>
      </c>
      <c r="C1773" t="s">
        <v>559</v>
      </c>
      <c r="D1773" t="s">
        <v>651</v>
      </c>
      <c r="E1773" s="1">
        <v>45455</v>
      </c>
      <c r="F1773" s="1">
        <v>45458</v>
      </c>
      <c r="G1773" s="1">
        <v>45464</v>
      </c>
      <c r="H1773" s="4">
        <f>IF(Claims_Cleaned[[#This Row],[processed_date]]="","",Claims_Cleaned[[#This Row],[processed_date]]-Claims_Cleaned[[#This Row],[submission_date]])</f>
        <v>6</v>
      </c>
      <c r="I1773" s="4" t="str">
        <f>TEXT(Claims_Cleaned[[#This Row],[claim_date]],"mmm-yyyy")</f>
        <v>Jun-2024</v>
      </c>
      <c r="J1773" t="s">
        <v>8</v>
      </c>
      <c r="K1773">
        <v>138.19999999999999</v>
      </c>
      <c r="L1773" t="s">
        <v>683</v>
      </c>
      <c r="M1773">
        <v>6</v>
      </c>
    </row>
    <row r="1774" spans="1:13" x14ac:dyDescent="0.35">
      <c r="A1774" t="s">
        <v>686</v>
      </c>
      <c r="B1774" t="s">
        <v>495</v>
      </c>
      <c r="C1774" t="s">
        <v>567</v>
      </c>
      <c r="D1774" t="s">
        <v>651</v>
      </c>
      <c r="E1774" s="1">
        <v>45363</v>
      </c>
      <c r="F1774" s="1">
        <v>45364</v>
      </c>
      <c r="G1774" s="1">
        <v>45379</v>
      </c>
      <c r="H1774" s="4">
        <f>IF(Claims_Cleaned[[#This Row],[processed_date]]="","",Claims_Cleaned[[#This Row],[processed_date]]-Claims_Cleaned[[#This Row],[submission_date]])</f>
        <v>15</v>
      </c>
      <c r="I1774" s="4" t="str">
        <f>TEXT(Claims_Cleaned[[#This Row],[claim_date]],"mmm-yyyy")</f>
        <v>Mar-2024</v>
      </c>
      <c r="J1774" t="s">
        <v>13</v>
      </c>
      <c r="K1774">
        <v>138.02000000000001</v>
      </c>
      <c r="L1774" t="s">
        <v>687</v>
      </c>
      <c r="M1774">
        <v>15</v>
      </c>
    </row>
    <row r="1775" spans="1:13" x14ac:dyDescent="0.35">
      <c r="A1775" t="s">
        <v>831</v>
      </c>
      <c r="B1775" t="s">
        <v>397</v>
      </c>
      <c r="C1775" t="s">
        <v>601</v>
      </c>
      <c r="D1775" t="s">
        <v>651</v>
      </c>
      <c r="E1775" s="1">
        <v>45122</v>
      </c>
      <c r="F1775" s="1">
        <v>45125</v>
      </c>
      <c r="G1775" s="1">
        <v>45137</v>
      </c>
      <c r="H1775" s="4">
        <f>IF(Claims_Cleaned[[#This Row],[processed_date]]="","",Claims_Cleaned[[#This Row],[processed_date]]-Claims_Cleaned[[#This Row],[submission_date]])</f>
        <v>12</v>
      </c>
      <c r="I1775" s="4" t="str">
        <f>TEXT(Claims_Cleaned[[#This Row],[claim_date]],"mmm-yyyy")</f>
        <v>Jul-2023</v>
      </c>
      <c r="J1775" t="s">
        <v>11</v>
      </c>
      <c r="K1775">
        <v>137.59</v>
      </c>
      <c r="L1775" t="s">
        <v>683</v>
      </c>
      <c r="M1775">
        <v>12</v>
      </c>
    </row>
    <row r="1776" spans="1:13" x14ac:dyDescent="0.35">
      <c r="A1776" t="s">
        <v>2456</v>
      </c>
      <c r="B1776" t="s">
        <v>443</v>
      </c>
      <c r="C1776" t="s">
        <v>567</v>
      </c>
      <c r="D1776" t="s">
        <v>651</v>
      </c>
      <c r="E1776" s="1">
        <v>45606</v>
      </c>
      <c r="F1776" s="1">
        <v>45608</v>
      </c>
      <c r="G1776" s="1">
        <v>45625</v>
      </c>
      <c r="H1776" s="4">
        <f>IF(Claims_Cleaned[[#This Row],[processed_date]]="","",Claims_Cleaned[[#This Row],[processed_date]]-Claims_Cleaned[[#This Row],[submission_date]])</f>
        <v>17</v>
      </c>
      <c r="I1776" s="4" t="str">
        <f>TEXT(Claims_Cleaned[[#This Row],[claim_date]],"mmm-yyyy")</f>
        <v>Nov-2024</v>
      </c>
      <c r="J1776" t="s">
        <v>11</v>
      </c>
      <c r="K1776">
        <v>137.25</v>
      </c>
      <c r="L1776" t="s">
        <v>683</v>
      </c>
      <c r="M1776">
        <v>17</v>
      </c>
    </row>
    <row r="1777" spans="1:13" x14ac:dyDescent="0.35">
      <c r="A1777" t="s">
        <v>1387</v>
      </c>
      <c r="B1777" t="s">
        <v>347</v>
      </c>
      <c r="C1777" t="s">
        <v>579</v>
      </c>
      <c r="D1777" t="s">
        <v>651</v>
      </c>
      <c r="E1777" s="1">
        <v>45551</v>
      </c>
      <c r="F1777" s="1">
        <v>45553</v>
      </c>
      <c r="G1777" s="1">
        <v>45580</v>
      </c>
      <c r="H1777" s="4">
        <f>IF(Claims_Cleaned[[#This Row],[processed_date]]="","",Claims_Cleaned[[#This Row],[processed_date]]-Claims_Cleaned[[#This Row],[submission_date]])</f>
        <v>27</v>
      </c>
      <c r="I1777" s="4" t="str">
        <f>TEXT(Claims_Cleaned[[#This Row],[claim_date]],"mmm-yyyy")</f>
        <v>Sep-2024</v>
      </c>
      <c r="J1777" t="s">
        <v>8</v>
      </c>
      <c r="K1777">
        <v>136.58000000000001</v>
      </c>
      <c r="L1777" t="s">
        <v>683</v>
      </c>
      <c r="M1777">
        <v>27</v>
      </c>
    </row>
    <row r="1778" spans="1:13" x14ac:dyDescent="0.35">
      <c r="A1778" t="s">
        <v>1616</v>
      </c>
      <c r="B1778" t="s">
        <v>53</v>
      </c>
      <c r="C1778" t="s">
        <v>599</v>
      </c>
      <c r="D1778" t="s">
        <v>638</v>
      </c>
      <c r="E1778" s="1">
        <v>45247</v>
      </c>
      <c r="F1778" s="1">
        <v>45250</v>
      </c>
      <c r="G1778" s="1">
        <v>45253</v>
      </c>
      <c r="H1778" s="4">
        <f>IF(Claims_Cleaned[[#This Row],[processed_date]]="","",Claims_Cleaned[[#This Row],[processed_date]]-Claims_Cleaned[[#This Row],[submission_date]])</f>
        <v>3</v>
      </c>
      <c r="I1778" s="4" t="str">
        <f>TEXT(Claims_Cleaned[[#This Row],[claim_date]],"mmm-yyyy")</f>
        <v>Nov-2023</v>
      </c>
      <c r="J1778" t="s">
        <v>13</v>
      </c>
      <c r="K1778">
        <v>136.16999999999999</v>
      </c>
      <c r="L1778" t="s">
        <v>687</v>
      </c>
      <c r="M1778">
        <v>3</v>
      </c>
    </row>
    <row r="1779" spans="1:13" x14ac:dyDescent="0.35">
      <c r="A1779" t="s">
        <v>1716</v>
      </c>
      <c r="B1779" t="s">
        <v>321</v>
      </c>
      <c r="C1779" t="s">
        <v>609</v>
      </c>
      <c r="D1779" t="s">
        <v>651</v>
      </c>
      <c r="E1779" s="1">
        <v>45428</v>
      </c>
      <c r="F1779" s="1">
        <v>45429</v>
      </c>
      <c r="G1779" s="1">
        <v>45459</v>
      </c>
      <c r="H1779" s="4">
        <f>IF(Claims_Cleaned[[#This Row],[processed_date]]="","",Claims_Cleaned[[#This Row],[processed_date]]-Claims_Cleaned[[#This Row],[submission_date]])</f>
        <v>30</v>
      </c>
      <c r="I1779" s="4" t="str">
        <f>TEXT(Claims_Cleaned[[#This Row],[claim_date]],"mmm-yyyy")</f>
        <v>May-2024</v>
      </c>
      <c r="J1779" t="s">
        <v>8</v>
      </c>
      <c r="K1779">
        <v>136.12</v>
      </c>
      <c r="L1779" t="s">
        <v>687</v>
      </c>
      <c r="M1779">
        <v>30</v>
      </c>
    </row>
    <row r="1780" spans="1:13" x14ac:dyDescent="0.35">
      <c r="A1780" t="s">
        <v>2593</v>
      </c>
      <c r="B1780" t="s">
        <v>21</v>
      </c>
      <c r="C1780" t="s">
        <v>595</v>
      </c>
      <c r="D1780" t="s">
        <v>651</v>
      </c>
      <c r="E1780" s="1">
        <v>45101</v>
      </c>
      <c r="F1780" s="1">
        <v>45103</v>
      </c>
      <c r="G1780" s="1">
        <v>45126</v>
      </c>
      <c r="H1780" s="4">
        <f>IF(Claims_Cleaned[[#This Row],[processed_date]]="","",Claims_Cleaned[[#This Row],[processed_date]]-Claims_Cleaned[[#This Row],[submission_date]])</f>
        <v>23</v>
      </c>
      <c r="I1780" s="4" t="str">
        <f>TEXT(Claims_Cleaned[[#This Row],[claim_date]],"mmm-yyyy")</f>
        <v>Jun-2023</v>
      </c>
      <c r="J1780" t="s">
        <v>11</v>
      </c>
      <c r="K1780">
        <v>135.61000000000001</v>
      </c>
      <c r="L1780" t="s">
        <v>683</v>
      </c>
      <c r="M1780">
        <v>23</v>
      </c>
    </row>
    <row r="1781" spans="1:13" x14ac:dyDescent="0.35">
      <c r="A1781" t="s">
        <v>1594</v>
      </c>
      <c r="B1781" t="s">
        <v>492</v>
      </c>
      <c r="C1781" t="s">
        <v>565</v>
      </c>
      <c r="D1781" t="s">
        <v>651</v>
      </c>
      <c r="E1781" s="1">
        <v>45088</v>
      </c>
      <c r="F1781" s="1">
        <v>45092</v>
      </c>
      <c r="G1781" s="1"/>
      <c r="H1781" s="4" t="str">
        <f>IF(Claims_Cleaned[[#This Row],[processed_date]]="","",Claims_Cleaned[[#This Row],[processed_date]]-Claims_Cleaned[[#This Row],[submission_date]])</f>
        <v/>
      </c>
      <c r="I1781" s="4" t="str">
        <f>TEXT(Claims_Cleaned[[#This Row],[claim_date]],"mmm-yyyy")</f>
        <v>Jun-2023</v>
      </c>
      <c r="J1781" t="s">
        <v>13</v>
      </c>
      <c r="K1781">
        <v>135.51</v>
      </c>
      <c r="L1781" t="s">
        <v>689</v>
      </c>
    </row>
    <row r="1782" spans="1:13" x14ac:dyDescent="0.35">
      <c r="A1782" t="s">
        <v>1193</v>
      </c>
      <c r="B1782" t="s">
        <v>415</v>
      </c>
      <c r="C1782" t="s">
        <v>565</v>
      </c>
      <c r="D1782" t="s">
        <v>638</v>
      </c>
      <c r="E1782" s="1">
        <v>45418</v>
      </c>
      <c r="F1782" s="1">
        <v>45423</v>
      </c>
      <c r="G1782" s="1"/>
      <c r="H1782" s="4" t="str">
        <f>IF(Claims_Cleaned[[#This Row],[processed_date]]="","",Claims_Cleaned[[#This Row],[processed_date]]-Claims_Cleaned[[#This Row],[submission_date]])</f>
        <v/>
      </c>
      <c r="I1782" s="4" t="str">
        <f>TEXT(Claims_Cleaned[[#This Row],[claim_date]],"mmm-yyyy")</f>
        <v>May-2024</v>
      </c>
      <c r="J1782" t="s">
        <v>13</v>
      </c>
      <c r="K1782">
        <v>135.28</v>
      </c>
      <c r="L1782" t="s">
        <v>689</v>
      </c>
    </row>
    <row r="1783" spans="1:13" x14ac:dyDescent="0.35">
      <c r="A1783" t="s">
        <v>1206</v>
      </c>
      <c r="B1783" t="s">
        <v>235</v>
      </c>
      <c r="C1783" t="s">
        <v>575</v>
      </c>
      <c r="D1783" t="s">
        <v>651</v>
      </c>
      <c r="E1783" s="1">
        <v>45656</v>
      </c>
      <c r="F1783" s="1">
        <v>45657</v>
      </c>
      <c r="G1783" s="1">
        <v>45672</v>
      </c>
      <c r="H1783" s="4">
        <f>IF(Claims_Cleaned[[#This Row],[processed_date]]="","",Claims_Cleaned[[#This Row],[processed_date]]-Claims_Cleaned[[#This Row],[submission_date]])</f>
        <v>15</v>
      </c>
      <c r="I1783" s="4" t="str">
        <f>TEXT(Claims_Cleaned[[#This Row],[claim_date]],"mmm-yyyy")</f>
        <v>Dec-2024</v>
      </c>
      <c r="J1783" t="s">
        <v>25</v>
      </c>
      <c r="K1783">
        <v>134.62</v>
      </c>
      <c r="L1783" t="s">
        <v>683</v>
      </c>
      <c r="M1783">
        <v>15</v>
      </c>
    </row>
    <row r="1784" spans="1:13" x14ac:dyDescent="0.35">
      <c r="A1784" t="s">
        <v>985</v>
      </c>
      <c r="B1784" t="s">
        <v>159</v>
      </c>
      <c r="C1784" t="s">
        <v>593</v>
      </c>
      <c r="D1784" t="s">
        <v>651</v>
      </c>
      <c r="E1784" s="1">
        <v>45596</v>
      </c>
      <c r="F1784" s="1">
        <v>45601</v>
      </c>
      <c r="G1784" s="1">
        <v>45611</v>
      </c>
      <c r="H1784" s="4">
        <f>IF(Claims_Cleaned[[#This Row],[processed_date]]="","",Claims_Cleaned[[#This Row],[processed_date]]-Claims_Cleaned[[#This Row],[submission_date]])</f>
        <v>10</v>
      </c>
      <c r="I1784" s="4" t="str">
        <f>TEXT(Claims_Cleaned[[#This Row],[claim_date]],"mmm-yyyy")</f>
        <v>Oct-2024</v>
      </c>
      <c r="J1784" t="s">
        <v>11</v>
      </c>
      <c r="K1784">
        <v>133.6</v>
      </c>
      <c r="L1784" t="s">
        <v>683</v>
      </c>
      <c r="M1784">
        <v>10</v>
      </c>
    </row>
    <row r="1785" spans="1:13" x14ac:dyDescent="0.35">
      <c r="A1785" t="s">
        <v>979</v>
      </c>
      <c r="B1785" t="s">
        <v>355</v>
      </c>
      <c r="C1785" t="s">
        <v>573</v>
      </c>
      <c r="D1785" t="s">
        <v>651</v>
      </c>
      <c r="E1785" s="1">
        <v>45450</v>
      </c>
      <c r="F1785" s="1">
        <v>45454</v>
      </c>
      <c r="G1785" s="1">
        <v>45458</v>
      </c>
      <c r="H1785" s="4">
        <f>IF(Claims_Cleaned[[#This Row],[processed_date]]="","",Claims_Cleaned[[#This Row],[processed_date]]-Claims_Cleaned[[#This Row],[submission_date]])</f>
        <v>4</v>
      </c>
      <c r="I1785" s="4" t="str">
        <f>TEXT(Claims_Cleaned[[#This Row],[claim_date]],"mmm-yyyy")</f>
        <v>Jun-2024</v>
      </c>
      <c r="J1785" t="s">
        <v>11</v>
      </c>
      <c r="K1785">
        <v>133.47999999999999</v>
      </c>
      <c r="L1785" t="s">
        <v>683</v>
      </c>
      <c r="M1785">
        <v>4</v>
      </c>
    </row>
    <row r="1786" spans="1:13" x14ac:dyDescent="0.35">
      <c r="A1786" t="s">
        <v>975</v>
      </c>
      <c r="B1786" t="s">
        <v>505</v>
      </c>
      <c r="C1786" t="s">
        <v>577</v>
      </c>
      <c r="D1786" t="s">
        <v>651</v>
      </c>
      <c r="E1786" s="1">
        <v>45186</v>
      </c>
      <c r="F1786" s="1">
        <v>45191</v>
      </c>
      <c r="G1786" s="1">
        <v>45218</v>
      </c>
      <c r="H1786" s="4">
        <f>IF(Claims_Cleaned[[#This Row],[processed_date]]="","",Claims_Cleaned[[#This Row],[processed_date]]-Claims_Cleaned[[#This Row],[submission_date]])</f>
        <v>27</v>
      </c>
      <c r="I1786" s="4" t="str">
        <f>TEXT(Claims_Cleaned[[#This Row],[claim_date]],"mmm-yyyy")</f>
        <v>Sep-2023</v>
      </c>
      <c r="J1786" t="s">
        <v>20</v>
      </c>
      <c r="K1786">
        <v>131.38999999999999</v>
      </c>
      <c r="L1786" t="s">
        <v>683</v>
      </c>
      <c r="M1786">
        <v>27</v>
      </c>
    </row>
    <row r="1787" spans="1:13" x14ac:dyDescent="0.35">
      <c r="A1787" t="s">
        <v>1144</v>
      </c>
      <c r="B1787" t="s">
        <v>360</v>
      </c>
      <c r="C1787" t="s">
        <v>609</v>
      </c>
      <c r="D1787" t="s">
        <v>651</v>
      </c>
      <c r="E1787" s="1">
        <v>45358</v>
      </c>
      <c r="F1787" s="1">
        <v>45363</v>
      </c>
      <c r="G1787" s="1">
        <v>45373</v>
      </c>
      <c r="H1787" s="4">
        <f>IF(Claims_Cleaned[[#This Row],[processed_date]]="","",Claims_Cleaned[[#This Row],[processed_date]]-Claims_Cleaned[[#This Row],[submission_date]])</f>
        <v>10</v>
      </c>
      <c r="I1787" s="4" t="str">
        <f>TEXT(Claims_Cleaned[[#This Row],[claim_date]],"mmm-yyyy")</f>
        <v>Mar-2024</v>
      </c>
      <c r="J1787" t="s">
        <v>11</v>
      </c>
      <c r="K1787">
        <v>130.16999999999999</v>
      </c>
      <c r="L1787" t="s">
        <v>683</v>
      </c>
      <c r="M1787">
        <v>10</v>
      </c>
    </row>
    <row r="1788" spans="1:13" x14ac:dyDescent="0.35">
      <c r="A1788" t="s">
        <v>2233</v>
      </c>
      <c r="B1788" t="s">
        <v>424</v>
      </c>
      <c r="C1788" t="s">
        <v>601</v>
      </c>
      <c r="D1788" t="s">
        <v>651</v>
      </c>
      <c r="E1788" s="1">
        <v>45445</v>
      </c>
      <c r="F1788" s="1">
        <v>45447</v>
      </c>
      <c r="G1788" s="1">
        <v>45453</v>
      </c>
      <c r="H1788" s="4">
        <f>IF(Claims_Cleaned[[#This Row],[processed_date]]="","",Claims_Cleaned[[#This Row],[processed_date]]-Claims_Cleaned[[#This Row],[submission_date]])</f>
        <v>6</v>
      </c>
      <c r="I1788" s="4" t="str">
        <f>TEXT(Claims_Cleaned[[#This Row],[claim_date]],"mmm-yyyy")</f>
        <v>Jun-2024</v>
      </c>
      <c r="J1788" t="s">
        <v>11</v>
      </c>
      <c r="K1788">
        <v>129.97</v>
      </c>
      <c r="L1788" t="s">
        <v>683</v>
      </c>
      <c r="M1788">
        <v>6</v>
      </c>
    </row>
    <row r="1789" spans="1:13" x14ac:dyDescent="0.35">
      <c r="A1789" t="s">
        <v>2495</v>
      </c>
      <c r="B1789" t="s">
        <v>285</v>
      </c>
      <c r="C1789" t="s">
        <v>581</v>
      </c>
      <c r="D1789" t="s">
        <v>651</v>
      </c>
      <c r="E1789" s="1">
        <v>45055</v>
      </c>
      <c r="F1789" s="1">
        <v>45057</v>
      </c>
      <c r="G1789" s="1">
        <v>45066</v>
      </c>
      <c r="H1789" s="4">
        <f>IF(Claims_Cleaned[[#This Row],[processed_date]]="","",Claims_Cleaned[[#This Row],[processed_date]]-Claims_Cleaned[[#This Row],[submission_date]])</f>
        <v>9</v>
      </c>
      <c r="I1789" s="4" t="str">
        <f>TEXT(Claims_Cleaned[[#This Row],[claim_date]],"mmm-yyyy")</f>
        <v>May-2023</v>
      </c>
      <c r="J1789" t="s">
        <v>13</v>
      </c>
      <c r="K1789">
        <v>129.74</v>
      </c>
      <c r="L1789" t="s">
        <v>683</v>
      </c>
      <c r="M1789">
        <v>9</v>
      </c>
    </row>
    <row r="1790" spans="1:13" x14ac:dyDescent="0.35">
      <c r="A1790" t="s">
        <v>2520</v>
      </c>
      <c r="B1790" t="s">
        <v>383</v>
      </c>
      <c r="C1790" t="s">
        <v>524</v>
      </c>
      <c r="D1790" t="s">
        <v>651</v>
      </c>
      <c r="E1790" s="1">
        <v>44932</v>
      </c>
      <c r="F1790" s="1">
        <v>44933</v>
      </c>
      <c r="G1790" s="1">
        <v>44945</v>
      </c>
      <c r="H1790" s="4">
        <f>IF(Claims_Cleaned[[#This Row],[processed_date]]="","",Claims_Cleaned[[#This Row],[processed_date]]-Claims_Cleaned[[#This Row],[submission_date]])</f>
        <v>12</v>
      </c>
      <c r="I1790" s="4" t="str">
        <f>TEXT(Claims_Cleaned[[#This Row],[claim_date]],"mmm-yyyy")</f>
        <v>Jan-2023</v>
      </c>
      <c r="J1790" t="s">
        <v>8</v>
      </c>
      <c r="K1790">
        <v>129.69999999999999</v>
      </c>
      <c r="L1790" t="s">
        <v>683</v>
      </c>
      <c r="M1790">
        <v>12</v>
      </c>
    </row>
    <row r="1791" spans="1:13" x14ac:dyDescent="0.35">
      <c r="A1791" t="s">
        <v>2304</v>
      </c>
      <c r="B1791" t="s">
        <v>333</v>
      </c>
      <c r="C1791" t="s">
        <v>605</v>
      </c>
      <c r="D1791" t="s">
        <v>651</v>
      </c>
      <c r="E1791" s="1">
        <v>45657</v>
      </c>
      <c r="F1791" s="1">
        <v>45662</v>
      </c>
      <c r="G1791" s="1">
        <v>45675</v>
      </c>
      <c r="H1791" s="4">
        <f>IF(Claims_Cleaned[[#This Row],[processed_date]]="","",Claims_Cleaned[[#This Row],[processed_date]]-Claims_Cleaned[[#This Row],[submission_date]])</f>
        <v>13</v>
      </c>
      <c r="I1791" s="4" t="str">
        <f>TEXT(Claims_Cleaned[[#This Row],[claim_date]],"mmm-yyyy")</f>
        <v>Dec-2024</v>
      </c>
      <c r="J1791" t="s">
        <v>13</v>
      </c>
      <c r="K1791">
        <v>129.47999999999999</v>
      </c>
      <c r="L1791" t="s">
        <v>683</v>
      </c>
      <c r="M1791">
        <v>13</v>
      </c>
    </row>
    <row r="1792" spans="1:13" x14ac:dyDescent="0.35">
      <c r="A1792" t="s">
        <v>1879</v>
      </c>
      <c r="B1792" t="s">
        <v>263</v>
      </c>
      <c r="C1792" t="s">
        <v>603</v>
      </c>
      <c r="D1792" t="s">
        <v>651</v>
      </c>
      <c r="E1792" s="1">
        <v>45142</v>
      </c>
      <c r="F1792" s="1">
        <v>45145</v>
      </c>
      <c r="G1792" s="1">
        <v>45157</v>
      </c>
      <c r="H1792" s="4">
        <f>IF(Claims_Cleaned[[#This Row],[processed_date]]="","",Claims_Cleaned[[#This Row],[processed_date]]-Claims_Cleaned[[#This Row],[submission_date]])</f>
        <v>12</v>
      </c>
      <c r="I1792" s="4" t="str">
        <f>TEXT(Claims_Cleaned[[#This Row],[claim_date]],"mmm-yyyy")</f>
        <v>Aug-2023</v>
      </c>
      <c r="J1792" t="s">
        <v>20</v>
      </c>
      <c r="K1792">
        <v>129.41</v>
      </c>
      <c r="L1792" t="s">
        <v>683</v>
      </c>
      <c r="M1792">
        <v>12</v>
      </c>
    </row>
    <row r="1793" spans="1:13" x14ac:dyDescent="0.35">
      <c r="A1793" t="s">
        <v>1537</v>
      </c>
      <c r="B1793" t="s">
        <v>60</v>
      </c>
      <c r="C1793" t="s">
        <v>599</v>
      </c>
      <c r="D1793" t="s">
        <v>651</v>
      </c>
      <c r="E1793" s="1">
        <v>45120</v>
      </c>
      <c r="F1793" s="1">
        <v>45123</v>
      </c>
      <c r="G1793" s="1">
        <v>45134</v>
      </c>
      <c r="H1793" s="4">
        <f>IF(Claims_Cleaned[[#This Row],[processed_date]]="","",Claims_Cleaned[[#This Row],[processed_date]]-Claims_Cleaned[[#This Row],[submission_date]])</f>
        <v>11</v>
      </c>
      <c r="I1793" s="4" t="str">
        <f>TEXT(Claims_Cleaned[[#This Row],[claim_date]],"mmm-yyyy")</f>
        <v>Jul-2023</v>
      </c>
      <c r="J1793" t="s">
        <v>11</v>
      </c>
      <c r="K1793">
        <v>128.21</v>
      </c>
      <c r="L1793" t="s">
        <v>683</v>
      </c>
      <c r="M1793">
        <v>11</v>
      </c>
    </row>
    <row r="1794" spans="1:13" x14ac:dyDescent="0.35">
      <c r="A1794" t="s">
        <v>1800</v>
      </c>
      <c r="B1794" t="s">
        <v>175</v>
      </c>
      <c r="C1794" t="s">
        <v>531</v>
      </c>
      <c r="D1794" t="s">
        <v>651</v>
      </c>
      <c r="E1794" s="1">
        <v>45060</v>
      </c>
      <c r="F1794" s="1">
        <v>45061</v>
      </c>
      <c r="G1794" s="1">
        <v>45088</v>
      </c>
      <c r="H1794" s="4">
        <f>IF(Claims_Cleaned[[#This Row],[processed_date]]="","",Claims_Cleaned[[#This Row],[processed_date]]-Claims_Cleaned[[#This Row],[submission_date]])</f>
        <v>27</v>
      </c>
      <c r="I1794" s="4" t="str">
        <f>TEXT(Claims_Cleaned[[#This Row],[claim_date]],"mmm-yyyy")</f>
        <v>May-2023</v>
      </c>
      <c r="J1794" t="s">
        <v>20</v>
      </c>
      <c r="K1794">
        <v>127.51</v>
      </c>
      <c r="L1794" t="s">
        <v>687</v>
      </c>
      <c r="M1794">
        <v>27</v>
      </c>
    </row>
    <row r="1795" spans="1:13" x14ac:dyDescent="0.35">
      <c r="A1795" t="s">
        <v>1184</v>
      </c>
      <c r="B1795" t="s">
        <v>294</v>
      </c>
      <c r="C1795" t="s">
        <v>563</v>
      </c>
      <c r="D1795" t="s">
        <v>651</v>
      </c>
      <c r="E1795" s="1">
        <v>45595</v>
      </c>
      <c r="F1795" s="1">
        <v>45597</v>
      </c>
      <c r="G1795" s="1">
        <v>45627</v>
      </c>
      <c r="H1795" s="4">
        <f>IF(Claims_Cleaned[[#This Row],[processed_date]]="","",Claims_Cleaned[[#This Row],[processed_date]]-Claims_Cleaned[[#This Row],[submission_date]])</f>
        <v>30</v>
      </c>
      <c r="I1795" s="4" t="str">
        <f>TEXT(Claims_Cleaned[[#This Row],[claim_date]],"mmm-yyyy")</f>
        <v>Oct-2024</v>
      </c>
      <c r="J1795" t="s">
        <v>11</v>
      </c>
      <c r="K1795">
        <v>126.79</v>
      </c>
      <c r="L1795" t="s">
        <v>683</v>
      </c>
      <c r="M1795">
        <v>30</v>
      </c>
    </row>
    <row r="1796" spans="1:13" x14ac:dyDescent="0.35">
      <c r="A1796" t="s">
        <v>1757</v>
      </c>
      <c r="B1796" t="s">
        <v>60</v>
      </c>
      <c r="C1796" t="s">
        <v>549</v>
      </c>
      <c r="D1796" t="s">
        <v>651</v>
      </c>
      <c r="E1796" s="1">
        <v>45451</v>
      </c>
      <c r="F1796" s="1">
        <v>45452</v>
      </c>
      <c r="G1796" s="1">
        <v>45481</v>
      </c>
      <c r="H1796" s="4">
        <f>IF(Claims_Cleaned[[#This Row],[processed_date]]="","",Claims_Cleaned[[#This Row],[processed_date]]-Claims_Cleaned[[#This Row],[submission_date]])</f>
        <v>29</v>
      </c>
      <c r="I1796" s="4" t="str">
        <f>TEXT(Claims_Cleaned[[#This Row],[claim_date]],"mmm-yyyy")</f>
        <v>Jun-2024</v>
      </c>
      <c r="J1796" t="s">
        <v>11</v>
      </c>
      <c r="K1796">
        <v>126.53</v>
      </c>
      <c r="L1796" t="s">
        <v>683</v>
      </c>
      <c r="M1796">
        <v>29</v>
      </c>
    </row>
    <row r="1797" spans="1:13" x14ac:dyDescent="0.35">
      <c r="A1797" t="s">
        <v>1994</v>
      </c>
      <c r="B1797" t="s">
        <v>481</v>
      </c>
      <c r="C1797" t="s">
        <v>609</v>
      </c>
      <c r="D1797" t="s">
        <v>651</v>
      </c>
      <c r="E1797" s="1">
        <v>45099</v>
      </c>
      <c r="F1797" s="1">
        <v>45101</v>
      </c>
      <c r="G1797" s="1">
        <v>45106</v>
      </c>
      <c r="H1797" s="4">
        <f>IF(Claims_Cleaned[[#This Row],[processed_date]]="","",Claims_Cleaned[[#This Row],[processed_date]]-Claims_Cleaned[[#This Row],[submission_date]])</f>
        <v>5</v>
      </c>
      <c r="I1797" s="4" t="str">
        <f>TEXT(Claims_Cleaned[[#This Row],[claim_date]],"mmm-yyyy")</f>
        <v>Jun-2023</v>
      </c>
      <c r="J1797" t="s">
        <v>8</v>
      </c>
      <c r="K1797">
        <v>125.91</v>
      </c>
      <c r="L1797" t="s">
        <v>683</v>
      </c>
      <c r="M1797">
        <v>5</v>
      </c>
    </row>
    <row r="1798" spans="1:13" x14ac:dyDescent="0.35">
      <c r="A1798" t="s">
        <v>2597</v>
      </c>
      <c r="B1798" t="s">
        <v>308</v>
      </c>
      <c r="C1798" t="s">
        <v>587</v>
      </c>
      <c r="D1798" t="s">
        <v>651</v>
      </c>
      <c r="E1798" s="1">
        <v>45067</v>
      </c>
      <c r="F1798" s="1">
        <v>45072</v>
      </c>
      <c r="G1798" s="1">
        <v>45084</v>
      </c>
      <c r="H1798" s="4">
        <f>IF(Claims_Cleaned[[#This Row],[processed_date]]="","",Claims_Cleaned[[#This Row],[processed_date]]-Claims_Cleaned[[#This Row],[submission_date]])</f>
        <v>12</v>
      </c>
      <c r="I1798" s="4" t="str">
        <f>TEXT(Claims_Cleaned[[#This Row],[claim_date]],"mmm-yyyy")</f>
        <v>May-2023</v>
      </c>
      <c r="J1798" t="s">
        <v>25</v>
      </c>
      <c r="K1798">
        <v>125.46</v>
      </c>
      <c r="L1798" t="s">
        <v>687</v>
      </c>
      <c r="M1798">
        <v>12</v>
      </c>
    </row>
    <row r="1799" spans="1:13" x14ac:dyDescent="0.35">
      <c r="A1799" t="s">
        <v>2302</v>
      </c>
      <c r="B1799" t="s">
        <v>103</v>
      </c>
      <c r="C1799" t="s">
        <v>603</v>
      </c>
      <c r="D1799" t="s">
        <v>651</v>
      </c>
      <c r="E1799" s="1">
        <v>45394</v>
      </c>
      <c r="F1799" s="1">
        <v>45396</v>
      </c>
      <c r="G1799" s="1">
        <v>45421</v>
      </c>
      <c r="H1799" s="4">
        <f>IF(Claims_Cleaned[[#This Row],[processed_date]]="","",Claims_Cleaned[[#This Row],[processed_date]]-Claims_Cleaned[[#This Row],[submission_date]])</f>
        <v>25</v>
      </c>
      <c r="I1799" s="4" t="str">
        <f>TEXT(Claims_Cleaned[[#This Row],[claim_date]],"mmm-yyyy")</f>
        <v>Apr-2024</v>
      </c>
      <c r="J1799" t="s">
        <v>20</v>
      </c>
      <c r="K1799">
        <v>125.25</v>
      </c>
      <c r="L1799" t="s">
        <v>683</v>
      </c>
      <c r="M1799">
        <v>25</v>
      </c>
    </row>
    <row r="1800" spans="1:13" x14ac:dyDescent="0.35">
      <c r="A1800" t="s">
        <v>1022</v>
      </c>
      <c r="B1800" t="s">
        <v>338</v>
      </c>
      <c r="C1800" t="s">
        <v>567</v>
      </c>
      <c r="D1800" t="s">
        <v>651</v>
      </c>
      <c r="E1800" s="1">
        <v>45402</v>
      </c>
      <c r="F1800" s="1">
        <v>45405</v>
      </c>
      <c r="G1800" s="1">
        <v>45427</v>
      </c>
      <c r="H1800" s="4">
        <f>IF(Claims_Cleaned[[#This Row],[processed_date]]="","",Claims_Cleaned[[#This Row],[processed_date]]-Claims_Cleaned[[#This Row],[submission_date]])</f>
        <v>22</v>
      </c>
      <c r="I1800" s="4" t="str">
        <f>TEXT(Claims_Cleaned[[#This Row],[claim_date]],"mmm-yyyy")</f>
        <v>Apr-2024</v>
      </c>
      <c r="J1800" t="s">
        <v>8</v>
      </c>
      <c r="K1800">
        <v>125.17</v>
      </c>
      <c r="L1800" t="s">
        <v>687</v>
      </c>
      <c r="M1800">
        <v>22</v>
      </c>
    </row>
    <row r="1801" spans="1:13" x14ac:dyDescent="0.35">
      <c r="A1801" t="s">
        <v>1292</v>
      </c>
      <c r="B1801" t="s">
        <v>143</v>
      </c>
      <c r="C1801" t="s">
        <v>537</v>
      </c>
      <c r="D1801" t="s">
        <v>651</v>
      </c>
      <c r="E1801" s="1">
        <v>44967</v>
      </c>
      <c r="F1801" s="1">
        <v>44971</v>
      </c>
      <c r="G1801" s="1"/>
      <c r="H1801" s="4" t="str">
        <f>IF(Claims_Cleaned[[#This Row],[processed_date]]="","",Claims_Cleaned[[#This Row],[processed_date]]-Claims_Cleaned[[#This Row],[submission_date]])</f>
        <v/>
      </c>
      <c r="I1801" s="4" t="str">
        <f>TEXT(Claims_Cleaned[[#This Row],[claim_date]],"mmm-yyyy")</f>
        <v>Feb-2023</v>
      </c>
      <c r="J1801" t="s">
        <v>13</v>
      </c>
      <c r="K1801">
        <v>124.01</v>
      </c>
      <c r="L1801" t="s">
        <v>689</v>
      </c>
    </row>
    <row r="1802" spans="1:13" x14ac:dyDescent="0.35">
      <c r="A1802" t="s">
        <v>1761</v>
      </c>
      <c r="B1802" t="s">
        <v>397</v>
      </c>
      <c r="C1802" t="s">
        <v>567</v>
      </c>
      <c r="D1802" t="s">
        <v>654</v>
      </c>
      <c r="E1802" s="1">
        <v>44980</v>
      </c>
      <c r="F1802" s="1">
        <v>44983</v>
      </c>
      <c r="G1802" s="1">
        <v>44998</v>
      </c>
      <c r="H1802" s="4">
        <f>IF(Claims_Cleaned[[#This Row],[processed_date]]="","",Claims_Cleaned[[#This Row],[processed_date]]-Claims_Cleaned[[#This Row],[submission_date]])</f>
        <v>15</v>
      </c>
      <c r="I1802" s="4" t="str">
        <f>TEXT(Claims_Cleaned[[#This Row],[claim_date]],"mmm-yyyy")</f>
        <v>Feb-2023</v>
      </c>
      <c r="J1802" t="s">
        <v>11</v>
      </c>
      <c r="K1802">
        <v>123.93</v>
      </c>
      <c r="L1802" t="s">
        <v>683</v>
      </c>
      <c r="M1802">
        <v>15</v>
      </c>
    </row>
    <row r="1803" spans="1:13" x14ac:dyDescent="0.35">
      <c r="A1803" t="s">
        <v>1148</v>
      </c>
      <c r="B1803" t="s">
        <v>294</v>
      </c>
      <c r="C1803" t="s">
        <v>565</v>
      </c>
      <c r="D1803" t="s">
        <v>654</v>
      </c>
      <c r="E1803" s="1">
        <v>45502</v>
      </c>
      <c r="F1803" s="1">
        <v>45507</v>
      </c>
      <c r="G1803" s="1">
        <v>45534</v>
      </c>
      <c r="H1803" s="4">
        <f>IF(Claims_Cleaned[[#This Row],[processed_date]]="","",Claims_Cleaned[[#This Row],[processed_date]]-Claims_Cleaned[[#This Row],[submission_date]])</f>
        <v>27</v>
      </c>
      <c r="I1803" s="4" t="str">
        <f>TEXT(Claims_Cleaned[[#This Row],[claim_date]],"mmm-yyyy")</f>
        <v>Jul-2024</v>
      </c>
      <c r="J1803" t="s">
        <v>11</v>
      </c>
      <c r="K1803">
        <v>123.76</v>
      </c>
      <c r="L1803" t="s">
        <v>683</v>
      </c>
      <c r="M1803">
        <v>27</v>
      </c>
    </row>
    <row r="1804" spans="1:13" x14ac:dyDescent="0.35">
      <c r="A1804" t="s">
        <v>2018</v>
      </c>
      <c r="B1804" t="s">
        <v>397</v>
      </c>
      <c r="C1804" t="s">
        <v>555</v>
      </c>
      <c r="D1804" t="s">
        <v>651</v>
      </c>
      <c r="E1804" s="1">
        <v>45611</v>
      </c>
      <c r="F1804" s="1">
        <v>45616</v>
      </c>
      <c r="G1804" s="1"/>
      <c r="H1804" s="4" t="str">
        <f>IF(Claims_Cleaned[[#This Row],[processed_date]]="","",Claims_Cleaned[[#This Row],[processed_date]]-Claims_Cleaned[[#This Row],[submission_date]])</f>
        <v/>
      </c>
      <c r="I1804" s="4" t="str">
        <f>TEXT(Claims_Cleaned[[#This Row],[claim_date]],"mmm-yyyy")</f>
        <v>Nov-2024</v>
      </c>
      <c r="J1804" t="s">
        <v>11</v>
      </c>
      <c r="K1804">
        <v>123.69</v>
      </c>
      <c r="L1804" t="s">
        <v>689</v>
      </c>
    </row>
    <row r="1805" spans="1:13" x14ac:dyDescent="0.35">
      <c r="A1805" t="s">
        <v>932</v>
      </c>
      <c r="B1805" t="s">
        <v>227</v>
      </c>
      <c r="C1805" t="s">
        <v>591</v>
      </c>
      <c r="D1805" t="s">
        <v>651</v>
      </c>
      <c r="E1805" s="1">
        <v>45153</v>
      </c>
      <c r="F1805" s="1">
        <v>45156</v>
      </c>
      <c r="G1805" s="1">
        <v>45175</v>
      </c>
      <c r="H1805" s="4">
        <f>IF(Claims_Cleaned[[#This Row],[processed_date]]="","",Claims_Cleaned[[#This Row],[processed_date]]-Claims_Cleaned[[#This Row],[submission_date]])</f>
        <v>19</v>
      </c>
      <c r="I1805" s="4" t="str">
        <f>TEXT(Claims_Cleaned[[#This Row],[claim_date]],"mmm-yyyy")</f>
        <v>Aug-2023</v>
      </c>
      <c r="J1805" t="s">
        <v>8</v>
      </c>
      <c r="K1805">
        <v>123.43</v>
      </c>
      <c r="L1805" t="s">
        <v>683</v>
      </c>
      <c r="M1805">
        <v>19</v>
      </c>
    </row>
    <row r="1806" spans="1:13" x14ac:dyDescent="0.35">
      <c r="A1806" t="s">
        <v>2458</v>
      </c>
      <c r="B1806" t="s">
        <v>464</v>
      </c>
      <c r="C1806" t="s">
        <v>531</v>
      </c>
      <c r="D1806" t="s">
        <v>654</v>
      </c>
      <c r="E1806" s="1">
        <v>45552</v>
      </c>
      <c r="F1806" s="1">
        <v>45554</v>
      </c>
      <c r="G1806" s="1">
        <v>45580</v>
      </c>
      <c r="H1806" s="4">
        <f>IF(Claims_Cleaned[[#This Row],[processed_date]]="","",Claims_Cleaned[[#This Row],[processed_date]]-Claims_Cleaned[[#This Row],[submission_date]])</f>
        <v>26</v>
      </c>
      <c r="I1806" s="4" t="str">
        <f>TEXT(Claims_Cleaned[[#This Row],[claim_date]],"mmm-yyyy")</f>
        <v>Sep-2024</v>
      </c>
      <c r="J1806" t="s">
        <v>11</v>
      </c>
      <c r="K1806">
        <v>122.99</v>
      </c>
      <c r="L1806" t="s">
        <v>683</v>
      </c>
      <c r="M1806">
        <v>26</v>
      </c>
    </row>
    <row r="1807" spans="1:13" x14ac:dyDescent="0.35">
      <c r="A1807" t="s">
        <v>1165</v>
      </c>
      <c r="B1807" t="s">
        <v>371</v>
      </c>
      <c r="C1807" t="s">
        <v>599</v>
      </c>
      <c r="D1807" t="s">
        <v>654</v>
      </c>
      <c r="E1807" s="1">
        <v>44934</v>
      </c>
      <c r="F1807" s="1">
        <v>44938</v>
      </c>
      <c r="G1807" s="1">
        <v>44966</v>
      </c>
      <c r="H1807" s="4">
        <f>IF(Claims_Cleaned[[#This Row],[processed_date]]="","",Claims_Cleaned[[#This Row],[processed_date]]-Claims_Cleaned[[#This Row],[submission_date]])</f>
        <v>28</v>
      </c>
      <c r="I1807" s="4" t="str">
        <f>TEXT(Claims_Cleaned[[#This Row],[claim_date]],"mmm-yyyy")</f>
        <v>Jan-2023</v>
      </c>
      <c r="J1807" t="s">
        <v>25</v>
      </c>
      <c r="K1807">
        <v>122.76</v>
      </c>
      <c r="L1807" t="s">
        <v>683</v>
      </c>
      <c r="M1807">
        <v>28</v>
      </c>
    </row>
    <row r="1808" spans="1:13" x14ac:dyDescent="0.35">
      <c r="A1808" t="s">
        <v>2463</v>
      </c>
      <c r="B1808" t="s">
        <v>385</v>
      </c>
      <c r="C1808" t="s">
        <v>555</v>
      </c>
      <c r="D1808" t="s">
        <v>651</v>
      </c>
      <c r="E1808" s="1">
        <v>45018</v>
      </c>
      <c r="F1808" s="1">
        <v>45022</v>
      </c>
      <c r="G1808" s="1">
        <v>45047</v>
      </c>
      <c r="H1808" s="4">
        <f>IF(Claims_Cleaned[[#This Row],[processed_date]]="","",Claims_Cleaned[[#This Row],[processed_date]]-Claims_Cleaned[[#This Row],[submission_date]])</f>
        <v>25</v>
      </c>
      <c r="I1808" s="4" t="str">
        <f>TEXT(Claims_Cleaned[[#This Row],[claim_date]],"mmm-yyyy")</f>
        <v>Apr-2023</v>
      </c>
      <c r="J1808" t="s">
        <v>20</v>
      </c>
      <c r="K1808">
        <v>122.3</v>
      </c>
      <c r="L1808" t="s">
        <v>687</v>
      </c>
      <c r="M1808">
        <v>25</v>
      </c>
    </row>
    <row r="1809" spans="1:13" x14ac:dyDescent="0.35">
      <c r="A1809" t="s">
        <v>2037</v>
      </c>
      <c r="B1809" t="s">
        <v>164</v>
      </c>
      <c r="C1809" t="s">
        <v>609</v>
      </c>
      <c r="D1809" t="s">
        <v>654</v>
      </c>
      <c r="E1809" s="1">
        <v>45280</v>
      </c>
      <c r="F1809" s="1">
        <v>45284</v>
      </c>
      <c r="G1809" s="1"/>
      <c r="H1809" s="4" t="str">
        <f>IF(Claims_Cleaned[[#This Row],[processed_date]]="","",Claims_Cleaned[[#This Row],[processed_date]]-Claims_Cleaned[[#This Row],[submission_date]])</f>
        <v/>
      </c>
      <c r="I1809" s="4" t="str">
        <f>TEXT(Claims_Cleaned[[#This Row],[claim_date]],"mmm-yyyy")</f>
        <v>Dec-2023</v>
      </c>
      <c r="J1809" t="s">
        <v>11</v>
      </c>
      <c r="K1809">
        <v>122.17</v>
      </c>
      <c r="L1809" t="s">
        <v>689</v>
      </c>
    </row>
    <row r="1810" spans="1:13" x14ac:dyDescent="0.35">
      <c r="A1810" t="s">
        <v>2681</v>
      </c>
      <c r="B1810" t="s">
        <v>287</v>
      </c>
      <c r="C1810" t="s">
        <v>575</v>
      </c>
      <c r="D1810" t="s">
        <v>654</v>
      </c>
      <c r="E1810" s="1">
        <v>45500</v>
      </c>
      <c r="F1810" s="1">
        <v>45502</v>
      </c>
      <c r="G1810" s="1">
        <v>45527</v>
      </c>
      <c r="H1810" s="4">
        <f>IF(Claims_Cleaned[[#This Row],[processed_date]]="","",Claims_Cleaned[[#This Row],[processed_date]]-Claims_Cleaned[[#This Row],[submission_date]])</f>
        <v>25</v>
      </c>
      <c r="I1810" s="4" t="str">
        <f>TEXT(Claims_Cleaned[[#This Row],[claim_date]],"mmm-yyyy")</f>
        <v>Jul-2024</v>
      </c>
      <c r="J1810" t="s">
        <v>20</v>
      </c>
      <c r="K1810">
        <v>121.81</v>
      </c>
      <c r="L1810" t="s">
        <v>683</v>
      </c>
      <c r="M1810">
        <v>25</v>
      </c>
    </row>
    <row r="1811" spans="1:13" x14ac:dyDescent="0.35">
      <c r="A1811" t="s">
        <v>1469</v>
      </c>
      <c r="B1811" t="s">
        <v>304</v>
      </c>
      <c r="C1811" t="s">
        <v>599</v>
      </c>
      <c r="D1811" t="s">
        <v>654</v>
      </c>
      <c r="E1811" s="1">
        <v>44990</v>
      </c>
      <c r="F1811" s="1">
        <v>44993</v>
      </c>
      <c r="G1811" s="1">
        <v>45003</v>
      </c>
      <c r="H1811" s="4">
        <f>IF(Claims_Cleaned[[#This Row],[processed_date]]="","",Claims_Cleaned[[#This Row],[processed_date]]-Claims_Cleaned[[#This Row],[submission_date]])</f>
        <v>10</v>
      </c>
      <c r="I1811" s="4" t="str">
        <f>TEXT(Claims_Cleaned[[#This Row],[claim_date]],"mmm-yyyy")</f>
        <v>Mar-2023</v>
      </c>
      <c r="J1811" t="s">
        <v>20</v>
      </c>
      <c r="K1811">
        <v>121.8</v>
      </c>
      <c r="L1811" t="s">
        <v>683</v>
      </c>
      <c r="M1811">
        <v>10</v>
      </c>
    </row>
    <row r="1812" spans="1:13" x14ac:dyDescent="0.35">
      <c r="A1812" t="s">
        <v>2367</v>
      </c>
      <c r="B1812" t="s">
        <v>360</v>
      </c>
      <c r="C1812" t="s">
        <v>549</v>
      </c>
      <c r="D1812" t="s">
        <v>651</v>
      </c>
      <c r="E1812" s="1">
        <v>45090</v>
      </c>
      <c r="F1812" s="1">
        <v>45093</v>
      </c>
      <c r="G1812" s="1">
        <v>45121</v>
      </c>
      <c r="H1812" s="4">
        <f>IF(Claims_Cleaned[[#This Row],[processed_date]]="","",Claims_Cleaned[[#This Row],[processed_date]]-Claims_Cleaned[[#This Row],[submission_date]])</f>
        <v>28</v>
      </c>
      <c r="I1812" s="4" t="str">
        <f>TEXT(Claims_Cleaned[[#This Row],[claim_date]],"mmm-yyyy")</f>
        <v>Jun-2023</v>
      </c>
      <c r="J1812" t="s">
        <v>11</v>
      </c>
      <c r="K1812">
        <v>121.53</v>
      </c>
      <c r="L1812" t="s">
        <v>683</v>
      </c>
      <c r="M1812">
        <v>28</v>
      </c>
    </row>
    <row r="1813" spans="1:13" x14ac:dyDescent="0.35">
      <c r="A1813" t="s">
        <v>1359</v>
      </c>
      <c r="B1813" t="s">
        <v>110</v>
      </c>
      <c r="C1813" t="s">
        <v>575</v>
      </c>
      <c r="D1813" t="s">
        <v>651</v>
      </c>
      <c r="E1813" s="1">
        <v>45366</v>
      </c>
      <c r="F1813" s="1">
        <v>45370</v>
      </c>
      <c r="G1813" s="1">
        <v>45386</v>
      </c>
      <c r="H1813" s="4">
        <f>IF(Claims_Cleaned[[#This Row],[processed_date]]="","",Claims_Cleaned[[#This Row],[processed_date]]-Claims_Cleaned[[#This Row],[submission_date]])</f>
        <v>16</v>
      </c>
      <c r="I1813" s="4" t="str">
        <f>TEXT(Claims_Cleaned[[#This Row],[claim_date]],"mmm-yyyy")</f>
        <v>Mar-2024</v>
      </c>
      <c r="J1813" t="s">
        <v>25</v>
      </c>
      <c r="K1813">
        <v>121.3</v>
      </c>
      <c r="L1813" t="s">
        <v>683</v>
      </c>
      <c r="M1813">
        <v>16</v>
      </c>
    </row>
    <row r="1814" spans="1:13" x14ac:dyDescent="0.35">
      <c r="A1814" t="s">
        <v>1081</v>
      </c>
      <c r="B1814" t="s">
        <v>284</v>
      </c>
      <c r="C1814" t="s">
        <v>601</v>
      </c>
      <c r="D1814" t="s">
        <v>651</v>
      </c>
      <c r="E1814" s="1">
        <v>45280</v>
      </c>
      <c r="F1814" s="1">
        <v>45285</v>
      </c>
      <c r="G1814" s="1">
        <v>45294</v>
      </c>
      <c r="H1814" s="4">
        <f>IF(Claims_Cleaned[[#This Row],[processed_date]]="","",Claims_Cleaned[[#This Row],[processed_date]]-Claims_Cleaned[[#This Row],[submission_date]])</f>
        <v>9</v>
      </c>
      <c r="I1814" s="4" t="str">
        <f>TEXT(Claims_Cleaned[[#This Row],[claim_date]],"mmm-yyyy")</f>
        <v>Dec-2023</v>
      </c>
      <c r="J1814" t="s">
        <v>8</v>
      </c>
      <c r="K1814">
        <v>121.15</v>
      </c>
      <c r="L1814" t="s">
        <v>683</v>
      </c>
      <c r="M1814">
        <v>9</v>
      </c>
    </row>
    <row r="1815" spans="1:13" x14ac:dyDescent="0.35">
      <c r="A1815" t="s">
        <v>1370</v>
      </c>
      <c r="B1815" t="s">
        <v>218</v>
      </c>
      <c r="C1815" t="s">
        <v>565</v>
      </c>
      <c r="D1815" t="s">
        <v>654</v>
      </c>
      <c r="E1815" s="1">
        <v>45370</v>
      </c>
      <c r="F1815" s="1">
        <v>45374</v>
      </c>
      <c r="G1815" s="1">
        <v>45398</v>
      </c>
      <c r="H1815" s="4">
        <f>IF(Claims_Cleaned[[#This Row],[processed_date]]="","",Claims_Cleaned[[#This Row],[processed_date]]-Claims_Cleaned[[#This Row],[submission_date]])</f>
        <v>24</v>
      </c>
      <c r="I1815" s="4" t="str">
        <f>TEXT(Claims_Cleaned[[#This Row],[claim_date]],"mmm-yyyy")</f>
        <v>Mar-2024</v>
      </c>
      <c r="J1815" t="s">
        <v>11</v>
      </c>
      <c r="K1815">
        <v>120.97</v>
      </c>
      <c r="L1815" t="s">
        <v>683</v>
      </c>
      <c r="M1815">
        <v>24</v>
      </c>
    </row>
    <row r="1816" spans="1:13" x14ac:dyDescent="0.35">
      <c r="A1816" t="s">
        <v>2296</v>
      </c>
      <c r="B1816" t="s">
        <v>222</v>
      </c>
      <c r="C1816" t="s">
        <v>561</v>
      </c>
      <c r="D1816" t="s">
        <v>651</v>
      </c>
      <c r="E1816" s="1">
        <v>45251</v>
      </c>
      <c r="F1816" s="1">
        <v>45256</v>
      </c>
      <c r="G1816" s="1">
        <v>45282</v>
      </c>
      <c r="H1816" s="4">
        <f>IF(Claims_Cleaned[[#This Row],[processed_date]]="","",Claims_Cleaned[[#This Row],[processed_date]]-Claims_Cleaned[[#This Row],[submission_date]])</f>
        <v>26</v>
      </c>
      <c r="I1816" s="4" t="str">
        <f>TEXT(Claims_Cleaned[[#This Row],[claim_date]],"mmm-yyyy")</f>
        <v>Nov-2023</v>
      </c>
      <c r="J1816" t="s">
        <v>20</v>
      </c>
      <c r="K1816">
        <v>120.68</v>
      </c>
      <c r="L1816" t="s">
        <v>683</v>
      </c>
      <c r="M1816">
        <v>26</v>
      </c>
    </row>
    <row r="1817" spans="1:13" x14ac:dyDescent="0.35">
      <c r="A1817" t="s">
        <v>2383</v>
      </c>
      <c r="B1817" t="s">
        <v>353</v>
      </c>
      <c r="C1817" t="s">
        <v>583</v>
      </c>
      <c r="D1817" t="s">
        <v>654</v>
      </c>
      <c r="E1817" s="1">
        <v>45433</v>
      </c>
      <c r="F1817" s="1">
        <v>45436</v>
      </c>
      <c r="G1817" s="1">
        <v>45443</v>
      </c>
      <c r="H1817" s="4">
        <f>IF(Claims_Cleaned[[#This Row],[processed_date]]="","",Claims_Cleaned[[#This Row],[processed_date]]-Claims_Cleaned[[#This Row],[submission_date]])</f>
        <v>7</v>
      </c>
      <c r="I1817" s="4" t="str">
        <f>TEXT(Claims_Cleaned[[#This Row],[claim_date]],"mmm-yyyy")</f>
        <v>May-2024</v>
      </c>
      <c r="J1817" t="s">
        <v>20</v>
      </c>
      <c r="K1817">
        <v>120.54</v>
      </c>
      <c r="L1817" t="s">
        <v>683</v>
      </c>
      <c r="M1817">
        <v>7</v>
      </c>
    </row>
    <row r="1818" spans="1:13" x14ac:dyDescent="0.35">
      <c r="A1818" t="s">
        <v>1691</v>
      </c>
      <c r="B1818" t="s">
        <v>182</v>
      </c>
      <c r="C1818" t="s">
        <v>605</v>
      </c>
      <c r="D1818" t="s">
        <v>654</v>
      </c>
      <c r="E1818" s="1">
        <v>45617</v>
      </c>
      <c r="F1818" s="1">
        <v>45620</v>
      </c>
      <c r="G1818" s="1">
        <v>45640</v>
      </c>
      <c r="H1818" s="4">
        <f>IF(Claims_Cleaned[[#This Row],[processed_date]]="","",Claims_Cleaned[[#This Row],[processed_date]]-Claims_Cleaned[[#This Row],[submission_date]])</f>
        <v>20</v>
      </c>
      <c r="I1818" s="4" t="str">
        <f>TEXT(Claims_Cleaned[[#This Row],[claim_date]],"mmm-yyyy")</f>
        <v>Nov-2024</v>
      </c>
      <c r="J1818" t="s">
        <v>11</v>
      </c>
      <c r="K1818">
        <v>120.49</v>
      </c>
      <c r="L1818" t="s">
        <v>683</v>
      </c>
      <c r="M1818">
        <v>20</v>
      </c>
    </row>
    <row r="1819" spans="1:13" x14ac:dyDescent="0.35">
      <c r="A1819" t="s">
        <v>2094</v>
      </c>
      <c r="B1819" t="s">
        <v>93</v>
      </c>
      <c r="C1819" t="s">
        <v>593</v>
      </c>
      <c r="D1819" t="s">
        <v>654</v>
      </c>
      <c r="E1819" s="1">
        <v>45607</v>
      </c>
      <c r="F1819" s="1">
        <v>45609</v>
      </c>
      <c r="G1819" s="1">
        <v>45635</v>
      </c>
      <c r="H1819" s="4">
        <f>IF(Claims_Cleaned[[#This Row],[processed_date]]="","",Claims_Cleaned[[#This Row],[processed_date]]-Claims_Cleaned[[#This Row],[submission_date]])</f>
        <v>26</v>
      </c>
      <c r="I1819" s="4" t="str">
        <f>TEXT(Claims_Cleaned[[#This Row],[claim_date]],"mmm-yyyy")</f>
        <v>Nov-2024</v>
      </c>
      <c r="J1819" t="s">
        <v>20</v>
      </c>
      <c r="K1819">
        <v>119.69</v>
      </c>
      <c r="L1819" t="s">
        <v>687</v>
      </c>
      <c r="M1819">
        <v>26</v>
      </c>
    </row>
    <row r="1820" spans="1:13" x14ac:dyDescent="0.35">
      <c r="A1820" t="s">
        <v>2097</v>
      </c>
      <c r="B1820" t="s">
        <v>122</v>
      </c>
      <c r="C1820" t="s">
        <v>557</v>
      </c>
      <c r="D1820" t="s">
        <v>651</v>
      </c>
      <c r="E1820" s="1">
        <v>45492</v>
      </c>
      <c r="F1820" s="1">
        <v>45496</v>
      </c>
      <c r="G1820" s="1">
        <v>45526</v>
      </c>
      <c r="H1820" s="4">
        <f>IF(Claims_Cleaned[[#This Row],[processed_date]]="","",Claims_Cleaned[[#This Row],[processed_date]]-Claims_Cleaned[[#This Row],[submission_date]])</f>
        <v>30</v>
      </c>
      <c r="I1820" s="4" t="str">
        <f>TEXT(Claims_Cleaned[[#This Row],[claim_date]],"mmm-yyyy")</f>
        <v>Jul-2024</v>
      </c>
      <c r="J1820" t="s">
        <v>13</v>
      </c>
      <c r="K1820">
        <v>119.64</v>
      </c>
      <c r="L1820" t="s">
        <v>687</v>
      </c>
      <c r="M1820">
        <v>30</v>
      </c>
    </row>
    <row r="1821" spans="1:13" x14ac:dyDescent="0.35">
      <c r="A1821" t="s">
        <v>2276</v>
      </c>
      <c r="B1821" t="s">
        <v>445</v>
      </c>
      <c r="C1821" t="s">
        <v>524</v>
      </c>
      <c r="D1821" t="s">
        <v>654</v>
      </c>
      <c r="E1821" s="1">
        <v>45452</v>
      </c>
      <c r="F1821" s="1">
        <v>45455</v>
      </c>
      <c r="G1821" s="1">
        <v>45485</v>
      </c>
      <c r="H1821" s="4">
        <f>IF(Claims_Cleaned[[#This Row],[processed_date]]="","",Claims_Cleaned[[#This Row],[processed_date]]-Claims_Cleaned[[#This Row],[submission_date]])</f>
        <v>30</v>
      </c>
      <c r="I1821" s="4" t="str">
        <f>TEXT(Claims_Cleaned[[#This Row],[claim_date]],"mmm-yyyy")</f>
        <v>Jun-2024</v>
      </c>
      <c r="J1821" t="s">
        <v>20</v>
      </c>
      <c r="K1821">
        <v>119.45</v>
      </c>
      <c r="L1821" t="s">
        <v>683</v>
      </c>
      <c r="M1821">
        <v>30</v>
      </c>
    </row>
    <row r="1822" spans="1:13" x14ac:dyDescent="0.35">
      <c r="A1822" t="s">
        <v>2461</v>
      </c>
      <c r="B1822" t="s">
        <v>388</v>
      </c>
      <c r="C1822" t="s">
        <v>540</v>
      </c>
      <c r="D1822" t="s">
        <v>651</v>
      </c>
      <c r="E1822" s="1">
        <v>45475</v>
      </c>
      <c r="F1822" s="1">
        <v>45480</v>
      </c>
      <c r="G1822" s="1">
        <v>45493</v>
      </c>
      <c r="H1822" s="4">
        <f>IF(Claims_Cleaned[[#This Row],[processed_date]]="","",Claims_Cleaned[[#This Row],[processed_date]]-Claims_Cleaned[[#This Row],[submission_date]])</f>
        <v>13</v>
      </c>
      <c r="I1822" s="4" t="str">
        <f>TEXT(Claims_Cleaned[[#This Row],[claim_date]],"mmm-yyyy")</f>
        <v>Jul-2024</v>
      </c>
      <c r="J1822" t="s">
        <v>8</v>
      </c>
      <c r="K1822">
        <v>118.59</v>
      </c>
      <c r="L1822" t="s">
        <v>683</v>
      </c>
      <c r="M1822">
        <v>13</v>
      </c>
    </row>
    <row r="1823" spans="1:13" x14ac:dyDescent="0.35">
      <c r="A1823" t="s">
        <v>2236</v>
      </c>
      <c r="B1823" t="s">
        <v>175</v>
      </c>
      <c r="C1823" t="s">
        <v>609</v>
      </c>
      <c r="D1823" t="s">
        <v>654</v>
      </c>
      <c r="E1823" s="1">
        <v>45377</v>
      </c>
      <c r="F1823" s="1">
        <v>45381</v>
      </c>
      <c r="G1823" s="1">
        <v>45390</v>
      </c>
      <c r="H1823" s="4">
        <f>IF(Claims_Cleaned[[#This Row],[processed_date]]="","",Claims_Cleaned[[#This Row],[processed_date]]-Claims_Cleaned[[#This Row],[submission_date]])</f>
        <v>9</v>
      </c>
      <c r="I1823" s="4" t="str">
        <f>TEXT(Claims_Cleaned[[#This Row],[claim_date]],"mmm-yyyy")</f>
        <v>Mar-2024</v>
      </c>
      <c r="J1823" t="s">
        <v>20</v>
      </c>
      <c r="K1823">
        <v>118.14</v>
      </c>
      <c r="L1823" t="s">
        <v>683</v>
      </c>
      <c r="M1823">
        <v>9</v>
      </c>
    </row>
    <row r="1824" spans="1:13" x14ac:dyDescent="0.35">
      <c r="A1824" t="s">
        <v>1720</v>
      </c>
      <c r="B1824" t="s">
        <v>42</v>
      </c>
      <c r="C1824" t="s">
        <v>563</v>
      </c>
      <c r="D1824" t="s">
        <v>654</v>
      </c>
      <c r="E1824" s="1">
        <v>45281</v>
      </c>
      <c r="F1824" s="1">
        <v>45284</v>
      </c>
      <c r="G1824" s="1">
        <v>45306</v>
      </c>
      <c r="H1824" s="4">
        <f>IF(Claims_Cleaned[[#This Row],[processed_date]]="","",Claims_Cleaned[[#This Row],[processed_date]]-Claims_Cleaned[[#This Row],[submission_date]])</f>
        <v>22</v>
      </c>
      <c r="I1824" s="4" t="str">
        <f>TEXT(Claims_Cleaned[[#This Row],[claim_date]],"mmm-yyyy")</f>
        <v>Dec-2023</v>
      </c>
      <c r="J1824" t="s">
        <v>20</v>
      </c>
      <c r="K1824">
        <v>117.92</v>
      </c>
      <c r="L1824" t="s">
        <v>683</v>
      </c>
      <c r="M1824">
        <v>22</v>
      </c>
    </row>
    <row r="1825" spans="1:13" x14ac:dyDescent="0.35">
      <c r="A1825" t="s">
        <v>1378</v>
      </c>
      <c r="B1825" t="s">
        <v>433</v>
      </c>
      <c r="C1825" t="s">
        <v>565</v>
      </c>
      <c r="D1825" t="s">
        <v>654</v>
      </c>
      <c r="E1825" s="1">
        <v>45251</v>
      </c>
      <c r="F1825" s="1">
        <v>45252</v>
      </c>
      <c r="G1825" s="1">
        <v>45268</v>
      </c>
      <c r="H1825" s="4">
        <f>IF(Claims_Cleaned[[#This Row],[processed_date]]="","",Claims_Cleaned[[#This Row],[processed_date]]-Claims_Cleaned[[#This Row],[submission_date]])</f>
        <v>16</v>
      </c>
      <c r="I1825" s="4" t="str">
        <f>TEXT(Claims_Cleaned[[#This Row],[claim_date]],"mmm-yyyy")</f>
        <v>Nov-2023</v>
      </c>
      <c r="J1825" t="s">
        <v>8</v>
      </c>
      <c r="K1825">
        <v>117.86</v>
      </c>
      <c r="L1825" t="s">
        <v>683</v>
      </c>
      <c r="M1825">
        <v>16</v>
      </c>
    </row>
    <row r="1826" spans="1:13" x14ac:dyDescent="0.35">
      <c r="A1826" t="s">
        <v>1920</v>
      </c>
      <c r="B1826" t="s">
        <v>110</v>
      </c>
      <c r="C1826" t="s">
        <v>557</v>
      </c>
      <c r="D1826" t="s">
        <v>654</v>
      </c>
      <c r="E1826" s="1">
        <v>45087</v>
      </c>
      <c r="F1826" s="1">
        <v>45091</v>
      </c>
      <c r="G1826" s="1">
        <v>45112</v>
      </c>
      <c r="H1826" s="4">
        <f>IF(Claims_Cleaned[[#This Row],[processed_date]]="","",Claims_Cleaned[[#This Row],[processed_date]]-Claims_Cleaned[[#This Row],[submission_date]])</f>
        <v>21</v>
      </c>
      <c r="I1826" s="4" t="str">
        <f>TEXT(Claims_Cleaned[[#This Row],[claim_date]],"mmm-yyyy")</f>
        <v>Jun-2023</v>
      </c>
      <c r="J1826" t="s">
        <v>25</v>
      </c>
      <c r="K1826">
        <v>117.5</v>
      </c>
      <c r="L1826" t="s">
        <v>687</v>
      </c>
      <c r="M1826">
        <v>21</v>
      </c>
    </row>
    <row r="1827" spans="1:13" x14ac:dyDescent="0.35">
      <c r="A1827" t="s">
        <v>2350</v>
      </c>
      <c r="B1827" t="s">
        <v>294</v>
      </c>
      <c r="C1827" t="s">
        <v>571</v>
      </c>
      <c r="D1827" t="s">
        <v>651</v>
      </c>
      <c r="E1827" s="1">
        <v>45521</v>
      </c>
      <c r="F1827" s="1">
        <v>45522</v>
      </c>
      <c r="G1827" s="1">
        <v>45535</v>
      </c>
      <c r="H1827" s="4">
        <f>IF(Claims_Cleaned[[#This Row],[processed_date]]="","",Claims_Cleaned[[#This Row],[processed_date]]-Claims_Cleaned[[#This Row],[submission_date]])</f>
        <v>13</v>
      </c>
      <c r="I1827" s="4" t="str">
        <f>TEXT(Claims_Cleaned[[#This Row],[claim_date]],"mmm-yyyy")</f>
        <v>Aug-2024</v>
      </c>
      <c r="J1827" t="s">
        <v>11</v>
      </c>
      <c r="K1827">
        <v>117</v>
      </c>
      <c r="L1827" t="s">
        <v>687</v>
      </c>
      <c r="M1827">
        <v>13</v>
      </c>
    </row>
    <row r="1828" spans="1:13" x14ac:dyDescent="0.35">
      <c r="A1828" t="s">
        <v>1080</v>
      </c>
      <c r="B1828" t="s">
        <v>135</v>
      </c>
      <c r="C1828" t="s">
        <v>565</v>
      </c>
      <c r="D1828" t="s">
        <v>651</v>
      </c>
      <c r="E1828" s="1">
        <v>45529</v>
      </c>
      <c r="F1828" s="1">
        <v>45531</v>
      </c>
      <c r="G1828" s="1">
        <v>45542</v>
      </c>
      <c r="H1828" s="4">
        <f>IF(Claims_Cleaned[[#This Row],[processed_date]]="","",Claims_Cleaned[[#This Row],[processed_date]]-Claims_Cleaned[[#This Row],[submission_date]])</f>
        <v>11</v>
      </c>
      <c r="I1828" s="4" t="str">
        <f>TEXT(Claims_Cleaned[[#This Row],[claim_date]],"mmm-yyyy")</f>
        <v>Aug-2024</v>
      </c>
      <c r="J1828" t="s">
        <v>8</v>
      </c>
      <c r="K1828">
        <v>116.87</v>
      </c>
      <c r="L1828" t="s">
        <v>683</v>
      </c>
      <c r="M1828">
        <v>11</v>
      </c>
    </row>
    <row r="1829" spans="1:13" x14ac:dyDescent="0.35">
      <c r="A1829" t="s">
        <v>1793</v>
      </c>
      <c r="B1829" t="s">
        <v>303</v>
      </c>
      <c r="C1829" t="s">
        <v>609</v>
      </c>
      <c r="D1829" t="s">
        <v>651</v>
      </c>
      <c r="E1829" s="1">
        <v>45428</v>
      </c>
      <c r="F1829" s="1">
        <v>45432</v>
      </c>
      <c r="G1829" s="1">
        <v>45462</v>
      </c>
      <c r="H1829" s="4">
        <f>IF(Claims_Cleaned[[#This Row],[processed_date]]="","",Claims_Cleaned[[#This Row],[processed_date]]-Claims_Cleaned[[#This Row],[submission_date]])</f>
        <v>30</v>
      </c>
      <c r="I1829" s="4" t="str">
        <f>TEXT(Claims_Cleaned[[#This Row],[claim_date]],"mmm-yyyy")</f>
        <v>May-2024</v>
      </c>
      <c r="J1829" t="s">
        <v>8</v>
      </c>
      <c r="K1829">
        <v>116.66</v>
      </c>
      <c r="L1829" t="s">
        <v>687</v>
      </c>
      <c r="M1829">
        <v>30</v>
      </c>
    </row>
    <row r="1830" spans="1:13" x14ac:dyDescent="0.35">
      <c r="A1830" t="s">
        <v>2128</v>
      </c>
      <c r="B1830" t="s">
        <v>439</v>
      </c>
      <c r="C1830" t="s">
        <v>563</v>
      </c>
      <c r="D1830" t="s">
        <v>651</v>
      </c>
      <c r="E1830" s="1">
        <v>45477</v>
      </c>
      <c r="F1830" s="1">
        <v>45478</v>
      </c>
      <c r="G1830" s="1">
        <v>45500</v>
      </c>
      <c r="H1830" s="4">
        <f>IF(Claims_Cleaned[[#This Row],[processed_date]]="","",Claims_Cleaned[[#This Row],[processed_date]]-Claims_Cleaned[[#This Row],[submission_date]])</f>
        <v>22</v>
      </c>
      <c r="I1830" s="4" t="str">
        <f>TEXT(Claims_Cleaned[[#This Row],[claim_date]],"mmm-yyyy")</f>
        <v>Jul-2024</v>
      </c>
      <c r="J1830" t="s">
        <v>11</v>
      </c>
      <c r="K1830">
        <v>116.55</v>
      </c>
      <c r="L1830" t="s">
        <v>683</v>
      </c>
      <c r="M1830">
        <v>22</v>
      </c>
    </row>
    <row r="1831" spans="1:13" x14ac:dyDescent="0.35">
      <c r="A1831" t="s">
        <v>1701</v>
      </c>
      <c r="B1831" t="s">
        <v>88</v>
      </c>
      <c r="C1831" t="s">
        <v>595</v>
      </c>
      <c r="D1831" t="s">
        <v>651</v>
      </c>
      <c r="E1831" s="1">
        <v>45651</v>
      </c>
      <c r="F1831" s="1">
        <v>45654</v>
      </c>
      <c r="G1831" s="1">
        <v>45671</v>
      </c>
      <c r="H1831" s="4">
        <f>IF(Claims_Cleaned[[#This Row],[processed_date]]="","",Claims_Cleaned[[#This Row],[processed_date]]-Claims_Cleaned[[#This Row],[submission_date]])</f>
        <v>17</v>
      </c>
      <c r="I1831" s="4" t="str">
        <f>TEXT(Claims_Cleaned[[#This Row],[claim_date]],"mmm-yyyy")</f>
        <v>Dec-2024</v>
      </c>
      <c r="J1831" t="s">
        <v>13</v>
      </c>
      <c r="K1831">
        <v>116.53</v>
      </c>
      <c r="L1831" t="s">
        <v>683</v>
      </c>
      <c r="M1831">
        <v>17</v>
      </c>
    </row>
    <row r="1832" spans="1:13" x14ac:dyDescent="0.35">
      <c r="A1832" t="s">
        <v>796</v>
      </c>
      <c r="B1832" t="s">
        <v>494</v>
      </c>
      <c r="C1832" t="s">
        <v>579</v>
      </c>
      <c r="D1832" t="s">
        <v>651</v>
      </c>
      <c r="E1832" s="1">
        <v>45239</v>
      </c>
      <c r="F1832" s="1">
        <v>45242</v>
      </c>
      <c r="G1832" s="1">
        <v>45268</v>
      </c>
      <c r="H1832" s="4">
        <f>IF(Claims_Cleaned[[#This Row],[processed_date]]="","",Claims_Cleaned[[#This Row],[processed_date]]-Claims_Cleaned[[#This Row],[submission_date]])</f>
        <v>26</v>
      </c>
      <c r="I1832" s="4" t="str">
        <f>TEXT(Claims_Cleaned[[#This Row],[claim_date]],"mmm-yyyy")</f>
        <v>Nov-2023</v>
      </c>
      <c r="J1832" t="s">
        <v>11</v>
      </c>
      <c r="K1832">
        <v>116.14</v>
      </c>
      <c r="L1832" t="s">
        <v>687</v>
      </c>
      <c r="M1832">
        <v>26</v>
      </c>
    </row>
    <row r="1833" spans="1:13" x14ac:dyDescent="0.35">
      <c r="A1833" t="s">
        <v>2065</v>
      </c>
      <c r="B1833" t="s">
        <v>436</v>
      </c>
      <c r="C1833" t="s">
        <v>565</v>
      </c>
      <c r="D1833" t="s">
        <v>654</v>
      </c>
      <c r="E1833" s="1">
        <v>45073</v>
      </c>
      <c r="F1833" s="1">
        <v>45075</v>
      </c>
      <c r="G1833" s="1"/>
      <c r="H1833" s="4" t="str">
        <f>IF(Claims_Cleaned[[#This Row],[processed_date]]="","",Claims_Cleaned[[#This Row],[processed_date]]-Claims_Cleaned[[#This Row],[submission_date]])</f>
        <v/>
      </c>
      <c r="I1833" s="4" t="str">
        <f>TEXT(Claims_Cleaned[[#This Row],[claim_date]],"mmm-yyyy")</f>
        <v>May-2023</v>
      </c>
      <c r="J1833" t="s">
        <v>8</v>
      </c>
      <c r="K1833">
        <v>115.91</v>
      </c>
      <c r="L1833" t="s">
        <v>689</v>
      </c>
    </row>
    <row r="1834" spans="1:13" x14ac:dyDescent="0.35">
      <c r="A1834" t="s">
        <v>1965</v>
      </c>
      <c r="B1834" t="s">
        <v>314</v>
      </c>
      <c r="C1834" t="s">
        <v>553</v>
      </c>
      <c r="D1834" t="s">
        <v>651</v>
      </c>
      <c r="E1834" s="1">
        <v>45353</v>
      </c>
      <c r="F1834" s="1">
        <v>45354</v>
      </c>
      <c r="G1834" s="1">
        <v>45370</v>
      </c>
      <c r="H1834" s="4">
        <f>IF(Claims_Cleaned[[#This Row],[processed_date]]="","",Claims_Cleaned[[#This Row],[processed_date]]-Claims_Cleaned[[#This Row],[submission_date]])</f>
        <v>16</v>
      </c>
      <c r="I1834" s="4" t="str">
        <f>TEXT(Claims_Cleaned[[#This Row],[claim_date]],"mmm-yyyy")</f>
        <v>Mar-2024</v>
      </c>
      <c r="J1834" t="s">
        <v>8</v>
      </c>
      <c r="K1834">
        <v>115.8</v>
      </c>
      <c r="L1834" t="s">
        <v>683</v>
      </c>
      <c r="M1834">
        <v>16</v>
      </c>
    </row>
    <row r="1835" spans="1:13" x14ac:dyDescent="0.35">
      <c r="A1835" t="s">
        <v>2224</v>
      </c>
      <c r="B1835" t="s">
        <v>192</v>
      </c>
      <c r="C1835" t="s">
        <v>593</v>
      </c>
      <c r="D1835" t="s">
        <v>651</v>
      </c>
      <c r="E1835" s="1">
        <v>45586</v>
      </c>
      <c r="F1835" s="1">
        <v>45590</v>
      </c>
      <c r="G1835" s="1">
        <v>45613</v>
      </c>
      <c r="H1835" s="4">
        <f>IF(Claims_Cleaned[[#This Row],[processed_date]]="","",Claims_Cleaned[[#This Row],[processed_date]]-Claims_Cleaned[[#This Row],[submission_date]])</f>
        <v>23</v>
      </c>
      <c r="I1835" s="4" t="str">
        <f>TEXT(Claims_Cleaned[[#This Row],[claim_date]],"mmm-yyyy")</f>
        <v>Oct-2024</v>
      </c>
      <c r="J1835" t="s">
        <v>11</v>
      </c>
      <c r="K1835">
        <v>115.29</v>
      </c>
      <c r="L1835" t="s">
        <v>683</v>
      </c>
      <c r="M1835">
        <v>23</v>
      </c>
    </row>
    <row r="1836" spans="1:13" x14ac:dyDescent="0.35">
      <c r="A1836" t="s">
        <v>1217</v>
      </c>
      <c r="B1836" t="s">
        <v>460</v>
      </c>
      <c r="C1836" t="s">
        <v>579</v>
      </c>
      <c r="D1836" t="s">
        <v>651</v>
      </c>
      <c r="E1836" s="1">
        <v>45068</v>
      </c>
      <c r="F1836" s="1">
        <v>45073</v>
      </c>
      <c r="G1836" s="1">
        <v>45085</v>
      </c>
      <c r="H1836" s="4">
        <f>IF(Claims_Cleaned[[#This Row],[processed_date]]="","",Claims_Cleaned[[#This Row],[processed_date]]-Claims_Cleaned[[#This Row],[submission_date]])</f>
        <v>12</v>
      </c>
      <c r="I1836" s="4" t="str">
        <f>TEXT(Claims_Cleaned[[#This Row],[claim_date]],"mmm-yyyy")</f>
        <v>May-2023</v>
      </c>
      <c r="J1836" t="s">
        <v>11</v>
      </c>
      <c r="K1836">
        <v>115.19</v>
      </c>
      <c r="L1836" t="s">
        <v>683</v>
      </c>
      <c r="M1836">
        <v>12</v>
      </c>
    </row>
    <row r="1837" spans="1:13" x14ac:dyDescent="0.35">
      <c r="A1837" t="s">
        <v>2137</v>
      </c>
      <c r="B1837" t="s">
        <v>14</v>
      </c>
      <c r="C1837" t="s">
        <v>527</v>
      </c>
      <c r="D1837" t="s">
        <v>654</v>
      </c>
      <c r="E1837" s="1">
        <v>45128</v>
      </c>
      <c r="F1837" s="1">
        <v>45129</v>
      </c>
      <c r="G1837" s="1">
        <v>45150</v>
      </c>
      <c r="H1837" s="4">
        <f>IF(Claims_Cleaned[[#This Row],[processed_date]]="","",Claims_Cleaned[[#This Row],[processed_date]]-Claims_Cleaned[[#This Row],[submission_date]])</f>
        <v>21</v>
      </c>
      <c r="I1837" s="4" t="str">
        <f>TEXT(Claims_Cleaned[[#This Row],[claim_date]],"mmm-yyyy")</f>
        <v>Jul-2023</v>
      </c>
      <c r="J1837" t="s">
        <v>8</v>
      </c>
      <c r="K1837">
        <v>114.75</v>
      </c>
      <c r="L1837" t="s">
        <v>683</v>
      </c>
      <c r="M1837">
        <v>21</v>
      </c>
    </row>
    <row r="1838" spans="1:13" x14ac:dyDescent="0.35">
      <c r="A1838" t="s">
        <v>2336</v>
      </c>
      <c r="B1838" t="s">
        <v>206</v>
      </c>
      <c r="C1838" t="s">
        <v>521</v>
      </c>
      <c r="D1838" t="s">
        <v>654</v>
      </c>
      <c r="E1838" s="1">
        <v>45209</v>
      </c>
      <c r="F1838" s="1">
        <v>45214</v>
      </c>
      <c r="G1838" s="1">
        <v>45228</v>
      </c>
      <c r="H1838" s="4">
        <f>IF(Claims_Cleaned[[#This Row],[processed_date]]="","",Claims_Cleaned[[#This Row],[processed_date]]-Claims_Cleaned[[#This Row],[submission_date]])</f>
        <v>14</v>
      </c>
      <c r="I1838" s="4" t="str">
        <f>TEXT(Claims_Cleaned[[#This Row],[claim_date]],"mmm-yyyy")</f>
        <v>Oct-2023</v>
      </c>
      <c r="J1838" t="s">
        <v>13</v>
      </c>
      <c r="K1838">
        <v>114.33</v>
      </c>
      <c r="L1838" t="s">
        <v>687</v>
      </c>
      <c r="M1838">
        <v>14</v>
      </c>
    </row>
    <row r="1839" spans="1:13" x14ac:dyDescent="0.35">
      <c r="A1839" t="s">
        <v>1361</v>
      </c>
      <c r="B1839" t="s">
        <v>128</v>
      </c>
      <c r="C1839" t="s">
        <v>597</v>
      </c>
      <c r="D1839" t="s">
        <v>651</v>
      </c>
      <c r="E1839" s="1">
        <v>44933</v>
      </c>
      <c r="F1839" s="1">
        <v>44937</v>
      </c>
      <c r="G1839" s="1">
        <v>44961</v>
      </c>
      <c r="H1839" s="4">
        <f>IF(Claims_Cleaned[[#This Row],[processed_date]]="","",Claims_Cleaned[[#This Row],[processed_date]]-Claims_Cleaned[[#This Row],[submission_date]])</f>
        <v>24</v>
      </c>
      <c r="I1839" s="4" t="str">
        <f>TEXT(Claims_Cleaned[[#This Row],[claim_date]],"mmm-yyyy")</f>
        <v>Jan-2023</v>
      </c>
      <c r="J1839" t="s">
        <v>8</v>
      </c>
      <c r="K1839">
        <v>114.32</v>
      </c>
      <c r="L1839" t="s">
        <v>683</v>
      </c>
      <c r="M1839">
        <v>24</v>
      </c>
    </row>
    <row r="1840" spans="1:13" x14ac:dyDescent="0.35">
      <c r="A1840" t="s">
        <v>1453</v>
      </c>
      <c r="B1840" t="s">
        <v>466</v>
      </c>
      <c r="C1840" t="s">
        <v>597</v>
      </c>
      <c r="D1840" t="s">
        <v>654</v>
      </c>
      <c r="E1840" s="1">
        <v>45065</v>
      </c>
      <c r="F1840" s="1">
        <v>45067</v>
      </c>
      <c r="G1840" s="1">
        <v>45081</v>
      </c>
      <c r="H1840" s="4">
        <f>IF(Claims_Cleaned[[#This Row],[processed_date]]="","",Claims_Cleaned[[#This Row],[processed_date]]-Claims_Cleaned[[#This Row],[submission_date]])</f>
        <v>14</v>
      </c>
      <c r="I1840" s="4" t="str">
        <f>TEXT(Claims_Cleaned[[#This Row],[claim_date]],"mmm-yyyy")</f>
        <v>May-2023</v>
      </c>
      <c r="J1840" t="s">
        <v>20</v>
      </c>
      <c r="K1840">
        <v>114.09</v>
      </c>
      <c r="L1840" t="s">
        <v>683</v>
      </c>
      <c r="M1840">
        <v>14</v>
      </c>
    </row>
    <row r="1841" spans="1:13" x14ac:dyDescent="0.35">
      <c r="A1841" t="s">
        <v>2150</v>
      </c>
      <c r="B1841" t="s">
        <v>63</v>
      </c>
      <c r="C1841" t="s">
        <v>540</v>
      </c>
      <c r="D1841" t="s">
        <v>651</v>
      </c>
      <c r="E1841" s="1">
        <v>45037</v>
      </c>
      <c r="F1841" s="1">
        <v>45038</v>
      </c>
      <c r="G1841" s="1">
        <v>45068</v>
      </c>
      <c r="H1841" s="4">
        <f>IF(Claims_Cleaned[[#This Row],[processed_date]]="","",Claims_Cleaned[[#This Row],[processed_date]]-Claims_Cleaned[[#This Row],[submission_date]])</f>
        <v>30</v>
      </c>
      <c r="I1841" s="4" t="str">
        <f>TEXT(Claims_Cleaned[[#This Row],[claim_date]],"mmm-yyyy")</f>
        <v>Apr-2023</v>
      </c>
      <c r="J1841" t="s">
        <v>25</v>
      </c>
      <c r="K1841">
        <v>114.04</v>
      </c>
      <c r="L1841" t="s">
        <v>683</v>
      </c>
      <c r="M1841">
        <v>30</v>
      </c>
    </row>
    <row r="1842" spans="1:13" x14ac:dyDescent="0.35">
      <c r="A1842" t="s">
        <v>2275</v>
      </c>
      <c r="B1842" t="s">
        <v>433</v>
      </c>
      <c r="C1842" t="s">
        <v>573</v>
      </c>
      <c r="D1842" t="s">
        <v>654</v>
      </c>
      <c r="E1842" s="1">
        <v>45141</v>
      </c>
      <c r="F1842" s="1">
        <v>45144</v>
      </c>
      <c r="G1842" s="1">
        <v>45148</v>
      </c>
      <c r="H1842" s="4">
        <f>IF(Claims_Cleaned[[#This Row],[processed_date]]="","",Claims_Cleaned[[#This Row],[processed_date]]-Claims_Cleaned[[#This Row],[submission_date]])</f>
        <v>4</v>
      </c>
      <c r="I1842" s="4" t="str">
        <f>TEXT(Claims_Cleaned[[#This Row],[claim_date]],"mmm-yyyy")</f>
        <v>Aug-2023</v>
      </c>
      <c r="J1842" t="s">
        <v>8</v>
      </c>
      <c r="K1842">
        <v>114.03</v>
      </c>
      <c r="L1842" t="s">
        <v>687</v>
      </c>
      <c r="M1842">
        <v>4</v>
      </c>
    </row>
    <row r="1843" spans="1:13" x14ac:dyDescent="0.35">
      <c r="A1843" t="s">
        <v>1544</v>
      </c>
      <c r="B1843" t="s">
        <v>356</v>
      </c>
      <c r="C1843" t="s">
        <v>555</v>
      </c>
      <c r="D1843" t="s">
        <v>654</v>
      </c>
      <c r="E1843" s="1">
        <v>45229</v>
      </c>
      <c r="F1843" s="1">
        <v>45232</v>
      </c>
      <c r="G1843" s="1">
        <v>45245</v>
      </c>
      <c r="H1843" s="4">
        <f>IF(Claims_Cleaned[[#This Row],[processed_date]]="","",Claims_Cleaned[[#This Row],[processed_date]]-Claims_Cleaned[[#This Row],[submission_date]])</f>
        <v>13</v>
      </c>
      <c r="I1843" s="4" t="str">
        <f>TEXT(Claims_Cleaned[[#This Row],[claim_date]],"mmm-yyyy")</f>
        <v>Oct-2023</v>
      </c>
      <c r="J1843" t="s">
        <v>13</v>
      </c>
      <c r="K1843">
        <v>114.01</v>
      </c>
      <c r="L1843" t="s">
        <v>683</v>
      </c>
      <c r="M1843">
        <v>13</v>
      </c>
    </row>
    <row r="1844" spans="1:13" x14ac:dyDescent="0.35">
      <c r="A1844" t="s">
        <v>1520</v>
      </c>
      <c r="B1844" t="s">
        <v>464</v>
      </c>
      <c r="C1844" t="s">
        <v>589</v>
      </c>
      <c r="D1844" t="s">
        <v>651</v>
      </c>
      <c r="E1844" s="1">
        <v>45369</v>
      </c>
      <c r="F1844" s="1">
        <v>45371</v>
      </c>
      <c r="G1844" s="1">
        <v>45392</v>
      </c>
      <c r="H1844" s="4">
        <f>IF(Claims_Cleaned[[#This Row],[processed_date]]="","",Claims_Cleaned[[#This Row],[processed_date]]-Claims_Cleaned[[#This Row],[submission_date]])</f>
        <v>21</v>
      </c>
      <c r="I1844" s="4" t="str">
        <f>TEXT(Claims_Cleaned[[#This Row],[claim_date]],"mmm-yyyy")</f>
        <v>Mar-2024</v>
      </c>
      <c r="J1844" t="s">
        <v>11</v>
      </c>
      <c r="K1844">
        <v>113.82</v>
      </c>
      <c r="L1844" t="s">
        <v>687</v>
      </c>
      <c r="M1844">
        <v>21</v>
      </c>
    </row>
    <row r="1845" spans="1:13" x14ac:dyDescent="0.35">
      <c r="A1845" t="s">
        <v>2026</v>
      </c>
      <c r="B1845" t="s">
        <v>452</v>
      </c>
      <c r="C1845" t="s">
        <v>531</v>
      </c>
      <c r="D1845" t="s">
        <v>654</v>
      </c>
      <c r="E1845" s="1">
        <v>45080</v>
      </c>
      <c r="F1845" s="1">
        <v>45083</v>
      </c>
      <c r="G1845" s="1">
        <v>45104</v>
      </c>
      <c r="H1845" s="4">
        <f>IF(Claims_Cleaned[[#This Row],[processed_date]]="","",Claims_Cleaned[[#This Row],[processed_date]]-Claims_Cleaned[[#This Row],[submission_date]])</f>
        <v>21</v>
      </c>
      <c r="I1845" s="4" t="str">
        <f>TEXT(Claims_Cleaned[[#This Row],[claim_date]],"mmm-yyyy")</f>
        <v>Jun-2023</v>
      </c>
      <c r="J1845" t="s">
        <v>11</v>
      </c>
      <c r="K1845">
        <v>113.78</v>
      </c>
      <c r="L1845" t="s">
        <v>683</v>
      </c>
      <c r="M1845">
        <v>21</v>
      </c>
    </row>
    <row r="1846" spans="1:13" x14ac:dyDescent="0.35">
      <c r="A1846" t="s">
        <v>2269</v>
      </c>
      <c r="B1846" t="s">
        <v>352</v>
      </c>
      <c r="C1846" t="s">
        <v>563</v>
      </c>
      <c r="D1846" t="s">
        <v>651</v>
      </c>
      <c r="E1846" s="1">
        <v>45215</v>
      </c>
      <c r="F1846" s="1">
        <v>45216</v>
      </c>
      <c r="G1846" s="1"/>
      <c r="H1846" s="4" t="str">
        <f>IF(Claims_Cleaned[[#This Row],[processed_date]]="","",Claims_Cleaned[[#This Row],[processed_date]]-Claims_Cleaned[[#This Row],[submission_date]])</f>
        <v/>
      </c>
      <c r="I1846" s="4" t="str">
        <f>TEXT(Claims_Cleaned[[#This Row],[claim_date]],"mmm-yyyy")</f>
        <v>Oct-2023</v>
      </c>
      <c r="J1846" t="s">
        <v>20</v>
      </c>
      <c r="K1846">
        <v>113.31</v>
      </c>
      <c r="L1846" t="s">
        <v>689</v>
      </c>
    </row>
    <row r="1847" spans="1:13" x14ac:dyDescent="0.35">
      <c r="A1847" t="s">
        <v>899</v>
      </c>
      <c r="B1847" t="s">
        <v>424</v>
      </c>
      <c r="C1847" t="s">
        <v>567</v>
      </c>
      <c r="D1847" t="s">
        <v>654</v>
      </c>
      <c r="E1847" s="1">
        <v>45270</v>
      </c>
      <c r="F1847" s="1">
        <v>45273</v>
      </c>
      <c r="G1847" s="1">
        <v>45285</v>
      </c>
      <c r="H1847" s="4">
        <f>IF(Claims_Cleaned[[#This Row],[processed_date]]="","",Claims_Cleaned[[#This Row],[processed_date]]-Claims_Cleaned[[#This Row],[submission_date]])</f>
        <v>12</v>
      </c>
      <c r="I1847" s="4" t="str">
        <f>TEXT(Claims_Cleaned[[#This Row],[claim_date]],"mmm-yyyy")</f>
        <v>Dec-2023</v>
      </c>
      <c r="J1847" t="s">
        <v>11</v>
      </c>
      <c r="K1847">
        <v>113.23</v>
      </c>
      <c r="L1847" t="s">
        <v>683</v>
      </c>
      <c r="M1847">
        <v>12</v>
      </c>
    </row>
    <row r="1848" spans="1:13" x14ac:dyDescent="0.35">
      <c r="A1848" t="s">
        <v>2399</v>
      </c>
      <c r="B1848" t="s">
        <v>220</v>
      </c>
      <c r="C1848" t="s">
        <v>583</v>
      </c>
      <c r="D1848" t="s">
        <v>651</v>
      </c>
      <c r="E1848" s="1">
        <v>45419</v>
      </c>
      <c r="F1848" s="1">
        <v>45420</v>
      </c>
      <c r="G1848" s="1">
        <v>45437</v>
      </c>
      <c r="H1848" s="4">
        <f>IF(Claims_Cleaned[[#This Row],[processed_date]]="","",Claims_Cleaned[[#This Row],[processed_date]]-Claims_Cleaned[[#This Row],[submission_date]])</f>
        <v>17</v>
      </c>
      <c r="I1848" s="4" t="str">
        <f>TEXT(Claims_Cleaned[[#This Row],[claim_date]],"mmm-yyyy")</f>
        <v>May-2024</v>
      </c>
      <c r="J1848" t="s">
        <v>11</v>
      </c>
      <c r="K1848">
        <v>113.19</v>
      </c>
      <c r="L1848" t="s">
        <v>683</v>
      </c>
      <c r="M1848">
        <v>17</v>
      </c>
    </row>
    <row r="1849" spans="1:13" x14ac:dyDescent="0.35">
      <c r="A1849" t="s">
        <v>2285</v>
      </c>
      <c r="B1849" t="s">
        <v>139</v>
      </c>
      <c r="C1849" t="s">
        <v>597</v>
      </c>
      <c r="D1849" t="s">
        <v>654</v>
      </c>
      <c r="E1849" s="1">
        <v>45287</v>
      </c>
      <c r="F1849" s="1">
        <v>45290</v>
      </c>
      <c r="G1849" s="1">
        <v>45306</v>
      </c>
      <c r="H1849" s="4">
        <f>IF(Claims_Cleaned[[#This Row],[processed_date]]="","",Claims_Cleaned[[#This Row],[processed_date]]-Claims_Cleaned[[#This Row],[submission_date]])</f>
        <v>16</v>
      </c>
      <c r="I1849" s="4" t="str">
        <f>TEXT(Claims_Cleaned[[#This Row],[claim_date]],"mmm-yyyy")</f>
        <v>Dec-2023</v>
      </c>
      <c r="J1849" t="s">
        <v>20</v>
      </c>
      <c r="K1849">
        <v>112.91</v>
      </c>
      <c r="L1849" t="s">
        <v>683</v>
      </c>
      <c r="M1849">
        <v>16</v>
      </c>
    </row>
    <row r="1850" spans="1:13" x14ac:dyDescent="0.35">
      <c r="A1850" t="s">
        <v>1137</v>
      </c>
      <c r="B1850" t="s">
        <v>102</v>
      </c>
      <c r="C1850" t="s">
        <v>605</v>
      </c>
      <c r="D1850" t="s">
        <v>654</v>
      </c>
      <c r="E1850" s="1">
        <v>45558</v>
      </c>
      <c r="F1850" s="1">
        <v>45562</v>
      </c>
      <c r="G1850" s="1">
        <v>45585</v>
      </c>
      <c r="H1850" s="4">
        <f>IF(Claims_Cleaned[[#This Row],[processed_date]]="","",Claims_Cleaned[[#This Row],[processed_date]]-Claims_Cleaned[[#This Row],[submission_date]])</f>
        <v>23</v>
      </c>
      <c r="I1850" s="4" t="str">
        <f>TEXT(Claims_Cleaned[[#This Row],[claim_date]],"mmm-yyyy")</f>
        <v>Sep-2024</v>
      </c>
      <c r="J1850" t="s">
        <v>11</v>
      </c>
      <c r="K1850">
        <v>112.5</v>
      </c>
      <c r="L1850" t="s">
        <v>683</v>
      </c>
      <c r="M1850">
        <v>23</v>
      </c>
    </row>
    <row r="1851" spans="1:13" x14ac:dyDescent="0.35">
      <c r="A1851" t="s">
        <v>2000</v>
      </c>
      <c r="B1851" t="s">
        <v>106</v>
      </c>
      <c r="C1851" t="s">
        <v>540</v>
      </c>
      <c r="D1851" t="s">
        <v>654</v>
      </c>
      <c r="E1851" s="1">
        <v>45472</v>
      </c>
      <c r="F1851" s="1">
        <v>45473</v>
      </c>
      <c r="G1851" s="1">
        <v>45483</v>
      </c>
      <c r="H1851" s="4">
        <f>IF(Claims_Cleaned[[#This Row],[processed_date]]="","",Claims_Cleaned[[#This Row],[processed_date]]-Claims_Cleaned[[#This Row],[submission_date]])</f>
        <v>10</v>
      </c>
      <c r="I1851" s="4" t="str">
        <f>TEXT(Claims_Cleaned[[#This Row],[claim_date]],"mmm-yyyy")</f>
        <v>Jun-2024</v>
      </c>
      <c r="J1851" t="s">
        <v>11</v>
      </c>
      <c r="K1851">
        <v>112.23</v>
      </c>
      <c r="L1851" t="s">
        <v>683</v>
      </c>
      <c r="M1851">
        <v>10</v>
      </c>
    </row>
    <row r="1852" spans="1:13" x14ac:dyDescent="0.35">
      <c r="A1852" t="s">
        <v>1417</v>
      </c>
      <c r="B1852" t="s">
        <v>229</v>
      </c>
      <c r="C1852" t="s">
        <v>595</v>
      </c>
      <c r="D1852" t="s">
        <v>654</v>
      </c>
      <c r="E1852" s="1">
        <v>45295</v>
      </c>
      <c r="F1852" s="1">
        <v>45299</v>
      </c>
      <c r="G1852" s="1">
        <v>45326</v>
      </c>
      <c r="H1852" s="4">
        <f>IF(Claims_Cleaned[[#This Row],[processed_date]]="","",Claims_Cleaned[[#This Row],[processed_date]]-Claims_Cleaned[[#This Row],[submission_date]])</f>
        <v>27</v>
      </c>
      <c r="I1852" s="4" t="str">
        <f>TEXT(Claims_Cleaned[[#This Row],[claim_date]],"mmm-yyyy")</f>
        <v>Jan-2024</v>
      </c>
      <c r="J1852" t="s">
        <v>11</v>
      </c>
      <c r="K1852">
        <v>111.87</v>
      </c>
      <c r="L1852" t="s">
        <v>683</v>
      </c>
      <c r="M1852">
        <v>27</v>
      </c>
    </row>
    <row r="1853" spans="1:13" x14ac:dyDescent="0.35">
      <c r="A1853" t="s">
        <v>684</v>
      </c>
      <c r="B1853" t="s">
        <v>347</v>
      </c>
      <c r="C1853" t="s">
        <v>527</v>
      </c>
      <c r="D1853" t="s">
        <v>654</v>
      </c>
      <c r="E1853" s="1">
        <v>45559</v>
      </c>
      <c r="F1853" s="1">
        <v>45562</v>
      </c>
      <c r="G1853" s="1">
        <v>45587</v>
      </c>
      <c r="H1853" s="4">
        <f>IF(Claims_Cleaned[[#This Row],[processed_date]]="","",Claims_Cleaned[[#This Row],[processed_date]]-Claims_Cleaned[[#This Row],[submission_date]])</f>
        <v>25</v>
      </c>
      <c r="I1853" s="4" t="str">
        <f>TEXT(Claims_Cleaned[[#This Row],[claim_date]],"mmm-yyyy")</f>
        <v>Sep-2024</v>
      </c>
      <c r="J1853" t="s">
        <v>8</v>
      </c>
      <c r="K1853">
        <v>111.41</v>
      </c>
      <c r="L1853" t="s">
        <v>683</v>
      </c>
      <c r="M1853">
        <v>25</v>
      </c>
    </row>
    <row r="1854" spans="1:13" x14ac:dyDescent="0.35">
      <c r="A1854" t="s">
        <v>1602</v>
      </c>
      <c r="B1854" t="s">
        <v>258</v>
      </c>
      <c r="C1854" t="s">
        <v>609</v>
      </c>
      <c r="D1854" t="s">
        <v>654</v>
      </c>
      <c r="E1854" s="1">
        <v>44939</v>
      </c>
      <c r="F1854" s="1">
        <v>44942</v>
      </c>
      <c r="G1854" s="1">
        <v>44959</v>
      </c>
      <c r="H1854" s="4">
        <f>IF(Claims_Cleaned[[#This Row],[processed_date]]="","",Claims_Cleaned[[#This Row],[processed_date]]-Claims_Cleaned[[#This Row],[submission_date]])</f>
        <v>17</v>
      </c>
      <c r="I1854" s="4" t="str">
        <f>TEXT(Claims_Cleaned[[#This Row],[claim_date]],"mmm-yyyy")</f>
        <v>Jan-2023</v>
      </c>
      <c r="J1854" t="s">
        <v>8</v>
      </c>
      <c r="K1854">
        <v>111.3</v>
      </c>
      <c r="L1854" t="s">
        <v>683</v>
      </c>
      <c r="M1854">
        <v>17</v>
      </c>
    </row>
    <row r="1855" spans="1:13" x14ac:dyDescent="0.35">
      <c r="A1855" t="s">
        <v>2166</v>
      </c>
      <c r="B1855" t="s">
        <v>347</v>
      </c>
      <c r="C1855" t="s">
        <v>605</v>
      </c>
      <c r="D1855" t="s">
        <v>654</v>
      </c>
      <c r="E1855" s="1">
        <v>45333</v>
      </c>
      <c r="F1855" s="1">
        <v>45337</v>
      </c>
      <c r="G1855" s="1"/>
      <c r="H1855" s="4" t="str">
        <f>IF(Claims_Cleaned[[#This Row],[processed_date]]="","",Claims_Cleaned[[#This Row],[processed_date]]-Claims_Cleaned[[#This Row],[submission_date]])</f>
        <v/>
      </c>
      <c r="I1855" s="4" t="str">
        <f>TEXT(Claims_Cleaned[[#This Row],[claim_date]],"mmm-yyyy")</f>
        <v>Feb-2024</v>
      </c>
      <c r="J1855" t="s">
        <v>8</v>
      </c>
      <c r="K1855">
        <v>111.2</v>
      </c>
      <c r="L1855" t="s">
        <v>689</v>
      </c>
    </row>
    <row r="1856" spans="1:13" x14ac:dyDescent="0.35">
      <c r="A1856" t="s">
        <v>2369</v>
      </c>
      <c r="B1856" t="s">
        <v>429</v>
      </c>
      <c r="C1856" t="s">
        <v>579</v>
      </c>
      <c r="D1856" t="s">
        <v>651</v>
      </c>
      <c r="E1856" s="1">
        <v>45576</v>
      </c>
      <c r="F1856" s="1">
        <v>45578</v>
      </c>
      <c r="G1856" s="1">
        <v>45605</v>
      </c>
      <c r="H1856" s="4">
        <f>IF(Claims_Cleaned[[#This Row],[processed_date]]="","",Claims_Cleaned[[#This Row],[processed_date]]-Claims_Cleaned[[#This Row],[submission_date]])</f>
        <v>27</v>
      </c>
      <c r="I1856" s="4" t="str">
        <f>TEXT(Claims_Cleaned[[#This Row],[claim_date]],"mmm-yyyy")</f>
        <v>Oct-2024</v>
      </c>
      <c r="J1856" t="s">
        <v>13</v>
      </c>
      <c r="K1856">
        <v>111.15</v>
      </c>
      <c r="L1856" t="s">
        <v>683</v>
      </c>
      <c r="M1856">
        <v>27</v>
      </c>
    </row>
    <row r="1857" spans="1:13" x14ac:dyDescent="0.35">
      <c r="A1857" t="s">
        <v>1060</v>
      </c>
      <c r="B1857" t="s">
        <v>435</v>
      </c>
      <c r="C1857" t="s">
        <v>546</v>
      </c>
      <c r="D1857" t="s">
        <v>651</v>
      </c>
      <c r="E1857" s="1">
        <v>45069</v>
      </c>
      <c r="F1857" s="1">
        <v>45072</v>
      </c>
      <c r="G1857" s="1"/>
      <c r="H1857" s="4" t="str">
        <f>IF(Claims_Cleaned[[#This Row],[processed_date]]="","",Claims_Cleaned[[#This Row],[processed_date]]-Claims_Cleaned[[#This Row],[submission_date]])</f>
        <v/>
      </c>
      <c r="I1857" s="4" t="str">
        <f>TEXT(Claims_Cleaned[[#This Row],[claim_date]],"mmm-yyyy")</f>
        <v>May-2023</v>
      </c>
      <c r="J1857" t="s">
        <v>20</v>
      </c>
      <c r="K1857">
        <v>111.12</v>
      </c>
      <c r="L1857" t="s">
        <v>689</v>
      </c>
    </row>
    <row r="1858" spans="1:13" x14ac:dyDescent="0.35">
      <c r="A1858" t="s">
        <v>2486</v>
      </c>
      <c r="B1858" t="s">
        <v>443</v>
      </c>
      <c r="C1858" t="s">
        <v>567</v>
      </c>
      <c r="D1858" t="s">
        <v>651</v>
      </c>
      <c r="E1858" s="1">
        <v>45640</v>
      </c>
      <c r="F1858" s="1">
        <v>45642</v>
      </c>
      <c r="G1858" s="1">
        <v>45662</v>
      </c>
      <c r="H1858" s="4">
        <f>IF(Claims_Cleaned[[#This Row],[processed_date]]="","",Claims_Cleaned[[#This Row],[processed_date]]-Claims_Cleaned[[#This Row],[submission_date]])</f>
        <v>20</v>
      </c>
      <c r="I1858" s="4" t="str">
        <f>TEXT(Claims_Cleaned[[#This Row],[claim_date]],"mmm-yyyy")</f>
        <v>Dec-2024</v>
      </c>
      <c r="J1858" t="s">
        <v>11</v>
      </c>
      <c r="K1858">
        <v>111.12</v>
      </c>
      <c r="L1858" t="s">
        <v>687</v>
      </c>
      <c r="M1858">
        <v>20</v>
      </c>
    </row>
    <row r="1859" spans="1:13" x14ac:dyDescent="0.35">
      <c r="A1859" t="s">
        <v>1121</v>
      </c>
      <c r="B1859" t="s">
        <v>408</v>
      </c>
      <c r="C1859" t="s">
        <v>581</v>
      </c>
      <c r="D1859" t="s">
        <v>651</v>
      </c>
      <c r="E1859" s="1">
        <v>45191</v>
      </c>
      <c r="F1859" s="1">
        <v>45194</v>
      </c>
      <c r="G1859" s="1">
        <v>45211</v>
      </c>
      <c r="H1859" s="4">
        <f>IF(Claims_Cleaned[[#This Row],[processed_date]]="","",Claims_Cleaned[[#This Row],[processed_date]]-Claims_Cleaned[[#This Row],[submission_date]])</f>
        <v>17</v>
      </c>
      <c r="I1859" s="4" t="str">
        <f>TEXT(Claims_Cleaned[[#This Row],[claim_date]],"mmm-yyyy")</f>
        <v>Sep-2023</v>
      </c>
      <c r="J1859" t="s">
        <v>11</v>
      </c>
      <c r="K1859">
        <v>111.03</v>
      </c>
      <c r="L1859" t="s">
        <v>683</v>
      </c>
      <c r="M1859">
        <v>17</v>
      </c>
    </row>
    <row r="1860" spans="1:13" x14ac:dyDescent="0.35">
      <c r="A1860" t="s">
        <v>1435</v>
      </c>
      <c r="B1860" t="s">
        <v>387</v>
      </c>
      <c r="C1860" t="s">
        <v>581</v>
      </c>
      <c r="D1860" t="s">
        <v>654</v>
      </c>
      <c r="E1860" s="1">
        <v>45280</v>
      </c>
      <c r="F1860" s="1">
        <v>45284</v>
      </c>
      <c r="G1860" s="1">
        <v>45302</v>
      </c>
      <c r="H1860" s="4">
        <f>IF(Claims_Cleaned[[#This Row],[processed_date]]="","",Claims_Cleaned[[#This Row],[processed_date]]-Claims_Cleaned[[#This Row],[submission_date]])</f>
        <v>18</v>
      </c>
      <c r="I1860" s="4" t="str">
        <f>TEXT(Claims_Cleaned[[#This Row],[claim_date]],"mmm-yyyy")</f>
        <v>Dec-2023</v>
      </c>
      <c r="J1860" t="s">
        <v>11</v>
      </c>
      <c r="K1860">
        <v>110.94</v>
      </c>
      <c r="L1860" t="s">
        <v>683</v>
      </c>
      <c r="M1860">
        <v>18</v>
      </c>
    </row>
    <row r="1861" spans="1:13" x14ac:dyDescent="0.35">
      <c r="A1861" t="s">
        <v>2287</v>
      </c>
      <c r="B1861" t="s">
        <v>203</v>
      </c>
      <c r="C1861" t="s">
        <v>607</v>
      </c>
      <c r="D1861" t="s">
        <v>654</v>
      </c>
      <c r="E1861" s="1">
        <v>45318</v>
      </c>
      <c r="F1861" s="1">
        <v>45319</v>
      </c>
      <c r="G1861" s="1">
        <v>45349</v>
      </c>
      <c r="H1861" s="4">
        <f>IF(Claims_Cleaned[[#This Row],[processed_date]]="","",Claims_Cleaned[[#This Row],[processed_date]]-Claims_Cleaned[[#This Row],[submission_date]])</f>
        <v>30</v>
      </c>
      <c r="I1861" s="4" t="str">
        <f>TEXT(Claims_Cleaned[[#This Row],[claim_date]],"mmm-yyyy")</f>
        <v>Jan-2024</v>
      </c>
      <c r="J1861" t="s">
        <v>25</v>
      </c>
      <c r="K1861">
        <v>110.52</v>
      </c>
      <c r="L1861" t="s">
        <v>687</v>
      </c>
      <c r="M1861">
        <v>30</v>
      </c>
    </row>
    <row r="1862" spans="1:13" x14ac:dyDescent="0.35">
      <c r="A1862" t="s">
        <v>1408</v>
      </c>
      <c r="B1862" t="s">
        <v>387</v>
      </c>
      <c r="C1862" t="s">
        <v>605</v>
      </c>
      <c r="D1862" t="s">
        <v>654</v>
      </c>
      <c r="E1862" s="1">
        <v>45051</v>
      </c>
      <c r="F1862" s="1">
        <v>45052</v>
      </c>
      <c r="G1862" s="1">
        <v>45076</v>
      </c>
      <c r="H1862" s="4">
        <f>IF(Claims_Cleaned[[#This Row],[processed_date]]="","",Claims_Cleaned[[#This Row],[processed_date]]-Claims_Cleaned[[#This Row],[submission_date]])</f>
        <v>24</v>
      </c>
      <c r="I1862" s="4" t="str">
        <f>TEXT(Claims_Cleaned[[#This Row],[claim_date]],"mmm-yyyy")</f>
        <v>May-2023</v>
      </c>
      <c r="J1862" t="s">
        <v>11</v>
      </c>
      <c r="K1862">
        <v>110.48</v>
      </c>
      <c r="L1862" t="s">
        <v>683</v>
      </c>
      <c r="M1862">
        <v>24</v>
      </c>
    </row>
    <row r="1863" spans="1:13" x14ac:dyDescent="0.35">
      <c r="A1863" t="s">
        <v>2525</v>
      </c>
      <c r="B1863" t="s">
        <v>45</v>
      </c>
      <c r="C1863" t="s">
        <v>609</v>
      </c>
      <c r="D1863" t="s">
        <v>654</v>
      </c>
      <c r="E1863" s="1">
        <v>45351</v>
      </c>
      <c r="F1863" s="1">
        <v>45353</v>
      </c>
      <c r="G1863" s="1">
        <v>45356</v>
      </c>
      <c r="H1863" s="4">
        <f>IF(Claims_Cleaned[[#This Row],[processed_date]]="","",Claims_Cleaned[[#This Row],[processed_date]]-Claims_Cleaned[[#This Row],[submission_date]])</f>
        <v>3</v>
      </c>
      <c r="I1863" s="4" t="str">
        <f>TEXT(Claims_Cleaned[[#This Row],[claim_date]],"mmm-yyyy")</f>
        <v>Feb-2024</v>
      </c>
      <c r="J1863" t="s">
        <v>11</v>
      </c>
      <c r="K1863">
        <v>110.14</v>
      </c>
      <c r="L1863" t="s">
        <v>687</v>
      </c>
      <c r="M1863">
        <v>3</v>
      </c>
    </row>
    <row r="1864" spans="1:13" x14ac:dyDescent="0.35">
      <c r="A1864" t="s">
        <v>2338</v>
      </c>
      <c r="B1864" t="s">
        <v>304</v>
      </c>
      <c r="C1864" t="s">
        <v>549</v>
      </c>
      <c r="D1864" t="s">
        <v>654</v>
      </c>
      <c r="E1864" s="1">
        <v>45407</v>
      </c>
      <c r="F1864" s="1">
        <v>45409</v>
      </c>
      <c r="G1864" s="1"/>
      <c r="H1864" s="4" t="str">
        <f>IF(Claims_Cleaned[[#This Row],[processed_date]]="","",Claims_Cleaned[[#This Row],[processed_date]]-Claims_Cleaned[[#This Row],[submission_date]])</f>
        <v/>
      </c>
      <c r="I1864" s="4" t="str">
        <f>TEXT(Claims_Cleaned[[#This Row],[claim_date]],"mmm-yyyy")</f>
        <v>Apr-2024</v>
      </c>
      <c r="J1864" t="s">
        <v>20</v>
      </c>
      <c r="K1864">
        <v>109.79</v>
      </c>
      <c r="L1864" t="s">
        <v>689</v>
      </c>
    </row>
    <row r="1865" spans="1:13" x14ac:dyDescent="0.35">
      <c r="A1865" t="s">
        <v>1917</v>
      </c>
      <c r="B1865" t="s">
        <v>506</v>
      </c>
      <c r="C1865" t="s">
        <v>573</v>
      </c>
      <c r="D1865" t="s">
        <v>654</v>
      </c>
      <c r="E1865" s="1">
        <v>45419</v>
      </c>
      <c r="F1865" s="1">
        <v>45420</v>
      </c>
      <c r="G1865" s="1">
        <v>45423</v>
      </c>
      <c r="H1865" s="4">
        <f>IF(Claims_Cleaned[[#This Row],[processed_date]]="","",Claims_Cleaned[[#This Row],[processed_date]]-Claims_Cleaned[[#This Row],[submission_date]])</f>
        <v>3</v>
      </c>
      <c r="I1865" s="4" t="str">
        <f>TEXT(Claims_Cleaned[[#This Row],[claim_date]],"mmm-yyyy")</f>
        <v>May-2024</v>
      </c>
      <c r="J1865" t="s">
        <v>11</v>
      </c>
      <c r="K1865">
        <v>109.78</v>
      </c>
      <c r="L1865" t="s">
        <v>683</v>
      </c>
      <c r="M1865">
        <v>3</v>
      </c>
    </row>
    <row r="1866" spans="1:13" x14ac:dyDescent="0.35">
      <c r="A1866" t="s">
        <v>822</v>
      </c>
      <c r="B1866" t="s">
        <v>220</v>
      </c>
      <c r="C1866" t="s">
        <v>587</v>
      </c>
      <c r="D1866" t="s">
        <v>651</v>
      </c>
      <c r="E1866" s="1">
        <v>45508</v>
      </c>
      <c r="F1866" s="1">
        <v>45513</v>
      </c>
      <c r="G1866" s="1">
        <v>45520</v>
      </c>
      <c r="H1866" s="4">
        <f>IF(Claims_Cleaned[[#This Row],[processed_date]]="","",Claims_Cleaned[[#This Row],[processed_date]]-Claims_Cleaned[[#This Row],[submission_date]])</f>
        <v>7</v>
      </c>
      <c r="I1866" s="4" t="str">
        <f>TEXT(Claims_Cleaned[[#This Row],[claim_date]],"mmm-yyyy")</f>
        <v>Aug-2024</v>
      </c>
      <c r="J1866" t="s">
        <v>11</v>
      </c>
      <c r="K1866">
        <v>109.77</v>
      </c>
      <c r="L1866" t="s">
        <v>683</v>
      </c>
      <c r="M1866">
        <v>7</v>
      </c>
    </row>
    <row r="1867" spans="1:13" x14ac:dyDescent="0.35">
      <c r="A1867" t="s">
        <v>2649</v>
      </c>
      <c r="B1867" t="s">
        <v>86</v>
      </c>
      <c r="C1867" t="s">
        <v>581</v>
      </c>
      <c r="D1867" t="s">
        <v>654</v>
      </c>
      <c r="E1867" s="1">
        <v>45619</v>
      </c>
      <c r="F1867" s="1">
        <v>45623</v>
      </c>
      <c r="G1867" s="1">
        <v>45626</v>
      </c>
      <c r="H1867" s="4">
        <f>IF(Claims_Cleaned[[#This Row],[processed_date]]="","",Claims_Cleaned[[#This Row],[processed_date]]-Claims_Cleaned[[#This Row],[submission_date]])</f>
        <v>3</v>
      </c>
      <c r="I1867" s="4" t="str">
        <f>TEXT(Claims_Cleaned[[#This Row],[claim_date]],"mmm-yyyy")</f>
        <v>Nov-2024</v>
      </c>
      <c r="J1867" t="s">
        <v>20</v>
      </c>
      <c r="K1867">
        <v>109.71</v>
      </c>
      <c r="L1867" t="s">
        <v>683</v>
      </c>
      <c r="M1867">
        <v>3</v>
      </c>
    </row>
    <row r="1868" spans="1:13" x14ac:dyDescent="0.35">
      <c r="A1868" t="s">
        <v>1271</v>
      </c>
      <c r="B1868" t="s">
        <v>88</v>
      </c>
      <c r="C1868" t="s">
        <v>599</v>
      </c>
      <c r="D1868" t="s">
        <v>651</v>
      </c>
      <c r="E1868" s="1">
        <v>45100</v>
      </c>
      <c r="F1868" s="1">
        <v>45102</v>
      </c>
      <c r="G1868" s="1">
        <v>45126</v>
      </c>
      <c r="H1868" s="4">
        <f>IF(Claims_Cleaned[[#This Row],[processed_date]]="","",Claims_Cleaned[[#This Row],[processed_date]]-Claims_Cleaned[[#This Row],[submission_date]])</f>
        <v>24</v>
      </c>
      <c r="I1868" s="4" t="str">
        <f>TEXT(Claims_Cleaned[[#This Row],[claim_date]],"mmm-yyyy")</f>
        <v>Jun-2023</v>
      </c>
      <c r="J1868" t="s">
        <v>13</v>
      </c>
      <c r="K1868">
        <v>109.59</v>
      </c>
      <c r="L1868" t="s">
        <v>687</v>
      </c>
      <c r="M1868">
        <v>24</v>
      </c>
    </row>
    <row r="1869" spans="1:13" x14ac:dyDescent="0.35">
      <c r="A1869" t="s">
        <v>2003</v>
      </c>
      <c r="B1869" t="s">
        <v>300</v>
      </c>
      <c r="C1869" t="s">
        <v>607</v>
      </c>
      <c r="D1869" t="s">
        <v>654</v>
      </c>
      <c r="E1869" s="1">
        <v>45598</v>
      </c>
      <c r="F1869" s="1">
        <v>45600</v>
      </c>
      <c r="G1869" s="1">
        <v>45604</v>
      </c>
      <c r="H1869" s="4">
        <f>IF(Claims_Cleaned[[#This Row],[processed_date]]="","",Claims_Cleaned[[#This Row],[processed_date]]-Claims_Cleaned[[#This Row],[submission_date]])</f>
        <v>4</v>
      </c>
      <c r="I1869" s="4" t="str">
        <f>TEXT(Claims_Cleaned[[#This Row],[claim_date]],"mmm-yyyy")</f>
        <v>Nov-2024</v>
      </c>
      <c r="J1869" t="s">
        <v>20</v>
      </c>
      <c r="K1869">
        <v>109.5</v>
      </c>
      <c r="L1869" t="s">
        <v>687</v>
      </c>
      <c r="M1869">
        <v>4</v>
      </c>
    </row>
    <row r="1870" spans="1:13" x14ac:dyDescent="0.35">
      <c r="A1870" t="s">
        <v>1177</v>
      </c>
      <c r="B1870" t="s">
        <v>329</v>
      </c>
      <c r="C1870" t="s">
        <v>567</v>
      </c>
      <c r="D1870" t="s">
        <v>654</v>
      </c>
      <c r="E1870" s="1">
        <v>44952</v>
      </c>
      <c r="F1870" s="1">
        <v>44955</v>
      </c>
      <c r="G1870" s="1">
        <v>44975</v>
      </c>
      <c r="H1870" s="4">
        <f>IF(Claims_Cleaned[[#This Row],[processed_date]]="","",Claims_Cleaned[[#This Row],[processed_date]]-Claims_Cleaned[[#This Row],[submission_date]])</f>
        <v>20</v>
      </c>
      <c r="I1870" s="4" t="str">
        <f>TEXT(Claims_Cleaned[[#This Row],[claim_date]],"mmm-yyyy")</f>
        <v>Jan-2023</v>
      </c>
      <c r="J1870" t="s">
        <v>13</v>
      </c>
      <c r="K1870">
        <v>109.4</v>
      </c>
      <c r="L1870" t="s">
        <v>683</v>
      </c>
      <c r="M1870">
        <v>20</v>
      </c>
    </row>
    <row r="1871" spans="1:13" x14ac:dyDescent="0.35">
      <c r="A1871" t="s">
        <v>2454</v>
      </c>
      <c r="B1871" t="s">
        <v>310</v>
      </c>
      <c r="C1871" t="s">
        <v>569</v>
      </c>
      <c r="D1871" t="s">
        <v>654</v>
      </c>
      <c r="E1871" s="1">
        <v>45049</v>
      </c>
      <c r="F1871" s="1">
        <v>45054</v>
      </c>
      <c r="G1871" s="1">
        <v>45060</v>
      </c>
      <c r="H1871" s="4">
        <f>IF(Claims_Cleaned[[#This Row],[processed_date]]="","",Claims_Cleaned[[#This Row],[processed_date]]-Claims_Cleaned[[#This Row],[submission_date]])</f>
        <v>6</v>
      </c>
      <c r="I1871" s="4" t="str">
        <f>TEXT(Claims_Cleaned[[#This Row],[claim_date]],"mmm-yyyy")</f>
        <v>May-2023</v>
      </c>
      <c r="J1871" t="s">
        <v>11</v>
      </c>
      <c r="K1871">
        <v>109.37</v>
      </c>
      <c r="L1871" t="s">
        <v>683</v>
      </c>
      <c r="M1871">
        <v>6</v>
      </c>
    </row>
    <row r="1872" spans="1:13" x14ac:dyDescent="0.35">
      <c r="A1872" t="s">
        <v>1176</v>
      </c>
      <c r="B1872" t="s">
        <v>506</v>
      </c>
      <c r="C1872" t="s">
        <v>531</v>
      </c>
      <c r="D1872" t="s">
        <v>651</v>
      </c>
      <c r="E1872" s="1">
        <v>45585</v>
      </c>
      <c r="F1872" s="1">
        <v>45586</v>
      </c>
      <c r="G1872" s="1">
        <v>45591</v>
      </c>
      <c r="H1872" s="4">
        <f>IF(Claims_Cleaned[[#This Row],[processed_date]]="","",Claims_Cleaned[[#This Row],[processed_date]]-Claims_Cleaned[[#This Row],[submission_date]])</f>
        <v>5</v>
      </c>
      <c r="I1872" s="4" t="str">
        <f>TEXT(Claims_Cleaned[[#This Row],[claim_date]],"mmm-yyyy")</f>
        <v>Oct-2024</v>
      </c>
      <c r="J1872" t="s">
        <v>11</v>
      </c>
      <c r="K1872">
        <v>109.3</v>
      </c>
      <c r="L1872" t="s">
        <v>683</v>
      </c>
      <c r="M1872">
        <v>5</v>
      </c>
    </row>
    <row r="1873" spans="1:13" x14ac:dyDescent="0.35">
      <c r="A1873" t="s">
        <v>2539</v>
      </c>
      <c r="B1873" t="s">
        <v>516</v>
      </c>
      <c r="C1873" t="s">
        <v>605</v>
      </c>
      <c r="D1873" t="s">
        <v>651</v>
      </c>
      <c r="E1873" s="1">
        <v>45525</v>
      </c>
      <c r="F1873" s="1">
        <v>45530</v>
      </c>
      <c r="G1873" s="1">
        <v>45535</v>
      </c>
      <c r="H1873" s="4">
        <f>IF(Claims_Cleaned[[#This Row],[processed_date]]="","",Claims_Cleaned[[#This Row],[processed_date]]-Claims_Cleaned[[#This Row],[submission_date]])</f>
        <v>5</v>
      </c>
      <c r="I1873" s="4" t="str">
        <f>TEXT(Claims_Cleaned[[#This Row],[claim_date]],"mmm-yyyy")</f>
        <v>Aug-2024</v>
      </c>
      <c r="J1873" t="s">
        <v>8</v>
      </c>
      <c r="K1873">
        <v>109.28</v>
      </c>
      <c r="L1873" t="s">
        <v>683</v>
      </c>
      <c r="M1873">
        <v>5</v>
      </c>
    </row>
    <row r="1874" spans="1:13" x14ac:dyDescent="0.35">
      <c r="A1874" t="s">
        <v>810</v>
      </c>
      <c r="B1874" t="s">
        <v>453</v>
      </c>
      <c r="C1874" t="s">
        <v>569</v>
      </c>
      <c r="D1874" t="s">
        <v>654</v>
      </c>
      <c r="E1874" s="1">
        <v>45340</v>
      </c>
      <c r="F1874" s="1">
        <v>45341</v>
      </c>
      <c r="G1874" s="1">
        <v>45361</v>
      </c>
      <c r="H1874" s="4">
        <f>IF(Claims_Cleaned[[#This Row],[processed_date]]="","",Claims_Cleaned[[#This Row],[processed_date]]-Claims_Cleaned[[#This Row],[submission_date]])</f>
        <v>20</v>
      </c>
      <c r="I1874" s="4" t="str">
        <f>TEXT(Claims_Cleaned[[#This Row],[claim_date]],"mmm-yyyy")</f>
        <v>Feb-2024</v>
      </c>
      <c r="J1874" t="s">
        <v>11</v>
      </c>
      <c r="K1874">
        <v>108.68</v>
      </c>
      <c r="L1874" t="s">
        <v>683</v>
      </c>
      <c r="M1874">
        <v>20</v>
      </c>
    </row>
    <row r="1875" spans="1:13" x14ac:dyDescent="0.35">
      <c r="A1875" t="s">
        <v>2455</v>
      </c>
      <c r="B1875" t="s">
        <v>114</v>
      </c>
      <c r="C1875" t="s">
        <v>605</v>
      </c>
      <c r="D1875" t="s">
        <v>651</v>
      </c>
      <c r="E1875" s="1">
        <v>45114</v>
      </c>
      <c r="F1875" s="1">
        <v>45116</v>
      </c>
      <c r="G1875" s="1">
        <v>45129</v>
      </c>
      <c r="H1875" s="4">
        <f>IF(Claims_Cleaned[[#This Row],[processed_date]]="","",Claims_Cleaned[[#This Row],[processed_date]]-Claims_Cleaned[[#This Row],[submission_date]])</f>
        <v>13</v>
      </c>
      <c r="I1875" s="4" t="str">
        <f>TEXT(Claims_Cleaned[[#This Row],[claim_date]],"mmm-yyyy")</f>
        <v>Jul-2023</v>
      </c>
      <c r="J1875" t="s">
        <v>20</v>
      </c>
      <c r="K1875">
        <v>108.48</v>
      </c>
      <c r="L1875" t="s">
        <v>683</v>
      </c>
      <c r="M1875">
        <v>13</v>
      </c>
    </row>
    <row r="1876" spans="1:13" x14ac:dyDescent="0.35">
      <c r="A1876" t="s">
        <v>847</v>
      </c>
      <c r="B1876" t="s">
        <v>248</v>
      </c>
      <c r="C1876" t="s">
        <v>581</v>
      </c>
      <c r="D1876" t="s">
        <v>654</v>
      </c>
      <c r="E1876" s="1">
        <v>45239</v>
      </c>
      <c r="F1876" s="1">
        <v>45244</v>
      </c>
      <c r="G1876" s="1">
        <v>45271</v>
      </c>
      <c r="H1876" s="4">
        <f>IF(Claims_Cleaned[[#This Row],[processed_date]]="","",Claims_Cleaned[[#This Row],[processed_date]]-Claims_Cleaned[[#This Row],[submission_date]])</f>
        <v>27</v>
      </c>
      <c r="I1876" s="4" t="str">
        <f>TEXT(Claims_Cleaned[[#This Row],[claim_date]],"mmm-yyyy")</f>
        <v>Nov-2023</v>
      </c>
      <c r="J1876" t="s">
        <v>11</v>
      </c>
      <c r="K1876">
        <v>108.46</v>
      </c>
      <c r="L1876" t="s">
        <v>683</v>
      </c>
      <c r="M1876">
        <v>27</v>
      </c>
    </row>
    <row r="1877" spans="1:13" x14ac:dyDescent="0.35">
      <c r="A1877" t="s">
        <v>2187</v>
      </c>
      <c r="B1877" t="s">
        <v>397</v>
      </c>
      <c r="C1877" t="s">
        <v>591</v>
      </c>
      <c r="D1877" t="s">
        <v>654</v>
      </c>
      <c r="E1877" s="1">
        <v>45002</v>
      </c>
      <c r="F1877" s="1">
        <v>45004</v>
      </c>
      <c r="G1877" s="1">
        <v>45010</v>
      </c>
      <c r="H1877" s="4">
        <f>IF(Claims_Cleaned[[#This Row],[processed_date]]="","",Claims_Cleaned[[#This Row],[processed_date]]-Claims_Cleaned[[#This Row],[submission_date]])</f>
        <v>6</v>
      </c>
      <c r="I1877" s="4" t="str">
        <f>TEXT(Claims_Cleaned[[#This Row],[claim_date]],"mmm-yyyy")</f>
        <v>Mar-2023</v>
      </c>
      <c r="J1877" t="s">
        <v>11</v>
      </c>
      <c r="K1877">
        <v>108.39</v>
      </c>
      <c r="L1877" t="s">
        <v>683</v>
      </c>
      <c r="M1877">
        <v>6</v>
      </c>
    </row>
    <row r="1878" spans="1:13" x14ac:dyDescent="0.35">
      <c r="A1878" t="s">
        <v>946</v>
      </c>
      <c r="B1878" t="s">
        <v>284</v>
      </c>
      <c r="C1878" t="s">
        <v>561</v>
      </c>
      <c r="D1878" t="s">
        <v>654</v>
      </c>
      <c r="E1878" s="1">
        <v>45402</v>
      </c>
      <c r="F1878" s="1">
        <v>45406</v>
      </c>
      <c r="G1878" s="1"/>
      <c r="H1878" s="4" t="str">
        <f>IF(Claims_Cleaned[[#This Row],[processed_date]]="","",Claims_Cleaned[[#This Row],[processed_date]]-Claims_Cleaned[[#This Row],[submission_date]])</f>
        <v/>
      </c>
      <c r="I1878" s="4" t="str">
        <f>TEXT(Claims_Cleaned[[#This Row],[claim_date]],"mmm-yyyy")</f>
        <v>Apr-2024</v>
      </c>
      <c r="J1878" t="s">
        <v>8</v>
      </c>
      <c r="K1878">
        <v>107.4</v>
      </c>
      <c r="L1878" t="s">
        <v>689</v>
      </c>
    </row>
    <row r="1879" spans="1:13" x14ac:dyDescent="0.35">
      <c r="A1879" t="s">
        <v>706</v>
      </c>
      <c r="B1879" t="s">
        <v>425</v>
      </c>
      <c r="C1879" t="s">
        <v>593</v>
      </c>
      <c r="D1879" t="s">
        <v>654</v>
      </c>
      <c r="E1879" s="1">
        <v>45128</v>
      </c>
      <c r="F1879" s="1">
        <v>45133</v>
      </c>
      <c r="G1879" s="1">
        <v>45150</v>
      </c>
      <c r="H1879" s="4">
        <f>IF(Claims_Cleaned[[#This Row],[processed_date]]="","",Claims_Cleaned[[#This Row],[processed_date]]-Claims_Cleaned[[#This Row],[submission_date]])</f>
        <v>17</v>
      </c>
      <c r="I1879" s="4" t="str">
        <f>TEXT(Claims_Cleaned[[#This Row],[claim_date]],"mmm-yyyy")</f>
        <v>Jul-2023</v>
      </c>
      <c r="J1879" t="s">
        <v>25</v>
      </c>
      <c r="K1879">
        <v>106.57</v>
      </c>
      <c r="L1879" t="s">
        <v>683</v>
      </c>
      <c r="M1879">
        <v>17</v>
      </c>
    </row>
    <row r="1880" spans="1:13" x14ac:dyDescent="0.35">
      <c r="A1880" t="s">
        <v>895</v>
      </c>
      <c r="B1880" t="s">
        <v>102</v>
      </c>
      <c r="C1880" t="s">
        <v>601</v>
      </c>
      <c r="D1880" t="s">
        <v>654</v>
      </c>
      <c r="E1880" s="1">
        <v>45563</v>
      </c>
      <c r="F1880" s="1">
        <v>45567</v>
      </c>
      <c r="G1880" s="1">
        <v>45596</v>
      </c>
      <c r="H1880" s="4">
        <f>IF(Claims_Cleaned[[#This Row],[processed_date]]="","",Claims_Cleaned[[#This Row],[processed_date]]-Claims_Cleaned[[#This Row],[submission_date]])</f>
        <v>29</v>
      </c>
      <c r="I1880" s="4" t="str">
        <f>TEXT(Claims_Cleaned[[#This Row],[claim_date]],"mmm-yyyy")</f>
        <v>Sep-2024</v>
      </c>
      <c r="J1880" t="s">
        <v>11</v>
      </c>
      <c r="K1880">
        <v>106.42</v>
      </c>
      <c r="L1880" t="s">
        <v>687</v>
      </c>
      <c r="M1880">
        <v>29</v>
      </c>
    </row>
    <row r="1881" spans="1:13" x14ac:dyDescent="0.35">
      <c r="A1881" t="s">
        <v>1024</v>
      </c>
      <c r="B1881" t="s">
        <v>454</v>
      </c>
      <c r="C1881" t="s">
        <v>563</v>
      </c>
      <c r="D1881" t="s">
        <v>654</v>
      </c>
      <c r="E1881" s="1">
        <v>45082</v>
      </c>
      <c r="F1881" s="1">
        <v>45087</v>
      </c>
      <c r="G1881" s="1">
        <v>45113</v>
      </c>
      <c r="H1881" s="4">
        <f>IF(Claims_Cleaned[[#This Row],[processed_date]]="","",Claims_Cleaned[[#This Row],[processed_date]]-Claims_Cleaned[[#This Row],[submission_date]])</f>
        <v>26</v>
      </c>
      <c r="I1881" s="4" t="str">
        <f>TEXT(Claims_Cleaned[[#This Row],[claim_date]],"mmm-yyyy")</f>
        <v>Jun-2023</v>
      </c>
      <c r="J1881" t="s">
        <v>20</v>
      </c>
      <c r="K1881">
        <v>106.27</v>
      </c>
      <c r="L1881" t="s">
        <v>683</v>
      </c>
      <c r="M1881">
        <v>26</v>
      </c>
    </row>
    <row r="1882" spans="1:13" x14ac:dyDescent="0.35">
      <c r="A1882" t="s">
        <v>1539</v>
      </c>
      <c r="B1882" t="s">
        <v>191</v>
      </c>
      <c r="C1882" t="s">
        <v>565</v>
      </c>
      <c r="D1882" t="s">
        <v>654</v>
      </c>
      <c r="E1882" s="1">
        <v>45590</v>
      </c>
      <c r="F1882" s="1">
        <v>45595</v>
      </c>
      <c r="G1882" s="1">
        <v>45621</v>
      </c>
      <c r="H1882" s="4">
        <f>IF(Claims_Cleaned[[#This Row],[processed_date]]="","",Claims_Cleaned[[#This Row],[processed_date]]-Claims_Cleaned[[#This Row],[submission_date]])</f>
        <v>26</v>
      </c>
      <c r="I1882" s="4" t="str">
        <f>TEXT(Claims_Cleaned[[#This Row],[claim_date]],"mmm-yyyy")</f>
        <v>Oct-2024</v>
      </c>
      <c r="J1882" t="s">
        <v>20</v>
      </c>
      <c r="K1882">
        <v>105.72</v>
      </c>
      <c r="L1882" t="s">
        <v>683</v>
      </c>
      <c r="M1882">
        <v>26</v>
      </c>
    </row>
    <row r="1883" spans="1:13" x14ac:dyDescent="0.35">
      <c r="A1883" t="s">
        <v>1997</v>
      </c>
      <c r="B1883" t="s">
        <v>485</v>
      </c>
      <c r="C1883" t="s">
        <v>543</v>
      </c>
      <c r="D1883" t="s">
        <v>654</v>
      </c>
      <c r="E1883" s="1">
        <v>45364</v>
      </c>
      <c r="F1883" s="1">
        <v>45368</v>
      </c>
      <c r="G1883" s="1">
        <v>45393</v>
      </c>
      <c r="H1883" s="4">
        <f>IF(Claims_Cleaned[[#This Row],[processed_date]]="","",Claims_Cleaned[[#This Row],[processed_date]]-Claims_Cleaned[[#This Row],[submission_date]])</f>
        <v>25</v>
      </c>
      <c r="I1883" s="4" t="str">
        <f>TEXT(Claims_Cleaned[[#This Row],[claim_date]],"mmm-yyyy")</f>
        <v>Mar-2024</v>
      </c>
      <c r="J1883" t="s">
        <v>8</v>
      </c>
      <c r="K1883">
        <v>105.54</v>
      </c>
      <c r="L1883" t="s">
        <v>683</v>
      </c>
      <c r="M1883">
        <v>25</v>
      </c>
    </row>
    <row r="1884" spans="1:13" x14ac:dyDescent="0.35">
      <c r="A1884" t="s">
        <v>1541</v>
      </c>
      <c r="B1884" t="s">
        <v>487</v>
      </c>
      <c r="C1884" t="s">
        <v>527</v>
      </c>
      <c r="D1884" t="s">
        <v>654</v>
      </c>
      <c r="E1884" s="1">
        <v>45622</v>
      </c>
      <c r="F1884" s="1">
        <v>45627</v>
      </c>
      <c r="G1884" s="1">
        <v>45632</v>
      </c>
      <c r="H1884" s="4">
        <f>IF(Claims_Cleaned[[#This Row],[processed_date]]="","",Claims_Cleaned[[#This Row],[processed_date]]-Claims_Cleaned[[#This Row],[submission_date]])</f>
        <v>5</v>
      </c>
      <c r="I1884" s="4" t="str">
        <f>TEXT(Claims_Cleaned[[#This Row],[claim_date]],"mmm-yyyy")</f>
        <v>Nov-2024</v>
      </c>
      <c r="J1884" t="s">
        <v>20</v>
      </c>
      <c r="K1884">
        <v>105.25</v>
      </c>
      <c r="L1884" t="s">
        <v>687</v>
      </c>
      <c r="M1884">
        <v>5</v>
      </c>
    </row>
    <row r="1885" spans="1:13" x14ac:dyDescent="0.35">
      <c r="A1885" t="s">
        <v>1585</v>
      </c>
      <c r="B1885" t="s">
        <v>379</v>
      </c>
      <c r="C1885" t="s">
        <v>540</v>
      </c>
      <c r="D1885" t="s">
        <v>654</v>
      </c>
      <c r="E1885" s="1">
        <v>44971</v>
      </c>
      <c r="F1885" s="1">
        <v>44974</v>
      </c>
      <c r="G1885" s="1">
        <v>45000</v>
      </c>
      <c r="H1885" s="4">
        <f>IF(Claims_Cleaned[[#This Row],[processed_date]]="","",Claims_Cleaned[[#This Row],[processed_date]]-Claims_Cleaned[[#This Row],[submission_date]])</f>
        <v>26</v>
      </c>
      <c r="I1885" s="4" t="str">
        <f>TEXT(Claims_Cleaned[[#This Row],[claim_date]],"mmm-yyyy")</f>
        <v>Feb-2023</v>
      </c>
      <c r="J1885" t="s">
        <v>13</v>
      </c>
      <c r="K1885">
        <v>104.29</v>
      </c>
      <c r="L1885" t="s">
        <v>683</v>
      </c>
      <c r="M1885">
        <v>26</v>
      </c>
    </row>
    <row r="1886" spans="1:13" x14ac:dyDescent="0.35">
      <c r="A1886" t="s">
        <v>2041</v>
      </c>
      <c r="B1886" t="s">
        <v>180</v>
      </c>
      <c r="C1886" t="s">
        <v>561</v>
      </c>
      <c r="D1886" t="s">
        <v>654</v>
      </c>
      <c r="E1886" s="1">
        <v>45577</v>
      </c>
      <c r="F1886" s="1">
        <v>45579</v>
      </c>
      <c r="G1886" s="1">
        <v>45585</v>
      </c>
      <c r="H1886" s="4">
        <f>IF(Claims_Cleaned[[#This Row],[processed_date]]="","",Claims_Cleaned[[#This Row],[processed_date]]-Claims_Cleaned[[#This Row],[submission_date]])</f>
        <v>6</v>
      </c>
      <c r="I1886" s="4" t="str">
        <f>TEXT(Claims_Cleaned[[#This Row],[claim_date]],"mmm-yyyy")</f>
        <v>Oct-2024</v>
      </c>
      <c r="J1886" t="s">
        <v>11</v>
      </c>
      <c r="K1886">
        <v>103.76</v>
      </c>
      <c r="L1886" t="s">
        <v>683</v>
      </c>
      <c r="M1886">
        <v>6</v>
      </c>
    </row>
    <row r="1887" spans="1:13" x14ac:dyDescent="0.35">
      <c r="A1887" t="s">
        <v>1415</v>
      </c>
      <c r="B1887" t="s">
        <v>432</v>
      </c>
      <c r="C1887" t="s">
        <v>587</v>
      </c>
      <c r="D1887" t="s">
        <v>654</v>
      </c>
      <c r="E1887" s="1">
        <v>45634</v>
      </c>
      <c r="F1887" s="1">
        <v>45637</v>
      </c>
      <c r="G1887" s="1">
        <v>45665</v>
      </c>
      <c r="H1887" s="4">
        <f>IF(Claims_Cleaned[[#This Row],[processed_date]]="","",Claims_Cleaned[[#This Row],[processed_date]]-Claims_Cleaned[[#This Row],[submission_date]])</f>
        <v>28</v>
      </c>
      <c r="I1887" s="4" t="str">
        <f>TEXT(Claims_Cleaned[[#This Row],[claim_date]],"mmm-yyyy")</f>
        <v>Dec-2024</v>
      </c>
      <c r="J1887" t="s">
        <v>11</v>
      </c>
      <c r="K1887">
        <v>103.35</v>
      </c>
      <c r="L1887" t="s">
        <v>683</v>
      </c>
      <c r="M1887">
        <v>28</v>
      </c>
    </row>
    <row r="1888" spans="1:13" x14ac:dyDescent="0.35">
      <c r="A1888" t="s">
        <v>836</v>
      </c>
      <c r="B1888" t="s">
        <v>16</v>
      </c>
      <c r="C1888" t="s">
        <v>577</v>
      </c>
      <c r="D1888" t="s">
        <v>654</v>
      </c>
      <c r="E1888" s="1">
        <v>45325</v>
      </c>
      <c r="F1888" s="1">
        <v>45329</v>
      </c>
      <c r="G1888" s="1">
        <v>45338</v>
      </c>
      <c r="H1888" s="4">
        <f>IF(Claims_Cleaned[[#This Row],[processed_date]]="","",Claims_Cleaned[[#This Row],[processed_date]]-Claims_Cleaned[[#This Row],[submission_date]])</f>
        <v>9</v>
      </c>
      <c r="I1888" s="4" t="str">
        <f>TEXT(Claims_Cleaned[[#This Row],[claim_date]],"mmm-yyyy")</f>
        <v>Feb-2024</v>
      </c>
      <c r="J1888" t="s">
        <v>8</v>
      </c>
      <c r="K1888">
        <v>103.06</v>
      </c>
      <c r="L1888" t="s">
        <v>683</v>
      </c>
      <c r="M1888">
        <v>9</v>
      </c>
    </row>
    <row r="1889" spans="1:13" x14ac:dyDescent="0.35">
      <c r="A1889" t="s">
        <v>784</v>
      </c>
      <c r="B1889" t="s">
        <v>240</v>
      </c>
      <c r="C1889" t="s">
        <v>611</v>
      </c>
      <c r="D1889" t="s">
        <v>654</v>
      </c>
      <c r="E1889" s="1">
        <v>45275</v>
      </c>
      <c r="F1889" s="1">
        <v>45279</v>
      </c>
      <c r="G1889" s="1">
        <v>45295</v>
      </c>
      <c r="H1889" s="4">
        <f>IF(Claims_Cleaned[[#This Row],[processed_date]]="","",Claims_Cleaned[[#This Row],[processed_date]]-Claims_Cleaned[[#This Row],[submission_date]])</f>
        <v>16</v>
      </c>
      <c r="I1889" s="4" t="str">
        <f>TEXT(Claims_Cleaned[[#This Row],[claim_date]],"mmm-yyyy")</f>
        <v>Dec-2023</v>
      </c>
      <c r="J1889" t="s">
        <v>11</v>
      </c>
      <c r="K1889">
        <v>102.69</v>
      </c>
      <c r="L1889" t="s">
        <v>683</v>
      </c>
      <c r="M1889">
        <v>16</v>
      </c>
    </row>
    <row r="1890" spans="1:13" x14ac:dyDescent="0.35">
      <c r="A1890" t="s">
        <v>2551</v>
      </c>
      <c r="B1890" t="s">
        <v>262</v>
      </c>
      <c r="C1890" t="s">
        <v>524</v>
      </c>
      <c r="D1890" t="s">
        <v>654</v>
      </c>
      <c r="E1890" s="1">
        <v>45376</v>
      </c>
      <c r="F1890" s="1">
        <v>45377</v>
      </c>
      <c r="G1890" s="1">
        <v>45396</v>
      </c>
      <c r="H1890" s="4">
        <f>IF(Claims_Cleaned[[#This Row],[processed_date]]="","",Claims_Cleaned[[#This Row],[processed_date]]-Claims_Cleaned[[#This Row],[submission_date]])</f>
        <v>19</v>
      </c>
      <c r="I1890" s="4" t="str">
        <f>TEXT(Claims_Cleaned[[#This Row],[claim_date]],"mmm-yyyy")</f>
        <v>Mar-2024</v>
      </c>
      <c r="J1890" t="s">
        <v>20</v>
      </c>
      <c r="K1890">
        <v>101.83</v>
      </c>
      <c r="L1890" t="s">
        <v>687</v>
      </c>
      <c r="M1890">
        <v>19</v>
      </c>
    </row>
    <row r="1891" spans="1:13" x14ac:dyDescent="0.35">
      <c r="A1891" t="s">
        <v>2155</v>
      </c>
      <c r="B1891" t="s">
        <v>402</v>
      </c>
      <c r="C1891" t="s">
        <v>577</v>
      </c>
      <c r="D1891" t="s">
        <v>654</v>
      </c>
      <c r="E1891" s="1">
        <v>45655</v>
      </c>
      <c r="F1891" s="1">
        <v>45659</v>
      </c>
      <c r="G1891" s="1">
        <v>45676</v>
      </c>
      <c r="H1891" s="4">
        <f>IF(Claims_Cleaned[[#This Row],[processed_date]]="","",Claims_Cleaned[[#This Row],[processed_date]]-Claims_Cleaned[[#This Row],[submission_date]])</f>
        <v>17</v>
      </c>
      <c r="I1891" s="4" t="str">
        <f>TEXT(Claims_Cleaned[[#This Row],[claim_date]],"mmm-yyyy")</f>
        <v>Dec-2024</v>
      </c>
      <c r="J1891" t="s">
        <v>11</v>
      </c>
      <c r="K1891">
        <v>101.79</v>
      </c>
      <c r="L1891" t="s">
        <v>683</v>
      </c>
      <c r="M1891">
        <v>17</v>
      </c>
    </row>
    <row r="1892" spans="1:13" x14ac:dyDescent="0.35">
      <c r="A1892" t="s">
        <v>1858</v>
      </c>
      <c r="B1892" t="s">
        <v>122</v>
      </c>
      <c r="C1892" t="s">
        <v>534</v>
      </c>
      <c r="D1892" t="s">
        <v>654</v>
      </c>
      <c r="E1892" s="1">
        <v>45125</v>
      </c>
      <c r="F1892" s="1">
        <v>45129</v>
      </c>
      <c r="G1892" s="1">
        <v>45153</v>
      </c>
      <c r="H1892" s="4">
        <f>IF(Claims_Cleaned[[#This Row],[processed_date]]="","",Claims_Cleaned[[#This Row],[processed_date]]-Claims_Cleaned[[#This Row],[submission_date]])</f>
        <v>24</v>
      </c>
      <c r="I1892" s="4" t="str">
        <f>TEXT(Claims_Cleaned[[#This Row],[claim_date]],"mmm-yyyy")</f>
        <v>Jul-2023</v>
      </c>
      <c r="J1892" t="s">
        <v>13</v>
      </c>
      <c r="K1892">
        <v>101.66</v>
      </c>
      <c r="L1892" t="s">
        <v>687</v>
      </c>
      <c r="M1892">
        <v>24</v>
      </c>
    </row>
    <row r="1893" spans="1:13" x14ac:dyDescent="0.35">
      <c r="A1893" t="s">
        <v>821</v>
      </c>
      <c r="B1893" t="s">
        <v>356</v>
      </c>
      <c r="C1893" t="s">
        <v>555</v>
      </c>
      <c r="D1893" t="s">
        <v>654</v>
      </c>
      <c r="E1893" s="1">
        <v>45131</v>
      </c>
      <c r="F1893" s="1">
        <v>45135</v>
      </c>
      <c r="G1893" s="1">
        <v>45158</v>
      </c>
      <c r="H1893" s="4">
        <f>IF(Claims_Cleaned[[#This Row],[processed_date]]="","",Claims_Cleaned[[#This Row],[processed_date]]-Claims_Cleaned[[#This Row],[submission_date]])</f>
        <v>23</v>
      </c>
      <c r="I1893" s="4" t="str">
        <f>TEXT(Claims_Cleaned[[#This Row],[claim_date]],"mmm-yyyy")</f>
        <v>Jul-2023</v>
      </c>
      <c r="J1893" t="s">
        <v>13</v>
      </c>
      <c r="K1893">
        <v>101.53</v>
      </c>
      <c r="L1893" t="s">
        <v>683</v>
      </c>
      <c r="M1893">
        <v>23</v>
      </c>
    </row>
    <row r="1894" spans="1:13" x14ac:dyDescent="0.35">
      <c r="A1894" t="s">
        <v>2447</v>
      </c>
      <c r="B1894" t="s">
        <v>455</v>
      </c>
      <c r="C1894" t="s">
        <v>524</v>
      </c>
      <c r="D1894" t="s">
        <v>654</v>
      </c>
      <c r="E1894" s="1">
        <v>45475</v>
      </c>
      <c r="F1894" s="1">
        <v>45477</v>
      </c>
      <c r="G1894" s="1">
        <v>45496</v>
      </c>
      <c r="H1894" s="4">
        <f>IF(Claims_Cleaned[[#This Row],[processed_date]]="","",Claims_Cleaned[[#This Row],[processed_date]]-Claims_Cleaned[[#This Row],[submission_date]])</f>
        <v>19</v>
      </c>
      <c r="I1894" s="4" t="str">
        <f>TEXT(Claims_Cleaned[[#This Row],[claim_date]],"mmm-yyyy")</f>
        <v>Jul-2024</v>
      </c>
      <c r="J1894" t="s">
        <v>13</v>
      </c>
      <c r="K1894">
        <v>101.51</v>
      </c>
      <c r="L1894" t="s">
        <v>687</v>
      </c>
      <c r="M1894">
        <v>19</v>
      </c>
    </row>
    <row r="1895" spans="1:13" x14ac:dyDescent="0.35">
      <c r="A1895" t="s">
        <v>1689</v>
      </c>
      <c r="B1895" t="s">
        <v>157</v>
      </c>
      <c r="C1895" t="s">
        <v>595</v>
      </c>
      <c r="D1895" t="s">
        <v>654</v>
      </c>
      <c r="E1895" s="1">
        <v>45550</v>
      </c>
      <c r="F1895" s="1">
        <v>45554</v>
      </c>
      <c r="G1895" s="1">
        <v>45572</v>
      </c>
      <c r="H1895" s="4">
        <f>IF(Claims_Cleaned[[#This Row],[processed_date]]="","",Claims_Cleaned[[#This Row],[processed_date]]-Claims_Cleaned[[#This Row],[submission_date]])</f>
        <v>18</v>
      </c>
      <c r="I1895" s="4" t="str">
        <f>TEXT(Claims_Cleaned[[#This Row],[claim_date]],"mmm-yyyy")</f>
        <v>Sep-2024</v>
      </c>
      <c r="J1895" t="s">
        <v>11</v>
      </c>
      <c r="K1895">
        <v>100.33</v>
      </c>
      <c r="L1895" t="s">
        <v>683</v>
      </c>
      <c r="M1895">
        <v>18</v>
      </c>
    </row>
    <row r="1896" spans="1:13" x14ac:dyDescent="0.35">
      <c r="A1896" t="s">
        <v>901</v>
      </c>
      <c r="B1896" t="s">
        <v>449</v>
      </c>
      <c r="C1896" t="s">
        <v>601</v>
      </c>
      <c r="D1896" t="s">
        <v>654</v>
      </c>
      <c r="E1896" s="1">
        <v>45497</v>
      </c>
      <c r="F1896" s="1">
        <v>45501</v>
      </c>
      <c r="G1896" s="1">
        <v>45511</v>
      </c>
      <c r="H1896" s="4">
        <f>IF(Claims_Cleaned[[#This Row],[processed_date]]="","",Claims_Cleaned[[#This Row],[processed_date]]-Claims_Cleaned[[#This Row],[submission_date]])</f>
        <v>10</v>
      </c>
      <c r="I1896" s="4" t="str">
        <f>TEXT(Claims_Cleaned[[#This Row],[claim_date]],"mmm-yyyy")</f>
        <v>Jul-2024</v>
      </c>
      <c r="J1896" t="s">
        <v>13</v>
      </c>
      <c r="K1896">
        <v>100.02</v>
      </c>
      <c r="L1896" t="s">
        <v>687</v>
      </c>
      <c r="M1896">
        <v>10</v>
      </c>
    </row>
    <row r="1897" spans="1:13" x14ac:dyDescent="0.35">
      <c r="A1897" t="s">
        <v>1952</v>
      </c>
      <c r="B1897" t="s">
        <v>259</v>
      </c>
      <c r="C1897" t="s">
        <v>589</v>
      </c>
      <c r="D1897" t="s">
        <v>654</v>
      </c>
      <c r="E1897" s="1">
        <v>45199</v>
      </c>
      <c r="F1897" s="1">
        <v>45202</v>
      </c>
      <c r="G1897" s="1">
        <v>45229</v>
      </c>
      <c r="H1897" s="4">
        <f>IF(Claims_Cleaned[[#This Row],[processed_date]]="","",Claims_Cleaned[[#This Row],[processed_date]]-Claims_Cleaned[[#This Row],[submission_date]])</f>
        <v>27</v>
      </c>
      <c r="I1897" s="4" t="str">
        <f>TEXT(Claims_Cleaned[[#This Row],[claim_date]],"mmm-yyyy")</f>
        <v>Sep-2023</v>
      </c>
      <c r="J1897" t="s">
        <v>20</v>
      </c>
      <c r="K1897">
        <v>98.68</v>
      </c>
      <c r="L1897" t="s">
        <v>683</v>
      </c>
      <c r="M1897">
        <v>27</v>
      </c>
    </row>
    <row r="1898" spans="1:13" x14ac:dyDescent="0.35">
      <c r="A1898" t="s">
        <v>2419</v>
      </c>
      <c r="B1898" t="s">
        <v>127</v>
      </c>
      <c r="C1898" t="s">
        <v>521</v>
      </c>
      <c r="D1898" t="s">
        <v>654</v>
      </c>
      <c r="E1898" s="1">
        <v>45264</v>
      </c>
      <c r="F1898" s="1">
        <v>45268</v>
      </c>
      <c r="G1898" s="1">
        <v>45297</v>
      </c>
      <c r="H1898" s="4">
        <f>IF(Claims_Cleaned[[#This Row],[processed_date]]="","",Claims_Cleaned[[#This Row],[processed_date]]-Claims_Cleaned[[#This Row],[submission_date]])</f>
        <v>29</v>
      </c>
      <c r="I1898" s="4" t="str">
        <f>TEXT(Claims_Cleaned[[#This Row],[claim_date]],"mmm-yyyy")</f>
        <v>Dec-2023</v>
      </c>
      <c r="J1898" t="s">
        <v>11</v>
      </c>
      <c r="K1898">
        <v>98.6</v>
      </c>
      <c r="L1898" t="s">
        <v>683</v>
      </c>
      <c r="M1898">
        <v>29</v>
      </c>
    </row>
    <row r="1899" spans="1:13" x14ac:dyDescent="0.35">
      <c r="A1899" t="s">
        <v>692</v>
      </c>
      <c r="B1899" t="s">
        <v>430</v>
      </c>
      <c r="C1899" t="s">
        <v>593</v>
      </c>
      <c r="D1899" t="s">
        <v>654</v>
      </c>
      <c r="E1899" s="1">
        <v>44996</v>
      </c>
      <c r="F1899" s="1">
        <v>44997</v>
      </c>
      <c r="G1899" s="1">
        <v>45012</v>
      </c>
      <c r="H1899" s="4">
        <f>IF(Claims_Cleaned[[#This Row],[processed_date]]="","",Claims_Cleaned[[#This Row],[processed_date]]-Claims_Cleaned[[#This Row],[submission_date]])</f>
        <v>15</v>
      </c>
      <c r="I1899" s="4" t="str">
        <f>TEXT(Claims_Cleaned[[#This Row],[claim_date]],"mmm-yyyy")</f>
        <v>Mar-2023</v>
      </c>
      <c r="J1899" t="s">
        <v>20</v>
      </c>
      <c r="K1899">
        <v>98.57</v>
      </c>
      <c r="L1899" t="s">
        <v>683</v>
      </c>
      <c r="M1899">
        <v>15</v>
      </c>
    </row>
    <row r="1900" spans="1:13" x14ac:dyDescent="0.35">
      <c r="A1900" t="s">
        <v>2248</v>
      </c>
      <c r="B1900" t="s">
        <v>296</v>
      </c>
      <c r="C1900" t="s">
        <v>599</v>
      </c>
      <c r="D1900" t="s">
        <v>654</v>
      </c>
      <c r="E1900" s="1">
        <v>45257</v>
      </c>
      <c r="F1900" s="1">
        <v>45258</v>
      </c>
      <c r="G1900" s="1">
        <v>45269</v>
      </c>
      <c r="H1900" s="4">
        <f>IF(Claims_Cleaned[[#This Row],[processed_date]]="","",Claims_Cleaned[[#This Row],[processed_date]]-Claims_Cleaned[[#This Row],[submission_date]])</f>
        <v>11</v>
      </c>
      <c r="I1900" s="4" t="str">
        <f>TEXT(Claims_Cleaned[[#This Row],[claim_date]],"mmm-yyyy")</f>
        <v>Nov-2023</v>
      </c>
      <c r="J1900" t="s">
        <v>11</v>
      </c>
      <c r="K1900">
        <v>98.07</v>
      </c>
      <c r="L1900" t="s">
        <v>683</v>
      </c>
      <c r="M1900">
        <v>11</v>
      </c>
    </row>
    <row r="1901" spans="1:13" x14ac:dyDescent="0.35">
      <c r="A1901" t="s">
        <v>1187</v>
      </c>
      <c r="B1901" t="s">
        <v>192</v>
      </c>
      <c r="C1901" t="s">
        <v>579</v>
      </c>
      <c r="D1901" t="s">
        <v>654</v>
      </c>
      <c r="E1901" s="1">
        <v>45381</v>
      </c>
      <c r="F1901" s="1">
        <v>45385</v>
      </c>
      <c r="G1901" s="1">
        <v>45407</v>
      </c>
      <c r="H1901" s="4">
        <f>IF(Claims_Cleaned[[#This Row],[processed_date]]="","",Claims_Cleaned[[#This Row],[processed_date]]-Claims_Cleaned[[#This Row],[submission_date]])</f>
        <v>22</v>
      </c>
      <c r="I1901" s="4" t="str">
        <f>TEXT(Claims_Cleaned[[#This Row],[claim_date]],"mmm-yyyy")</f>
        <v>Mar-2024</v>
      </c>
      <c r="J1901" t="s">
        <v>11</v>
      </c>
      <c r="K1901">
        <v>97.81</v>
      </c>
      <c r="L1901" t="s">
        <v>683</v>
      </c>
      <c r="M1901">
        <v>22</v>
      </c>
    </row>
    <row r="1902" spans="1:13" x14ac:dyDescent="0.35">
      <c r="A1902" t="s">
        <v>969</v>
      </c>
      <c r="B1902" t="s">
        <v>444</v>
      </c>
      <c r="C1902" t="s">
        <v>555</v>
      </c>
      <c r="D1902" t="s">
        <v>654</v>
      </c>
      <c r="E1902" s="1">
        <v>45055</v>
      </c>
      <c r="F1902" s="1">
        <v>45058</v>
      </c>
      <c r="G1902" s="1">
        <v>45081</v>
      </c>
      <c r="H1902" s="4">
        <f>IF(Claims_Cleaned[[#This Row],[processed_date]]="","",Claims_Cleaned[[#This Row],[processed_date]]-Claims_Cleaned[[#This Row],[submission_date]])</f>
        <v>23</v>
      </c>
      <c r="I1902" s="4" t="str">
        <f>TEXT(Claims_Cleaned[[#This Row],[claim_date]],"mmm-yyyy")</f>
        <v>May-2023</v>
      </c>
      <c r="J1902" t="s">
        <v>25</v>
      </c>
      <c r="K1902">
        <v>97.45</v>
      </c>
      <c r="L1902" t="s">
        <v>687</v>
      </c>
      <c r="M1902">
        <v>23</v>
      </c>
    </row>
    <row r="1903" spans="1:13" x14ac:dyDescent="0.35">
      <c r="A1903" t="s">
        <v>1330</v>
      </c>
      <c r="B1903" t="s">
        <v>331</v>
      </c>
      <c r="C1903" t="s">
        <v>521</v>
      </c>
      <c r="D1903" t="s">
        <v>654</v>
      </c>
      <c r="E1903" s="1">
        <v>45203</v>
      </c>
      <c r="F1903" s="1">
        <v>45206</v>
      </c>
      <c r="G1903" s="1">
        <v>45229</v>
      </c>
      <c r="H1903" s="4">
        <f>IF(Claims_Cleaned[[#This Row],[processed_date]]="","",Claims_Cleaned[[#This Row],[processed_date]]-Claims_Cleaned[[#This Row],[submission_date]])</f>
        <v>23</v>
      </c>
      <c r="I1903" s="4" t="str">
        <f>TEXT(Claims_Cleaned[[#This Row],[claim_date]],"mmm-yyyy")</f>
        <v>Oct-2023</v>
      </c>
      <c r="J1903" t="s">
        <v>8</v>
      </c>
      <c r="K1903">
        <v>96.88</v>
      </c>
      <c r="L1903" t="s">
        <v>683</v>
      </c>
      <c r="M1903">
        <v>23</v>
      </c>
    </row>
    <row r="1904" spans="1:13" x14ac:dyDescent="0.35">
      <c r="A1904" t="s">
        <v>1852</v>
      </c>
      <c r="B1904" t="s">
        <v>18</v>
      </c>
      <c r="C1904" t="s">
        <v>524</v>
      </c>
      <c r="D1904" t="s">
        <v>654</v>
      </c>
      <c r="E1904" s="1">
        <v>45204</v>
      </c>
      <c r="F1904" s="1">
        <v>45205</v>
      </c>
      <c r="G1904" s="1">
        <v>45233</v>
      </c>
      <c r="H1904" s="4">
        <f>IF(Claims_Cleaned[[#This Row],[processed_date]]="","",Claims_Cleaned[[#This Row],[processed_date]]-Claims_Cleaned[[#This Row],[submission_date]])</f>
        <v>28</v>
      </c>
      <c r="I1904" s="4" t="str">
        <f>TEXT(Claims_Cleaned[[#This Row],[claim_date]],"mmm-yyyy")</f>
        <v>Oct-2023</v>
      </c>
      <c r="J1904" t="s">
        <v>8</v>
      </c>
      <c r="K1904">
        <v>95.97</v>
      </c>
      <c r="L1904" t="s">
        <v>683</v>
      </c>
      <c r="M1904">
        <v>28</v>
      </c>
    </row>
    <row r="1905" spans="1:13" x14ac:dyDescent="0.35">
      <c r="A1905" t="s">
        <v>2235</v>
      </c>
      <c r="B1905" t="s">
        <v>402</v>
      </c>
      <c r="C1905" t="s">
        <v>587</v>
      </c>
      <c r="D1905" t="s">
        <v>654</v>
      </c>
      <c r="E1905" s="1">
        <v>45301</v>
      </c>
      <c r="F1905" s="1">
        <v>45304</v>
      </c>
      <c r="G1905" s="1">
        <v>45332</v>
      </c>
      <c r="H1905" s="4">
        <f>IF(Claims_Cleaned[[#This Row],[processed_date]]="","",Claims_Cleaned[[#This Row],[processed_date]]-Claims_Cleaned[[#This Row],[submission_date]])</f>
        <v>28</v>
      </c>
      <c r="I1905" s="4" t="str">
        <f>TEXT(Claims_Cleaned[[#This Row],[claim_date]],"mmm-yyyy")</f>
        <v>Jan-2024</v>
      </c>
      <c r="J1905" t="s">
        <v>11</v>
      </c>
      <c r="K1905">
        <v>95.75</v>
      </c>
      <c r="L1905" t="s">
        <v>683</v>
      </c>
      <c r="M1905">
        <v>28</v>
      </c>
    </row>
    <row r="1906" spans="1:13" x14ac:dyDescent="0.35">
      <c r="A1906" t="s">
        <v>2129</v>
      </c>
      <c r="B1906" t="s">
        <v>261</v>
      </c>
      <c r="C1906" t="s">
        <v>601</v>
      </c>
      <c r="D1906" t="s">
        <v>654</v>
      </c>
      <c r="E1906" s="1">
        <v>45454</v>
      </c>
      <c r="F1906" s="1">
        <v>45455</v>
      </c>
      <c r="G1906" s="1">
        <v>45463</v>
      </c>
      <c r="H1906" s="4">
        <f>IF(Claims_Cleaned[[#This Row],[processed_date]]="","",Claims_Cleaned[[#This Row],[processed_date]]-Claims_Cleaned[[#This Row],[submission_date]])</f>
        <v>8</v>
      </c>
      <c r="I1906" s="4" t="str">
        <f>TEXT(Claims_Cleaned[[#This Row],[claim_date]],"mmm-yyyy")</f>
        <v>Jun-2024</v>
      </c>
      <c r="J1906" t="s">
        <v>20</v>
      </c>
      <c r="K1906">
        <v>95.45</v>
      </c>
      <c r="L1906" t="s">
        <v>683</v>
      </c>
      <c r="M1906">
        <v>8</v>
      </c>
    </row>
    <row r="1907" spans="1:13" x14ac:dyDescent="0.35">
      <c r="A1907" t="s">
        <v>1196</v>
      </c>
      <c r="B1907" t="s">
        <v>479</v>
      </c>
      <c r="C1907" t="s">
        <v>577</v>
      </c>
      <c r="D1907" t="s">
        <v>654</v>
      </c>
      <c r="E1907" s="1">
        <v>45273</v>
      </c>
      <c r="F1907" s="1">
        <v>45274</v>
      </c>
      <c r="G1907" s="1">
        <v>45300</v>
      </c>
      <c r="H1907" s="4">
        <f>IF(Claims_Cleaned[[#This Row],[processed_date]]="","",Claims_Cleaned[[#This Row],[processed_date]]-Claims_Cleaned[[#This Row],[submission_date]])</f>
        <v>26</v>
      </c>
      <c r="I1907" s="4" t="str">
        <f>TEXT(Claims_Cleaned[[#This Row],[claim_date]],"mmm-yyyy")</f>
        <v>Dec-2023</v>
      </c>
      <c r="J1907" t="s">
        <v>20</v>
      </c>
      <c r="K1907">
        <v>94.89</v>
      </c>
      <c r="L1907" t="s">
        <v>687</v>
      </c>
      <c r="M1907">
        <v>26</v>
      </c>
    </row>
    <row r="1908" spans="1:13" x14ac:dyDescent="0.35">
      <c r="A1908" t="s">
        <v>2267</v>
      </c>
      <c r="B1908" t="s">
        <v>222</v>
      </c>
      <c r="C1908" t="s">
        <v>563</v>
      </c>
      <c r="D1908" t="s">
        <v>654</v>
      </c>
      <c r="E1908" s="1">
        <v>45605</v>
      </c>
      <c r="F1908" s="1">
        <v>45609</v>
      </c>
      <c r="G1908" s="1">
        <v>45626</v>
      </c>
      <c r="H1908" s="4">
        <f>IF(Claims_Cleaned[[#This Row],[processed_date]]="","",Claims_Cleaned[[#This Row],[processed_date]]-Claims_Cleaned[[#This Row],[submission_date]])</f>
        <v>17</v>
      </c>
      <c r="I1908" s="4" t="str">
        <f>TEXT(Claims_Cleaned[[#This Row],[claim_date]],"mmm-yyyy")</f>
        <v>Nov-2024</v>
      </c>
      <c r="J1908" t="s">
        <v>20</v>
      </c>
      <c r="K1908">
        <v>94.79</v>
      </c>
      <c r="L1908" t="s">
        <v>683</v>
      </c>
      <c r="M1908">
        <v>17</v>
      </c>
    </row>
    <row r="1909" spans="1:13" x14ac:dyDescent="0.35">
      <c r="A1909" t="s">
        <v>910</v>
      </c>
      <c r="B1909" t="s">
        <v>371</v>
      </c>
      <c r="C1909" t="s">
        <v>569</v>
      </c>
      <c r="D1909" t="s">
        <v>654</v>
      </c>
      <c r="E1909" s="1">
        <v>45458</v>
      </c>
      <c r="F1909" s="1">
        <v>45463</v>
      </c>
      <c r="G1909" s="1"/>
      <c r="H1909" s="4" t="str">
        <f>IF(Claims_Cleaned[[#This Row],[processed_date]]="","",Claims_Cleaned[[#This Row],[processed_date]]-Claims_Cleaned[[#This Row],[submission_date]])</f>
        <v/>
      </c>
      <c r="I1909" s="4" t="str">
        <f>TEXT(Claims_Cleaned[[#This Row],[claim_date]],"mmm-yyyy")</f>
        <v>Jun-2024</v>
      </c>
      <c r="J1909" t="s">
        <v>25</v>
      </c>
      <c r="K1909">
        <v>94.46</v>
      </c>
      <c r="L1909" t="s">
        <v>689</v>
      </c>
    </row>
    <row r="1910" spans="1:13" x14ac:dyDescent="0.35">
      <c r="A1910" t="s">
        <v>1406</v>
      </c>
      <c r="B1910" t="s">
        <v>58</v>
      </c>
      <c r="C1910" t="s">
        <v>561</v>
      </c>
      <c r="D1910" t="s">
        <v>654</v>
      </c>
      <c r="E1910" s="1">
        <v>45411</v>
      </c>
      <c r="F1910" s="1">
        <v>45415</v>
      </c>
      <c r="G1910" s="1">
        <v>45436</v>
      </c>
      <c r="H1910" s="4">
        <f>IF(Claims_Cleaned[[#This Row],[processed_date]]="","",Claims_Cleaned[[#This Row],[processed_date]]-Claims_Cleaned[[#This Row],[submission_date]])</f>
        <v>21</v>
      </c>
      <c r="I1910" s="4" t="str">
        <f>TEXT(Claims_Cleaned[[#This Row],[claim_date]],"mmm-yyyy")</f>
        <v>Apr-2024</v>
      </c>
      <c r="J1910" t="s">
        <v>8</v>
      </c>
      <c r="K1910">
        <v>94.27</v>
      </c>
      <c r="L1910" t="s">
        <v>683</v>
      </c>
      <c r="M1910">
        <v>21</v>
      </c>
    </row>
    <row r="1911" spans="1:13" x14ac:dyDescent="0.35">
      <c r="A1911" t="s">
        <v>1275</v>
      </c>
      <c r="B1911" t="s">
        <v>222</v>
      </c>
      <c r="C1911" t="s">
        <v>563</v>
      </c>
      <c r="D1911" t="s">
        <v>654</v>
      </c>
      <c r="E1911" s="1">
        <v>45653</v>
      </c>
      <c r="F1911" s="1">
        <v>45657</v>
      </c>
      <c r="G1911" s="1">
        <v>45672</v>
      </c>
      <c r="H1911" s="4">
        <f>IF(Claims_Cleaned[[#This Row],[processed_date]]="","",Claims_Cleaned[[#This Row],[processed_date]]-Claims_Cleaned[[#This Row],[submission_date]])</f>
        <v>15</v>
      </c>
      <c r="I1911" s="4" t="str">
        <f>TEXT(Claims_Cleaned[[#This Row],[claim_date]],"mmm-yyyy")</f>
        <v>Dec-2024</v>
      </c>
      <c r="J1911" t="s">
        <v>20</v>
      </c>
      <c r="K1911">
        <v>94.04</v>
      </c>
      <c r="L1911" t="s">
        <v>683</v>
      </c>
      <c r="M1911">
        <v>15</v>
      </c>
    </row>
    <row r="1912" spans="1:13" x14ac:dyDescent="0.35">
      <c r="A1912" t="s">
        <v>1922</v>
      </c>
      <c r="B1912" t="s">
        <v>143</v>
      </c>
      <c r="C1912" t="s">
        <v>546</v>
      </c>
      <c r="D1912" t="s">
        <v>654</v>
      </c>
      <c r="E1912" s="1">
        <v>45257</v>
      </c>
      <c r="F1912" s="1">
        <v>45259</v>
      </c>
      <c r="G1912" s="1">
        <v>45266</v>
      </c>
      <c r="H1912" s="4">
        <f>IF(Claims_Cleaned[[#This Row],[processed_date]]="","",Claims_Cleaned[[#This Row],[processed_date]]-Claims_Cleaned[[#This Row],[submission_date]])</f>
        <v>7</v>
      </c>
      <c r="I1912" s="4" t="str">
        <f>TEXT(Claims_Cleaned[[#This Row],[claim_date]],"mmm-yyyy")</f>
        <v>Nov-2023</v>
      </c>
      <c r="J1912" t="s">
        <v>13</v>
      </c>
      <c r="K1912">
        <v>94.03</v>
      </c>
      <c r="L1912" t="s">
        <v>687</v>
      </c>
      <c r="M1912">
        <v>7</v>
      </c>
    </row>
    <row r="1913" spans="1:13" x14ac:dyDescent="0.35">
      <c r="A1913" t="s">
        <v>897</v>
      </c>
      <c r="B1913" t="s">
        <v>431</v>
      </c>
      <c r="C1913" t="s">
        <v>579</v>
      </c>
      <c r="D1913" t="s">
        <v>654</v>
      </c>
      <c r="E1913" s="1">
        <v>45012</v>
      </c>
      <c r="F1913" s="1">
        <v>45016</v>
      </c>
      <c r="G1913" s="1">
        <v>45040</v>
      </c>
      <c r="H1913" s="4">
        <f>IF(Claims_Cleaned[[#This Row],[processed_date]]="","",Claims_Cleaned[[#This Row],[processed_date]]-Claims_Cleaned[[#This Row],[submission_date]])</f>
        <v>24</v>
      </c>
      <c r="I1913" s="4" t="str">
        <f>TEXT(Claims_Cleaned[[#This Row],[claim_date]],"mmm-yyyy")</f>
        <v>Mar-2023</v>
      </c>
      <c r="J1913" t="s">
        <v>20</v>
      </c>
      <c r="K1913">
        <v>93.52</v>
      </c>
      <c r="L1913" t="s">
        <v>683</v>
      </c>
      <c r="M1913">
        <v>24</v>
      </c>
    </row>
    <row r="1914" spans="1:13" x14ac:dyDescent="0.35">
      <c r="A1914" t="s">
        <v>1161</v>
      </c>
      <c r="B1914" t="s">
        <v>440</v>
      </c>
      <c r="C1914" t="s">
        <v>603</v>
      </c>
      <c r="D1914" t="s">
        <v>654</v>
      </c>
      <c r="E1914" s="1">
        <v>45408</v>
      </c>
      <c r="F1914" s="1">
        <v>45411</v>
      </c>
      <c r="G1914" s="1">
        <v>45433</v>
      </c>
      <c r="H1914" s="4">
        <f>IF(Claims_Cleaned[[#This Row],[processed_date]]="","",Claims_Cleaned[[#This Row],[processed_date]]-Claims_Cleaned[[#This Row],[submission_date]])</f>
        <v>22</v>
      </c>
      <c r="I1914" s="4" t="str">
        <f>TEXT(Claims_Cleaned[[#This Row],[claim_date]],"mmm-yyyy")</f>
        <v>Apr-2024</v>
      </c>
      <c r="J1914" t="s">
        <v>20</v>
      </c>
      <c r="K1914">
        <v>92.53</v>
      </c>
      <c r="L1914" t="s">
        <v>687</v>
      </c>
      <c r="M1914">
        <v>22</v>
      </c>
    </row>
    <row r="1915" spans="1:13" x14ac:dyDescent="0.35">
      <c r="A1915" t="s">
        <v>1342</v>
      </c>
      <c r="B1915" t="s">
        <v>391</v>
      </c>
      <c r="C1915" t="s">
        <v>565</v>
      </c>
      <c r="D1915" t="s">
        <v>654</v>
      </c>
      <c r="E1915" s="1">
        <v>45290</v>
      </c>
      <c r="F1915" s="1">
        <v>45294</v>
      </c>
      <c r="G1915" s="1">
        <v>45307</v>
      </c>
      <c r="H1915" s="4">
        <f>IF(Claims_Cleaned[[#This Row],[processed_date]]="","",Claims_Cleaned[[#This Row],[processed_date]]-Claims_Cleaned[[#This Row],[submission_date]])</f>
        <v>13</v>
      </c>
      <c r="I1915" s="4" t="str">
        <f>TEXT(Claims_Cleaned[[#This Row],[claim_date]],"mmm-yyyy")</f>
        <v>Dec-2023</v>
      </c>
      <c r="J1915" t="s">
        <v>11</v>
      </c>
      <c r="K1915">
        <v>91.12</v>
      </c>
      <c r="L1915" t="s">
        <v>683</v>
      </c>
      <c r="M1915">
        <v>13</v>
      </c>
    </row>
    <row r="1916" spans="1:13" x14ac:dyDescent="0.35">
      <c r="A1916" t="s">
        <v>2089</v>
      </c>
      <c r="B1916" t="s">
        <v>458</v>
      </c>
      <c r="C1916" t="s">
        <v>527</v>
      </c>
      <c r="D1916" t="s">
        <v>654</v>
      </c>
      <c r="E1916" s="1">
        <v>45554</v>
      </c>
      <c r="F1916" s="1">
        <v>45558</v>
      </c>
      <c r="G1916" s="1">
        <v>45561</v>
      </c>
      <c r="H1916" s="4">
        <f>IF(Claims_Cleaned[[#This Row],[processed_date]]="","",Claims_Cleaned[[#This Row],[processed_date]]-Claims_Cleaned[[#This Row],[submission_date]])</f>
        <v>3</v>
      </c>
      <c r="I1916" s="4" t="str">
        <f>TEXT(Claims_Cleaned[[#This Row],[claim_date]],"mmm-yyyy")</f>
        <v>Sep-2024</v>
      </c>
      <c r="J1916" t="s">
        <v>11</v>
      </c>
      <c r="K1916">
        <v>90.52</v>
      </c>
      <c r="L1916" t="s">
        <v>683</v>
      </c>
      <c r="M1916">
        <v>3</v>
      </c>
    </row>
    <row r="1917" spans="1:13" x14ac:dyDescent="0.35">
      <c r="A1917" t="s">
        <v>1254</v>
      </c>
      <c r="B1917" t="s">
        <v>438</v>
      </c>
      <c r="C1917" t="s">
        <v>521</v>
      </c>
      <c r="D1917" t="s">
        <v>654</v>
      </c>
      <c r="E1917" s="1">
        <v>45094</v>
      </c>
      <c r="F1917" s="1">
        <v>45096</v>
      </c>
      <c r="G1917" s="1">
        <v>45115</v>
      </c>
      <c r="H1917" s="4">
        <f>IF(Claims_Cleaned[[#This Row],[processed_date]]="","",Claims_Cleaned[[#This Row],[processed_date]]-Claims_Cleaned[[#This Row],[submission_date]])</f>
        <v>19</v>
      </c>
      <c r="I1917" s="4" t="str">
        <f>TEXT(Claims_Cleaned[[#This Row],[claim_date]],"mmm-yyyy")</f>
        <v>Jun-2023</v>
      </c>
      <c r="J1917" t="s">
        <v>11</v>
      </c>
      <c r="K1917">
        <v>90.46</v>
      </c>
      <c r="L1917" t="s">
        <v>687</v>
      </c>
      <c r="M1917">
        <v>19</v>
      </c>
    </row>
    <row r="1918" spans="1:13" x14ac:dyDescent="0.35">
      <c r="A1918" t="s">
        <v>1857</v>
      </c>
      <c r="B1918" t="s">
        <v>339</v>
      </c>
      <c r="C1918" t="s">
        <v>609</v>
      </c>
      <c r="D1918" t="s">
        <v>620</v>
      </c>
      <c r="E1918" s="1">
        <v>45418</v>
      </c>
      <c r="F1918" s="1">
        <v>45419</v>
      </c>
      <c r="G1918" s="1">
        <v>45431</v>
      </c>
      <c r="H1918" s="4">
        <f>IF(Claims_Cleaned[[#This Row],[processed_date]]="","",Claims_Cleaned[[#This Row],[processed_date]]-Claims_Cleaned[[#This Row],[submission_date]])</f>
        <v>12</v>
      </c>
      <c r="I1918" s="4" t="str">
        <f>TEXT(Claims_Cleaned[[#This Row],[claim_date]],"mmm-yyyy")</f>
        <v>May-2024</v>
      </c>
      <c r="J1918" t="s">
        <v>11</v>
      </c>
      <c r="K1918">
        <v>62.07</v>
      </c>
      <c r="L1918" t="s">
        <v>683</v>
      </c>
      <c r="M1918">
        <v>12</v>
      </c>
    </row>
    <row r="1919" spans="1:13" x14ac:dyDescent="0.35">
      <c r="A1919" t="s">
        <v>696</v>
      </c>
      <c r="B1919" t="s">
        <v>272</v>
      </c>
      <c r="C1919" t="s">
        <v>531</v>
      </c>
      <c r="D1919" t="s">
        <v>620</v>
      </c>
      <c r="E1919" s="1">
        <v>45058</v>
      </c>
      <c r="F1919" s="1">
        <v>45060</v>
      </c>
      <c r="G1919" s="1">
        <v>45065</v>
      </c>
      <c r="H1919" s="4">
        <f>IF(Claims_Cleaned[[#This Row],[processed_date]]="","",Claims_Cleaned[[#This Row],[processed_date]]-Claims_Cleaned[[#This Row],[submission_date]])</f>
        <v>5</v>
      </c>
      <c r="I1919" s="4" t="str">
        <f>TEXT(Claims_Cleaned[[#This Row],[claim_date]],"mmm-yyyy")</f>
        <v>May-2023</v>
      </c>
      <c r="J1919" t="s">
        <v>11</v>
      </c>
      <c r="K1919">
        <v>62.01</v>
      </c>
      <c r="L1919" t="s">
        <v>687</v>
      </c>
      <c r="M1919">
        <v>5</v>
      </c>
    </row>
    <row r="1920" spans="1:13" x14ac:dyDescent="0.35">
      <c r="A1920" t="s">
        <v>2167</v>
      </c>
      <c r="B1920" t="s">
        <v>509</v>
      </c>
      <c r="C1920" t="s">
        <v>597</v>
      </c>
      <c r="D1920" t="s">
        <v>620</v>
      </c>
      <c r="E1920" s="1">
        <v>45304</v>
      </c>
      <c r="F1920" s="1">
        <v>45308</v>
      </c>
      <c r="G1920" s="1">
        <v>45312</v>
      </c>
      <c r="H1920" s="4">
        <f>IF(Claims_Cleaned[[#This Row],[processed_date]]="","",Claims_Cleaned[[#This Row],[processed_date]]-Claims_Cleaned[[#This Row],[submission_date]])</f>
        <v>4</v>
      </c>
      <c r="I1920" s="4" t="str">
        <f>TEXT(Claims_Cleaned[[#This Row],[claim_date]],"mmm-yyyy")</f>
        <v>Jan-2024</v>
      </c>
      <c r="J1920" t="s">
        <v>25</v>
      </c>
      <c r="K1920">
        <v>61.85</v>
      </c>
      <c r="L1920" t="s">
        <v>687</v>
      </c>
      <c r="M1920">
        <v>4</v>
      </c>
    </row>
    <row r="1921" spans="1:13" x14ac:dyDescent="0.35">
      <c r="A1921" t="s">
        <v>2087</v>
      </c>
      <c r="B1921" t="s">
        <v>181</v>
      </c>
      <c r="C1921" t="s">
        <v>579</v>
      </c>
      <c r="D1921" t="s">
        <v>620</v>
      </c>
      <c r="E1921" s="1">
        <v>45107</v>
      </c>
      <c r="F1921" s="1">
        <v>45109</v>
      </c>
      <c r="G1921" s="1">
        <v>45134</v>
      </c>
      <c r="H1921" s="4">
        <f>IF(Claims_Cleaned[[#This Row],[processed_date]]="","",Claims_Cleaned[[#This Row],[processed_date]]-Claims_Cleaned[[#This Row],[submission_date]])</f>
        <v>25</v>
      </c>
      <c r="I1921" s="4" t="str">
        <f>TEXT(Claims_Cleaned[[#This Row],[claim_date]],"mmm-yyyy")</f>
        <v>Jun-2023</v>
      </c>
      <c r="J1921" t="s">
        <v>20</v>
      </c>
      <c r="K1921">
        <v>61.77</v>
      </c>
      <c r="L1921" t="s">
        <v>687</v>
      </c>
      <c r="M1921">
        <v>25</v>
      </c>
    </row>
    <row r="1922" spans="1:13" x14ac:dyDescent="0.35">
      <c r="A1922" t="s">
        <v>1615</v>
      </c>
      <c r="B1922" t="s">
        <v>327</v>
      </c>
      <c r="C1922" t="s">
        <v>577</v>
      </c>
      <c r="D1922" t="s">
        <v>620</v>
      </c>
      <c r="E1922" s="1">
        <v>45491</v>
      </c>
      <c r="F1922" s="1">
        <v>45495</v>
      </c>
      <c r="G1922" s="1">
        <v>45501</v>
      </c>
      <c r="H1922" s="4">
        <f>IF(Claims_Cleaned[[#This Row],[processed_date]]="","",Claims_Cleaned[[#This Row],[processed_date]]-Claims_Cleaned[[#This Row],[submission_date]])</f>
        <v>6</v>
      </c>
      <c r="I1922" s="4" t="str">
        <f>TEXT(Claims_Cleaned[[#This Row],[claim_date]],"mmm-yyyy")</f>
        <v>Jul-2024</v>
      </c>
      <c r="J1922" t="s">
        <v>13</v>
      </c>
      <c r="K1922">
        <v>61.64</v>
      </c>
      <c r="L1922" t="s">
        <v>683</v>
      </c>
      <c r="M1922">
        <v>6</v>
      </c>
    </row>
    <row r="1923" spans="1:13" x14ac:dyDescent="0.35">
      <c r="A1923" t="s">
        <v>2086</v>
      </c>
      <c r="B1923" t="s">
        <v>91</v>
      </c>
      <c r="C1923" t="s">
        <v>531</v>
      </c>
      <c r="D1923" t="s">
        <v>620</v>
      </c>
      <c r="E1923" s="1">
        <v>45397</v>
      </c>
      <c r="F1923" s="1">
        <v>45398</v>
      </c>
      <c r="G1923" s="1">
        <v>45416</v>
      </c>
      <c r="H1923" s="4">
        <f>IF(Claims_Cleaned[[#This Row],[processed_date]]="","",Claims_Cleaned[[#This Row],[processed_date]]-Claims_Cleaned[[#This Row],[submission_date]])</f>
        <v>18</v>
      </c>
      <c r="I1923" s="4" t="str">
        <f>TEXT(Claims_Cleaned[[#This Row],[claim_date]],"mmm-yyyy")</f>
        <v>Apr-2024</v>
      </c>
      <c r="J1923" t="s">
        <v>13</v>
      </c>
      <c r="K1923">
        <v>61.63</v>
      </c>
      <c r="L1923" t="s">
        <v>683</v>
      </c>
      <c r="M1923">
        <v>18</v>
      </c>
    </row>
    <row r="1924" spans="1:13" x14ac:dyDescent="0.35">
      <c r="A1924" t="s">
        <v>699</v>
      </c>
      <c r="B1924" t="s">
        <v>364</v>
      </c>
      <c r="C1924" t="s">
        <v>579</v>
      </c>
      <c r="D1924" t="s">
        <v>620</v>
      </c>
      <c r="E1924" s="1">
        <v>45058</v>
      </c>
      <c r="F1924" s="1">
        <v>45063</v>
      </c>
      <c r="G1924" s="1">
        <v>45079</v>
      </c>
      <c r="H1924" s="4">
        <f>IF(Claims_Cleaned[[#This Row],[processed_date]]="","",Claims_Cleaned[[#This Row],[processed_date]]-Claims_Cleaned[[#This Row],[submission_date]])</f>
        <v>16</v>
      </c>
      <c r="I1924" s="4" t="str">
        <f>TEXT(Claims_Cleaned[[#This Row],[claim_date]],"mmm-yyyy")</f>
        <v>May-2023</v>
      </c>
      <c r="J1924" t="s">
        <v>11</v>
      </c>
      <c r="K1924">
        <v>61.58</v>
      </c>
      <c r="L1924" t="s">
        <v>683</v>
      </c>
      <c r="M1924">
        <v>16</v>
      </c>
    </row>
    <row r="1925" spans="1:13" x14ac:dyDescent="0.35">
      <c r="A1925" t="s">
        <v>1988</v>
      </c>
      <c r="B1925" t="s">
        <v>157</v>
      </c>
      <c r="C1925" t="s">
        <v>575</v>
      </c>
      <c r="D1925" t="s">
        <v>620</v>
      </c>
      <c r="E1925" s="1">
        <v>45529</v>
      </c>
      <c r="F1925" s="1">
        <v>45530</v>
      </c>
      <c r="G1925" s="1">
        <v>45538</v>
      </c>
      <c r="H1925" s="4">
        <f>IF(Claims_Cleaned[[#This Row],[processed_date]]="","",Claims_Cleaned[[#This Row],[processed_date]]-Claims_Cleaned[[#This Row],[submission_date]])</f>
        <v>8</v>
      </c>
      <c r="I1925" s="4" t="str">
        <f>TEXT(Claims_Cleaned[[#This Row],[claim_date]],"mmm-yyyy")</f>
        <v>Aug-2024</v>
      </c>
      <c r="J1925" t="s">
        <v>11</v>
      </c>
      <c r="K1925">
        <v>61.16</v>
      </c>
      <c r="L1925" t="s">
        <v>683</v>
      </c>
      <c r="M1925">
        <v>8</v>
      </c>
    </row>
    <row r="1926" spans="1:13" x14ac:dyDescent="0.35">
      <c r="A1926" t="s">
        <v>2321</v>
      </c>
      <c r="B1926" t="s">
        <v>120</v>
      </c>
      <c r="C1926" t="s">
        <v>583</v>
      </c>
      <c r="D1926" t="s">
        <v>620</v>
      </c>
      <c r="E1926" s="1">
        <v>45595</v>
      </c>
      <c r="F1926" s="1">
        <v>45598</v>
      </c>
      <c r="G1926" s="1">
        <v>45623</v>
      </c>
      <c r="H1926" s="4">
        <f>IF(Claims_Cleaned[[#This Row],[processed_date]]="","",Claims_Cleaned[[#This Row],[processed_date]]-Claims_Cleaned[[#This Row],[submission_date]])</f>
        <v>25</v>
      </c>
      <c r="I1926" s="4" t="str">
        <f>TEXT(Claims_Cleaned[[#This Row],[claim_date]],"mmm-yyyy")</f>
        <v>Oct-2024</v>
      </c>
      <c r="J1926" t="s">
        <v>13</v>
      </c>
      <c r="K1926">
        <v>61.1</v>
      </c>
      <c r="L1926" t="s">
        <v>683</v>
      </c>
      <c r="M1926">
        <v>25</v>
      </c>
    </row>
    <row r="1927" spans="1:13" x14ac:dyDescent="0.35">
      <c r="A1927" t="s">
        <v>1049</v>
      </c>
      <c r="B1927" t="s">
        <v>61</v>
      </c>
      <c r="C1927" t="s">
        <v>607</v>
      </c>
      <c r="D1927" t="s">
        <v>620</v>
      </c>
      <c r="E1927" s="1">
        <v>44973</v>
      </c>
      <c r="F1927" s="1">
        <v>44974</v>
      </c>
      <c r="G1927" s="1">
        <v>44992</v>
      </c>
      <c r="H1927" s="4">
        <f>IF(Claims_Cleaned[[#This Row],[processed_date]]="","",Claims_Cleaned[[#This Row],[processed_date]]-Claims_Cleaned[[#This Row],[submission_date]])</f>
        <v>18</v>
      </c>
      <c r="I1927" s="4" t="str">
        <f>TEXT(Claims_Cleaned[[#This Row],[claim_date]],"mmm-yyyy")</f>
        <v>Feb-2023</v>
      </c>
      <c r="J1927" t="s">
        <v>11</v>
      </c>
      <c r="K1927">
        <v>61.04</v>
      </c>
      <c r="L1927" t="s">
        <v>683</v>
      </c>
      <c r="M1927">
        <v>18</v>
      </c>
    </row>
    <row r="1928" spans="1:13" x14ac:dyDescent="0.35">
      <c r="A1928" t="s">
        <v>1207</v>
      </c>
      <c r="B1928" t="s">
        <v>485</v>
      </c>
      <c r="C1928" t="s">
        <v>521</v>
      </c>
      <c r="D1928" t="s">
        <v>620</v>
      </c>
      <c r="E1928" s="1">
        <v>45209</v>
      </c>
      <c r="F1928" s="1">
        <v>45213</v>
      </c>
      <c r="G1928" s="1">
        <v>45219</v>
      </c>
      <c r="H1928" s="4">
        <f>IF(Claims_Cleaned[[#This Row],[processed_date]]="","",Claims_Cleaned[[#This Row],[processed_date]]-Claims_Cleaned[[#This Row],[submission_date]])</f>
        <v>6</v>
      </c>
      <c r="I1928" s="4" t="str">
        <f>TEXT(Claims_Cleaned[[#This Row],[claim_date]],"mmm-yyyy")</f>
        <v>Oct-2023</v>
      </c>
      <c r="J1928" t="s">
        <v>8</v>
      </c>
      <c r="K1928">
        <v>61.01</v>
      </c>
      <c r="L1928" t="s">
        <v>683</v>
      </c>
      <c r="M1928">
        <v>6</v>
      </c>
    </row>
    <row r="1929" spans="1:13" x14ac:dyDescent="0.35">
      <c r="A1929" t="s">
        <v>2189</v>
      </c>
      <c r="B1929" t="s">
        <v>460</v>
      </c>
      <c r="C1929" t="s">
        <v>563</v>
      </c>
      <c r="D1929" t="s">
        <v>620</v>
      </c>
      <c r="E1929" s="1">
        <v>45035</v>
      </c>
      <c r="F1929" s="1">
        <v>45039</v>
      </c>
      <c r="G1929" s="1">
        <v>45051</v>
      </c>
      <c r="H1929" s="4">
        <f>IF(Claims_Cleaned[[#This Row],[processed_date]]="","",Claims_Cleaned[[#This Row],[processed_date]]-Claims_Cleaned[[#This Row],[submission_date]])</f>
        <v>12</v>
      </c>
      <c r="I1929" s="4" t="str">
        <f>TEXT(Claims_Cleaned[[#This Row],[claim_date]],"mmm-yyyy")</f>
        <v>Apr-2023</v>
      </c>
      <c r="J1929" t="s">
        <v>11</v>
      </c>
      <c r="K1929">
        <v>60.46</v>
      </c>
      <c r="L1929" t="s">
        <v>683</v>
      </c>
      <c r="M1929">
        <v>12</v>
      </c>
    </row>
    <row r="1930" spans="1:13" x14ac:dyDescent="0.35">
      <c r="A1930" t="s">
        <v>2080</v>
      </c>
      <c r="B1930" t="s">
        <v>66</v>
      </c>
      <c r="C1930" t="s">
        <v>585</v>
      </c>
      <c r="D1930" t="s">
        <v>620</v>
      </c>
      <c r="E1930" s="1">
        <v>45090</v>
      </c>
      <c r="F1930" s="1">
        <v>45094</v>
      </c>
      <c r="G1930" s="1"/>
      <c r="H1930" s="4" t="str">
        <f>IF(Claims_Cleaned[[#This Row],[processed_date]]="","",Claims_Cleaned[[#This Row],[processed_date]]-Claims_Cleaned[[#This Row],[submission_date]])</f>
        <v/>
      </c>
      <c r="I1930" s="4" t="str">
        <f>TEXT(Claims_Cleaned[[#This Row],[claim_date]],"mmm-yyyy")</f>
        <v>Jun-2023</v>
      </c>
      <c r="J1930" t="s">
        <v>11</v>
      </c>
      <c r="K1930">
        <v>60.36</v>
      </c>
      <c r="L1930" t="s">
        <v>689</v>
      </c>
    </row>
    <row r="1931" spans="1:13" x14ac:dyDescent="0.35">
      <c r="A1931" t="s">
        <v>1356</v>
      </c>
      <c r="B1931" t="s">
        <v>285</v>
      </c>
      <c r="C1931" t="s">
        <v>561</v>
      </c>
      <c r="D1931" t="s">
        <v>620</v>
      </c>
      <c r="E1931" s="1">
        <v>45306</v>
      </c>
      <c r="F1931" s="1">
        <v>45308</v>
      </c>
      <c r="G1931" s="1"/>
      <c r="H1931" s="4" t="str">
        <f>IF(Claims_Cleaned[[#This Row],[processed_date]]="","",Claims_Cleaned[[#This Row],[processed_date]]-Claims_Cleaned[[#This Row],[submission_date]])</f>
        <v/>
      </c>
      <c r="I1931" s="4" t="str">
        <f>TEXT(Claims_Cleaned[[#This Row],[claim_date]],"mmm-yyyy")</f>
        <v>Jan-2024</v>
      </c>
      <c r="J1931" t="s">
        <v>13</v>
      </c>
      <c r="K1931">
        <v>59.4</v>
      </c>
      <c r="L1931" t="s">
        <v>689</v>
      </c>
    </row>
    <row r="1932" spans="1:13" x14ac:dyDescent="0.35">
      <c r="A1932" t="s">
        <v>1735</v>
      </c>
      <c r="B1932" t="s">
        <v>478</v>
      </c>
      <c r="C1932" t="s">
        <v>587</v>
      </c>
      <c r="D1932" t="s">
        <v>620</v>
      </c>
      <c r="E1932" s="1">
        <v>45092</v>
      </c>
      <c r="F1932" s="1">
        <v>45093</v>
      </c>
      <c r="G1932" s="1">
        <v>45097</v>
      </c>
      <c r="H1932" s="4">
        <f>IF(Claims_Cleaned[[#This Row],[processed_date]]="","",Claims_Cleaned[[#This Row],[processed_date]]-Claims_Cleaned[[#This Row],[submission_date]])</f>
        <v>4</v>
      </c>
      <c r="I1932" s="4" t="str">
        <f>TEXT(Claims_Cleaned[[#This Row],[claim_date]],"mmm-yyyy")</f>
        <v>Jun-2023</v>
      </c>
      <c r="J1932" t="s">
        <v>13</v>
      </c>
      <c r="K1932">
        <v>59.3</v>
      </c>
      <c r="L1932" t="s">
        <v>687</v>
      </c>
      <c r="M1932">
        <v>4</v>
      </c>
    </row>
    <row r="1933" spans="1:13" x14ac:dyDescent="0.35">
      <c r="A1933" t="s">
        <v>2488</v>
      </c>
      <c r="B1933" t="s">
        <v>133</v>
      </c>
      <c r="C1933" t="s">
        <v>563</v>
      </c>
      <c r="D1933" t="s">
        <v>620</v>
      </c>
      <c r="E1933" s="1">
        <v>45168</v>
      </c>
      <c r="F1933" s="1">
        <v>45173</v>
      </c>
      <c r="G1933" s="1">
        <v>45193</v>
      </c>
      <c r="H1933" s="4">
        <f>IF(Claims_Cleaned[[#This Row],[processed_date]]="","",Claims_Cleaned[[#This Row],[processed_date]]-Claims_Cleaned[[#This Row],[submission_date]])</f>
        <v>20</v>
      </c>
      <c r="I1933" s="4" t="str">
        <f>TEXT(Claims_Cleaned[[#This Row],[claim_date]],"mmm-yyyy")</f>
        <v>Aug-2023</v>
      </c>
      <c r="J1933" t="s">
        <v>8</v>
      </c>
      <c r="K1933">
        <v>59.23</v>
      </c>
      <c r="L1933" t="s">
        <v>687</v>
      </c>
      <c r="M1933">
        <v>20</v>
      </c>
    </row>
    <row r="1934" spans="1:13" x14ac:dyDescent="0.35">
      <c r="A1934" t="s">
        <v>1124</v>
      </c>
      <c r="B1934" t="s">
        <v>72</v>
      </c>
      <c r="C1934" t="s">
        <v>543</v>
      </c>
      <c r="D1934" t="s">
        <v>620</v>
      </c>
      <c r="E1934" s="1">
        <v>45302</v>
      </c>
      <c r="F1934" s="1">
        <v>45307</v>
      </c>
      <c r="G1934" s="1">
        <v>45336</v>
      </c>
      <c r="H1934" s="4">
        <f>IF(Claims_Cleaned[[#This Row],[processed_date]]="","",Claims_Cleaned[[#This Row],[processed_date]]-Claims_Cleaned[[#This Row],[submission_date]])</f>
        <v>29</v>
      </c>
      <c r="I1934" s="4" t="str">
        <f>TEXT(Claims_Cleaned[[#This Row],[claim_date]],"mmm-yyyy")</f>
        <v>Jan-2024</v>
      </c>
      <c r="J1934" t="s">
        <v>20</v>
      </c>
      <c r="K1934">
        <v>59.22</v>
      </c>
      <c r="L1934" t="s">
        <v>683</v>
      </c>
      <c r="M1934">
        <v>29</v>
      </c>
    </row>
    <row r="1935" spans="1:13" x14ac:dyDescent="0.35">
      <c r="A1935" t="s">
        <v>1831</v>
      </c>
      <c r="B1935" t="s">
        <v>366</v>
      </c>
      <c r="C1935" t="s">
        <v>561</v>
      </c>
      <c r="D1935" t="s">
        <v>620</v>
      </c>
      <c r="E1935" s="1">
        <v>45415</v>
      </c>
      <c r="F1935" s="1">
        <v>45419</v>
      </c>
      <c r="G1935" s="1">
        <v>45430</v>
      </c>
      <c r="H1935" s="4">
        <f>IF(Claims_Cleaned[[#This Row],[processed_date]]="","",Claims_Cleaned[[#This Row],[processed_date]]-Claims_Cleaned[[#This Row],[submission_date]])</f>
        <v>11</v>
      </c>
      <c r="I1935" s="4" t="str">
        <f>TEXT(Claims_Cleaned[[#This Row],[claim_date]],"mmm-yyyy")</f>
        <v>May-2024</v>
      </c>
      <c r="J1935" t="s">
        <v>8</v>
      </c>
      <c r="K1935">
        <v>59.22</v>
      </c>
      <c r="L1935" t="s">
        <v>687</v>
      </c>
      <c r="M1935">
        <v>11</v>
      </c>
    </row>
    <row r="1936" spans="1:13" x14ac:dyDescent="0.35">
      <c r="A1936" t="s">
        <v>2578</v>
      </c>
      <c r="B1936" t="s">
        <v>204</v>
      </c>
      <c r="C1936" t="s">
        <v>595</v>
      </c>
      <c r="D1936" t="s">
        <v>620</v>
      </c>
      <c r="E1936" s="1">
        <v>45073</v>
      </c>
      <c r="F1936" s="1">
        <v>45074</v>
      </c>
      <c r="G1936" s="1">
        <v>45090</v>
      </c>
      <c r="H1936" s="4">
        <f>IF(Claims_Cleaned[[#This Row],[processed_date]]="","",Claims_Cleaned[[#This Row],[processed_date]]-Claims_Cleaned[[#This Row],[submission_date]])</f>
        <v>16</v>
      </c>
      <c r="I1936" s="4" t="str">
        <f>TEXT(Claims_Cleaned[[#This Row],[claim_date]],"mmm-yyyy")</f>
        <v>May-2023</v>
      </c>
      <c r="J1936" t="s">
        <v>8</v>
      </c>
      <c r="K1936">
        <v>59.2</v>
      </c>
      <c r="L1936" t="s">
        <v>683</v>
      </c>
      <c r="M1936">
        <v>16</v>
      </c>
    </row>
    <row r="1937" spans="1:13" x14ac:dyDescent="0.35">
      <c r="A1937" t="s">
        <v>1204</v>
      </c>
      <c r="B1937" t="s">
        <v>164</v>
      </c>
      <c r="C1937" t="s">
        <v>611</v>
      </c>
      <c r="D1937" t="s">
        <v>620</v>
      </c>
      <c r="E1937" s="1">
        <v>45499</v>
      </c>
      <c r="F1937" s="1">
        <v>45501</v>
      </c>
      <c r="G1937" s="1">
        <v>45506</v>
      </c>
      <c r="H1937" s="4">
        <f>IF(Claims_Cleaned[[#This Row],[processed_date]]="","",Claims_Cleaned[[#This Row],[processed_date]]-Claims_Cleaned[[#This Row],[submission_date]])</f>
        <v>5</v>
      </c>
      <c r="I1937" s="4" t="str">
        <f>TEXT(Claims_Cleaned[[#This Row],[claim_date]],"mmm-yyyy")</f>
        <v>Jul-2024</v>
      </c>
      <c r="J1937" t="s">
        <v>11</v>
      </c>
      <c r="K1937">
        <v>59.18</v>
      </c>
      <c r="L1937" t="s">
        <v>683</v>
      </c>
      <c r="M1937">
        <v>5</v>
      </c>
    </row>
    <row r="1938" spans="1:13" x14ac:dyDescent="0.35">
      <c r="A1938" t="s">
        <v>1934</v>
      </c>
      <c r="B1938" t="s">
        <v>101</v>
      </c>
      <c r="C1938" t="s">
        <v>569</v>
      </c>
      <c r="D1938" t="s">
        <v>620</v>
      </c>
      <c r="E1938" s="1">
        <v>45622</v>
      </c>
      <c r="F1938" s="1">
        <v>45623</v>
      </c>
      <c r="G1938" s="1">
        <v>45637</v>
      </c>
      <c r="H1938" s="4">
        <f>IF(Claims_Cleaned[[#This Row],[processed_date]]="","",Claims_Cleaned[[#This Row],[processed_date]]-Claims_Cleaned[[#This Row],[submission_date]])</f>
        <v>14</v>
      </c>
      <c r="I1938" s="4" t="str">
        <f>TEXT(Claims_Cleaned[[#This Row],[claim_date]],"mmm-yyyy")</f>
        <v>Nov-2024</v>
      </c>
      <c r="J1938" t="s">
        <v>20</v>
      </c>
      <c r="K1938">
        <v>59.06</v>
      </c>
      <c r="L1938" t="s">
        <v>687</v>
      </c>
      <c r="M1938">
        <v>14</v>
      </c>
    </row>
    <row r="1939" spans="1:13" x14ac:dyDescent="0.35">
      <c r="A1939" t="s">
        <v>1601</v>
      </c>
      <c r="B1939" t="s">
        <v>56</v>
      </c>
      <c r="C1939" t="s">
        <v>573</v>
      </c>
      <c r="D1939" t="s">
        <v>620</v>
      </c>
      <c r="E1939" s="1">
        <v>45400</v>
      </c>
      <c r="F1939" s="1">
        <v>45402</v>
      </c>
      <c r="G1939" s="1">
        <v>45420</v>
      </c>
      <c r="H1939" s="4">
        <f>IF(Claims_Cleaned[[#This Row],[processed_date]]="","",Claims_Cleaned[[#This Row],[processed_date]]-Claims_Cleaned[[#This Row],[submission_date]])</f>
        <v>18</v>
      </c>
      <c r="I1939" s="4" t="str">
        <f>TEXT(Claims_Cleaned[[#This Row],[claim_date]],"mmm-yyyy")</f>
        <v>Apr-2024</v>
      </c>
      <c r="J1939" t="s">
        <v>11</v>
      </c>
      <c r="K1939">
        <v>58.62</v>
      </c>
      <c r="L1939" t="s">
        <v>687</v>
      </c>
      <c r="M1939">
        <v>18</v>
      </c>
    </row>
    <row r="1940" spans="1:13" x14ac:dyDescent="0.35">
      <c r="A1940" t="s">
        <v>1816</v>
      </c>
      <c r="B1940" t="s">
        <v>474</v>
      </c>
      <c r="C1940" t="s">
        <v>531</v>
      </c>
      <c r="D1940" t="s">
        <v>620</v>
      </c>
      <c r="E1940" s="1">
        <v>45549</v>
      </c>
      <c r="F1940" s="1">
        <v>45552</v>
      </c>
      <c r="G1940" s="1">
        <v>45558</v>
      </c>
      <c r="H1940" s="4">
        <f>IF(Claims_Cleaned[[#This Row],[processed_date]]="","",Claims_Cleaned[[#This Row],[processed_date]]-Claims_Cleaned[[#This Row],[submission_date]])</f>
        <v>6</v>
      </c>
      <c r="I1940" s="4" t="str">
        <f>TEXT(Claims_Cleaned[[#This Row],[claim_date]],"mmm-yyyy")</f>
        <v>Sep-2024</v>
      </c>
      <c r="J1940" t="s">
        <v>25</v>
      </c>
      <c r="K1940">
        <v>58.18</v>
      </c>
      <c r="L1940" t="s">
        <v>683</v>
      </c>
      <c r="M1940">
        <v>6</v>
      </c>
    </row>
    <row r="1941" spans="1:13" x14ac:dyDescent="0.35">
      <c r="A1941" t="s">
        <v>1157</v>
      </c>
      <c r="B1941" t="s">
        <v>469</v>
      </c>
      <c r="C1941" t="s">
        <v>546</v>
      </c>
      <c r="D1941" t="s">
        <v>620</v>
      </c>
      <c r="E1941" s="1">
        <v>45127</v>
      </c>
      <c r="F1941" s="1">
        <v>45128</v>
      </c>
      <c r="G1941" s="1">
        <v>45132</v>
      </c>
      <c r="H1941" s="4">
        <f>IF(Claims_Cleaned[[#This Row],[processed_date]]="","",Claims_Cleaned[[#This Row],[processed_date]]-Claims_Cleaned[[#This Row],[submission_date]])</f>
        <v>4</v>
      </c>
      <c r="I1941" s="4" t="str">
        <f>TEXT(Claims_Cleaned[[#This Row],[claim_date]],"mmm-yyyy")</f>
        <v>Jul-2023</v>
      </c>
      <c r="J1941" t="s">
        <v>8</v>
      </c>
      <c r="K1941">
        <v>58.08</v>
      </c>
      <c r="L1941" t="s">
        <v>683</v>
      </c>
      <c r="M1941">
        <v>4</v>
      </c>
    </row>
    <row r="1942" spans="1:13" x14ac:dyDescent="0.35">
      <c r="A1942" t="s">
        <v>1058</v>
      </c>
      <c r="B1942" t="s">
        <v>272</v>
      </c>
      <c r="C1942" t="s">
        <v>575</v>
      </c>
      <c r="D1942" t="s">
        <v>620</v>
      </c>
      <c r="E1942" s="1">
        <v>45442</v>
      </c>
      <c r="F1942" s="1">
        <v>45446</v>
      </c>
      <c r="G1942" s="1">
        <v>45462</v>
      </c>
      <c r="H1942" s="4">
        <f>IF(Claims_Cleaned[[#This Row],[processed_date]]="","",Claims_Cleaned[[#This Row],[processed_date]]-Claims_Cleaned[[#This Row],[submission_date]])</f>
        <v>16</v>
      </c>
      <c r="I1942" s="4" t="str">
        <f>TEXT(Claims_Cleaned[[#This Row],[claim_date]],"mmm-yyyy")</f>
        <v>May-2024</v>
      </c>
      <c r="J1942" t="s">
        <v>11</v>
      </c>
      <c r="K1942">
        <v>57.79</v>
      </c>
      <c r="L1942" t="s">
        <v>683</v>
      </c>
      <c r="M1942">
        <v>16</v>
      </c>
    </row>
    <row r="1943" spans="1:13" x14ac:dyDescent="0.35">
      <c r="A1943" t="s">
        <v>2678</v>
      </c>
      <c r="B1943" t="s">
        <v>251</v>
      </c>
      <c r="C1943" t="s">
        <v>563</v>
      </c>
      <c r="D1943" t="s">
        <v>620</v>
      </c>
      <c r="E1943" s="1">
        <v>45132</v>
      </c>
      <c r="F1943" s="1">
        <v>45136</v>
      </c>
      <c r="G1943" s="1">
        <v>45153</v>
      </c>
      <c r="H1943" s="4">
        <f>IF(Claims_Cleaned[[#This Row],[processed_date]]="","",Claims_Cleaned[[#This Row],[processed_date]]-Claims_Cleaned[[#This Row],[submission_date]])</f>
        <v>17</v>
      </c>
      <c r="I1943" s="4" t="str">
        <f>TEXT(Claims_Cleaned[[#This Row],[claim_date]],"mmm-yyyy")</f>
        <v>Jul-2023</v>
      </c>
      <c r="J1943" t="s">
        <v>13</v>
      </c>
      <c r="K1943">
        <v>57.02</v>
      </c>
      <c r="L1943" t="s">
        <v>683</v>
      </c>
      <c r="M1943">
        <v>17</v>
      </c>
    </row>
    <row r="1944" spans="1:13" x14ac:dyDescent="0.35">
      <c r="A1944" t="s">
        <v>2260</v>
      </c>
      <c r="B1944" t="s">
        <v>348</v>
      </c>
      <c r="C1944" t="s">
        <v>573</v>
      </c>
      <c r="D1944" t="s">
        <v>620</v>
      </c>
      <c r="E1944" s="1">
        <v>44976</v>
      </c>
      <c r="F1944" s="1">
        <v>44981</v>
      </c>
      <c r="G1944" s="1">
        <v>44994</v>
      </c>
      <c r="H1944" s="4">
        <f>IF(Claims_Cleaned[[#This Row],[processed_date]]="","",Claims_Cleaned[[#This Row],[processed_date]]-Claims_Cleaned[[#This Row],[submission_date]])</f>
        <v>13</v>
      </c>
      <c r="I1944" s="4" t="str">
        <f>TEXT(Claims_Cleaned[[#This Row],[claim_date]],"mmm-yyyy")</f>
        <v>Feb-2023</v>
      </c>
      <c r="J1944" t="s">
        <v>8</v>
      </c>
      <c r="K1944">
        <v>56.69</v>
      </c>
      <c r="L1944" t="s">
        <v>683</v>
      </c>
      <c r="M1944">
        <v>13</v>
      </c>
    </row>
    <row r="1945" spans="1:13" x14ac:dyDescent="0.35">
      <c r="A1945" t="s">
        <v>1096</v>
      </c>
      <c r="B1945" t="s">
        <v>306</v>
      </c>
      <c r="C1945" t="s">
        <v>537</v>
      </c>
      <c r="D1945" t="s">
        <v>620</v>
      </c>
      <c r="E1945" s="1">
        <v>45080</v>
      </c>
      <c r="F1945" s="1">
        <v>45082</v>
      </c>
      <c r="G1945" s="1">
        <v>45092</v>
      </c>
      <c r="H1945" s="4">
        <f>IF(Claims_Cleaned[[#This Row],[processed_date]]="","",Claims_Cleaned[[#This Row],[processed_date]]-Claims_Cleaned[[#This Row],[submission_date]])</f>
        <v>10</v>
      </c>
      <c r="I1945" s="4" t="str">
        <f>TEXT(Claims_Cleaned[[#This Row],[claim_date]],"mmm-yyyy")</f>
        <v>Jun-2023</v>
      </c>
      <c r="J1945" t="s">
        <v>25</v>
      </c>
      <c r="K1945">
        <v>56.39</v>
      </c>
      <c r="L1945" t="s">
        <v>683</v>
      </c>
      <c r="M1945">
        <v>10</v>
      </c>
    </row>
    <row r="1946" spans="1:13" x14ac:dyDescent="0.35">
      <c r="A1946" t="s">
        <v>2449</v>
      </c>
      <c r="B1946" t="s">
        <v>283</v>
      </c>
      <c r="C1946" t="s">
        <v>597</v>
      </c>
      <c r="D1946" t="s">
        <v>620</v>
      </c>
      <c r="E1946" s="1">
        <v>45494</v>
      </c>
      <c r="F1946" s="1">
        <v>45496</v>
      </c>
      <c r="G1946" s="1">
        <v>45512</v>
      </c>
      <c r="H1946" s="4">
        <f>IF(Claims_Cleaned[[#This Row],[processed_date]]="","",Claims_Cleaned[[#This Row],[processed_date]]-Claims_Cleaned[[#This Row],[submission_date]])</f>
        <v>16</v>
      </c>
      <c r="I1946" s="4" t="str">
        <f>TEXT(Claims_Cleaned[[#This Row],[claim_date]],"mmm-yyyy")</f>
        <v>Jul-2024</v>
      </c>
      <c r="J1946" t="s">
        <v>25</v>
      </c>
      <c r="K1946">
        <v>56.27</v>
      </c>
      <c r="L1946" t="s">
        <v>683</v>
      </c>
      <c r="M1946">
        <v>16</v>
      </c>
    </row>
    <row r="1947" spans="1:13" x14ac:dyDescent="0.35">
      <c r="A1947" t="s">
        <v>1592</v>
      </c>
      <c r="B1947" t="s">
        <v>34</v>
      </c>
      <c r="C1947" t="s">
        <v>549</v>
      </c>
      <c r="D1947" t="s">
        <v>620</v>
      </c>
      <c r="E1947" s="1">
        <v>45583</v>
      </c>
      <c r="F1947" s="1">
        <v>45586</v>
      </c>
      <c r="G1947" s="1">
        <v>45613</v>
      </c>
      <c r="H1947" s="4">
        <f>IF(Claims_Cleaned[[#This Row],[processed_date]]="","",Claims_Cleaned[[#This Row],[processed_date]]-Claims_Cleaned[[#This Row],[submission_date]])</f>
        <v>27</v>
      </c>
      <c r="I1947" s="4" t="str">
        <f>TEXT(Claims_Cleaned[[#This Row],[claim_date]],"mmm-yyyy")</f>
        <v>Oct-2024</v>
      </c>
      <c r="J1947" t="s">
        <v>11</v>
      </c>
      <c r="K1947">
        <v>56.01</v>
      </c>
      <c r="L1947" t="s">
        <v>683</v>
      </c>
      <c r="M1947">
        <v>27</v>
      </c>
    </row>
    <row r="1948" spans="1:13" x14ac:dyDescent="0.35">
      <c r="A1948" t="s">
        <v>1078</v>
      </c>
      <c r="B1948" t="s">
        <v>247</v>
      </c>
      <c r="C1948" t="s">
        <v>603</v>
      </c>
      <c r="D1948" t="s">
        <v>620</v>
      </c>
      <c r="E1948" s="1">
        <v>45333</v>
      </c>
      <c r="F1948" s="1">
        <v>45337</v>
      </c>
      <c r="G1948" s="1">
        <v>45346</v>
      </c>
      <c r="H1948" s="4">
        <f>IF(Claims_Cleaned[[#This Row],[processed_date]]="","",Claims_Cleaned[[#This Row],[processed_date]]-Claims_Cleaned[[#This Row],[submission_date]])</f>
        <v>9</v>
      </c>
      <c r="I1948" s="4" t="str">
        <f>TEXT(Claims_Cleaned[[#This Row],[claim_date]],"mmm-yyyy")</f>
        <v>Feb-2024</v>
      </c>
      <c r="J1948" t="s">
        <v>8</v>
      </c>
      <c r="K1948">
        <v>55.93</v>
      </c>
      <c r="L1948" t="s">
        <v>683</v>
      </c>
      <c r="M1948">
        <v>9</v>
      </c>
    </row>
    <row r="1949" spans="1:13" x14ac:dyDescent="0.35">
      <c r="A1949" t="s">
        <v>754</v>
      </c>
      <c r="B1949" t="s">
        <v>285</v>
      </c>
      <c r="C1949" t="s">
        <v>540</v>
      </c>
      <c r="D1949" t="s">
        <v>620</v>
      </c>
      <c r="E1949" s="1">
        <v>45087</v>
      </c>
      <c r="F1949" s="1">
        <v>45092</v>
      </c>
      <c r="G1949" s="1">
        <v>45105</v>
      </c>
      <c r="H1949" s="4">
        <f>IF(Claims_Cleaned[[#This Row],[processed_date]]="","",Claims_Cleaned[[#This Row],[processed_date]]-Claims_Cleaned[[#This Row],[submission_date]])</f>
        <v>13</v>
      </c>
      <c r="I1949" s="4" t="str">
        <f>TEXT(Claims_Cleaned[[#This Row],[claim_date]],"mmm-yyyy")</f>
        <v>Jun-2023</v>
      </c>
      <c r="J1949" t="s">
        <v>13</v>
      </c>
      <c r="K1949">
        <v>55.89</v>
      </c>
      <c r="L1949" t="s">
        <v>683</v>
      </c>
      <c r="M1949">
        <v>13</v>
      </c>
    </row>
    <row r="1950" spans="1:13" x14ac:dyDescent="0.35">
      <c r="A1950" t="s">
        <v>2154</v>
      </c>
      <c r="B1950" t="s">
        <v>215</v>
      </c>
      <c r="C1950" t="s">
        <v>537</v>
      </c>
      <c r="D1950" t="s">
        <v>620</v>
      </c>
      <c r="E1950" s="1">
        <v>45117</v>
      </c>
      <c r="F1950" s="1">
        <v>45121</v>
      </c>
      <c r="G1950" s="1">
        <v>45147</v>
      </c>
      <c r="H1950" s="4">
        <f>IF(Claims_Cleaned[[#This Row],[processed_date]]="","",Claims_Cleaned[[#This Row],[processed_date]]-Claims_Cleaned[[#This Row],[submission_date]])</f>
        <v>26</v>
      </c>
      <c r="I1950" s="4" t="str">
        <f>TEXT(Claims_Cleaned[[#This Row],[claim_date]],"mmm-yyyy")</f>
        <v>Jul-2023</v>
      </c>
      <c r="J1950" t="s">
        <v>11</v>
      </c>
      <c r="K1950">
        <v>55.61</v>
      </c>
      <c r="L1950" t="s">
        <v>683</v>
      </c>
      <c r="M1950">
        <v>26</v>
      </c>
    </row>
    <row r="1951" spans="1:13" x14ac:dyDescent="0.35">
      <c r="A1951" t="s">
        <v>2028</v>
      </c>
      <c r="B1951" t="s">
        <v>477</v>
      </c>
      <c r="C1951" t="s">
        <v>579</v>
      </c>
      <c r="D1951" t="s">
        <v>620</v>
      </c>
      <c r="E1951" s="1">
        <v>45554</v>
      </c>
      <c r="F1951" s="1">
        <v>45558</v>
      </c>
      <c r="G1951" s="1">
        <v>45586</v>
      </c>
      <c r="H1951" s="4">
        <f>IF(Claims_Cleaned[[#This Row],[processed_date]]="","",Claims_Cleaned[[#This Row],[processed_date]]-Claims_Cleaned[[#This Row],[submission_date]])</f>
        <v>28</v>
      </c>
      <c r="I1951" s="4" t="str">
        <f>TEXT(Claims_Cleaned[[#This Row],[claim_date]],"mmm-yyyy")</f>
        <v>Sep-2024</v>
      </c>
      <c r="J1951" t="s">
        <v>20</v>
      </c>
      <c r="K1951">
        <v>55.39</v>
      </c>
      <c r="L1951" t="s">
        <v>687</v>
      </c>
      <c r="M1951">
        <v>28</v>
      </c>
    </row>
    <row r="1952" spans="1:13" x14ac:dyDescent="0.35">
      <c r="A1952" t="s">
        <v>2329</v>
      </c>
      <c r="B1952" t="s">
        <v>303</v>
      </c>
      <c r="C1952" t="s">
        <v>540</v>
      </c>
      <c r="D1952" t="s">
        <v>620</v>
      </c>
      <c r="E1952" s="1">
        <v>45522</v>
      </c>
      <c r="F1952" s="1">
        <v>45523</v>
      </c>
      <c r="G1952" s="1"/>
      <c r="H1952" s="4" t="str">
        <f>IF(Claims_Cleaned[[#This Row],[processed_date]]="","",Claims_Cleaned[[#This Row],[processed_date]]-Claims_Cleaned[[#This Row],[submission_date]])</f>
        <v/>
      </c>
      <c r="I1952" s="4" t="str">
        <f>TEXT(Claims_Cleaned[[#This Row],[claim_date]],"mmm-yyyy")</f>
        <v>Aug-2024</v>
      </c>
      <c r="J1952" t="s">
        <v>8</v>
      </c>
      <c r="K1952">
        <v>55.05</v>
      </c>
      <c r="L1952" t="s">
        <v>689</v>
      </c>
    </row>
    <row r="1953" spans="1:13" x14ac:dyDescent="0.35">
      <c r="A1953" t="s">
        <v>917</v>
      </c>
      <c r="B1953" t="s">
        <v>355</v>
      </c>
      <c r="C1953" t="s">
        <v>569</v>
      </c>
      <c r="D1953" t="s">
        <v>620</v>
      </c>
      <c r="E1953" s="1">
        <v>45139</v>
      </c>
      <c r="F1953" s="1">
        <v>45141</v>
      </c>
      <c r="G1953" s="1">
        <v>45164</v>
      </c>
      <c r="H1953" s="4">
        <f>IF(Claims_Cleaned[[#This Row],[processed_date]]="","",Claims_Cleaned[[#This Row],[processed_date]]-Claims_Cleaned[[#This Row],[submission_date]])</f>
        <v>23</v>
      </c>
      <c r="I1953" s="4" t="str">
        <f>TEXT(Claims_Cleaned[[#This Row],[claim_date]],"mmm-yyyy")</f>
        <v>Aug-2023</v>
      </c>
      <c r="J1953" t="s">
        <v>11</v>
      </c>
      <c r="K1953">
        <v>54.75</v>
      </c>
      <c r="L1953" t="s">
        <v>687</v>
      </c>
      <c r="M1953">
        <v>23</v>
      </c>
    </row>
    <row r="1954" spans="1:13" x14ac:dyDescent="0.35">
      <c r="A1954" t="s">
        <v>2379</v>
      </c>
      <c r="B1954" t="s">
        <v>74</v>
      </c>
      <c r="C1954" t="s">
        <v>599</v>
      </c>
      <c r="D1954" t="s">
        <v>620</v>
      </c>
      <c r="E1954" s="1">
        <v>45296</v>
      </c>
      <c r="F1954" s="1">
        <v>45299</v>
      </c>
      <c r="G1954" s="1"/>
      <c r="H1954" s="4" t="str">
        <f>IF(Claims_Cleaned[[#This Row],[processed_date]]="","",Claims_Cleaned[[#This Row],[processed_date]]-Claims_Cleaned[[#This Row],[submission_date]])</f>
        <v/>
      </c>
      <c r="I1954" s="4" t="str">
        <f>TEXT(Claims_Cleaned[[#This Row],[claim_date]],"mmm-yyyy")</f>
        <v>Jan-2024</v>
      </c>
      <c r="J1954" t="s">
        <v>8</v>
      </c>
      <c r="K1954">
        <v>54.69</v>
      </c>
      <c r="L1954" t="s">
        <v>689</v>
      </c>
    </row>
    <row r="1955" spans="1:13" x14ac:dyDescent="0.35">
      <c r="A1955" t="s">
        <v>886</v>
      </c>
      <c r="B1955" t="s">
        <v>475</v>
      </c>
      <c r="C1955" t="s">
        <v>537</v>
      </c>
      <c r="D1955" t="s">
        <v>620</v>
      </c>
      <c r="E1955" s="1">
        <v>45443</v>
      </c>
      <c r="F1955" s="1">
        <v>45446</v>
      </c>
      <c r="G1955" s="1">
        <v>45473</v>
      </c>
      <c r="H1955" s="4">
        <f>IF(Claims_Cleaned[[#This Row],[processed_date]]="","",Claims_Cleaned[[#This Row],[processed_date]]-Claims_Cleaned[[#This Row],[submission_date]])</f>
        <v>27</v>
      </c>
      <c r="I1955" s="4" t="str">
        <f>TEXT(Claims_Cleaned[[#This Row],[claim_date]],"mmm-yyyy")</f>
        <v>May-2024</v>
      </c>
      <c r="J1955" t="s">
        <v>20</v>
      </c>
      <c r="K1955">
        <v>54.51</v>
      </c>
      <c r="L1955" t="s">
        <v>683</v>
      </c>
      <c r="M1955">
        <v>27</v>
      </c>
    </row>
    <row r="1956" spans="1:13" x14ac:dyDescent="0.35">
      <c r="A1956" t="s">
        <v>1346</v>
      </c>
      <c r="B1956" t="s">
        <v>417</v>
      </c>
      <c r="C1956" t="s">
        <v>563</v>
      </c>
      <c r="D1956" t="s">
        <v>620</v>
      </c>
      <c r="E1956" s="1">
        <v>45098</v>
      </c>
      <c r="F1956" s="1">
        <v>45101</v>
      </c>
      <c r="G1956" s="1">
        <v>45128</v>
      </c>
      <c r="H1956" s="4">
        <f>IF(Claims_Cleaned[[#This Row],[processed_date]]="","",Claims_Cleaned[[#This Row],[processed_date]]-Claims_Cleaned[[#This Row],[submission_date]])</f>
        <v>27</v>
      </c>
      <c r="I1956" s="4" t="str">
        <f>TEXT(Claims_Cleaned[[#This Row],[claim_date]],"mmm-yyyy")</f>
        <v>Jun-2023</v>
      </c>
      <c r="J1956" t="s">
        <v>25</v>
      </c>
      <c r="K1956">
        <v>54.51</v>
      </c>
      <c r="L1956" t="s">
        <v>683</v>
      </c>
      <c r="M1956">
        <v>27</v>
      </c>
    </row>
    <row r="1957" spans="1:13" x14ac:dyDescent="0.35">
      <c r="A1957" t="s">
        <v>2067</v>
      </c>
      <c r="B1957" t="s">
        <v>247</v>
      </c>
      <c r="C1957" t="s">
        <v>557</v>
      </c>
      <c r="D1957" t="s">
        <v>620</v>
      </c>
      <c r="E1957" s="1">
        <v>45541</v>
      </c>
      <c r="F1957" s="1">
        <v>45546</v>
      </c>
      <c r="G1957" s="1">
        <v>45563</v>
      </c>
      <c r="H1957" s="4">
        <f>IF(Claims_Cleaned[[#This Row],[processed_date]]="","",Claims_Cleaned[[#This Row],[processed_date]]-Claims_Cleaned[[#This Row],[submission_date]])</f>
        <v>17</v>
      </c>
      <c r="I1957" s="4" t="str">
        <f>TEXT(Claims_Cleaned[[#This Row],[claim_date]],"mmm-yyyy")</f>
        <v>Sep-2024</v>
      </c>
      <c r="J1957" t="s">
        <v>8</v>
      </c>
      <c r="K1957">
        <v>54.27</v>
      </c>
      <c r="L1957" t="s">
        <v>683</v>
      </c>
      <c r="M1957">
        <v>17</v>
      </c>
    </row>
    <row r="1958" spans="1:13" x14ac:dyDescent="0.35">
      <c r="A1958" t="s">
        <v>1700</v>
      </c>
      <c r="B1958" t="s">
        <v>255</v>
      </c>
      <c r="C1958" t="s">
        <v>587</v>
      </c>
      <c r="D1958" t="s">
        <v>620</v>
      </c>
      <c r="E1958" s="1">
        <v>44949</v>
      </c>
      <c r="F1958" s="1">
        <v>44954</v>
      </c>
      <c r="G1958" s="1">
        <v>44973</v>
      </c>
      <c r="H1958" s="4">
        <f>IF(Claims_Cleaned[[#This Row],[processed_date]]="","",Claims_Cleaned[[#This Row],[processed_date]]-Claims_Cleaned[[#This Row],[submission_date]])</f>
        <v>19</v>
      </c>
      <c r="I1958" s="4" t="str">
        <f>TEXT(Claims_Cleaned[[#This Row],[claim_date]],"mmm-yyyy")</f>
        <v>Jan-2023</v>
      </c>
      <c r="J1958" t="s">
        <v>20</v>
      </c>
      <c r="K1958">
        <v>54.19</v>
      </c>
      <c r="L1958" t="s">
        <v>683</v>
      </c>
      <c r="M1958">
        <v>19</v>
      </c>
    </row>
    <row r="1959" spans="1:13" x14ac:dyDescent="0.35">
      <c r="A1959" t="s">
        <v>1059</v>
      </c>
      <c r="B1959" t="s">
        <v>89</v>
      </c>
      <c r="C1959" t="s">
        <v>540</v>
      </c>
      <c r="D1959" t="s">
        <v>620</v>
      </c>
      <c r="E1959" s="1">
        <v>45368</v>
      </c>
      <c r="F1959" s="1">
        <v>45372</v>
      </c>
      <c r="G1959" s="1">
        <v>45394</v>
      </c>
      <c r="H1959" s="4">
        <f>IF(Claims_Cleaned[[#This Row],[processed_date]]="","",Claims_Cleaned[[#This Row],[processed_date]]-Claims_Cleaned[[#This Row],[submission_date]])</f>
        <v>22</v>
      </c>
      <c r="I1959" s="4" t="str">
        <f>TEXT(Claims_Cleaned[[#This Row],[claim_date]],"mmm-yyyy")</f>
        <v>Mar-2024</v>
      </c>
      <c r="J1959" t="s">
        <v>11</v>
      </c>
      <c r="K1959">
        <v>54.13</v>
      </c>
      <c r="L1959" t="s">
        <v>683</v>
      </c>
      <c r="M1959">
        <v>22</v>
      </c>
    </row>
    <row r="1960" spans="1:13" x14ac:dyDescent="0.35">
      <c r="A1960" t="s">
        <v>2603</v>
      </c>
      <c r="B1960" t="s">
        <v>48</v>
      </c>
      <c r="C1960" t="s">
        <v>557</v>
      </c>
      <c r="D1960" t="s">
        <v>620</v>
      </c>
      <c r="E1960" s="1">
        <v>45171</v>
      </c>
      <c r="F1960" s="1">
        <v>45176</v>
      </c>
      <c r="G1960" s="1">
        <v>45194</v>
      </c>
      <c r="H1960" s="4">
        <f>IF(Claims_Cleaned[[#This Row],[processed_date]]="","",Claims_Cleaned[[#This Row],[processed_date]]-Claims_Cleaned[[#This Row],[submission_date]])</f>
        <v>18</v>
      </c>
      <c r="I1960" s="4" t="str">
        <f>TEXT(Claims_Cleaned[[#This Row],[claim_date]],"mmm-yyyy")</f>
        <v>Sep-2023</v>
      </c>
      <c r="J1960" t="s">
        <v>20</v>
      </c>
      <c r="K1960">
        <v>54.11</v>
      </c>
      <c r="L1960" t="s">
        <v>683</v>
      </c>
      <c r="M1960">
        <v>18</v>
      </c>
    </row>
    <row r="1961" spans="1:13" x14ac:dyDescent="0.35">
      <c r="A1961" t="s">
        <v>1250</v>
      </c>
      <c r="B1961" t="s">
        <v>176</v>
      </c>
      <c r="C1961" t="s">
        <v>573</v>
      </c>
      <c r="D1961" t="s">
        <v>620</v>
      </c>
      <c r="E1961" s="1">
        <v>45053</v>
      </c>
      <c r="F1961" s="1">
        <v>45055</v>
      </c>
      <c r="G1961" s="1">
        <v>45059</v>
      </c>
      <c r="H1961" s="4">
        <f>IF(Claims_Cleaned[[#This Row],[processed_date]]="","",Claims_Cleaned[[#This Row],[processed_date]]-Claims_Cleaned[[#This Row],[submission_date]])</f>
        <v>4</v>
      </c>
      <c r="I1961" s="4" t="str">
        <f>TEXT(Claims_Cleaned[[#This Row],[claim_date]],"mmm-yyyy")</f>
        <v>May-2023</v>
      </c>
      <c r="J1961" t="s">
        <v>20</v>
      </c>
      <c r="K1961">
        <v>54.07</v>
      </c>
      <c r="L1961" t="s">
        <v>683</v>
      </c>
      <c r="M1961">
        <v>4</v>
      </c>
    </row>
    <row r="1962" spans="1:13" x14ac:dyDescent="0.35">
      <c r="A1962" t="s">
        <v>2466</v>
      </c>
      <c r="B1962" t="s">
        <v>81</v>
      </c>
      <c r="C1962" t="s">
        <v>565</v>
      </c>
      <c r="D1962" t="s">
        <v>620</v>
      </c>
      <c r="E1962" s="1">
        <v>45588</v>
      </c>
      <c r="F1962" s="1">
        <v>45592</v>
      </c>
      <c r="G1962" s="1">
        <v>45607</v>
      </c>
      <c r="H1962" s="4">
        <f>IF(Claims_Cleaned[[#This Row],[processed_date]]="","",Claims_Cleaned[[#This Row],[processed_date]]-Claims_Cleaned[[#This Row],[submission_date]])</f>
        <v>15</v>
      </c>
      <c r="I1962" s="4" t="str">
        <f>TEXT(Claims_Cleaned[[#This Row],[claim_date]],"mmm-yyyy")</f>
        <v>Oct-2024</v>
      </c>
      <c r="J1962" t="s">
        <v>20</v>
      </c>
      <c r="K1962">
        <v>54.01</v>
      </c>
      <c r="L1962" t="s">
        <v>683</v>
      </c>
      <c r="M1962">
        <v>15</v>
      </c>
    </row>
    <row r="1963" spans="1:13" x14ac:dyDescent="0.35">
      <c r="A1963" t="s">
        <v>931</v>
      </c>
      <c r="B1963" t="s">
        <v>64</v>
      </c>
      <c r="C1963" t="s">
        <v>549</v>
      </c>
      <c r="D1963" t="s">
        <v>620</v>
      </c>
      <c r="E1963" s="1">
        <v>45480</v>
      </c>
      <c r="F1963" s="1">
        <v>45483</v>
      </c>
      <c r="G1963" s="1">
        <v>45497</v>
      </c>
      <c r="H1963" s="4">
        <f>IF(Claims_Cleaned[[#This Row],[processed_date]]="","",Claims_Cleaned[[#This Row],[processed_date]]-Claims_Cleaned[[#This Row],[submission_date]])</f>
        <v>14</v>
      </c>
      <c r="I1963" s="4" t="str">
        <f>TEXT(Claims_Cleaned[[#This Row],[claim_date]],"mmm-yyyy")</f>
        <v>Jul-2024</v>
      </c>
      <c r="J1963" t="s">
        <v>8</v>
      </c>
      <c r="K1963">
        <v>53.39</v>
      </c>
      <c r="L1963" t="s">
        <v>683</v>
      </c>
      <c r="M1963">
        <v>14</v>
      </c>
    </row>
    <row r="1964" spans="1:13" x14ac:dyDescent="0.35">
      <c r="A1964" t="s">
        <v>1487</v>
      </c>
      <c r="B1964" t="s">
        <v>320</v>
      </c>
      <c r="C1964" t="s">
        <v>611</v>
      </c>
      <c r="D1964" t="s">
        <v>620</v>
      </c>
      <c r="E1964" s="1">
        <v>45455</v>
      </c>
      <c r="F1964" s="1">
        <v>45460</v>
      </c>
      <c r="G1964" s="1">
        <v>45469</v>
      </c>
      <c r="H1964" s="4">
        <f>IF(Claims_Cleaned[[#This Row],[processed_date]]="","",Claims_Cleaned[[#This Row],[processed_date]]-Claims_Cleaned[[#This Row],[submission_date]])</f>
        <v>9</v>
      </c>
      <c r="I1964" s="4" t="str">
        <f>TEXT(Claims_Cleaned[[#This Row],[claim_date]],"mmm-yyyy")</f>
        <v>Jun-2024</v>
      </c>
      <c r="J1964" t="s">
        <v>11</v>
      </c>
      <c r="K1964">
        <v>53.28</v>
      </c>
      <c r="L1964" t="s">
        <v>683</v>
      </c>
      <c r="M1964">
        <v>9</v>
      </c>
    </row>
    <row r="1965" spans="1:13" x14ac:dyDescent="0.35">
      <c r="A1965" t="s">
        <v>1819</v>
      </c>
      <c r="B1965" t="s">
        <v>386</v>
      </c>
      <c r="C1965" t="s">
        <v>591</v>
      </c>
      <c r="D1965" t="s">
        <v>620</v>
      </c>
      <c r="E1965" s="1">
        <v>45086</v>
      </c>
      <c r="F1965" s="1">
        <v>45091</v>
      </c>
      <c r="G1965" s="1">
        <v>45094</v>
      </c>
      <c r="H1965" s="4">
        <f>IF(Claims_Cleaned[[#This Row],[processed_date]]="","",Claims_Cleaned[[#This Row],[processed_date]]-Claims_Cleaned[[#This Row],[submission_date]])</f>
        <v>3</v>
      </c>
      <c r="I1965" s="4" t="str">
        <f>TEXT(Claims_Cleaned[[#This Row],[claim_date]],"mmm-yyyy")</f>
        <v>Jun-2023</v>
      </c>
      <c r="J1965" t="s">
        <v>13</v>
      </c>
      <c r="K1965">
        <v>53.19</v>
      </c>
      <c r="L1965" t="s">
        <v>683</v>
      </c>
      <c r="M1965">
        <v>3</v>
      </c>
    </row>
    <row r="1966" spans="1:13" x14ac:dyDescent="0.35">
      <c r="A1966" t="s">
        <v>2592</v>
      </c>
      <c r="B1966" t="s">
        <v>307</v>
      </c>
      <c r="C1966" t="s">
        <v>583</v>
      </c>
      <c r="D1966" t="s">
        <v>620</v>
      </c>
      <c r="E1966" s="1">
        <v>45256</v>
      </c>
      <c r="F1966" s="1">
        <v>45260</v>
      </c>
      <c r="G1966" s="1">
        <v>45276</v>
      </c>
      <c r="H1966" s="4">
        <f>IF(Claims_Cleaned[[#This Row],[processed_date]]="","",Claims_Cleaned[[#This Row],[processed_date]]-Claims_Cleaned[[#This Row],[submission_date]])</f>
        <v>16</v>
      </c>
      <c r="I1966" s="4" t="str">
        <f>TEXT(Claims_Cleaned[[#This Row],[claim_date]],"mmm-yyyy")</f>
        <v>Nov-2023</v>
      </c>
      <c r="J1966" t="s">
        <v>8</v>
      </c>
      <c r="K1966">
        <v>53.19</v>
      </c>
      <c r="L1966" t="s">
        <v>683</v>
      </c>
      <c r="M1966">
        <v>16</v>
      </c>
    </row>
    <row r="1967" spans="1:13" x14ac:dyDescent="0.35">
      <c r="A1967" t="s">
        <v>2277</v>
      </c>
      <c r="B1967" t="s">
        <v>180</v>
      </c>
      <c r="C1967" t="s">
        <v>585</v>
      </c>
      <c r="D1967" t="s">
        <v>620</v>
      </c>
      <c r="E1967" s="1">
        <v>45141</v>
      </c>
      <c r="F1967" s="1">
        <v>45145</v>
      </c>
      <c r="G1967" s="1">
        <v>45175</v>
      </c>
      <c r="H1967" s="4">
        <f>IF(Claims_Cleaned[[#This Row],[processed_date]]="","",Claims_Cleaned[[#This Row],[processed_date]]-Claims_Cleaned[[#This Row],[submission_date]])</f>
        <v>30</v>
      </c>
      <c r="I1967" s="4" t="str">
        <f>TEXT(Claims_Cleaned[[#This Row],[claim_date]],"mmm-yyyy")</f>
        <v>Aug-2023</v>
      </c>
      <c r="J1967" t="s">
        <v>11</v>
      </c>
      <c r="K1967">
        <v>52.26</v>
      </c>
      <c r="L1967" t="s">
        <v>683</v>
      </c>
      <c r="M1967">
        <v>30</v>
      </c>
    </row>
    <row r="1968" spans="1:13" x14ac:dyDescent="0.35">
      <c r="A1968" t="s">
        <v>2024</v>
      </c>
      <c r="B1968" t="s">
        <v>447</v>
      </c>
      <c r="C1968" t="s">
        <v>571</v>
      </c>
      <c r="D1968" t="s">
        <v>620</v>
      </c>
      <c r="E1968" s="1">
        <v>45040</v>
      </c>
      <c r="F1968" s="1">
        <v>45043</v>
      </c>
      <c r="G1968" s="1">
        <v>45047</v>
      </c>
      <c r="H1968" s="4">
        <f>IF(Claims_Cleaned[[#This Row],[processed_date]]="","",Claims_Cleaned[[#This Row],[processed_date]]-Claims_Cleaned[[#This Row],[submission_date]])</f>
        <v>4</v>
      </c>
      <c r="I1968" s="4" t="str">
        <f>TEXT(Claims_Cleaned[[#This Row],[claim_date]],"mmm-yyyy")</f>
        <v>Apr-2023</v>
      </c>
      <c r="J1968" t="s">
        <v>11</v>
      </c>
      <c r="K1968">
        <v>52.23</v>
      </c>
      <c r="L1968" t="s">
        <v>683</v>
      </c>
      <c r="M1968">
        <v>4</v>
      </c>
    </row>
    <row r="1969" spans="1:13" x14ac:dyDescent="0.35">
      <c r="A1969" t="s">
        <v>2197</v>
      </c>
      <c r="B1969" t="s">
        <v>319</v>
      </c>
      <c r="C1969" t="s">
        <v>585</v>
      </c>
      <c r="D1969" t="s">
        <v>620</v>
      </c>
      <c r="E1969" s="1">
        <v>45378</v>
      </c>
      <c r="F1969" s="1">
        <v>45380</v>
      </c>
      <c r="G1969" s="1">
        <v>45399</v>
      </c>
      <c r="H1969" s="4">
        <f>IF(Claims_Cleaned[[#This Row],[processed_date]]="","",Claims_Cleaned[[#This Row],[processed_date]]-Claims_Cleaned[[#This Row],[submission_date]])</f>
        <v>19</v>
      </c>
      <c r="I1969" s="4" t="str">
        <f>TEXT(Claims_Cleaned[[#This Row],[claim_date]],"mmm-yyyy")</f>
        <v>Mar-2024</v>
      </c>
      <c r="J1969" t="s">
        <v>8</v>
      </c>
      <c r="K1969">
        <v>52.07</v>
      </c>
      <c r="L1969" t="s">
        <v>683</v>
      </c>
      <c r="M1969">
        <v>19</v>
      </c>
    </row>
    <row r="1970" spans="1:13" x14ac:dyDescent="0.35">
      <c r="A1970" t="s">
        <v>1233</v>
      </c>
      <c r="B1970" t="s">
        <v>381</v>
      </c>
      <c r="C1970" t="s">
        <v>599</v>
      </c>
      <c r="D1970" t="s">
        <v>620</v>
      </c>
      <c r="E1970" s="1">
        <v>45544</v>
      </c>
      <c r="F1970" s="1">
        <v>45548</v>
      </c>
      <c r="G1970" s="1">
        <v>45551</v>
      </c>
      <c r="H1970" s="4">
        <f>IF(Claims_Cleaned[[#This Row],[processed_date]]="","",Claims_Cleaned[[#This Row],[processed_date]]-Claims_Cleaned[[#This Row],[submission_date]])</f>
        <v>3</v>
      </c>
      <c r="I1970" s="4" t="str">
        <f>TEXT(Claims_Cleaned[[#This Row],[claim_date]],"mmm-yyyy")</f>
        <v>Sep-2024</v>
      </c>
      <c r="J1970" t="s">
        <v>11</v>
      </c>
      <c r="K1970">
        <v>51.85</v>
      </c>
      <c r="L1970" t="s">
        <v>687</v>
      </c>
      <c r="M1970">
        <v>3</v>
      </c>
    </row>
    <row r="1971" spans="1:13" x14ac:dyDescent="0.35">
      <c r="A1971" t="s">
        <v>1628</v>
      </c>
      <c r="B1971" t="s">
        <v>376</v>
      </c>
      <c r="C1971" t="s">
        <v>605</v>
      </c>
      <c r="D1971" t="s">
        <v>620</v>
      </c>
      <c r="E1971" s="1">
        <v>45109</v>
      </c>
      <c r="F1971" s="1">
        <v>45113</v>
      </c>
      <c r="G1971" s="1">
        <v>45128</v>
      </c>
      <c r="H1971" s="4">
        <f>IF(Claims_Cleaned[[#This Row],[processed_date]]="","",Claims_Cleaned[[#This Row],[processed_date]]-Claims_Cleaned[[#This Row],[submission_date]])</f>
        <v>15</v>
      </c>
      <c r="I1971" s="4" t="str">
        <f>TEXT(Claims_Cleaned[[#This Row],[claim_date]],"mmm-yyyy")</f>
        <v>Jul-2023</v>
      </c>
      <c r="J1971" t="s">
        <v>8</v>
      </c>
      <c r="K1971">
        <v>51.74</v>
      </c>
      <c r="L1971" t="s">
        <v>683</v>
      </c>
      <c r="M1971">
        <v>15</v>
      </c>
    </row>
    <row r="1972" spans="1:13" x14ac:dyDescent="0.35">
      <c r="A1972" t="s">
        <v>1665</v>
      </c>
      <c r="B1972" t="s">
        <v>56</v>
      </c>
      <c r="C1972" t="s">
        <v>589</v>
      </c>
      <c r="D1972" t="s">
        <v>620</v>
      </c>
      <c r="E1972" s="1">
        <v>45022</v>
      </c>
      <c r="F1972" s="1">
        <v>45025</v>
      </c>
      <c r="G1972" s="1">
        <v>45040</v>
      </c>
      <c r="H1972" s="4">
        <f>IF(Claims_Cleaned[[#This Row],[processed_date]]="","",Claims_Cleaned[[#This Row],[processed_date]]-Claims_Cleaned[[#This Row],[submission_date]])</f>
        <v>15</v>
      </c>
      <c r="I1972" s="4" t="str">
        <f>TEXT(Claims_Cleaned[[#This Row],[claim_date]],"mmm-yyyy")</f>
        <v>Apr-2023</v>
      </c>
      <c r="J1972" t="s">
        <v>11</v>
      </c>
      <c r="K1972">
        <v>51.61</v>
      </c>
      <c r="L1972" t="s">
        <v>683</v>
      </c>
      <c r="M1972">
        <v>15</v>
      </c>
    </row>
    <row r="1973" spans="1:13" x14ac:dyDescent="0.35">
      <c r="A1973" t="s">
        <v>995</v>
      </c>
      <c r="B1973" t="s">
        <v>158</v>
      </c>
      <c r="C1973" t="s">
        <v>537</v>
      </c>
      <c r="D1973" t="s">
        <v>620</v>
      </c>
      <c r="E1973" s="1">
        <v>45057</v>
      </c>
      <c r="F1973" s="1">
        <v>45062</v>
      </c>
      <c r="G1973" s="1">
        <v>45084</v>
      </c>
      <c r="H1973" s="4">
        <f>IF(Claims_Cleaned[[#This Row],[processed_date]]="","",Claims_Cleaned[[#This Row],[processed_date]]-Claims_Cleaned[[#This Row],[submission_date]])</f>
        <v>22</v>
      </c>
      <c r="I1973" s="4" t="str">
        <f>TEXT(Claims_Cleaned[[#This Row],[claim_date]],"mmm-yyyy")</f>
        <v>May-2023</v>
      </c>
      <c r="J1973" t="s">
        <v>11</v>
      </c>
      <c r="K1973">
        <v>51.21</v>
      </c>
      <c r="L1973" t="s">
        <v>683</v>
      </c>
      <c r="M1973">
        <v>22</v>
      </c>
    </row>
    <row r="1974" spans="1:13" x14ac:dyDescent="0.35">
      <c r="A1974" t="s">
        <v>1501</v>
      </c>
      <c r="B1974" t="s">
        <v>383</v>
      </c>
      <c r="C1974" t="s">
        <v>611</v>
      </c>
      <c r="D1974" t="s">
        <v>620</v>
      </c>
      <c r="E1974" s="1">
        <v>45641</v>
      </c>
      <c r="F1974" s="1">
        <v>45642</v>
      </c>
      <c r="G1974" s="1">
        <v>45655</v>
      </c>
      <c r="H1974" s="4">
        <f>IF(Claims_Cleaned[[#This Row],[processed_date]]="","",Claims_Cleaned[[#This Row],[processed_date]]-Claims_Cleaned[[#This Row],[submission_date]])</f>
        <v>13</v>
      </c>
      <c r="I1974" s="4" t="str">
        <f>TEXT(Claims_Cleaned[[#This Row],[claim_date]],"mmm-yyyy")</f>
        <v>Dec-2024</v>
      </c>
      <c r="J1974" t="s">
        <v>8</v>
      </c>
      <c r="K1974">
        <v>51.19</v>
      </c>
      <c r="L1974" t="s">
        <v>683</v>
      </c>
      <c r="M1974">
        <v>13</v>
      </c>
    </row>
    <row r="1975" spans="1:13" x14ac:dyDescent="0.35">
      <c r="A1975" t="s">
        <v>758</v>
      </c>
      <c r="B1975" t="s">
        <v>21</v>
      </c>
      <c r="C1975" t="s">
        <v>579</v>
      </c>
      <c r="D1975" t="s">
        <v>620</v>
      </c>
      <c r="E1975" s="1">
        <v>45586</v>
      </c>
      <c r="F1975" s="1">
        <v>45588</v>
      </c>
      <c r="G1975" s="1"/>
      <c r="H1975" s="4" t="str">
        <f>IF(Claims_Cleaned[[#This Row],[processed_date]]="","",Claims_Cleaned[[#This Row],[processed_date]]-Claims_Cleaned[[#This Row],[submission_date]])</f>
        <v/>
      </c>
      <c r="I1975" s="4" t="str">
        <f>TEXT(Claims_Cleaned[[#This Row],[claim_date]],"mmm-yyyy")</f>
        <v>Oct-2024</v>
      </c>
      <c r="J1975" t="s">
        <v>11</v>
      </c>
      <c r="K1975">
        <v>49.96</v>
      </c>
      <c r="L1975" t="s">
        <v>689</v>
      </c>
    </row>
    <row r="1976" spans="1:13" x14ac:dyDescent="0.35">
      <c r="A1976" t="s">
        <v>1827</v>
      </c>
      <c r="B1976" t="s">
        <v>398</v>
      </c>
      <c r="C1976" t="s">
        <v>593</v>
      </c>
      <c r="D1976" t="s">
        <v>620</v>
      </c>
      <c r="E1976" s="1">
        <v>44985</v>
      </c>
      <c r="F1976" s="1">
        <v>44986</v>
      </c>
      <c r="G1976" s="1">
        <v>45015</v>
      </c>
      <c r="H1976" s="4">
        <f>IF(Claims_Cleaned[[#This Row],[processed_date]]="","",Claims_Cleaned[[#This Row],[processed_date]]-Claims_Cleaned[[#This Row],[submission_date]])</f>
        <v>29</v>
      </c>
      <c r="I1976" s="4" t="str">
        <f>TEXT(Claims_Cleaned[[#This Row],[claim_date]],"mmm-yyyy")</f>
        <v>Feb-2023</v>
      </c>
      <c r="J1976" t="s">
        <v>25</v>
      </c>
      <c r="K1976">
        <v>49.93</v>
      </c>
      <c r="L1976" t="s">
        <v>687</v>
      </c>
      <c r="M1976">
        <v>29</v>
      </c>
    </row>
    <row r="1977" spans="1:13" x14ac:dyDescent="0.35">
      <c r="A1977" t="s">
        <v>2163</v>
      </c>
      <c r="B1977" t="s">
        <v>312</v>
      </c>
      <c r="C1977" t="s">
        <v>561</v>
      </c>
      <c r="D1977" t="s">
        <v>620</v>
      </c>
      <c r="E1977" s="1">
        <v>45349</v>
      </c>
      <c r="F1977" s="1">
        <v>45353</v>
      </c>
      <c r="G1977" s="1">
        <v>45356</v>
      </c>
      <c r="H1977" s="4">
        <f>IF(Claims_Cleaned[[#This Row],[processed_date]]="","",Claims_Cleaned[[#This Row],[processed_date]]-Claims_Cleaned[[#This Row],[submission_date]])</f>
        <v>3</v>
      </c>
      <c r="I1977" s="4" t="str">
        <f>TEXT(Claims_Cleaned[[#This Row],[claim_date]],"mmm-yyyy")</f>
        <v>Feb-2024</v>
      </c>
      <c r="J1977" t="s">
        <v>11</v>
      </c>
      <c r="K1977">
        <v>49.62</v>
      </c>
      <c r="L1977" t="s">
        <v>687</v>
      </c>
      <c r="M1977">
        <v>3</v>
      </c>
    </row>
    <row r="1978" spans="1:13" x14ac:dyDescent="0.35">
      <c r="A1978" t="s">
        <v>791</v>
      </c>
      <c r="B1978" t="s">
        <v>182</v>
      </c>
      <c r="C1978" t="s">
        <v>527</v>
      </c>
      <c r="D1978" t="s">
        <v>620</v>
      </c>
      <c r="E1978" s="1">
        <v>45528</v>
      </c>
      <c r="F1978" s="1">
        <v>45529</v>
      </c>
      <c r="G1978" s="1">
        <v>45548</v>
      </c>
      <c r="H1978" s="4">
        <f>IF(Claims_Cleaned[[#This Row],[processed_date]]="","",Claims_Cleaned[[#This Row],[processed_date]]-Claims_Cleaned[[#This Row],[submission_date]])</f>
        <v>19</v>
      </c>
      <c r="I1978" s="4" t="str">
        <f>TEXT(Claims_Cleaned[[#This Row],[claim_date]],"mmm-yyyy")</f>
        <v>Aug-2024</v>
      </c>
      <c r="J1978" t="s">
        <v>11</v>
      </c>
      <c r="K1978">
        <v>49.3</v>
      </c>
      <c r="L1978" t="s">
        <v>683</v>
      </c>
      <c r="M1978">
        <v>19</v>
      </c>
    </row>
    <row r="1979" spans="1:13" x14ac:dyDescent="0.35">
      <c r="A1979" t="s">
        <v>1588</v>
      </c>
      <c r="B1979" t="s">
        <v>319</v>
      </c>
      <c r="C1979" t="s">
        <v>583</v>
      </c>
      <c r="D1979" t="s">
        <v>620</v>
      </c>
      <c r="E1979" s="1">
        <v>45049</v>
      </c>
      <c r="F1979" s="1">
        <v>45054</v>
      </c>
      <c r="G1979" s="1">
        <v>45077</v>
      </c>
      <c r="H1979" s="4">
        <f>IF(Claims_Cleaned[[#This Row],[processed_date]]="","",Claims_Cleaned[[#This Row],[processed_date]]-Claims_Cleaned[[#This Row],[submission_date]])</f>
        <v>23</v>
      </c>
      <c r="I1979" s="4" t="str">
        <f>TEXT(Claims_Cleaned[[#This Row],[claim_date]],"mmm-yyyy")</f>
        <v>May-2023</v>
      </c>
      <c r="J1979" t="s">
        <v>8</v>
      </c>
      <c r="K1979">
        <v>49.24</v>
      </c>
      <c r="L1979" t="s">
        <v>683</v>
      </c>
      <c r="M1979">
        <v>23</v>
      </c>
    </row>
    <row r="1980" spans="1:13" x14ac:dyDescent="0.35">
      <c r="A1980" t="s">
        <v>1118</v>
      </c>
      <c r="B1980" t="s">
        <v>411</v>
      </c>
      <c r="C1980" t="s">
        <v>540</v>
      </c>
      <c r="D1980" t="s">
        <v>620</v>
      </c>
      <c r="E1980" s="1">
        <v>45602</v>
      </c>
      <c r="F1980" s="1">
        <v>45605</v>
      </c>
      <c r="G1980" s="1">
        <v>45626</v>
      </c>
      <c r="H1980" s="4">
        <f>IF(Claims_Cleaned[[#This Row],[processed_date]]="","",Claims_Cleaned[[#This Row],[processed_date]]-Claims_Cleaned[[#This Row],[submission_date]])</f>
        <v>21</v>
      </c>
      <c r="I1980" s="4" t="str">
        <f>TEXT(Claims_Cleaned[[#This Row],[claim_date]],"mmm-yyyy")</f>
        <v>Nov-2024</v>
      </c>
      <c r="J1980" t="s">
        <v>8</v>
      </c>
      <c r="K1980">
        <v>48.5</v>
      </c>
      <c r="L1980" t="s">
        <v>683</v>
      </c>
      <c r="M1980">
        <v>21</v>
      </c>
    </row>
    <row r="1981" spans="1:13" x14ac:dyDescent="0.35">
      <c r="A1981" t="s">
        <v>732</v>
      </c>
      <c r="B1981" t="s">
        <v>236</v>
      </c>
      <c r="C1981" t="s">
        <v>555</v>
      </c>
      <c r="D1981" t="s">
        <v>620</v>
      </c>
      <c r="E1981" s="1">
        <v>45332</v>
      </c>
      <c r="F1981" s="1">
        <v>45333</v>
      </c>
      <c r="G1981" s="1">
        <v>45341</v>
      </c>
      <c r="H1981" s="4">
        <f>IF(Claims_Cleaned[[#This Row],[processed_date]]="","",Claims_Cleaned[[#This Row],[processed_date]]-Claims_Cleaned[[#This Row],[submission_date]])</f>
        <v>8</v>
      </c>
      <c r="I1981" s="4" t="str">
        <f>TEXT(Claims_Cleaned[[#This Row],[claim_date]],"mmm-yyyy")</f>
        <v>Feb-2024</v>
      </c>
      <c r="J1981" t="s">
        <v>11</v>
      </c>
      <c r="K1981">
        <v>48.33</v>
      </c>
      <c r="L1981" t="s">
        <v>683</v>
      </c>
      <c r="M1981">
        <v>8</v>
      </c>
    </row>
    <row r="1982" spans="1:13" x14ac:dyDescent="0.35">
      <c r="A1982" t="s">
        <v>1981</v>
      </c>
      <c r="B1982" t="s">
        <v>383</v>
      </c>
      <c r="C1982" t="s">
        <v>571</v>
      </c>
      <c r="D1982" t="s">
        <v>620</v>
      </c>
      <c r="E1982" s="1">
        <v>45181</v>
      </c>
      <c r="F1982" s="1">
        <v>45183</v>
      </c>
      <c r="G1982" s="1">
        <v>45206</v>
      </c>
      <c r="H1982" s="4">
        <f>IF(Claims_Cleaned[[#This Row],[processed_date]]="","",Claims_Cleaned[[#This Row],[processed_date]]-Claims_Cleaned[[#This Row],[submission_date]])</f>
        <v>23</v>
      </c>
      <c r="I1982" s="4" t="str">
        <f>TEXT(Claims_Cleaned[[#This Row],[claim_date]],"mmm-yyyy")</f>
        <v>Sep-2023</v>
      </c>
      <c r="J1982" t="s">
        <v>8</v>
      </c>
      <c r="K1982">
        <v>48.25</v>
      </c>
      <c r="L1982" t="s">
        <v>683</v>
      </c>
      <c r="M1982">
        <v>23</v>
      </c>
    </row>
    <row r="1983" spans="1:13" x14ac:dyDescent="0.35">
      <c r="A1983" t="s">
        <v>2153</v>
      </c>
      <c r="B1983" t="s">
        <v>122</v>
      </c>
      <c r="C1983" t="s">
        <v>553</v>
      </c>
      <c r="D1983" t="s">
        <v>620</v>
      </c>
      <c r="E1983" s="1">
        <v>45028</v>
      </c>
      <c r="F1983" s="1">
        <v>45030</v>
      </c>
      <c r="G1983" s="1">
        <v>45052</v>
      </c>
      <c r="H1983" s="4">
        <f>IF(Claims_Cleaned[[#This Row],[processed_date]]="","",Claims_Cleaned[[#This Row],[processed_date]]-Claims_Cleaned[[#This Row],[submission_date]])</f>
        <v>22</v>
      </c>
      <c r="I1983" s="4" t="str">
        <f>TEXT(Claims_Cleaned[[#This Row],[claim_date]],"mmm-yyyy")</f>
        <v>Apr-2023</v>
      </c>
      <c r="J1983" t="s">
        <v>13</v>
      </c>
      <c r="K1983">
        <v>48.08</v>
      </c>
      <c r="L1983" t="s">
        <v>683</v>
      </c>
      <c r="M1983">
        <v>22</v>
      </c>
    </row>
    <row r="1984" spans="1:13" x14ac:dyDescent="0.35">
      <c r="A1984" t="s">
        <v>2638</v>
      </c>
      <c r="B1984" t="s">
        <v>271</v>
      </c>
      <c r="C1984" t="s">
        <v>575</v>
      </c>
      <c r="D1984" t="s">
        <v>620</v>
      </c>
      <c r="E1984" s="1">
        <v>45351</v>
      </c>
      <c r="F1984" s="1">
        <v>45356</v>
      </c>
      <c r="G1984" s="1">
        <v>45362</v>
      </c>
      <c r="H1984" s="4">
        <f>IF(Claims_Cleaned[[#This Row],[processed_date]]="","",Claims_Cleaned[[#This Row],[processed_date]]-Claims_Cleaned[[#This Row],[submission_date]])</f>
        <v>6</v>
      </c>
      <c r="I1984" s="4" t="str">
        <f>TEXT(Claims_Cleaned[[#This Row],[claim_date]],"mmm-yyyy")</f>
        <v>Feb-2024</v>
      </c>
      <c r="J1984" t="s">
        <v>8</v>
      </c>
      <c r="K1984">
        <v>48.01</v>
      </c>
      <c r="L1984" t="s">
        <v>683</v>
      </c>
      <c r="M1984">
        <v>6</v>
      </c>
    </row>
    <row r="1985" spans="1:13" x14ac:dyDescent="0.35">
      <c r="A1985" t="s">
        <v>2467</v>
      </c>
      <c r="B1985" t="s">
        <v>371</v>
      </c>
      <c r="C1985" t="s">
        <v>595</v>
      </c>
      <c r="D1985" t="s">
        <v>620</v>
      </c>
      <c r="E1985" s="1">
        <v>45438</v>
      </c>
      <c r="F1985" s="1">
        <v>45441</v>
      </c>
      <c r="G1985" s="1">
        <v>45444</v>
      </c>
      <c r="H1985" s="4">
        <f>IF(Claims_Cleaned[[#This Row],[processed_date]]="","",Claims_Cleaned[[#This Row],[processed_date]]-Claims_Cleaned[[#This Row],[submission_date]])</f>
        <v>3</v>
      </c>
      <c r="I1985" s="4" t="str">
        <f>TEXT(Claims_Cleaned[[#This Row],[claim_date]],"mmm-yyyy")</f>
        <v>May-2024</v>
      </c>
      <c r="J1985" t="s">
        <v>25</v>
      </c>
      <c r="K1985">
        <v>47.89</v>
      </c>
      <c r="L1985" t="s">
        <v>687</v>
      </c>
      <c r="M1985">
        <v>3</v>
      </c>
    </row>
    <row r="1986" spans="1:13" x14ac:dyDescent="0.35">
      <c r="A1986" t="s">
        <v>1446</v>
      </c>
      <c r="B1986" t="s">
        <v>172</v>
      </c>
      <c r="C1986" t="s">
        <v>563</v>
      </c>
      <c r="D1986" t="s">
        <v>620</v>
      </c>
      <c r="E1986" s="1">
        <v>45425</v>
      </c>
      <c r="F1986" s="1">
        <v>45429</v>
      </c>
      <c r="G1986" s="1">
        <v>45450</v>
      </c>
      <c r="H1986" s="4">
        <f>IF(Claims_Cleaned[[#This Row],[processed_date]]="","",Claims_Cleaned[[#This Row],[processed_date]]-Claims_Cleaned[[#This Row],[submission_date]])</f>
        <v>21</v>
      </c>
      <c r="I1986" s="4" t="str">
        <f>TEXT(Claims_Cleaned[[#This Row],[claim_date]],"mmm-yyyy")</f>
        <v>May-2024</v>
      </c>
      <c r="J1986" t="s">
        <v>13</v>
      </c>
      <c r="K1986">
        <v>47.69</v>
      </c>
      <c r="L1986" t="s">
        <v>683</v>
      </c>
      <c r="M1986">
        <v>21</v>
      </c>
    </row>
    <row r="1987" spans="1:13" x14ac:dyDescent="0.35">
      <c r="A1987" t="s">
        <v>1791</v>
      </c>
      <c r="B1987" t="s">
        <v>253</v>
      </c>
      <c r="C1987" t="s">
        <v>579</v>
      </c>
      <c r="D1987" t="s">
        <v>620</v>
      </c>
      <c r="E1987" s="1">
        <v>45530</v>
      </c>
      <c r="F1987" s="1">
        <v>45532</v>
      </c>
      <c r="G1987" s="1">
        <v>45549</v>
      </c>
      <c r="H1987" s="4">
        <f>IF(Claims_Cleaned[[#This Row],[processed_date]]="","",Claims_Cleaned[[#This Row],[processed_date]]-Claims_Cleaned[[#This Row],[submission_date]])</f>
        <v>17</v>
      </c>
      <c r="I1987" s="4" t="str">
        <f>TEXT(Claims_Cleaned[[#This Row],[claim_date]],"mmm-yyyy")</f>
        <v>Aug-2024</v>
      </c>
      <c r="J1987" t="s">
        <v>8</v>
      </c>
      <c r="K1987">
        <v>47.29</v>
      </c>
      <c r="L1987" t="s">
        <v>683</v>
      </c>
      <c r="M1987">
        <v>17</v>
      </c>
    </row>
    <row r="1988" spans="1:13" x14ac:dyDescent="0.35">
      <c r="A1988" t="s">
        <v>771</v>
      </c>
      <c r="B1988" t="s">
        <v>411</v>
      </c>
      <c r="C1988" t="s">
        <v>577</v>
      </c>
      <c r="D1988" t="s">
        <v>620</v>
      </c>
      <c r="E1988" s="1">
        <v>45499</v>
      </c>
      <c r="F1988" s="1">
        <v>45504</v>
      </c>
      <c r="G1988" s="1">
        <v>45527</v>
      </c>
      <c r="H1988" s="4">
        <f>IF(Claims_Cleaned[[#This Row],[processed_date]]="","",Claims_Cleaned[[#This Row],[processed_date]]-Claims_Cleaned[[#This Row],[submission_date]])</f>
        <v>23</v>
      </c>
      <c r="I1988" s="4" t="str">
        <f>TEXT(Claims_Cleaned[[#This Row],[claim_date]],"mmm-yyyy")</f>
        <v>Jul-2024</v>
      </c>
      <c r="J1988" t="s">
        <v>8</v>
      </c>
      <c r="K1988">
        <v>47.26</v>
      </c>
      <c r="L1988" t="s">
        <v>683</v>
      </c>
      <c r="M1988">
        <v>23</v>
      </c>
    </row>
    <row r="1989" spans="1:13" x14ac:dyDescent="0.35">
      <c r="A1989" t="s">
        <v>1521</v>
      </c>
      <c r="B1989" t="s">
        <v>376</v>
      </c>
      <c r="C1989" t="s">
        <v>537</v>
      </c>
      <c r="D1989" t="s">
        <v>620</v>
      </c>
      <c r="E1989" s="1">
        <v>44939</v>
      </c>
      <c r="F1989" s="1">
        <v>44942</v>
      </c>
      <c r="G1989" s="1"/>
      <c r="H1989" s="4" t="str">
        <f>IF(Claims_Cleaned[[#This Row],[processed_date]]="","",Claims_Cleaned[[#This Row],[processed_date]]-Claims_Cleaned[[#This Row],[submission_date]])</f>
        <v/>
      </c>
      <c r="I1989" s="4" t="str">
        <f>TEXT(Claims_Cleaned[[#This Row],[claim_date]],"mmm-yyyy")</f>
        <v>Jan-2023</v>
      </c>
      <c r="J1989" t="s">
        <v>8</v>
      </c>
      <c r="K1989">
        <v>47.23</v>
      </c>
      <c r="L1989" t="s">
        <v>689</v>
      </c>
    </row>
    <row r="1990" spans="1:13" x14ac:dyDescent="0.35">
      <c r="A1990" t="s">
        <v>1597</v>
      </c>
      <c r="B1990" t="s">
        <v>376</v>
      </c>
      <c r="C1990" t="s">
        <v>549</v>
      </c>
      <c r="D1990" t="s">
        <v>620</v>
      </c>
      <c r="E1990" s="1">
        <v>45284</v>
      </c>
      <c r="F1990" s="1">
        <v>45289</v>
      </c>
      <c r="G1990" s="1">
        <v>45313</v>
      </c>
      <c r="H1990" s="4">
        <f>IF(Claims_Cleaned[[#This Row],[processed_date]]="","",Claims_Cleaned[[#This Row],[processed_date]]-Claims_Cleaned[[#This Row],[submission_date]])</f>
        <v>24</v>
      </c>
      <c r="I1990" s="4" t="str">
        <f>TEXT(Claims_Cleaned[[#This Row],[claim_date]],"mmm-yyyy")</f>
        <v>Dec-2023</v>
      </c>
      <c r="J1990" t="s">
        <v>8</v>
      </c>
      <c r="K1990">
        <v>47.22</v>
      </c>
      <c r="L1990" t="s">
        <v>683</v>
      </c>
      <c r="M1990">
        <v>24</v>
      </c>
    </row>
    <row r="1991" spans="1:13" x14ac:dyDescent="0.35">
      <c r="A1991" t="s">
        <v>1197</v>
      </c>
      <c r="B1991" t="s">
        <v>335</v>
      </c>
      <c r="C1991" t="s">
        <v>591</v>
      </c>
      <c r="D1991" t="s">
        <v>620</v>
      </c>
      <c r="E1991" s="1">
        <v>45287</v>
      </c>
      <c r="F1991" s="1">
        <v>45291</v>
      </c>
      <c r="G1991" s="1"/>
      <c r="H1991" s="4" t="str">
        <f>IF(Claims_Cleaned[[#This Row],[processed_date]]="","",Claims_Cleaned[[#This Row],[processed_date]]-Claims_Cleaned[[#This Row],[submission_date]])</f>
        <v/>
      </c>
      <c r="I1991" s="4" t="str">
        <f>TEXT(Claims_Cleaned[[#This Row],[claim_date]],"mmm-yyyy")</f>
        <v>Dec-2023</v>
      </c>
      <c r="J1991" t="s">
        <v>8</v>
      </c>
      <c r="K1991">
        <v>46.68</v>
      </c>
      <c r="L1991" t="s">
        <v>689</v>
      </c>
    </row>
    <row r="1992" spans="1:13" x14ac:dyDescent="0.35">
      <c r="A1992" t="s">
        <v>2118</v>
      </c>
      <c r="B1992" t="s">
        <v>154</v>
      </c>
      <c r="C1992" t="s">
        <v>534</v>
      </c>
      <c r="D1992" t="s">
        <v>620</v>
      </c>
      <c r="E1992" s="1">
        <v>45628</v>
      </c>
      <c r="F1992" s="1">
        <v>45631</v>
      </c>
      <c r="G1992" s="1">
        <v>45654</v>
      </c>
      <c r="H1992" s="4">
        <f>IF(Claims_Cleaned[[#This Row],[processed_date]]="","",Claims_Cleaned[[#This Row],[processed_date]]-Claims_Cleaned[[#This Row],[submission_date]])</f>
        <v>23</v>
      </c>
      <c r="I1992" s="4" t="str">
        <f>TEXT(Claims_Cleaned[[#This Row],[claim_date]],"mmm-yyyy")</f>
        <v>Dec-2024</v>
      </c>
      <c r="J1992" t="s">
        <v>13</v>
      </c>
      <c r="K1992">
        <v>46.59</v>
      </c>
      <c r="L1992" t="s">
        <v>687</v>
      </c>
      <c r="M1992">
        <v>23</v>
      </c>
    </row>
    <row r="1993" spans="1:13" x14ac:dyDescent="0.35">
      <c r="A1993" t="s">
        <v>1210</v>
      </c>
      <c r="B1993" t="s">
        <v>224</v>
      </c>
      <c r="C1993" t="s">
        <v>573</v>
      </c>
      <c r="D1993" t="s">
        <v>620</v>
      </c>
      <c r="E1993" s="1">
        <v>45306</v>
      </c>
      <c r="F1993" s="1">
        <v>45307</v>
      </c>
      <c r="G1993" s="1">
        <v>45329</v>
      </c>
      <c r="H1993" s="4">
        <f>IF(Claims_Cleaned[[#This Row],[processed_date]]="","",Claims_Cleaned[[#This Row],[processed_date]]-Claims_Cleaned[[#This Row],[submission_date]])</f>
        <v>22</v>
      </c>
      <c r="I1993" s="4" t="str">
        <f>TEXT(Claims_Cleaned[[#This Row],[claim_date]],"mmm-yyyy")</f>
        <v>Jan-2024</v>
      </c>
      <c r="J1993" t="s">
        <v>11</v>
      </c>
      <c r="K1993">
        <v>46.38</v>
      </c>
      <c r="L1993" t="s">
        <v>683</v>
      </c>
      <c r="M1993">
        <v>22</v>
      </c>
    </row>
    <row r="1994" spans="1:13" x14ac:dyDescent="0.35">
      <c r="A1994" t="s">
        <v>2046</v>
      </c>
      <c r="B1994" t="s">
        <v>162</v>
      </c>
      <c r="C1994" t="s">
        <v>593</v>
      </c>
      <c r="D1994" t="s">
        <v>620</v>
      </c>
      <c r="E1994" s="1">
        <v>45329</v>
      </c>
      <c r="F1994" s="1">
        <v>45331</v>
      </c>
      <c r="G1994" s="1">
        <v>45352</v>
      </c>
      <c r="H1994" s="4">
        <f>IF(Claims_Cleaned[[#This Row],[processed_date]]="","",Claims_Cleaned[[#This Row],[processed_date]]-Claims_Cleaned[[#This Row],[submission_date]])</f>
        <v>21</v>
      </c>
      <c r="I1994" s="4" t="str">
        <f>TEXT(Claims_Cleaned[[#This Row],[claim_date]],"mmm-yyyy")</f>
        <v>Feb-2024</v>
      </c>
      <c r="J1994" t="s">
        <v>11</v>
      </c>
      <c r="K1994">
        <v>46.22</v>
      </c>
      <c r="L1994" t="s">
        <v>687</v>
      </c>
      <c r="M1994">
        <v>21</v>
      </c>
    </row>
    <row r="1995" spans="1:13" x14ac:dyDescent="0.35">
      <c r="A1995" t="s">
        <v>1886</v>
      </c>
      <c r="B1995" t="s">
        <v>332</v>
      </c>
      <c r="C1995" t="s">
        <v>549</v>
      </c>
      <c r="D1995" t="s">
        <v>620</v>
      </c>
      <c r="E1995" s="1">
        <v>45612</v>
      </c>
      <c r="F1995" s="1">
        <v>45614</v>
      </c>
      <c r="G1995" s="1"/>
      <c r="H1995" s="4" t="str">
        <f>IF(Claims_Cleaned[[#This Row],[processed_date]]="","",Claims_Cleaned[[#This Row],[processed_date]]-Claims_Cleaned[[#This Row],[submission_date]])</f>
        <v/>
      </c>
      <c r="I1995" s="4" t="str">
        <f>TEXT(Claims_Cleaned[[#This Row],[claim_date]],"mmm-yyyy")</f>
        <v>Nov-2024</v>
      </c>
      <c r="J1995" t="s">
        <v>20</v>
      </c>
      <c r="K1995">
        <v>45.84</v>
      </c>
      <c r="L1995" t="s">
        <v>689</v>
      </c>
    </row>
    <row r="1996" spans="1:13" x14ac:dyDescent="0.35">
      <c r="A1996" t="s">
        <v>1480</v>
      </c>
      <c r="B1996" t="s">
        <v>254</v>
      </c>
      <c r="C1996" t="s">
        <v>577</v>
      </c>
      <c r="D1996" t="s">
        <v>620</v>
      </c>
      <c r="E1996" s="1">
        <v>45402</v>
      </c>
      <c r="F1996" s="1">
        <v>45403</v>
      </c>
      <c r="G1996" s="1"/>
      <c r="H1996" s="4" t="str">
        <f>IF(Claims_Cleaned[[#This Row],[processed_date]]="","",Claims_Cleaned[[#This Row],[processed_date]]-Claims_Cleaned[[#This Row],[submission_date]])</f>
        <v/>
      </c>
      <c r="I1996" s="4" t="str">
        <f>TEXT(Claims_Cleaned[[#This Row],[claim_date]],"mmm-yyyy")</f>
        <v>Apr-2024</v>
      </c>
      <c r="J1996" t="s">
        <v>13</v>
      </c>
      <c r="K1996">
        <v>45.69</v>
      </c>
      <c r="L1996" t="s">
        <v>689</v>
      </c>
    </row>
    <row r="1997" spans="1:13" x14ac:dyDescent="0.35">
      <c r="A1997" t="s">
        <v>744</v>
      </c>
      <c r="B1997" t="s">
        <v>308</v>
      </c>
      <c r="C1997" t="s">
        <v>543</v>
      </c>
      <c r="D1997" t="s">
        <v>620</v>
      </c>
      <c r="E1997" s="1">
        <v>45109</v>
      </c>
      <c r="F1997" s="1">
        <v>45113</v>
      </c>
      <c r="G1997" s="1">
        <v>45136</v>
      </c>
      <c r="H1997" s="4">
        <f>IF(Claims_Cleaned[[#This Row],[processed_date]]="","",Claims_Cleaned[[#This Row],[processed_date]]-Claims_Cleaned[[#This Row],[submission_date]])</f>
        <v>23</v>
      </c>
      <c r="I1997" s="4" t="str">
        <f>TEXT(Claims_Cleaned[[#This Row],[claim_date]],"mmm-yyyy")</f>
        <v>Jul-2023</v>
      </c>
      <c r="J1997" t="s">
        <v>25</v>
      </c>
      <c r="K1997">
        <v>45.41</v>
      </c>
      <c r="L1997" t="s">
        <v>683</v>
      </c>
      <c r="M1997">
        <v>23</v>
      </c>
    </row>
    <row r="1998" spans="1:13" x14ac:dyDescent="0.35">
      <c r="A1998" t="s">
        <v>983</v>
      </c>
      <c r="B1998" t="s">
        <v>276</v>
      </c>
      <c r="C1998" t="s">
        <v>583</v>
      </c>
      <c r="D1998" t="s">
        <v>620</v>
      </c>
      <c r="E1998" s="1">
        <v>45035</v>
      </c>
      <c r="F1998" s="1">
        <v>45039</v>
      </c>
      <c r="G1998" s="1">
        <v>45063</v>
      </c>
      <c r="H1998" s="4">
        <f>IF(Claims_Cleaned[[#This Row],[processed_date]]="","",Claims_Cleaned[[#This Row],[processed_date]]-Claims_Cleaned[[#This Row],[submission_date]])</f>
        <v>24</v>
      </c>
      <c r="I1998" s="4" t="str">
        <f>TEXT(Claims_Cleaned[[#This Row],[claim_date]],"mmm-yyyy")</f>
        <v>Apr-2023</v>
      </c>
      <c r="J1998" t="s">
        <v>20</v>
      </c>
      <c r="K1998">
        <v>45.39</v>
      </c>
      <c r="L1998" t="s">
        <v>683</v>
      </c>
      <c r="M1998">
        <v>24</v>
      </c>
    </row>
    <row r="1999" spans="1:13" x14ac:dyDescent="0.35">
      <c r="A1999" t="s">
        <v>1894</v>
      </c>
      <c r="B1999" t="s">
        <v>249</v>
      </c>
      <c r="C1999" t="s">
        <v>563</v>
      </c>
      <c r="D1999" t="s">
        <v>620</v>
      </c>
      <c r="E1999" s="1">
        <v>45599</v>
      </c>
      <c r="F1999" s="1">
        <v>45603</v>
      </c>
      <c r="G1999" s="1">
        <v>45615</v>
      </c>
      <c r="H1999" s="4">
        <f>IF(Claims_Cleaned[[#This Row],[processed_date]]="","",Claims_Cleaned[[#This Row],[processed_date]]-Claims_Cleaned[[#This Row],[submission_date]])</f>
        <v>12</v>
      </c>
      <c r="I1999" s="4" t="str">
        <f>TEXT(Claims_Cleaned[[#This Row],[claim_date]],"mmm-yyyy")</f>
        <v>Nov-2024</v>
      </c>
      <c r="J1999" t="s">
        <v>8</v>
      </c>
      <c r="K1999">
        <v>45.2</v>
      </c>
      <c r="L1999" t="s">
        <v>683</v>
      </c>
      <c r="M1999">
        <v>12</v>
      </c>
    </row>
    <row r="2000" spans="1:13" x14ac:dyDescent="0.35">
      <c r="A2000" t="s">
        <v>1951</v>
      </c>
      <c r="B2000" t="s">
        <v>257</v>
      </c>
      <c r="C2000" t="s">
        <v>579</v>
      </c>
      <c r="D2000" t="s">
        <v>620</v>
      </c>
      <c r="E2000" s="1">
        <v>45280</v>
      </c>
      <c r="F2000" s="1">
        <v>45285</v>
      </c>
      <c r="G2000" s="1">
        <v>45308</v>
      </c>
      <c r="H2000" s="4">
        <f>IF(Claims_Cleaned[[#This Row],[processed_date]]="","",Claims_Cleaned[[#This Row],[processed_date]]-Claims_Cleaned[[#This Row],[submission_date]])</f>
        <v>23</v>
      </c>
      <c r="I2000" s="4" t="str">
        <f>TEXT(Claims_Cleaned[[#This Row],[claim_date]],"mmm-yyyy")</f>
        <v>Dec-2023</v>
      </c>
      <c r="J2000" t="s">
        <v>8</v>
      </c>
      <c r="K2000">
        <v>45.05</v>
      </c>
      <c r="L2000" t="s">
        <v>683</v>
      </c>
      <c r="M2000">
        <v>23</v>
      </c>
    </row>
    <row r="2001" spans="1:13" x14ac:dyDescent="0.35">
      <c r="A2001" t="s">
        <v>1266</v>
      </c>
      <c r="B2001" t="s">
        <v>422</v>
      </c>
      <c r="C2001" t="s">
        <v>565</v>
      </c>
      <c r="D2001" t="s">
        <v>620</v>
      </c>
      <c r="E2001" s="1">
        <v>45029</v>
      </c>
      <c r="F2001" s="1">
        <v>45031</v>
      </c>
      <c r="G2001" s="1">
        <v>45041</v>
      </c>
      <c r="H2001" s="4">
        <f>IF(Claims_Cleaned[[#This Row],[processed_date]]="","",Claims_Cleaned[[#This Row],[processed_date]]-Claims_Cleaned[[#This Row],[submission_date]])</f>
        <v>10</v>
      </c>
      <c r="I2001" s="4" t="str">
        <f>TEXT(Claims_Cleaned[[#This Row],[claim_date]],"mmm-yyyy")</f>
        <v>Apr-2023</v>
      </c>
      <c r="J2001" t="s">
        <v>11</v>
      </c>
      <c r="K2001">
        <v>45.01</v>
      </c>
      <c r="L2001" t="s">
        <v>683</v>
      </c>
      <c r="M2001">
        <v>10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E792-1C60-47C8-B5A5-9105C5510BAE}">
  <dimension ref="A1:E501"/>
  <sheetViews>
    <sheetView zoomScale="115" zoomScaleNormal="115" workbookViewId="0">
      <selection activeCell="G13" sqref="G13"/>
    </sheetView>
  </sheetViews>
  <sheetFormatPr defaultRowHeight="14.5" x14ac:dyDescent="0.35"/>
  <cols>
    <col min="1" max="1" width="11.54296875" bestFit="1" customWidth="1"/>
    <col min="2" max="2" width="6" bestFit="1" customWidth="1"/>
    <col min="3" max="3" width="8.81640625" bestFit="1" customWidth="1"/>
    <col min="4" max="4" width="8.26953125" bestFit="1" customWidth="1"/>
    <col min="5" max="5" width="16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184</v>
      </c>
      <c r="B2">
        <v>85</v>
      </c>
      <c r="C2" t="s">
        <v>6</v>
      </c>
      <c r="D2" t="s">
        <v>24</v>
      </c>
      <c r="E2" t="s">
        <v>20</v>
      </c>
    </row>
    <row r="3" spans="1:5" x14ac:dyDescent="0.35">
      <c r="A3" t="s">
        <v>194</v>
      </c>
      <c r="B3">
        <v>85</v>
      </c>
      <c r="C3" t="s">
        <v>6</v>
      </c>
      <c r="D3" t="s">
        <v>28</v>
      </c>
      <c r="E3" t="s">
        <v>25</v>
      </c>
    </row>
    <row r="4" spans="1:5" x14ac:dyDescent="0.35">
      <c r="A4" t="s">
        <v>232</v>
      </c>
      <c r="B4">
        <v>85</v>
      </c>
      <c r="C4" t="s">
        <v>6</v>
      </c>
      <c r="D4" t="s">
        <v>24</v>
      </c>
      <c r="E4" t="s">
        <v>8</v>
      </c>
    </row>
    <row r="5" spans="1:5" x14ac:dyDescent="0.35">
      <c r="A5" t="s">
        <v>310</v>
      </c>
      <c r="B5">
        <v>85</v>
      </c>
      <c r="C5" t="s">
        <v>6</v>
      </c>
      <c r="D5" t="s">
        <v>17</v>
      </c>
      <c r="E5" t="s">
        <v>11</v>
      </c>
    </row>
    <row r="6" spans="1:5" x14ac:dyDescent="0.35">
      <c r="A6" t="s">
        <v>312</v>
      </c>
      <c r="B6">
        <v>85</v>
      </c>
      <c r="C6" t="s">
        <v>10</v>
      </c>
      <c r="D6" t="s">
        <v>15</v>
      </c>
      <c r="E6" t="s">
        <v>11</v>
      </c>
    </row>
    <row r="7" spans="1:5" x14ac:dyDescent="0.35">
      <c r="A7" t="s">
        <v>12</v>
      </c>
      <c r="B7">
        <v>84</v>
      </c>
      <c r="C7" t="s">
        <v>10</v>
      </c>
      <c r="D7" t="s">
        <v>7</v>
      </c>
      <c r="E7" t="s">
        <v>13</v>
      </c>
    </row>
    <row r="8" spans="1:5" x14ac:dyDescent="0.35">
      <c r="A8" t="s">
        <v>236</v>
      </c>
      <c r="B8">
        <v>84</v>
      </c>
      <c r="C8" t="s">
        <v>10</v>
      </c>
      <c r="D8" t="s">
        <v>28</v>
      </c>
      <c r="E8" t="s">
        <v>11</v>
      </c>
    </row>
    <row r="9" spans="1:5" x14ac:dyDescent="0.35">
      <c r="A9" t="s">
        <v>239</v>
      </c>
      <c r="B9">
        <v>84</v>
      </c>
      <c r="C9" t="s">
        <v>6</v>
      </c>
      <c r="D9" t="s">
        <v>24</v>
      </c>
      <c r="E9" t="s">
        <v>20</v>
      </c>
    </row>
    <row r="10" spans="1:5" x14ac:dyDescent="0.35">
      <c r="A10" t="s">
        <v>260</v>
      </c>
      <c r="B10">
        <v>84</v>
      </c>
      <c r="C10" t="s">
        <v>6</v>
      </c>
      <c r="D10" t="s">
        <v>28</v>
      </c>
      <c r="E10" t="s">
        <v>25</v>
      </c>
    </row>
    <row r="11" spans="1:5" x14ac:dyDescent="0.35">
      <c r="A11" t="s">
        <v>350</v>
      </c>
      <c r="B11">
        <v>84</v>
      </c>
      <c r="C11" t="s">
        <v>6</v>
      </c>
      <c r="D11" t="s">
        <v>15</v>
      </c>
      <c r="E11" t="s">
        <v>20</v>
      </c>
    </row>
    <row r="12" spans="1:5" x14ac:dyDescent="0.35">
      <c r="A12" t="s">
        <v>435</v>
      </c>
      <c r="B12">
        <v>84</v>
      </c>
      <c r="C12" t="s">
        <v>10</v>
      </c>
      <c r="D12" t="s">
        <v>7</v>
      </c>
      <c r="E12" t="s">
        <v>20</v>
      </c>
    </row>
    <row r="13" spans="1:5" x14ac:dyDescent="0.35">
      <c r="A13" t="s">
        <v>34</v>
      </c>
      <c r="B13">
        <v>83</v>
      </c>
      <c r="C13" t="s">
        <v>10</v>
      </c>
      <c r="D13" t="s">
        <v>28</v>
      </c>
      <c r="E13" t="s">
        <v>11</v>
      </c>
    </row>
    <row r="14" spans="1:5" x14ac:dyDescent="0.35">
      <c r="A14" t="s">
        <v>89</v>
      </c>
      <c r="B14">
        <v>83</v>
      </c>
      <c r="C14" t="s">
        <v>6</v>
      </c>
      <c r="D14" t="s">
        <v>15</v>
      </c>
      <c r="E14" t="s">
        <v>11</v>
      </c>
    </row>
    <row r="15" spans="1:5" x14ac:dyDescent="0.35">
      <c r="A15" t="s">
        <v>157</v>
      </c>
      <c r="B15">
        <v>83</v>
      </c>
      <c r="C15" t="s">
        <v>10</v>
      </c>
      <c r="D15" t="s">
        <v>28</v>
      </c>
      <c r="E15" t="s">
        <v>11</v>
      </c>
    </row>
    <row r="16" spans="1:5" x14ac:dyDescent="0.35">
      <c r="A16" t="s">
        <v>296</v>
      </c>
      <c r="B16">
        <v>83</v>
      </c>
      <c r="C16" t="s">
        <v>10</v>
      </c>
      <c r="D16" t="s">
        <v>7</v>
      </c>
      <c r="E16" t="s">
        <v>11</v>
      </c>
    </row>
    <row r="17" spans="1:5" x14ac:dyDescent="0.35">
      <c r="A17" t="s">
        <v>428</v>
      </c>
      <c r="B17">
        <v>83</v>
      </c>
      <c r="C17" t="s">
        <v>10</v>
      </c>
      <c r="D17" t="s">
        <v>24</v>
      </c>
      <c r="E17" t="s">
        <v>20</v>
      </c>
    </row>
    <row r="18" spans="1:5" x14ac:dyDescent="0.35">
      <c r="A18" t="s">
        <v>496</v>
      </c>
      <c r="B18">
        <v>83</v>
      </c>
      <c r="C18" t="s">
        <v>10</v>
      </c>
      <c r="D18" t="s">
        <v>24</v>
      </c>
      <c r="E18" t="s">
        <v>13</v>
      </c>
    </row>
    <row r="19" spans="1:5" x14ac:dyDescent="0.35">
      <c r="A19" t="s">
        <v>66</v>
      </c>
      <c r="B19">
        <v>82</v>
      </c>
      <c r="C19" t="s">
        <v>6</v>
      </c>
      <c r="D19" t="s">
        <v>28</v>
      </c>
      <c r="E19" t="s">
        <v>11</v>
      </c>
    </row>
    <row r="20" spans="1:5" x14ac:dyDescent="0.35">
      <c r="A20" t="s">
        <v>178</v>
      </c>
      <c r="B20">
        <v>82</v>
      </c>
      <c r="C20" t="s">
        <v>10</v>
      </c>
      <c r="D20" t="s">
        <v>28</v>
      </c>
      <c r="E20" t="s">
        <v>8</v>
      </c>
    </row>
    <row r="21" spans="1:5" x14ac:dyDescent="0.35">
      <c r="A21" t="s">
        <v>190</v>
      </c>
      <c r="B21">
        <v>82</v>
      </c>
      <c r="C21" t="s">
        <v>6</v>
      </c>
      <c r="D21" t="s">
        <v>24</v>
      </c>
      <c r="E21" t="s">
        <v>13</v>
      </c>
    </row>
    <row r="22" spans="1:5" x14ac:dyDescent="0.35">
      <c r="A22" t="s">
        <v>319</v>
      </c>
      <c r="B22">
        <v>82</v>
      </c>
      <c r="C22" t="s">
        <v>10</v>
      </c>
      <c r="D22" t="s">
        <v>7</v>
      </c>
      <c r="E22" t="s">
        <v>8</v>
      </c>
    </row>
    <row r="23" spans="1:5" x14ac:dyDescent="0.35">
      <c r="A23" t="s">
        <v>63</v>
      </c>
      <c r="B23">
        <v>81</v>
      </c>
      <c r="C23" t="s">
        <v>6</v>
      </c>
      <c r="D23" t="s">
        <v>15</v>
      </c>
      <c r="E23" t="s">
        <v>25</v>
      </c>
    </row>
    <row r="24" spans="1:5" x14ac:dyDescent="0.35">
      <c r="A24" t="s">
        <v>302</v>
      </c>
      <c r="B24">
        <v>81</v>
      </c>
      <c r="C24" t="s">
        <v>6</v>
      </c>
      <c r="D24" t="s">
        <v>17</v>
      </c>
      <c r="E24" t="s">
        <v>8</v>
      </c>
    </row>
    <row r="25" spans="1:5" x14ac:dyDescent="0.35">
      <c r="A25" t="s">
        <v>313</v>
      </c>
      <c r="B25">
        <v>81</v>
      </c>
      <c r="C25" t="s">
        <v>10</v>
      </c>
      <c r="D25" t="s">
        <v>28</v>
      </c>
      <c r="E25" t="s">
        <v>13</v>
      </c>
    </row>
    <row r="26" spans="1:5" x14ac:dyDescent="0.35">
      <c r="A26" t="s">
        <v>323</v>
      </c>
      <c r="B26">
        <v>81</v>
      </c>
      <c r="C26" t="s">
        <v>6</v>
      </c>
      <c r="D26" t="s">
        <v>28</v>
      </c>
      <c r="E26" t="s">
        <v>20</v>
      </c>
    </row>
    <row r="27" spans="1:5" x14ac:dyDescent="0.35">
      <c r="A27" t="s">
        <v>366</v>
      </c>
      <c r="B27">
        <v>81</v>
      </c>
      <c r="C27" t="s">
        <v>10</v>
      </c>
      <c r="D27" t="s">
        <v>28</v>
      </c>
      <c r="E27" t="s">
        <v>8</v>
      </c>
    </row>
    <row r="28" spans="1:5" x14ac:dyDescent="0.35">
      <c r="A28" t="s">
        <v>382</v>
      </c>
      <c r="B28">
        <v>81</v>
      </c>
      <c r="C28" t="s">
        <v>6</v>
      </c>
      <c r="D28" t="s">
        <v>24</v>
      </c>
      <c r="E28" t="s">
        <v>8</v>
      </c>
    </row>
    <row r="29" spans="1:5" x14ac:dyDescent="0.35">
      <c r="A29" t="s">
        <v>400</v>
      </c>
      <c r="B29">
        <v>81</v>
      </c>
      <c r="C29" t="s">
        <v>10</v>
      </c>
      <c r="D29" t="s">
        <v>15</v>
      </c>
      <c r="E29" t="s">
        <v>25</v>
      </c>
    </row>
    <row r="30" spans="1:5" x14ac:dyDescent="0.35">
      <c r="A30" t="s">
        <v>403</v>
      </c>
      <c r="B30">
        <v>81</v>
      </c>
      <c r="C30" t="s">
        <v>6</v>
      </c>
      <c r="D30" t="s">
        <v>7</v>
      </c>
      <c r="E30" t="s">
        <v>8</v>
      </c>
    </row>
    <row r="31" spans="1:5" x14ac:dyDescent="0.35">
      <c r="A31" t="s">
        <v>202</v>
      </c>
      <c r="B31">
        <v>80</v>
      </c>
      <c r="C31" t="s">
        <v>10</v>
      </c>
      <c r="D31" t="s">
        <v>17</v>
      </c>
      <c r="E31" t="s">
        <v>13</v>
      </c>
    </row>
    <row r="32" spans="1:5" x14ac:dyDescent="0.35">
      <c r="A32" t="s">
        <v>211</v>
      </c>
      <c r="B32">
        <v>80</v>
      </c>
      <c r="C32" t="s">
        <v>6</v>
      </c>
      <c r="D32" t="s">
        <v>28</v>
      </c>
      <c r="E32" t="s">
        <v>11</v>
      </c>
    </row>
    <row r="33" spans="1:5" x14ac:dyDescent="0.35">
      <c r="A33" t="s">
        <v>276</v>
      </c>
      <c r="B33">
        <v>80</v>
      </c>
      <c r="C33" t="s">
        <v>6</v>
      </c>
      <c r="D33" t="s">
        <v>17</v>
      </c>
      <c r="E33" t="s">
        <v>20</v>
      </c>
    </row>
    <row r="34" spans="1:5" x14ac:dyDescent="0.35">
      <c r="A34" t="s">
        <v>305</v>
      </c>
      <c r="B34">
        <v>80</v>
      </c>
      <c r="C34" t="s">
        <v>6</v>
      </c>
      <c r="D34" t="s">
        <v>15</v>
      </c>
      <c r="E34" t="s">
        <v>8</v>
      </c>
    </row>
    <row r="35" spans="1:5" x14ac:dyDescent="0.35">
      <c r="A35" t="s">
        <v>397</v>
      </c>
      <c r="B35">
        <v>80</v>
      </c>
      <c r="C35" t="s">
        <v>6</v>
      </c>
      <c r="D35" t="s">
        <v>24</v>
      </c>
      <c r="E35" t="s">
        <v>11</v>
      </c>
    </row>
    <row r="36" spans="1:5" x14ac:dyDescent="0.35">
      <c r="A36" t="s">
        <v>479</v>
      </c>
      <c r="B36">
        <v>80</v>
      </c>
      <c r="C36" t="s">
        <v>10</v>
      </c>
      <c r="D36" t="s">
        <v>17</v>
      </c>
      <c r="E36" t="s">
        <v>20</v>
      </c>
    </row>
    <row r="37" spans="1:5" x14ac:dyDescent="0.35">
      <c r="A37" t="s">
        <v>61</v>
      </c>
      <c r="B37">
        <v>79</v>
      </c>
      <c r="C37" t="s">
        <v>6</v>
      </c>
      <c r="D37" t="s">
        <v>15</v>
      </c>
      <c r="E37" t="s">
        <v>11</v>
      </c>
    </row>
    <row r="38" spans="1:5" x14ac:dyDescent="0.35">
      <c r="A38" t="s">
        <v>87</v>
      </c>
      <c r="B38">
        <v>79</v>
      </c>
      <c r="C38" t="s">
        <v>10</v>
      </c>
      <c r="D38" t="s">
        <v>7</v>
      </c>
      <c r="E38" t="s">
        <v>8</v>
      </c>
    </row>
    <row r="39" spans="1:5" x14ac:dyDescent="0.35">
      <c r="A39" t="s">
        <v>113</v>
      </c>
      <c r="B39">
        <v>79</v>
      </c>
      <c r="C39" t="s">
        <v>10</v>
      </c>
      <c r="D39" t="s">
        <v>15</v>
      </c>
      <c r="E39" t="s">
        <v>13</v>
      </c>
    </row>
    <row r="40" spans="1:5" x14ac:dyDescent="0.35">
      <c r="A40" t="s">
        <v>169</v>
      </c>
      <c r="B40">
        <v>79</v>
      </c>
      <c r="C40" t="s">
        <v>6</v>
      </c>
      <c r="D40" t="s">
        <v>28</v>
      </c>
      <c r="E40" t="s">
        <v>11</v>
      </c>
    </row>
    <row r="41" spans="1:5" x14ac:dyDescent="0.35">
      <c r="A41" t="s">
        <v>170</v>
      </c>
      <c r="B41">
        <v>79</v>
      </c>
      <c r="C41" t="s">
        <v>6</v>
      </c>
      <c r="D41" t="s">
        <v>17</v>
      </c>
      <c r="E41" t="s">
        <v>11</v>
      </c>
    </row>
    <row r="42" spans="1:5" x14ac:dyDescent="0.35">
      <c r="A42" t="s">
        <v>186</v>
      </c>
      <c r="B42">
        <v>79</v>
      </c>
      <c r="C42" t="s">
        <v>10</v>
      </c>
      <c r="D42" t="s">
        <v>15</v>
      </c>
      <c r="E42" t="s">
        <v>20</v>
      </c>
    </row>
    <row r="43" spans="1:5" x14ac:dyDescent="0.35">
      <c r="A43" t="s">
        <v>205</v>
      </c>
      <c r="B43">
        <v>79</v>
      </c>
      <c r="C43" t="s">
        <v>10</v>
      </c>
      <c r="D43" t="s">
        <v>28</v>
      </c>
      <c r="E43" t="s">
        <v>11</v>
      </c>
    </row>
    <row r="44" spans="1:5" x14ac:dyDescent="0.35">
      <c r="A44" t="s">
        <v>227</v>
      </c>
      <c r="B44">
        <v>79</v>
      </c>
      <c r="C44" t="s">
        <v>10</v>
      </c>
      <c r="D44" t="s">
        <v>15</v>
      </c>
      <c r="E44" t="s">
        <v>8</v>
      </c>
    </row>
    <row r="45" spans="1:5" x14ac:dyDescent="0.35">
      <c r="A45" t="s">
        <v>258</v>
      </c>
      <c r="B45">
        <v>79</v>
      </c>
      <c r="C45" t="s">
        <v>10</v>
      </c>
      <c r="D45" t="s">
        <v>17</v>
      </c>
      <c r="E45" t="s">
        <v>8</v>
      </c>
    </row>
    <row r="46" spans="1:5" x14ac:dyDescent="0.35">
      <c r="A46" t="s">
        <v>443</v>
      </c>
      <c r="B46">
        <v>79</v>
      </c>
      <c r="C46" t="s">
        <v>6</v>
      </c>
      <c r="D46" t="s">
        <v>7</v>
      </c>
      <c r="E46" t="s">
        <v>11</v>
      </c>
    </row>
    <row r="47" spans="1:5" x14ac:dyDescent="0.35">
      <c r="A47" t="s">
        <v>444</v>
      </c>
      <c r="B47">
        <v>79</v>
      </c>
      <c r="C47" t="s">
        <v>10</v>
      </c>
      <c r="D47" t="s">
        <v>7</v>
      </c>
      <c r="E47" t="s">
        <v>25</v>
      </c>
    </row>
    <row r="48" spans="1:5" x14ac:dyDescent="0.35">
      <c r="A48" t="s">
        <v>93</v>
      </c>
      <c r="B48">
        <v>78</v>
      </c>
      <c r="C48" t="s">
        <v>10</v>
      </c>
      <c r="D48" t="s">
        <v>15</v>
      </c>
      <c r="E48" t="s">
        <v>20</v>
      </c>
    </row>
    <row r="49" spans="1:5" x14ac:dyDescent="0.35">
      <c r="A49" t="s">
        <v>107</v>
      </c>
      <c r="B49">
        <v>78</v>
      </c>
      <c r="C49" t="s">
        <v>6</v>
      </c>
      <c r="D49" t="s">
        <v>7</v>
      </c>
      <c r="E49" t="s">
        <v>20</v>
      </c>
    </row>
    <row r="50" spans="1:5" x14ac:dyDescent="0.35">
      <c r="A50" t="s">
        <v>198</v>
      </c>
      <c r="B50">
        <v>78</v>
      </c>
      <c r="C50" t="s">
        <v>6</v>
      </c>
      <c r="D50" t="s">
        <v>17</v>
      </c>
      <c r="E50" t="s">
        <v>11</v>
      </c>
    </row>
    <row r="51" spans="1:5" x14ac:dyDescent="0.35">
      <c r="A51" t="s">
        <v>224</v>
      </c>
      <c r="B51">
        <v>78</v>
      </c>
      <c r="C51" t="s">
        <v>10</v>
      </c>
      <c r="D51" t="s">
        <v>15</v>
      </c>
      <c r="E51" t="s">
        <v>11</v>
      </c>
    </row>
    <row r="52" spans="1:5" x14ac:dyDescent="0.35">
      <c r="A52" t="s">
        <v>364</v>
      </c>
      <c r="B52">
        <v>78</v>
      </c>
      <c r="C52" t="s">
        <v>6</v>
      </c>
      <c r="D52" t="s">
        <v>17</v>
      </c>
      <c r="E52" t="s">
        <v>11</v>
      </c>
    </row>
    <row r="53" spans="1:5" x14ac:dyDescent="0.35">
      <c r="A53" t="s">
        <v>434</v>
      </c>
      <c r="B53">
        <v>78</v>
      </c>
      <c r="C53" t="s">
        <v>6</v>
      </c>
      <c r="D53" t="s">
        <v>15</v>
      </c>
      <c r="E53" t="s">
        <v>11</v>
      </c>
    </row>
    <row r="54" spans="1:5" x14ac:dyDescent="0.35">
      <c r="A54" t="s">
        <v>477</v>
      </c>
      <c r="B54">
        <v>78</v>
      </c>
      <c r="C54" t="s">
        <v>6</v>
      </c>
      <c r="D54" t="s">
        <v>24</v>
      </c>
      <c r="E54" t="s">
        <v>20</v>
      </c>
    </row>
    <row r="55" spans="1:5" x14ac:dyDescent="0.35">
      <c r="A55" t="s">
        <v>484</v>
      </c>
      <c r="B55">
        <v>78</v>
      </c>
      <c r="C55" t="s">
        <v>10</v>
      </c>
      <c r="D55" t="s">
        <v>7</v>
      </c>
      <c r="E55" t="s">
        <v>8</v>
      </c>
    </row>
    <row r="56" spans="1:5" x14ac:dyDescent="0.35">
      <c r="A56" t="s">
        <v>142</v>
      </c>
      <c r="B56">
        <v>77</v>
      </c>
      <c r="C56" t="s">
        <v>6</v>
      </c>
      <c r="D56" t="s">
        <v>28</v>
      </c>
      <c r="E56" t="s">
        <v>8</v>
      </c>
    </row>
    <row r="57" spans="1:5" x14ac:dyDescent="0.35">
      <c r="A57" t="s">
        <v>253</v>
      </c>
      <c r="B57">
        <v>77</v>
      </c>
      <c r="C57" t="s">
        <v>6</v>
      </c>
      <c r="D57" t="s">
        <v>24</v>
      </c>
      <c r="E57" t="s">
        <v>8</v>
      </c>
    </row>
    <row r="58" spans="1:5" x14ac:dyDescent="0.35">
      <c r="A58" t="s">
        <v>279</v>
      </c>
      <c r="B58">
        <v>77</v>
      </c>
      <c r="C58" t="s">
        <v>6</v>
      </c>
      <c r="D58" t="s">
        <v>7</v>
      </c>
      <c r="E58" t="s">
        <v>11</v>
      </c>
    </row>
    <row r="59" spans="1:5" x14ac:dyDescent="0.35">
      <c r="A59" t="s">
        <v>301</v>
      </c>
      <c r="B59">
        <v>77</v>
      </c>
      <c r="C59" t="s">
        <v>10</v>
      </c>
      <c r="D59" t="s">
        <v>15</v>
      </c>
      <c r="E59" t="s">
        <v>8</v>
      </c>
    </row>
    <row r="60" spans="1:5" x14ac:dyDescent="0.35">
      <c r="A60" t="s">
        <v>307</v>
      </c>
      <c r="B60">
        <v>77</v>
      </c>
      <c r="C60" t="s">
        <v>6</v>
      </c>
      <c r="D60" t="s">
        <v>24</v>
      </c>
      <c r="E60" t="s">
        <v>8</v>
      </c>
    </row>
    <row r="61" spans="1:5" x14ac:dyDescent="0.35">
      <c r="A61" t="s">
        <v>373</v>
      </c>
      <c r="B61">
        <v>77</v>
      </c>
      <c r="C61" t="s">
        <v>6</v>
      </c>
      <c r="D61" t="s">
        <v>28</v>
      </c>
      <c r="E61" t="s">
        <v>20</v>
      </c>
    </row>
    <row r="62" spans="1:5" x14ac:dyDescent="0.35">
      <c r="A62" t="s">
        <v>386</v>
      </c>
      <c r="B62">
        <v>77</v>
      </c>
      <c r="C62" t="s">
        <v>6</v>
      </c>
      <c r="D62" t="s">
        <v>17</v>
      </c>
      <c r="E62" t="s">
        <v>13</v>
      </c>
    </row>
    <row r="63" spans="1:5" x14ac:dyDescent="0.35">
      <c r="A63" t="s">
        <v>396</v>
      </c>
      <c r="B63">
        <v>77</v>
      </c>
      <c r="C63" t="s">
        <v>6</v>
      </c>
      <c r="D63" t="s">
        <v>7</v>
      </c>
      <c r="E63" t="s">
        <v>11</v>
      </c>
    </row>
    <row r="64" spans="1:5" x14ac:dyDescent="0.35">
      <c r="A64" t="s">
        <v>453</v>
      </c>
      <c r="B64">
        <v>77</v>
      </c>
      <c r="C64" t="s">
        <v>6</v>
      </c>
      <c r="D64" t="s">
        <v>15</v>
      </c>
      <c r="E64" t="s">
        <v>11</v>
      </c>
    </row>
    <row r="65" spans="1:5" x14ac:dyDescent="0.35">
      <c r="A65" t="s">
        <v>490</v>
      </c>
      <c r="B65">
        <v>77</v>
      </c>
      <c r="C65" t="s">
        <v>10</v>
      </c>
      <c r="D65" t="s">
        <v>15</v>
      </c>
      <c r="E65" t="s">
        <v>11</v>
      </c>
    </row>
    <row r="66" spans="1:5" x14ac:dyDescent="0.35">
      <c r="A66" t="s">
        <v>30</v>
      </c>
      <c r="B66">
        <v>76</v>
      </c>
      <c r="C66" t="s">
        <v>6</v>
      </c>
      <c r="D66" t="s">
        <v>15</v>
      </c>
      <c r="E66" t="s">
        <v>13</v>
      </c>
    </row>
    <row r="67" spans="1:5" x14ac:dyDescent="0.35">
      <c r="A67" t="s">
        <v>77</v>
      </c>
      <c r="B67">
        <v>76</v>
      </c>
      <c r="C67" t="s">
        <v>6</v>
      </c>
      <c r="D67" t="s">
        <v>7</v>
      </c>
      <c r="E67" t="s">
        <v>20</v>
      </c>
    </row>
    <row r="68" spans="1:5" x14ac:dyDescent="0.35">
      <c r="A68" t="s">
        <v>105</v>
      </c>
      <c r="B68">
        <v>76</v>
      </c>
      <c r="C68" t="s">
        <v>10</v>
      </c>
      <c r="D68" t="s">
        <v>28</v>
      </c>
      <c r="E68" t="s">
        <v>20</v>
      </c>
    </row>
    <row r="69" spans="1:5" x14ac:dyDescent="0.35">
      <c r="A69" t="s">
        <v>119</v>
      </c>
      <c r="B69">
        <v>76</v>
      </c>
      <c r="C69" t="s">
        <v>6</v>
      </c>
      <c r="D69" t="s">
        <v>7</v>
      </c>
      <c r="E69" t="s">
        <v>20</v>
      </c>
    </row>
    <row r="70" spans="1:5" x14ac:dyDescent="0.35">
      <c r="A70" t="s">
        <v>134</v>
      </c>
      <c r="B70">
        <v>76</v>
      </c>
      <c r="C70" t="s">
        <v>6</v>
      </c>
      <c r="D70" t="s">
        <v>17</v>
      </c>
      <c r="E70" t="s">
        <v>11</v>
      </c>
    </row>
    <row r="71" spans="1:5" x14ac:dyDescent="0.35">
      <c r="A71" t="s">
        <v>137</v>
      </c>
      <c r="B71">
        <v>76</v>
      </c>
      <c r="C71" t="s">
        <v>10</v>
      </c>
      <c r="D71" t="s">
        <v>24</v>
      </c>
      <c r="E71" t="s">
        <v>11</v>
      </c>
    </row>
    <row r="72" spans="1:5" x14ac:dyDescent="0.35">
      <c r="A72" t="s">
        <v>196</v>
      </c>
      <c r="B72">
        <v>76</v>
      </c>
      <c r="C72" t="s">
        <v>6</v>
      </c>
      <c r="D72" t="s">
        <v>7</v>
      </c>
      <c r="E72" t="s">
        <v>13</v>
      </c>
    </row>
    <row r="73" spans="1:5" x14ac:dyDescent="0.35">
      <c r="A73" t="s">
        <v>209</v>
      </c>
      <c r="B73">
        <v>76</v>
      </c>
      <c r="C73" t="s">
        <v>10</v>
      </c>
      <c r="D73" t="s">
        <v>28</v>
      </c>
      <c r="E73" t="s">
        <v>8</v>
      </c>
    </row>
    <row r="74" spans="1:5" x14ac:dyDescent="0.35">
      <c r="A74" t="s">
        <v>247</v>
      </c>
      <c r="B74">
        <v>76</v>
      </c>
      <c r="C74" t="s">
        <v>10</v>
      </c>
      <c r="D74" t="s">
        <v>24</v>
      </c>
      <c r="E74" t="s">
        <v>8</v>
      </c>
    </row>
    <row r="75" spans="1:5" x14ac:dyDescent="0.35">
      <c r="A75" t="s">
        <v>268</v>
      </c>
      <c r="B75">
        <v>76</v>
      </c>
      <c r="C75" t="s">
        <v>6</v>
      </c>
      <c r="D75" t="s">
        <v>28</v>
      </c>
      <c r="E75" t="s">
        <v>11</v>
      </c>
    </row>
    <row r="76" spans="1:5" x14ac:dyDescent="0.35">
      <c r="A76" t="s">
        <v>269</v>
      </c>
      <c r="B76">
        <v>76</v>
      </c>
      <c r="C76" t="s">
        <v>10</v>
      </c>
      <c r="D76" t="s">
        <v>28</v>
      </c>
      <c r="E76" t="s">
        <v>20</v>
      </c>
    </row>
    <row r="77" spans="1:5" x14ac:dyDescent="0.35">
      <c r="A77" t="s">
        <v>354</v>
      </c>
      <c r="B77">
        <v>76</v>
      </c>
      <c r="C77" t="s">
        <v>10</v>
      </c>
      <c r="D77" t="s">
        <v>15</v>
      </c>
      <c r="E77" t="s">
        <v>11</v>
      </c>
    </row>
    <row r="78" spans="1:5" x14ac:dyDescent="0.35">
      <c r="A78" t="s">
        <v>473</v>
      </c>
      <c r="B78">
        <v>76</v>
      </c>
      <c r="C78" t="s">
        <v>6</v>
      </c>
      <c r="D78" t="s">
        <v>15</v>
      </c>
      <c r="E78" t="s">
        <v>11</v>
      </c>
    </row>
    <row r="79" spans="1:5" x14ac:dyDescent="0.35">
      <c r="A79" t="s">
        <v>39</v>
      </c>
      <c r="B79">
        <v>75</v>
      </c>
      <c r="C79" t="s">
        <v>6</v>
      </c>
      <c r="D79" t="s">
        <v>7</v>
      </c>
      <c r="E79" t="s">
        <v>13</v>
      </c>
    </row>
    <row r="80" spans="1:5" x14ac:dyDescent="0.35">
      <c r="A80" t="s">
        <v>259</v>
      </c>
      <c r="B80">
        <v>75</v>
      </c>
      <c r="C80" t="s">
        <v>10</v>
      </c>
      <c r="D80" t="s">
        <v>7</v>
      </c>
      <c r="E80" t="s">
        <v>20</v>
      </c>
    </row>
    <row r="81" spans="1:5" x14ac:dyDescent="0.35">
      <c r="A81" t="s">
        <v>283</v>
      </c>
      <c r="B81">
        <v>75</v>
      </c>
      <c r="C81" t="s">
        <v>10</v>
      </c>
      <c r="D81" t="s">
        <v>24</v>
      </c>
      <c r="E81" t="s">
        <v>25</v>
      </c>
    </row>
    <row r="82" spans="1:5" x14ac:dyDescent="0.35">
      <c r="A82" t="s">
        <v>335</v>
      </c>
      <c r="B82">
        <v>75</v>
      </c>
      <c r="C82" t="s">
        <v>6</v>
      </c>
      <c r="D82" t="s">
        <v>17</v>
      </c>
      <c r="E82" t="s">
        <v>8</v>
      </c>
    </row>
    <row r="83" spans="1:5" x14ac:dyDescent="0.35">
      <c r="A83" t="s">
        <v>360</v>
      </c>
      <c r="B83">
        <v>75</v>
      </c>
      <c r="C83" t="s">
        <v>6</v>
      </c>
      <c r="D83" t="s">
        <v>28</v>
      </c>
      <c r="E83" t="s">
        <v>11</v>
      </c>
    </row>
    <row r="84" spans="1:5" x14ac:dyDescent="0.35">
      <c r="A84" t="s">
        <v>448</v>
      </c>
      <c r="B84">
        <v>75</v>
      </c>
      <c r="C84" t="s">
        <v>10</v>
      </c>
      <c r="D84" t="s">
        <v>17</v>
      </c>
      <c r="E84" t="s">
        <v>8</v>
      </c>
    </row>
    <row r="85" spans="1:5" x14ac:dyDescent="0.35">
      <c r="A85" t="s">
        <v>483</v>
      </c>
      <c r="B85">
        <v>75</v>
      </c>
      <c r="C85" t="s">
        <v>6</v>
      </c>
      <c r="D85" t="s">
        <v>15</v>
      </c>
      <c r="E85" t="s">
        <v>11</v>
      </c>
    </row>
    <row r="86" spans="1:5" x14ac:dyDescent="0.35">
      <c r="A86" t="s">
        <v>502</v>
      </c>
      <c r="B86">
        <v>75</v>
      </c>
      <c r="C86" t="s">
        <v>10</v>
      </c>
      <c r="D86" t="s">
        <v>28</v>
      </c>
      <c r="E86" t="s">
        <v>13</v>
      </c>
    </row>
    <row r="87" spans="1:5" x14ac:dyDescent="0.35">
      <c r="A87" t="s">
        <v>51</v>
      </c>
      <c r="B87">
        <v>74</v>
      </c>
      <c r="C87" t="s">
        <v>10</v>
      </c>
      <c r="D87" t="s">
        <v>28</v>
      </c>
      <c r="E87" t="s">
        <v>13</v>
      </c>
    </row>
    <row r="88" spans="1:5" x14ac:dyDescent="0.35">
      <c r="A88" t="s">
        <v>109</v>
      </c>
      <c r="B88">
        <v>74</v>
      </c>
      <c r="C88" t="s">
        <v>10</v>
      </c>
      <c r="D88" t="s">
        <v>17</v>
      </c>
      <c r="E88" t="s">
        <v>11</v>
      </c>
    </row>
    <row r="89" spans="1:5" x14ac:dyDescent="0.35">
      <c r="A89" t="s">
        <v>171</v>
      </c>
      <c r="B89">
        <v>74</v>
      </c>
      <c r="C89" t="s">
        <v>10</v>
      </c>
      <c r="D89" t="s">
        <v>7</v>
      </c>
      <c r="E89" t="s">
        <v>8</v>
      </c>
    </row>
    <row r="90" spans="1:5" x14ac:dyDescent="0.35">
      <c r="A90" t="s">
        <v>213</v>
      </c>
      <c r="B90">
        <v>74</v>
      </c>
      <c r="C90" t="s">
        <v>10</v>
      </c>
      <c r="D90" t="s">
        <v>17</v>
      </c>
      <c r="E90" t="s">
        <v>8</v>
      </c>
    </row>
    <row r="91" spans="1:5" x14ac:dyDescent="0.35">
      <c r="A91" t="s">
        <v>357</v>
      </c>
      <c r="B91">
        <v>74</v>
      </c>
      <c r="C91" t="s">
        <v>6</v>
      </c>
      <c r="D91" t="s">
        <v>17</v>
      </c>
      <c r="E91" t="s">
        <v>8</v>
      </c>
    </row>
    <row r="92" spans="1:5" x14ac:dyDescent="0.35">
      <c r="A92" t="s">
        <v>83</v>
      </c>
      <c r="B92">
        <v>73</v>
      </c>
      <c r="C92" t="s">
        <v>6</v>
      </c>
      <c r="D92" t="s">
        <v>24</v>
      </c>
      <c r="E92" t="s">
        <v>20</v>
      </c>
    </row>
    <row r="93" spans="1:5" x14ac:dyDescent="0.35">
      <c r="A93" t="s">
        <v>173</v>
      </c>
      <c r="B93">
        <v>73</v>
      </c>
      <c r="C93" t="s">
        <v>10</v>
      </c>
      <c r="D93" t="s">
        <v>24</v>
      </c>
      <c r="E93" t="s">
        <v>8</v>
      </c>
    </row>
    <row r="94" spans="1:5" x14ac:dyDescent="0.35">
      <c r="A94" t="s">
        <v>201</v>
      </c>
      <c r="B94">
        <v>73</v>
      </c>
      <c r="C94" t="s">
        <v>6</v>
      </c>
      <c r="D94" t="s">
        <v>15</v>
      </c>
      <c r="E94" t="s">
        <v>8</v>
      </c>
    </row>
    <row r="95" spans="1:5" x14ac:dyDescent="0.35">
      <c r="A95" t="s">
        <v>235</v>
      </c>
      <c r="B95">
        <v>73</v>
      </c>
      <c r="C95" t="s">
        <v>10</v>
      </c>
      <c r="D95" t="s">
        <v>17</v>
      </c>
      <c r="E95" t="s">
        <v>25</v>
      </c>
    </row>
    <row r="96" spans="1:5" x14ac:dyDescent="0.35">
      <c r="A96" t="s">
        <v>261</v>
      </c>
      <c r="B96">
        <v>73</v>
      </c>
      <c r="C96" t="s">
        <v>6</v>
      </c>
      <c r="D96" t="s">
        <v>15</v>
      </c>
      <c r="E96" t="s">
        <v>20</v>
      </c>
    </row>
    <row r="97" spans="1:5" x14ac:dyDescent="0.35">
      <c r="A97" t="s">
        <v>351</v>
      </c>
      <c r="B97">
        <v>73</v>
      </c>
      <c r="C97" t="s">
        <v>6</v>
      </c>
      <c r="D97" t="s">
        <v>17</v>
      </c>
      <c r="E97" t="s">
        <v>11</v>
      </c>
    </row>
    <row r="98" spans="1:5" x14ac:dyDescent="0.35">
      <c r="A98" t="s">
        <v>472</v>
      </c>
      <c r="B98">
        <v>73</v>
      </c>
      <c r="C98" t="s">
        <v>6</v>
      </c>
      <c r="D98" t="s">
        <v>7</v>
      </c>
      <c r="E98" t="s">
        <v>13</v>
      </c>
    </row>
    <row r="99" spans="1:5" x14ac:dyDescent="0.35">
      <c r="A99" t="s">
        <v>80</v>
      </c>
      <c r="B99">
        <v>72</v>
      </c>
      <c r="C99" t="s">
        <v>6</v>
      </c>
      <c r="D99" t="s">
        <v>28</v>
      </c>
      <c r="E99" t="s">
        <v>8</v>
      </c>
    </row>
    <row r="100" spans="1:5" x14ac:dyDescent="0.35">
      <c r="A100" t="s">
        <v>110</v>
      </c>
      <c r="B100">
        <v>72</v>
      </c>
      <c r="C100" t="s">
        <v>10</v>
      </c>
      <c r="D100" t="s">
        <v>28</v>
      </c>
      <c r="E100" t="s">
        <v>25</v>
      </c>
    </row>
    <row r="101" spans="1:5" x14ac:dyDescent="0.35">
      <c r="A101" t="s">
        <v>148</v>
      </c>
      <c r="B101">
        <v>72</v>
      </c>
      <c r="C101" t="s">
        <v>6</v>
      </c>
      <c r="D101" t="s">
        <v>17</v>
      </c>
      <c r="E101" t="s">
        <v>8</v>
      </c>
    </row>
    <row r="102" spans="1:5" x14ac:dyDescent="0.35">
      <c r="A102" t="s">
        <v>158</v>
      </c>
      <c r="B102">
        <v>72</v>
      </c>
      <c r="C102" t="s">
        <v>6</v>
      </c>
      <c r="D102" t="s">
        <v>7</v>
      </c>
      <c r="E102" t="s">
        <v>11</v>
      </c>
    </row>
    <row r="103" spans="1:5" x14ac:dyDescent="0.35">
      <c r="A103" t="s">
        <v>461</v>
      </c>
      <c r="B103">
        <v>72</v>
      </c>
      <c r="C103" t="s">
        <v>10</v>
      </c>
      <c r="D103" t="s">
        <v>24</v>
      </c>
      <c r="E103" t="s">
        <v>13</v>
      </c>
    </row>
    <row r="104" spans="1:5" x14ac:dyDescent="0.35">
      <c r="A104" t="s">
        <v>465</v>
      </c>
      <c r="B104">
        <v>72</v>
      </c>
      <c r="C104" t="s">
        <v>6</v>
      </c>
      <c r="D104" t="s">
        <v>28</v>
      </c>
      <c r="E104" t="s">
        <v>11</v>
      </c>
    </row>
    <row r="105" spans="1:5" x14ac:dyDescent="0.35">
      <c r="A105" t="s">
        <v>65</v>
      </c>
      <c r="B105">
        <v>71</v>
      </c>
      <c r="C105" t="s">
        <v>10</v>
      </c>
      <c r="D105" t="s">
        <v>28</v>
      </c>
      <c r="E105" t="s">
        <v>8</v>
      </c>
    </row>
    <row r="106" spans="1:5" x14ac:dyDescent="0.35">
      <c r="A106" t="s">
        <v>79</v>
      </c>
      <c r="B106">
        <v>71</v>
      </c>
      <c r="C106" t="s">
        <v>10</v>
      </c>
      <c r="D106" t="s">
        <v>17</v>
      </c>
      <c r="E106" t="s">
        <v>11</v>
      </c>
    </row>
    <row r="107" spans="1:5" x14ac:dyDescent="0.35">
      <c r="A107" t="s">
        <v>212</v>
      </c>
      <c r="B107">
        <v>71</v>
      </c>
      <c r="C107" t="s">
        <v>6</v>
      </c>
      <c r="D107" t="s">
        <v>7</v>
      </c>
      <c r="E107" t="s">
        <v>20</v>
      </c>
    </row>
    <row r="108" spans="1:5" x14ac:dyDescent="0.35">
      <c r="A108" t="s">
        <v>219</v>
      </c>
      <c r="B108">
        <v>71</v>
      </c>
      <c r="C108" t="s">
        <v>6</v>
      </c>
      <c r="D108" t="s">
        <v>28</v>
      </c>
      <c r="E108" t="s">
        <v>11</v>
      </c>
    </row>
    <row r="109" spans="1:5" x14ac:dyDescent="0.35">
      <c r="A109" t="s">
        <v>417</v>
      </c>
      <c r="B109">
        <v>71</v>
      </c>
      <c r="C109" t="s">
        <v>6</v>
      </c>
      <c r="D109" t="s">
        <v>17</v>
      </c>
      <c r="E109" t="s">
        <v>25</v>
      </c>
    </row>
    <row r="110" spans="1:5" x14ac:dyDescent="0.35">
      <c r="A110" t="s">
        <v>478</v>
      </c>
      <c r="B110">
        <v>71</v>
      </c>
      <c r="C110" t="s">
        <v>10</v>
      </c>
      <c r="D110" t="s">
        <v>28</v>
      </c>
      <c r="E110" t="s">
        <v>13</v>
      </c>
    </row>
    <row r="111" spans="1:5" x14ac:dyDescent="0.35">
      <c r="A111" t="s">
        <v>23</v>
      </c>
      <c r="B111">
        <v>70</v>
      </c>
      <c r="C111" t="s">
        <v>10</v>
      </c>
      <c r="D111" t="s">
        <v>24</v>
      </c>
      <c r="E111" t="s">
        <v>25</v>
      </c>
    </row>
    <row r="112" spans="1:5" x14ac:dyDescent="0.35">
      <c r="A112" t="s">
        <v>56</v>
      </c>
      <c r="B112">
        <v>70</v>
      </c>
      <c r="C112" t="s">
        <v>6</v>
      </c>
      <c r="D112" t="s">
        <v>17</v>
      </c>
      <c r="E112" t="s">
        <v>11</v>
      </c>
    </row>
    <row r="113" spans="1:5" x14ac:dyDescent="0.35">
      <c r="A113" t="s">
        <v>68</v>
      </c>
      <c r="B113">
        <v>70</v>
      </c>
      <c r="C113" t="s">
        <v>10</v>
      </c>
      <c r="D113" t="s">
        <v>7</v>
      </c>
      <c r="E113" t="s">
        <v>25</v>
      </c>
    </row>
    <row r="114" spans="1:5" x14ac:dyDescent="0.35">
      <c r="A114" t="s">
        <v>191</v>
      </c>
      <c r="B114">
        <v>70</v>
      </c>
      <c r="C114" t="s">
        <v>10</v>
      </c>
      <c r="D114" t="s">
        <v>7</v>
      </c>
      <c r="E114" t="s">
        <v>20</v>
      </c>
    </row>
    <row r="115" spans="1:5" x14ac:dyDescent="0.35">
      <c r="A115" t="s">
        <v>274</v>
      </c>
      <c r="B115">
        <v>70</v>
      </c>
      <c r="C115" t="s">
        <v>10</v>
      </c>
      <c r="D115" t="s">
        <v>15</v>
      </c>
      <c r="E115" t="s">
        <v>13</v>
      </c>
    </row>
    <row r="116" spans="1:5" x14ac:dyDescent="0.35">
      <c r="A116" t="s">
        <v>289</v>
      </c>
      <c r="B116">
        <v>70</v>
      </c>
      <c r="C116" t="s">
        <v>10</v>
      </c>
      <c r="D116" t="s">
        <v>15</v>
      </c>
      <c r="E116" t="s">
        <v>13</v>
      </c>
    </row>
    <row r="117" spans="1:5" x14ac:dyDescent="0.35">
      <c r="A117" t="s">
        <v>376</v>
      </c>
      <c r="B117">
        <v>70</v>
      </c>
      <c r="C117" t="s">
        <v>10</v>
      </c>
      <c r="D117" t="s">
        <v>28</v>
      </c>
      <c r="E117" t="s">
        <v>8</v>
      </c>
    </row>
    <row r="118" spans="1:5" x14ac:dyDescent="0.35">
      <c r="A118" t="s">
        <v>384</v>
      </c>
      <c r="B118">
        <v>70</v>
      </c>
      <c r="C118" t="s">
        <v>10</v>
      </c>
      <c r="D118" t="s">
        <v>17</v>
      </c>
      <c r="E118" t="s">
        <v>13</v>
      </c>
    </row>
    <row r="119" spans="1:5" x14ac:dyDescent="0.35">
      <c r="A119" t="s">
        <v>464</v>
      </c>
      <c r="B119">
        <v>70</v>
      </c>
      <c r="C119" t="s">
        <v>10</v>
      </c>
      <c r="D119" t="s">
        <v>24</v>
      </c>
      <c r="E119" t="s">
        <v>11</v>
      </c>
    </row>
    <row r="120" spans="1:5" x14ac:dyDescent="0.35">
      <c r="A120" t="s">
        <v>207</v>
      </c>
      <c r="B120">
        <v>69</v>
      </c>
      <c r="C120" t="s">
        <v>6</v>
      </c>
      <c r="D120" t="s">
        <v>7</v>
      </c>
      <c r="E120" t="s">
        <v>11</v>
      </c>
    </row>
    <row r="121" spans="1:5" x14ac:dyDescent="0.35">
      <c r="A121" t="s">
        <v>327</v>
      </c>
      <c r="B121">
        <v>69</v>
      </c>
      <c r="C121" t="s">
        <v>6</v>
      </c>
      <c r="D121" t="s">
        <v>24</v>
      </c>
      <c r="E121" t="s">
        <v>13</v>
      </c>
    </row>
    <row r="122" spans="1:5" x14ac:dyDescent="0.35">
      <c r="A122" t="s">
        <v>67</v>
      </c>
      <c r="B122">
        <v>68</v>
      </c>
      <c r="C122" t="s">
        <v>10</v>
      </c>
      <c r="D122" t="s">
        <v>24</v>
      </c>
      <c r="E122" t="s">
        <v>11</v>
      </c>
    </row>
    <row r="123" spans="1:5" x14ac:dyDescent="0.35">
      <c r="A123" t="s">
        <v>101</v>
      </c>
      <c r="B123">
        <v>68</v>
      </c>
      <c r="C123" t="s">
        <v>6</v>
      </c>
      <c r="D123" t="s">
        <v>28</v>
      </c>
      <c r="E123" t="s">
        <v>20</v>
      </c>
    </row>
    <row r="124" spans="1:5" x14ac:dyDescent="0.35">
      <c r="A124" t="s">
        <v>334</v>
      </c>
      <c r="B124">
        <v>68</v>
      </c>
      <c r="C124" t="s">
        <v>6</v>
      </c>
      <c r="D124" t="s">
        <v>24</v>
      </c>
      <c r="E124" t="s">
        <v>11</v>
      </c>
    </row>
    <row r="125" spans="1:5" x14ac:dyDescent="0.35">
      <c r="A125" t="s">
        <v>412</v>
      </c>
      <c r="B125">
        <v>68</v>
      </c>
      <c r="C125" t="s">
        <v>10</v>
      </c>
      <c r="D125" t="s">
        <v>7</v>
      </c>
      <c r="E125" t="s">
        <v>8</v>
      </c>
    </row>
    <row r="126" spans="1:5" x14ac:dyDescent="0.35">
      <c r="A126" t="s">
        <v>467</v>
      </c>
      <c r="B126">
        <v>68</v>
      </c>
      <c r="C126" t="s">
        <v>10</v>
      </c>
      <c r="D126" t="s">
        <v>17</v>
      </c>
      <c r="E126" t="s">
        <v>13</v>
      </c>
    </row>
    <row r="127" spans="1:5" x14ac:dyDescent="0.35">
      <c r="A127" t="s">
        <v>494</v>
      </c>
      <c r="B127">
        <v>68</v>
      </c>
      <c r="C127" t="s">
        <v>10</v>
      </c>
      <c r="D127" t="s">
        <v>17</v>
      </c>
      <c r="E127" t="s">
        <v>11</v>
      </c>
    </row>
    <row r="128" spans="1:5" x14ac:dyDescent="0.35">
      <c r="A128" t="s">
        <v>226</v>
      </c>
      <c r="B128">
        <v>67</v>
      </c>
      <c r="C128" t="s">
        <v>6</v>
      </c>
      <c r="D128" t="s">
        <v>7</v>
      </c>
      <c r="E128" t="s">
        <v>20</v>
      </c>
    </row>
    <row r="129" spans="1:5" x14ac:dyDescent="0.35">
      <c r="A129" t="s">
        <v>321</v>
      </c>
      <c r="B129">
        <v>67</v>
      </c>
      <c r="C129" t="s">
        <v>10</v>
      </c>
      <c r="D129" t="s">
        <v>7</v>
      </c>
      <c r="E129" t="s">
        <v>8</v>
      </c>
    </row>
    <row r="130" spans="1:5" x14ac:dyDescent="0.35">
      <c r="A130" t="s">
        <v>380</v>
      </c>
      <c r="B130">
        <v>67</v>
      </c>
      <c r="C130" t="s">
        <v>10</v>
      </c>
      <c r="D130" t="s">
        <v>7</v>
      </c>
      <c r="E130" t="s">
        <v>8</v>
      </c>
    </row>
    <row r="131" spans="1:5" x14ac:dyDescent="0.35">
      <c r="A131" t="s">
        <v>442</v>
      </c>
      <c r="B131">
        <v>67</v>
      </c>
      <c r="C131" t="s">
        <v>10</v>
      </c>
      <c r="D131" t="s">
        <v>15</v>
      </c>
      <c r="E131" t="s">
        <v>11</v>
      </c>
    </row>
    <row r="132" spans="1:5" x14ac:dyDescent="0.35">
      <c r="A132" t="s">
        <v>492</v>
      </c>
      <c r="B132">
        <v>67</v>
      </c>
      <c r="C132" t="s">
        <v>10</v>
      </c>
      <c r="D132" t="s">
        <v>24</v>
      </c>
      <c r="E132" t="s">
        <v>13</v>
      </c>
    </row>
    <row r="133" spans="1:5" x14ac:dyDescent="0.35">
      <c r="A133" t="s">
        <v>106</v>
      </c>
      <c r="B133">
        <v>66</v>
      </c>
      <c r="C133" t="s">
        <v>6</v>
      </c>
      <c r="D133" t="s">
        <v>17</v>
      </c>
      <c r="E133" t="s">
        <v>11</v>
      </c>
    </row>
    <row r="134" spans="1:5" x14ac:dyDescent="0.35">
      <c r="A134" t="s">
        <v>179</v>
      </c>
      <c r="B134">
        <v>66</v>
      </c>
      <c r="C134" t="s">
        <v>10</v>
      </c>
      <c r="D134" t="s">
        <v>15</v>
      </c>
      <c r="E134" t="s">
        <v>11</v>
      </c>
    </row>
    <row r="135" spans="1:5" x14ac:dyDescent="0.35">
      <c r="A135" t="s">
        <v>193</v>
      </c>
      <c r="B135">
        <v>66</v>
      </c>
      <c r="C135" t="s">
        <v>10</v>
      </c>
      <c r="D135" t="s">
        <v>17</v>
      </c>
      <c r="E135" t="s">
        <v>20</v>
      </c>
    </row>
    <row r="136" spans="1:5" x14ac:dyDescent="0.35">
      <c r="A136" t="s">
        <v>221</v>
      </c>
      <c r="B136">
        <v>66</v>
      </c>
      <c r="C136" t="s">
        <v>10</v>
      </c>
      <c r="D136" t="s">
        <v>24</v>
      </c>
      <c r="E136" t="s">
        <v>20</v>
      </c>
    </row>
    <row r="137" spans="1:5" x14ac:dyDescent="0.35">
      <c r="A137" t="s">
        <v>433</v>
      </c>
      <c r="B137">
        <v>66</v>
      </c>
      <c r="C137" t="s">
        <v>6</v>
      </c>
      <c r="D137" t="s">
        <v>17</v>
      </c>
      <c r="E137" t="s">
        <v>8</v>
      </c>
    </row>
    <row r="138" spans="1:5" x14ac:dyDescent="0.35">
      <c r="A138" t="s">
        <v>481</v>
      </c>
      <c r="B138">
        <v>66</v>
      </c>
      <c r="C138" t="s">
        <v>10</v>
      </c>
      <c r="D138" t="s">
        <v>17</v>
      </c>
      <c r="E138" t="s">
        <v>8</v>
      </c>
    </row>
    <row r="139" spans="1:5" x14ac:dyDescent="0.35">
      <c r="A139" t="s">
        <v>493</v>
      </c>
      <c r="B139">
        <v>66</v>
      </c>
      <c r="C139" t="s">
        <v>6</v>
      </c>
      <c r="D139" t="s">
        <v>7</v>
      </c>
      <c r="E139" t="s">
        <v>20</v>
      </c>
    </row>
    <row r="140" spans="1:5" x14ac:dyDescent="0.35">
      <c r="A140" t="s">
        <v>133</v>
      </c>
      <c r="B140">
        <v>65</v>
      </c>
      <c r="C140" t="s">
        <v>10</v>
      </c>
      <c r="D140" t="s">
        <v>17</v>
      </c>
      <c r="E140" t="s">
        <v>8</v>
      </c>
    </row>
    <row r="141" spans="1:5" x14ac:dyDescent="0.35">
      <c r="A141" t="s">
        <v>189</v>
      </c>
      <c r="B141">
        <v>65</v>
      </c>
      <c r="C141" t="s">
        <v>6</v>
      </c>
      <c r="D141" t="s">
        <v>24</v>
      </c>
      <c r="E141" t="s">
        <v>8</v>
      </c>
    </row>
    <row r="142" spans="1:5" x14ac:dyDescent="0.35">
      <c r="A142" t="s">
        <v>250</v>
      </c>
      <c r="B142">
        <v>65</v>
      </c>
      <c r="C142" t="s">
        <v>6</v>
      </c>
      <c r="D142" t="s">
        <v>15</v>
      </c>
      <c r="E142" t="s">
        <v>11</v>
      </c>
    </row>
    <row r="143" spans="1:5" x14ac:dyDescent="0.35">
      <c r="A143" t="s">
        <v>254</v>
      </c>
      <c r="B143">
        <v>65</v>
      </c>
      <c r="C143" t="s">
        <v>6</v>
      </c>
      <c r="D143" t="s">
        <v>17</v>
      </c>
      <c r="E143" t="s">
        <v>13</v>
      </c>
    </row>
    <row r="144" spans="1:5" x14ac:dyDescent="0.35">
      <c r="A144" t="s">
        <v>270</v>
      </c>
      <c r="B144">
        <v>65</v>
      </c>
      <c r="C144" t="s">
        <v>6</v>
      </c>
      <c r="D144" t="s">
        <v>15</v>
      </c>
      <c r="E144" t="s">
        <v>11</v>
      </c>
    </row>
    <row r="145" spans="1:5" x14ac:dyDescent="0.35">
      <c r="A145" t="s">
        <v>395</v>
      </c>
      <c r="B145">
        <v>65</v>
      </c>
      <c r="C145" t="s">
        <v>10</v>
      </c>
      <c r="D145" t="s">
        <v>15</v>
      </c>
      <c r="E145" t="s">
        <v>11</v>
      </c>
    </row>
    <row r="146" spans="1:5" x14ac:dyDescent="0.35">
      <c r="A146" t="s">
        <v>111</v>
      </c>
      <c r="B146">
        <v>64</v>
      </c>
      <c r="C146" t="s">
        <v>10</v>
      </c>
      <c r="D146" t="s">
        <v>24</v>
      </c>
      <c r="E146" t="s">
        <v>8</v>
      </c>
    </row>
    <row r="147" spans="1:5" x14ac:dyDescent="0.35">
      <c r="A147" t="s">
        <v>122</v>
      </c>
      <c r="B147">
        <v>64</v>
      </c>
      <c r="C147" t="s">
        <v>6</v>
      </c>
      <c r="D147" t="s">
        <v>15</v>
      </c>
      <c r="E147" t="s">
        <v>13</v>
      </c>
    </row>
    <row r="148" spans="1:5" x14ac:dyDescent="0.35">
      <c r="A148" t="s">
        <v>220</v>
      </c>
      <c r="B148">
        <v>64</v>
      </c>
      <c r="C148" t="s">
        <v>10</v>
      </c>
      <c r="D148" t="s">
        <v>28</v>
      </c>
      <c r="E148" t="s">
        <v>11</v>
      </c>
    </row>
    <row r="149" spans="1:5" x14ac:dyDescent="0.35">
      <c r="A149" t="s">
        <v>324</v>
      </c>
      <c r="B149">
        <v>64</v>
      </c>
      <c r="C149" t="s">
        <v>6</v>
      </c>
      <c r="D149" t="s">
        <v>15</v>
      </c>
      <c r="E149" t="s">
        <v>8</v>
      </c>
    </row>
    <row r="150" spans="1:5" x14ac:dyDescent="0.35">
      <c r="A150" t="s">
        <v>347</v>
      </c>
      <c r="B150">
        <v>64</v>
      </c>
      <c r="C150" t="s">
        <v>6</v>
      </c>
      <c r="D150" t="s">
        <v>24</v>
      </c>
      <c r="E150" t="s">
        <v>8</v>
      </c>
    </row>
    <row r="151" spans="1:5" x14ac:dyDescent="0.35">
      <c r="A151" t="s">
        <v>353</v>
      </c>
      <c r="B151">
        <v>64</v>
      </c>
      <c r="C151" t="s">
        <v>10</v>
      </c>
      <c r="D151" t="s">
        <v>17</v>
      </c>
      <c r="E151" t="s">
        <v>20</v>
      </c>
    </row>
    <row r="152" spans="1:5" x14ac:dyDescent="0.35">
      <c r="A152" t="s">
        <v>62</v>
      </c>
      <c r="B152">
        <v>63</v>
      </c>
      <c r="C152" t="s">
        <v>10</v>
      </c>
      <c r="D152" t="s">
        <v>15</v>
      </c>
      <c r="E152" t="s">
        <v>8</v>
      </c>
    </row>
    <row r="153" spans="1:5" x14ac:dyDescent="0.35">
      <c r="A153" t="s">
        <v>167</v>
      </c>
      <c r="B153">
        <v>63</v>
      </c>
      <c r="C153" t="s">
        <v>10</v>
      </c>
      <c r="D153" t="s">
        <v>15</v>
      </c>
      <c r="E153" t="s">
        <v>11</v>
      </c>
    </row>
    <row r="154" spans="1:5" x14ac:dyDescent="0.35">
      <c r="A154" t="s">
        <v>203</v>
      </c>
      <c r="B154">
        <v>63</v>
      </c>
      <c r="C154" t="s">
        <v>10</v>
      </c>
      <c r="D154" t="s">
        <v>7</v>
      </c>
      <c r="E154" t="s">
        <v>25</v>
      </c>
    </row>
    <row r="155" spans="1:5" x14ac:dyDescent="0.35">
      <c r="A155" t="s">
        <v>298</v>
      </c>
      <c r="B155">
        <v>63</v>
      </c>
      <c r="C155" t="s">
        <v>6</v>
      </c>
      <c r="D155" t="s">
        <v>15</v>
      </c>
      <c r="E155" t="s">
        <v>11</v>
      </c>
    </row>
    <row r="156" spans="1:5" x14ac:dyDescent="0.35">
      <c r="A156" t="s">
        <v>337</v>
      </c>
      <c r="B156">
        <v>63</v>
      </c>
      <c r="C156" t="s">
        <v>10</v>
      </c>
      <c r="D156" t="s">
        <v>7</v>
      </c>
      <c r="E156" t="s">
        <v>11</v>
      </c>
    </row>
    <row r="157" spans="1:5" x14ac:dyDescent="0.35">
      <c r="A157" t="s">
        <v>374</v>
      </c>
      <c r="B157">
        <v>63</v>
      </c>
      <c r="C157" t="s">
        <v>10</v>
      </c>
      <c r="D157" t="s">
        <v>24</v>
      </c>
      <c r="E157" t="s">
        <v>8</v>
      </c>
    </row>
    <row r="158" spans="1:5" x14ac:dyDescent="0.35">
      <c r="A158" t="s">
        <v>379</v>
      </c>
      <c r="B158">
        <v>63</v>
      </c>
      <c r="C158" t="s">
        <v>6</v>
      </c>
      <c r="D158" t="s">
        <v>7</v>
      </c>
      <c r="E158" t="s">
        <v>13</v>
      </c>
    </row>
    <row r="159" spans="1:5" x14ac:dyDescent="0.35">
      <c r="A159" t="s">
        <v>389</v>
      </c>
      <c r="B159">
        <v>63</v>
      </c>
      <c r="C159" t="s">
        <v>6</v>
      </c>
      <c r="D159" t="s">
        <v>28</v>
      </c>
      <c r="E159" t="s">
        <v>8</v>
      </c>
    </row>
    <row r="160" spans="1:5" x14ac:dyDescent="0.35">
      <c r="A160" t="s">
        <v>415</v>
      </c>
      <c r="B160">
        <v>63</v>
      </c>
      <c r="C160" t="s">
        <v>10</v>
      </c>
      <c r="D160" t="s">
        <v>7</v>
      </c>
      <c r="E160" t="s">
        <v>13</v>
      </c>
    </row>
    <row r="161" spans="1:5" x14ac:dyDescent="0.35">
      <c r="A161" t="s">
        <v>430</v>
      </c>
      <c r="B161">
        <v>63</v>
      </c>
      <c r="C161" t="s">
        <v>10</v>
      </c>
      <c r="D161" t="s">
        <v>24</v>
      </c>
      <c r="E161" t="s">
        <v>20</v>
      </c>
    </row>
    <row r="162" spans="1:5" x14ac:dyDescent="0.35">
      <c r="A162" t="s">
        <v>58</v>
      </c>
      <c r="B162">
        <v>62</v>
      </c>
      <c r="C162" t="s">
        <v>6</v>
      </c>
      <c r="D162" t="s">
        <v>15</v>
      </c>
      <c r="E162" t="s">
        <v>8</v>
      </c>
    </row>
    <row r="163" spans="1:5" x14ac:dyDescent="0.35">
      <c r="A163" t="s">
        <v>143</v>
      </c>
      <c r="B163">
        <v>62</v>
      </c>
      <c r="C163" t="s">
        <v>10</v>
      </c>
      <c r="D163" t="s">
        <v>24</v>
      </c>
      <c r="E163" t="s">
        <v>13</v>
      </c>
    </row>
    <row r="164" spans="1:5" x14ac:dyDescent="0.35">
      <c r="A164" t="s">
        <v>181</v>
      </c>
      <c r="B164">
        <v>62</v>
      </c>
      <c r="C164" t="s">
        <v>6</v>
      </c>
      <c r="D164" t="s">
        <v>24</v>
      </c>
      <c r="E164" t="s">
        <v>20</v>
      </c>
    </row>
    <row r="165" spans="1:5" x14ac:dyDescent="0.35">
      <c r="A165" t="s">
        <v>257</v>
      </c>
      <c r="B165">
        <v>62</v>
      </c>
      <c r="C165" t="s">
        <v>10</v>
      </c>
      <c r="D165" t="s">
        <v>7</v>
      </c>
      <c r="E165" t="s">
        <v>8</v>
      </c>
    </row>
    <row r="166" spans="1:5" x14ac:dyDescent="0.35">
      <c r="A166" t="s">
        <v>273</v>
      </c>
      <c r="B166">
        <v>62</v>
      </c>
      <c r="C166" t="s">
        <v>10</v>
      </c>
      <c r="D166" t="s">
        <v>28</v>
      </c>
      <c r="E166" t="s">
        <v>8</v>
      </c>
    </row>
    <row r="167" spans="1:5" x14ac:dyDescent="0.35">
      <c r="A167" t="s">
        <v>282</v>
      </c>
      <c r="B167">
        <v>62</v>
      </c>
      <c r="C167" t="s">
        <v>10</v>
      </c>
      <c r="D167" t="s">
        <v>24</v>
      </c>
      <c r="E167" t="s">
        <v>25</v>
      </c>
    </row>
    <row r="168" spans="1:5" x14ac:dyDescent="0.35">
      <c r="A168" t="s">
        <v>407</v>
      </c>
      <c r="B168">
        <v>62</v>
      </c>
      <c r="C168" t="s">
        <v>10</v>
      </c>
      <c r="D168" t="s">
        <v>7</v>
      </c>
      <c r="E168" t="s">
        <v>8</v>
      </c>
    </row>
    <row r="169" spans="1:5" x14ac:dyDescent="0.35">
      <c r="A169" t="s">
        <v>459</v>
      </c>
      <c r="B169">
        <v>62</v>
      </c>
      <c r="C169" t="s">
        <v>6</v>
      </c>
      <c r="D169" t="s">
        <v>15</v>
      </c>
      <c r="E169" t="s">
        <v>25</v>
      </c>
    </row>
    <row r="170" spans="1:5" x14ac:dyDescent="0.35">
      <c r="A170" t="s">
        <v>462</v>
      </c>
      <c r="B170">
        <v>62</v>
      </c>
      <c r="C170" t="s">
        <v>10</v>
      </c>
      <c r="D170" t="s">
        <v>28</v>
      </c>
      <c r="E170" t="s">
        <v>20</v>
      </c>
    </row>
    <row r="171" spans="1:5" x14ac:dyDescent="0.35">
      <c r="A171" t="s">
        <v>26</v>
      </c>
      <c r="B171">
        <v>61</v>
      </c>
      <c r="C171" t="s">
        <v>6</v>
      </c>
      <c r="D171" t="s">
        <v>15</v>
      </c>
      <c r="E171" t="s">
        <v>11</v>
      </c>
    </row>
    <row r="172" spans="1:5" x14ac:dyDescent="0.35">
      <c r="A172" t="s">
        <v>100</v>
      </c>
      <c r="B172">
        <v>61</v>
      </c>
      <c r="C172" t="s">
        <v>6</v>
      </c>
      <c r="D172" t="s">
        <v>28</v>
      </c>
      <c r="E172" t="s">
        <v>20</v>
      </c>
    </row>
    <row r="173" spans="1:5" x14ac:dyDescent="0.35">
      <c r="A173" t="s">
        <v>104</v>
      </c>
      <c r="B173">
        <v>61</v>
      </c>
      <c r="C173" t="s">
        <v>10</v>
      </c>
      <c r="D173" t="s">
        <v>24</v>
      </c>
      <c r="E173" t="s">
        <v>8</v>
      </c>
    </row>
    <row r="174" spans="1:5" x14ac:dyDescent="0.35">
      <c r="A174" t="s">
        <v>383</v>
      </c>
      <c r="B174">
        <v>61</v>
      </c>
      <c r="C174" t="s">
        <v>10</v>
      </c>
      <c r="D174" t="s">
        <v>17</v>
      </c>
      <c r="E174" t="s">
        <v>8</v>
      </c>
    </row>
    <row r="175" spans="1:5" x14ac:dyDescent="0.35">
      <c r="A175" t="s">
        <v>432</v>
      </c>
      <c r="B175">
        <v>61</v>
      </c>
      <c r="C175" t="s">
        <v>6</v>
      </c>
      <c r="D175" t="s">
        <v>7</v>
      </c>
      <c r="E175" t="s">
        <v>11</v>
      </c>
    </row>
    <row r="176" spans="1:5" x14ac:dyDescent="0.35">
      <c r="A176" t="s">
        <v>468</v>
      </c>
      <c r="B176">
        <v>61</v>
      </c>
      <c r="C176" t="s">
        <v>10</v>
      </c>
      <c r="D176" t="s">
        <v>7</v>
      </c>
      <c r="E176" t="s">
        <v>20</v>
      </c>
    </row>
    <row r="177" spans="1:5" x14ac:dyDescent="0.35">
      <c r="A177" t="s">
        <v>512</v>
      </c>
      <c r="B177">
        <v>61</v>
      </c>
      <c r="C177" t="s">
        <v>6</v>
      </c>
      <c r="D177" t="s">
        <v>28</v>
      </c>
      <c r="E177" t="s">
        <v>11</v>
      </c>
    </row>
    <row r="178" spans="1:5" x14ac:dyDescent="0.35">
      <c r="A178" t="s">
        <v>94</v>
      </c>
      <c r="B178">
        <v>60</v>
      </c>
      <c r="C178" t="s">
        <v>6</v>
      </c>
      <c r="D178" t="s">
        <v>15</v>
      </c>
      <c r="E178" t="s">
        <v>8</v>
      </c>
    </row>
    <row r="179" spans="1:5" x14ac:dyDescent="0.35">
      <c r="A179" t="s">
        <v>146</v>
      </c>
      <c r="B179">
        <v>60</v>
      </c>
      <c r="C179" t="s">
        <v>6</v>
      </c>
      <c r="D179" t="s">
        <v>15</v>
      </c>
      <c r="E179" t="s">
        <v>11</v>
      </c>
    </row>
    <row r="180" spans="1:5" x14ac:dyDescent="0.35">
      <c r="A180" t="s">
        <v>199</v>
      </c>
      <c r="B180">
        <v>60</v>
      </c>
      <c r="C180" t="s">
        <v>10</v>
      </c>
      <c r="D180" t="s">
        <v>7</v>
      </c>
      <c r="E180" t="s">
        <v>11</v>
      </c>
    </row>
    <row r="181" spans="1:5" x14ac:dyDescent="0.35">
      <c r="A181" t="s">
        <v>43</v>
      </c>
      <c r="B181">
        <v>59</v>
      </c>
      <c r="C181" t="s">
        <v>6</v>
      </c>
      <c r="D181" t="s">
        <v>15</v>
      </c>
      <c r="E181" t="s">
        <v>20</v>
      </c>
    </row>
    <row r="182" spans="1:5" x14ac:dyDescent="0.35">
      <c r="A182" t="s">
        <v>95</v>
      </c>
      <c r="B182">
        <v>59</v>
      </c>
      <c r="C182" t="s">
        <v>6</v>
      </c>
      <c r="D182" t="s">
        <v>28</v>
      </c>
      <c r="E182" t="s">
        <v>20</v>
      </c>
    </row>
    <row r="183" spans="1:5" x14ac:dyDescent="0.35">
      <c r="A183" t="s">
        <v>156</v>
      </c>
      <c r="B183">
        <v>59</v>
      </c>
      <c r="C183" t="s">
        <v>10</v>
      </c>
      <c r="D183" t="s">
        <v>28</v>
      </c>
      <c r="E183" t="s">
        <v>25</v>
      </c>
    </row>
    <row r="184" spans="1:5" x14ac:dyDescent="0.35">
      <c r="A184" t="s">
        <v>159</v>
      </c>
      <c r="B184">
        <v>59</v>
      </c>
      <c r="C184" t="s">
        <v>6</v>
      </c>
      <c r="D184" t="s">
        <v>28</v>
      </c>
      <c r="E184" t="s">
        <v>11</v>
      </c>
    </row>
    <row r="185" spans="1:5" x14ac:dyDescent="0.35">
      <c r="A185" t="s">
        <v>241</v>
      </c>
      <c r="B185">
        <v>59</v>
      </c>
      <c r="C185" t="s">
        <v>6</v>
      </c>
      <c r="D185" t="s">
        <v>7</v>
      </c>
      <c r="E185" t="s">
        <v>11</v>
      </c>
    </row>
    <row r="186" spans="1:5" x14ac:dyDescent="0.35">
      <c r="A186" t="s">
        <v>275</v>
      </c>
      <c r="B186">
        <v>59</v>
      </c>
      <c r="C186" t="s">
        <v>10</v>
      </c>
      <c r="D186" t="s">
        <v>28</v>
      </c>
      <c r="E186" t="s">
        <v>8</v>
      </c>
    </row>
    <row r="187" spans="1:5" x14ac:dyDescent="0.35">
      <c r="A187" t="s">
        <v>286</v>
      </c>
      <c r="B187">
        <v>59</v>
      </c>
      <c r="C187" t="s">
        <v>6</v>
      </c>
      <c r="D187" t="s">
        <v>17</v>
      </c>
      <c r="E187" t="s">
        <v>8</v>
      </c>
    </row>
    <row r="188" spans="1:5" x14ac:dyDescent="0.35">
      <c r="A188" t="s">
        <v>501</v>
      </c>
      <c r="B188">
        <v>59</v>
      </c>
      <c r="C188" t="s">
        <v>10</v>
      </c>
      <c r="D188" t="s">
        <v>15</v>
      </c>
      <c r="E188" t="s">
        <v>8</v>
      </c>
    </row>
    <row r="189" spans="1:5" x14ac:dyDescent="0.35">
      <c r="A189" t="s">
        <v>511</v>
      </c>
      <c r="B189">
        <v>59</v>
      </c>
      <c r="C189" t="s">
        <v>6</v>
      </c>
      <c r="D189" t="s">
        <v>17</v>
      </c>
      <c r="E189" t="s">
        <v>11</v>
      </c>
    </row>
    <row r="190" spans="1:5" x14ac:dyDescent="0.35">
      <c r="A190" t="s">
        <v>44</v>
      </c>
      <c r="B190">
        <v>58</v>
      </c>
      <c r="C190" t="s">
        <v>6</v>
      </c>
      <c r="D190" t="s">
        <v>28</v>
      </c>
      <c r="E190" t="s">
        <v>11</v>
      </c>
    </row>
    <row r="191" spans="1:5" x14ac:dyDescent="0.35">
      <c r="A191" t="s">
        <v>214</v>
      </c>
      <c r="B191">
        <v>58</v>
      </c>
      <c r="C191" t="s">
        <v>10</v>
      </c>
      <c r="D191" t="s">
        <v>24</v>
      </c>
      <c r="E191" t="s">
        <v>20</v>
      </c>
    </row>
    <row r="192" spans="1:5" x14ac:dyDescent="0.35">
      <c r="A192" t="s">
        <v>271</v>
      </c>
      <c r="B192">
        <v>58</v>
      </c>
      <c r="C192" t="s">
        <v>6</v>
      </c>
      <c r="D192" t="s">
        <v>28</v>
      </c>
      <c r="E192" t="s">
        <v>8</v>
      </c>
    </row>
    <row r="193" spans="1:5" x14ac:dyDescent="0.35">
      <c r="A193" t="s">
        <v>409</v>
      </c>
      <c r="B193">
        <v>58</v>
      </c>
      <c r="C193" t="s">
        <v>6</v>
      </c>
      <c r="D193" t="s">
        <v>7</v>
      </c>
      <c r="E193" t="s">
        <v>8</v>
      </c>
    </row>
    <row r="194" spans="1:5" x14ac:dyDescent="0.35">
      <c r="A194" t="s">
        <v>413</v>
      </c>
      <c r="B194">
        <v>58</v>
      </c>
      <c r="C194" t="s">
        <v>10</v>
      </c>
      <c r="D194" t="s">
        <v>15</v>
      </c>
      <c r="E194" t="s">
        <v>8</v>
      </c>
    </row>
    <row r="195" spans="1:5" x14ac:dyDescent="0.35">
      <c r="A195" t="s">
        <v>440</v>
      </c>
      <c r="B195">
        <v>58</v>
      </c>
      <c r="C195" t="s">
        <v>6</v>
      </c>
      <c r="D195" t="s">
        <v>17</v>
      </c>
      <c r="E195" t="s">
        <v>20</v>
      </c>
    </row>
    <row r="196" spans="1:5" x14ac:dyDescent="0.35">
      <c r="A196" t="s">
        <v>452</v>
      </c>
      <c r="B196">
        <v>58</v>
      </c>
      <c r="C196" t="s">
        <v>10</v>
      </c>
      <c r="D196" t="s">
        <v>7</v>
      </c>
      <c r="E196" t="s">
        <v>11</v>
      </c>
    </row>
    <row r="197" spans="1:5" x14ac:dyDescent="0.35">
      <c r="A197" t="s">
        <v>33</v>
      </c>
      <c r="B197">
        <v>57</v>
      </c>
      <c r="C197" t="s">
        <v>6</v>
      </c>
      <c r="D197" t="s">
        <v>28</v>
      </c>
      <c r="E197" t="s">
        <v>8</v>
      </c>
    </row>
    <row r="198" spans="1:5" x14ac:dyDescent="0.35">
      <c r="A198" t="s">
        <v>54</v>
      </c>
      <c r="B198">
        <v>57</v>
      </c>
      <c r="C198" t="s">
        <v>6</v>
      </c>
      <c r="D198" t="s">
        <v>7</v>
      </c>
      <c r="E198" t="s">
        <v>11</v>
      </c>
    </row>
    <row r="199" spans="1:5" x14ac:dyDescent="0.35">
      <c r="A199" t="s">
        <v>74</v>
      </c>
      <c r="B199">
        <v>57</v>
      </c>
      <c r="C199" t="s">
        <v>6</v>
      </c>
      <c r="D199" t="s">
        <v>15</v>
      </c>
      <c r="E199" t="s">
        <v>8</v>
      </c>
    </row>
    <row r="200" spans="1:5" x14ac:dyDescent="0.35">
      <c r="A200" t="s">
        <v>90</v>
      </c>
      <c r="B200">
        <v>57</v>
      </c>
      <c r="C200" t="s">
        <v>10</v>
      </c>
      <c r="D200" t="s">
        <v>24</v>
      </c>
      <c r="E200" t="s">
        <v>20</v>
      </c>
    </row>
    <row r="201" spans="1:5" x14ac:dyDescent="0.35">
      <c r="A201" t="s">
        <v>147</v>
      </c>
      <c r="B201">
        <v>57</v>
      </c>
      <c r="C201" t="s">
        <v>6</v>
      </c>
      <c r="D201" t="s">
        <v>28</v>
      </c>
      <c r="E201" t="s">
        <v>8</v>
      </c>
    </row>
    <row r="202" spans="1:5" x14ac:dyDescent="0.35">
      <c r="A202" t="s">
        <v>243</v>
      </c>
      <c r="B202">
        <v>57</v>
      </c>
      <c r="C202" t="s">
        <v>10</v>
      </c>
      <c r="D202" t="s">
        <v>7</v>
      </c>
      <c r="E202" t="s">
        <v>13</v>
      </c>
    </row>
    <row r="203" spans="1:5" x14ac:dyDescent="0.35">
      <c r="A203" t="s">
        <v>256</v>
      </c>
      <c r="B203">
        <v>57</v>
      </c>
      <c r="C203" t="s">
        <v>6</v>
      </c>
      <c r="D203" t="s">
        <v>17</v>
      </c>
      <c r="E203" t="s">
        <v>8</v>
      </c>
    </row>
    <row r="204" spans="1:5" x14ac:dyDescent="0.35">
      <c r="A204" t="s">
        <v>262</v>
      </c>
      <c r="B204">
        <v>57</v>
      </c>
      <c r="C204" t="s">
        <v>10</v>
      </c>
      <c r="D204" t="s">
        <v>24</v>
      </c>
      <c r="E204" t="s">
        <v>20</v>
      </c>
    </row>
    <row r="205" spans="1:5" x14ac:dyDescent="0.35">
      <c r="A205" t="s">
        <v>263</v>
      </c>
      <c r="B205">
        <v>57</v>
      </c>
      <c r="C205" t="s">
        <v>6</v>
      </c>
      <c r="D205" t="s">
        <v>17</v>
      </c>
      <c r="E205" t="s">
        <v>20</v>
      </c>
    </row>
    <row r="206" spans="1:5" x14ac:dyDescent="0.35">
      <c r="A206" t="s">
        <v>267</v>
      </c>
      <c r="B206">
        <v>57</v>
      </c>
      <c r="C206" t="s">
        <v>6</v>
      </c>
      <c r="D206" t="s">
        <v>7</v>
      </c>
      <c r="E206" t="s">
        <v>25</v>
      </c>
    </row>
    <row r="207" spans="1:5" x14ac:dyDescent="0.35">
      <c r="A207" t="s">
        <v>420</v>
      </c>
      <c r="B207">
        <v>57</v>
      </c>
      <c r="C207" t="s">
        <v>10</v>
      </c>
      <c r="D207" t="s">
        <v>24</v>
      </c>
      <c r="E207" t="s">
        <v>20</v>
      </c>
    </row>
    <row r="208" spans="1:5" x14ac:dyDescent="0.35">
      <c r="A208" t="s">
        <v>506</v>
      </c>
      <c r="B208">
        <v>57</v>
      </c>
      <c r="C208" t="s">
        <v>10</v>
      </c>
      <c r="D208" t="s">
        <v>24</v>
      </c>
      <c r="E208" t="s">
        <v>11</v>
      </c>
    </row>
    <row r="209" spans="1:5" x14ac:dyDescent="0.35">
      <c r="A209" t="s">
        <v>78</v>
      </c>
      <c r="B209">
        <v>56</v>
      </c>
      <c r="C209" t="s">
        <v>6</v>
      </c>
      <c r="D209" t="s">
        <v>28</v>
      </c>
      <c r="E209" t="s">
        <v>11</v>
      </c>
    </row>
    <row r="210" spans="1:5" x14ac:dyDescent="0.35">
      <c r="A210" t="s">
        <v>97</v>
      </c>
      <c r="B210">
        <v>56</v>
      </c>
      <c r="C210" t="s">
        <v>10</v>
      </c>
      <c r="D210" t="s">
        <v>24</v>
      </c>
      <c r="E210" t="s">
        <v>20</v>
      </c>
    </row>
    <row r="211" spans="1:5" x14ac:dyDescent="0.35">
      <c r="A211" t="s">
        <v>135</v>
      </c>
      <c r="B211">
        <v>56</v>
      </c>
      <c r="C211" t="s">
        <v>10</v>
      </c>
      <c r="D211" t="s">
        <v>7</v>
      </c>
      <c r="E211" t="s">
        <v>8</v>
      </c>
    </row>
    <row r="212" spans="1:5" x14ac:dyDescent="0.35">
      <c r="A212" t="s">
        <v>149</v>
      </c>
      <c r="B212">
        <v>56</v>
      </c>
      <c r="C212" t="s">
        <v>6</v>
      </c>
      <c r="D212" t="s">
        <v>28</v>
      </c>
      <c r="E212" t="s">
        <v>8</v>
      </c>
    </row>
    <row r="213" spans="1:5" x14ac:dyDescent="0.35">
      <c r="A213" t="s">
        <v>166</v>
      </c>
      <c r="B213">
        <v>56</v>
      </c>
      <c r="C213" t="s">
        <v>6</v>
      </c>
      <c r="D213" t="s">
        <v>24</v>
      </c>
      <c r="E213" t="s">
        <v>8</v>
      </c>
    </row>
    <row r="214" spans="1:5" x14ac:dyDescent="0.35">
      <c r="A214" t="s">
        <v>200</v>
      </c>
      <c r="B214">
        <v>56</v>
      </c>
      <c r="C214" t="s">
        <v>10</v>
      </c>
      <c r="D214" t="s">
        <v>7</v>
      </c>
      <c r="E214" t="s">
        <v>20</v>
      </c>
    </row>
    <row r="215" spans="1:5" x14ac:dyDescent="0.35">
      <c r="A215" t="s">
        <v>291</v>
      </c>
      <c r="B215">
        <v>56</v>
      </c>
      <c r="C215" t="s">
        <v>6</v>
      </c>
      <c r="D215" t="s">
        <v>7</v>
      </c>
      <c r="E215" t="s">
        <v>13</v>
      </c>
    </row>
    <row r="216" spans="1:5" x14ac:dyDescent="0.35">
      <c r="A216" t="s">
        <v>295</v>
      </c>
      <c r="B216">
        <v>56</v>
      </c>
      <c r="C216" t="s">
        <v>10</v>
      </c>
      <c r="D216" t="s">
        <v>24</v>
      </c>
      <c r="E216" t="s">
        <v>8</v>
      </c>
    </row>
    <row r="217" spans="1:5" x14ac:dyDescent="0.35">
      <c r="A217" t="s">
        <v>341</v>
      </c>
      <c r="B217">
        <v>56</v>
      </c>
      <c r="C217" t="s">
        <v>10</v>
      </c>
      <c r="D217" t="s">
        <v>24</v>
      </c>
      <c r="E217" t="s">
        <v>11</v>
      </c>
    </row>
    <row r="218" spans="1:5" x14ac:dyDescent="0.35">
      <c r="A218" t="s">
        <v>500</v>
      </c>
      <c r="B218">
        <v>56</v>
      </c>
      <c r="C218" t="s">
        <v>10</v>
      </c>
      <c r="D218" t="s">
        <v>15</v>
      </c>
      <c r="E218" t="s">
        <v>13</v>
      </c>
    </row>
    <row r="219" spans="1:5" x14ac:dyDescent="0.35">
      <c r="A219" t="s">
        <v>21</v>
      </c>
      <c r="B219">
        <v>55</v>
      </c>
      <c r="C219" t="s">
        <v>10</v>
      </c>
      <c r="D219" t="s">
        <v>15</v>
      </c>
      <c r="E219" t="s">
        <v>11</v>
      </c>
    </row>
    <row r="220" spans="1:5" x14ac:dyDescent="0.35">
      <c r="A220" t="s">
        <v>45</v>
      </c>
      <c r="B220">
        <v>55</v>
      </c>
      <c r="C220" t="s">
        <v>10</v>
      </c>
      <c r="D220" t="s">
        <v>7</v>
      </c>
      <c r="E220" t="s">
        <v>11</v>
      </c>
    </row>
    <row r="221" spans="1:5" x14ac:dyDescent="0.35">
      <c r="A221" t="s">
        <v>248</v>
      </c>
      <c r="B221">
        <v>55</v>
      </c>
      <c r="C221" t="s">
        <v>6</v>
      </c>
      <c r="D221" t="s">
        <v>15</v>
      </c>
      <c r="E221" t="s">
        <v>11</v>
      </c>
    </row>
    <row r="222" spans="1:5" x14ac:dyDescent="0.35">
      <c r="A222" t="s">
        <v>278</v>
      </c>
      <c r="B222">
        <v>55</v>
      </c>
      <c r="C222" t="s">
        <v>10</v>
      </c>
      <c r="D222" t="s">
        <v>15</v>
      </c>
      <c r="E222" t="s">
        <v>25</v>
      </c>
    </row>
    <row r="223" spans="1:5" x14ac:dyDescent="0.35">
      <c r="A223" t="s">
        <v>361</v>
      </c>
      <c r="B223">
        <v>55</v>
      </c>
      <c r="C223" t="s">
        <v>6</v>
      </c>
      <c r="D223" t="s">
        <v>24</v>
      </c>
      <c r="E223" t="s">
        <v>20</v>
      </c>
    </row>
    <row r="224" spans="1:5" x14ac:dyDescent="0.35">
      <c r="A224" t="s">
        <v>394</v>
      </c>
      <c r="B224">
        <v>55</v>
      </c>
      <c r="C224" t="s">
        <v>6</v>
      </c>
      <c r="D224" t="s">
        <v>24</v>
      </c>
      <c r="E224" t="s">
        <v>8</v>
      </c>
    </row>
    <row r="225" spans="1:5" x14ac:dyDescent="0.35">
      <c r="A225" t="s">
        <v>404</v>
      </c>
      <c r="B225">
        <v>55</v>
      </c>
      <c r="C225" t="s">
        <v>6</v>
      </c>
      <c r="D225" t="s">
        <v>7</v>
      </c>
      <c r="E225" t="s">
        <v>8</v>
      </c>
    </row>
    <row r="226" spans="1:5" x14ac:dyDescent="0.35">
      <c r="A226" t="s">
        <v>429</v>
      </c>
      <c r="B226">
        <v>55</v>
      </c>
      <c r="C226" t="s">
        <v>10</v>
      </c>
      <c r="D226" t="s">
        <v>17</v>
      </c>
      <c r="E226" t="s">
        <v>13</v>
      </c>
    </row>
    <row r="227" spans="1:5" x14ac:dyDescent="0.35">
      <c r="A227" t="s">
        <v>516</v>
      </c>
      <c r="B227">
        <v>55</v>
      </c>
      <c r="C227" t="s">
        <v>10</v>
      </c>
      <c r="D227" t="s">
        <v>17</v>
      </c>
      <c r="E227" t="s">
        <v>8</v>
      </c>
    </row>
    <row r="228" spans="1:5" x14ac:dyDescent="0.35">
      <c r="A228" t="s">
        <v>19</v>
      </c>
      <c r="B228">
        <v>54</v>
      </c>
      <c r="C228" t="s">
        <v>6</v>
      </c>
      <c r="D228" t="s">
        <v>17</v>
      </c>
      <c r="E228" t="s">
        <v>20</v>
      </c>
    </row>
    <row r="229" spans="1:5" x14ac:dyDescent="0.35">
      <c r="A229" t="s">
        <v>41</v>
      </c>
      <c r="B229">
        <v>54</v>
      </c>
      <c r="C229" t="s">
        <v>6</v>
      </c>
      <c r="D229" t="s">
        <v>7</v>
      </c>
      <c r="E229" t="s">
        <v>11</v>
      </c>
    </row>
    <row r="230" spans="1:5" x14ac:dyDescent="0.35">
      <c r="A230" t="s">
        <v>48</v>
      </c>
      <c r="B230">
        <v>54</v>
      </c>
      <c r="C230" t="s">
        <v>6</v>
      </c>
      <c r="D230" t="s">
        <v>7</v>
      </c>
      <c r="E230" t="s">
        <v>20</v>
      </c>
    </row>
    <row r="231" spans="1:5" x14ac:dyDescent="0.35">
      <c r="A231" t="s">
        <v>145</v>
      </c>
      <c r="B231">
        <v>54</v>
      </c>
      <c r="C231" t="s">
        <v>6</v>
      </c>
      <c r="D231" t="s">
        <v>15</v>
      </c>
      <c r="E231" t="s">
        <v>8</v>
      </c>
    </row>
    <row r="232" spans="1:5" x14ac:dyDescent="0.35">
      <c r="A232" t="s">
        <v>187</v>
      </c>
      <c r="B232">
        <v>54</v>
      </c>
      <c r="C232" t="s">
        <v>10</v>
      </c>
      <c r="D232" t="s">
        <v>28</v>
      </c>
      <c r="E232" t="s">
        <v>11</v>
      </c>
    </row>
    <row r="233" spans="1:5" x14ac:dyDescent="0.35">
      <c r="A233" t="s">
        <v>197</v>
      </c>
      <c r="B233">
        <v>54</v>
      </c>
      <c r="C233" t="s">
        <v>6</v>
      </c>
      <c r="D233" t="s">
        <v>28</v>
      </c>
      <c r="E233" t="s">
        <v>13</v>
      </c>
    </row>
    <row r="234" spans="1:5" x14ac:dyDescent="0.35">
      <c r="A234" t="s">
        <v>252</v>
      </c>
      <c r="B234">
        <v>54</v>
      </c>
      <c r="C234" t="s">
        <v>10</v>
      </c>
      <c r="D234" t="s">
        <v>17</v>
      </c>
      <c r="E234" t="s">
        <v>11</v>
      </c>
    </row>
    <row r="235" spans="1:5" x14ac:dyDescent="0.35">
      <c r="A235" t="s">
        <v>308</v>
      </c>
      <c r="B235">
        <v>54</v>
      </c>
      <c r="C235" t="s">
        <v>6</v>
      </c>
      <c r="D235" t="s">
        <v>24</v>
      </c>
      <c r="E235" t="s">
        <v>25</v>
      </c>
    </row>
    <row r="236" spans="1:5" x14ac:dyDescent="0.35">
      <c r="A236" t="s">
        <v>471</v>
      </c>
      <c r="B236">
        <v>54</v>
      </c>
      <c r="C236" t="s">
        <v>6</v>
      </c>
      <c r="D236" t="s">
        <v>17</v>
      </c>
      <c r="E236" t="s">
        <v>25</v>
      </c>
    </row>
    <row r="237" spans="1:5" x14ac:dyDescent="0.35">
      <c r="A237" t="s">
        <v>487</v>
      </c>
      <c r="B237">
        <v>54</v>
      </c>
      <c r="C237" t="s">
        <v>6</v>
      </c>
      <c r="D237" t="s">
        <v>24</v>
      </c>
      <c r="E237" t="s">
        <v>20</v>
      </c>
    </row>
    <row r="238" spans="1:5" x14ac:dyDescent="0.35">
      <c r="A238" t="s">
        <v>515</v>
      </c>
      <c r="B238">
        <v>54</v>
      </c>
      <c r="C238" t="s">
        <v>10</v>
      </c>
      <c r="D238" t="s">
        <v>15</v>
      </c>
      <c r="E238" t="s">
        <v>11</v>
      </c>
    </row>
    <row r="239" spans="1:5" x14ac:dyDescent="0.35">
      <c r="A239" t="s">
        <v>69</v>
      </c>
      <c r="B239">
        <v>53</v>
      </c>
      <c r="C239" t="s">
        <v>10</v>
      </c>
      <c r="D239" t="s">
        <v>15</v>
      </c>
      <c r="E239" t="s">
        <v>25</v>
      </c>
    </row>
    <row r="240" spans="1:5" x14ac:dyDescent="0.35">
      <c r="A240" t="s">
        <v>76</v>
      </c>
      <c r="B240">
        <v>53</v>
      </c>
      <c r="C240" t="s">
        <v>6</v>
      </c>
      <c r="D240" t="s">
        <v>7</v>
      </c>
      <c r="E240" t="s">
        <v>8</v>
      </c>
    </row>
    <row r="241" spans="1:5" x14ac:dyDescent="0.35">
      <c r="A241" t="s">
        <v>85</v>
      </c>
      <c r="B241">
        <v>53</v>
      </c>
      <c r="C241" t="s">
        <v>6</v>
      </c>
      <c r="D241" t="s">
        <v>28</v>
      </c>
      <c r="E241" t="s">
        <v>11</v>
      </c>
    </row>
    <row r="242" spans="1:5" x14ac:dyDescent="0.35">
      <c r="A242" t="s">
        <v>326</v>
      </c>
      <c r="B242">
        <v>53</v>
      </c>
      <c r="C242" t="s">
        <v>6</v>
      </c>
      <c r="D242" t="s">
        <v>24</v>
      </c>
      <c r="E242" t="s">
        <v>20</v>
      </c>
    </row>
    <row r="243" spans="1:5" x14ac:dyDescent="0.35">
      <c r="A243" t="s">
        <v>495</v>
      </c>
      <c r="B243">
        <v>53</v>
      </c>
      <c r="C243" t="s">
        <v>10</v>
      </c>
      <c r="D243" t="s">
        <v>28</v>
      </c>
      <c r="E243" t="s">
        <v>13</v>
      </c>
    </row>
    <row r="244" spans="1:5" x14ac:dyDescent="0.35">
      <c r="A244" t="s">
        <v>498</v>
      </c>
      <c r="B244">
        <v>53</v>
      </c>
      <c r="C244" t="s">
        <v>10</v>
      </c>
      <c r="D244" t="s">
        <v>17</v>
      </c>
      <c r="E244" t="s">
        <v>25</v>
      </c>
    </row>
    <row r="245" spans="1:5" x14ac:dyDescent="0.35">
      <c r="A245" t="s">
        <v>98</v>
      </c>
      <c r="B245">
        <v>52</v>
      </c>
      <c r="C245" t="s">
        <v>10</v>
      </c>
      <c r="D245" t="s">
        <v>17</v>
      </c>
      <c r="E245" t="s">
        <v>11</v>
      </c>
    </row>
    <row r="246" spans="1:5" x14ac:dyDescent="0.35">
      <c r="A246" t="s">
        <v>225</v>
      </c>
      <c r="B246">
        <v>52</v>
      </c>
      <c r="C246" t="s">
        <v>6</v>
      </c>
      <c r="D246" t="s">
        <v>7</v>
      </c>
      <c r="E246" t="s">
        <v>8</v>
      </c>
    </row>
    <row r="247" spans="1:5" x14ac:dyDescent="0.35">
      <c r="A247" t="s">
        <v>303</v>
      </c>
      <c r="B247">
        <v>52</v>
      </c>
      <c r="C247" t="s">
        <v>6</v>
      </c>
      <c r="D247" t="s">
        <v>24</v>
      </c>
      <c r="E247" t="s">
        <v>8</v>
      </c>
    </row>
    <row r="248" spans="1:5" x14ac:dyDescent="0.35">
      <c r="A248" t="s">
        <v>365</v>
      </c>
      <c r="B248">
        <v>52</v>
      </c>
      <c r="C248" t="s">
        <v>6</v>
      </c>
      <c r="D248" t="s">
        <v>17</v>
      </c>
      <c r="E248" t="s">
        <v>11</v>
      </c>
    </row>
    <row r="249" spans="1:5" x14ac:dyDescent="0.35">
      <c r="A249" t="s">
        <v>476</v>
      </c>
      <c r="B249">
        <v>52</v>
      </c>
      <c r="C249" t="s">
        <v>6</v>
      </c>
      <c r="D249" t="s">
        <v>28</v>
      </c>
      <c r="E249" t="s">
        <v>20</v>
      </c>
    </row>
    <row r="250" spans="1:5" x14ac:dyDescent="0.35">
      <c r="A250" t="s">
        <v>46</v>
      </c>
      <c r="B250">
        <v>51</v>
      </c>
      <c r="C250" t="s">
        <v>6</v>
      </c>
      <c r="D250" t="s">
        <v>24</v>
      </c>
      <c r="E250" t="s">
        <v>11</v>
      </c>
    </row>
    <row r="251" spans="1:5" x14ac:dyDescent="0.35">
      <c r="A251" t="s">
        <v>160</v>
      </c>
      <c r="B251">
        <v>51</v>
      </c>
      <c r="C251" t="s">
        <v>6</v>
      </c>
      <c r="D251" t="s">
        <v>15</v>
      </c>
      <c r="E251" t="s">
        <v>20</v>
      </c>
    </row>
    <row r="252" spans="1:5" x14ac:dyDescent="0.35">
      <c r="A252" t="s">
        <v>363</v>
      </c>
      <c r="B252">
        <v>51</v>
      </c>
      <c r="C252" t="s">
        <v>10</v>
      </c>
      <c r="D252" t="s">
        <v>24</v>
      </c>
      <c r="E252" t="s">
        <v>11</v>
      </c>
    </row>
    <row r="253" spans="1:5" x14ac:dyDescent="0.35">
      <c r="A253" t="s">
        <v>497</v>
      </c>
      <c r="B253">
        <v>51</v>
      </c>
      <c r="C253" t="s">
        <v>10</v>
      </c>
      <c r="D253" t="s">
        <v>24</v>
      </c>
      <c r="E253" t="s">
        <v>13</v>
      </c>
    </row>
    <row r="254" spans="1:5" x14ac:dyDescent="0.35">
      <c r="A254" t="s">
        <v>84</v>
      </c>
      <c r="B254">
        <v>50</v>
      </c>
      <c r="C254" t="s">
        <v>10</v>
      </c>
      <c r="D254" t="s">
        <v>24</v>
      </c>
      <c r="E254" t="s">
        <v>25</v>
      </c>
    </row>
    <row r="255" spans="1:5" x14ac:dyDescent="0.35">
      <c r="A255" t="s">
        <v>154</v>
      </c>
      <c r="B255">
        <v>50</v>
      </c>
      <c r="C255" t="s">
        <v>10</v>
      </c>
      <c r="D255" t="s">
        <v>7</v>
      </c>
      <c r="E255" t="s">
        <v>13</v>
      </c>
    </row>
    <row r="256" spans="1:5" x14ac:dyDescent="0.35">
      <c r="A256" t="s">
        <v>264</v>
      </c>
      <c r="B256">
        <v>50</v>
      </c>
      <c r="C256" t="s">
        <v>10</v>
      </c>
      <c r="D256" t="s">
        <v>15</v>
      </c>
      <c r="E256" t="s">
        <v>8</v>
      </c>
    </row>
    <row r="257" spans="1:5" x14ac:dyDescent="0.35">
      <c r="A257" t="s">
        <v>331</v>
      </c>
      <c r="B257">
        <v>50</v>
      </c>
      <c r="C257" t="s">
        <v>10</v>
      </c>
      <c r="D257" t="s">
        <v>15</v>
      </c>
      <c r="E257" t="s">
        <v>8</v>
      </c>
    </row>
    <row r="258" spans="1:5" x14ac:dyDescent="0.35">
      <c r="A258" t="s">
        <v>408</v>
      </c>
      <c r="B258">
        <v>50</v>
      </c>
      <c r="C258" t="s">
        <v>6</v>
      </c>
      <c r="D258" t="s">
        <v>15</v>
      </c>
      <c r="E258" t="s">
        <v>11</v>
      </c>
    </row>
    <row r="259" spans="1:5" x14ac:dyDescent="0.35">
      <c r="A259" t="s">
        <v>419</v>
      </c>
      <c r="B259">
        <v>50</v>
      </c>
      <c r="C259" t="s">
        <v>6</v>
      </c>
      <c r="D259" t="s">
        <v>28</v>
      </c>
      <c r="E259" t="s">
        <v>8</v>
      </c>
    </row>
    <row r="260" spans="1:5" x14ac:dyDescent="0.35">
      <c r="A260" t="s">
        <v>423</v>
      </c>
      <c r="B260">
        <v>50</v>
      </c>
      <c r="C260" t="s">
        <v>6</v>
      </c>
      <c r="D260" t="s">
        <v>24</v>
      </c>
      <c r="E260" t="s">
        <v>13</v>
      </c>
    </row>
    <row r="261" spans="1:5" x14ac:dyDescent="0.35">
      <c r="A261" t="s">
        <v>425</v>
      </c>
      <c r="B261">
        <v>50</v>
      </c>
      <c r="C261" t="s">
        <v>10</v>
      </c>
      <c r="D261" t="s">
        <v>24</v>
      </c>
      <c r="E261" t="s">
        <v>25</v>
      </c>
    </row>
    <row r="262" spans="1:5" x14ac:dyDescent="0.35">
      <c r="A262" t="s">
        <v>123</v>
      </c>
      <c r="B262">
        <v>49</v>
      </c>
      <c r="C262" t="s">
        <v>6</v>
      </c>
      <c r="D262" t="s">
        <v>28</v>
      </c>
      <c r="E262" t="s">
        <v>8</v>
      </c>
    </row>
    <row r="263" spans="1:5" x14ac:dyDescent="0.35">
      <c r="A263" t="s">
        <v>165</v>
      </c>
      <c r="B263">
        <v>49</v>
      </c>
      <c r="C263" t="s">
        <v>6</v>
      </c>
      <c r="D263" t="s">
        <v>7</v>
      </c>
      <c r="E263" t="s">
        <v>25</v>
      </c>
    </row>
    <row r="264" spans="1:5" x14ac:dyDescent="0.35">
      <c r="A264" t="s">
        <v>230</v>
      </c>
      <c r="B264">
        <v>49</v>
      </c>
      <c r="C264" t="s">
        <v>6</v>
      </c>
      <c r="D264" t="s">
        <v>24</v>
      </c>
      <c r="E264" t="s">
        <v>20</v>
      </c>
    </row>
    <row r="265" spans="1:5" x14ac:dyDescent="0.35">
      <c r="A265" t="s">
        <v>288</v>
      </c>
      <c r="B265">
        <v>49</v>
      </c>
      <c r="C265" t="s">
        <v>10</v>
      </c>
      <c r="D265" t="s">
        <v>28</v>
      </c>
      <c r="E265" t="s">
        <v>11</v>
      </c>
    </row>
    <row r="266" spans="1:5" x14ac:dyDescent="0.35">
      <c r="A266" t="s">
        <v>333</v>
      </c>
      <c r="B266">
        <v>49</v>
      </c>
      <c r="C266" t="s">
        <v>6</v>
      </c>
      <c r="D266" t="s">
        <v>17</v>
      </c>
      <c r="E266" t="s">
        <v>13</v>
      </c>
    </row>
    <row r="267" spans="1:5" x14ac:dyDescent="0.35">
      <c r="A267" t="s">
        <v>345</v>
      </c>
      <c r="B267">
        <v>49</v>
      </c>
      <c r="C267" t="s">
        <v>6</v>
      </c>
      <c r="D267" t="s">
        <v>28</v>
      </c>
      <c r="E267" t="s">
        <v>8</v>
      </c>
    </row>
    <row r="268" spans="1:5" x14ac:dyDescent="0.35">
      <c r="A268" t="s">
        <v>405</v>
      </c>
      <c r="B268">
        <v>49</v>
      </c>
      <c r="C268" t="s">
        <v>10</v>
      </c>
      <c r="D268" t="s">
        <v>24</v>
      </c>
      <c r="E268" t="s">
        <v>13</v>
      </c>
    </row>
    <row r="269" spans="1:5" x14ac:dyDescent="0.35">
      <c r="A269" t="s">
        <v>416</v>
      </c>
      <c r="B269">
        <v>49</v>
      </c>
      <c r="C269" t="s">
        <v>10</v>
      </c>
      <c r="D269" t="s">
        <v>24</v>
      </c>
      <c r="E269" t="s">
        <v>13</v>
      </c>
    </row>
    <row r="270" spans="1:5" x14ac:dyDescent="0.35">
      <c r="A270" t="s">
        <v>421</v>
      </c>
      <c r="B270">
        <v>49</v>
      </c>
      <c r="C270" t="s">
        <v>6</v>
      </c>
      <c r="D270" t="s">
        <v>28</v>
      </c>
      <c r="E270" t="s">
        <v>8</v>
      </c>
    </row>
    <row r="271" spans="1:5" x14ac:dyDescent="0.35">
      <c r="A271" t="s">
        <v>439</v>
      </c>
      <c r="B271">
        <v>49</v>
      </c>
      <c r="C271" t="s">
        <v>6</v>
      </c>
      <c r="D271" t="s">
        <v>28</v>
      </c>
      <c r="E271" t="s">
        <v>11</v>
      </c>
    </row>
    <row r="272" spans="1:5" x14ac:dyDescent="0.35">
      <c r="A272" t="s">
        <v>466</v>
      </c>
      <c r="B272">
        <v>49</v>
      </c>
      <c r="C272" t="s">
        <v>6</v>
      </c>
      <c r="D272" t="s">
        <v>28</v>
      </c>
      <c r="E272" t="s">
        <v>20</v>
      </c>
    </row>
    <row r="273" spans="1:5" x14ac:dyDescent="0.35">
      <c r="A273" t="s">
        <v>52</v>
      </c>
      <c r="B273">
        <v>48</v>
      </c>
      <c r="C273" t="s">
        <v>10</v>
      </c>
      <c r="D273" t="s">
        <v>7</v>
      </c>
      <c r="E273" t="s">
        <v>20</v>
      </c>
    </row>
    <row r="274" spans="1:5" x14ac:dyDescent="0.35">
      <c r="A274" t="s">
        <v>140</v>
      </c>
      <c r="B274">
        <v>48</v>
      </c>
      <c r="C274" t="s">
        <v>6</v>
      </c>
      <c r="D274" t="s">
        <v>28</v>
      </c>
      <c r="E274" t="s">
        <v>20</v>
      </c>
    </row>
    <row r="275" spans="1:5" x14ac:dyDescent="0.35">
      <c r="A275" t="s">
        <v>284</v>
      </c>
      <c r="B275">
        <v>48</v>
      </c>
      <c r="C275" t="s">
        <v>10</v>
      </c>
      <c r="D275" t="s">
        <v>7</v>
      </c>
      <c r="E275" t="s">
        <v>8</v>
      </c>
    </row>
    <row r="276" spans="1:5" x14ac:dyDescent="0.35">
      <c r="A276" t="s">
        <v>292</v>
      </c>
      <c r="B276">
        <v>48</v>
      </c>
      <c r="C276" t="s">
        <v>6</v>
      </c>
      <c r="D276" t="s">
        <v>28</v>
      </c>
      <c r="E276" t="s">
        <v>13</v>
      </c>
    </row>
    <row r="277" spans="1:5" x14ac:dyDescent="0.35">
      <c r="A277" t="s">
        <v>482</v>
      </c>
      <c r="B277">
        <v>48</v>
      </c>
      <c r="C277" t="s">
        <v>6</v>
      </c>
      <c r="D277" t="s">
        <v>28</v>
      </c>
      <c r="E277" t="s">
        <v>25</v>
      </c>
    </row>
    <row r="278" spans="1:5" x14ac:dyDescent="0.35">
      <c r="A278" t="s">
        <v>29</v>
      </c>
      <c r="B278">
        <v>47</v>
      </c>
      <c r="C278" t="s">
        <v>10</v>
      </c>
      <c r="D278" t="s">
        <v>24</v>
      </c>
      <c r="E278" t="s">
        <v>8</v>
      </c>
    </row>
    <row r="279" spans="1:5" x14ac:dyDescent="0.35">
      <c r="A279" t="s">
        <v>161</v>
      </c>
      <c r="B279">
        <v>47</v>
      </c>
      <c r="C279" t="s">
        <v>6</v>
      </c>
      <c r="D279" t="s">
        <v>24</v>
      </c>
      <c r="E279" t="s">
        <v>13</v>
      </c>
    </row>
    <row r="280" spans="1:5" x14ac:dyDescent="0.35">
      <c r="A280" t="s">
        <v>175</v>
      </c>
      <c r="B280">
        <v>47</v>
      </c>
      <c r="C280" t="s">
        <v>6</v>
      </c>
      <c r="D280" t="s">
        <v>17</v>
      </c>
      <c r="E280" t="s">
        <v>20</v>
      </c>
    </row>
    <row r="281" spans="1:5" x14ac:dyDescent="0.35">
      <c r="A281" t="s">
        <v>183</v>
      </c>
      <c r="B281">
        <v>47</v>
      </c>
      <c r="C281" t="s">
        <v>6</v>
      </c>
      <c r="D281" t="s">
        <v>24</v>
      </c>
      <c r="E281" t="s">
        <v>8</v>
      </c>
    </row>
    <row r="282" spans="1:5" x14ac:dyDescent="0.35">
      <c r="A282" t="s">
        <v>290</v>
      </c>
      <c r="B282">
        <v>47</v>
      </c>
      <c r="C282" t="s">
        <v>10</v>
      </c>
      <c r="D282" t="s">
        <v>24</v>
      </c>
      <c r="E282" t="s">
        <v>11</v>
      </c>
    </row>
    <row r="283" spans="1:5" x14ac:dyDescent="0.35">
      <c r="A283" t="s">
        <v>304</v>
      </c>
      <c r="B283">
        <v>47</v>
      </c>
      <c r="C283" t="s">
        <v>10</v>
      </c>
      <c r="D283" t="s">
        <v>15</v>
      </c>
      <c r="E283" t="s">
        <v>20</v>
      </c>
    </row>
    <row r="284" spans="1:5" x14ac:dyDescent="0.35">
      <c r="A284" t="s">
        <v>424</v>
      </c>
      <c r="B284">
        <v>47</v>
      </c>
      <c r="C284" t="s">
        <v>6</v>
      </c>
      <c r="D284" t="s">
        <v>28</v>
      </c>
      <c r="E284" t="s">
        <v>11</v>
      </c>
    </row>
    <row r="285" spans="1:5" x14ac:dyDescent="0.35">
      <c r="A285" t="s">
        <v>40</v>
      </c>
      <c r="B285">
        <v>46</v>
      </c>
      <c r="C285" t="s">
        <v>6</v>
      </c>
      <c r="D285" t="s">
        <v>28</v>
      </c>
      <c r="E285" t="s">
        <v>8</v>
      </c>
    </row>
    <row r="286" spans="1:5" x14ac:dyDescent="0.35">
      <c r="A286" t="s">
        <v>71</v>
      </c>
      <c r="B286">
        <v>46</v>
      </c>
      <c r="C286" t="s">
        <v>10</v>
      </c>
      <c r="D286" t="s">
        <v>7</v>
      </c>
      <c r="E286" t="s">
        <v>25</v>
      </c>
    </row>
    <row r="287" spans="1:5" x14ac:dyDescent="0.35">
      <c r="A287" t="s">
        <v>168</v>
      </c>
      <c r="B287">
        <v>46</v>
      </c>
      <c r="C287" t="s">
        <v>6</v>
      </c>
      <c r="D287" t="s">
        <v>7</v>
      </c>
      <c r="E287" t="s">
        <v>8</v>
      </c>
    </row>
    <row r="288" spans="1:5" x14ac:dyDescent="0.35">
      <c r="A288" t="s">
        <v>237</v>
      </c>
      <c r="B288">
        <v>46</v>
      </c>
      <c r="C288" t="s">
        <v>10</v>
      </c>
      <c r="D288" t="s">
        <v>17</v>
      </c>
      <c r="E288" t="s">
        <v>11</v>
      </c>
    </row>
    <row r="289" spans="1:5" x14ac:dyDescent="0.35">
      <c r="A289" t="s">
        <v>325</v>
      </c>
      <c r="B289">
        <v>46</v>
      </c>
      <c r="C289" t="s">
        <v>10</v>
      </c>
      <c r="D289" t="s">
        <v>24</v>
      </c>
      <c r="E289" t="s">
        <v>25</v>
      </c>
    </row>
    <row r="290" spans="1:5" x14ac:dyDescent="0.35">
      <c r="A290" t="s">
        <v>329</v>
      </c>
      <c r="B290">
        <v>46</v>
      </c>
      <c r="C290" t="s">
        <v>6</v>
      </c>
      <c r="D290" t="s">
        <v>28</v>
      </c>
      <c r="E290" t="s">
        <v>13</v>
      </c>
    </row>
    <row r="291" spans="1:5" x14ac:dyDescent="0.35">
      <c r="A291" t="s">
        <v>338</v>
      </c>
      <c r="B291">
        <v>46</v>
      </c>
      <c r="C291" t="s">
        <v>10</v>
      </c>
      <c r="D291" t="s">
        <v>7</v>
      </c>
      <c r="E291" t="s">
        <v>8</v>
      </c>
    </row>
    <row r="292" spans="1:5" x14ac:dyDescent="0.35">
      <c r="A292" t="s">
        <v>343</v>
      </c>
      <c r="B292">
        <v>46</v>
      </c>
      <c r="C292" t="s">
        <v>10</v>
      </c>
      <c r="D292" t="s">
        <v>17</v>
      </c>
      <c r="E292" t="s">
        <v>8</v>
      </c>
    </row>
    <row r="293" spans="1:5" x14ac:dyDescent="0.35">
      <c r="A293" t="s">
        <v>344</v>
      </c>
      <c r="B293">
        <v>46</v>
      </c>
      <c r="C293" t="s">
        <v>10</v>
      </c>
      <c r="D293" t="s">
        <v>28</v>
      </c>
      <c r="E293" t="s">
        <v>25</v>
      </c>
    </row>
    <row r="294" spans="1:5" x14ac:dyDescent="0.35">
      <c r="A294" t="s">
        <v>255</v>
      </c>
      <c r="B294">
        <v>45</v>
      </c>
      <c r="C294" t="s">
        <v>10</v>
      </c>
      <c r="D294" t="s">
        <v>7</v>
      </c>
      <c r="E294" t="s">
        <v>20</v>
      </c>
    </row>
    <row r="295" spans="1:5" x14ac:dyDescent="0.35">
      <c r="A295" t="s">
        <v>306</v>
      </c>
      <c r="B295">
        <v>45</v>
      </c>
      <c r="C295" t="s">
        <v>10</v>
      </c>
      <c r="D295" t="s">
        <v>15</v>
      </c>
      <c r="E295" t="s">
        <v>25</v>
      </c>
    </row>
    <row r="296" spans="1:5" x14ac:dyDescent="0.35">
      <c r="A296" t="s">
        <v>475</v>
      </c>
      <c r="B296">
        <v>45</v>
      </c>
      <c r="C296" t="s">
        <v>6</v>
      </c>
      <c r="D296" t="s">
        <v>28</v>
      </c>
      <c r="E296" t="s">
        <v>20</v>
      </c>
    </row>
    <row r="297" spans="1:5" x14ac:dyDescent="0.35">
      <c r="A297" t="s">
        <v>50</v>
      </c>
      <c r="B297">
        <v>44</v>
      </c>
      <c r="C297" t="s">
        <v>10</v>
      </c>
      <c r="D297" t="s">
        <v>7</v>
      </c>
      <c r="E297" t="s">
        <v>13</v>
      </c>
    </row>
    <row r="298" spans="1:5" x14ac:dyDescent="0.35">
      <c r="A298" t="s">
        <v>277</v>
      </c>
      <c r="B298">
        <v>44</v>
      </c>
      <c r="C298" t="s">
        <v>10</v>
      </c>
      <c r="D298" t="s">
        <v>7</v>
      </c>
      <c r="E298" t="s">
        <v>13</v>
      </c>
    </row>
    <row r="299" spans="1:5" x14ac:dyDescent="0.35">
      <c r="A299" t="s">
        <v>299</v>
      </c>
      <c r="B299">
        <v>44</v>
      </c>
      <c r="C299" t="s">
        <v>6</v>
      </c>
      <c r="D299" t="s">
        <v>24</v>
      </c>
      <c r="E299" t="s">
        <v>25</v>
      </c>
    </row>
    <row r="300" spans="1:5" x14ac:dyDescent="0.35">
      <c r="A300" t="s">
        <v>349</v>
      </c>
      <c r="B300">
        <v>44</v>
      </c>
      <c r="C300" t="s">
        <v>6</v>
      </c>
      <c r="D300" t="s">
        <v>7</v>
      </c>
      <c r="E300" t="s">
        <v>11</v>
      </c>
    </row>
    <row r="301" spans="1:5" x14ac:dyDescent="0.35">
      <c r="A301" t="s">
        <v>372</v>
      </c>
      <c r="B301">
        <v>44</v>
      </c>
      <c r="C301" t="s">
        <v>10</v>
      </c>
      <c r="D301" t="s">
        <v>28</v>
      </c>
      <c r="E301" t="s">
        <v>13</v>
      </c>
    </row>
    <row r="302" spans="1:5" x14ac:dyDescent="0.35">
      <c r="A302" t="s">
        <v>378</v>
      </c>
      <c r="B302">
        <v>44</v>
      </c>
      <c r="C302" t="s">
        <v>10</v>
      </c>
      <c r="D302" t="s">
        <v>28</v>
      </c>
      <c r="E302" t="s">
        <v>11</v>
      </c>
    </row>
    <row r="303" spans="1:5" x14ac:dyDescent="0.35">
      <c r="A303" t="s">
        <v>38</v>
      </c>
      <c r="B303">
        <v>43</v>
      </c>
      <c r="C303" t="s">
        <v>6</v>
      </c>
      <c r="D303" t="s">
        <v>7</v>
      </c>
      <c r="E303" t="s">
        <v>8</v>
      </c>
    </row>
    <row r="304" spans="1:5" x14ac:dyDescent="0.35">
      <c r="A304" t="s">
        <v>60</v>
      </c>
      <c r="B304">
        <v>43</v>
      </c>
      <c r="C304" t="s">
        <v>10</v>
      </c>
      <c r="D304" t="s">
        <v>24</v>
      </c>
      <c r="E304" t="s">
        <v>11</v>
      </c>
    </row>
    <row r="305" spans="1:5" x14ac:dyDescent="0.35">
      <c r="A305" t="s">
        <v>70</v>
      </c>
      <c r="B305">
        <v>43</v>
      </c>
      <c r="C305" t="s">
        <v>10</v>
      </c>
      <c r="D305" t="s">
        <v>7</v>
      </c>
      <c r="E305" t="s">
        <v>11</v>
      </c>
    </row>
    <row r="306" spans="1:5" x14ac:dyDescent="0.35">
      <c r="A306" t="s">
        <v>88</v>
      </c>
      <c r="B306">
        <v>43</v>
      </c>
      <c r="C306" t="s">
        <v>6</v>
      </c>
      <c r="D306" t="s">
        <v>17</v>
      </c>
      <c r="E306" t="s">
        <v>13</v>
      </c>
    </row>
    <row r="307" spans="1:5" x14ac:dyDescent="0.35">
      <c r="A307" t="s">
        <v>120</v>
      </c>
      <c r="B307">
        <v>43</v>
      </c>
      <c r="C307" t="s">
        <v>6</v>
      </c>
      <c r="D307" t="s">
        <v>17</v>
      </c>
      <c r="E307" t="s">
        <v>13</v>
      </c>
    </row>
    <row r="308" spans="1:5" x14ac:dyDescent="0.35">
      <c r="A308" t="s">
        <v>121</v>
      </c>
      <c r="B308">
        <v>43</v>
      </c>
      <c r="C308" t="s">
        <v>10</v>
      </c>
      <c r="D308" t="s">
        <v>17</v>
      </c>
      <c r="E308" t="s">
        <v>13</v>
      </c>
    </row>
    <row r="309" spans="1:5" x14ac:dyDescent="0.35">
      <c r="A309" t="s">
        <v>128</v>
      </c>
      <c r="B309">
        <v>43</v>
      </c>
      <c r="C309" t="s">
        <v>6</v>
      </c>
      <c r="D309" t="s">
        <v>24</v>
      </c>
      <c r="E309" t="s">
        <v>8</v>
      </c>
    </row>
    <row r="310" spans="1:5" x14ac:dyDescent="0.35">
      <c r="A310" t="s">
        <v>336</v>
      </c>
      <c r="B310">
        <v>43</v>
      </c>
      <c r="C310" t="s">
        <v>6</v>
      </c>
      <c r="D310" t="s">
        <v>15</v>
      </c>
      <c r="E310" t="s">
        <v>8</v>
      </c>
    </row>
    <row r="311" spans="1:5" x14ac:dyDescent="0.35">
      <c r="A311" t="s">
        <v>426</v>
      </c>
      <c r="B311">
        <v>43</v>
      </c>
      <c r="C311" t="s">
        <v>6</v>
      </c>
      <c r="D311" t="s">
        <v>7</v>
      </c>
      <c r="E311" t="s">
        <v>8</v>
      </c>
    </row>
    <row r="312" spans="1:5" x14ac:dyDescent="0.35">
      <c r="A312" t="s">
        <v>450</v>
      </c>
      <c r="B312">
        <v>43</v>
      </c>
      <c r="C312" t="s">
        <v>6</v>
      </c>
      <c r="D312" t="s">
        <v>15</v>
      </c>
      <c r="E312" t="s">
        <v>20</v>
      </c>
    </row>
    <row r="313" spans="1:5" x14ac:dyDescent="0.35">
      <c r="A313" t="s">
        <v>509</v>
      </c>
      <c r="B313">
        <v>43</v>
      </c>
      <c r="C313" t="s">
        <v>6</v>
      </c>
      <c r="D313" t="s">
        <v>17</v>
      </c>
      <c r="E313" t="s">
        <v>25</v>
      </c>
    </row>
    <row r="314" spans="1:5" x14ac:dyDescent="0.35">
      <c r="A314" t="s">
        <v>35</v>
      </c>
      <c r="B314">
        <v>42</v>
      </c>
      <c r="C314" t="s">
        <v>6</v>
      </c>
      <c r="D314" t="s">
        <v>24</v>
      </c>
      <c r="E314" t="s">
        <v>11</v>
      </c>
    </row>
    <row r="315" spans="1:5" x14ac:dyDescent="0.35">
      <c r="A315" t="s">
        <v>49</v>
      </c>
      <c r="B315">
        <v>42</v>
      </c>
      <c r="C315" t="s">
        <v>6</v>
      </c>
      <c r="D315" t="s">
        <v>15</v>
      </c>
      <c r="E315" t="s">
        <v>8</v>
      </c>
    </row>
    <row r="316" spans="1:5" x14ac:dyDescent="0.35">
      <c r="A316" t="s">
        <v>96</v>
      </c>
      <c r="B316">
        <v>42</v>
      </c>
      <c r="C316" t="s">
        <v>6</v>
      </c>
      <c r="D316" t="s">
        <v>24</v>
      </c>
      <c r="E316" t="s">
        <v>13</v>
      </c>
    </row>
    <row r="317" spans="1:5" x14ac:dyDescent="0.35">
      <c r="A317" t="s">
        <v>116</v>
      </c>
      <c r="B317">
        <v>42</v>
      </c>
      <c r="C317" t="s">
        <v>6</v>
      </c>
      <c r="D317" t="s">
        <v>28</v>
      </c>
      <c r="E317" t="s">
        <v>13</v>
      </c>
    </row>
    <row r="318" spans="1:5" x14ac:dyDescent="0.35">
      <c r="A318" t="s">
        <v>152</v>
      </c>
      <c r="B318">
        <v>42</v>
      </c>
      <c r="C318" t="s">
        <v>6</v>
      </c>
      <c r="D318" t="s">
        <v>7</v>
      </c>
      <c r="E318" t="s">
        <v>20</v>
      </c>
    </row>
    <row r="319" spans="1:5" x14ac:dyDescent="0.35">
      <c r="A319" t="s">
        <v>176</v>
      </c>
      <c r="B319">
        <v>42</v>
      </c>
      <c r="C319" t="s">
        <v>10</v>
      </c>
      <c r="D319" t="s">
        <v>28</v>
      </c>
      <c r="E319" t="s">
        <v>20</v>
      </c>
    </row>
    <row r="320" spans="1:5" x14ac:dyDescent="0.35">
      <c r="A320" t="s">
        <v>188</v>
      </c>
      <c r="B320">
        <v>42</v>
      </c>
      <c r="C320" t="s">
        <v>6</v>
      </c>
      <c r="D320" t="s">
        <v>28</v>
      </c>
      <c r="E320" t="s">
        <v>25</v>
      </c>
    </row>
    <row r="321" spans="1:5" x14ac:dyDescent="0.35">
      <c r="A321" t="s">
        <v>206</v>
      </c>
      <c r="B321">
        <v>42</v>
      </c>
      <c r="C321" t="s">
        <v>6</v>
      </c>
      <c r="D321" t="s">
        <v>24</v>
      </c>
      <c r="E321" t="s">
        <v>13</v>
      </c>
    </row>
    <row r="322" spans="1:5" x14ac:dyDescent="0.35">
      <c r="A322" t="s">
        <v>240</v>
      </c>
      <c r="B322">
        <v>42</v>
      </c>
      <c r="C322" t="s">
        <v>6</v>
      </c>
      <c r="D322" t="s">
        <v>17</v>
      </c>
      <c r="E322" t="s">
        <v>11</v>
      </c>
    </row>
    <row r="323" spans="1:5" x14ac:dyDescent="0.35">
      <c r="A323" t="s">
        <v>244</v>
      </c>
      <c r="B323">
        <v>42</v>
      </c>
      <c r="C323" t="s">
        <v>6</v>
      </c>
      <c r="D323" t="s">
        <v>28</v>
      </c>
      <c r="E323" t="s">
        <v>11</v>
      </c>
    </row>
    <row r="324" spans="1:5" x14ac:dyDescent="0.35">
      <c r="A324" t="s">
        <v>367</v>
      </c>
      <c r="B324">
        <v>42</v>
      </c>
      <c r="C324" t="s">
        <v>6</v>
      </c>
      <c r="D324" t="s">
        <v>24</v>
      </c>
      <c r="E324" t="s">
        <v>11</v>
      </c>
    </row>
    <row r="325" spans="1:5" x14ac:dyDescent="0.35">
      <c r="A325" t="s">
        <v>391</v>
      </c>
      <c r="B325">
        <v>42</v>
      </c>
      <c r="C325" t="s">
        <v>6</v>
      </c>
      <c r="D325" t="s">
        <v>17</v>
      </c>
      <c r="E325" t="s">
        <v>11</v>
      </c>
    </row>
    <row r="326" spans="1:5" x14ac:dyDescent="0.35">
      <c r="A326" t="s">
        <v>458</v>
      </c>
      <c r="B326">
        <v>42</v>
      </c>
      <c r="C326" t="s">
        <v>10</v>
      </c>
      <c r="D326" t="s">
        <v>7</v>
      </c>
      <c r="E326" t="s">
        <v>11</v>
      </c>
    </row>
    <row r="327" spans="1:5" x14ac:dyDescent="0.35">
      <c r="A327" t="s">
        <v>27</v>
      </c>
      <c r="B327">
        <v>41</v>
      </c>
      <c r="C327" t="s">
        <v>10</v>
      </c>
      <c r="D327" t="s">
        <v>28</v>
      </c>
      <c r="E327" t="s">
        <v>20</v>
      </c>
    </row>
    <row r="328" spans="1:5" x14ac:dyDescent="0.35">
      <c r="A328" t="s">
        <v>81</v>
      </c>
      <c r="B328">
        <v>41</v>
      </c>
      <c r="C328" t="s">
        <v>6</v>
      </c>
      <c r="D328" t="s">
        <v>28</v>
      </c>
      <c r="E328" t="s">
        <v>20</v>
      </c>
    </row>
    <row r="329" spans="1:5" x14ac:dyDescent="0.35">
      <c r="A329" t="s">
        <v>141</v>
      </c>
      <c r="B329">
        <v>41</v>
      </c>
      <c r="C329" t="s">
        <v>6</v>
      </c>
      <c r="D329" t="s">
        <v>15</v>
      </c>
      <c r="E329" t="s">
        <v>8</v>
      </c>
    </row>
    <row r="330" spans="1:5" x14ac:dyDescent="0.35">
      <c r="A330" t="s">
        <v>368</v>
      </c>
      <c r="B330">
        <v>41</v>
      </c>
      <c r="C330" t="s">
        <v>10</v>
      </c>
      <c r="D330" t="s">
        <v>24</v>
      </c>
      <c r="E330" t="s">
        <v>20</v>
      </c>
    </row>
    <row r="331" spans="1:5" x14ac:dyDescent="0.35">
      <c r="A331" t="s">
        <v>385</v>
      </c>
      <c r="B331">
        <v>41</v>
      </c>
      <c r="C331" t="s">
        <v>6</v>
      </c>
      <c r="D331" t="s">
        <v>17</v>
      </c>
      <c r="E331" t="s">
        <v>20</v>
      </c>
    </row>
    <row r="332" spans="1:5" x14ac:dyDescent="0.35">
      <c r="A332" t="s">
        <v>485</v>
      </c>
      <c r="B332">
        <v>41</v>
      </c>
      <c r="C332" t="s">
        <v>6</v>
      </c>
      <c r="D332" t="s">
        <v>7</v>
      </c>
      <c r="E332" t="s">
        <v>8</v>
      </c>
    </row>
    <row r="333" spans="1:5" x14ac:dyDescent="0.35">
      <c r="A333" t="s">
        <v>491</v>
      </c>
      <c r="B333">
        <v>41</v>
      </c>
      <c r="C333" t="s">
        <v>10</v>
      </c>
      <c r="D333" t="s">
        <v>24</v>
      </c>
      <c r="E333" t="s">
        <v>11</v>
      </c>
    </row>
    <row r="334" spans="1:5" x14ac:dyDescent="0.35">
      <c r="A334" t="s">
        <v>127</v>
      </c>
      <c r="B334">
        <v>40</v>
      </c>
      <c r="C334" t="s">
        <v>6</v>
      </c>
      <c r="D334" t="s">
        <v>24</v>
      </c>
      <c r="E334" t="s">
        <v>11</v>
      </c>
    </row>
    <row r="335" spans="1:5" x14ac:dyDescent="0.35">
      <c r="A335" t="s">
        <v>285</v>
      </c>
      <c r="B335">
        <v>40</v>
      </c>
      <c r="C335" t="s">
        <v>6</v>
      </c>
      <c r="D335" t="s">
        <v>15</v>
      </c>
      <c r="E335" t="s">
        <v>13</v>
      </c>
    </row>
    <row r="336" spans="1:5" x14ac:dyDescent="0.35">
      <c r="A336" t="s">
        <v>36</v>
      </c>
      <c r="B336">
        <v>39</v>
      </c>
      <c r="C336" t="s">
        <v>6</v>
      </c>
      <c r="D336" t="s">
        <v>15</v>
      </c>
      <c r="E336" t="s">
        <v>11</v>
      </c>
    </row>
    <row r="337" spans="1:5" x14ac:dyDescent="0.35">
      <c r="A337" t="s">
        <v>82</v>
      </c>
      <c r="B337">
        <v>39</v>
      </c>
      <c r="C337" t="s">
        <v>10</v>
      </c>
      <c r="D337" t="s">
        <v>28</v>
      </c>
      <c r="E337" t="s">
        <v>11</v>
      </c>
    </row>
    <row r="338" spans="1:5" x14ac:dyDescent="0.35">
      <c r="A338" t="s">
        <v>309</v>
      </c>
      <c r="B338">
        <v>39</v>
      </c>
      <c r="C338" t="s">
        <v>10</v>
      </c>
      <c r="D338" t="s">
        <v>28</v>
      </c>
      <c r="E338" t="s">
        <v>13</v>
      </c>
    </row>
    <row r="339" spans="1:5" x14ac:dyDescent="0.35">
      <c r="A339" t="s">
        <v>316</v>
      </c>
      <c r="B339">
        <v>39</v>
      </c>
      <c r="C339" t="s">
        <v>6</v>
      </c>
      <c r="D339" t="s">
        <v>24</v>
      </c>
      <c r="E339" t="s">
        <v>13</v>
      </c>
    </row>
    <row r="340" spans="1:5" x14ac:dyDescent="0.35">
      <c r="A340" t="s">
        <v>320</v>
      </c>
      <c r="B340">
        <v>39</v>
      </c>
      <c r="C340" t="s">
        <v>10</v>
      </c>
      <c r="D340" t="s">
        <v>7</v>
      </c>
      <c r="E340" t="s">
        <v>11</v>
      </c>
    </row>
    <row r="341" spans="1:5" x14ac:dyDescent="0.35">
      <c r="A341" t="s">
        <v>348</v>
      </c>
      <c r="B341">
        <v>39</v>
      </c>
      <c r="C341" t="s">
        <v>10</v>
      </c>
      <c r="D341" t="s">
        <v>28</v>
      </c>
      <c r="E341" t="s">
        <v>8</v>
      </c>
    </row>
    <row r="342" spans="1:5" x14ac:dyDescent="0.35">
      <c r="A342" t="s">
        <v>427</v>
      </c>
      <c r="B342">
        <v>39</v>
      </c>
      <c r="C342" t="s">
        <v>6</v>
      </c>
      <c r="D342" t="s">
        <v>24</v>
      </c>
      <c r="E342" t="s">
        <v>20</v>
      </c>
    </row>
    <row r="343" spans="1:5" x14ac:dyDescent="0.35">
      <c r="A343" t="s">
        <v>449</v>
      </c>
      <c r="B343">
        <v>39</v>
      </c>
      <c r="C343" t="s">
        <v>10</v>
      </c>
      <c r="D343" t="s">
        <v>17</v>
      </c>
      <c r="E343" t="s">
        <v>13</v>
      </c>
    </row>
    <row r="344" spans="1:5" x14ac:dyDescent="0.35">
      <c r="A344" t="s">
        <v>470</v>
      </c>
      <c r="B344">
        <v>39</v>
      </c>
      <c r="C344" t="s">
        <v>10</v>
      </c>
      <c r="D344" t="s">
        <v>24</v>
      </c>
      <c r="E344" t="s">
        <v>11</v>
      </c>
    </row>
    <row r="345" spans="1:5" x14ac:dyDescent="0.35">
      <c r="A345" t="s">
        <v>72</v>
      </c>
      <c r="B345">
        <v>38</v>
      </c>
      <c r="C345" t="s">
        <v>10</v>
      </c>
      <c r="D345" t="s">
        <v>24</v>
      </c>
      <c r="E345" t="s">
        <v>20</v>
      </c>
    </row>
    <row r="346" spans="1:5" x14ac:dyDescent="0.35">
      <c r="A346" t="s">
        <v>115</v>
      </c>
      <c r="B346">
        <v>38</v>
      </c>
      <c r="C346" t="s">
        <v>6</v>
      </c>
      <c r="D346" t="s">
        <v>17</v>
      </c>
      <c r="E346" t="s">
        <v>20</v>
      </c>
    </row>
    <row r="347" spans="1:5" x14ac:dyDescent="0.35">
      <c r="A347" t="s">
        <v>352</v>
      </c>
      <c r="B347">
        <v>38</v>
      </c>
      <c r="C347" t="s">
        <v>6</v>
      </c>
      <c r="D347" t="s">
        <v>15</v>
      </c>
      <c r="E347" t="s">
        <v>20</v>
      </c>
    </row>
    <row r="348" spans="1:5" x14ac:dyDescent="0.35">
      <c r="A348" t="s">
        <v>401</v>
      </c>
      <c r="B348">
        <v>38</v>
      </c>
      <c r="C348" t="s">
        <v>10</v>
      </c>
      <c r="D348" t="s">
        <v>28</v>
      </c>
      <c r="E348" t="s">
        <v>8</v>
      </c>
    </row>
    <row r="349" spans="1:5" x14ac:dyDescent="0.35">
      <c r="A349" t="s">
        <v>507</v>
      </c>
      <c r="B349">
        <v>38</v>
      </c>
      <c r="C349" t="s">
        <v>6</v>
      </c>
      <c r="D349" t="s">
        <v>15</v>
      </c>
      <c r="E349" t="s">
        <v>8</v>
      </c>
    </row>
    <row r="350" spans="1:5" x14ac:dyDescent="0.35">
      <c r="A350" t="s">
        <v>16</v>
      </c>
      <c r="B350">
        <v>37</v>
      </c>
      <c r="C350" t="s">
        <v>6</v>
      </c>
      <c r="D350" t="s">
        <v>17</v>
      </c>
      <c r="E350" t="s">
        <v>8</v>
      </c>
    </row>
    <row r="351" spans="1:5" x14ac:dyDescent="0.35">
      <c r="A351" t="s">
        <v>86</v>
      </c>
      <c r="B351">
        <v>37</v>
      </c>
      <c r="C351" t="s">
        <v>10</v>
      </c>
      <c r="D351" t="s">
        <v>17</v>
      </c>
      <c r="E351" t="s">
        <v>20</v>
      </c>
    </row>
    <row r="352" spans="1:5" x14ac:dyDescent="0.35">
      <c r="A352" t="s">
        <v>210</v>
      </c>
      <c r="B352">
        <v>37</v>
      </c>
      <c r="C352" t="s">
        <v>10</v>
      </c>
      <c r="D352" t="s">
        <v>17</v>
      </c>
      <c r="E352" t="s">
        <v>20</v>
      </c>
    </row>
    <row r="353" spans="1:5" x14ac:dyDescent="0.35">
      <c r="A353" t="s">
        <v>223</v>
      </c>
      <c r="B353">
        <v>37</v>
      </c>
      <c r="C353" t="s">
        <v>6</v>
      </c>
      <c r="D353" t="s">
        <v>15</v>
      </c>
      <c r="E353" t="s">
        <v>8</v>
      </c>
    </row>
    <row r="354" spans="1:5" x14ac:dyDescent="0.35">
      <c r="A354" t="s">
        <v>311</v>
      </c>
      <c r="B354">
        <v>37</v>
      </c>
      <c r="C354" t="s">
        <v>6</v>
      </c>
      <c r="D354" t="s">
        <v>7</v>
      </c>
      <c r="E354" t="s">
        <v>25</v>
      </c>
    </row>
    <row r="355" spans="1:5" x14ac:dyDescent="0.35">
      <c r="A355" t="s">
        <v>388</v>
      </c>
      <c r="B355">
        <v>37</v>
      </c>
      <c r="C355" t="s">
        <v>6</v>
      </c>
      <c r="D355" t="s">
        <v>15</v>
      </c>
      <c r="E355" t="s">
        <v>8</v>
      </c>
    </row>
    <row r="356" spans="1:5" x14ac:dyDescent="0.35">
      <c r="A356" t="s">
        <v>418</v>
      </c>
      <c r="B356">
        <v>37</v>
      </c>
      <c r="C356" t="s">
        <v>10</v>
      </c>
      <c r="D356" t="s">
        <v>7</v>
      </c>
      <c r="E356" t="s">
        <v>13</v>
      </c>
    </row>
    <row r="357" spans="1:5" x14ac:dyDescent="0.35">
      <c r="A357" t="s">
        <v>486</v>
      </c>
      <c r="B357">
        <v>37</v>
      </c>
      <c r="C357" t="s">
        <v>10</v>
      </c>
      <c r="D357" t="s">
        <v>24</v>
      </c>
      <c r="E357" t="s">
        <v>8</v>
      </c>
    </row>
    <row r="358" spans="1:5" x14ac:dyDescent="0.35">
      <c r="A358" t="s">
        <v>489</v>
      </c>
      <c r="B358">
        <v>37</v>
      </c>
      <c r="C358" t="s">
        <v>6</v>
      </c>
      <c r="D358" t="s">
        <v>7</v>
      </c>
      <c r="E358" t="s">
        <v>11</v>
      </c>
    </row>
    <row r="359" spans="1:5" x14ac:dyDescent="0.35">
      <c r="A359" t="s">
        <v>103</v>
      </c>
      <c r="B359">
        <v>36</v>
      </c>
      <c r="C359" t="s">
        <v>10</v>
      </c>
      <c r="D359" t="s">
        <v>24</v>
      </c>
      <c r="E359" t="s">
        <v>20</v>
      </c>
    </row>
    <row r="360" spans="1:5" x14ac:dyDescent="0.35">
      <c r="A360" t="s">
        <v>266</v>
      </c>
      <c r="B360">
        <v>36</v>
      </c>
      <c r="C360" t="s">
        <v>10</v>
      </c>
      <c r="D360" t="s">
        <v>24</v>
      </c>
      <c r="E360" t="s">
        <v>20</v>
      </c>
    </row>
    <row r="361" spans="1:5" x14ac:dyDescent="0.35">
      <c r="A361" t="s">
        <v>356</v>
      </c>
      <c r="B361">
        <v>36</v>
      </c>
      <c r="C361" t="s">
        <v>6</v>
      </c>
      <c r="D361" t="s">
        <v>15</v>
      </c>
      <c r="E361" t="s">
        <v>13</v>
      </c>
    </row>
    <row r="362" spans="1:5" x14ac:dyDescent="0.35">
      <c r="A362" t="s">
        <v>460</v>
      </c>
      <c r="B362">
        <v>36</v>
      </c>
      <c r="C362" t="s">
        <v>6</v>
      </c>
      <c r="D362" t="s">
        <v>15</v>
      </c>
      <c r="E362" t="s">
        <v>11</v>
      </c>
    </row>
    <row r="363" spans="1:5" x14ac:dyDescent="0.35">
      <c r="A363" t="s">
        <v>42</v>
      </c>
      <c r="B363">
        <v>35</v>
      </c>
      <c r="C363" t="s">
        <v>10</v>
      </c>
      <c r="D363" t="s">
        <v>24</v>
      </c>
      <c r="E363" t="s">
        <v>20</v>
      </c>
    </row>
    <row r="364" spans="1:5" x14ac:dyDescent="0.35">
      <c r="A364" t="s">
        <v>136</v>
      </c>
      <c r="B364">
        <v>35</v>
      </c>
      <c r="C364" t="s">
        <v>10</v>
      </c>
      <c r="D364" t="s">
        <v>24</v>
      </c>
      <c r="E364" t="s">
        <v>11</v>
      </c>
    </row>
    <row r="365" spans="1:5" x14ac:dyDescent="0.35">
      <c r="A365" t="s">
        <v>164</v>
      </c>
      <c r="B365">
        <v>35</v>
      </c>
      <c r="C365" t="s">
        <v>6</v>
      </c>
      <c r="D365" t="s">
        <v>7</v>
      </c>
      <c r="E365" t="s">
        <v>11</v>
      </c>
    </row>
    <row r="366" spans="1:5" x14ac:dyDescent="0.35">
      <c r="A366" t="s">
        <v>185</v>
      </c>
      <c r="B366">
        <v>35</v>
      </c>
      <c r="C366" t="s">
        <v>6</v>
      </c>
      <c r="D366" t="s">
        <v>17</v>
      </c>
      <c r="E366" t="s">
        <v>11</v>
      </c>
    </row>
    <row r="367" spans="1:5" x14ac:dyDescent="0.35">
      <c r="A367" t="s">
        <v>251</v>
      </c>
      <c r="B367">
        <v>35</v>
      </c>
      <c r="C367" t="s">
        <v>6</v>
      </c>
      <c r="D367" t="s">
        <v>28</v>
      </c>
      <c r="E367" t="s">
        <v>13</v>
      </c>
    </row>
    <row r="368" spans="1:5" x14ac:dyDescent="0.35">
      <c r="A368" t="s">
        <v>370</v>
      </c>
      <c r="B368">
        <v>35</v>
      </c>
      <c r="C368" t="s">
        <v>6</v>
      </c>
      <c r="D368" t="s">
        <v>17</v>
      </c>
      <c r="E368" t="s">
        <v>8</v>
      </c>
    </row>
    <row r="369" spans="1:5" x14ac:dyDescent="0.35">
      <c r="A369" t="s">
        <v>402</v>
      </c>
      <c r="B369">
        <v>35</v>
      </c>
      <c r="C369" t="s">
        <v>10</v>
      </c>
      <c r="D369" t="s">
        <v>17</v>
      </c>
      <c r="E369" t="s">
        <v>11</v>
      </c>
    </row>
    <row r="370" spans="1:5" x14ac:dyDescent="0.35">
      <c r="A370" t="s">
        <v>469</v>
      </c>
      <c r="B370">
        <v>35</v>
      </c>
      <c r="C370" t="s">
        <v>6</v>
      </c>
      <c r="D370" t="s">
        <v>28</v>
      </c>
      <c r="E370" t="s">
        <v>8</v>
      </c>
    </row>
    <row r="371" spans="1:5" x14ac:dyDescent="0.35">
      <c r="A371" t="s">
        <v>505</v>
      </c>
      <c r="B371">
        <v>35</v>
      </c>
      <c r="C371" t="s">
        <v>10</v>
      </c>
      <c r="D371" t="s">
        <v>15</v>
      </c>
      <c r="E371" t="s">
        <v>20</v>
      </c>
    </row>
    <row r="372" spans="1:5" x14ac:dyDescent="0.35">
      <c r="A372" t="s">
        <v>47</v>
      </c>
      <c r="B372">
        <v>34</v>
      </c>
      <c r="C372" t="s">
        <v>10</v>
      </c>
      <c r="D372" t="s">
        <v>24</v>
      </c>
      <c r="E372" t="s">
        <v>20</v>
      </c>
    </row>
    <row r="373" spans="1:5" x14ac:dyDescent="0.35">
      <c r="A373" t="s">
        <v>59</v>
      </c>
      <c r="B373">
        <v>34</v>
      </c>
      <c r="C373" t="s">
        <v>6</v>
      </c>
      <c r="D373" t="s">
        <v>15</v>
      </c>
      <c r="E373" t="s">
        <v>25</v>
      </c>
    </row>
    <row r="374" spans="1:5" x14ac:dyDescent="0.35">
      <c r="A374" t="s">
        <v>91</v>
      </c>
      <c r="B374">
        <v>34</v>
      </c>
      <c r="C374" t="s">
        <v>10</v>
      </c>
      <c r="D374" t="s">
        <v>7</v>
      </c>
      <c r="E374" t="s">
        <v>13</v>
      </c>
    </row>
    <row r="375" spans="1:5" x14ac:dyDescent="0.35">
      <c r="A375" t="s">
        <v>108</v>
      </c>
      <c r="B375">
        <v>34</v>
      </c>
      <c r="C375" t="s">
        <v>10</v>
      </c>
      <c r="D375" t="s">
        <v>7</v>
      </c>
      <c r="E375" t="s">
        <v>25</v>
      </c>
    </row>
    <row r="376" spans="1:5" x14ac:dyDescent="0.35">
      <c r="A376" t="s">
        <v>126</v>
      </c>
      <c r="B376">
        <v>34</v>
      </c>
      <c r="C376" t="s">
        <v>6</v>
      </c>
      <c r="D376" t="s">
        <v>15</v>
      </c>
      <c r="E376" t="s">
        <v>8</v>
      </c>
    </row>
    <row r="377" spans="1:5" x14ac:dyDescent="0.35">
      <c r="A377" t="s">
        <v>138</v>
      </c>
      <c r="B377">
        <v>34</v>
      </c>
      <c r="C377" t="s">
        <v>10</v>
      </c>
      <c r="D377" t="s">
        <v>24</v>
      </c>
      <c r="E377" t="s">
        <v>20</v>
      </c>
    </row>
    <row r="378" spans="1:5" x14ac:dyDescent="0.35">
      <c r="A378" t="s">
        <v>228</v>
      </c>
      <c r="B378">
        <v>34</v>
      </c>
      <c r="C378" t="s">
        <v>10</v>
      </c>
      <c r="D378" t="s">
        <v>15</v>
      </c>
      <c r="E378" t="s">
        <v>25</v>
      </c>
    </row>
    <row r="379" spans="1:5" x14ac:dyDescent="0.35">
      <c r="A379" t="s">
        <v>300</v>
      </c>
      <c r="B379">
        <v>34</v>
      </c>
      <c r="C379" t="s">
        <v>6</v>
      </c>
      <c r="D379" t="s">
        <v>7</v>
      </c>
      <c r="E379" t="s">
        <v>20</v>
      </c>
    </row>
    <row r="380" spans="1:5" x14ac:dyDescent="0.35">
      <c r="A380" t="s">
        <v>314</v>
      </c>
      <c r="B380">
        <v>34</v>
      </c>
      <c r="C380" t="s">
        <v>6</v>
      </c>
      <c r="D380" t="s">
        <v>7</v>
      </c>
      <c r="E380" t="s">
        <v>8</v>
      </c>
    </row>
    <row r="381" spans="1:5" x14ac:dyDescent="0.35">
      <c r="A381" t="s">
        <v>317</v>
      </c>
      <c r="B381">
        <v>34</v>
      </c>
      <c r="C381" t="s">
        <v>6</v>
      </c>
      <c r="D381" t="s">
        <v>15</v>
      </c>
      <c r="E381" t="s">
        <v>13</v>
      </c>
    </row>
    <row r="382" spans="1:5" x14ac:dyDescent="0.35">
      <c r="A382" t="s">
        <v>375</v>
      </c>
      <c r="B382">
        <v>34</v>
      </c>
      <c r="C382" t="s">
        <v>10</v>
      </c>
      <c r="D382" t="s">
        <v>17</v>
      </c>
      <c r="E382" t="s">
        <v>20</v>
      </c>
    </row>
    <row r="383" spans="1:5" x14ac:dyDescent="0.35">
      <c r="A383" t="s">
        <v>392</v>
      </c>
      <c r="B383">
        <v>34</v>
      </c>
      <c r="C383" t="s">
        <v>6</v>
      </c>
      <c r="D383" t="s">
        <v>28</v>
      </c>
      <c r="E383" t="s">
        <v>13</v>
      </c>
    </row>
    <row r="384" spans="1:5" x14ac:dyDescent="0.35">
      <c r="A384" t="s">
        <v>414</v>
      </c>
      <c r="B384">
        <v>34</v>
      </c>
      <c r="C384" t="s">
        <v>6</v>
      </c>
      <c r="D384" t="s">
        <v>28</v>
      </c>
      <c r="E384" t="s">
        <v>8</v>
      </c>
    </row>
    <row r="385" spans="1:5" x14ac:dyDescent="0.35">
      <c r="A385" t="s">
        <v>125</v>
      </c>
      <c r="B385">
        <v>33</v>
      </c>
      <c r="C385" t="s">
        <v>6</v>
      </c>
      <c r="D385" t="s">
        <v>28</v>
      </c>
      <c r="E385" t="s">
        <v>11</v>
      </c>
    </row>
    <row r="386" spans="1:5" x14ac:dyDescent="0.35">
      <c r="A386" t="s">
        <v>155</v>
      </c>
      <c r="B386">
        <v>33</v>
      </c>
      <c r="C386" t="s">
        <v>6</v>
      </c>
      <c r="D386" t="s">
        <v>17</v>
      </c>
      <c r="E386" t="s">
        <v>20</v>
      </c>
    </row>
    <row r="387" spans="1:5" x14ac:dyDescent="0.35">
      <c r="A387" t="s">
        <v>172</v>
      </c>
      <c r="B387">
        <v>33</v>
      </c>
      <c r="C387" t="s">
        <v>6</v>
      </c>
      <c r="D387" t="s">
        <v>7</v>
      </c>
      <c r="E387" t="s">
        <v>13</v>
      </c>
    </row>
    <row r="388" spans="1:5" x14ac:dyDescent="0.35">
      <c r="A388" t="s">
        <v>118</v>
      </c>
      <c r="B388">
        <v>32</v>
      </c>
      <c r="C388" t="s">
        <v>10</v>
      </c>
      <c r="D388" t="s">
        <v>28</v>
      </c>
      <c r="E388" t="s">
        <v>8</v>
      </c>
    </row>
    <row r="389" spans="1:5" x14ac:dyDescent="0.35">
      <c r="A389" t="s">
        <v>150</v>
      </c>
      <c r="B389">
        <v>32</v>
      </c>
      <c r="C389" t="s">
        <v>6</v>
      </c>
      <c r="D389" t="s">
        <v>15</v>
      </c>
      <c r="E389" t="s">
        <v>20</v>
      </c>
    </row>
    <row r="390" spans="1:5" x14ac:dyDescent="0.35">
      <c r="A390" t="s">
        <v>192</v>
      </c>
      <c r="B390">
        <v>32</v>
      </c>
      <c r="C390" t="s">
        <v>6</v>
      </c>
      <c r="D390" t="s">
        <v>15</v>
      </c>
      <c r="E390" t="s">
        <v>11</v>
      </c>
    </row>
    <row r="391" spans="1:5" x14ac:dyDescent="0.35">
      <c r="A391" t="s">
        <v>342</v>
      </c>
      <c r="B391">
        <v>32</v>
      </c>
      <c r="C391" t="s">
        <v>10</v>
      </c>
      <c r="D391" t="s">
        <v>7</v>
      </c>
      <c r="E391" t="s">
        <v>25</v>
      </c>
    </row>
    <row r="392" spans="1:5" x14ac:dyDescent="0.35">
      <c r="A392" t="s">
        <v>362</v>
      </c>
      <c r="B392">
        <v>32</v>
      </c>
      <c r="C392" t="s">
        <v>10</v>
      </c>
      <c r="D392" t="s">
        <v>24</v>
      </c>
      <c r="E392" t="s">
        <v>25</v>
      </c>
    </row>
    <row r="393" spans="1:5" x14ac:dyDescent="0.35">
      <c r="A393" t="s">
        <v>371</v>
      </c>
      <c r="B393">
        <v>32</v>
      </c>
      <c r="C393" t="s">
        <v>6</v>
      </c>
      <c r="D393" t="s">
        <v>24</v>
      </c>
      <c r="E393" t="s">
        <v>25</v>
      </c>
    </row>
    <row r="394" spans="1:5" x14ac:dyDescent="0.35">
      <c r="A394" t="s">
        <v>390</v>
      </c>
      <c r="B394">
        <v>32</v>
      </c>
      <c r="C394" t="s">
        <v>10</v>
      </c>
      <c r="D394" t="s">
        <v>7</v>
      </c>
      <c r="E394" t="s">
        <v>11</v>
      </c>
    </row>
    <row r="395" spans="1:5" x14ac:dyDescent="0.35">
      <c r="A395" t="s">
        <v>431</v>
      </c>
      <c r="B395">
        <v>32</v>
      </c>
      <c r="C395" t="s">
        <v>10</v>
      </c>
      <c r="D395" t="s">
        <v>24</v>
      </c>
      <c r="E395" t="s">
        <v>20</v>
      </c>
    </row>
    <row r="396" spans="1:5" x14ac:dyDescent="0.35">
      <c r="A396" t="s">
        <v>508</v>
      </c>
      <c r="B396">
        <v>32</v>
      </c>
      <c r="C396" t="s">
        <v>10</v>
      </c>
      <c r="D396" t="s">
        <v>24</v>
      </c>
      <c r="E396" t="s">
        <v>25</v>
      </c>
    </row>
    <row r="397" spans="1:5" x14ac:dyDescent="0.35">
      <c r="A397" t="s">
        <v>31</v>
      </c>
      <c r="B397">
        <v>31</v>
      </c>
      <c r="C397" t="s">
        <v>6</v>
      </c>
      <c r="D397" t="s">
        <v>7</v>
      </c>
      <c r="E397" t="s">
        <v>11</v>
      </c>
    </row>
    <row r="398" spans="1:5" x14ac:dyDescent="0.35">
      <c r="A398" t="s">
        <v>130</v>
      </c>
      <c r="B398">
        <v>31</v>
      </c>
      <c r="C398" t="s">
        <v>10</v>
      </c>
      <c r="D398" t="s">
        <v>24</v>
      </c>
      <c r="E398" t="s">
        <v>8</v>
      </c>
    </row>
    <row r="399" spans="1:5" x14ac:dyDescent="0.35">
      <c r="A399" t="s">
        <v>139</v>
      </c>
      <c r="B399">
        <v>31</v>
      </c>
      <c r="C399" t="s">
        <v>6</v>
      </c>
      <c r="D399" t="s">
        <v>15</v>
      </c>
      <c r="E399" t="s">
        <v>20</v>
      </c>
    </row>
    <row r="400" spans="1:5" x14ac:dyDescent="0.35">
      <c r="A400" t="s">
        <v>182</v>
      </c>
      <c r="B400">
        <v>31</v>
      </c>
      <c r="C400" t="s">
        <v>10</v>
      </c>
      <c r="D400" t="s">
        <v>24</v>
      </c>
      <c r="E400" t="s">
        <v>11</v>
      </c>
    </row>
    <row r="401" spans="1:5" x14ac:dyDescent="0.35">
      <c r="A401" t="s">
        <v>233</v>
      </c>
      <c r="B401">
        <v>31</v>
      </c>
      <c r="C401" t="s">
        <v>6</v>
      </c>
      <c r="D401" t="s">
        <v>24</v>
      </c>
      <c r="E401" t="s">
        <v>20</v>
      </c>
    </row>
    <row r="402" spans="1:5" x14ac:dyDescent="0.35">
      <c r="A402" t="s">
        <v>322</v>
      </c>
      <c r="B402">
        <v>31</v>
      </c>
      <c r="C402" t="s">
        <v>10</v>
      </c>
      <c r="D402" t="s">
        <v>7</v>
      </c>
      <c r="E402" t="s">
        <v>11</v>
      </c>
    </row>
    <row r="403" spans="1:5" x14ac:dyDescent="0.35">
      <c r="A403" t="s">
        <v>454</v>
      </c>
      <c r="B403">
        <v>31</v>
      </c>
      <c r="C403" t="s">
        <v>10</v>
      </c>
      <c r="D403" t="s">
        <v>24</v>
      </c>
      <c r="E403" t="s">
        <v>20</v>
      </c>
    </row>
    <row r="404" spans="1:5" x14ac:dyDescent="0.35">
      <c r="A404" t="s">
        <v>513</v>
      </c>
      <c r="B404">
        <v>31</v>
      </c>
      <c r="C404" t="s">
        <v>10</v>
      </c>
      <c r="D404" t="s">
        <v>28</v>
      </c>
      <c r="E404" t="s">
        <v>20</v>
      </c>
    </row>
    <row r="405" spans="1:5" x14ac:dyDescent="0.35">
      <c r="A405" t="s">
        <v>153</v>
      </c>
      <c r="B405">
        <v>30</v>
      </c>
      <c r="C405" t="s">
        <v>6</v>
      </c>
      <c r="D405" t="s">
        <v>15</v>
      </c>
      <c r="E405" t="s">
        <v>13</v>
      </c>
    </row>
    <row r="406" spans="1:5" x14ac:dyDescent="0.35">
      <c r="A406" t="s">
        <v>162</v>
      </c>
      <c r="B406">
        <v>30</v>
      </c>
      <c r="C406" t="s">
        <v>6</v>
      </c>
      <c r="D406" t="s">
        <v>7</v>
      </c>
      <c r="E406" t="s">
        <v>11</v>
      </c>
    </row>
    <row r="407" spans="1:5" x14ac:dyDescent="0.35">
      <c r="A407" t="s">
        <v>163</v>
      </c>
      <c r="B407">
        <v>30</v>
      </c>
      <c r="C407" t="s">
        <v>10</v>
      </c>
      <c r="D407" t="s">
        <v>28</v>
      </c>
      <c r="E407" t="s">
        <v>25</v>
      </c>
    </row>
    <row r="408" spans="1:5" x14ac:dyDescent="0.35">
      <c r="A408" t="s">
        <v>231</v>
      </c>
      <c r="B408">
        <v>30</v>
      </c>
      <c r="C408" t="s">
        <v>10</v>
      </c>
      <c r="D408" t="s">
        <v>7</v>
      </c>
      <c r="E408" t="s">
        <v>8</v>
      </c>
    </row>
    <row r="409" spans="1:5" x14ac:dyDescent="0.35">
      <c r="A409" t="s">
        <v>272</v>
      </c>
      <c r="B409">
        <v>30</v>
      </c>
      <c r="C409" t="s">
        <v>10</v>
      </c>
      <c r="D409" t="s">
        <v>17</v>
      </c>
      <c r="E409" t="s">
        <v>11</v>
      </c>
    </row>
    <row r="410" spans="1:5" x14ac:dyDescent="0.35">
      <c r="A410" t="s">
        <v>297</v>
      </c>
      <c r="B410">
        <v>30</v>
      </c>
      <c r="C410" t="s">
        <v>10</v>
      </c>
      <c r="D410" t="s">
        <v>17</v>
      </c>
      <c r="E410" t="s">
        <v>8</v>
      </c>
    </row>
    <row r="411" spans="1:5" x14ac:dyDescent="0.35">
      <c r="A411" t="s">
        <v>340</v>
      </c>
      <c r="B411">
        <v>30</v>
      </c>
      <c r="C411" t="s">
        <v>6</v>
      </c>
      <c r="D411" t="s">
        <v>15</v>
      </c>
      <c r="E411" t="s">
        <v>11</v>
      </c>
    </row>
    <row r="412" spans="1:5" x14ac:dyDescent="0.35">
      <c r="A412" t="s">
        <v>457</v>
      </c>
      <c r="B412">
        <v>30</v>
      </c>
      <c r="C412" t="s">
        <v>6</v>
      </c>
      <c r="D412" t="s">
        <v>15</v>
      </c>
      <c r="E412" t="s">
        <v>11</v>
      </c>
    </row>
    <row r="413" spans="1:5" x14ac:dyDescent="0.35">
      <c r="A413" t="s">
        <v>14</v>
      </c>
      <c r="B413">
        <v>29</v>
      </c>
      <c r="C413" t="s">
        <v>10</v>
      </c>
      <c r="D413" t="s">
        <v>15</v>
      </c>
      <c r="E413" t="s">
        <v>8</v>
      </c>
    </row>
    <row r="414" spans="1:5" x14ac:dyDescent="0.35">
      <c r="A414" t="s">
        <v>55</v>
      </c>
      <c r="B414">
        <v>29</v>
      </c>
      <c r="C414" t="s">
        <v>10</v>
      </c>
      <c r="D414" t="s">
        <v>15</v>
      </c>
      <c r="E414" t="s">
        <v>11</v>
      </c>
    </row>
    <row r="415" spans="1:5" x14ac:dyDescent="0.35">
      <c r="A415" t="s">
        <v>102</v>
      </c>
      <c r="B415">
        <v>29</v>
      </c>
      <c r="C415" t="s">
        <v>6</v>
      </c>
      <c r="D415" t="s">
        <v>28</v>
      </c>
      <c r="E415" t="s">
        <v>11</v>
      </c>
    </row>
    <row r="416" spans="1:5" x14ac:dyDescent="0.35">
      <c r="A416" t="s">
        <v>112</v>
      </c>
      <c r="B416">
        <v>29</v>
      </c>
      <c r="C416" t="s">
        <v>6</v>
      </c>
      <c r="D416" t="s">
        <v>7</v>
      </c>
      <c r="E416" t="s">
        <v>13</v>
      </c>
    </row>
    <row r="417" spans="1:5" x14ac:dyDescent="0.35">
      <c r="A417" t="s">
        <v>117</v>
      </c>
      <c r="B417">
        <v>29</v>
      </c>
      <c r="C417" t="s">
        <v>6</v>
      </c>
      <c r="D417" t="s">
        <v>7</v>
      </c>
      <c r="E417" t="s">
        <v>8</v>
      </c>
    </row>
    <row r="418" spans="1:5" x14ac:dyDescent="0.35">
      <c r="A418" t="s">
        <v>195</v>
      </c>
      <c r="B418">
        <v>29</v>
      </c>
      <c r="C418" t="s">
        <v>10</v>
      </c>
      <c r="D418" t="s">
        <v>7</v>
      </c>
      <c r="E418" t="s">
        <v>20</v>
      </c>
    </row>
    <row r="419" spans="1:5" x14ac:dyDescent="0.35">
      <c r="A419" t="s">
        <v>294</v>
      </c>
      <c r="B419">
        <v>29</v>
      </c>
      <c r="C419" t="s">
        <v>10</v>
      </c>
      <c r="D419" t="s">
        <v>24</v>
      </c>
      <c r="E419" t="s">
        <v>11</v>
      </c>
    </row>
    <row r="420" spans="1:5" x14ac:dyDescent="0.35">
      <c r="A420" t="s">
        <v>315</v>
      </c>
      <c r="B420">
        <v>29</v>
      </c>
      <c r="C420" t="s">
        <v>10</v>
      </c>
      <c r="D420" t="s">
        <v>28</v>
      </c>
      <c r="E420" t="s">
        <v>13</v>
      </c>
    </row>
    <row r="421" spans="1:5" x14ac:dyDescent="0.35">
      <c r="A421" t="s">
        <v>369</v>
      </c>
      <c r="B421">
        <v>29</v>
      </c>
      <c r="C421" t="s">
        <v>10</v>
      </c>
      <c r="D421" t="s">
        <v>15</v>
      </c>
      <c r="E421" t="s">
        <v>11</v>
      </c>
    </row>
    <row r="422" spans="1:5" x14ac:dyDescent="0.35">
      <c r="A422" t="s">
        <v>455</v>
      </c>
      <c r="B422">
        <v>29</v>
      </c>
      <c r="C422" t="s">
        <v>10</v>
      </c>
      <c r="D422" t="s">
        <v>24</v>
      </c>
      <c r="E422" t="s">
        <v>13</v>
      </c>
    </row>
    <row r="423" spans="1:5" x14ac:dyDescent="0.35">
      <c r="A423" t="s">
        <v>456</v>
      </c>
      <c r="B423">
        <v>29</v>
      </c>
      <c r="C423" t="s">
        <v>6</v>
      </c>
      <c r="D423" t="s">
        <v>24</v>
      </c>
      <c r="E423" t="s">
        <v>11</v>
      </c>
    </row>
    <row r="424" spans="1:5" x14ac:dyDescent="0.35">
      <c r="A424" t="s">
        <v>503</v>
      </c>
      <c r="B424">
        <v>29</v>
      </c>
      <c r="C424" t="s">
        <v>6</v>
      </c>
      <c r="D424" t="s">
        <v>28</v>
      </c>
      <c r="E424" t="s">
        <v>20</v>
      </c>
    </row>
    <row r="425" spans="1:5" x14ac:dyDescent="0.35">
      <c r="A425" t="s">
        <v>5</v>
      </c>
      <c r="B425">
        <v>28</v>
      </c>
      <c r="C425" t="s">
        <v>6</v>
      </c>
      <c r="D425" t="s">
        <v>7</v>
      </c>
      <c r="E425" t="s">
        <v>8</v>
      </c>
    </row>
    <row r="426" spans="1:5" x14ac:dyDescent="0.35">
      <c r="A426" t="s">
        <v>73</v>
      </c>
      <c r="B426">
        <v>28</v>
      </c>
      <c r="C426" t="s">
        <v>6</v>
      </c>
      <c r="D426" t="s">
        <v>15</v>
      </c>
      <c r="E426" t="s">
        <v>13</v>
      </c>
    </row>
    <row r="427" spans="1:5" x14ac:dyDescent="0.35">
      <c r="A427" t="s">
        <v>75</v>
      </c>
      <c r="B427">
        <v>28</v>
      </c>
      <c r="C427" t="s">
        <v>6</v>
      </c>
      <c r="D427" t="s">
        <v>17</v>
      </c>
      <c r="E427" t="s">
        <v>8</v>
      </c>
    </row>
    <row r="428" spans="1:5" x14ac:dyDescent="0.35">
      <c r="A428" t="s">
        <v>204</v>
      </c>
      <c r="B428">
        <v>28</v>
      </c>
      <c r="C428" t="s">
        <v>10</v>
      </c>
      <c r="D428" t="s">
        <v>17</v>
      </c>
      <c r="E428" t="s">
        <v>8</v>
      </c>
    </row>
    <row r="429" spans="1:5" x14ac:dyDescent="0.35">
      <c r="A429" t="s">
        <v>234</v>
      </c>
      <c r="B429">
        <v>28</v>
      </c>
      <c r="C429" t="s">
        <v>10</v>
      </c>
      <c r="D429" t="s">
        <v>15</v>
      </c>
      <c r="E429" t="s">
        <v>20</v>
      </c>
    </row>
    <row r="430" spans="1:5" x14ac:dyDescent="0.35">
      <c r="A430" t="s">
        <v>246</v>
      </c>
      <c r="B430">
        <v>28</v>
      </c>
      <c r="C430" t="s">
        <v>10</v>
      </c>
      <c r="D430" t="s">
        <v>28</v>
      </c>
      <c r="E430" t="s">
        <v>11</v>
      </c>
    </row>
    <row r="431" spans="1:5" x14ac:dyDescent="0.35">
      <c r="A431" t="s">
        <v>330</v>
      </c>
      <c r="B431">
        <v>28</v>
      </c>
      <c r="C431" t="s">
        <v>10</v>
      </c>
      <c r="D431" t="s">
        <v>17</v>
      </c>
      <c r="E431" t="s">
        <v>25</v>
      </c>
    </row>
    <row r="432" spans="1:5" x14ac:dyDescent="0.35">
      <c r="A432" t="s">
        <v>399</v>
      </c>
      <c r="B432">
        <v>28</v>
      </c>
      <c r="C432" t="s">
        <v>10</v>
      </c>
      <c r="D432" t="s">
        <v>15</v>
      </c>
      <c r="E432" t="s">
        <v>13</v>
      </c>
    </row>
    <row r="433" spans="1:5" x14ac:dyDescent="0.35">
      <c r="A433" t="s">
        <v>406</v>
      </c>
      <c r="B433">
        <v>28</v>
      </c>
      <c r="C433" t="s">
        <v>10</v>
      </c>
      <c r="D433" t="s">
        <v>15</v>
      </c>
      <c r="E433" t="s">
        <v>11</v>
      </c>
    </row>
    <row r="434" spans="1:5" x14ac:dyDescent="0.35">
      <c r="A434" t="s">
        <v>411</v>
      </c>
      <c r="B434">
        <v>28</v>
      </c>
      <c r="C434" t="s">
        <v>6</v>
      </c>
      <c r="D434" t="s">
        <v>17</v>
      </c>
      <c r="E434" t="s">
        <v>8</v>
      </c>
    </row>
    <row r="435" spans="1:5" x14ac:dyDescent="0.35">
      <c r="A435" t="s">
        <v>57</v>
      </c>
      <c r="B435">
        <v>27</v>
      </c>
      <c r="C435" t="s">
        <v>6</v>
      </c>
      <c r="D435" t="s">
        <v>7</v>
      </c>
      <c r="E435" t="s">
        <v>11</v>
      </c>
    </row>
    <row r="436" spans="1:5" x14ac:dyDescent="0.35">
      <c r="A436" t="s">
        <v>124</v>
      </c>
      <c r="B436">
        <v>27</v>
      </c>
      <c r="C436" t="s">
        <v>10</v>
      </c>
      <c r="D436" t="s">
        <v>15</v>
      </c>
      <c r="E436" t="s">
        <v>13</v>
      </c>
    </row>
    <row r="437" spans="1:5" x14ac:dyDescent="0.35">
      <c r="A437" t="s">
        <v>174</v>
      </c>
      <c r="B437">
        <v>27</v>
      </c>
      <c r="C437" t="s">
        <v>10</v>
      </c>
      <c r="D437" t="s">
        <v>15</v>
      </c>
      <c r="E437" t="s">
        <v>8</v>
      </c>
    </row>
    <row r="438" spans="1:5" x14ac:dyDescent="0.35">
      <c r="A438" t="s">
        <v>287</v>
      </c>
      <c r="B438">
        <v>27</v>
      </c>
      <c r="C438" t="s">
        <v>10</v>
      </c>
      <c r="D438" t="s">
        <v>17</v>
      </c>
      <c r="E438" t="s">
        <v>20</v>
      </c>
    </row>
    <row r="439" spans="1:5" x14ac:dyDescent="0.35">
      <c r="A439" t="s">
        <v>318</v>
      </c>
      <c r="B439">
        <v>27</v>
      </c>
      <c r="C439" t="s">
        <v>10</v>
      </c>
      <c r="D439" t="s">
        <v>7</v>
      </c>
      <c r="E439" t="s">
        <v>13</v>
      </c>
    </row>
    <row r="440" spans="1:5" x14ac:dyDescent="0.35">
      <c r="A440" t="s">
        <v>22</v>
      </c>
      <c r="B440">
        <v>26</v>
      </c>
      <c r="C440" t="s">
        <v>10</v>
      </c>
      <c r="D440" t="s">
        <v>15</v>
      </c>
      <c r="E440" t="s">
        <v>8</v>
      </c>
    </row>
    <row r="441" spans="1:5" x14ac:dyDescent="0.35">
      <c r="A441" t="s">
        <v>32</v>
      </c>
      <c r="B441">
        <v>26</v>
      </c>
      <c r="C441" t="s">
        <v>6</v>
      </c>
      <c r="D441" t="s">
        <v>28</v>
      </c>
      <c r="E441" t="s">
        <v>25</v>
      </c>
    </row>
    <row r="442" spans="1:5" x14ac:dyDescent="0.35">
      <c r="A442" t="s">
        <v>132</v>
      </c>
      <c r="B442">
        <v>26</v>
      </c>
      <c r="C442" t="s">
        <v>10</v>
      </c>
      <c r="D442" t="s">
        <v>24</v>
      </c>
      <c r="E442" t="s">
        <v>8</v>
      </c>
    </row>
    <row r="443" spans="1:5" x14ac:dyDescent="0.35">
      <c r="A443" t="s">
        <v>222</v>
      </c>
      <c r="B443">
        <v>26</v>
      </c>
      <c r="C443" t="s">
        <v>6</v>
      </c>
      <c r="D443" t="s">
        <v>24</v>
      </c>
      <c r="E443" t="s">
        <v>20</v>
      </c>
    </row>
    <row r="444" spans="1:5" x14ac:dyDescent="0.35">
      <c r="A444" t="s">
        <v>238</v>
      </c>
      <c r="B444">
        <v>26</v>
      </c>
      <c r="C444" t="s">
        <v>10</v>
      </c>
      <c r="D444" t="s">
        <v>17</v>
      </c>
      <c r="E444" t="s">
        <v>20</v>
      </c>
    </row>
    <row r="445" spans="1:5" x14ac:dyDescent="0.35">
      <c r="A445" t="s">
        <v>242</v>
      </c>
      <c r="B445">
        <v>26</v>
      </c>
      <c r="C445" t="s">
        <v>6</v>
      </c>
      <c r="D445" t="s">
        <v>24</v>
      </c>
      <c r="E445" t="s">
        <v>11</v>
      </c>
    </row>
    <row r="446" spans="1:5" x14ac:dyDescent="0.35">
      <c r="A446" t="s">
        <v>393</v>
      </c>
      <c r="B446">
        <v>26</v>
      </c>
      <c r="C446" t="s">
        <v>10</v>
      </c>
      <c r="D446" t="s">
        <v>7</v>
      </c>
      <c r="E446" t="s">
        <v>11</v>
      </c>
    </row>
    <row r="447" spans="1:5" x14ac:dyDescent="0.35">
      <c r="A447" t="s">
        <v>437</v>
      </c>
      <c r="B447">
        <v>26</v>
      </c>
      <c r="C447" t="s">
        <v>10</v>
      </c>
      <c r="D447" t="s">
        <v>15</v>
      </c>
      <c r="E447" t="s">
        <v>20</v>
      </c>
    </row>
    <row r="448" spans="1:5" x14ac:dyDescent="0.35">
      <c r="A448" t="s">
        <v>114</v>
      </c>
      <c r="B448">
        <v>25</v>
      </c>
      <c r="C448" t="s">
        <v>6</v>
      </c>
      <c r="D448" t="s">
        <v>15</v>
      </c>
      <c r="E448" t="s">
        <v>20</v>
      </c>
    </row>
    <row r="449" spans="1:5" x14ac:dyDescent="0.35">
      <c r="A449" t="s">
        <v>377</v>
      </c>
      <c r="B449">
        <v>25</v>
      </c>
      <c r="C449" t="s">
        <v>6</v>
      </c>
      <c r="D449" t="s">
        <v>15</v>
      </c>
      <c r="E449" t="s">
        <v>8</v>
      </c>
    </row>
    <row r="450" spans="1:5" x14ac:dyDescent="0.35">
      <c r="A450" t="s">
        <v>410</v>
      </c>
      <c r="B450">
        <v>25</v>
      </c>
      <c r="C450" t="s">
        <v>10</v>
      </c>
      <c r="D450" t="s">
        <v>28</v>
      </c>
      <c r="E450" t="s">
        <v>20</v>
      </c>
    </row>
    <row r="451" spans="1:5" x14ac:dyDescent="0.35">
      <c r="A451" t="s">
        <v>441</v>
      </c>
      <c r="B451">
        <v>25</v>
      </c>
      <c r="C451" t="s">
        <v>6</v>
      </c>
      <c r="D451" t="s">
        <v>28</v>
      </c>
      <c r="E451" t="s">
        <v>11</v>
      </c>
    </row>
    <row r="452" spans="1:5" x14ac:dyDescent="0.35">
      <c r="A452" t="s">
        <v>463</v>
      </c>
      <c r="B452">
        <v>25</v>
      </c>
      <c r="C452" t="s">
        <v>10</v>
      </c>
      <c r="D452" t="s">
        <v>7</v>
      </c>
      <c r="E452" t="s">
        <v>8</v>
      </c>
    </row>
    <row r="453" spans="1:5" x14ac:dyDescent="0.35">
      <c r="A453" t="s">
        <v>510</v>
      </c>
      <c r="B453">
        <v>25</v>
      </c>
      <c r="C453" t="s">
        <v>6</v>
      </c>
      <c r="D453" t="s">
        <v>15</v>
      </c>
      <c r="E453" t="s">
        <v>11</v>
      </c>
    </row>
    <row r="454" spans="1:5" x14ac:dyDescent="0.35">
      <c r="A454" t="s">
        <v>129</v>
      </c>
      <c r="B454">
        <v>24</v>
      </c>
      <c r="C454" t="s">
        <v>10</v>
      </c>
      <c r="D454" t="s">
        <v>24</v>
      </c>
      <c r="E454" t="s">
        <v>8</v>
      </c>
    </row>
    <row r="455" spans="1:5" x14ac:dyDescent="0.35">
      <c r="A455" t="s">
        <v>131</v>
      </c>
      <c r="B455">
        <v>24</v>
      </c>
      <c r="C455" t="s">
        <v>10</v>
      </c>
      <c r="D455" t="s">
        <v>7</v>
      </c>
      <c r="E455" t="s">
        <v>20</v>
      </c>
    </row>
    <row r="456" spans="1:5" x14ac:dyDescent="0.35">
      <c r="A456" t="s">
        <v>280</v>
      </c>
      <c r="B456">
        <v>24</v>
      </c>
      <c r="C456" t="s">
        <v>6</v>
      </c>
      <c r="D456" t="s">
        <v>7</v>
      </c>
      <c r="E456" t="s">
        <v>8</v>
      </c>
    </row>
    <row r="457" spans="1:5" x14ac:dyDescent="0.35">
      <c r="A457" t="s">
        <v>328</v>
      </c>
      <c r="B457">
        <v>24</v>
      </c>
      <c r="C457" t="s">
        <v>6</v>
      </c>
      <c r="D457" t="s">
        <v>24</v>
      </c>
      <c r="E457" t="s">
        <v>11</v>
      </c>
    </row>
    <row r="458" spans="1:5" x14ac:dyDescent="0.35">
      <c r="A458" t="s">
        <v>445</v>
      </c>
      <c r="B458">
        <v>24</v>
      </c>
      <c r="C458" t="s">
        <v>6</v>
      </c>
      <c r="D458" t="s">
        <v>17</v>
      </c>
      <c r="E458" t="s">
        <v>20</v>
      </c>
    </row>
    <row r="459" spans="1:5" x14ac:dyDescent="0.35">
      <c r="A459" t="s">
        <v>480</v>
      </c>
      <c r="B459">
        <v>24</v>
      </c>
      <c r="C459" t="s">
        <v>10</v>
      </c>
      <c r="D459" t="s">
        <v>7</v>
      </c>
      <c r="E459" t="s">
        <v>11</v>
      </c>
    </row>
    <row r="460" spans="1:5" x14ac:dyDescent="0.35">
      <c r="A460" t="s">
        <v>53</v>
      </c>
      <c r="B460">
        <v>23</v>
      </c>
      <c r="C460" t="s">
        <v>6</v>
      </c>
      <c r="D460" t="s">
        <v>24</v>
      </c>
      <c r="E460" t="s">
        <v>13</v>
      </c>
    </row>
    <row r="461" spans="1:5" x14ac:dyDescent="0.35">
      <c r="A461" t="s">
        <v>216</v>
      </c>
      <c r="B461">
        <v>23</v>
      </c>
      <c r="C461" t="s">
        <v>10</v>
      </c>
      <c r="D461" t="s">
        <v>7</v>
      </c>
      <c r="E461" t="s">
        <v>20</v>
      </c>
    </row>
    <row r="462" spans="1:5" x14ac:dyDescent="0.35">
      <c r="A462" t="s">
        <v>265</v>
      </c>
      <c r="B462">
        <v>23</v>
      </c>
      <c r="C462" t="s">
        <v>10</v>
      </c>
      <c r="D462" t="s">
        <v>24</v>
      </c>
      <c r="E462" t="s">
        <v>11</v>
      </c>
    </row>
    <row r="463" spans="1:5" x14ac:dyDescent="0.35">
      <c r="A463" t="s">
        <v>332</v>
      </c>
      <c r="B463">
        <v>23</v>
      </c>
      <c r="C463" t="s">
        <v>10</v>
      </c>
      <c r="D463" t="s">
        <v>7</v>
      </c>
      <c r="E463" t="s">
        <v>20</v>
      </c>
    </row>
    <row r="464" spans="1:5" x14ac:dyDescent="0.35">
      <c r="A464" t="s">
        <v>355</v>
      </c>
      <c r="B464">
        <v>23</v>
      </c>
      <c r="C464" t="s">
        <v>6</v>
      </c>
      <c r="D464" t="s">
        <v>15</v>
      </c>
      <c r="E464" t="s">
        <v>11</v>
      </c>
    </row>
    <row r="465" spans="1:5" x14ac:dyDescent="0.35">
      <c r="A465" t="s">
        <v>436</v>
      </c>
      <c r="B465">
        <v>23</v>
      </c>
      <c r="C465" t="s">
        <v>10</v>
      </c>
      <c r="D465" t="s">
        <v>7</v>
      </c>
      <c r="E465" t="s">
        <v>8</v>
      </c>
    </row>
    <row r="466" spans="1:5" x14ac:dyDescent="0.35">
      <c r="A466" t="s">
        <v>438</v>
      </c>
      <c r="B466">
        <v>23</v>
      </c>
      <c r="C466" t="s">
        <v>10</v>
      </c>
      <c r="D466" t="s">
        <v>24</v>
      </c>
      <c r="E466" t="s">
        <v>11</v>
      </c>
    </row>
    <row r="467" spans="1:5" x14ac:dyDescent="0.35">
      <c r="A467" t="s">
        <v>447</v>
      </c>
      <c r="B467">
        <v>23</v>
      </c>
      <c r="C467" t="s">
        <v>6</v>
      </c>
      <c r="D467" t="s">
        <v>7</v>
      </c>
      <c r="E467" t="s">
        <v>11</v>
      </c>
    </row>
    <row r="468" spans="1:5" x14ac:dyDescent="0.35">
      <c r="A468" t="s">
        <v>499</v>
      </c>
      <c r="B468">
        <v>23</v>
      </c>
      <c r="C468" t="s">
        <v>6</v>
      </c>
      <c r="D468" t="s">
        <v>17</v>
      </c>
      <c r="E468" t="s">
        <v>11</v>
      </c>
    </row>
    <row r="469" spans="1:5" x14ac:dyDescent="0.35">
      <c r="A469" t="s">
        <v>18</v>
      </c>
      <c r="B469">
        <v>22</v>
      </c>
      <c r="C469" t="s">
        <v>6</v>
      </c>
      <c r="D469" t="s">
        <v>15</v>
      </c>
      <c r="E469" t="s">
        <v>8</v>
      </c>
    </row>
    <row r="470" spans="1:5" x14ac:dyDescent="0.35">
      <c r="A470" t="s">
        <v>177</v>
      </c>
      <c r="B470">
        <v>22</v>
      </c>
      <c r="C470" t="s">
        <v>6</v>
      </c>
      <c r="D470" t="s">
        <v>17</v>
      </c>
      <c r="E470" t="s">
        <v>11</v>
      </c>
    </row>
    <row r="471" spans="1:5" x14ac:dyDescent="0.35">
      <c r="A471" t="s">
        <v>217</v>
      </c>
      <c r="B471">
        <v>22</v>
      </c>
      <c r="C471" t="s">
        <v>10</v>
      </c>
      <c r="D471" t="s">
        <v>15</v>
      </c>
      <c r="E471" t="s">
        <v>13</v>
      </c>
    </row>
    <row r="472" spans="1:5" x14ac:dyDescent="0.35">
      <c r="A472" t="s">
        <v>218</v>
      </c>
      <c r="B472">
        <v>22</v>
      </c>
      <c r="C472" t="s">
        <v>6</v>
      </c>
      <c r="D472" t="s">
        <v>17</v>
      </c>
      <c r="E472" t="s">
        <v>11</v>
      </c>
    </row>
    <row r="473" spans="1:5" x14ac:dyDescent="0.35">
      <c r="A473" t="s">
        <v>245</v>
      </c>
      <c r="B473">
        <v>22</v>
      </c>
      <c r="C473" t="s">
        <v>10</v>
      </c>
      <c r="D473" t="s">
        <v>24</v>
      </c>
      <c r="E473" t="s">
        <v>8</v>
      </c>
    </row>
    <row r="474" spans="1:5" x14ac:dyDescent="0.35">
      <c r="A474" t="s">
        <v>249</v>
      </c>
      <c r="B474">
        <v>22</v>
      </c>
      <c r="C474" t="s">
        <v>10</v>
      </c>
      <c r="D474" t="s">
        <v>17</v>
      </c>
      <c r="E474" t="s">
        <v>8</v>
      </c>
    </row>
    <row r="475" spans="1:5" x14ac:dyDescent="0.35">
      <c r="A475" t="s">
        <v>281</v>
      </c>
      <c r="B475">
        <v>22</v>
      </c>
      <c r="C475" t="s">
        <v>10</v>
      </c>
      <c r="D475" t="s">
        <v>7</v>
      </c>
      <c r="E475" t="s">
        <v>11</v>
      </c>
    </row>
    <row r="476" spans="1:5" x14ac:dyDescent="0.35">
      <c r="A476" t="s">
        <v>37</v>
      </c>
      <c r="B476">
        <v>21</v>
      </c>
      <c r="C476" t="s">
        <v>10</v>
      </c>
      <c r="D476" t="s">
        <v>15</v>
      </c>
      <c r="E476" t="s">
        <v>8</v>
      </c>
    </row>
    <row r="477" spans="1:5" x14ac:dyDescent="0.35">
      <c r="A477" t="s">
        <v>151</v>
      </c>
      <c r="B477">
        <v>21</v>
      </c>
      <c r="C477" t="s">
        <v>10</v>
      </c>
      <c r="D477" t="s">
        <v>15</v>
      </c>
      <c r="E477" t="s">
        <v>8</v>
      </c>
    </row>
    <row r="478" spans="1:5" x14ac:dyDescent="0.35">
      <c r="A478" t="s">
        <v>208</v>
      </c>
      <c r="B478">
        <v>21</v>
      </c>
      <c r="C478" t="s">
        <v>10</v>
      </c>
      <c r="D478" t="s">
        <v>15</v>
      </c>
      <c r="E478" t="s">
        <v>13</v>
      </c>
    </row>
    <row r="479" spans="1:5" x14ac:dyDescent="0.35">
      <c r="A479" t="s">
        <v>339</v>
      </c>
      <c r="B479">
        <v>21</v>
      </c>
      <c r="C479" t="s">
        <v>10</v>
      </c>
      <c r="D479" t="s">
        <v>15</v>
      </c>
      <c r="E479" t="s">
        <v>11</v>
      </c>
    </row>
    <row r="480" spans="1:5" x14ac:dyDescent="0.35">
      <c r="A480" t="s">
        <v>446</v>
      </c>
      <c r="B480">
        <v>21</v>
      </c>
      <c r="C480" t="s">
        <v>6</v>
      </c>
      <c r="D480" t="s">
        <v>7</v>
      </c>
      <c r="E480" t="s">
        <v>8</v>
      </c>
    </row>
    <row r="481" spans="1:5" x14ac:dyDescent="0.35">
      <c r="A481" t="s">
        <v>488</v>
      </c>
      <c r="B481">
        <v>21</v>
      </c>
      <c r="C481" t="s">
        <v>10</v>
      </c>
      <c r="D481" t="s">
        <v>15</v>
      </c>
      <c r="E481" t="s">
        <v>25</v>
      </c>
    </row>
    <row r="482" spans="1:5" x14ac:dyDescent="0.35">
      <c r="A482" t="s">
        <v>99</v>
      </c>
      <c r="B482">
        <v>20</v>
      </c>
      <c r="C482" t="s">
        <v>6</v>
      </c>
      <c r="D482" t="s">
        <v>28</v>
      </c>
      <c r="E482" t="s">
        <v>25</v>
      </c>
    </row>
    <row r="483" spans="1:5" x14ac:dyDescent="0.35">
      <c r="A483" t="s">
        <v>144</v>
      </c>
      <c r="B483">
        <v>20</v>
      </c>
      <c r="C483" t="s">
        <v>10</v>
      </c>
      <c r="D483" t="s">
        <v>24</v>
      </c>
      <c r="E483" t="s">
        <v>8</v>
      </c>
    </row>
    <row r="484" spans="1:5" x14ac:dyDescent="0.35">
      <c r="A484" t="s">
        <v>180</v>
      </c>
      <c r="B484">
        <v>20</v>
      </c>
      <c r="C484" t="s">
        <v>10</v>
      </c>
      <c r="D484" t="s">
        <v>28</v>
      </c>
      <c r="E484" t="s">
        <v>11</v>
      </c>
    </row>
    <row r="485" spans="1:5" x14ac:dyDescent="0.35">
      <c r="A485" t="s">
        <v>215</v>
      </c>
      <c r="B485">
        <v>20</v>
      </c>
      <c r="C485" t="s">
        <v>10</v>
      </c>
      <c r="D485" t="s">
        <v>28</v>
      </c>
      <c r="E485" t="s">
        <v>11</v>
      </c>
    </row>
    <row r="486" spans="1:5" x14ac:dyDescent="0.35">
      <c r="A486" t="s">
        <v>229</v>
      </c>
      <c r="B486">
        <v>20</v>
      </c>
      <c r="C486" t="s">
        <v>10</v>
      </c>
      <c r="D486" t="s">
        <v>17</v>
      </c>
      <c r="E486" t="s">
        <v>11</v>
      </c>
    </row>
    <row r="487" spans="1:5" x14ac:dyDescent="0.35">
      <c r="A487" t="s">
        <v>358</v>
      </c>
      <c r="B487">
        <v>20</v>
      </c>
      <c r="C487" t="s">
        <v>6</v>
      </c>
      <c r="D487" t="s">
        <v>17</v>
      </c>
      <c r="E487" t="s">
        <v>11</v>
      </c>
    </row>
    <row r="488" spans="1:5" x14ac:dyDescent="0.35">
      <c r="A488" t="s">
        <v>381</v>
      </c>
      <c r="B488">
        <v>20</v>
      </c>
      <c r="C488" t="s">
        <v>10</v>
      </c>
      <c r="D488" t="s">
        <v>17</v>
      </c>
      <c r="E488" t="s">
        <v>11</v>
      </c>
    </row>
    <row r="489" spans="1:5" x14ac:dyDescent="0.35">
      <c r="A489" t="s">
        <v>387</v>
      </c>
      <c r="B489">
        <v>20</v>
      </c>
      <c r="C489" t="s">
        <v>6</v>
      </c>
      <c r="D489" t="s">
        <v>15</v>
      </c>
      <c r="E489" t="s">
        <v>11</v>
      </c>
    </row>
    <row r="490" spans="1:5" x14ac:dyDescent="0.35">
      <c r="A490" t="s">
        <v>451</v>
      </c>
      <c r="B490">
        <v>20</v>
      </c>
      <c r="C490" t="s">
        <v>6</v>
      </c>
      <c r="D490" t="s">
        <v>7</v>
      </c>
      <c r="E490" t="s">
        <v>11</v>
      </c>
    </row>
    <row r="491" spans="1:5" x14ac:dyDescent="0.35">
      <c r="A491" t="s">
        <v>474</v>
      </c>
      <c r="B491">
        <v>20</v>
      </c>
      <c r="C491" t="s">
        <v>6</v>
      </c>
      <c r="D491" t="s">
        <v>24</v>
      </c>
      <c r="E491" t="s">
        <v>25</v>
      </c>
    </row>
    <row r="492" spans="1:5" x14ac:dyDescent="0.35">
      <c r="A492" t="s">
        <v>504</v>
      </c>
      <c r="B492">
        <v>20</v>
      </c>
      <c r="C492" t="s">
        <v>6</v>
      </c>
      <c r="D492" t="s">
        <v>7</v>
      </c>
      <c r="E492" t="s">
        <v>13</v>
      </c>
    </row>
    <row r="493" spans="1:5" x14ac:dyDescent="0.35">
      <c r="A493" t="s">
        <v>9</v>
      </c>
      <c r="B493">
        <v>19</v>
      </c>
      <c r="C493" t="s">
        <v>10</v>
      </c>
      <c r="D493" t="s">
        <v>7</v>
      </c>
      <c r="E493" t="s">
        <v>11</v>
      </c>
    </row>
    <row r="494" spans="1:5" x14ac:dyDescent="0.35">
      <c r="A494" t="s">
        <v>64</v>
      </c>
      <c r="B494">
        <v>19</v>
      </c>
      <c r="C494" t="s">
        <v>10</v>
      </c>
      <c r="D494" t="s">
        <v>15</v>
      </c>
      <c r="E494" t="s">
        <v>8</v>
      </c>
    </row>
    <row r="495" spans="1:5" x14ac:dyDescent="0.35">
      <c r="A495" t="s">
        <v>293</v>
      </c>
      <c r="B495">
        <v>19</v>
      </c>
      <c r="C495" t="s">
        <v>10</v>
      </c>
      <c r="D495" t="s">
        <v>17</v>
      </c>
      <c r="E495" t="s">
        <v>20</v>
      </c>
    </row>
    <row r="496" spans="1:5" x14ac:dyDescent="0.35">
      <c r="A496" t="s">
        <v>346</v>
      </c>
      <c r="B496">
        <v>19</v>
      </c>
      <c r="C496" t="s">
        <v>6</v>
      </c>
      <c r="D496" t="s">
        <v>15</v>
      </c>
      <c r="E496" t="s">
        <v>8</v>
      </c>
    </row>
    <row r="497" spans="1:5" x14ac:dyDescent="0.35">
      <c r="A497" t="s">
        <v>398</v>
      </c>
      <c r="B497">
        <v>19</v>
      </c>
      <c r="C497" t="s">
        <v>10</v>
      </c>
      <c r="D497" t="s">
        <v>7</v>
      </c>
      <c r="E497" t="s">
        <v>25</v>
      </c>
    </row>
    <row r="498" spans="1:5" x14ac:dyDescent="0.35">
      <c r="A498" t="s">
        <v>422</v>
      </c>
      <c r="B498">
        <v>19</v>
      </c>
      <c r="C498" t="s">
        <v>10</v>
      </c>
      <c r="D498" t="s">
        <v>28</v>
      </c>
      <c r="E498" t="s">
        <v>11</v>
      </c>
    </row>
    <row r="499" spans="1:5" x14ac:dyDescent="0.35">
      <c r="A499" t="s">
        <v>514</v>
      </c>
      <c r="B499">
        <v>19</v>
      </c>
      <c r="C499" t="s">
        <v>6</v>
      </c>
      <c r="D499" t="s">
        <v>7</v>
      </c>
      <c r="E499" t="s">
        <v>13</v>
      </c>
    </row>
    <row r="500" spans="1:5" x14ac:dyDescent="0.35">
      <c r="A500" t="s">
        <v>92</v>
      </c>
      <c r="B500">
        <v>18</v>
      </c>
      <c r="C500" t="s">
        <v>10</v>
      </c>
      <c r="D500" t="s">
        <v>7</v>
      </c>
      <c r="E500" t="s">
        <v>25</v>
      </c>
    </row>
    <row r="501" spans="1:5" x14ac:dyDescent="0.35">
      <c r="A501" t="s">
        <v>359</v>
      </c>
      <c r="B501">
        <v>18</v>
      </c>
      <c r="C501" t="s">
        <v>6</v>
      </c>
      <c r="D501" t="s">
        <v>15</v>
      </c>
      <c r="E501" t="s">
        <v>25</v>
      </c>
    </row>
  </sheetData>
  <conditionalFormatting sqref="A501">
    <cfRule type="duplicateValues" dxfId="4" priority="1"/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9CAF-8242-4FD6-A286-9B128FAE8861}">
  <dimension ref="A1:G1487"/>
  <sheetViews>
    <sheetView topLeftCell="A2" workbookViewId="0">
      <selection activeCell="D9" sqref="D9"/>
    </sheetView>
  </sheetViews>
  <sheetFormatPr defaultRowHeight="14.5" x14ac:dyDescent="0.35"/>
  <cols>
    <col min="1" max="1" width="12.90625" bestFit="1" customWidth="1"/>
    <col min="2" max="2" width="10.26953125" bestFit="1" customWidth="1"/>
    <col min="3" max="3" width="15" bestFit="1" customWidth="1"/>
    <col min="4" max="4" width="15" customWidth="1"/>
    <col min="5" max="5" width="14.08984375" style="2" bestFit="1" customWidth="1"/>
    <col min="6" max="6" width="17.81640625" bestFit="1" customWidth="1"/>
    <col min="7" max="7" width="21.54296875" style="2" bestFit="1" customWidth="1"/>
  </cols>
  <sheetData>
    <row r="1" spans="1:7" x14ac:dyDescent="0.35">
      <c r="A1" t="s">
        <v>4688</v>
      </c>
      <c r="B1" t="s">
        <v>675</v>
      </c>
      <c r="C1" t="s">
        <v>4689</v>
      </c>
      <c r="D1" t="s">
        <v>6534</v>
      </c>
      <c r="E1" s="2" t="s">
        <v>4690</v>
      </c>
      <c r="F1" t="s">
        <v>4691</v>
      </c>
      <c r="G1" s="2" t="s">
        <v>4692</v>
      </c>
    </row>
    <row r="2" spans="1:7" x14ac:dyDescent="0.35">
      <c r="A2" t="s">
        <v>4693</v>
      </c>
      <c r="B2" t="s">
        <v>682</v>
      </c>
      <c r="C2" s="1">
        <v>44977</v>
      </c>
      <c r="D2" s="1" t="str">
        <f>TEXT(Payments_Cleaned[[#This Row],[payment_date]],"mmm-yyyy")</f>
        <v>Feb-2023</v>
      </c>
      <c r="E2" s="2">
        <v>805.95</v>
      </c>
      <c r="F2" t="s">
        <v>4694</v>
      </c>
      <c r="G2" s="2">
        <v>335.98</v>
      </c>
    </row>
    <row r="3" spans="1:7" x14ac:dyDescent="0.35">
      <c r="A3" t="s">
        <v>4695</v>
      </c>
      <c r="B3" t="s">
        <v>684</v>
      </c>
      <c r="C3" s="1">
        <v>45596</v>
      </c>
      <c r="D3" s="1" t="str">
        <f>TEXT(Payments_Cleaned[[#This Row],[payment_date]],"mmm-yyyy")</f>
        <v>Oct-2024</v>
      </c>
      <c r="E3" s="2">
        <v>73.44</v>
      </c>
      <c r="F3" t="s">
        <v>4694</v>
      </c>
      <c r="G3" s="2">
        <v>37.97</v>
      </c>
    </row>
    <row r="4" spans="1:7" x14ac:dyDescent="0.35">
      <c r="A4" t="s">
        <v>4696</v>
      </c>
      <c r="B4" t="s">
        <v>685</v>
      </c>
      <c r="C4" s="1">
        <v>45378</v>
      </c>
      <c r="D4" s="1" t="str">
        <f>TEXT(Payments_Cleaned[[#This Row],[payment_date]],"mmm-yyyy")</f>
        <v>Mar-2024</v>
      </c>
      <c r="E4" s="2">
        <v>379.35</v>
      </c>
      <c r="F4" t="s">
        <v>4697</v>
      </c>
      <c r="G4" s="2">
        <v>224.56</v>
      </c>
    </row>
    <row r="5" spans="1:7" x14ac:dyDescent="0.35">
      <c r="A5" t="s">
        <v>4698</v>
      </c>
      <c r="B5" t="s">
        <v>690</v>
      </c>
      <c r="C5" s="1">
        <v>44981</v>
      </c>
      <c r="D5" s="1" t="str">
        <f>TEXT(Payments_Cleaned[[#This Row],[payment_date]],"mmm-yyyy")</f>
        <v>Feb-2023</v>
      </c>
      <c r="E5" s="2">
        <v>137.78</v>
      </c>
      <c r="F5" t="s">
        <v>4694</v>
      </c>
      <c r="G5" s="2">
        <v>45.11</v>
      </c>
    </row>
    <row r="6" spans="1:7" x14ac:dyDescent="0.35">
      <c r="A6" t="s">
        <v>4699</v>
      </c>
      <c r="B6" t="s">
        <v>691</v>
      </c>
      <c r="C6" s="1">
        <v>45560</v>
      </c>
      <c r="D6" s="1" t="str">
        <f>TEXT(Payments_Cleaned[[#This Row],[payment_date]],"mmm-yyyy")</f>
        <v>Sep-2024</v>
      </c>
      <c r="E6" s="2">
        <v>1915.49</v>
      </c>
      <c r="F6" t="s">
        <v>4694</v>
      </c>
      <c r="G6" s="2">
        <v>792.99</v>
      </c>
    </row>
    <row r="7" spans="1:7" x14ac:dyDescent="0.35">
      <c r="A7" t="s">
        <v>4700</v>
      </c>
      <c r="B7" t="s">
        <v>692</v>
      </c>
      <c r="C7" s="1">
        <v>45030</v>
      </c>
      <c r="D7" s="1" t="str">
        <f>TEXT(Payments_Cleaned[[#This Row],[payment_date]],"mmm-yyyy")</f>
        <v>Apr-2023</v>
      </c>
      <c r="E7" s="2">
        <v>93.75</v>
      </c>
      <c r="F7" t="s">
        <v>4697</v>
      </c>
      <c r="G7" s="2">
        <v>4.82</v>
      </c>
    </row>
    <row r="8" spans="1:7" x14ac:dyDescent="0.35">
      <c r="A8" t="s">
        <v>4701</v>
      </c>
      <c r="B8" t="s">
        <v>693</v>
      </c>
      <c r="C8" s="1">
        <v>45162</v>
      </c>
      <c r="D8" s="1" t="str">
        <f>TEXT(Payments_Cleaned[[#This Row],[payment_date]],"mmm-yyyy")</f>
        <v>Aug-2023</v>
      </c>
      <c r="E8" s="2">
        <v>1562.08</v>
      </c>
      <c r="F8" t="s">
        <v>4694</v>
      </c>
      <c r="G8" s="2">
        <v>140.81</v>
      </c>
    </row>
    <row r="9" spans="1:7" x14ac:dyDescent="0.35">
      <c r="A9" t="s">
        <v>4702</v>
      </c>
      <c r="B9" t="s">
        <v>694</v>
      </c>
      <c r="C9" s="1">
        <v>45065</v>
      </c>
      <c r="D9" s="1" t="str">
        <f>TEXT(Payments_Cleaned[[#This Row],[payment_date]],"mmm-yyyy")</f>
        <v>May-2023</v>
      </c>
      <c r="E9" s="2">
        <v>322.79000000000002</v>
      </c>
      <c r="F9" t="s">
        <v>4694</v>
      </c>
      <c r="G9" s="2">
        <v>29.24</v>
      </c>
    </row>
    <row r="10" spans="1:7" x14ac:dyDescent="0.35">
      <c r="A10" t="s">
        <v>4703</v>
      </c>
      <c r="B10" t="s">
        <v>697</v>
      </c>
      <c r="C10" s="1">
        <v>45595</v>
      </c>
      <c r="D10" s="1" t="str">
        <f>TEXT(Payments_Cleaned[[#This Row],[payment_date]],"mmm-yyyy")</f>
        <v>Oct-2024</v>
      </c>
      <c r="E10" s="2">
        <v>385.15</v>
      </c>
      <c r="F10" t="s">
        <v>4694</v>
      </c>
      <c r="G10" s="2">
        <v>95.16</v>
      </c>
    </row>
    <row r="11" spans="1:7" x14ac:dyDescent="0.35">
      <c r="A11" t="s">
        <v>4704</v>
      </c>
      <c r="B11" t="s">
        <v>699</v>
      </c>
      <c r="C11" s="1">
        <v>45087</v>
      </c>
      <c r="D11" s="1" t="str">
        <f>TEXT(Payments_Cleaned[[#This Row],[payment_date]],"mmm-yyyy")</f>
        <v>Jun-2023</v>
      </c>
      <c r="E11" s="2">
        <v>41.69</v>
      </c>
      <c r="F11" t="s">
        <v>4694</v>
      </c>
      <c r="G11" s="2">
        <v>19.89</v>
      </c>
    </row>
    <row r="12" spans="1:7" x14ac:dyDescent="0.35">
      <c r="A12" t="s">
        <v>4705</v>
      </c>
      <c r="B12" t="s">
        <v>700</v>
      </c>
      <c r="C12" s="1">
        <v>44986</v>
      </c>
      <c r="D12" s="1" t="str">
        <f>TEXT(Payments_Cleaned[[#This Row],[payment_date]],"mmm-yyyy")</f>
        <v>Mar-2023</v>
      </c>
      <c r="E12" s="2">
        <v>656.53</v>
      </c>
      <c r="F12" t="s">
        <v>4694</v>
      </c>
      <c r="G12" s="2">
        <v>286.83</v>
      </c>
    </row>
    <row r="13" spans="1:7" x14ac:dyDescent="0.35">
      <c r="A13" t="s">
        <v>4706</v>
      </c>
      <c r="B13" t="s">
        <v>701</v>
      </c>
      <c r="C13" s="1">
        <v>45497</v>
      </c>
      <c r="D13" s="1" t="str">
        <f>TEXT(Payments_Cleaned[[#This Row],[payment_date]],"mmm-yyyy")</f>
        <v>Jul-2024</v>
      </c>
      <c r="E13" s="2">
        <v>4401.8999999999996</v>
      </c>
      <c r="F13" t="s">
        <v>4694</v>
      </c>
      <c r="G13" s="2">
        <v>1469.28</v>
      </c>
    </row>
    <row r="14" spans="1:7" x14ac:dyDescent="0.35">
      <c r="A14" t="s">
        <v>4707</v>
      </c>
      <c r="B14" t="s">
        <v>702</v>
      </c>
      <c r="C14" s="1">
        <v>45193</v>
      </c>
      <c r="D14" s="1" t="str">
        <f>TEXT(Payments_Cleaned[[#This Row],[payment_date]],"mmm-yyyy")</f>
        <v>Sep-2023</v>
      </c>
      <c r="E14" s="2">
        <v>166.14</v>
      </c>
      <c r="F14" t="s">
        <v>4694</v>
      </c>
      <c r="G14" s="2">
        <v>23.73</v>
      </c>
    </row>
    <row r="15" spans="1:7" x14ac:dyDescent="0.35">
      <c r="A15" t="s">
        <v>4708</v>
      </c>
      <c r="B15" t="s">
        <v>704</v>
      </c>
      <c r="C15" s="1">
        <v>45422</v>
      </c>
      <c r="D15" s="1" t="str">
        <f>TEXT(Payments_Cleaned[[#This Row],[payment_date]],"mmm-yyyy")</f>
        <v>May-2024</v>
      </c>
      <c r="E15" s="2">
        <v>664.37</v>
      </c>
      <c r="F15" t="s">
        <v>4694</v>
      </c>
      <c r="G15" s="2">
        <v>207.92</v>
      </c>
    </row>
    <row r="16" spans="1:7" x14ac:dyDescent="0.35">
      <c r="A16" t="s">
        <v>4709</v>
      </c>
      <c r="B16" t="s">
        <v>705</v>
      </c>
      <c r="C16" s="1">
        <v>45370</v>
      </c>
      <c r="D16" s="1" t="str">
        <f>TEXT(Payments_Cleaned[[#This Row],[payment_date]],"mmm-yyyy")</f>
        <v>Mar-2024</v>
      </c>
      <c r="E16" s="2">
        <v>225.07</v>
      </c>
      <c r="F16" t="s">
        <v>4694</v>
      </c>
      <c r="G16" s="2">
        <v>80.48</v>
      </c>
    </row>
    <row r="17" spans="1:7" x14ac:dyDescent="0.35">
      <c r="A17" t="s">
        <v>4710</v>
      </c>
      <c r="B17" t="s">
        <v>706</v>
      </c>
      <c r="C17" s="1">
        <v>45155</v>
      </c>
      <c r="D17" s="1" t="str">
        <f>TEXT(Payments_Cleaned[[#This Row],[payment_date]],"mmm-yyyy")</f>
        <v>Aug-2023</v>
      </c>
      <c r="E17" s="2">
        <v>97.03</v>
      </c>
      <c r="F17" t="s">
        <v>4694</v>
      </c>
      <c r="G17" s="2">
        <v>9.5399999999999991</v>
      </c>
    </row>
    <row r="18" spans="1:7" x14ac:dyDescent="0.35">
      <c r="A18" t="s">
        <v>4711</v>
      </c>
      <c r="B18" t="s">
        <v>707</v>
      </c>
      <c r="C18" s="1">
        <v>44990</v>
      </c>
      <c r="D18" s="1" t="str">
        <f>TEXT(Payments_Cleaned[[#This Row],[payment_date]],"mmm-yyyy")</f>
        <v>Mar-2023</v>
      </c>
      <c r="E18" s="2">
        <v>194.09</v>
      </c>
      <c r="F18" t="s">
        <v>4694</v>
      </c>
      <c r="G18" s="2">
        <v>28.83</v>
      </c>
    </row>
    <row r="19" spans="1:7" x14ac:dyDescent="0.35">
      <c r="A19" t="s">
        <v>4712</v>
      </c>
      <c r="B19" t="s">
        <v>708</v>
      </c>
      <c r="C19" s="1">
        <v>45154</v>
      </c>
      <c r="D19" s="1" t="str">
        <f>TEXT(Payments_Cleaned[[#This Row],[payment_date]],"mmm-yyyy")</f>
        <v>Aug-2023</v>
      </c>
      <c r="E19" s="2">
        <v>777.86</v>
      </c>
      <c r="F19" t="s">
        <v>4694</v>
      </c>
      <c r="G19" s="2">
        <v>65</v>
      </c>
    </row>
    <row r="20" spans="1:7" x14ac:dyDescent="0.35">
      <c r="A20" t="s">
        <v>4713</v>
      </c>
      <c r="B20" t="s">
        <v>709</v>
      </c>
      <c r="C20" s="1">
        <v>45002</v>
      </c>
      <c r="D20" s="1" t="str">
        <f>TEXT(Payments_Cleaned[[#This Row],[payment_date]],"mmm-yyyy")</f>
        <v>Mar-2023</v>
      </c>
      <c r="E20" s="2">
        <v>905.64</v>
      </c>
      <c r="F20" t="s">
        <v>4694</v>
      </c>
      <c r="G20" s="2">
        <v>452.36</v>
      </c>
    </row>
    <row r="21" spans="1:7" x14ac:dyDescent="0.35">
      <c r="A21" t="s">
        <v>4714</v>
      </c>
      <c r="B21" t="s">
        <v>710</v>
      </c>
      <c r="C21" s="1">
        <v>44984</v>
      </c>
      <c r="D21" s="1" t="str">
        <f>TEXT(Payments_Cleaned[[#This Row],[payment_date]],"mmm-yyyy")</f>
        <v>Feb-2023</v>
      </c>
      <c r="E21" s="2">
        <v>410.81</v>
      </c>
      <c r="F21" t="s">
        <v>4694</v>
      </c>
      <c r="G21" s="2">
        <v>167.74</v>
      </c>
    </row>
    <row r="22" spans="1:7" x14ac:dyDescent="0.35">
      <c r="A22" t="s">
        <v>4715</v>
      </c>
      <c r="B22" t="s">
        <v>711</v>
      </c>
      <c r="C22" s="1">
        <v>45242</v>
      </c>
      <c r="D22" s="1" t="str">
        <f>TEXT(Payments_Cleaned[[#This Row],[payment_date]],"mmm-yyyy")</f>
        <v>Nov-2023</v>
      </c>
      <c r="E22" s="2">
        <v>595.09</v>
      </c>
      <c r="F22" t="s">
        <v>4694</v>
      </c>
      <c r="G22" s="2">
        <v>295.01</v>
      </c>
    </row>
    <row r="23" spans="1:7" x14ac:dyDescent="0.35">
      <c r="A23" t="s">
        <v>4716</v>
      </c>
      <c r="B23" t="s">
        <v>712</v>
      </c>
      <c r="C23" s="1">
        <v>45067</v>
      </c>
      <c r="D23" s="1" t="str">
        <f>TEXT(Payments_Cleaned[[#This Row],[payment_date]],"mmm-yyyy")</f>
        <v>May-2023</v>
      </c>
      <c r="E23" s="2">
        <v>128.51</v>
      </c>
      <c r="F23" t="s">
        <v>4697</v>
      </c>
      <c r="G23" s="2">
        <v>54.03</v>
      </c>
    </row>
    <row r="24" spans="1:7" x14ac:dyDescent="0.35">
      <c r="A24" t="s">
        <v>4717</v>
      </c>
      <c r="B24" t="s">
        <v>714</v>
      </c>
      <c r="C24" s="1">
        <v>45476</v>
      </c>
      <c r="D24" s="1" t="str">
        <f>TEXT(Payments_Cleaned[[#This Row],[payment_date]],"mmm-yyyy")</f>
        <v>Jul-2024</v>
      </c>
      <c r="E24" s="2">
        <v>506.38</v>
      </c>
      <c r="F24" t="s">
        <v>4694</v>
      </c>
      <c r="G24" s="2">
        <v>145.33000000000001</v>
      </c>
    </row>
    <row r="25" spans="1:7" x14ac:dyDescent="0.35">
      <c r="A25" t="s">
        <v>4718</v>
      </c>
      <c r="B25" t="s">
        <v>715</v>
      </c>
      <c r="C25" s="1">
        <v>45175</v>
      </c>
      <c r="D25" s="1" t="str">
        <f>TEXT(Payments_Cleaned[[#This Row],[payment_date]],"mmm-yyyy")</f>
        <v>Sep-2023</v>
      </c>
      <c r="E25" s="2">
        <v>458.74</v>
      </c>
      <c r="F25" t="s">
        <v>4694</v>
      </c>
      <c r="G25" s="2">
        <v>240.97</v>
      </c>
    </row>
    <row r="26" spans="1:7" x14ac:dyDescent="0.35">
      <c r="A26" t="s">
        <v>4719</v>
      </c>
      <c r="B26" t="s">
        <v>717</v>
      </c>
      <c r="C26" s="1">
        <v>45468</v>
      </c>
      <c r="D26" s="1" t="str">
        <f>TEXT(Payments_Cleaned[[#This Row],[payment_date]],"mmm-yyyy")</f>
        <v>Jun-2024</v>
      </c>
      <c r="E26" s="2">
        <v>142.69</v>
      </c>
      <c r="F26" t="s">
        <v>4694</v>
      </c>
      <c r="G26" s="2">
        <v>84.11</v>
      </c>
    </row>
    <row r="27" spans="1:7" x14ac:dyDescent="0.35">
      <c r="A27" t="s">
        <v>4720</v>
      </c>
      <c r="B27" t="s">
        <v>718</v>
      </c>
      <c r="C27" s="1">
        <v>45668</v>
      </c>
      <c r="D27" s="1" t="str">
        <f>TEXT(Payments_Cleaned[[#This Row],[payment_date]],"mmm-yyyy")</f>
        <v>Jan-2025</v>
      </c>
      <c r="E27" s="2">
        <v>756.86</v>
      </c>
      <c r="F27" t="s">
        <v>4694</v>
      </c>
      <c r="G27" s="2">
        <v>84.52</v>
      </c>
    </row>
    <row r="28" spans="1:7" x14ac:dyDescent="0.35">
      <c r="A28" t="s">
        <v>4721</v>
      </c>
      <c r="B28" t="s">
        <v>719</v>
      </c>
      <c r="C28" s="1">
        <v>45307</v>
      </c>
      <c r="D28" s="1" t="str">
        <f>TEXT(Payments_Cleaned[[#This Row],[payment_date]],"mmm-yyyy")</f>
        <v>Jan-2024</v>
      </c>
      <c r="E28" s="2">
        <v>1090.1500000000001</v>
      </c>
      <c r="F28" t="s">
        <v>4694</v>
      </c>
      <c r="G28" s="2">
        <v>632.48</v>
      </c>
    </row>
    <row r="29" spans="1:7" x14ac:dyDescent="0.35">
      <c r="A29" t="s">
        <v>4722</v>
      </c>
      <c r="B29" t="s">
        <v>720</v>
      </c>
      <c r="C29" s="1">
        <v>45653</v>
      </c>
      <c r="D29" s="1" t="str">
        <f>TEXT(Payments_Cleaned[[#This Row],[payment_date]],"mmm-yyyy")</f>
        <v>Dec-2024</v>
      </c>
      <c r="E29" s="2">
        <v>814.47</v>
      </c>
      <c r="F29" t="s">
        <v>4694</v>
      </c>
      <c r="G29" s="2">
        <v>251.44</v>
      </c>
    </row>
    <row r="30" spans="1:7" x14ac:dyDescent="0.35">
      <c r="A30" t="s">
        <v>4723</v>
      </c>
      <c r="B30" t="s">
        <v>721</v>
      </c>
      <c r="C30" s="1">
        <v>45001</v>
      </c>
      <c r="D30" s="1" t="str">
        <f>TEXT(Payments_Cleaned[[#This Row],[payment_date]],"mmm-yyyy")</f>
        <v>Mar-2023</v>
      </c>
      <c r="E30" s="2">
        <v>686.29</v>
      </c>
      <c r="F30" t="s">
        <v>4694</v>
      </c>
      <c r="G30" s="2">
        <v>32.92</v>
      </c>
    </row>
    <row r="31" spans="1:7" x14ac:dyDescent="0.35">
      <c r="A31" t="s">
        <v>4724</v>
      </c>
      <c r="B31" t="s">
        <v>722</v>
      </c>
      <c r="C31" s="1">
        <v>45461</v>
      </c>
      <c r="D31" s="1" t="str">
        <f>TEXT(Payments_Cleaned[[#This Row],[payment_date]],"mmm-yyyy")</f>
        <v>Jun-2024</v>
      </c>
      <c r="E31" s="2">
        <v>3181.91</v>
      </c>
      <c r="F31" t="s">
        <v>4694</v>
      </c>
      <c r="G31" s="2">
        <v>1088.1600000000001</v>
      </c>
    </row>
    <row r="32" spans="1:7" x14ac:dyDescent="0.35">
      <c r="A32" t="s">
        <v>4725</v>
      </c>
      <c r="B32" t="s">
        <v>723</v>
      </c>
      <c r="C32" s="1">
        <v>45487</v>
      </c>
      <c r="D32" s="1" t="str">
        <f>TEXT(Payments_Cleaned[[#This Row],[payment_date]],"mmm-yyyy")</f>
        <v>Jul-2024</v>
      </c>
      <c r="E32" s="2">
        <v>3319.7</v>
      </c>
      <c r="F32" t="s">
        <v>4694</v>
      </c>
      <c r="G32" s="2">
        <v>1644.55</v>
      </c>
    </row>
    <row r="33" spans="1:7" x14ac:dyDescent="0.35">
      <c r="A33" t="s">
        <v>4726</v>
      </c>
      <c r="B33" t="s">
        <v>724</v>
      </c>
      <c r="C33" s="1">
        <v>45129</v>
      </c>
      <c r="D33" s="1" t="str">
        <f>TEXT(Payments_Cleaned[[#This Row],[payment_date]],"mmm-yyyy")</f>
        <v>Jul-2023</v>
      </c>
      <c r="E33" s="2">
        <v>3222</v>
      </c>
      <c r="F33" t="s">
        <v>4694</v>
      </c>
      <c r="G33" s="2">
        <v>1886.81</v>
      </c>
    </row>
    <row r="34" spans="1:7" x14ac:dyDescent="0.35">
      <c r="A34" t="s">
        <v>4727</v>
      </c>
      <c r="B34" t="s">
        <v>725</v>
      </c>
      <c r="C34" s="1">
        <v>45620</v>
      </c>
      <c r="D34" s="1" t="str">
        <f>TEXT(Payments_Cleaned[[#This Row],[payment_date]],"mmm-yyyy")</f>
        <v>Nov-2024</v>
      </c>
      <c r="E34" s="2">
        <v>287.83</v>
      </c>
      <c r="F34" t="s">
        <v>4694</v>
      </c>
      <c r="G34" s="2">
        <v>66.45</v>
      </c>
    </row>
    <row r="35" spans="1:7" x14ac:dyDescent="0.35">
      <c r="A35" t="s">
        <v>4728</v>
      </c>
      <c r="B35" t="s">
        <v>726</v>
      </c>
      <c r="C35" s="1">
        <v>45550</v>
      </c>
      <c r="D35" s="1" t="str">
        <f>TEXT(Payments_Cleaned[[#This Row],[payment_date]],"mmm-yyyy")</f>
        <v>Sep-2024</v>
      </c>
      <c r="E35" s="2">
        <v>151.19</v>
      </c>
      <c r="F35" t="s">
        <v>4694</v>
      </c>
      <c r="G35" s="2">
        <v>45.61</v>
      </c>
    </row>
    <row r="36" spans="1:7" x14ac:dyDescent="0.35">
      <c r="A36" t="s">
        <v>4729</v>
      </c>
      <c r="B36" t="s">
        <v>727</v>
      </c>
      <c r="C36" s="1">
        <v>45140</v>
      </c>
      <c r="D36" s="1" t="str">
        <f>TEXT(Payments_Cleaned[[#This Row],[payment_date]],"mmm-yyyy")</f>
        <v>Aug-2023</v>
      </c>
      <c r="E36" s="2">
        <v>845.35</v>
      </c>
      <c r="F36" t="s">
        <v>4694</v>
      </c>
      <c r="G36" s="2">
        <v>439.4</v>
      </c>
    </row>
    <row r="37" spans="1:7" x14ac:dyDescent="0.35">
      <c r="A37" t="s">
        <v>4730</v>
      </c>
      <c r="B37" t="s">
        <v>728</v>
      </c>
      <c r="C37" s="1">
        <v>45152</v>
      </c>
      <c r="D37" s="1" t="str">
        <f>TEXT(Payments_Cleaned[[#This Row],[payment_date]],"mmm-yyyy")</f>
        <v>Aug-2023</v>
      </c>
      <c r="E37" s="2">
        <v>885.03</v>
      </c>
      <c r="F37" t="s">
        <v>4694</v>
      </c>
      <c r="G37" s="2">
        <v>213.4</v>
      </c>
    </row>
    <row r="38" spans="1:7" x14ac:dyDescent="0.35">
      <c r="A38" t="s">
        <v>4731</v>
      </c>
      <c r="B38" t="s">
        <v>730</v>
      </c>
      <c r="C38" s="1">
        <v>45272</v>
      </c>
      <c r="D38" s="1" t="str">
        <f>TEXT(Payments_Cleaned[[#This Row],[payment_date]],"mmm-yyyy")</f>
        <v>Dec-2023</v>
      </c>
      <c r="E38" s="2">
        <v>445.63</v>
      </c>
      <c r="F38" t="s">
        <v>4694</v>
      </c>
      <c r="G38" s="2">
        <v>29.38</v>
      </c>
    </row>
    <row r="39" spans="1:7" x14ac:dyDescent="0.35">
      <c r="A39" t="s">
        <v>4732</v>
      </c>
      <c r="B39" t="s">
        <v>731</v>
      </c>
      <c r="C39" s="1">
        <v>45165</v>
      </c>
      <c r="D39" s="1" t="str">
        <f>TEXT(Payments_Cleaned[[#This Row],[payment_date]],"mmm-yyyy")</f>
        <v>Aug-2023</v>
      </c>
      <c r="E39" s="2">
        <v>3264.45</v>
      </c>
      <c r="F39" t="s">
        <v>4694</v>
      </c>
      <c r="G39" s="2">
        <v>199.51</v>
      </c>
    </row>
    <row r="40" spans="1:7" x14ac:dyDescent="0.35">
      <c r="A40" t="s">
        <v>4733</v>
      </c>
      <c r="B40" t="s">
        <v>732</v>
      </c>
      <c r="C40" s="1">
        <v>45344</v>
      </c>
      <c r="D40" s="1" t="str">
        <f>TEXT(Payments_Cleaned[[#This Row],[payment_date]],"mmm-yyyy")</f>
        <v>Feb-2024</v>
      </c>
      <c r="E40" s="2">
        <v>34.590000000000003</v>
      </c>
      <c r="F40" t="s">
        <v>4694</v>
      </c>
      <c r="G40" s="2">
        <v>13.74</v>
      </c>
    </row>
    <row r="41" spans="1:7" x14ac:dyDescent="0.35">
      <c r="A41" t="s">
        <v>4734</v>
      </c>
      <c r="B41" t="s">
        <v>733</v>
      </c>
      <c r="C41" s="1">
        <v>45614</v>
      </c>
      <c r="D41" s="1" t="str">
        <f>TEXT(Payments_Cleaned[[#This Row],[payment_date]],"mmm-yyyy")</f>
        <v>Nov-2024</v>
      </c>
      <c r="E41" s="2">
        <v>398.59</v>
      </c>
      <c r="F41" t="s">
        <v>4694</v>
      </c>
      <c r="G41" s="2">
        <v>55.2</v>
      </c>
    </row>
    <row r="42" spans="1:7" x14ac:dyDescent="0.35">
      <c r="A42" t="s">
        <v>4735</v>
      </c>
      <c r="B42" t="s">
        <v>734</v>
      </c>
      <c r="C42" s="1">
        <v>45058</v>
      </c>
      <c r="D42" s="1" t="str">
        <f>TEXT(Payments_Cleaned[[#This Row],[payment_date]],"mmm-yyyy")</f>
        <v>May-2023</v>
      </c>
      <c r="E42" s="2">
        <v>686.5</v>
      </c>
      <c r="F42" t="s">
        <v>4694</v>
      </c>
      <c r="G42" s="2">
        <v>33.61</v>
      </c>
    </row>
    <row r="43" spans="1:7" x14ac:dyDescent="0.35">
      <c r="A43" t="s">
        <v>4736</v>
      </c>
      <c r="B43" t="s">
        <v>736</v>
      </c>
      <c r="C43" s="1">
        <v>45505</v>
      </c>
      <c r="D43" s="1" t="str">
        <f>TEXT(Payments_Cleaned[[#This Row],[payment_date]],"mmm-yyyy")</f>
        <v>Aug-2024</v>
      </c>
      <c r="E43" s="2">
        <v>453.72</v>
      </c>
      <c r="F43" t="s">
        <v>4694</v>
      </c>
      <c r="G43" s="2">
        <v>102.92</v>
      </c>
    </row>
    <row r="44" spans="1:7" x14ac:dyDescent="0.35">
      <c r="A44" t="s">
        <v>4737</v>
      </c>
      <c r="B44" t="s">
        <v>737</v>
      </c>
      <c r="C44" s="1">
        <v>45271</v>
      </c>
      <c r="D44" s="1" t="str">
        <f>TEXT(Payments_Cleaned[[#This Row],[payment_date]],"mmm-yyyy")</f>
        <v>Dec-2023</v>
      </c>
      <c r="E44" s="2">
        <v>255.64</v>
      </c>
      <c r="F44" t="s">
        <v>4694</v>
      </c>
      <c r="G44" s="2">
        <v>34.47</v>
      </c>
    </row>
    <row r="45" spans="1:7" x14ac:dyDescent="0.35">
      <c r="A45" t="s">
        <v>4738</v>
      </c>
      <c r="B45" t="s">
        <v>738</v>
      </c>
      <c r="C45" s="1">
        <v>45089</v>
      </c>
      <c r="D45" s="1" t="str">
        <f>TEXT(Payments_Cleaned[[#This Row],[payment_date]],"mmm-yyyy")</f>
        <v>Jun-2023</v>
      </c>
      <c r="E45" s="2">
        <v>116.4</v>
      </c>
      <c r="F45" t="s">
        <v>4694</v>
      </c>
      <c r="G45" s="2">
        <v>38.880000000000003</v>
      </c>
    </row>
    <row r="46" spans="1:7" x14ac:dyDescent="0.35">
      <c r="A46" t="s">
        <v>4739</v>
      </c>
      <c r="B46" t="s">
        <v>739</v>
      </c>
      <c r="C46" s="1">
        <v>45674</v>
      </c>
      <c r="D46" s="1" t="str">
        <f>TEXT(Payments_Cleaned[[#This Row],[payment_date]],"mmm-yyyy")</f>
        <v>Jan-2025</v>
      </c>
      <c r="E46" s="2">
        <v>465.58</v>
      </c>
      <c r="F46" t="s">
        <v>4694</v>
      </c>
      <c r="G46" s="2">
        <v>283.20999999999998</v>
      </c>
    </row>
    <row r="47" spans="1:7" x14ac:dyDescent="0.35">
      <c r="A47" t="s">
        <v>4740</v>
      </c>
      <c r="B47" t="s">
        <v>740</v>
      </c>
      <c r="C47" s="1">
        <v>44976</v>
      </c>
      <c r="D47" s="1" t="str">
        <f>TEXT(Payments_Cleaned[[#This Row],[payment_date]],"mmm-yyyy")</f>
        <v>Feb-2023</v>
      </c>
      <c r="E47" s="2">
        <v>1705.6</v>
      </c>
      <c r="F47" t="s">
        <v>4694</v>
      </c>
      <c r="G47" s="2">
        <v>547.75</v>
      </c>
    </row>
    <row r="48" spans="1:7" x14ac:dyDescent="0.35">
      <c r="A48" t="s">
        <v>4741</v>
      </c>
      <c r="B48" t="s">
        <v>741</v>
      </c>
      <c r="C48" s="1">
        <v>45405</v>
      </c>
      <c r="D48" s="1" t="str">
        <f>TEXT(Payments_Cleaned[[#This Row],[payment_date]],"mmm-yyyy")</f>
        <v>Apr-2024</v>
      </c>
      <c r="E48" s="2">
        <v>236.5</v>
      </c>
      <c r="F48" t="s">
        <v>4694</v>
      </c>
      <c r="G48" s="2">
        <v>67.17</v>
      </c>
    </row>
    <row r="49" spans="1:7" x14ac:dyDescent="0.35">
      <c r="A49" t="s">
        <v>4742</v>
      </c>
      <c r="B49" t="s">
        <v>742</v>
      </c>
      <c r="C49" s="1">
        <v>45658</v>
      </c>
      <c r="D49" s="1" t="str">
        <f>TEXT(Payments_Cleaned[[#This Row],[payment_date]],"mmm-yyyy")</f>
        <v>Jan-2025</v>
      </c>
      <c r="E49" s="2">
        <v>1231.0999999999999</v>
      </c>
      <c r="F49" t="s">
        <v>4694</v>
      </c>
      <c r="G49" s="2">
        <v>253.74</v>
      </c>
    </row>
    <row r="50" spans="1:7" x14ac:dyDescent="0.35">
      <c r="A50" t="s">
        <v>4743</v>
      </c>
      <c r="B50" t="s">
        <v>744</v>
      </c>
      <c r="C50" s="1">
        <v>45153</v>
      </c>
      <c r="D50" s="1" t="str">
        <f>TEXT(Payments_Cleaned[[#This Row],[payment_date]],"mmm-yyyy")</f>
        <v>Aug-2023</v>
      </c>
      <c r="E50" s="2">
        <v>41.59</v>
      </c>
      <c r="F50" t="s">
        <v>4697</v>
      </c>
      <c r="G50" s="2">
        <v>3.82</v>
      </c>
    </row>
    <row r="51" spans="1:7" x14ac:dyDescent="0.35">
      <c r="A51" t="s">
        <v>4744</v>
      </c>
      <c r="B51" t="s">
        <v>745</v>
      </c>
      <c r="C51" s="1">
        <v>45093</v>
      </c>
      <c r="D51" s="1" t="str">
        <f>TEXT(Payments_Cleaned[[#This Row],[payment_date]],"mmm-yyyy")</f>
        <v>Jun-2023</v>
      </c>
      <c r="E51" s="2">
        <v>366.99</v>
      </c>
      <c r="F51" t="s">
        <v>4697</v>
      </c>
      <c r="G51" s="2">
        <v>53.23</v>
      </c>
    </row>
    <row r="52" spans="1:7" x14ac:dyDescent="0.35">
      <c r="A52" t="s">
        <v>4745</v>
      </c>
      <c r="B52" t="s">
        <v>746</v>
      </c>
      <c r="C52" s="1">
        <v>45139</v>
      </c>
      <c r="D52" s="1" t="str">
        <f>TEXT(Payments_Cleaned[[#This Row],[payment_date]],"mmm-yyyy")</f>
        <v>Aug-2023</v>
      </c>
      <c r="E52" s="2">
        <v>175.8</v>
      </c>
      <c r="F52" t="s">
        <v>4694</v>
      </c>
      <c r="G52" s="2">
        <v>65.45</v>
      </c>
    </row>
    <row r="53" spans="1:7" x14ac:dyDescent="0.35">
      <c r="A53" t="s">
        <v>4746</v>
      </c>
      <c r="B53" t="s">
        <v>747</v>
      </c>
      <c r="C53" s="1">
        <v>45450</v>
      </c>
      <c r="D53" s="1" t="str">
        <f>TEXT(Payments_Cleaned[[#This Row],[payment_date]],"mmm-yyyy")</f>
        <v>Jun-2024</v>
      </c>
      <c r="E53" s="2">
        <v>360.63</v>
      </c>
      <c r="F53" t="s">
        <v>4694</v>
      </c>
      <c r="G53" s="2">
        <v>91.85</v>
      </c>
    </row>
    <row r="54" spans="1:7" x14ac:dyDescent="0.35">
      <c r="A54" t="s">
        <v>4747</v>
      </c>
      <c r="B54" t="s">
        <v>748</v>
      </c>
      <c r="C54" s="1">
        <v>45097</v>
      </c>
      <c r="D54" s="1" t="str">
        <f>TEXT(Payments_Cleaned[[#This Row],[payment_date]],"mmm-yyyy")</f>
        <v>Jun-2023</v>
      </c>
      <c r="E54" s="2">
        <v>707.69</v>
      </c>
      <c r="F54" t="s">
        <v>4694</v>
      </c>
      <c r="G54" s="2">
        <v>38.79</v>
      </c>
    </row>
    <row r="55" spans="1:7" x14ac:dyDescent="0.35">
      <c r="A55" t="s">
        <v>4748</v>
      </c>
      <c r="B55" t="s">
        <v>749</v>
      </c>
      <c r="C55" s="1">
        <v>45586</v>
      </c>
      <c r="D55" s="1" t="str">
        <f>TEXT(Payments_Cleaned[[#This Row],[payment_date]],"mmm-yyyy")</f>
        <v>Oct-2024</v>
      </c>
      <c r="E55" s="2">
        <v>291.8</v>
      </c>
      <c r="F55" t="s">
        <v>4694</v>
      </c>
      <c r="G55" s="2">
        <v>57.83</v>
      </c>
    </row>
    <row r="56" spans="1:7" x14ac:dyDescent="0.35">
      <c r="A56" t="s">
        <v>4749</v>
      </c>
      <c r="B56" t="s">
        <v>750</v>
      </c>
      <c r="C56" s="1">
        <v>45066</v>
      </c>
      <c r="D56" s="1" t="str">
        <f>TEXT(Payments_Cleaned[[#This Row],[payment_date]],"mmm-yyyy")</f>
        <v>May-2023</v>
      </c>
      <c r="E56" s="2">
        <v>6313</v>
      </c>
      <c r="F56" t="s">
        <v>4697</v>
      </c>
      <c r="G56" s="2">
        <v>915.68</v>
      </c>
    </row>
    <row r="57" spans="1:7" x14ac:dyDescent="0.35">
      <c r="A57" t="s">
        <v>4750</v>
      </c>
      <c r="B57" t="s">
        <v>751</v>
      </c>
      <c r="C57" s="1">
        <v>45420</v>
      </c>
      <c r="D57" s="1" t="str">
        <f>TEXT(Payments_Cleaned[[#This Row],[payment_date]],"mmm-yyyy")</f>
        <v>May-2024</v>
      </c>
      <c r="E57" s="2">
        <v>2289.5</v>
      </c>
      <c r="F57" t="s">
        <v>4694</v>
      </c>
      <c r="G57" s="2">
        <v>129.63999999999999</v>
      </c>
    </row>
    <row r="58" spans="1:7" x14ac:dyDescent="0.35">
      <c r="A58" t="s">
        <v>4751</v>
      </c>
      <c r="B58" t="s">
        <v>754</v>
      </c>
      <c r="C58" s="1">
        <v>45126</v>
      </c>
      <c r="D58" s="1" t="str">
        <f>TEXT(Payments_Cleaned[[#This Row],[payment_date]],"mmm-yyyy")</f>
        <v>Jul-2023</v>
      </c>
      <c r="E58" s="2">
        <v>35.21</v>
      </c>
      <c r="F58" t="s">
        <v>4694</v>
      </c>
      <c r="G58" s="2">
        <v>20.68</v>
      </c>
    </row>
    <row r="59" spans="1:7" x14ac:dyDescent="0.35">
      <c r="A59" t="s">
        <v>4752</v>
      </c>
      <c r="B59" t="s">
        <v>756</v>
      </c>
      <c r="C59" s="1">
        <v>45144</v>
      </c>
      <c r="D59" s="1" t="str">
        <f>TEXT(Payments_Cleaned[[#This Row],[payment_date]],"mmm-yyyy")</f>
        <v>Aug-2023</v>
      </c>
      <c r="E59" s="2">
        <v>104.56</v>
      </c>
      <c r="F59" t="s">
        <v>4694</v>
      </c>
      <c r="G59" s="2">
        <v>56.9</v>
      </c>
    </row>
    <row r="60" spans="1:7" x14ac:dyDescent="0.35">
      <c r="A60" t="s">
        <v>4753</v>
      </c>
      <c r="B60" t="s">
        <v>757</v>
      </c>
      <c r="C60" s="1">
        <v>45215</v>
      </c>
      <c r="D60" s="1" t="str">
        <f>TEXT(Payments_Cleaned[[#This Row],[payment_date]],"mmm-yyyy")</f>
        <v>Oct-2023</v>
      </c>
      <c r="E60" s="2">
        <v>980.57</v>
      </c>
      <c r="F60" t="s">
        <v>4694</v>
      </c>
      <c r="G60" s="2">
        <v>328.28</v>
      </c>
    </row>
    <row r="61" spans="1:7" x14ac:dyDescent="0.35">
      <c r="A61" t="s">
        <v>4754</v>
      </c>
      <c r="B61" t="s">
        <v>759</v>
      </c>
      <c r="C61" s="1">
        <v>45027</v>
      </c>
      <c r="D61" s="1" t="str">
        <f>TEXT(Payments_Cleaned[[#This Row],[payment_date]],"mmm-yyyy")</f>
        <v>Apr-2023</v>
      </c>
      <c r="E61" s="2">
        <v>470.69</v>
      </c>
      <c r="F61" t="s">
        <v>4697</v>
      </c>
      <c r="G61" s="2">
        <v>83.69</v>
      </c>
    </row>
    <row r="62" spans="1:7" x14ac:dyDescent="0.35">
      <c r="A62" t="s">
        <v>4755</v>
      </c>
      <c r="B62" t="s">
        <v>760</v>
      </c>
      <c r="C62" s="1">
        <v>45353</v>
      </c>
      <c r="D62" s="1" t="str">
        <f>TEXT(Payments_Cleaned[[#This Row],[payment_date]],"mmm-yyyy")</f>
        <v>Mar-2024</v>
      </c>
      <c r="E62" s="2">
        <v>247.58</v>
      </c>
      <c r="F62" t="s">
        <v>4694</v>
      </c>
      <c r="G62" s="2">
        <v>110.88</v>
      </c>
    </row>
    <row r="63" spans="1:7" x14ac:dyDescent="0.35">
      <c r="A63" t="s">
        <v>4756</v>
      </c>
      <c r="B63" t="s">
        <v>761</v>
      </c>
      <c r="C63" s="1">
        <v>45675</v>
      </c>
      <c r="D63" s="1" t="str">
        <f>TEXT(Payments_Cleaned[[#This Row],[payment_date]],"mmm-yyyy")</f>
        <v>Jan-2025</v>
      </c>
      <c r="E63" s="2">
        <v>772.88</v>
      </c>
      <c r="F63" t="s">
        <v>4694</v>
      </c>
      <c r="G63" s="2">
        <v>34.1</v>
      </c>
    </row>
    <row r="64" spans="1:7" x14ac:dyDescent="0.35">
      <c r="A64" t="s">
        <v>4757</v>
      </c>
      <c r="B64" t="s">
        <v>762</v>
      </c>
      <c r="C64" s="1">
        <v>45509</v>
      </c>
      <c r="D64" s="1" t="str">
        <f>TEXT(Payments_Cleaned[[#This Row],[payment_date]],"mmm-yyyy")</f>
        <v>Aug-2024</v>
      </c>
      <c r="E64" s="2">
        <v>238.34</v>
      </c>
      <c r="F64" t="s">
        <v>4694</v>
      </c>
      <c r="G64" s="2">
        <v>39.85</v>
      </c>
    </row>
    <row r="65" spans="1:7" x14ac:dyDescent="0.35">
      <c r="A65" t="s">
        <v>4758</v>
      </c>
      <c r="B65" t="s">
        <v>763</v>
      </c>
      <c r="C65" s="1">
        <v>45051</v>
      </c>
      <c r="D65" s="1" t="str">
        <f>TEXT(Payments_Cleaned[[#This Row],[payment_date]],"mmm-yyyy")</f>
        <v>May-2023</v>
      </c>
      <c r="E65" s="2">
        <v>1174.33</v>
      </c>
      <c r="F65" t="s">
        <v>4694</v>
      </c>
      <c r="G65" s="2">
        <v>137.66999999999999</v>
      </c>
    </row>
    <row r="66" spans="1:7" x14ac:dyDescent="0.35">
      <c r="A66" t="s">
        <v>4759</v>
      </c>
      <c r="B66" t="s">
        <v>764</v>
      </c>
      <c r="C66" s="1">
        <v>45066</v>
      </c>
      <c r="D66" s="1" t="str">
        <f>TEXT(Payments_Cleaned[[#This Row],[payment_date]],"mmm-yyyy")</f>
        <v>May-2023</v>
      </c>
      <c r="E66" s="2">
        <v>3792.06</v>
      </c>
      <c r="F66" t="s">
        <v>4694</v>
      </c>
      <c r="G66" s="2">
        <v>712.33</v>
      </c>
    </row>
    <row r="67" spans="1:7" x14ac:dyDescent="0.35">
      <c r="A67" t="s">
        <v>4760</v>
      </c>
      <c r="B67" t="s">
        <v>770</v>
      </c>
      <c r="C67" s="1">
        <v>45466</v>
      </c>
      <c r="D67" s="1" t="str">
        <f>TEXT(Payments_Cleaned[[#This Row],[payment_date]],"mmm-yyyy")</f>
        <v>Jun-2024</v>
      </c>
      <c r="E67" s="2">
        <v>309.41000000000003</v>
      </c>
      <c r="F67" t="s">
        <v>4697</v>
      </c>
      <c r="G67" s="2">
        <v>27.73</v>
      </c>
    </row>
    <row r="68" spans="1:7" x14ac:dyDescent="0.35">
      <c r="A68" t="s">
        <v>4761</v>
      </c>
      <c r="B68" t="s">
        <v>771</v>
      </c>
      <c r="C68" s="1">
        <v>45543</v>
      </c>
      <c r="D68" s="1" t="str">
        <f>TEXT(Payments_Cleaned[[#This Row],[payment_date]],"mmm-yyyy")</f>
        <v>Sep-2024</v>
      </c>
      <c r="E68" s="2">
        <v>30.39</v>
      </c>
      <c r="F68" t="s">
        <v>4694</v>
      </c>
      <c r="G68" s="2">
        <v>16.87</v>
      </c>
    </row>
    <row r="69" spans="1:7" x14ac:dyDescent="0.35">
      <c r="A69" t="s">
        <v>4762</v>
      </c>
      <c r="B69" t="s">
        <v>772</v>
      </c>
      <c r="C69" s="1">
        <v>45086</v>
      </c>
      <c r="D69" s="1" t="str">
        <f>TEXT(Payments_Cleaned[[#This Row],[payment_date]],"mmm-yyyy")</f>
        <v>Jun-2023</v>
      </c>
      <c r="E69" s="2">
        <v>275.82</v>
      </c>
      <c r="F69" t="s">
        <v>4694</v>
      </c>
      <c r="G69" s="2">
        <v>39.36</v>
      </c>
    </row>
    <row r="70" spans="1:7" x14ac:dyDescent="0.35">
      <c r="A70" t="s">
        <v>4763</v>
      </c>
      <c r="B70" t="s">
        <v>774</v>
      </c>
      <c r="C70" s="1">
        <v>45580</v>
      </c>
      <c r="D70" s="1" t="str">
        <f>TEXT(Payments_Cleaned[[#This Row],[payment_date]],"mmm-yyyy")</f>
        <v>Oct-2024</v>
      </c>
      <c r="E70" s="2">
        <v>172.63</v>
      </c>
      <c r="F70" t="s">
        <v>4694</v>
      </c>
      <c r="G70" s="2">
        <v>8.98</v>
      </c>
    </row>
    <row r="71" spans="1:7" x14ac:dyDescent="0.35">
      <c r="A71" t="s">
        <v>4764</v>
      </c>
      <c r="B71" t="s">
        <v>776</v>
      </c>
      <c r="C71" s="1">
        <v>45206</v>
      </c>
      <c r="D71" s="1" t="str">
        <f>TEXT(Payments_Cleaned[[#This Row],[payment_date]],"mmm-yyyy")</f>
        <v>Oct-2023</v>
      </c>
      <c r="E71" s="2">
        <v>1101.9100000000001</v>
      </c>
      <c r="F71" t="s">
        <v>4694</v>
      </c>
      <c r="G71" s="2">
        <v>361.86</v>
      </c>
    </row>
    <row r="72" spans="1:7" x14ac:dyDescent="0.35">
      <c r="A72" t="s">
        <v>4765</v>
      </c>
      <c r="B72" t="s">
        <v>777</v>
      </c>
      <c r="C72" s="1">
        <v>45578</v>
      </c>
      <c r="D72" s="1" t="str">
        <f>TEXT(Payments_Cleaned[[#This Row],[payment_date]],"mmm-yyyy")</f>
        <v>Oct-2024</v>
      </c>
      <c r="E72" s="2">
        <v>193.29</v>
      </c>
      <c r="F72" t="s">
        <v>4694</v>
      </c>
      <c r="G72" s="2">
        <v>45.02</v>
      </c>
    </row>
    <row r="73" spans="1:7" x14ac:dyDescent="0.35">
      <c r="A73" t="s">
        <v>4766</v>
      </c>
      <c r="B73" t="s">
        <v>778</v>
      </c>
      <c r="C73" s="1">
        <v>45649</v>
      </c>
      <c r="D73" s="1" t="str">
        <f>TEXT(Payments_Cleaned[[#This Row],[payment_date]],"mmm-yyyy")</f>
        <v>Dec-2024</v>
      </c>
      <c r="E73" s="2">
        <v>149.09</v>
      </c>
      <c r="F73" t="s">
        <v>4694</v>
      </c>
      <c r="G73" s="2">
        <v>51.74</v>
      </c>
    </row>
    <row r="74" spans="1:7" x14ac:dyDescent="0.35">
      <c r="A74" t="s">
        <v>4767</v>
      </c>
      <c r="B74" t="s">
        <v>779</v>
      </c>
      <c r="C74" s="1">
        <v>45521</v>
      </c>
      <c r="D74" s="1" t="str">
        <f>TEXT(Payments_Cleaned[[#This Row],[payment_date]],"mmm-yyyy")</f>
        <v>Aug-2024</v>
      </c>
      <c r="E74" s="2">
        <v>6548.14</v>
      </c>
      <c r="F74" t="s">
        <v>4694</v>
      </c>
      <c r="G74" s="2">
        <v>1097.5</v>
      </c>
    </row>
    <row r="75" spans="1:7" x14ac:dyDescent="0.35">
      <c r="A75" t="s">
        <v>4768</v>
      </c>
      <c r="B75" t="s">
        <v>780</v>
      </c>
      <c r="C75" s="1">
        <v>45385</v>
      </c>
      <c r="D75" s="1" t="str">
        <f>TEXT(Payments_Cleaned[[#This Row],[payment_date]],"mmm-yyyy")</f>
        <v>Apr-2024</v>
      </c>
      <c r="E75" s="2">
        <v>240.46</v>
      </c>
      <c r="F75" t="s">
        <v>4694</v>
      </c>
      <c r="G75" s="2">
        <v>32.82</v>
      </c>
    </row>
    <row r="76" spans="1:7" x14ac:dyDescent="0.35">
      <c r="A76" t="s">
        <v>4769</v>
      </c>
      <c r="B76" t="s">
        <v>781</v>
      </c>
      <c r="C76" s="1">
        <v>45498</v>
      </c>
      <c r="D76" s="1" t="str">
        <f>TEXT(Payments_Cleaned[[#This Row],[payment_date]],"mmm-yyyy")</f>
        <v>Jul-2024</v>
      </c>
      <c r="E76" s="2">
        <v>3829.31</v>
      </c>
      <c r="F76" t="s">
        <v>4694</v>
      </c>
      <c r="G76" s="2">
        <v>1371.98</v>
      </c>
    </row>
    <row r="77" spans="1:7" x14ac:dyDescent="0.35">
      <c r="A77" t="s">
        <v>4770</v>
      </c>
      <c r="B77" t="s">
        <v>782</v>
      </c>
      <c r="C77" s="1">
        <v>45259</v>
      </c>
      <c r="D77" s="1" t="str">
        <f>TEXT(Payments_Cleaned[[#This Row],[payment_date]],"mmm-yyyy")</f>
        <v>Nov-2023</v>
      </c>
      <c r="E77" s="2">
        <v>6385.13</v>
      </c>
      <c r="F77" t="s">
        <v>4694</v>
      </c>
      <c r="G77" s="2">
        <v>662.87</v>
      </c>
    </row>
    <row r="78" spans="1:7" x14ac:dyDescent="0.35">
      <c r="A78" t="s">
        <v>4771</v>
      </c>
      <c r="B78" t="s">
        <v>783</v>
      </c>
      <c r="C78" s="1">
        <v>45525</v>
      </c>
      <c r="D78" s="1" t="str">
        <f>TEXT(Payments_Cleaned[[#This Row],[payment_date]],"mmm-yyyy")</f>
        <v>Aug-2024</v>
      </c>
      <c r="E78" s="2">
        <v>2392.34</v>
      </c>
      <c r="F78" t="s">
        <v>4694</v>
      </c>
      <c r="G78" s="2">
        <v>1129.18</v>
      </c>
    </row>
    <row r="79" spans="1:7" x14ac:dyDescent="0.35">
      <c r="A79" t="s">
        <v>4772</v>
      </c>
      <c r="B79" t="s">
        <v>784</v>
      </c>
      <c r="C79" s="1">
        <v>45296</v>
      </c>
      <c r="D79" s="1" t="str">
        <f>TEXT(Payments_Cleaned[[#This Row],[payment_date]],"mmm-yyyy")</f>
        <v>Jan-2024</v>
      </c>
      <c r="E79" s="2">
        <v>92.32</v>
      </c>
      <c r="F79" t="s">
        <v>4694</v>
      </c>
      <c r="G79" s="2">
        <v>10.37</v>
      </c>
    </row>
    <row r="80" spans="1:7" x14ac:dyDescent="0.35">
      <c r="A80" t="s">
        <v>4773</v>
      </c>
      <c r="B80" t="s">
        <v>785</v>
      </c>
      <c r="C80" s="1">
        <v>45022</v>
      </c>
      <c r="D80" s="1" t="str">
        <f>TEXT(Payments_Cleaned[[#This Row],[payment_date]],"mmm-yyyy")</f>
        <v>Apr-2023</v>
      </c>
      <c r="E80" s="2">
        <v>262.64</v>
      </c>
      <c r="F80" t="s">
        <v>4694</v>
      </c>
      <c r="G80" s="2">
        <v>14.33</v>
      </c>
    </row>
    <row r="81" spans="1:7" x14ac:dyDescent="0.35">
      <c r="A81" t="s">
        <v>4774</v>
      </c>
      <c r="B81" t="s">
        <v>786</v>
      </c>
      <c r="C81" s="1">
        <v>45022</v>
      </c>
      <c r="D81" s="1" t="str">
        <f>TEXT(Payments_Cleaned[[#This Row],[payment_date]],"mmm-yyyy")</f>
        <v>Apr-2023</v>
      </c>
      <c r="E81" s="2">
        <v>319.33</v>
      </c>
      <c r="F81" t="s">
        <v>4697</v>
      </c>
      <c r="G81" s="2">
        <v>54.55</v>
      </c>
    </row>
    <row r="82" spans="1:7" x14ac:dyDescent="0.35">
      <c r="A82" t="s">
        <v>4775</v>
      </c>
      <c r="B82" t="s">
        <v>788</v>
      </c>
      <c r="C82" s="1">
        <v>45233</v>
      </c>
      <c r="D82" s="1" t="str">
        <f>TEXT(Payments_Cleaned[[#This Row],[payment_date]],"mmm-yyyy")</f>
        <v>Nov-2023</v>
      </c>
      <c r="E82" s="2">
        <v>958.42</v>
      </c>
      <c r="F82" t="s">
        <v>4694</v>
      </c>
      <c r="G82" s="2">
        <v>396.64</v>
      </c>
    </row>
    <row r="83" spans="1:7" x14ac:dyDescent="0.35">
      <c r="A83" t="s">
        <v>4776</v>
      </c>
      <c r="B83" t="s">
        <v>789</v>
      </c>
      <c r="C83" s="1">
        <v>45313</v>
      </c>
      <c r="D83" s="1" t="str">
        <f>TEXT(Payments_Cleaned[[#This Row],[payment_date]],"mmm-yyyy")</f>
        <v>Jan-2024</v>
      </c>
      <c r="E83" s="2">
        <v>2625.39</v>
      </c>
      <c r="F83" t="s">
        <v>4694</v>
      </c>
      <c r="G83" s="2">
        <v>1066.96</v>
      </c>
    </row>
    <row r="84" spans="1:7" x14ac:dyDescent="0.35">
      <c r="A84" t="s">
        <v>4777</v>
      </c>
      <c r="B84" t="s">
        <v>790</v>
      </c>
      <c r="C84" s="1">
        <v>45525</v>
      </c>
      <c r="D84" s="1" t="str">
        <f>TEXT(Payments_Cleaned[[#This Row],[payment_date]],"mmm-yyyy")</f>
        <v>Aug-2024</v>
      </c>
      <c r="E84" s="2">
        <v>307.19</v>
      </c>
      <c r="F84" t="s">
        <v>4694</v>
      </c>
      <c r="G84" s="2">
        <v>62.45</v>
      </c>
    </row>
    <row r="85" spans="1:7" x14ac:dyDescent="0.35">
      <c r="A85" t="s">
        <v>4778</v>
      </c>
      <c r="B85" t="s">
        <v>791</v>
      </c>
      <c r="C85" s="1">
        <v>45572</v>
      </c>
      <c r="D85" s="1" t="str">
        <f>TEXT(Payments_Cleaned[[#This Row],[payment_date]],"mmm-yyyy")</f>
        <v>Oct-2024</v>
      </c>
      <c r="E85" s="2">
        <v>33.520000000000003</v>
      </c>
      <c r="F85" t="s">
        <v>4694</v>
      </c>
      <c r="G85" s="2">
        <v>15.78</v>
      </c>
    </row>
    <row r="86" spans="1:7" x14ac:dyDescent="0.35">
      <c r="A86" t="s">
        <v>4779</v>
      </c>
      <c r="B86" t="s">
        <v>793</v>
      </c>
      <c r="C86" s="1">
        <v>45591</v>
      </c>
      <c r="D86" s="1" t="str">
        <f>TEXT(Payments_Cleaned[[#This Row],[payment_date]],"mmm-yyyy")</f>
        <v>Oct-2024</v>
      </c>
      <c r="E86" s="2">
        <v>425.5</v>
      </c>
      <c r="F86" t="s">
        <v>4694</v>
      </c>
      <c r="G86" s="2">
        <v>55.47</v>
      </c>
    </row>
    <row r="87" spans="1:7" x14ac:dyDescent="0.35">
      <c r="A87" t="s">
        <v>4780</v>
      </c>
      <c r="B87" t="s">
        <v>794</v>
      </c>
      <c r="C87" s="1">
        <v>45251</v>
      </c>
      <c r="D87" s="1" t="str">
        <f>TEXT(Payments_Cleaned[[#This Row],[payment_date]],"mmm-yyyy")</f>
        <v>Nov-2023</v>
      </c>
      <c r="E87" s="2">
        <v>3188.77</v>
      </c>
      <c r="F87" t="s">
        <v>4694</v>
      </c>
      <c r="G87" s="2">
        <v>1624.44</v>
      </c>
    </row>
    <row r="88" spans="1:7" x14ac:dyDescent="0.35">
      <c r="A88" t="s">
        <v>4781</v>
      </c>
      <c r="B88" t="s">
        <v>795</v>
      </c>
      <c r="C88" s="1">
        <v>45578</v>
      </c>
      <c r="D88" s="1" t="str">
        <f>TEXT(Payments_Cleaned[[#This Row],[payment_date]],"mmm-yyyy")</f>
        <v>Oct-2024</v>
      </c>
      <c r="E88" s="2">
        <v>264.92</v>
      </c>
      <c r="F88" t="s">
        <v>4694</v>
      </c>
      <c r="G88" s="2">
        <v>12.22</v>
      </c>
    </row>
    <row r="89" spans="1:7" x14ac:dyDescent="0.35">
      <c r="A89" t="s">
        <v>4782</v>
      </c>
      <c r="B89" t="s">
        <v>797</v>
      </c>
      <c r="C89" s="1">
        <v>45566</v>
      </c>
      <c r="D89" s="1" t="str">
        <f>TEXT(Payments_Cleaned[[#This Row],[payment_date]],"mmm-yyyy")</f>
        <v>Oct-2024</v>
      </c>
      <c r="E89" s="2">
        <v>420.43</v>
      </c>
      <c r="F89" t="s">
        <v>4694</v>
      </c>
      <c r="G89" s="2">
        <v>115.87</v>
      </c>
    </row>
    <row r="90" spans="1:7" x14ac:dyDescent="0.35">
      <c r="A90" t="s">
        <v>4783</v>
      </c>
      <c r="B90" t="s">
        <v>798</v>
      </c>
      <c r="C90" s="1">
        <v>45139</v>
      </c>
      <c r="D90" s="1" t="str">
        <f>TEXT(Payments_Cleaned[[#This Row],[payment_date]],"mmm-yyyy")</f>
        <v>Aug-2023</v>
      </c>
      <c r="E90" s="2">
        <v>1308.98</v>
      </c>
      <c r="F90" t="s">
        <v>4694</v>
      </c>
      <c r="G90" s="2">
        <v>81.040000000000006</v>
      </c>
    </row>
    <row r="91" spans="1:7" x14ac:dyDescent="0.35">
      <c r="A91" t="s">
        <v>4784</v>
      </c>
      <c r="B91" t="s">
        <v>799</v>
      </c>
      <c r="C91" s="1">
        <v>45650</v>
      </c>
      <c r="D91" s="1" t="str">
        <f>TEXT(Payments_Cleaned[[#This Row],[payment_date]],"mmm-yyyy")</f>
        <v>Dec-2024</v>
      </c>
      <c r="E91" s="2">
        <v>619.16</v>
      </c>
      <c r="F91" t="s">
        <v>4694</v>
      </c>
      <c r="G91" s="2">
        <v>57.18</v>
      </c>
    </row>
    <row r="92" spans="1:7" x14ac:dyDescent="0.35">
      <c r="A92" t="s">
        <v>4785</v>
      </c>
      <c r="B92" t="s">
        <v>801</v>
      </c>
      <c r="C92" s="1">
        <v>45156</v>
      </c>
      <c r="D92" s="1" t="str">
        <f>TEXT(Payments_Cleaned[[#This Row],[payment_date]],"mmm-yyyy")</f>
        <v>Aug-2023</v>
      </c>
      <c r="E92" s="2">
        <v>268.93</v>
      </c>
      <c r="F92" t="s">
        <v>4694</v>
      </c>
      <c r="G92" s="2">
        <v>23.67</v>
      </c>
    </row>
    <row r="93" spans="1:7" x14ac:dyDescent="0.35">
      <c r="A93" t="s">
        <v>4786</v>
      </c>
      <c r="B93" t="s">
        <v>802</v>
      </c>
      <c r="C93" s="1">
        <v>45532</v>
      </c>
      <c r="D93" s="1" t="str">
        <f>TEXT(Payments_Cleaned[[#This Row],[payment_date]],"mmm-yyyy")</f>
        <v>Aug-2024</v>
      </c>
      <c r="E93" s="2">
        <v>345.01</v>
      </c>
      <c r="F93" t="s">
        <v>4694</v>
      </c>
      <c r="G93" s="2">
        <v>135.62</v>
      </c>
    </row>
    <row r="94" spans="1:7" x14ac:dyDescent="0.35">
      <c r="A94" t="s">
        <v>4787</v>
      </c>
      <c r="B94" t="s">
        <v>803</v>
      </c>
      <c r="C94" s="1">
        <v>45507</v>
      </c>
      <c r="D94" s="1" t="str">
        <f>TEXT(Payments_Cleaned[[#This Row],[payment_date]],"mmm-yyyy")</f>
        <v>Aug-2024</v>
      </c>
      <c r="E94" s="2">
        <v>181.97</v>
      </c>
      <c r="F94" t="s">
        <v>4694</v>
      </c>
      <c r="G94" s="2">
        <v>39.39</v>
      </c>
    </row>
    <row r="95" spans="1:7" x14ac:dyDescent="0.35">
      <c r="A95" t="s">
        <v>4788</v>
      </c>
      <c r="B95" t="s">
        <v>804</v>
      </c>
      <c r="C95" s="1">
        <v>45549</v>
      </c>
      <c r="D95" s="1" t="str">
        <f>TEXT(Payments_Cleaned[[#This Row],[payment_date]],"mmm-yyyy")</f>
        <v>Sep-2024</v>
      </c>
      <c r="E95" s="2">
        <v>484.05</v>
      </c>
      <c r="F95" t="s">
        <v>4694</v>
      </c>
      <c r="G95" s="2">
        <v>110.76</v>
      </c>
    </row>
    <row r="96" spans="1:7" x14ac:dyDescent="0.35">
      <c r="A96" t="s">
        <v>4789</v>
      </c>
      <c r="B96" t="s">
        <v>805</v>
      </c>
      <c r="C96" s="1">
        <v>45630</v>
      </c>
      <c r="D96" s="1" t="str">
        <f>TEXT(Payments_Cleaned[[#This Row],[payment_date]],"mmm-yyyy")</f>
        <v>Dec-2024</v>
      </c>
      <c r="E96" s="2">
        <v>149.72999999999999</v>
      </c>
      <c r="F96" t="s">
        <v>4694</v>
      </c>
      <c r="G96" s="2">
        <v>54.93</v>
      </c>
    </row>
    <row r="97" spans="1:7" x14ac:dyDescent="0.35">
      <c r="A97" t="s">
        <v>4790</v>
      </c>
      <c r="B97" t="s">
        <v>806</v>
      </c>
      <c r="C97" s="1">
        <v>45502</v>
      </c>
      <c r="D97" s="1" t="str">
        <f>TEXT(Payments_Cleaned[[#This Row],[payment_date]],"mmm-yyyy")</f>
        <v>Jul-2024</v>
      </c>
      <c r="E97" s="2">
        <v>156.35</v>
      </c>
      <c r="F97" t="s">
        <v>4694</v>
      </c>
      <c r="G97" s="2">
        <v>20.399999999999999</v>
      </c>
    </row>
    <row r="98" spans="1:7" x14ac:dyDescent="0.35">
      <c r="A98" t="s">
        <v>4791</v>
      </c>
      <c r="B98" t="s">
        <v>807</v>
      </c>
      <c r="C98" s="1">
        <v>45694</v>
      </c>
      <c r="D98" s="1" t="str">
        <f>TEXT(Payments_Cleaned[[#This Row],[payment_date]],"mmm-yyyy")</f>
        <v>Feb-2025</v>
      </c>
      <c r="E98" s="2">
        <v>277.17</v>
      </c>
      <c r="F98" t="s">
        <v>4694</v>
      </c>
      <c r="G98" s="2">
        <v>89.8</v>
      </c>
    </row>
    <row r="99" spans="1:7" x14ac:dyDescent="0.35">
      <c r="A99" t="s">
        <v>4792</v>
      </c>
      <c r="B99" t="s">
        <v>809</v>
      </c>
      <c r="C99" s="1">
        <v>45582</v>
      </c>
      <c r="D99" s="1" t="str">
        <f>TEXT(Payments_Cleaned[[#This Row],[payment_date]],"mmm-yyyy")</f>
        <v>Oct-2024</v>
      </c>
      <c r="E99" s="2">
        <v>1332.22</v>
      </c>
      <c r="F99" t="s">
        <v>4694</v>
      </c>
      <c r="G99" s="2">
        <v>248.36</v>
      </c>
    </row>
    <row r="100" spans="1:7" x14ac:dyDescent="0.35">
      <c r="A100" t="s">
        <v>4793</v>
      </c>
      <c r="B100" t="s">
        <v>810</v>
      </c>
      <c r="C100" s="1">
        <v>45381</v>
      </c>
      <c r="D100" s="1" t="str">
        <f>TEXT(Payments_Cleaned[[#This Row],[payment_date]],"mmm-yyyy")</f>
        <v>Mar-2024</v>
      </c>
      <c r="E100" s="2">
        <v>100.04</v>
      </c>
      <c r="F100" t="s">
        <v>4697</v>
      </c>
      <c r="G100" s="2">
        <v>8.64</v>
      </c>
    </row>
    <row r="101" spans="1:7" x14ac:dyDescent="0.35">
      <c r="A101" t="s">
        <v>4794</v>
      </c>
      <c r="B101" t="s">
        <v>811</v>
      </c>
      <c r="C101" s="1">
        <v>45307</v>
      </c>
      <c r="D101" s="1" t="str">
        <f>TEXT(Payments_Cleaned[[#This Row],[payment_date]],"mmm-yyyy")</f>
        <v>Jan-2024</v>
      </c>
      <c r="E101" s="2">
        <v>650.41</v>
      </c>
      <c r="F101" t="s">
        <v>4697</v>
      </c>
      <c r="G101" s="2">
        <v>272.39999999999998</v>
      </c>
    </row>
    <row r="102" spans="1:7" x14ac:dyDescent="0.35">
      <c r="A102" t="s">
        <v>4795</v>
      </c>
      <c r="B102" t="s">
        <v>812</v>
      </c>
      <c r="C102" s="1">
        <v>45174</v>
      </c>
      <c r="D102" s="1" t="str">
        <f>TEXT(Payments_Cleaned[[#This Row],[payment_date]],"mmm-yyyy")</f>
        <v>Sep-2023</v>
      </c>
      <c r="E102" s="2">
        <v>1302.1500000000001</v>
      </c>
      <c r="F102" t="s">
        <v>4694</v>
      </c>
      <c r="G102" s="2">
        <v>152.03</v>
      </c>
    </row>
    <row r="103" spans="1:7" x14ac:dyDescent="0.35">
      <c r="A103" t="s">
        <v>4796</v>
      </c>
      <c r="B103" t="s">
        <v>815</v>
      </c>
      <c r="C103" s="1">
        <v>45206</v>
      </c>
      <c r="D103" s="1" t="str">
        <f>TEXT(Payments_Cleaned[[#This Row],[payment_date]],"mmm-yyyy")</f>
        <v>Oct-2023</v>
      </c>
      <c r="E103" s="2">
        <v>3160.11</v>
      </c>
      <c r="F103" t="s">
        <v>4694</v>
      </c>
      <c r="G103" s="2">
        <v>1373.38</v>
      </c>
    </row>
    <row r="104" spans="1:7" x14ac:dyDescent="0.35">
      <c r="A104" t="s">
        <v>4797</v>
      </c>
      <c r="B104" t="s">
        <v>819</v>
      </c>
      <c r="C104" s="1">
        <v>45568</v>
      </c>
      <c r="D104" s="1" t="str">
        <f>TEXT(Payments_Cleaned[[#This Row],[payment_date]],"mmm-yyyy")</f>
        <v>Oct-2024</v>
      </c>
      <c r="E104" s="2">
        <v>736.6</v>
      </c>
      <c r="F104" t="s">
        <v>4694</v>
      </c>
      <c r="G104" s="2">
        <v>181.26</v>
      </c>
    </row>
    <row r="105" spans="1:7" x14ac:dyDescent="0.35">
      <c r="A105" t="s">
        <v>4798</v>
      </c>
      <c r="B105" t="s">
        <v>821</v>
      </c>
      <c r="C105" s="1">
        <v>45168</v>
      </c>
      <c r="D105" s="1" t="str">
        <f>TEXT(Payments_Cleaned[[#This Row],[payment_date]],"mmm-yyyy")</f>
        <v>Aug-2023</v>
      </c>
      <c r="E105" s="2">
        <v>78.180000000000007</v>
      </c>
      <c r="F105" t="s">
        <v>4694</v>
      </c>
      <c r="G105" s="2">
        <v>23.35</v>
      </c>
    </row>
    <row r="106" spans="1:7" x14ac:dyDescent="0.35">
      <c r="A106" t="s">
        <v>4799</v>
      </c>
      <c r="B106" t="s">
        <v>822</v>
      </c>
      <c r="C106" s="1">
        <v>45533</v>
      </c>
      <c r="D106" s="1" t="str">
        <f>TEXT(Payments_Cleaned[[#This Row],[payment_date]],"mmm-yyyy")</f>
        <v>Aug-2024</v>
      </c>
      <c r="E106" s="2">
        <v>78.900000000000006</v>
      </c>
      <c r="F106" t="s">
        <v>4694</v>
      </c>
      <c r="G106" s="2">
        <v>30.87</v>
      </c>
    </row>
    <row r="107" spans="1:7" x14ac:dyDescent="0.35">
      <c r="A107" t="s">
        <v>4800</v>
      </c>
      <c r="B107" t="s">
        <v>824</v>
      </c>
      <c r="C107" s="1">
        <v>45183</v>
      </c>
      <c r="D107" s="1" t="str">
        <f>TEXT(Payments_Cleaned[[#This Row],[payment_date]],"mmm-yyyy")</f>
        <v>Sep-2023</v>
      </c>
      <c r="E107" s="2">
        <v>112.86</v>
      </c>
      <c r="F107" t="s">
        <v>4694</v>
      </c>
      <c r="G107" s="2">
        <v>50.72</v>
      </c>
    </row>
    <row r="108" spans="1:7" x14ac:dyDescent="0.35">
      <c r="A108" t="s">
        <v>4801</v>
      </c>
      <c r="B108" t="s">
        <v>825</v>
      </c>
      <c r="C108" s="1">
        <v>45675</v>
      </c>
      <c r="D108" s="1" t="str">
        <f>TEXT(Payments_Cleaned[[#This Row],[payment_date]],"mmm-yyyy")</f>
        <v>Jan-2025</v>
      </c>
      <c r="E108" s="2">
        <v>144.63</v>
      </c>
      <c r="F108" t="s">
        <v>4694</v>
      </c>
      <c r="G108" s="2">
        <v>27.98</v>
      </c>
    </row>
    <row r="109" spans="1:7" x14ac:dyDescent="0.35">
      <c r="A109" t="s">
        <v>4802</v>
      </c>
      <c r="B109" t="s">
        <v>828</v>
      </c>
      <c r="C109" s="1">
        <v>45196</v>
      </c>
      <c r="D109" s="1" t="str">
        <f>TEXT(Payments_Cleaned[[#This Row],[payment_date]],"mmm-yyyy")</f>
        <v>Sep-2023</v>
      </c>
      <c r="E109" s="2">
        <v>875.11</v>
      </c>
      <c r="F109" t="s">
        <v>4694</v>
      </c>
      <c r="G109" s="2">
        <v>48.16</v>
      </c>
    </row>
    <row r="110" spans="1:7" x14ac:dyDescent="0.35">
      <c r="A110" t="s">
        <v>4803</v>
      </c>
      <c r="B110" t="s">
        <v>830</v>
      </c>
      <c r="C110" s="1">
        <v>45493</v>
      </c>
      <c r="D110" s="1" t="str">
        <f>TEXT(Payments_Cleaned[[#This Row],[payment_date]],"mmm-yyyy")</f>
        <v>Jul-2024</v>
      </c>
      <c r="E110" s="2">
        <v>836.01</v>
      </c>
      <c r="F110" t="s">
        <v>4694</v>
      </c>
      <c r="G110" s="2">
        <v>68.77</v>
      </c>
    </row>
    <row r="111" spans="1:7" x14ac:dyDescent="0.35">
      <c r="A111" t="s">
        <v>4804</v>
      </c>
      <c r="B111" t="s">
        <v>831</v>
      </c>
      <c r="C111" s="1">
        <v>45146</v>
      </c>
      <c r="D111" s="1" t="str">
        <f>TEXT(Payments_Cleaned[[#This Row],[payment_date]],"mmm-yyyy")</f>
        <v>Aug-2023</v>
      </c>
      <c r="E111" s="2">
        <v>90.17</v>
      </c>
      <c r="F111" t="s">
        <v>4694</v>
      </c>
      <c r="G111" s="2">
        <v>47.42</v>
      </c>
    </row>
    <row r="112" spans="1:7" x14ac:dyDescent="0.35">
      <c r="A112" t="s">
        <v>4805</v>
      </c>
      <c r="B112" t="s">
        <v>833</v>
      </c>
      <c r="C112" s="1">
        <v>45475</v>
      </c>
      <c r="D112" s="1" t="str">
        <f>TEXT(Payments_Cleaned[[#This Row],[payment_date]],"mmm-yyyy")</f>
        <v>Jul-2024</v>
      </c>
      <c r="E112" s="2">
        <v>305.77</v>
      </c>
      <c r="F112" t="s">
        <v>4697</v>
      </c>
      <c r="G112" s="2">
        <v>75.45</v>
      </c>
    </row>
    <row r="113" spans="1:7" x14ac:dyDescent="0.35">
      <c r="A113" t="s">
        <v>4806</v>
      </c>
      <c r="B113" t="s">
        <v>834</v>
      </c>
      <c r="C113" s="1">
        <v>45027</v>
      </c>
      <c r="D113" s="1" t="str">
        <f>TEXT(Payments_Cleaned[[#This Row],[payment_date]],"mmm-yyyy")</f>
        <v>Apr-2023</v>
      </c>
      <c r="E113" s="2">
        <v>290.83999999999997</v>
      </c>
      <c r="F113" t="s">
        <v>4697</v>
      </c>
      <c r="G113" s="2">
        <v>68.37</v>
      </c>
    </row>
    <row r="114" spans="1:7" x14ac:dyDescent="0.35">
      <c r="A114" t="s">
        <v>4807</v>
      </c>
      <c r="B114" t="s">
        <v>835</v>
      </c>
      <c r="C114" s="1">
        <v>45598</v>
      </c>
      <c r="D114" s="1" t="str">
        <f>TEXT(Payments_Cleaned[[#This Row],[payment_date]],"mmm-yyyy")</f>
        <v>Nov-2024</v>
      </c>
      <c r="E114" s="2">
        <v>505.15</v>
      </c>
      <c r="F114" t="s">
        <v>4694</v>
      </c>
      <c r="G114" s="2">
        <v>82.28</v>
      </c>
    </row>
    <row r="115" spans="1:7" x14ac:dyDescent="0.35">
      <c r="A115" t="s">
        <v>4808</v>
      </c>
      <c r="B115" t="s">
        <v>836</v>
      </c>
      <c r="C115" s="1">
        <v>45344</v>
      </c>
      <c r="D115" s="1" t="str">
        <f>TEXT(Payments_Cleaned[[#This Row],[payment_date]],"mmm-yyyy")</f>
        <v>Feb-2024</v>
      </c>
      <c r="E115" s="2">
        <v>74.489999999999995</v>
      </c>
      <c r="F115" t="s">
        <v>4694</v>
      </c>
      <c r="G115" s="2">
        <v>28.57</v>
      </c>
    </row>
    <row r="116" spans="1:7" x14ac:dyDescent="0.35">
      <c r="A116" t="s">
        <v>4809</v>
      </c>
      <c r="B116" t="s">
        <v>837</v>
      </c>
      <c r="C116" s="1">
        <v>45622</v>
      </c>
      <c r="D116" s="1" t="str">
        <f>TEXT(Payments_Cleaned[[#This Row],[payment_date]],"mmm-yyyy")</f>
        <v>Nov-2024</v>
      </c>
      <c r="E116" s="2">
        <v>142.31</v>
      </c>
      <c r="F116" t="s">
        <v>4694</v>
      </c>
      <c r="G116" s="2">
        <v>18.59</v>
      </c>
    </row>
    <row r="117" spans="1:7" x14ac:dyDescent="0.35">
      <c r="A117" t="s">
        <v>4810</v>
      </c>
      <c r="B117" t="s">
        <v>840</v>
      </c>
      <c r="C117" s="1">
        <v>45437</v>
      </c>
      <c r="D117" s="1" t="str">
        <f>TEXT(Payments_Cleaned[[#This Row],[payment_date]],"mmm-yyyy")</f>
        <v>May-2024</v>
      </c>
      <c r="E117" s="2">
        <v>666.41</v>
      </c>
      <c r="F117" t="s">
        <v>4694</v>
      </c>
      <c r="G117" s="2">
        <v>245.08</v>
      </c>
    </row>
    <row r="118" spans="1:7" x14ac:dyDescent="0.35">
      <c r="A118" t="s">
        <v>4811</v>
      </c>
      <c r="B118" t="s">
        <v>841</v>
      </c>
      <c r="C118" s="1">
        <v>45605</v>
      </c>
      <c r="D118" s="1" t="str">
        <f>TEXT(Payments_Cleaned[[#This Row],[payment_date]],"mmm-yyyy")</f>
        <v>Nov-2024</v>
      </c>
      <c r="E118" s="2">
        <v>303.45</v>
      </c>
      <c r="F118" t="s">
        <v>4694</v>
      </c>
      <c r="G118" s="2">
        <v>94.14</v>
      </c>
    </row>
    <row r="119" spans="1:7" x14ac:dyDescent="0.35">
      <c r="A119" t="s">
        <v>4812</v>
      </c>
      <c r="B119" t="s">
        <v>842</v>
      </c>
      <c r="C119" s="1">
        <v>45177</v>
      </c>
      <c r="D119" s="1" t="str">
        <f>TEXT(Payments_Cleaned[[#This Row],[payment_date]],"mmm-yyyy")</f>
        <v>Sep-2023</v>
      </c>
      <c r="E119" s="2">
        <v>587.15</v>
      </c>
      <c r="F119" t="s">
        <v>4694</v>
      </c>
      <c r="G119" s="2">
        <v>254.08</v>
      </c>
    </row>
    <row r="120" spans="1:7" x14ac:dyDescent="0.35">
      <c r="A120" t="s">
        <v>4813</v>
      </c>
      <c r="B120" t="s">
        <v>843</v>
      </c>
      <c r="C120" s="1">
        <v>45405</v>
      </c>
      <c r="D120" s="1" t="str">
        <f>TEXT(Payments_Cleaned[[#This Row],[payment_date]],"mmm-yyyy")</f>
        <v>Apr-2024</v>
      </c>
      <c r="E120" s="2">
        <v>353.72</v>
      </c>
      <c r="F120" t="s">
        <v>4694</v>
      </c>
      <c r="G120" s="2">
        <v>66.95</v>
      </c>
    </row>
    <row r="121" spans="1:7" x14ac:dyDescent="0.35">
      <c r="A121" t="s">
        <v>4814</v>
      </c>
      <c r="B121" t="s">
        <v>845</v>
      </c>
      <c r="C121" s="1">
        <v>45460</v>
      </c>
      <c r="D121" s="1" t="str">
        <f>TEXT(Payments_Cleaned[[#This Row],[payment_date]],"mmm-yyyy")</f>
        <v>Jun-2024</v>
      </c>
      <c r="E121" s="2">
        <v>257.11</v>
      </c>
      <c r="F121" t="s">
        <v>4697</v>
      </c>
      <c r="G121" s="2">
        <v>25.59</v>
      </c>
    </row>
    <row r="122" spans="1:7" x14ac:dyDescent="0.35">
      <c r="A122" t="s">
        <v>4815</v>
      </c>
      <c r="B122" t="s">
        <v>846</v>
      </c>
      <c r="C122" s="1">
        <v>45118</v>
      </c>
      <c r="D122" s="1" t="str">
        <f>TEXT(Payments_Cleaned[[#This Row],[payment_date]],"mmm-yyyy")</f>
        <v>Jul-2023</v>
      </c>
      <c r="E122" s="2">
        <v>398.44</v>
      </c>
      <c r="F122" t="s">
        <v>4694</v>
      </c>
      <c r="G122" s="2">
        <v>158.09</v>
      </c>
    </row>
    <row r="123" spans="1:7" x14ac:dyDescent="0.35">
      <c r="A123" t="s">
        <v>4816</v>
      </c>
      <c r="B123" t="s">
        <v>847</v>
      </c>
      <c r="C123" s="1">
        <v>45288</v>
      </c>
      <c r="D123" s="1" t="str">
        <f>TEXT(Payments_Cleaned[[#This Row],[payment_date]],"mmm-yyyy")</f>
        <v>Dec-2023</v>
      </c>
      <c r="E123" s="2">
        <v>103.64</v>
      </c>
      <c r="F123" t="s">
        <v>4694</v>
      </c>
      <c r="G123" s="2">
        <v>4.82</v>
      </c>
    </row>
    <row r="124" spans="1:7" x14ac:dyDescent="0.35">
      <c r="A124" t="s">
        <v>4817</v>
      </c>
      <c r="B124" t="s">
        <v>848</v>
      </c>
      <c r="C124" s="1">
        <v>45130</v>
      </c>
      <c r="D124" s="1" t="str">
        <f>TEXT(Payments_Cleaned[[#This Row],[payment_date]],"mmm-yyyy")</f>
        <v>Jul-2023</v>
      </c>
      <c r="E124" s="2">
        <v>1138.1099999999999</v>
      </c>
      <c r="F124" t="s">
        <v>4694</v>
      </c>
      <c r="G124" s="2">
        <v>111.06</v>
      </c>
    </row>
    <row r="125" spans="1:7" x14ac:dyDescent="0.35">
      <c r="A125" t="s">
        <v>4818</v>
      </c>
      <c r="B125" t="s">
        <v>850</v>
      </c>
      <c r="C125" s="1">
        <v>44971</v>
      </c>
      <c r="D125" s="1" t="str">
        <f>TEXT(Payments_Cleaned[[#This Row],[payment_date]],"mmm-yyyy")</f>
        <v>Feb-2023</v>
      </c>
      <c r="E125" s="2">
        <v>496.82</v>
      </c>
      <c r="F125" t="s">
        <v>4694</v>
      </c>
      <c r="G125" s="2">
        <v>61.92</v>
      </c>
    </row>
    <row r="126" spans="1:7" x14ac:dyDescent="0.35">
      <c r="A126" t="s">
        <v>4819</v>
      </c>
      <c r="B126" t="s">
        <v>851</v>
      </c>
      <c r="C126" s="1">
        <v>45027</v>
      </c>
      <c r="D126" s="1" t="str">
        <f>TEXT(Payments_Cleaned[[#This Row],[payment_date]],"mmm-yyyy")</f>
        <v>Apr-2023</v>
      </c>
      <c r="E126" s="2">
        <v>627.08000000000004</v>
      </c>
      <c r="F126" t="s">
        <v>4694</v>
      </c>
      <c r="G126" s="2">
        <v>108.51</v>
      </c>
    </row>
    <row r="127" spans="1:7" x14ac:dyDescent="0.35">
      <c r="A127" t="s">
        <v>4820</v>
      </c>
      <c r="B127" t="s">
        <v>852</v>
      </c>
      <c r="C127" s="1">
        <v>45537</v>
      </c>
      <c r="D127" s="1" t="str">
        <f>TEXT(Payments_Cleaned[[#This Row],[payment_date]],"mmm-yyyy")</f>
        <v>Sep-2024</v>
      </c>
      <c r="E127" s="2">
        <v>576.65</v>
      </c>
      <c r="F127" t="s">
        <v>4694</v>
      </c>
      <c r="G127" s="2">
        <v>192.29</v>
      </c>
    </row>
    <row r="128" spans="1:7" x14ac:dyDescent="0.35">
      <c r="A128" t="s">
        <v>4821</v>
      </c>
      <c r="B128" t="s">
        <v>853</v>
      </c>
      <c r="C128" s="1">
        <v>45081</v>
      </c>
      <c r="D128" s="1" t="str">
        <f>TEXT(Payments_Cleaned[[#This Row],[payment_date]],"mmm-yyyy")</f>
        <v>Jun-2023</v>
      </c>
      <c r="E128" s="2">
        <v>121.09</v>
      </c>
      <c r="F128" t="s">
        <v>4694</v>
      </c>
      <c r="G128" s="2">
        <v>28.37</v>
      </c>
    </row>
    <row r="129" spans="1:7" x14ac:dyDescent="0.35">
      <c r="A129" t="s">
        <v>4822</v>
      </c>
      <c r="B129" t="s">
        <v>854</v>
      </c>
      <c r="C129" s="1">
        <v>45544</v>
      </c>
      <c r="D129" s="1" t="str">
        <f>TEXT(Payments_Cleaned[[#This Row],[payment_date]],"mmm-yyyy")</f>
        <v>Sep-2024</v>
      </c>
      <c r="E129" s="2">
        <v>367.08</v>
      </c>
      <c r="F129" t="s">
        <v>4694</v>
      </c>
      <c r="G129" s="2">
        <v>16.66</v>
      </c>
    </row>
    <row r="130" spans="1:7" x14ac:dyDescent="0.35">
      <c r="A130" t="s">
        <v>4823</v>
      </c>
      <c r="B130" t="s">
        <v>855</v>
      </c>
      <c r="C130" s="1">
        <v>45689</v>
      </c>
      <c r="D130" s="1" t="str">
        <f>TEXT(Payments_Cleaned[[#This Row],[payment_date]],"mmm-yyyy")</f>
        <v>Feb-2025</v>
      </c>
      <c r="E130" s="2">
        <v>201.53</v>
      </c>
      <c r="F130" t="s">
        <v>4694</v>
      </c>
      <c r="G130" s="2">
        <v>26.59</v>
      </c>
    </row>
    <row r="131" spans="1:7" x14ac:dyDescent="0.35">
      <c r="A131" t="s">
        <v>4824</v>
      </c>
      <c r="B131" t="s">
        <v>858</v>
      </c>
      <c r="C131" s="1">
        <v>45353</v>
      </c>
      <c r="D131" s="1" t="str">
        <f>TEXT(Payments_Cleaned[[#This Row],[payment_date]],"mmm-yyyy")</f>
        <v>Mar-2024</v>
      </c>
      <c r="E131" s="2">
        <v>362.75</v>
      </c>
      <c r="F131" t="s">
        <v>4694</v>
      </c>
      <c r="G131" s="2">
        <v>71.790000000000006</v>
      </c>
    </row>
    <row r="132" spans="1:7" x14ac:dyDescent="0.35">
      <c r="A132" t="s">
        <v>4825</v>
      </c>
      <c r="B132" t="s">
        <v>859</v>
      </c>
      <c r="C132" s="1">
        <v>45409</v>
      </c>
      <c r="D132" s="1" t="str">
        <f>TEXT(Payments_Cleaned[[#This Row],[payment_date]],"mmm-yyyy")</f>
        <v>Apr-2024</v>
      </c>
      <c r="E132" s="2">
        <v>529.20000000000005</v>
      </c>
      <c r="F132" t="s">
        <v>4694</v>
      </c>
      <c r="G132" s="2">
        <v>70.91</v>
      </c>
    </row>
    <row r="133" spans="1:7" x14ac:dyDescent="0.35">
      <c r="A133" t="s">
        <v>4826</v>
      </c>
      <c r="B133" t="s">
        <v>860</v>
      </c>
      <c r="C133" s="1">
        <v>45383</v>
      </c>
      <c r="D133" s="1" t="str">
        <f>TEXT(Payments_Cleaned[[#This Row],[payment_date]],"mmm-yyyy")</f>
        <v>Apr-2024</v>
      </c>
      <c r="E133" s="2">
        <v>254.75</v>
      </c>
      <c r="F133" t="s">
        <v>4694</v>
      </c>
      <c r="G133" s="2">
        <v>59.75</v>
      </c>
    </row>
    <row r="134" spans="1:7" x14ac:dyDescent="0.35">
      <c r="A134" t="s">
        <v>4827</v>
      </c>
      <c r="B134" t="s">
        <v>863</v>
      </c>
      <c r="C134" s="1">
        <v>45594</v>
      </c>
      <c r="D134" s="1" t="str">
        <f>TEXT(Payments_Cleaned[[#This Row],[payment_date]],"mmm-yyyy")</f>
        <v>Oct-2024</v>
      </c>
      <c r="E134" s="2">
        <v>888.54</v>
      </c>
      <c r="F134" t="s">
        <v>4694</v>
      </c>
      <c r="G134" s="2">
        <v>58.33</v>
      </c>
    </row>
    <row r="135" spans="1:7" x14ac:dyDescent="0.35">
      <c r="A135" t="s">
        <v>4828</v>
      </c>
      <c r="B135" t="s">
        <v>864</v>
      </c>
      <c r="C135" s="1">
        <v>45661</v>
      </c>
      <c r="D135" s="1" t="str">
        <f>TEXT(Payments_Cleaned[[#This Row],[payment_date]],"mmm-yyyy")</f>
        <v>Jan-2025</v>
      </c>
      <c r="E135" s="2">
        <v>1150.9000000000001</v>
      </c>
      <c r="F135" t="s">
        <v>4697</v>
      </c>
      <c r="G135" s="2">
        <v>372.02</v>
      </c>
    </row>
    <row r="136" spans="1:7" x14ac:dyDescent="0.35">
      <c r="A136" t="s">
        <v>4829</v>
      </c>
      <c r="B136" t="s">
        <v>865</v>
      </c>
      <c r="C136" s="1">
        <v>45440</v>
      </c>
      <c r="D136" s="1" t="str">
        <f>TEXT(Payments_Cleaned[[#This Row],[payment_date]],"mmm-yyyy")</f>
        <v>May-2024</v>
      </c>
      <c r="E136" s="2">
        <v>4243.16</v>
      </c>
      <c r="F136" t="s">
        <v>4694</v>
      </c>
      <c r="G136" s="2">
        <v>2239.7800000000002</v>
      </c>
    </row>
    <row r="137" spans="1:7" x14ac:dyDescent="0.35">
      <c r="A137" t="s">
        <v>4830</v>
      </c>
      <c r="B137" t="s">
        <v>866</v>
      </c>
      <c r="C137" s="1">
        <v>45292</v>
      </c>
      <c r="D137" s="1" t="str">
        <f>TEXT(Payments_Cleaned[[#This Row],[payment_date]],"mmm-yyyy")</f>
        <v>Jan-2024</v>
      </c>
      <c r="E137" s="2">
        <v>424.06</v>
      </c>
      <c r="F137" t="s">
        <v>4694</v>
      </c>
      <c r="G137" s="2">
        <v>221.03</v>
      </c>
    </row>
    <row r="138" spans="1:7" x14ac:dyDescent="0.35">
      <c r="A138" t="s">
        <v>4831</v>
      </c>
      <c r="B138" t="s">
        <v>867</v>
      </c>
      <c r="C138" s="1">
        <v>45552</v>
      </c>
      <c r="D138" s="1" t="str">
        <f>TEXT(Payments_Cleaned[[#This Row],[payment_date]],"mmm-yyyy")</f>
        <v>Sep-2024</v>
      </c>
      <c r="E138" s="2">
        <v>286.14999999999998</v>
      </c>
      <c r="F138" t="s">
        <v>4694</v>
      </c>
      <c r="G138" s="2">
        <v>144.44</v>
      </c>
    </row>
    <row r="139" spans="1:7" x14ac:dyDescent="0.35">
      <c r="A139" t="s">
        <v>4832</v>
      </c>
      <c r="B139" t="s">
        <v>868</v>
      </c>
      <c r="C139" s="1">
        <v>45238</v>
      </c>
      <c r="D139" s="1" t="str">
        <f>TEXT(Payments_Cleaned[[#This Row],[payment_date]],"mmm-yyyy")</f>
        <v>Nov-2023</v>
      </c>
      <c r="E139" s="2">
        <v>457.93</v>
      </c>
      <c r="F139" t="s">
        <v>4694</v>
      </c>
      <c r="G139" s="2">
        <v>27.37</v>
      </c>
    </row>
    <row r="140" spans="1:7" x14ac:dyDescent="0.35">
      <c r="A140" t="s">
        <v>4833</v>
      </c>
      <c r="B140" t="s">
        <v>869</v>
      </c>
      <c r="C140" s="1">
        <v>45561</v>
      </c>
      <c r="D140" s="1" t="str">
        <f>TEXT(Payments_Cleaned[[#This Row],[payment_date]],"mmm-yyyy")</f>
        <v>Sep-2024</v>
      </c>
      <c r="E140" s="2">
        <v>3554.36</v>
      </c>
      <c r="F140" t="s">
        <v>4694</v>
      </c>
      <c r="G140" s="2">
        <v>1234.0999999999999</v>
      </c>
    </row>
    <row r="141" spans="1:7" x14ac:dyDescent="0.35">
      <c r="A141" t="s">
        <v>4834</v>
      </c>
      <c r="B141" t="s">
        <v>870</v>
      </c>
      <c r="C141" s="1">
        <v>45609</v>
      </c>
      <c r="D141" s="1" t="str">
        <f>TEXT(Payments_Cleaned[[#This Row],[payment_date]],"mmm-yyyy")</f>
        <v>Nov-2024</v>
      </c>
      <c r="E141" s="2">
        <v>568.11</v>
      </c>
      <c r="F141" t="s">
        <v>4697</v>
      </c>
      <c r="G141" s="2">
        <v>172.49</v>
      </c>
    </row>
    <row r="142" spans="1:7" x14ac:dyDescent="0.35">
      <c r="A142" t="s">
        <v>4835</v>
      </c>
      <c r="B142" t="s">
        <v>872</v>
      </c>
      <c r="C142" s="1">
        <v>45548</v>
      </c>
      <c r="D142" s="1" t="str">
        <f>TEXT(Payments_Cleaned[[#This Row],[payment_date]],"mmm-yyyy")</f>
        <v>Sep-2024</v>
      </c>
      <c r="E142" s="2">
        <v>610.94000000000005</v>
      </c>
      <c r="F142" t="s">
        <v>4694</v>
      </c>
      <c r="G142" s="2">
        <v>302.43</v>
      </c>
    </row>
    <row r="143" spans="1:7" x14ac:dyDescent="0.35">
      <c r="A143" t="s">
        <v>4836</v>
      </c>
      <c r="B143" t="s">
        <v>873</v>
      </c>
      <c r="C143" s="1">
        <v>45298</v>
      </c>
      <c r="D143" s="1" t="str">
        <f>TEXT(Payments_Cleaned[[#This Row],[payment_date]],"mmm-yyyy")</f>
        <v>Jan-2024</v>
      </c>
      <c r="E143" s="2">
        <v>206.63</v>
      </c>
      <c r="F143" t="s">
        <v>4697</v>
      </c>
      <c r="G143" s="2">
        <v>13.44</v>
      </c>
    </row>
    <row r="144" spans="1:7" x14ac:dyDescent="0.35">
      <c r="A144" t="s">
        <v>4837</v>
      </c>
      <c r="B144" t="s">
        <v>874</v>
      </c>
      <c r="C144" s="1">
        <v>44986</v>
      </c>
      <c r="D144" s="1" t="str">
        <f>TEXT(Payments_Cleaned[[#This Row],[payment_date]],"mmm-yyyy")</f>
        <v>Mar-2023</v>
      </c>
      <c r="E144" s="2">
        <v>387.54</v>
      </c>
      <c r="F144" t="s">
        <v>4694</v>
      </c>
      <c r="G144" s="2">
        <v>81.17</v>
      </c>
    </row>
    <row r="145" spans="1:7" x14ac:dyDescent="0.35">
      <c r="A145" t="s">
        <v>4838</v>
      </c>
      <c r="B145" t="s">
        <v>875</v>
      </c>
      <c r="C145" s="1">
        <v>45009</v>
      </c>
      <c r="D145" s="1" t="str">
        <f>TEXT(Payments_Cleaned[[#This Row],[payment_date]],"mmm-yyyy")</f>
        <v>Mar-2023</v>
      </c>
      <c r="E145" s="2">
        <v>159.56</v>
      </c>
      <c r="F145" t="s">
        <v>4694</v>
      </c>
      <c r="G145" s="2">
        <v>25.35</v>
      </c>
    </row>
    <row r="146" spans="1:7" x14ac:dyDescent="0.35">
      <c r="A146" t="s">
        <v>4839</v>
      </c>
      <c r="B146" t="s">
        <v>876</v>
      </c>
      <c r="C146" s="1">
        <v>45636</v>
      </c>
      <c r="D146" s="1" t="str">
        <f>TEXT(Payments_Cleaned[[#This Row],[payment_date]],"mmm-yyyy")</f>
        <v>Dec-2024</v>
      </c>
      <c r="E146" s="2">
        <v>629.54</v>
      </c>
      <c r="F146" t="s">
        <v>4694</v>
      </c>
      <c r="G146" s="2">
        <v>102.37</v>
      </c>
    </row>
    <row r="147" spans="1:7" x14ac:dyDescent="0.35">
      <c r="A147" t="s">
        <v>4840</v>
      </c>
      <c r="B147" t="s">
        <v>877</v>
      </c>
      <c r="C147" s="1">
        <v>45386</v>
      </c>
      <c r="D147" s="1" t="str">
        <f>TEXT(Payments_Cleaned[[#This Row],[payment_date]],"mmm-yyyy")</f>
        <v>Apr-2024</v>
      </c>
      <c r="E147" s="2">
        <v>147.97999999999999</v>
      </c>
      <c r="F147" t="s">
        <v>4694</v>
      </c>
      <c r="G147" s="2">
        <v>22.17</v>
      </c>
    </row>
    <row r="148" spans="1:7" x14ac:dyDescent="0.35">
      <c r="A148" t="s">
        <v>4841</v>
      </c>
      <c r="B148" t="s">
        <v>878</v>
      </c>
      <c r="C148" s="1">
        <v>45550</v>
      </c>
      <c r="D148" s="1" t="str">
        <f>TEXT(Payments_Cleaned[[#This Row],[payment_date]],"mmm-yyyy")</f>
        <v>Sep-2024</v>
      </c>
      <c r="E148" s="2">
        <v>158.79</v>
      </c>
      <c r="F148" t="s">
        <v>4694</v>
      </c>
      <c r="G148" s="2">
        <v>89.16</v>
      </c>
    </row>
    <row r="149" spans="1:7" x14ac:dyDescent="0.35">
      <c r="A149" t="s">
        <v>4842</v>
      </c>
      <c r="B149" t="s">
        <v>879</v>
      </c>
      <c r="C149" s="1">
        <v>45147</v>
      </c>
      <c r="D149" s="1" t="str">
        <f>TEXT(Payments_Cleaned[[#This Row],[payment_date]],"mmm-yyyy")</f>
        <v>Aug-2023</v>
      </c>
      <c r="E149" s="2">
        <v>425.43</v>
      </c>
      <c r="F149" t="s">
        <v>4694</v>
      </c>
      <c r="G149" s="2">
        <v>103.4</v>
      </c>
    </row>
    <row r="150" spans="1:7" x14ac:dyDescent="0.35">
      <c r="A150" t="s">
        <v>4843</v>
      </c>
      <c r="B150" t="s">
        <v>880</v>
      </c>
      <c r="C150" s="1">
        <v>45507</v>
      </c>
      <c r="D150" s="1" t="str">
        <f>TEXT(Payments_Cleaned[[#This Row],[payment_date]],"mmm-yyyy")</f>
        <v>Aug-2024</v>
      </c>
      <c r="E150" s="2">
        <v>263.07</v>
      </c>
      <c r="F150" t="s">
        <v>4694</v>
      </c>
      <c r="G150" s="2">
        <v>125.08</v>
      </c>
    </row>
    <row r="151" spans="1:7" x14ac:dyDescent="0.35">
      <c r="A151" t="s">
        <v>4844</v>
      </c>
      <c r="B151" t="s">
        <v>881</v>
      </c>
      <c r="C151" s="1">
        <v>45584</v>
      </c>
      <c r="D151" s="1" t="str">
        <f>TEXT(Payments_Cleaned[[#This Row],[payment_date]],"mmm-yyyy")</f>
        <v>Oct-2024</v>
      </c>
      <c r="E151" s="2">
        <v>4331.71</v>
      </c>
      <c r="F151" t="s">
        <v>4694</v>
      </c>
      <c r="G151" s="2">
        <v>2483.31</v>
      </c>
    </row>
    <row r="152" spans="1:7" x14ac:dyDescent="0.35">
      <c r="A152" t="s">
        <v>4845</v>
      </c>
      <c r="B152" t="s">
        <v>884</v>
      </c>
      <c r="C152" s="1">
        <v>45582</v>
      </c>
      <c r="D152" s="1" t="str">
        <f>TEXT(Payments_Cleaned[[#This Row],[payment_date]],"mmm-yyyy")</f>
        <v>Oct-2024</v>
      </c>
      <c r="E152" s="2">
        <v>413.24</v>
      </c>
      <c r="F152" t="s">
        <v>4694</v>
      </c>
      <c r="G152" s="2">
        <v>62.28</v>
      </c>
    </row>
    <row r="153" spans="1:7" x14ac:dyDescent="0.35">
      <c r="A153" t="s">
        <v>4846</v>
      </c>
      <c r="B153" t="s">
        <v>885</v>
      </c>
      <c r="C153" s="1">
        <v>45529</v>
      </c>
      <c r="D153" s="1" t="str">
        <f>TEXT(Payments_Cleaned[[#This Row],[payment_date]],"mmm-yyyy")</f>
        <v>Aug-2024</v>
      </c>
      <c r="E153" s="2">
        <v>307.7</v>
      </c>
      <c r="F153" t="s">
        <v>4694</v>
      </c>
      <c r="G153" s="2">
        <v>13.25</v>
      </c>
    </row>
    <row r="154" spans="1:7" x14ac:dyDescent="0.35">
      <c r="A154" t="s">
        <v>4847</v>
      </c>
      <c r="B154" t="s">
        <v>886</v>
      </c>
      <c r="C154" s="1">
        <v>45492</v>
      </c>
      <c r="D154" s="1" t="str">
        <f>TEXT(Payments_Cleaned[[#This Row],[payment_date]],"mmm-yyyy")</f>
        <v>Jul-2024</v>
      </c>
      <c r="E154" s="2">
        <v>34.17</v>
      </c>
      <c r="F154" t="s">
        <v>4694</v>
      </c>
      <c r="G154" s="2">
        <v>20.34</v>
      </c>
    </row>
    <row r="155" spans="1:7" x14ac:dyDescent="0.35">
      <c r="A155" t="s">
        <v>4848</v>
      </c>
      <c r="B155" t="s">
        <v>887</v>
      </c>
      <c r="C155" s="1">
        <v>45477</v>
      </c>
      <c r="D155" s="1" t="str">
        <f>TEXT(Payments_Cleaned[[#This Row],[payment_date]],"mmm-yyyy")</f>
        <v>Jul-2024</v>
      </c>
      <c r="E155" s="2">
        <v>1177.26</v>
      </c>
      <c r="F155" t="s">
        <v>4694</v>
      </c>
      <c r="G155" s="2">
        <v>232.07</v>
      </c>
    </row>
    <row r="156" spans="1:7" x14ac:dyDescent="0.35">
      <c r="A156" t="s">
        <v>4849</v>
      </c>
      <c r="B156" t="s">
        <v>888</v>
      </c>
      <c r="C156" s="1">
        <v>44997</v>
      </c>
      <c r="D156" s="1" t="str">
        <f>TEXT(Payments_Cleaned[[#This Row],[payment_date]],"mmm-yyyy")</f>
        <v>Mar-2023</v>
      </c>
      <c r="E156" s="2">
        <v>238.53</v>
      </c>
      <c r="F156" t="s">
        <v>4694</v>
      </c>
      <c r="G156" s="2">
        <v>50.56</v>
      </c>
    </row>
    <row r="157" spans="1:7" x14ac:dyDescent="0.35">
      <c r="A157" t="s">
        <v>4850</v>
      </c>
      <c r="B157" t="s">
        <v>889</v>
      </c>
      <c r="C157" s="1">
        <v>45089</v>
      </c>
      <c r="D157" s="1" t="str">
        <f>TEXT(Payments_Cleaned[[#This Row],[payment_date]],"mmm-yyyy")</f>
        <v>Jun-2023</v>
      </c>
      <c r="E157" s="2">
        <v>3775.88</v>
      </c>
      <c r="F157" t="s">
        <v>4694</v>
      </c>
      <c r="G157" s="2">
        <v>874.46</v>
      </c>
    </row>
    <row r="158" spans="1:7" x14ac:dyDescent="0.35">
      <c r="A158" t="s">
        <v>4851</v>
      </c>
      <c r="B158" t="s">
        <v>890</v>
      </c>
      <c r="C158" s="1">
        <v>45012</v>
      </c>
      <c r="D158" s="1" t="str">
        <f>TEXT(Payments_Cleaned[[#This Row],[payment_date]],"mmm-yyyy")</f>
        <v>Mar-2023</v>
      </c>
      <c r="E158" s="2">
        <v>1520.84</v>
      </c>
      <c r="F158" t="s">
        <v>4694</v>
      </c>
      <c r="G158" s="2">
        <v>549.05999999999995</v>
      </c>
    </row>
    <row r="159" spans="1:7" x14ac:dyDescent="0.35">
      <c r="A159" t="s">
        <v>4852</v>
      </c>
      <c r="B159" t="s">
        <v>892</v>
      </c>
      <c r="C159" s="1">
        <v>45078</v>
      </c>
      <c r="D159" s="1" t="str">
        <f>TEXT(Payments_Cleaned[[#This Row],[payment_date]],"mmm-yyyy")</f>
        <v>Jun-2023</v>
      </c>
      <c r="E159" s="2">
        <v>371.1</v>
      </c>
      <c r="F159" t="s">
        <v>4694</v>
      </c>
      <c r="G159" s="2">
        <v>85.51</v>
      </c>
    </row>
    <row r="160" spans="1:7" x14ac:dyDescent="0.35">
      <c r="A160" t="s">
        <v>4853</v>
      </c>
      <c r="B160" t="s">
        <v>893</v>
      </c>
      <c r="C160" s="1">
        <v>45097</v>
      </c>
      <c r="D160" s="1" t="str">
        <f>TEXT(Payments_Cleaned[[#This Row],[payment_date]],"mmm-yyyy")</f>
        <v>Jun-2023</v>
      </c>
      <c r="E160" s="2">
        <v>644.77</v>
      </c>
      <c r="F160" t="s">
        <v>4694</v>
      </c>
      <c r="G160" s="2">
        <v>80.87</v>
      </c>
    </row>
    <row r="161" spans="1:7" x14ac:dyDescent="0.35">
      <c r="A161" t="s">
        <v>4854</v>
      </c>
      <c r="B161" t="s">
        <v>894</v>
      </c>
      <c r="C161" s="1">
        <v>45403</v>
      </c>
      <c r="D161" s="1" t="str">
        <f>TEXT(Payments_Cleaned[[#This Row],[payment_date]],"mmm-yyyy")</f>
        <v>Apr-2024</v>
      </c>
      <c r="E161" s="2">
        <v>1835.4</v>
      </c>
      <c r="F161" t="s">
        <v>4694</v>
      </c>
      <c r="G161" s="2">
        <v>464.75</v>
      </c>
    </row>
    <row r="162" spans="1:7" x14ac:dyDescent="0.35">
      <c r="A162" t="s">
        <v>4855</v>
      </c>
      <c r="B162" t="s">
        <v>896</v>
      </c>
      <c r="C162" s="1">
        <v>45621</v>
      </c>
      <c r="D162" s="1" t="str">
        <f>TEXT(Payments_Cleaned[[#This Row],[payment_date]],"mmm-yyyy")</f>
        <v>Nov-2024</v>
      </c>
      <c r="E162" s="2">
        <v>300.95999999999998</v>
      </c>
      <c r="F162" t="s">
        <v>4694</v>
      </c>
      <c r="G162" s="2">
        <v>59.08</v>
      </c>
    </row>
    <row r="163" spans="1:7" x14ac:dyDescent="0.35">
      <c r="A163" t="s">
        <v>4856</v>
      </c>
      <c r="B163" t="s">
        <v>897</v>
      </c>
      <c r="C163" s="1">
        <v>45063</v>
      </c>
      <c r="D163" s="1" t="str">
        <f>TEXT(Payments_Cleaned[[#This Row],[payment_date]],"mmm-yyyy")</f>
        <v>May-2023</v>
      </c>
      <c r="E163" s="2">
        <v>80.73</v>
      </c>
      <c r="F163" t="s">
        <v>4694</v>
      </c>
      <c r="G163" s="2">
        <v>12.79</v>
      </c>
    </row>
    <row r="164" spans="1:7" x14ac:dyDescent="0.35">
      <c r="A164" t="s">
        <v>4857</v>
      </c>
      <c r="B164" t="s">
        <v>899</v>
      </c>
      <c r="C164" s="1">
        <v>45290</v>
      </c>
      <c r="D164" s="1" t="str">
        <f>TEXT(Payments_Cleaned[[#This Row],[payment_date]],"mmm-yyyy")</f>
        <v>Dec-2023</v>
      </c>
      <c r="E164" s="2">
        <v>77.16</v>
      </c>
      <c r="F164" t="s">
        <v>4694</v>
      </c>
      <c r="G164" s="2">
        <v>36.07</v>
      </c>
    </row>
    <row r="165" spans="1:7" x14ac:dyDescent="0.35">
      <c r="A165" t="s">
        <v>4858</v>
      </c>
      <c r="B165" t="s">
        <v>902</v>
      </c>
      <c r="C165" s="1">
        <v>45597</v>
      </c>
      <c r="D165" s="1" t="str">
        <f>TEXT(Payments_Cleaned[[#This Row],[payment_date]],"mmm-yyyy")</f>
        <v>Nov-2024</v>
      </c>
      <c r="E165" s="2">
        <v>182</v>
      </c>
      <c r="F165" t="s">
        <v>4694</v>
      </c>
      <c r="G165" s="2">
        <v>8.99</v>
      </c>
    </row>
    <row r="166" spans="1:7" x14ac:dyDescent="0.35">
      <c r="A166" t="s">
        <v>4859</v>
      </c>
      <c r="B166" t="s">
        <v>904</v>
      </c>
      <c r="C166" s="1">
        <v>45689</v>
      </c>
      <c r="D166" s="1" t="str">
        <f>TEXT(Payments_Cleaned[[#This Row],[payment_date]],"mmm-yyyy")</f>
        <v>Feb-2025</v>
      </c>
      <c r="E166" s="2">
        <v>731.25</v>
      </c>
      <c r="F166" t="s">
        <v>4694</v>
      </c>
      <c r="G166" s="2">
        <v>437.11</v>
      </c>
    </row>
    <row r="167" spans="1:7" x14ac:dyDescent="0.35">
      <c r="A167" t="s">
        <v>4860</v>
      </c>
      <c r="B167" t="s">
        <v>905</v>
      </c>
      <c r="C167" s="1">
        <v>45212</v>
      </c>
      <c r="D167" s="1" t="str">
        <f>TEXT(Payments_Cleaned[[#This Row],[payment_date]],"mmm-yyyy")</f>
        <v>Oct-2023</v>
      </c>
      <c r="E167" s="2">
        <v>276.58</v>
      </c>
      <c r="F167" t="s">
        <v>4694</v>
      </c>
      <c r="G167" s="2">
        <v>41.24</v>
      </c>
    </row>
    <row r="168" spans="1:7" x14ac:dyDescent="0.35">
      <c r="A168" t="s">
        <v>4861</v>
      </c>
      <c r="B168" t="s">
        <v>906</v>
      </c>
      <c r="C168" s="1">
        <v>45516</v>
      </c>
      <c r="D168" s="1" t="str">
        <f>TEXT(Payments_Cleaned[[#This Row],[payment_date]],"mmm-yyyy")</f>
        <v>Aug-2024</v>
      </c>
      <c r="E168" s="2">
        <v>620.89</v>
      </c>
      <c r="F168" t="s">
        <v>4694</v>
      </c>
      <c r="G168" s="2">
        <v>228.81</v>
      </c>
    </row>
    <row r="169" spans="1:7" x14ac:dyDescent="0.35">
      <c r="A169" t="s">
        <v>4862</v>
      </c>
      <c r="B169" t="s">
        <v>907</v>
      </c>
      <c r="C169" s="1">
        <v>44984</v>
      </c>
      <c r="D169" s="1" t="str">
        <f>TEXT(Payments_Cleaned[[#This Row],[payment_date]],"mmm-yyyy")</f>
        <v>Feb-2023</v>
      </c>
      <c r="E169" s="2">
        <v>617.41999999999996</v>
      </c>
      <c r="F169" t="s">
        <v>4694</v>
      </c>
      <c r="G169" s="2">
        <v>112.89</v>
      </c>
    </row>
    <row r="170" spans="1:7" x14ac:dyDescent="0.35">
      <c r="A170" t="s">
        <v>4863</v>
      </c>
      <c r="B170" t="s">
        <v>908</v>
      </c>
      <c r="C170" s="1">
        <v>45366</v>
      </c>
      <c r="D170" s="1" t="str">
        <f>TEXT(Payments_Cleaned[[#This Row],[payment_date]],"mmm-yyyy")</f>
        <v>Mar-2024</v>
      </c>
      <c r="E170" s="2">
        <v>1640.68</v>
      </c>
      <c r="F170" t="s">
        <v>4694</v>
      </c>
      <c r="G170" s="2">
        <v>514.52</v>
      </c>
    </row>
    <row r="171" spans="1:7" x14ac:dyDescent="0.35">
      <c r="A171" t="s">
        <v>4864</v>
      </c>
      <c r="B171" t="s">
        <v>909</v>
      </c>
      <c r="C171" s="1">
        <v>45244</v>
      </c>
      <c r="D171" s="1" t="str">
        <f>TEXT(Payments_Cleaned[[#This Row],[payment_date]],"mmm-yyyy")</f>
        <v>Nov-2023</v>
      </c>
      <c r="E171" s="2">
        <v>3093.66</v>
      </c>
      <c r="F171" t="s">
        <v>4694</v>
      </c>
      <c r="G171" s="2">
        <v>1895.64</v>
      </c>
    </row>
    <row r="172" spans="1:7" x14ac:dyDescent="0.35">
      <c r="A172" t="s">
        <v>4865</v>
      </c>
      <c r="B172" t="s">
        <v>911</v>
      </c>
      <c r="C172" s="1">
        <v>45111</v>
      </c>
      <c r="D172" s="1" t="str">
        <f>TEXT(Payments_Cleaned[[#This Row],[payment_date]],"mmm-yyyy")</f>
        <v>Jul-2023</v>
      </c>
      <c r="E172" s="2">
        <v>322.89</v>
      </c>
      <c r="F172" t="s">
        <v>4694</v>
      </c>
      <c r="G172" s="2">
        <v>70.42</v>
      </c>
    </row>
    <row r="173" spans="1:7" x14ac:dyDescent="0.35">
      <c r="A173" t="s">
        <v>4866</v>
      </c>
      <c r="B173" t="s">
        <v>912</v>
      </c>
      <c r="C173" s="1">
        <v>45330</v>
      </c>
      <c r="D173" s="1" t="str">
        <f>TEXT(Payments_Cleaned[[#This Row],[payment_date]],"mmm-yyyy")</f>
        <v>Feb-2024</v>
      </c>
      <c r="E173" s="2">
        <v>118.38</v>
      </c>
      <c r="F173" t="s">
        <v>4694</v>
      </c>
      <c r="G173" s="2">
        <v>20.57</v>
      </c>
    </row>
    <row r="174" spans="1:7" x14ac:dyDescent="0.35">
      <c r="A174" t="s">
        <v>4867</v>
      </c>
      <c r="B174" t="s">
        <v>913</v>
      </c>
      <c r="C174" s="1">
        <v>45031</v>
      </c>
      <c r="D174" s="1" t="str">
        <f>TEXT(Payments_Cleaned[[#This Row],[payment_date]],"mmm-yyyy")</f>
        <v>Apr-2023</v>
      </c>
      <c r="E174" s="2">
        <v>778.03</v>
      </c>
      <c r="F174" t="s">
        <v>4694</v>
      </c>
      <c r="G174" s="2">
        <v>74.239999999999995</v>
      </c>
    </row>
    <row r="175" spans="1:7" x14ac:dyDescent="0.35">
      <c r="A175" t="s">
        <v>4868</v>
      </c>
      <c r="B175" t="s">
        <v>914</v>
      </c>
      <c r="C175" s="1">
        <v>45178</v>
      </c>
      <c r="D175" s="1" t="str">
        <f>TEXT(Payments_Cleaned[[#This Row],[payment_date]],"mmm-yyyy")</f>
        <v>Sep-2023</v>
      </c>
      <c r="E175" s="2">
        <v>308.82</v>
      </c>
      <c r="F175" t="s">
        <v>4694</v>
      </c>
      <c r="G175" s="2">
        <v>141.44999999999999</v>
      </c>
    </row>
    <row r="176" spans="1:7" x14ac:dyDescent="0.35">
      <c r="A176" t="s">
        <v>4869</v>
      </c>
      <c r="B176" t="s">
        <v>915</v>
      </c>
      <c r="C176" s="1">
        <v>45614</v>
      </c>
      <c r="D176" s="1" t="str">
        <f>TEXT(Payments_Cleaned[[#This Row],[payment_date]],"mmm-yyyy")</f>
        <v>Nov-2024</v>
      </c>
      <c r="E176" s="2">
        <v>904.32</v>
      </c>
      <c r="F176" t="s">
        <v>4694</v>
      </c>
      <c r="G176" s="2">
        <v>522.11</v>
      </c>
    </row>
    <row r="177" spans="1:7" x14ac:dyDescent="0.35">
      <c r="A177" t="s">
        <v>4870</v>
      </c>
      <c r="B177" t="s">
        <v>916</v>
      </c>
      <c r="C177" s="1">
        <v>45329</v>
      </c>
      <c r="D177" s="1" t="str">
        <f>TEXT(Payments_Cleaned[[#This Row],[payment_date]],"mmm-yyyy")</f>
        <v>Feb-2024</v>
      </c>
      <c r="E177" s="2">
        <v>324.77999999999997</v>
      </c>
      <c r="F177" t="s">
        <v>4694</v>
      </c>
      <c r="G177" s="2">
        <v>19.55</v>
      </c>
    </row>
    <row r="178" spans="1:7" x14ac:dyDescent="0.35">
      <c r="A178" t="s">
        <v>4871</v>
      </c>
      <c r="B178" t="s">
        <v>918</v>
      </c>
      <c r="C178" s="1">
        <v>45022</v>
      </c>
      <c r="D178" s="1" t="str">
        <f>TEXT(Payments_Cleaned[[#This Row],[payment_date]],"mmm-yyyy")</f>
        <v>Apr-2023</v>
      </c>
      <c r="E178" s="2">
        <v>106.55</v>
      </c>
      <c r="F178" t="s">
        <v>4694</v>
      </c>
      <c r="G178" s="2">
        <v>41.89</v>
      </c>
    </row>
    <row r="179" spans="1:7" x14ac:dyDescent="0.35">
      <c r="A179" t="s">
        <v>4872</v>
      </c>
      <c r="B179" t="s">
        <v>919</v>
      </c>
      <c r="C179" s="1">
        <v>45706</v>
      </c>
      <c r="D179" s="1" t="str">
        <f>TEXT(Payments_Cleaned[[#This Row],[payment_date]],"mmm-yyyy")</f>
        <v>Feb-2025</v>
      </c>
      <c r="E179" s="2">
        <v>552.41</v>
      </c>
      <c r="F179" t="s">
        <v>4694</v>
      </c>
      <c r="G179" s="2">
        <v>237.04</v>
      </c>
    </row>
    <row r="180" spans="1:7" x14ac:dyDescent="0.35">
      <c r="A180" t="s">
        <v>4873</v>
      </c>
      <c r="B180" t="s">
        <v>920</v>
      </c>
      <c r="C180" s="1">
        <v>45591</v>
      </c>
      <c r="D180" s="1" t="str">
        <f>TEXT(Payments_Cleaned[[#This Row],[payment_date]],"mmm-yyyy")</f>
        <v>Oct-2024</v>
      </c>
      <c r="E180" s="2">
        <v>773.64</v>
      </c>
      <c r="F180" t="s">
        <v>4697</v>
      </c>
      <c r="G180" s="2">
        <v>72.989999999999995</v>
      </c>
    </row>
    <row r="181" spans="1:7" x14ac:dyDescent="0.35">
      <c r="A181" t="s">
        <v>4874</v>
      </c>
      <c r="B181" t="s">
        <v>921</v>
      </c>
      <c r="C181" s="1">
        <v>45550</v>
      </c>
      <c r="D181" s="1" t="str">
        <f>TEXT(Payments_Cleaned[[#This Row],[payment_date]],"mmm-yyyy")</f>
        <v>Sep-2024</v>
      </c>
      <c r="E181" s="2">
        <v>892.24</v>
      </c>
      <c r="F181" t="s">
        <v>4697</v>
      </c>
      <c r="G181" s="2">
        <v>413.05</v>
      </c>
    </row>
    <row r="182" spans="1:7" x14ac:dyDescent="0.35">
      <c r="A182" t="s">
        <v>4875</v>
      </c>
      <c r="B182" t="s">
        <v>922</v>
      </c>
      <c r="C182" s="1">
        <v>45341</v>
      </c>
      <c r="D182" s="1" t="str">
        <f>TEXT(Payments_Cleaned[[#This Row],[payment_date]],"mmm-yyyy")</f>
        <v>Feb-2024</v>
      </c>
      <c r="E182" s="2">
        <v>965.14</v>
      </c>
      <c r="F182" t="s">
        <v>4694</v>
      </c>
      <c r="G182" s="2">
        <v>509.06</v>
      </c>
    </row>
    <row r="183" spans="1:7" x14ac:dyDescent="0.35">
      <c r="A183" t="s">
        <v>4876</v>
      </c>
      <c r="B183" t="s">
        <v>923</v>
      </c>
      <c r="C183" s="1">
        <v>45653</v>
      </c>
      <c r="D183" s="1" t="str">
        <f>TEXT(Payments_Cleaned[[#This Row],[payment_date]],"mmm-yyyy")</f>
        <v>Dec-2024</v>
      </c>
      <c r="E183" s="2">
        <v>824.95</v>
      </c>
      <c r="F183" t="s">
        <v>4694</v>
      </c>
      <c r="G183" s="2">
        <v>69.430000000000007</v>
      </c>
    </row>
    <row r="184" spans="1:7" x14ac:dyDescent="0.35">
      <c r="A184" t="s">
        <v>4877</v>
      </c>
      <c r="B184" t="s">
        <v>924</v>
      </c>
      <c r="C184" s="1">
        <v>45025</v>
      </c>
      <c r="D184" s="1" t="str">
        <f>TEXT(Payments_Cleaned[[#This Row],[payment_date]],"mmm-yyyy")</f>
        <v>Apr-2023</v>
      </c>
      <c r="E184" s="2">
        <v>375.29</v>
      </c>
      <c r="F184" t="s">
        <v>4694</v>
      </c>
      <c r="G184" s="2">
        <v>124.84</v>
      </c>
    </row>
    <row r="185" spans="1:7" x14ac:dyDescent="0.35">
      <c r="A185" t="s">
        <v>4878</v>
      </c>
      <c r="B185" t="s">
        <v>926</v>
      </c>
      <c r="C185" s="1">
        <v>45406</v>
      </c>
      <c r="D185" s="1" t="str">
        <f>TEXT(Payments_Cleaned[[#This Row],[payment_date]],"mmm-yyyy")</f>
        <v>Apr-2024</v>
      </c>
      <c r="E185" s="2">
        <v>623.20000000000005</v>
      </c>
      <c r="F185" t="s">
        <v>4694</v>
      </c>
      <c r="G185" s="2">
        <v>126.57</v>
      </c>
    </row>
    <row r="186" spans="1:7" x14ac:dyDescent="0.35">
      <c r="A186" t="s">
        <v>4879</v>
      </c>
      <c r="B186" t="s">
        <v>927</v>
      </c>
      <c r="C186" s="1">
        <v>45018</v>
      </c>
      <c r="D186" s="1" t="str">
        <f>TEXT(Payments_Cleaned[[#This Row],[payment_date]],"mmm-yyyy")</f>
        <v>Apr-2023</v>
      </c>
      <c r="E186" s="2">
        <v>164.08</v>
      </c>
      <c r="F186" t="s">
        <v>4694</v>
      </c>
      <c r="G186" s="2">
        <v>58.46</v>
      </c>
    </row>
    <row r="187" spans="1:7" x14ac:dyDescent="0.35">
      <c r="A187" t="s">
        <v>4880</v>
      </c>
      <c r="B187" t="s">
        <v>929</v>
      </c>
      <c r="C187" s="1">
        <v>45016</v>
      </c>
      <c r="D187" s="1" t="str">
        <f>TEXT(Payments_Cleaned[[#This Row],[payment_date]],"mmm-yyyy")</f>
        <v>Mar-2023</v>
      </c>
      <c r="E187" s="2">
        <v>770.77</v>
      </c>
      <c r="F187" t="s">
        <v>4694</v>
      </c>
      <c r="G187" s="2">
        <v>110.17</v>
      </c>
    </row>
    <row r="188" spans="1:7" x14ac:dyDescent="0.35">
      <c r="A188" t="s">
        <v>4881</v>
      </c>
      <c r="B188" t="s">
        <v>930</v>
      </c>
      <c r="C188" s="1">
        <v>45040</v>
      </c>
      <c r="D188" s="1" t="str">
        <f>TEXT(Payments_Cleaned[[#This Row],[payment_date]],"mmm-yyyy")</f>
        <v>Apr-2023</v>
      </c>
      <c r="E188" s="2">
        <v>2752.88</v>
      </c>
      <c r="F188" t="s">
        <v>4694</v>
      </c>
      <c r="G188" s="2">
        <v>1405.05</v>
      </c>
    </row>
    <row r="189" spans="1:7" x14ac:dyDescent="0.35">
      <c r="A189" t="s">
        <v>4882</v>
      </c>
      <c r="B189" t="s">
        <v>931</v>
      </c>
      <c r="C189" s="1">
        <v>45500</v>
      </c>
      <c r="D189" s="1" t="str">
        <f>TEXT(Payments_Cleaned[[#This Row],[payment_date]],"mmm-yyyy")</f>
        <v>Jul-2024</v>
      </c>
      <c r="E189" s="2">
        <v>42.3</v>
      </c>
      <c r="F189" t="s">
        <v>4697</v>
      </c>
      <c r="G189" s="2">
        <v>11.09</v>
      </c>
    </row>
    <row r="190" spans="1:7" x14ac:dyDescent="0.35">
      <c r="A190" t="s">
        <v>4883</v>
      </c>
      <c r="B190" t="s">
        <v>932</v>
      </c>
      <c r="C190" s="1">
        <v>45187</v>
      </c>
      <c r="D190" s="1" t="str">
        <f>TEXT(Payments_Cleaned[[#This Row],[payment_date]],"mmm-yyyy")</f>
        <v>Sep-2023</v>
      </c>
      <c r="E190" s="2">
        <v>98.15</v>
      </c>
      <c r="F190" t="s">
        <v>4694</v>
      </c>
      <c r="G190" s="2">
        <v>25.28</v>
      </c>
    </row>
    <row r="191" spans="1:7" x14ac:dyDescent="0.35">
      <c r="A191" t="s">
        <v>4884</v>
      </c>
      <c r="B191" t="s">
        <v>934</v>
      </c>
      <c r="C191" s="1">
        <v>45385</v>
      </c>
      <c r="D191" s="1" t="str">
        <f>TEXT(Payments_Cleaned[[#This Row],[payment_date]],"mmm-yyyy")</f>
        <v>Apr-2024</v>
      </c>
      <c r="E191" s="2">
        <v>3276.97</v>
      </c>
      <c r="F191" t="s">
        <v>4694</v>
      </c>
      <c r="G191" s="2">
        <v>1044.42</v>
      </c>
    </row>
    <row r="192" spans="1:7" x14ac:dyDescent="0.35">
      <c r="A192" t="s">
        <v>4885</v>
      </c>
      <c r="B192" t="s">
        <v>939</v>
      </c>
      <c r="C192" s="1">
        <v>45662</v>
      </c>
      <c r="D192" s="1" t="str">
        <f>TEXT(Payments_Cleaned[[#This Row],[payment_date]],"mmm-yyyy")</f>
        <v>Jan-2025</v>
      </c>
      <c r="E192" s="2">
        <v>808.82</v>
      </c>
      <c r="F192" t="s">
        <v>4694</v>
      </c>
      <c r="G192" s="2">
        <v>83.15</v>
      </c>
    </row>
    <row r="193" spans="1:7" x14ac:dyDescent="0.35">
      <c r="A193" t="s">
        <v>4886</v>
      </c>
      <c r="B193" t="s">
        <v>940</v>
      </c>
      <c r="C193" s="1">
        <v>45265</v>
      </c>
      <c r="D193" s="1" t="str">
        <f>TEXT(Payments_Cleaned[[#This Row],[payment_date]],"mmm-yyyy")</f>
        <v>Dec-2023</v>
      </c>
      <c r="E193" s="2">
        <v>256.81</v>
      </c>
      <c r="F193" t="s">
        <v>4694</v>
      </c>
      <c r="G193" s="2">
        <v>149.97</v>
      </c>
    </row>
    <row r="194" spans="1:7" x14ac:dyDescent="0.35">
      <c r="A194" t="s">
        <v>4887</v>
      </c>
      <c r="B194" t="s">
        <v>941</v>
      </c>
      <c r="C194" s="1">
        <v>45461</v>
      </c>
      <c r="D194" s="1" t="str">
        <f>TEXT(Payments_Cleaned[[#This Row],[payment_date]],"mmm-yyyy")</f>
        <v>Jun-2024</v>
      </c>
      <c r="E194" s="2">
        <v>1336.09</v>
      </c>
      <c r="F194" t="s">
        <v>4694</v>
      </c>
      <c r="G194" s="2">
        <v>799.19</v>
      </c>
    </row>
    <row r="195" spans="1:7" x14ac:dyDescent="0.35">
      <c r="A195" t="s">
        <v>4888</v>
      </c>
      <c r="B195" t="s">
        <v>942</v>
      </c>
      <c r="C195" s="1">
        <v>45234</v>
      </c>
      <c r="D195" s="1" t="str">
        <f>TEXT(Payments_Cleaned[[#This Row],[payment_date]],"mmm-yyyy")</f>
        <v>Nov-2023</v>
      </c>
      <c r="E195" s="2">
        <v>293</v>
      </c>
      <c r="F195" t="s">
        <v>4694</v>
      </c>
      <c r="G195" s="2">
        <v>26.7</v>
      </c>
    </row>
    <row r="196" spans="1:7" x14ac:dyDescent="0.35">
      <c r="A196" t="s">
        <v>4889</v>
      </c>
      <c r="B196" t="s">
        <v>944</v>
      </c>
      <c r="C196" s="1">
        <v>44967</v>
      </c>
      <c r="D196" s="1" t="str">
        <f>TEXT(Payments_Cleaned[[#This Row],[payment_date]],"mmm-yyyy")</f>
        <v>Feb-2023</v>
      </c>
      <c r="E196" s="2">
        <v>124.21</v>
      </c>
      <c r="F196" t="s">
        <v>4694</v>
      </c>
      <c r="G196" s="2">
        <v>70.09</v>
      </c>
    </row>
    <row r="197" spans="1:7" x14ac:dyDescent="0.35">
      <c r="A197" t="s">
        <v>4890</v>
      </c>
      <c r="B197" t="s">
        <v>949</v>
      </c>
      <c r="C197" s="1">
        <v>45427</v>
      </c>
      <c r="D197" s="1" t="str">
        <f>TEXT(Payments_Cleaned[[#This Row],[payment_date]],"mmm-yyyy")</f>
        <v>May-2024</v>
      </c>
      <c r="E197" s="2">
        <v>496.2</v>
      </c>
      <c r="F197" t="s">
        <v>4694</v>
      </c>
      <c r="G197" s="2">
        <v>166.57</v>
      </c>
    </row>
    <row r="198" spans="1:7" x14ac:dyDescent="0.35">
      <c r="A198" t="s">
        <v>4891</v>
      </c>
      <c r="B198" t="s">
        <v>950</v>
      </c>
      <c r="C198" s="1">
        <v>45547</v>
      </c>
      <c r="D198" s="1" t="str">
        <f>TEXT(Payments_Cleaned[[#This Row],[payment_date]],"mmm-yyyy")</f>
        <v>Sep-2024</v>
      </c>
      <c r="E198" s="2">
        <v>206</v>
      </c>
      <c r="F198" t="s">
        <v>4694</v>
      </c>
      <c r="G198" s="2">
        <v>110.91</v>
      </c>
    </row>
    <row r="199" spans="1:7" x14ac:dyDescent="0.35">
      <c r="A199" t="s">
        <v>4892</v>
      </c>
      <c r="B199" t="s">
        <v>951</v>
      </c>
      <c r="C199" s="1">
        <v>45011</v>
      </c>
      <c r="D199" s="1" t="str">
        <f>TEXT(Payments_Cleaned[[#This Row],[payment_date]],"mmm-yyyy")</f>
        <v>Mar-2023</v>
      </c>
      <c r="E199" s="2">
        <v>1329.73</v>
      </c>
      <c r="F199" t="s">
        <v>4697</v>
      </c>
      <c r="G199" s="2">
        <v>98.32</v>
      </c>
    </row>
    <row r="200" spans="1:7" x14ac:dyDescent="0.35">
      <c r="A200" t="s">
        <v>4893</v>
      </c>
      <c r="B200" t="s">
        <v>952</v>
      </c>
      <c r="C200" s="1">
        <v>45529</v>
      </c>
      <c r="D200" s="1" t="str">
        <f>TEXT(Payments_Cleaned[[#This Row],[payment_date]],"mmm-yyyy")</f>
        <v>Aug-2024</v>
      </c>
      <c r="E200" s="2">
        <v>458.71</v>
      </c>
      <c r="F200" t="s">
        <v>4694</v>
      </c>
      <c r="G200" s="2">
        <v>252.58</v>
      </c>
    </row>
    <row r="201" spans="1:7" x14ac:dyDescent="0.35">
      <c r="A201" t="s">
        <v>4894</v>
      </c>
      <c r="B201" t="s">
        <v>953</v>
      </c>
      <c r="C201" s="1">
        <v>45521</v>
      </c>
      <c r="D201" s="1" t="str">
        <f>TEXT(Payments_Cleaned[[#This Row],[payment_date]],"mmm-yyyy")</f>
        <v>Aug-2024</v>
      </c>
      <c r="E201" s="2">
        <v>670.66</v>
      </c>
      <c r="F201" t="s">
        <v>4694</v>
      </c>
      <c r="G201" s="2">
        <v>172.39</v>
      </c>
    </row>
    <row r="202" spans="1:7" x14ac:dyDescent="0.35">
      <c r="A202" t="s">
        <v>4895</v>
      </c>
      <c r="B202" t="s">
        <v>956</v>
      </c>
      <c r="C202" s="1">
        <v>45174</v>
      </c>
      <c r="D202" s="1" t="str">
        <f>TEXT(Payments_Cleaned[[#This Row],[payment_date]],"mmm-yyyy")</f>
        <v>Sep-2023</v>
      </c>
      <c r="E202" s="2">
        <v>137.88999999999999</v>
      </c>
      <c r="F202" t="s">
        <v>4694</v>
      </c>
      <c r="G202" s="2">
        <v>32.74</v>
      </c>
    </row>
    <row r="203" spans="1:7" x14ac:dyDescent="0.35">
      <c r="A203" t="s">
        <v>4896</v>
      </c>
      <c r="B203" t="s">
        <v>957</v>
      </c>
      <c r="C203" s="1">
        <v>45512</v>
      </c>
      <c r="D203" s="1" t="str">
        <f>TEXT(Payments_Cleaned[[#This Row],[payment_date]],"mmm-yyyy")</f>
        <v>Aug-2024</v>
      </c>
      <c r="E203" s="2">
        <v>926.69</v>
      </c>
      <c r="F203" t="s">
        <v>4694</v>
      </c>
      <c r="G203" s="2">
        <v>330.09</v>
      </c>
    </row>
    <row r="204" spans="1:7" x14ac:dyDescent="0.35">
      <c r="A204" t="s">
        <v>4897</v>
      </c>
      <c r="B204" t="s">
        <v>958</v>
      </c>
      <c r="C204" s="1">
        <v>45421</v>
      </c>
      <c r="D204" s="1" t="str">
        <f>TEXT(Payments_Cleaned[[#This Row],[payment_date]],"mmm-yyyy")</f>
        <v>May-2024</v>
      </c>
      <c r="E204" s="2">
        <v>161.4</v>
      </c>
      <c r="F204" t="s">
        <v>4694</v>
      </c>
      <c r="G204" s="2">
        <v>61.17</v>
      </c>
    </row>
    <row r="205" spans="1:7" x14ac:dyDescent="0.35">
      <c r="A205" t="s">
        <v>4898</v>
      </c>
      <c r="B205" t="s">
        <v>959</v>
      </c>
      <c r="C205" s="1">
        <v>45419</v>
      </c>
      <c r="D205" s="1" t="str">
        <f>TEXT(Payments_Cleaned[[#This Row],[payment_date]],"mmm-yyyy")</f>
        <v>May-2024</v>
      </c>
      <c r="E205" s="2">
        <v>1049.03</v>
      </c>
      <c r="F205" t="s">
        <v>4697</v>
      </c>
      <c r="G205" s="2">
        <v>504.62</v>
      </c>
    </row>
    <row r="206" spans="1:7" x14ac:dyDescent="0.35">
      <c r="A206" t="s">
        <v>4899</v>
      </c>
      <c r="B206" t="s">
        <v>960</v>
      </c>
      <c r="C206" s="1">
        <v>45209</v>
      </c>
      <c r="D206" s="1" t="str">
        <f>TEXT(Payments_Cleaned[[#This Row],[payment_date]],"mmm-yyyy")</f>
        <v>Oct-2023</v>
      </c>
      <c r="E206" s="2">
        <v>465.53</v>
      </c>
      <c r="F206" t="s">
        <v>4694</v>
      </c>
      <c r="G206" s="2">
        <v>184.91</v>
      </c>
    </row>
    <row r="207" spans="1:7" x14ac:dyDescent="0.35">
      <c r="A207" t="s">
        <v>4900</v>
      </c>
      <c r="B207" t="s">
        <v>961</v>
      </c>
      <c r="C207" s="1">
        <v>45347</v>
      </c>
      <c r="D207" s="1" t="str">
        <f>TEXT(Payments_Cleaned[[#This Row],[payment_date]],"mmm-yyyy")</f>
        <v>Feb-2024</v>
      </c>
      <c r="E207" s="2">
        <v>1268.72</v>
      </c>
      <c r="F207" t="s">
        <v>4694</v>
      </c>
      <c r="G207" s="2">
        <v>420.17</v>
      </c>
    </row>
    <row r="208" spans="1:7" x14ac:dyDescent="0.35">
      <c r="A208" t="s">
        <v>4901</v>
      </c>
      <c r="B208" t="s">
        <v>962</v>
      </c>
      <c r="C208" s="1">
        <v>45345</v>
      </c>
      <c r="D208" s="1" t="str">
        <f>TEXT(Payments_Cleaned[[#This Row],[payment_date]],"mmm-yyyy")</f>
        <v>Feb-2024</v>
      </c>
      <c r="E208" s="2">
        <v>437.94</v>
      </c>
      <c r="F208" t="s">
        <v>4694</v>
      </c>
      <c r="G208" s="2">
        <v>133.54</v>
      </c>
    </row>
    <row r="209" spans="1:7" x14ac:dyDescent="0.35">
      <c r="A209" t="s">
        <v>4902</v>
      </c>
      <c r="B209" t="s">
        <v>963</v>
      </c>
      <c r="C209" s="1">
        <v>45199</v>
      </c>
      <c r="D209" s="1" t="str">
        <f>TEXT(Payments_Cleaned[[#This Row],[payment_date]],"mmm-yyyy")</f>
        <v>Sep-2023</v>
      </c>
      <c r="E209" s="2">
        <v>6117.58</v>
      </c>
      <c r="F209" t="s">
        <v>4694</v>
      </c>
      <c r="G209" s="2">
        <v>498.75</v>
      </c>
    </row>
    <row r="210" spans="1:7" x14ac:dyDescent="0.35">
      <c r="A210" t="s">
        <v>4903</v>
      </c>
      <c r="B210" t="s">
        <v>964</v>
      </c>
      <c r="C210" s="1">
        <v>45240</v>
      </c>
      <c r="D210" s="1" t="str">
        <f>TEXT(Payments_Cleaned[[#This Row],[payment_date]],"mmm-yyyy")</f>
        <v>Nov-2023</v>
      </c>
      <c r="E210" s="2">
        <v>546.72</v>
      </c>
      <c r="F210" t="s">
        <v>4694</v>
      </c>
      <c r="G210" s="2">
        <v>222.8</v>
      </c>
    </row>
    <row r="211" spans="1:7" x14ac:dyDescent="0.35">
      <c r="A211" t="s">
        <v>4904</v>
      </c>
      <c r="B211" t="s">
        <v>965</v>
      </c>
      <c r="C211" s="1">
        <v>45594</v>
      </c>
      <c r="D211" s="1" t="str">
        <f>TEXT(Payments_Cleaned[[#This Row],[payment_date]],"mmm-yyyy")</f>
        <v>Oct-2024</v>
      </c>
      <c r="E211" s="2">
        <v>1051.8399999999999</v>
      </c>
      <c r="F211" t="s">
        <v>4694</v>
      </c>
      <c r="G211" s="2">
        <v>389.83</v>
      </c>
    </row>
    <row r="212" spans="1:7" x14ac:dyDescent="0.35">
      <c r="A212" t="s">
        <v>4905</v>
      </c>
      <c r="B212" t="s">
        <v>966</v>
      </c>
      <c r="C212" s="1">
        <v>44997</v>
      </c>
      <c r="D212" s="1" t="str">
        <f>TEXT(Payments_Cleaned[[#This Row],[payment_date]],"mmm-yyyy")</f>
        <v>Mar-2023</v>
      </c>
      <c r="E212" s="2">
        <v>1686.71</v>
      </c>
      <c r="F212" t="s">
        <v>4694</v>
      </c>
      <c r="G212" s="2">
        <v>353.61</v>
      </c>
    </row>
    <row r="213" spans="1:7" x14ac:dyDescent="0.35">
      <c r="A213" t="s">
        <v>4906</v>
      </c>
      <c r="B213" t="s">
        <v>967</v>
      </c>
      <c r="C213" s="1">
        <v>45434</v>
      </c>
      <c r="D213" s="1" t="str">
        <f>TEXT(Payments_Cleaned[[#This Row],[payment_date]],"mmm-yyyy")</f>
        <v>May-2024</v>
      </c>
      <c r="E213" s="2">
        <v>1540.82</v>
      </c>
      <c r="F213" t="s">
        <v>4697</v>
      </c>
      <c r="G213" s="2">
        <v>495.06</v>
      </c>
    </row>
    <row r="214" spans="1:7" x14ac:dyDescent="0.35">
      <c r="A214" t="s">
        <v>4907</v>
      </c>
      <c r="B214" t="s">
        <v>968</v>
      </c>
      <c r="C214" s="1">
        <v>45186</v>
      </c>
      <c r="D214" s="1" t="str">
        <f>TEXT(Payments_Cleaned[[#This Row],[payment_date]],"mmm-yyyy")</f>
        <v>Sep-2023</v>
      </c>
      <c r="E214" s="2">
        <v>368.88</v>
      </c>
      <c r="F214" t="s">
        <v>4694</v>
      </c>
      <c r="G214" s="2">
        <v>50.28</v>
      </c>
    </row>
    <row r="215" spans="1:7" x14ac:dyDescent="0.35">
      <c r="A215" t="s">
        <v>4908</v>
      </c>
      <c r="B215" t="s">
        <v>970</v>
      </c>
      <c r="C215" s="1">
        <v>45483</v>
      </c>
      <c r="D215" s="1" t="str">
        <f>TEXT(Payments_Cleaned[[#This Row],[payment_date]],"mmm-yyyy")</f>
        <v>Jul-2024</v>
      </c>
      <c r="E215" s="2">
        <v>481.19</v>
      </c>
      <c r="F215" t="s">
        <v>4694</v>
      </c>
      <c r="G215" s="2">
        <v>29.14</v>
      </c>
    </row>
    <row r="216" spans="1:7" x14ac:dyDescent="0.35">
      <c r="A216" t="s">
        <v>4909</v>
      </c>
      <c r="B216" t="s">
        <v>971</v>
      </c>
      <c r="C216" s="1">
        <v>45552</v>
      </c>
      <c r="D216" s="1" t="str">
        <f>TEXT(Payments_Cleaned[[#This Row],[payment_date]],"mmm-yyyy")</f>
        <v>Sep-2024</v>
      </c>
      <c r="E216" s="2">
        <v>3523.59</v>
      </c>
      <c r="F216" t="s">
        <v>4694</v>
      </c>
      <c r="G216" s="2">
        <v>1926.45</v>
      </c>
    </row>
    <row r="217" spans="1:7" x14ac:dyDescent="0.35">
      <c r="A217" t="s">
        <v>4910</v>
      </c>
      <c r="B217" t="s">
        <v>972</v>
      </c>
      <c r="C217" s="1">
        <v>45652</v>
      </c>
      <c r="D217" s="1" t="str">
        <f>TEXT(Payments_Cleaned[[#This Row],[payment_date]],"mmm-yyyy")</f>
        <v>Dec-2024</v>
      </c>
      <c r="E217" s="2">
        <v>508.74</v>
      </c>
      <c r="F217" t="s">
        <v>4694</v>
      </c>
      <c r="G217" s="2">
        <v>206.17</v>
      </c>
    </row>
    <row r="218" spans="1:7" x14ac:dyDescent="0.35">
      <c r="A218" t="s">
        <v>4911</v>
      </c>
      <c r="B218" t="s">
        <v>973</v>
      </c>
      <c r="C218" s="1">
        <v>45558</v>
      </c>
      <c r="D218" s="1" t="str">
        <f>TEXT(Payments_Cleaned[[#This Row],[payment_date]],"mmm-yyyy")</f>
        <v>Sep-2024</v>
      </c>
      <c r="E218" s="2">
        <v>4651.58</v>
      </c>
      <c r="F218" t="s">
        <v>4694</v>
      </c>
      <c r="G218" s="2">
        <v>1483</v>
      </c>
    </row>
    <row r="219" spans="1:7" x14ac:dyDescent="0.35">
      <c r="A219" t="s">
        <v>4912</v>
      </c>
      <c r="B219" t="s">
        <v>975</v>
      </c>
      <c r="C219" s="1">
        <v>45231</v>
      </c>
      <c r="D219" s="1" t="str">
        <f>TEXT(Payments_Cleaned[[#This Row],[payment_date]],"mmm-yyyy")</f>
        <v>Nov-2023</v>
      </c>
      <c r="E219" s="2">
        <v>117.46</v>
      </c>
      <c r="F219" t="s">
        <v>4694</v>
      </c>
      <c r="G219" s="2">
        <v>13.93</v>
      </c>
    </row>
    <row r="220" spans="1:7" x14ac:dyDescent="0.35">
      <c r="A220" t="s">
        <v>4913</v>
      </c>
      <c r="B220" t="s">
        <v>976</v>
      </c>
      <c r="C220" s="1">
        <v>45310</v>
      </c>
      <c r="D220" s="1" t="str">
        <f>TEXT(Payments_Cleaned[[#This Row],[payment_date]],"mmm-yyyy")</f>
        <v>Jan-2024</v>
      </c>
      <c r="E220" s="2">
        <v>2288.3000000000002</v>
      </c>
      <c r="F220" t="s">
        <v>4694</v>
      </c>
      <c r="G220" s="2">
        <v>420.41</v>
      </c>
    </row>
    <row r="221" spans="1:7" x14ac:dyDescent="0.35">
      <c r="A221" t="s">
        <v>4914</v>
      </c>
      <c r="B221" t="s">
        <v>977</v>
      </c>
      <c r="C221" s="1">
        <v>45481</v>
      </c>
      <c r="D221" s="1" t="str">
        <f>TEXT(Payments_Cleaned[[#This Row],[payment_date]],"mmm-yyyy")</f>
        <v>Jul-2024</v>
      </c>
      <c r="E221" s="2">
        <v>293.07</v>
      </c>
      <c r="F221" t="s">
        <v>4694</v>
      </c>
      <c r="G221" s="2">
        <v>20.5</v>
      </c>
    </row>
    <row r="222" spans="1:7" x14ac:dyDescent="0.35">
      <c r="A222" t="s">
        <v>4915</v>
      </c>
      <c r="B222" t="s">
        <v>978</v>
      </c>
      <c r="C222" s="1">
        <v>45609</v>
      </c>
      <c r="D222" s="1" t="str">
        <f>TEXT(Payments_Cleaned[[#This Row],[payment_date]],"mmm-yyyy")</f>
        <v>Nov-2024</v>
      </c>
      <c r="E222" s="2">
        <v>215.05</v>
      </c>
      <c r="F222" t="s">
        <v>4694</v>
      </c>
      <c r="G222" s="2">
        <v>89.28</v>
      </c>
    </row>
    <row r="223" spans="1:7" x14ac:dyDescent="0.35">
      <c r="A223" t="s">
        <v>4916</v>
      </c>
      <c r="B223" t="s">
        <v>979</v>
      </c>
      <c r="C223" s="1">
        <v>45471</v>
      </c>
      <c r="D223" s="1" t="str">
        <f>TEXT(Payments_Cleaned[[#This Row],[payment_date]],"mmm-yyyy")</f>
        <v>Jun-2024</v>
      </c>
      <c r="E223" s="2">
        <v>97.59</v>
      </c>
      <c r="F223" t="s">
        <v>4694</v>
      </c>
      <c r="G223" s="2">
        <v>35.89</v>
      </c>
    </row>
    <row r="224" spans="1:7" x14ac:dyDescent="0.35">
      <c r="A224" t="s">
        <v>4917</v>
      </c>
      <c r="B224" t="s">
        <v>980</v>
      </c>
      <c r="C224" s="1">
        <v>44987</v>
      </c>
      <c r="D224" s="1" t="str">
        <f>TEXT(Payments_Cleaned[[#This Row],[payment_date]],"mmm-yyyy")</f>
        <v>Mar-2023</v>
      </c>
      <c r="E224" s="2">
        <v>709.79</v>
      </c>
      <c r="F224" t="s">
        <v>4694</v>
      </c>
      <c r="G224" s="2">
        <v>209.45</v>
      </c>
    </row>
    <row r="225" spans="1:7" x14ac:dyDescent="0.35">
      <c r="A225" t="s">
        <v>4918</v>
      </c>
      <c r="B225" t="s">
        <v>981</v>
      </c>
      <c r="C225" s="1">
        <v>45087</v>
      </c>
      <c r="D225" s="1" t="str">
        <f>TEXT(Payments_Cleaned[[#This Row],[payment_date]],"mmm-yyyy")</f>
        <v>Jun-2023</v>
      </c>
      <c r="E225" s="2">
        <v>1991.75</v>
      </c>
      <c r="F225" t="s">
        <v>4694</v>
      </c>
      <c r="G225" s="2">
        <v>632.67999999999995</v>
      </c>
    </row>
    <row r="226" spans="1:7" x14ac:dyDescent="0.35">
      <c r="A226" t="s">
        <v>4919</v>
      </c>
      <c r="B226" t="s">
        <v>982</v>
      </c>
      <c r="C226" s="1">
        <v>45534</v>
      </c>
      <c r="D226" s="1" t="str">
        <f>TEXT(Payments_Cleaned[[#This Row],[payment_date]],"mmm-yyyy")</f>
        <v>Aug-2024</v>
      </c>
      <c r="E226" s="2">
        <v>3615.11</v>
      </c>
      <c r="F226" t="s">
        <v>4694</v>
      </c>
      <c r="G226" s="2">
        <v>754.36</v>
      </c>
    </row>
    <row r="227" spans="1:7" x14ac:dyDescent="0.35">
      <c r="A227" t="s">
        <v>4920</v>
      </c>
      <c r="B227" t="s">
        <v>983</v>
      </c>
      <c r="C227" s="1">
        <v>45080</v>
      </c>
      <c r="D227" s="1" t="str">
        <f>TEXT(Payments_Cleaned[[#This Row],[payment_date]],"mmm-yyyy")</f>
        <v>Jun-2023</v>
      </c>
      <c r="E227" s="2">
        <v>30.55</v>
      </c>
      <c r="F227" t="s">
        <v>4694</v>
      </c>
      <c r="G227" s="2">
        <v>14.84</v>
      </c>
    </row>
    <row r="228" spans="1:7" x14ac:dyDescent="0.35">
      <c r="A228" t="s">
        <v>4921</v>
      </c>
      <c r="B228" t="s">
        <v>984</v>
      </c>
      <c r="C228" s="1">
        <v>45510</v>
      </c>
      <c r="D228" s="1" t="str">
        <f>TEXT(Payments_Cleaned[[#This Row],[payment_date]],"mmm-yyyy")</f>
        <v>Aug-2024</v>
      </c>
      <c r="E228" s="2">
        <v>1152.43</v>
      </c>
      <c r="F228" t="s">
        <v>4694</v>
      </c>
      <c r="G228" s="2">
        <v>162.87</v>
      </c>
    </row>
    <row r="229" spans="1:7" x14ac:dyDescent="0.35">
      <c r="A229" t="s">
        <v>4922</v>
      </c>
      <c r="B229" t="s">
        <v>985</v>
      </c>
      <c r="C229" s="1">
        <v>45616</v>
      </c>
      <c r="D229" s="1" t="str">
        <f>TEXT(Payments_Cleaned[[#This Row],[payment_date]],"mmm-yyyy")</f>
        <v>Nov-2024</v>
      </c>
      <c r="E229" s="2">
        <v>89.63</v>
      </c>
      <c r="F229" t="s">
        <v>4694</v>
      </c>
      <c r="G229" s="2">
        <v>43.97</v>
      </c>
    </row>
    <row r="230" spans="1:7" x14ac:dyDescent="0.35">
      <c r="A230" t="s">
        <v>4923</v>
      </c>
      <c r="B230" t="s">
        <v>986</v>
      </c>
      <c r="C230" s="1">
        <v>45235</v>
      </c>
      <c r="D230" s="1" t="str">
        <f>TEXT(Payments_Cleaned[[#This Row],[payment_date]],"mmm-yyyy")</f>
        <v>Nov-2023</v>
      </c>
      <c r="E230" s="2">
        <v>1126.3499999999999</v>
      </c>
      <c r="F230" t="s">
        <v>4694</v>
      </c>
      <c r="G230" s="2">
        <v>535.73</v>
      </c>
    </row>
    <row r="231" spans="1:7" x14ac:dyDescent="0.35">
      <c r="A231" t="s">
        <v>4924</v>
      </c>
      <c r="B231" t="s">
        <v>987</v>
      </c>
      <c r="C231" s="1">
        <v>45114</v>
      </c>
      <c r="D231" s="1" t="str">
        <f>TEXT(Payments_Cleaned[[#This Row],[payment_date]],"mmm-yyyy")</f>
        <v>Jul-2023</v>
      </c>
      <c r="E231" s="2">
        <v>3215.84</v>
      </c>
      <c r="F231" t="s">
        <v>4694</v>
      </c>
      <c r="G231" s="2">
        <v>1783.34</v>
      </c>
    </row>
    <row r="232" spans="1:7" x14ac:dyDescent="0.35">
      <c r="A232" t="s">
        <v>4925</v>
      </c>
      <c r="B232" t="s">
        <v>988</v>
      </c>
      <c r="C232" s="1">
        <v>45214</v>
      </c>
      <c r="D232" s="1" t="str">
        <f>TEXT(Payments_Cleaned[[#This Row],[payment_date]],"mmm-yyyy")</f>
        <v>Oct-2023</v>
      </c>
      <c r="E232" s="2">
        <v>431.94</v>
      </c>
      <c r="F232" t="s">
        <v>4694</v>
      </c>
      <c r="G232" s="2">
        <v>109.11</v>
      </c>
    </row>
    <row r="233" spans="1:7" x14ac:dyDescent="0.35">
      <c r="A233" t="s">
        <v>4926</v>
      </c>
      <c r="B233" t="s">
        <v>989</v>
      </c>
      <c r="C233" s="1">
        <v>45062</v>
      </c>
      <c r="D233" s="1" t="str">
        <f>TEXT(Payments_Cleaned[[#This Row],[payment_date]],"mmm-yyyy")</f>
        <v>May-2023</v>
      </c>
      <c r="E233" s="2">
        <v>649.23</v>
      </c>
      <c r="F233" t="s">
        <v>4694</v>
      </c>
      <c r="G233" s="2">
        <v>232.35</v>
      </c>
    </row>
    <row r="234" spans="1:7" x14ac:dyDescent="0.35">
      <c r="A234" t="s">
        <v>4927</v>
      </c>
      <c r="B234" t="s">
        <v>990</v>
      </c>
      <c r="C234" s="1">
        <v>45461</v>
      </c>
      <c r="D234" s="1" t="str">
        <f>TEXT(Payments_Cleaned[[#This Row],[payment_date]],"mmm-yyyy")</f>
        <v>Jun-2024</v>
      </c>
      <c r="E234" s="2">
        <v>729.5</v>
      </c>
      <c r="F234" t="s">
        <v>4694</v>
      </c>
      <c r="G234" s="2">
        <v>98.26</v>
      </c>
    </row>
    <row r="235" spans="1:7" x14ac:dyDescent="0.35">
      <c r="A235" t="s">
        <v>4928</v>
      </c>
      <c r="B235" t="s">
        <v>991</v>
      </c>
      <c r="C235" s="1">
        <v>45508</v>
      </c>
      <c r="D235" s="1" t="str">
        <f>TEXT(Payments_Cleaned[[#This Row],[payment_date]],"mmm-yyyy")</f>
        <v>Aug-2024</v>
      </c>
      <c r="E235" s="2">
        <v>420.52</v>
      </c>
      <c r="F235" t="s">
        <v>4694</v>
      </c>
      <c r="G235" s="2">
        <v>197.05</v>
      </c>
    </row>
    <row r="236" spans="1:7" x14ac:dyDescent="0.35">
      <c r="A236" t="s">
        <v>4929</v>
      </c>
      <c r="B236" t="s">
        <v>992</v>
      </c>
      <c r="C236" s="1">
        <v>45217</v>
      </c>
      <c r="D236" s="1" t="str">
        <f>TEXT(Payments_Cleaned[[#This Row],[payment_date]],"mmm-yyyy")</f>
        <v>Oct-2023</v>
      </c>
      <c r="E236" s="2">
        <v>6462.83</v>
      </c>
      <c r="F236" t="s">
        <v>4694</v>
      </c>
      <c r="G236" s="2">
        <v>537.89</v>
      </c>
    </row>
    <row r="237" spans="1:7" x14ac:dyDescent="0.35">
      <c r="A237" t="s">
        <v>4930</v>
      </c>
      <c r="B237" t="s">
        <v>994</v>
      </c>
      <c r="C237" s="1">
        <v>45504</v>
      </c>
      <c r="D237" s="1" t="str">
        <f>TEXT(Payments_Cleaned[[#This Row],[payment_date]],"mmm-yyyy")</f>
        <v>Jul-2024</v>
      </c>
      <c r="E237" s="2">
        <v>344.95</v>
      </c>
      <c r="F237" t="s">
        <v>4694</v>
      </c>
      <c r="G237" s="2">
        <v>117.06</v>
      </c>
    </row>
    <row r="238" spans="1:7" x14ac:dyDescent="0.35">
      <c r="A238" t="s">
        <v>4931</v>
      </c>
      <c r="B238" t="s">
        <v>995</v>
      </c>
      <c r="C238" s="1">
        <v>45104</v>
      </c>
      <c r="D238" s="1" t="str">
        <f>TEXT(Payments_Cleaned[[#This Row],[payment_date]],"mmm-yyyy")</f>
        <v>Jun-2023</v>
      </c>
      <c r="E238" s="2">
        <v>36.99</v>
      </c>
      <c r="F238" t="s">
        <v>4694</v>
      </c>
      <c r="G238" s="2">
        <v>14.22</v>
      </c>
    </row>
    <row r="239" spans="1:7" x14ac:dyDescent="0.35">
      <c r="A239" t="s">
        <v>4932</v>
      </c>
      <c r="B239" t="s">
        <v>996</v>
      </c>
      <c r="C239" s="1">
        <v>45313</v>
      </c>
      <c r="D239" s="1" t="str">
        <f>TEXT(Payments_Cleaned[[#This Row],[payment_date]],"mmm-yyyy")</f>
        <v>Jan-2024</v>
      </c>
      <c r="E239" s="2">
        <v>168.54</v>
      </c>
      <c r="F239" t="s">
        <v>4694</v>
      </c>
      <c r="G239" s="2">
        <v>32.06</v>
      </c>
    </row>
    <row r="240" spans="1:7" x14ac:dyDescent="0.35">
      <c r="A240" t="s">
        <v>4933</v>
      </c>
      <c r="B240" t="s">
        <v>998</v>
      </c>
      <c r="C240" s="1">
        <v>45626</v>
      </c>
      <c r="D240" s="1" t="str">
        <f>TEXT(Payments_Cleaned[[#This Row],[payment_date]],"mmm-yyyy")</f>
        <v>Nov-2024</v>
      </c>
      <c r="E240" s="2">
        <v>259.26</v>
      </c>
      <c r="F240" t="s">
        <v>4694</v>
      </c>
      <c r="G240" s="2">
        <v>68.239999999999995</v>
      </c>
    </row>
    <row r="241" spans="1:7" x14ac:dyDescent="0.35">
      <c r="A241" t="s">
        <v>4934</v>
      </c>
      <c r="B241" t="s">
        <v>1001</v>
      </c>
      <c r="C241" s="1">
        <v>45188</v>
      </c>
      <c r="D241" s="1" t="str">
        <f>TEXT(Payments_Cleaned[[#This Row],[payment_date]],"mmm-yyyy")</f>
        <v>Sep-2023</v>
      </c>
      <c r="E241" s="2">
        <v>439.59</v>
      </c>
      <c r="F241" t="s">
        <v>4697</v>
      </c>
      <c r="G241" s="2">
        <v>257.63</v>
      </c>
    </row>
    <row r="242" spans="1:7" x14ac:dyDescent="0.35">
      <c r="A242" t="s">
        <v>4935</v>
      </c>
      <c r="B242" t="s">
        <v>1003</v>
      </c>
      <c r="C242" s="1">
        <v>45425</v>
      </c>
      <c r="D242" s="1" t="str">
        <f>TEXT(Payments_Cleaned[[#This Row],[payment_date]],"mmm-yyyy")</f>
        <v>May-2024</v>
      </c>
      <c r="E242" s="2">
        <v>390.56</v>
      </c>
      <c r="F242" t="s">
        <v>4697</v>
      </c>
      <c r="G242" s="2">
        <v>147.66999999999999</v>
      </c>
    </row>
    <row r="243" spans="1:7" x14ac:dyDescent="0.35">
      <c r="A243" t="s">
        <v>4936</v>
      </c>
      <c r="B243" t="s">
        <v>1005</v>
      </c>
      <c r="C243" s="1">
        <v>45220</v>
      </c>
      <c r="D243" s="1" t="str">
        <f>TEXT(Payments_Cleaned[[#This Row],[payment_date]],"mmm-yyyy")</f>
        <v>Oct-2023</v>
      </c>
      <c r="E243" s="2">
        <v>1205.3800000000001</v>
      </c>
      <c r="F243" t="s">
        <v>4694</v>
      </c>
      <c r="G243" s="2">
        <v>227.61</v>
      </c>
    </row>
    <row r="244" spans="1:7" x14ac:dyDescent="0.35">
      <c r="A244" t="s">
        <v>4937</v>
      </c>
      <c r="B244" t="s">
        <v>1006</v>
      </c>
      <c r="C244" s="1">
        <v>45329</v>
      </c>
      <c r="D244" s="1" t="str">
        <f>TEXT(Payments_Cleaned[[#This Row],[payment_date]],"mmm-yyyy")</f>
        <v>Feb-2024</v>
      </c>
      <c r="E244" s="2">
        <v>123.83</v>
      </c>
      <c r="F244" t="s">
        <v>4694</v>
      </c>
      <c r="G244" s="2">
        <v>47.99</v>
      </c>
    </row>
    <row r="245" spans="1:7" x14ac:dyDescent="0.35">
      <c r="A245" t="s">
        <v>4938</v>
      </c>
      <c r="B245" t="s">
        <v>1007</v>
      </c>
      <c r="C245" s="1">
        <v>45425</v>
      </c>
      <c r="D245" s="1" t="str">
        <f>TEXT(Payments_Cleaned[[#This Row],[payment_date]],"mmm-yyyy")</f>
        <v>May-2024</v>
      </c>
      <c r="E245" s="2">
        <v>1101.07</v>
      </c>
      <c r="F245" t="s">
        <v>4694</v>
      </c>
      <c r="G245" s="2">
        <v>310.33</v>
      </c>
    </row>
    <row r="246" spans="1:7" x14ac:dyDescent="0.35">
      <c r="A246" t="s">
        <v>4939</v>
      </c>
      <c r="B246" t="s">
        <v>1008</v>
      </c>
      <c r="C246" s="1">
        <v>45382</v>
      </c>
      <c r="D246" s="1" t="str">
        <f>TEXT(Payments_Cleaned[[#This Row],[payment_date]],"mmm-yyyy")</f>
        <v>Mar-2024</v>
      </c>
      <c r="E246" s="2">
        <v>1721.98</v>
      </c>
      <c r="F246" t="s">
        <v>4694</v>
      </c>
      <c r="G246" s="2">
        <v>528.27</v>
      </c>
    </row>
    <row r="247" spans="1:7" x14ac:dyDescent="0.35">
      <c r="A247" t="s">
        <v>4940</v>
      </c>
      <c r="B247" t="s">
        <v>1009</v>
      </c>
      <c r="C247" s="1">
        <v>45605</v>
      </c>
      <c r="D247" s="1" t="str">
        <f>TEXT(Payments_Cleaned[[#This Row],[payment_date]],"mmm-yyyy")</f>
        <v>Nov-2024</v>
      </c>
      <c r="E247" s="2">
        <v>2935.65</v>
      </c>
      <c r="F247" t="s">
        <v>4694</v>
      </c>
      <c r="G247" s="2">
        <v>710.05</v>
      </c>
    </row>
    <row r="248" spans="1:7" x14ac:dyDescent="0.35">
      <c r="A248" t="s">
        <v>4941</v>
      </c>
      <c r="B248" t="s">
        <v>1010</v>
      </c>
      <c r="C248" s="1">
        <v>45174</v>
      </c>
      <c r="D248" s="1" t="str">
        <f>TEXT(Payments_Cleaned[[#This Row],[payment_date]],"mmm-yyyy")</f>
        <v>Sep-2023</v>
      </c>
      <c r="E248" s="2">
        <v>2517.39</v>
      </c>
      <c r="F248" t="s">
        <v>4694</v>
      </c>
      <c r="G248" s="2">
        <v>1114.8699999999999</v>
      </c>
    </row>
    <row r="249" spans="1:7" x14ac:dyDescent="0.35">
      <c r="A249" t="s">
        <v>4942</v>
      </c>
      <c r="B249" t="s">
        <v>1011</v>
      </c>
      <c r="C249" s="1">
        <v>45519</v>
      </c>
      <c r="D249" s="1" t="str">
        <f>TEXT(Payments_Cleaned[[#This Row],[payment_date]],"mmm-yyyy")</f>
        <v>Aug-2024</v>
      </c>
      <c r="E249" s="2">
        <v>946.75</v>
      </c>
      <c r="F249" t="s">
        <v>4694</v>
      </c>
      <c r="G249" s="2">
        <v>213.84</v>
      </c>
    </row>
    <row r="250" spans="1:7" x14ac:dyDescent="0.35">
      <c r="A250" t="s">
        <v>4943</v>
      </c>
      <c r="B250" t="s">
        <v>1012</v>
      </c>
      <c r="C250" s="1">
        <v>45316</v>
      </c>
      <c r="D250" s="1" t="str">
        <f>TEXT(Payments_Cleaned[[#This Row],[payment_date]],"mmm-yyyy")</f>
        <v>Jan-2024</v>
      </c>
      <c r="E250" s="2">
        <v>507.45</v>
      </c>
      <c r="F250" t="s">
        <v>4694</v>
      </c>
      <c r="G250" s="2">
        <v>137.55000000000001</v>
      </c>
    </row>
    <row r="251" spans="1:7" x14ac:dyDescent="0.35">
      <c r="A251" t="s">
        <v>4944</v>
      </c>
      <c r="B251" t="s">
        <v>1013</v>
      </c>
      <c r="C251" s="1">
        <v>45334</v>
      </c>
      <c r="D251" s="1" t="str">
        <f>TEXT(Payments_Cleaned[[#This Row],[payment_date]],"mmm-yyyy")</f>
        <v>Feb-2024</v>
      </c>
      <c r="E251" s="2">
        <v>352.77</v>
      </c>
      <c r="F251" t="s">
        <v>4697</v>
      </c>
      <c r="G251" s="2">
        <v>145.30000000000001</v>
      </c>
    </row>
    <row r="252" spans="1:7" x14ac:dyDescent="0.35">
      <c r="A252" t="s">
        <v>4945</v>
      </c>
      <c r="B252" t="s">
        <v>1014</v>
      </c>
      <c r="C252" s="1">
        <v>45408</v>
      </c>
      <c r="D252" s="1" t="str">
        <f>TEXT(Payments_Cleaned[[#This Row],[payment_date]],"mmm-yyyy")</f>
        <v>Apr-2024</v>
      </c>
      <c r="E252" s="2">
        <v>862.08</v>
      </c>
      <c r="F252" t="s">
        <v>4694</v>
      </c>
      <c r="G252" s="2">
        <v>134.9</v>
      </c>
    </row>
    <row r="253" spans="1:7" x14ac:dyDescent="0.35">
      <c r="A253" t="s">
        <v>4946</v>
      </c>
      <c r="B253" t="s">
        <v>1015</v>
      </c>
      <c r="C253" s="1">
        <v>45333</v>
      </c>
      <c r="D253" s="1" t="str">
        <f>TEXT(Payments_Cleaned[[#This Row],[payment_date]],"mmm-yyyy")</f>
        <v>Feb-2024</v>
      </c>
      <c r="E253" s="2">
        <v>340.28</v>
      </c>
      <c r="F253" t="s">
        <v>4694</v>
      </c>
      <c r="G253" s="2">
        <v>43.08</v>
      </c>
    </row>
    <row r="254" spans="1:7" x14ac:dyDescent="0.35">
      <c r="A254" t="s">
        <v>4947</v>
      </c>
      <c r="B254" t="s">
        <v>1016</v>
      </c>
      <c r="C254" s="1">
        <v>45412</v>
      </c>
      <c r="D254" s="1" t="str">
        <f>TEXT(Payments_Cleaned[[#This Row],[payment_date]],"mmm-yyyy")</f>
        <v>Apr-2024</v>
      </c>
      <c r="E254" s="2">
        <v>1528.81</v>
      </c>
      <c r="F254" t="s">
        <v>4694</v>
      </c>
      <c r="G254" s="2">
        <v>487.14</v>
      </c>
    </row>
    <row r="255" spans="1:7" x14ac:dyDescent="0.35">
      <c r="A255" t="s">
        <v>4948</v>
      </c>
      <c r="B255" t="s">
        <v>1017</v>
      </c>
      <c r="C255" s="1">
        <v>45677</v>
      </c>
      <c r="D255" s="1" t="str">
        <f>TEXT(Payments_Cleaned[[#This Row],[payment_date]],"mmm-yyyy")</f>
        <v>Jan-2025</v>
      </c>
      <c r="E255" s="2">
        <v>426.49</v>
      </c>
      <c r="F255" t="s">
        <v>4694</v>
      </c>
      <c r="G255" s="2">
        <v>101.29</v>
      </c>
    </row>
    <row r="256" spans="1:7" x14ac:dyDescent="0.35">
      <c r="A256" t="s">
        <v>4949</v>
      </c>
      <c r="B256" t="s">
        <v>1018</v>
      </c>
      <c r="C256" s="1">
        <v>45680</v>
      </c>
      <c r="D256" s="1" t="str">
        <f>TEXT(Payments_Cleaned[[#This Row],[payment_date]],"mmm-yyyy")</f>
        <v>Jan-2025</v>
      </c>
      <c r="E256" s="2">
        <v>280.76</v>
      </c>
      <c r="F256" t="s">
        <v>4694</v>
      </c>
      <c r="G256" s="2">
        <v>15.76</v>
      </c>
    </row>
    <row r="257" spans="1:7" x14ac:dyDescent="0.35">
      <c r="A257" t="s">
        <v>4950</v>
      </c>
      <c r="B257" t="s">
        <v>1019</v>
      </c>
      <c r="C257" s="1">
        <v>45197</v>
      </c>
      <c r="D257" s="1" t="str">
        <f>TEXT(Payments_Cleaned[[#This Row],[payment_date]],"mmm-yyyy")</f>
        <v>Sep-2023</v>
      </c>
      <c r="E257" s="2">
        <v>606.24</v>
      </c>
      <c r="F257" t="s">
        <v>4694</v>
      </c>
      <c r="G257" s="2">
        <v>227.02</v>
      </c>
    </row>
    <row r="258" spans="1:7" x14ac:dyDescent="0.35">
      <c r="A258" t="s">
        <v>4951</v>
      </c>
      <c r="B258" t="s">
        <v>1021</v>
      </c>
      <c r="C258" s="1">
        <v>45552</v>
      </c>
      <c r="D258" s="1" t="str">
        <f>TEXT(Payments_Cleaned[[#This Row],[payment_date]],"mmm-yyyy")</f>
        <v>Sep-2024</v>
      </c>
      <c r="E258" s="2">
        <v>2211.19</v>
      </c>
      <c r="F258" t="s">
        <v>4697</v>
      </c>
      <c r="G258" s="2">
        <v>496.98</v>
      </c>
    </row>
    <row r="259" spans="1:7" x14ac:dyDescent="0.35">
      <c r="A259" t="s">
        <v>4952</v>
      </c>
      <c r="B259" t="s">
        <v>1024</v>
      </c>
      <c r="C259" s="1">
        <v>45128</v>
      </c>
      <c r="D259" s="1" t="str">
        <f>TEXT(Payments_Cleaned[[#This Row],[payment_date]],"mmm-yyyy")</f>
        <v>Jul-2023</v>
      </c>
      <c r="E259" s="2">
        <v>82.95</v>
      </c>
      <c r="F259" t="s">
        <v>4694</v>
      </c>
      <c r="G259" s="2">
        <v>23.32</v>
      </c>
    </row>
    <row r="260" spans="1:7" x14ac:dyDescent="0.35">
      <c r="A260" t="s">
        <v>4953</v>
      </c>
      <c r="B260" t="s">
        <v>1025</v>
      </c>
      <c r="C260" s="1">
        <v>45183</v>
      </c>
      <c r="D260" s="1" t="str">
        <f>TEXT(Payments_Cleaned[[#This Row],[payment_date]],"mmm-yyyy")</f>
        <v>Sep-2023</v>
      </c>
      <c r="E260" s="2">
        <v>387.67</v>
      </c>
      <c r="F260" t="s">
        <v>4694</v>
      </c>
      <c r="G260" s="2">
        <v>228.72</v>
      </c>
    </row>
    <row r="261" spans="1:7" x14ac:dyDescent="0.35">
      <c r="A261" t="s">
        <v>4954</v>
      </c>
      <c r="B261" t="s">
        <v>1027</v>
      </c>
      <c r="C261" s="1">
        <v>45389</v>
      </c>
      <c r="D261" s="1" t="str">
        <f>TEXT(Payments_Cleaned[[#This Row],[payment_date]],"mmm-yyyy")</f>
        <v>Apr-2024</v>
      </c>
      <c r="E261" s="2">
        <v>989.02</v>
      </c>
      <c r="F261" t="s">
        <v>4694</v>
      </c>
      <c r="G261" s="2">
        <v>363.41</v>
      </c>
    </row>
    <row r="262" spans="1:7" x14ac:dyDescent="0.35">
      <c r="A262" t="s">
        <v>4955</v>
      </c>
      <c r="B262" t="s">
        <v>1028</v>
      </c>
      <c r="C262" s="1">
        <v>45647</v>
      </c>
      <c r="D262" s="1" t="str">
        <f>TEXT(Payments_Cleaned[[#This Row],[payment_date]],"mmm-yyyy")</f>
        <v>Dec-2024</v>
      </c>
      <c r="E262" s="2">
        <v>3610.86</v>
      </c>
      <c r="F262" t="s">
        <v>4694</v>
      </c>
      <c r="G262" s="2">
        <v>161.31</v>
      </c>
    </row>
    <row r="263" spans="1:7" x14ac:dyDescent="0.35">
      <c r="A263" t="s">
        <v>4956</v>
      </c>
      <c r="B263" t="s">
        <v>1029</v>
      </c>
      <c r="C263" s="1">
        <v>45644</v>
      </c>
      <c r="D263" s="1" t="str">
        <f>TEXT(Payments_Cleaned[[#This Row],[payment_date]],"mmm-yyyy")</f>
        <v>Dec-2024</v>
      </c>
      <c r="E263" s="2">
        <v>529.82000000000005</v>
      </c>
      <c r="F263" t="s">
        <v>4694</v>
      </c>
      <c r="G263" s="2">
        <v>283.93</v>
      </c>
    </row>
    <row r="264" spans="1:7" x14ac:dyDescent="0.35">
      <c r="A264" t="s">
        <v>4957</v>
      </c>
      <c r="B264" t="s">
        <v>1030</v>
      </c>
      <c r="C264" s="1">
        <v>45496</v>
      </c>
      <c r="D264" s="1" t="str">
        <f>TEXT(Payments_Cleaned[[#This Row],[payment_date]],"mmm-yyyy")</f>
        <v>Jul-2024</v>
      </c>
      <c r="E264" s="2">
        <v>471.74</v>
      </c>
      <c r="F264" t="s">
        <v>4697</v>
      </c>
      <c r="G264" s="2">
        <v>238.49</v>
      </c>
    </row>
    <row r="265" spans="1:7" x14ac:dyDescent="0.35">
      <c r="A265" t="s">
        <v>4958</v>
      </c>
      <c r="B265" t="s">
        <v>1032</v>
      </c>
      <c r="C265" s="1">
        <v>45284</v>
      </c>
      <c r="D265" s="1" t="str">
        <f>TEXT(Payments_Cleaned[[#This Row],[payment_date]],"mmm-yyyy")</f>
        <v>Dec-2023</v>
      </c>
      <c r="E265" s="2">
        <v>319.97000000000003</v>
      </c>
      <c r="F265" t="s">
        <v>4694</v>
      </c>
      <c r="G265" s="2">
        <v>19.73</v>
      </c>
    </row>
    <row r="266" spans="1:7" x14ac:dyDescent="0.35">
      <c r="A266" t="s">
        <v>4959</v>
      </c>
      <c r="B266" t="s">
        <v>1033</v>
      </c>
      <c r="C266" s="1">
        <v>45290</v>
      </c>
      <c r="D266" s="1" t="str">
        <f>TEXT(Payments_Cleaned[[#This Row],[payment_date]],"mmm-yyyy")</f>
        <v>Dec-2023</v>
      </c>
      <c r="E266" s="2">
        <v>3556.64</v>
      </c>
      <c r="F266" t="s">
        <v>4694</v>
      </c>
      <c r="G266" s="2">
        <v>1141.79</v>
      </c>
    </row>
    <row r="267" spans="1:7" x14ac:dyDescent="0.35">
      <c r="A267" t="s">
        <v>4960</v>
      </c>
      <c r="B267" t="s">
        <v>1034</v>
      </c>
      <c r="C267" s="1">
        <v>45263</v>
      </c>
      <c r="D267" s="1" t="str">
        <f>TEXT(Payments_Cleaned[[#This Row],[payment_date]],"mmm-yyyy")</f>
        <v>Dec-2023</v>
      </c>
      <c r="E267" s="2">
        <v>768.14</v>
      </c>
      <c r="F267" t="s">
        <v>4694</v>
      </c>
      <c r="G267" s="2">
        <v>153.63</v>
      </c>
    </row>
    <row r="268" spans="1:7" x14ac:dyDescent="0.35">
      <c r="A268" t="s">
        <v>4961</v>
      </c>
      <c r="B268" t="s">
        <v>1035</v>
      </c>
      <c r="C268" s="1">
        <v>45022</v>
      </c>
      <c r="D268" s="1" t="str">
        <f>TEXT(Payments_Cleaned[[#This Row],[payment_date]],"mmm-yyyy")</f>
        <v>Apr-2023</v>
      </c>
      <c r="E268" s="2">
        <v>126.85</v>
      </c>
      <c r="F268" t="s">
        <v>4694</v>
      </c>
      <c r="G268" s="2">
        <v>66.67</v>
      </c>
    </row>
    <row r="269" spans="1:7" x14ac:dyDescent="0.35">
      <c r="A269" t="s">
        <v>4962</v>
      </c>
      <c r="B269" t="s">
        <v>1036</v>
      </c>
      <c r="C269" s="1">
        <v>45234</v>
      </c>
      <c r="D269" s="1" t="str">
        <f>TEXT(Payments_Cleaned[[#This Row],[payment_date]],"mmm-yyyy")</f>
        <v>Nov-2023</v>
      </c>
      <c r="E269" s="2">
        <v>168.66</v>
      </c>
      <c r="F269" t="s">
        <v>4694</v>
      </c>
      <c r="G269" s="2">
        <v>13.28</v>
      </c>
    </row>
    <row r="270" spans="1:7" x14ac:dyDescent="0.35">
      <c r="A270" t="s">
        <v>4963</v>
      </c>
      <c r="B270" t="s">
        <v>1037</v>
      </c>
      <c r="C270" s="1">
        <v>45146</v>
      </c>
      <c r="D270" s="1" t="str">
        <f>TEXT(Payments_Cleaned[[#This Row],[payment_date]],"mmm-yyyy")</f>
        <v>Aug-2023</v>
      </c>
      <c r="E270" s="2">
        <v>341.95</v>
      </c>
      <c r="F270" t="s">
        <v>4697</v>
      </c>
      <c r="G270" s="2">
        <v>24.64</v>
      </c>
    </row>
    <row r="271" spans="1:7" x14ac:dyDescent="0.35">
      <c r="A271" t="s">
        <v>4964</v>
      </c>
      <c r="B271" t="s">
        <v>1039</v>
      </c>
      <c r="C271" s="1">
        <v>45221</v>
      </c>
      <c r="D271" s="1" t="str">
        <f>TEXT(Payments_Cleaned[[#This Row],[payment_date]],"mmm-yyyy")</f>
        <v>Oct-2023</v>
      </c>
      <c r="E271" s="2">
        <v>1028.04</v>
      </c>
      <c r="F271" t="s">
        <v>4694</v>
      </c>
      <c r="G271" s="2">
        <v>396.63</v>
      </c>
    </row>
    <row r="272" spans="1:7" x14ac:dyDescent="0.35">
      <c r="A272" t="s">
        <v>4965</v>
      </c>
      <c r="B272" t="s">
        <v>1041</v>
      </c>
      <c r="C272" s="1">
        <v>45603</v>
      </c>
      <c r="D272" s="1" t="str">
        <f>TEXT(Payments_Cleaned[[#This Row],[payment_date]],"mmm-yyyy")</f>
        <v>Nov-2024</v>
      </c>
      <c r="E272" s="2">
        <v>665.67</v>
      </c>
      <c r="F272" t="s">
        <v>4694</v>
      </c>
      <c r="G272" s="2">
        <v>54.29</v>
      </c>
    </row>
    <row r="273" spans="1:7" x14ac:dyDescent="0.35">
      <c r="A273" t="s">
        <v>4966</v>
      </c>
      <c r="B273" t="s">
        <v>1042</v>
      </c>
      <c r="C273" s="1">
        <v>45241</v>
      </c>
      <c r="D273" s="1" t="str">
        <f>TEXT(Payments_Cleaned[[#This Row],[payment_date]],"mmm-yyyy")</f>
        <v>Nov-2023</v>
      </c>
      <c r="E273" s="2">
        <v>549.78</v>
      </c>
      <c r="F273" t="s">
        <v>4694</v>
      </c>
      <c r="G273" s="2">
        <v>267.57</v>
      </c>
    </row>
    <row r="274" spans="1:7" x14ac:dyDescent="0.35">
      <c r="A274" t="s">
        <v>4967</v>
      </c>
      <c r="B274" t="s">
        <v>1043</v>
      </c>
      <c r="C274" s="1">
        <v>45688</v>
      </c>
      <c r="D274" s="1" t="str">
        <f>TEXT(Payments_Cleaned[[#This Row],[payment_date]],"mmm-yyyy")</f>
        <v>Jan-2025</v>
      </c>
      <c r="E274" s="2">
        <v>173.08</v>
      </c>
      <c r="F274" t="s">
        <v>4694</v>
      </c>
      <c r="G274" s="2">
        <v>17.29</v>
      </c>
    </row>
    <row r="275" spans="1:7" x14ac:dyDescent="0.35">
      <c r="A275" t="s">
        <v>4968</v>
      </c>
      <c r="B275" t="s">
        <v>1044</v>
      </c>
      <c r="C275" s="1">
        <v>45219</v>
      </c>
      <c r="D275" s="1" t="str">
        <f>TEXT(Payments_Cleaned[[#This Row],[payment_date]],"mmm-yyyy")</f>
        <v>Oct-2023</v>
      </c>
      <c r="E275" s="2">
        <v>179.24</v>
      </c>
      <c r="F275" t="s">
        <v>4694</v>
      </c>
      <c r="G275" s="2">
        <v>29.78</v>
      </c>
    </row>
    <row r="276" spans="1:7" x14ac:dyDescent="0.35">
      <c r="A276" t="s">
        <v>4969</v>
      </c>
      <c r="B276" t="s">
        <v>1045</v>
      </c>
      <c r="C276" s="1">
        <v>45024</v>
      </c>
      <c r="D276" s="1" t="str">
        <f>TEXT(Payments_Cleaned[[#This Row],[payment_date]],"mmm-yyyy")</f>
        <v>Apr-2023</v>
      </c>
      <c r="E276" s="2">
        <v>5270.82</v>
      </c>
      <c r="F276" t="s">
        <v>4694</v>
      </c>
      <c r="G276" s="2">
        <v>598.19000000000005</v>
      </c>
    </row>
    <row r="277" spans="1:7" x14ac:dyDescent="0.35">
      <c r="A277" t="s">
        <v>4970</v>
      </c>
      <c r="B277" t="s">
        <v>1046</v>
      </c>
      <c r="C277" s="1">
        <v>45438</v>
      </c>
      <c r="D277" s="1" t="str">
        <f>TEXT(Payments_Cleaned[[#This Row],[payment_date]],"mmm-yyyy")</f>
        <v>May-2024</v>
      </c>
      <c r="E277" s="2">
        <v>261.32</v>
      </c>
      <c r="F277" t="s">
        <v>4694</v>
      </c>
      <c r="G277" s="2">
        <v>74.33</v>
      </c>
    </row>
    <row r="278" spans="1:7" x14ac:dyDescent="0.35">
      <c r="A278" t="s">
        <v>4971</v>
      </c>
      <c r="B278" t="s">
        <v>1047</v>
      </c>
      <c r="C278" s="1">
        <v>45220</v>
      </c>
      <c r="D278" s="1" t="str">
        <f>TEXT(Payments_Cleaned[[#This Row],[payment_date]],"mmm-yyyy")</f>
        <v>Oct-2023</v>
      </c>
      <c r="E278" s="2">
        <v>321.52</v>
      </c>
      <c r="F278" t="s">
        <v>4694</v>
      </c>
      <c r="G278" s="2">
        <v>64.63</v>
      </c>
    </row>
    <row r="279" spans="1:7" x14ac:dyDescent="0.35">
      <c r="A279" t="s">
        <v>4972</v>
      </c>
      <c r="B279" t="s">
        <v>1048</v>
      </c>
      <c r="C279" s="1">
        <v>45114</v>
      </c>
      <c r="D279" s="1" t="str">
        <f>TEXT(Payments_Cleaned[[#This Row],[payment_date]],"mmm-yyyy")</f>
        <v>Jul-2023</v>
      </c>
      <c r="E279" s="2">
        <v>2261.37</v>
      </c>
      <c r="F279" t="s">
        <v>4694</v>
      </c>
      <c r="G279" s="2">
        <v>268.70999999999998</v>
      </c>
    </row>
    <row r="280" spans="1:7" x14ac:dyDescent="0.35">
      <c r="A280" t="s">
        <v>4973</v>
      </c>
      <c r="B280" t="s">
        <v>1049</v>
      </c>
      <c r="C280" s="1">
        <v>44995</v>
      </c>
      <c r="D280" s="1" t="str">
        <f>TEXT(Payments_Cleaned[[#This Row],[payment_date]],"mmm-yyyy")</f>
        <v>Mar-2023</v>
      </c>
      <c r="E280" s="2">
        <v>48.68</v>
      </c>
      <c r="F280" t="s">
        <v>4694</v>
      </c>
      <c r="G280" s="2">
        <v>12.36</v>
      </c>
    </row>
    <row r="281" spans="1:7" x14ac:dyDescent="0.35">
      <c r="A281" t="s">
        <v>4974</v>
      </c>
      <c r="B281" t="s">
        <v>1050</v>
      </c>
      <c r="C281" s="1">
        <v>45425</v>
      </c>
      <c r="D281" s="1" t="str">
        <f>TEXT(Payments_Cleaned[[#This Row],[payment_date]],"mmm-yyyy")</f>
        <v>May-2024</v>
      </c>
      <c r="E281" s="2">
        <v>703.25</v>
      </c>
      <c r="F281" t="s">
        <v>4694</v>
      </c>
      <c r="G281" s="2">
        <v>328.98</v>
      </c>
    </row>
    <row r="282" spans="1:7" x14ac:dyDescent="0.35">
      <c r="A282" t="s">
        <v>4975</v>
      </c>
      <c r="B282" t="s">
        <v>1051</v>
      </c>
      <c r="C282" s="1">
        <v>45151</v>
      </c>
      <c r="D282" s="1" t="str">
        <f>TEXT(Payments_Cleaned[[#This Row],[payment_date]],"mmm-yyyy")</f>
        <v>Aug-2023</v>
      </c>
      <c r="E282" s="2">
        <v>448.85</v>
      </c>
      <c r="F282" t="s">
        <v>4694</v>
      </c>
      <c r="G282" s="2">
        <v>175.47</v>
      </c>
    </row>
    <row r="283" spans="1:7" x14ac:dyDescent="0.35">
      <c r="A283" t="s">
        <v>4976</v>
      </c>
      <c r="B283" t="s">
        <v>1052</v>
      </c>
      <c r="C283" s="1">
        <v>45618</v>
      </c>
      <c r="D283" s="1" t="str">
        <f>TEXT(Payments_Cleaned[[#This Row],[payment_date]],"mmm-yyyy")</f>
        <v>Nov-2024</v>
      </c>
      <c r="E283" s="2">
        <v>718.87</v>
      </c>
      <c r="F283" t="s">
        <v>4697</v>
      </c>
      <c r="G283" s="2">
        <v>111.55</v>
      </c>
    </row>
    <row r="284" spans="1:7" x14ac:dyDescent="0.35">
      <c r="A284" t="s">
        <v>4977</v>
      </c>
      <c r="B284" t="s">
        <v>1053</v>
      </c>
      <c r="C284" s="1">
        <v>45082</v>
      </c>
      <c r="D284" s="1" t="str">
        <f>TEXT(Payments_Cleaned[[#This Row],[payment_date]],"mmm-yyyy")</f>
        <v>Jun-2023</v>
      </c>
      <c r="E284" s="2">
        <v>748.97</v>
      </c>
      <c r="F284" t="s">
        <v>4694</v>
      </c>
      <c r="G284" s="2">
        <v>331.57</v>
      </c>
    </row>
    <row r="285" spans="1:7" x14ac:dyDescent="0.35">
      <c r="A285" t="s">
        <v>4978</v>
      </c>
      <c r="B285" t="s">
        <v>1054</v>
      </c>
      <c r="C285" s="1">
        <v>44959</v>
      </c>
      <c r="D285" s="1" t="str">
        <f>TEXT(Payments_Cleaned[[#This Row],[payment_date]],"mmm-yyyy")</f>
        <v>Feb-2023</v>
      </c>
      <c r="E285" s="2">
        <v>2254.88</v>
      </c>
      <c r="F285" t="s">
        <v>4694</v>
      </c>
      <c r="G285" s="2">
        <v>1042.32</v>
      </c>
    </row>
    <row r="286" spans="1:7" x14ac:dyDescent="0.35">
      <c r="A286" t="s">
        <v>4979</v>
      </c>
      <c r="B286" t="s">
        <v>1057</v>
      </c>
      <c r="C286" s="1">
        <v>45520</v>
      </c>
      <c r="D286" s="1" t="str">
        <f>TEXT(Payments_Cleaned[[#This Row],[payment_date]],"mmm-yyyy")</f>
        <v>Aug-2024</v>
      </c>
      <c r="E286" s="2">
        <v>3241.21</v>
      </c>
      <c r="F286" t="s">
        <v>4694</v>
      </c>
      <c r="G286" s="2">
        <v>1152.44</v>
      </c>
    </row>
    <row r="287" spans="1:7" x14ac:dyDescent="0.35">
      <c r="A287" t="s">
        <v>4980</v>
      </c>
      <c r="B287" t="s">
        <v>1058</v>
      </c>
      <c r="C287" s="1">
        <v>45465</v>
      </c>
      <c r="D287" s="1" t="str">
        <f>TEXT(Payments_Cleaned[[#This Row],[payment_date]],"mmm-yyyy")</f>
        <v>Jun-2024</v>
      </c>
      <c r="E287" s="2">
        <v>47.19</v>
      </c>
      <c r="F287" t="s">
        <v>4694</v>
      </c>
      <c r="G287" s="2">
        <v>10.6</v>
      </c>
    </row>
    <row r="288" spans="1:7" x14ac:dyDescent="0.35">
      <c r="A288" t="s">
        <v>4981</v>
      </c>
      <c r="B288" t="s">
        <v>1059</v>
      </c>
      <c r="C288" s="1">
        <v>45407</v>
      </c>
      <c r="D288" s="1" t="str">
        <f>TEXT(Payments_Cleaned[[#This Row],[payment_date]],"mmm-yyyy")</f>
        <v>Apr-2024</v>
      </c>
      <c r="E288" s="2">
        <v>39.74</v>
      </c>
      <c r="F288" t="s">
        <v>4694</v>
      </c>
      <c r="G288" s="2">
        <v>14.39</v>
      </c>
    </row>
    <row r="289" spans="1:7" x14ac:dyDescent="0.35">
      <c r="A289" t="s">
        <v>4982</v>
      </c>
      <c r="B289" t="s">
        <v>1061</v>
      </c>
      <c r="C289" s="1">
        <v>45152</v>
      </c>
      <c r="D289" s="1" t="str">
        <f>TEXT(Payments_Cleaned[[#This Row],[payment_date]],"mmm-yyyy")</f>
        <v>Aug-2023</v>
      </c>
      <c r="E289" s="2">
        <v>497.4</v>
      </c>
      <c r="F289" t="s">
        <v>4697</v>
      </c>
      <c r="G289" s="2">
        <v>82.92</v>
      </c>
    </row>
    <row r="290" spans="1:7" x14ac:dyDescent="0.35">
      <c r="A290" t="s">
        <v>4983</v>
      </c>
      <c r="B290" t="s">
        <v>1062</v>
      </c>
      <c r="C290" s="1">
        <v>45490</v>
      </c>
      <c r="D290" s="1" t="str">
        <f>TEXT(Payments_Cleaned[[#This Row],[payment_date]],"mmm-yyyy")</f>
        <v>Jul-2024</v>
      </c>
      <c r="E290" s="2">
        <v>341.67</v>
      </c>
      <c r="F290" t="s">
        <v>4694</v>
      </c>
      <c r="G290" s="2">
        <v>76.23</v>
      </c>
    </row>
    <row r="291" spans="1:7" x14ac:dyDescent="0.35">
      <c r="A291" t="s">
        <v>4984</v>
      </c>
      <c r="B291" t="s">
        <v>1064</v>
      </c>
      <c r="C291" s="1">
        <v>45283</v>
      </c>
      <c r="D291" s="1" t="str">
        <f>TEXT(Payments_Cleaned[[#This Row],[payment_date]],"mmm-yyyy")</f>
        <v>Dec-2023</v>
      </c>
      <c r="E291" s="2">
        <v>651.33000000000004</v>
      </c>
      <c r="F291" t="s">
        <v>4694</v>
      </c>
      <c r="G291" s="2">
        <v>319.2</v>
      </c>
    </row>
    <row r="292" spans="1:7" x14ac:dyDescent="0.35">
      <c r="A292" t="s">
        <v>4985</v>
      </c>
      <c r="B292" t="s">
        <v>1065</v>
      </c>
      <c r="C292" s="1">
        <v>45610</v>
      </c>
      <c r="D292" s="1" t="str">
        <f>TEXT(Payments_Cleaned[[#This Row],[payment_date]],"mmm-yyyy")</f>
        <v>Nov-2024</v>
      </c>
      <c r="E292" s="2">
        <v>2685.08</v>
      </c>
      <c r="F292" t="s">
        <v>4694</v>
      </c>
      <c r="G292" s="2">
        <v>608.92999999999995</v>
      </c>
    </row>
    <row r="293" spans="1:7" x14ac:dyDescent="0.35">
      <c r="A293" t="s">
        <v>4986</v>
      </c>
      <c r="B293" t="s">
        <v>1066</v>
      </c>
      <c r="C293" s="1">
        <v>45265</v>
      </c>
      <c r="D293" s="1" t="str">
        <f>TEXT(Payments_Cleaned[[#This Row],[payment_date]],"mmm-yyyy")</f>
        <v>Dec-2023</v>
      </c>
      <c r="E293" s="2">
        <v>354.56</v>
      </c>
      <c r="F293" t="s">
        <v>4694</v>
      </c>
      <c r="G293" s="2">
        <v>81.739999999999995</v>
      </c>
    </row>
    <row r="294" spans="1:7" x14ac:dyDescent="0.35">
      <c r="A294" t="s">
        <v>4987</v>
      </c>
      <c r="B294" t="s">
        <v>1067</v>
      </c>
      <c r="C294" s="1">
        <v>45620</v>
      </c>
      <c r="D294" s="1" t="str">
        <f>TEXT(Payments_Cleaned[[#This Row],[payment_date]],"mmm-yyyy")</f>
        <v>Nov-2024</v>
      </c>
      <c r="E294" s="2">
        <v>543.19000000000005</v>
      </c>
      <c r="F294" t="s">
        <v>4694</v>
      </c>
      <c r="G294" s="2">
        <v>235.44</v>
      </c>
    </row>
    <row r="295" spans="1:7" x14ac:dyDescent="0.35">
      <c r="A295" t="s">
        <v>4988</v>
      </c>
      <c r="B295" t="s">
        <v>1068</v>
      </c>
      <c r="C295" s="1">
        <v>45436</v>
      </c>
      <c r="D295" s="1" t="str">
        <f>TEXT(Payments_Cleaned[[#This Row],[payment_date]],"mmm-yyyy")</f>
        <v>May-2024</v>
      </c>
      <c r="E295" s="2">
        <v>768.37</v>
      </c>
      <c r="F295" t="s">
        <v>4694</v>
      </c>
      <c r="G295" s="2">
        <v>45.34</v>
      </c>
    </row>
    <row r="296" spans="1:7" x14ac:dyDescent="0.35">
      <c r="A296" t="s">
        <v>4989</v>
      </c>
      <c r="B296" t="s">
        <v>1069</v>
      </c>
      <c r="C296" s="1">
        <v>45351</v>
      </c>
      <c r="D296" s="1" t="str">
        <f>TEXT(Payments_Cleaned[[#This Row],[payment_date]],"mmm-yyyy")</f>
        <v>Feb-2024</v>
      </c>
      <c r="E296" s="2">
        <v>7316.51</v>
      </c>
      <c r="F296" t="s">
        <v>4694</v>
      </c>
      <c r="G296" s="2">
        <v>802.63</v>
      </c>
    </row>
    <row r="297" spans="1:7" x14ac:dyDescent="0.35">
      <c r="A297" t="s">
        <v>4990</v>
      </c>
      <c r="B297" t="s">
        <v>1070</v>
      </c>
      <c r="C297" s="1">
        <v>45526</v>
      </c>
      <c r="D297" s="1" t="str">
        <f>TEXT(Payments_Cleaned[[#This Row],[payment_date]],"mmm-yyyy")</f>
        <v>Aug-2024</v>
      </c>
      <c r="E297" s="2">
        <v>364.39</v>
      </c>
      <c r="F297" t="s">
        <v>4694</v>
      </c>
      <c r="G297" s="2">
        <v>34.96</v>
      </c>
    </row>
    <row r="298" spans="1:7" x14ac:dyDescent="0.35">
      <c r="A298" t="s">
        <v>4991</v>
      </c>
      <c r="B298" t="s">
        <v>1071</v>
      </c>
      <c r="C298" s="1">
        <v>45341</v>
      </c>
      <c r="D298" s="1" t="str">
        <f>TEXT(Payments_Cleaned[[#This Row],[payment_date]],"mmm-yyyy")</f>
        <v>Feb-2024</v>
      </c>
      <c r="E298" s="2">
        <v>797.98</v>
      </c>
      <c r="F298" t="s">
        <v>4694</v>
      </c>
      <c r="G298" s="2">
        <v>222.45</v>
      </c>
    </row>
    <row r="299" spans="1:7" x14ac:dyDescent="0.35">
      <c r="A299" t="s">
        <v>4992</v>
      </c>
      <c r="B299" t="s">
        <v>1072</v>
      </c>
      <c r="C299" s="1">
        <v>45180</v>
      </c>
      <c r="D299" s="1" t="str">
        <f>TEXT(Payments_Cleaned[[#This Row],[payment_date]],"mmm-yyyy")</f>
        <v>Sep-2023</v>
      </c>
      <c r="E299" s="2">
        <v>658.44</v>
      </c>
      <c r="F299" t="s">
        <v>4694</v>
      </c>
      <c r="G299" s="2">
        <v>62.94</v>
      </c>
    </row>
    <row r="300" spans="1:7" x14ac:dyDescent="0.35">
      <c r="A300" t="s">
        <v>4993</v>
      </c>
      <c r="B300" t="s">
        <v>1073</v>
      </c>
      <c r="C300" s="1">
        <v>45167</v>
      </c>
      <c r="D300" s="1" t="str">
        <f>TEXT(Payments_Cleaned[[#This Row],[payment_date]],"mmm-yyyy")</f>
        <v>Aug-2023</v>
      </c>
      <c r="E300" s="2">
        <v>294.64999999999998</v>
      </c>
      <c r="F300" t="s">
        <v>4694</v>
      </c>
      <c r="G300" s="2">
        <v>146.58000000000001</v>
      </c>
    </row>
    <row r="301" spans="1:7" x14ac:dyDescent="0.35">
      <c r="A301" t="s">
        <v>4994</v>
      </c>
      <c r="B301" t="s">
        <v>1074</v>
      </c>
      <c r="C301" s="1">
        <v>45080</v>
      </c>
      <c r="D301" s="1" t="str">
        <f>TEXT(Payments_Cleaned[[#This Row],[payment_date]],"mmm-yyyy")</f>
        <v>Jun-2023</v>
      </c>
      <c r="E301" s="2">
        <v>343.01</v>
      </c>
      <c r="F301" t="s">
        <v>4694</v>
      </c>
      <c r="G301" s="2">
        <v>21.91</v>
      </c>
    </row>
    <row r="302" spans="1:7" x14ac:dyDescent="0.35">
      <c r="A302" t="s">
        <v>4995</v>
      </c>
      <c r="B302" t="s">
        <v>1075</v>
      </c>
      <c r="C302" s="1">
        <v>45578</v>
      </c>
      <c r="D302" s="1" t="str">
        <f>TEXT(Payments_Cleaned[[#This Row],[payment_date]],"mmm-yyyy")</f>
        <v>Oct-2024</v>
      </c>
      <c r="E302" s="2">
        <v>380.52</v>
      </c>
      <c r="F302" t="s">
        <v>4694</v>
      </c>
      <c r="G302" s="2">
        <v>24.31</v>
      </c>
    </row>
    <row r="303" spans="1:7" x14ac:dyDescent="0.35">
      <c r="A303" t="s">
        <v>4996</v>
      </c>
      <c r="B303" t="s">
        <v>1078</v>
      </c>
      <c r="C303" s="1">
        <v>45350</v>
      </c>
      <c r="D303" s="1" t="str">
        <f>TEXT(Payments_Cleaned[[#This Row],[payment_date]],"mmm-yyyy")</f>
        <v>Feb-2024</v>
      </c>
      <c r="E303" s="2">
        <v>37.92</v>
      </c>
      <c r="F303" t="s">
        <v>4694</v>
      </c>
      <c r="G303" s="2">
        <v>18.010000000000002</v>
      </c>
    </row>
    <row r="304" spans="1:7" x14ac:dyDescent="0.35">
      <c r="A304" t="s">
        <v>4997</v>
      </c>
      <c r="B304" t="s">
        <v>1079</v>
      </c>
      <c r="C304" s="1">
        <v>45404</v>
      </c>
      <c r="D304" s="1" t="str">
        <f>TEXT(Payments_Cleaned[[#This Row],[payment_date]],"mmm-yyyy")</f>
        <v>Apr-2024</v>
      </c>
      <c r="E304" s="2">
        <v>145.81</v>
      </c>
      <c r="F304" t="s">
        <v>4694</v>
      </c>
      <c r="G304" s="2">
        <v>37.39</v>
      </c>
    </row>
    <row r="305" spans="1:7" x14ac:dyDescent="0.35">
      <c r="A305" t="s">
        <v>4998</v>
      </c>
      <c r="B305" t="s">
        <v>1080</v>
      </c>
      <c r="C305" s="1">
        <v>45561</v>
      </c>
      <c r="D305" s="1" t="str">
        <f>TEXT(Payments_Cleaned[[#This Row],[payment_date]],"mmm-yyyy")</f>
        <v>Sep-2024</v>
      </c>
      <c r="E305" s="2">
        <v>105.66</v>
      </c>
      <c r="F305" t="s">
        <v>4694</v>
      </c>
      <c r="G305" s="2">
        <v>11.21</v>
      </c>
    </row>
    <row r="306" spans="1:7" x14ac:dyDescent="0.35">
      <c r="A306" t="s">
        <v>4999</v>
      </c>
      <c r="B306" t="s">
        <v>1081</v>
      </c>
      <c r="C306" s="1">
        <v>45296</v>
      </c>
      <c r="D306" s="1" t="str">
        <f>TEXT(Payments_Cleaned[[#This Row],[payment_date]],"mmm-yyyy")</f>
        <v>Jan-2024</v>
      </c>
      <c r="E306" s="2">
        <v>84.56</v>
      </c>
      <c r="F306" t="s">
        <v>4694</v>
      </c>
      <c r="G306" s="2">
        <v>36.590000000000003</v>
      </c>
    </row>
    <row r="307" spans="1:7" x14ac:dyDescent="0.35">
      <c r="A307" t="s">
        <v>5000</v>
      </c>
      <c r="B307" t="s">
        <v>1082</v>
      </c>
      <c r="C307" s="1">
        <v>45529</v>
      </c>
      <c r="D307" s="1" t="str">
        <f>TEXT(Payments_Cleaned[[#This Row],[payment_date]],"mmm-yyyy")</f>
        <v>Aug-2024</v>
      </c>
      <c r="E307" s="2">
        <v>1961.6</v>
      </c>
      <c r="F307" t="s">
        <v>4694</v>
      </c>
      <c r="G307" s="2">
        <v>156.11000000000001</v>
      </c>
    </row>
    <row r="308" spans="1:7" x14ac:dyDescent="0.35">
      <c r="A308" t="s">
        <v>5001</v>
      </c>
      <c r="B308" t="s">
        <v>1084</v>
      </c>
      <c r="C308" s="1">
        <v>45101</v>
      </c>
      <c r="D308" s="1" t="str">
        <f>TEXT(Payments_Cleaned[[#This Row],[payment_date]],"mmm-yyyy")</f>
        <v>Jun-2023</v>
      </c>
      <c r="E308" s="2">
        <v>486.47</v>
      </c>
      <c r="F308" t="s">
        <v>4694</v>
      </c>
      <c r="G308" s="2">
        <v>84.99</v>
      </c>
    </row>
    <row r="309" spans="1:7" x14ac:dyDescent="0.35">
      <c r="A309" t="s">
        <v>5002</v>
      </c>
      <c r="B309" t="s">
        <v>1089</v>
      </c>
      <c r="C309" s="1">
        <v>45621</v>
      </c>
      <c r="D309" s="1" t="str">
        <f>TEXT(Payments_Cleaned[[#This Row],[payment_date]],"mmm-yyyy")</f>
        <v>Nov-2024</v>
      </c>
      <c r="E309" s="2">
        <v>4164.8999999999996</v>
      </c>
      <c r="F309" t="s">
        <v>4694</v>
      </c>
      <c r="G309" s="2">
        <v>174.84</v>
      </c>
    </row>
    <row r="310" spans="1:7" x14ac:dyDescent="0.35">
      <c r="A310" t="s">
        <v>5003</v>
      </c>
      <c r="B310" t="s">
        <v>1090</v>
      </c>
      <c r="C310" s="1">
        <v>45498</v>
      </c>
      <c r="D310" s="1" t="str">
        <f>TEXT(Payments_Cleaned[[#This Row],[payment_date]],"mmm-yyyy")</f>
        <v>Jul-2024</v>
      </c>
      <c r="E310" s="2">
        <v>283.27</v>
      </c>
      <c r="F310" t="s">
        <v>4694</v>
      </c>
      <c r="G310" s="2">
        <v>32.72</v>
      </c>
    </row>
    <row r="311" spans="1:7" x14ac:dyDescent="0.35">
      <c r="A311" t="s">
        <v>5004</v>
      </c>
      <c r="B311" t="s">
        <v>1091</v>
      </c>
      <c r="C311" s="1">
        <v>45443</v>
      </c>
      <c r="D311" s="1" t="str">
        <f>TEXT(Payments_Cleaned[[#This Row],[payment_date]],"mmm-yyyy")</f>
        <v>May-2024</v>
      </c>
      <c r="E311" s="2">
        <v>1945.64</v>
      </c>
      <c r="F311" t="s">
        <v>4694</v>
      </c>
      <c r="G311" s="2">
        <v>697.36</v>
      </c>
    </row>
    <row r="312" spans="1:7" x14ac:dyDescent="0.35">
      <c r="A312" t="s">
        <v>5005</v>
      </c>
      <c r="B312" t="s">
        <v>1092</v>
      </c>
      <c r="C312" s="1">
        <v>45553</v>
      </c>
      <c r="D312" s="1" t="str">
        <f>TEXT(Payments_Cleaned[[#This Row],[payment_date]],"mmm-yyyy")</f>
        <v>Sep-2024</v>
      </c>
      <c r="E312" s="2">
        <v>178.29</v>
      </c>
      <c r="F312" t="s">
        <v>4694</v>
      </c>
      <c r="G312" s="2">
        <v>19.36</v>
      </c>
    </row>
    <row r="313" spans="1:7" x14ac:dyDescent="0.35">
      <c r="A313" t="s">
        <v>5006</v>
      </c>
      <c r="B313" t="s">
        <v>1093</v>
      </c>
      <c r="C313" s="1">
        <v>45242</v>
      </c>
      <c r="D313" s="1" t="str">
        <f>TEXT(Payments_Cleaned[[#This Row],[payment_date]],"mmm-yyyy")</f>
        <v>Nov-2023</v>
      </c>
      <c r="E313" s="2">
        <v>278.72000000000003</v>
      </c>
      <c r="F313" t="s">
        <v>4694</v>
      </c>
      <c r="G313" s="2">
        <v>151.04</v>
      </c>
    </row>
    <row r="314" spans="1:7" x14ac:dyDescent="0.35">
      <c r="A314" t="s">
        <v>5007</v>
      </c>
      <c r="B314" t="s">
        <v>1094</v>
      </c>
      <c r="C314" s="1">
        <v>45384</v>
      </c>
      <c r="D314" s="1" t="str">
        <f>TEXT(Payments_Cleaned[[#This Row],[payment_date]],"mmm-yyyy")</f>
        <v>Apr-2024</v>
      </c>
      <c r="E314" s="2">
        <v>516.71</v>
      </c>
      <c r="F314" t="s">
        <v>4694</v>
      </c>
      <c r="G314" s="2">
        <v>168.32</v>
      </c>
    </row>
    <row r="315" spans="1:7" x14ac:dyDescent="0.35">
      <c r="A315" t="s">
        <v>5008</v>
      </c>
      <c r="B315" t="s">
        <v>1095</v>
      </c>
      <c r="C315" s="1">
        <v>45225</v>
      </c>
      <c r="D315" s="1" t="str">
        <f>TEXT(Payments_Cleaned[[#This Row],[payment_date]],"mmm-yyyy")</f>
        <v>Oct-2023</v>
      </c>
      <c r="E315" s="2">
        <v>656.01</v>
      </c>
      <c r="F315" t="s">
        <v>4694</v>
      </c>
      <c r="G315" s="2">
        <v>99.78</v>
      </c>
    </row>
    <row r="316" spans="1:7" x14ac:dyDescent="0.35">
      <c r="A316" t="s">
        <v>5009</v>
      </c>
      <c r="B316" t="s">
        <v>1096</v>
      </c>
      <c r="C316" s="1">
        <v>45108</v>
      </c>
      <c r="D316" s="1" t="str">
        <f>TEXT(Payments_Cleaned[[#This Row],[payment_date]],"mmm-yyyy")</f>
        <v>Jul-2023</v>
      </c>
      <c r="E316" s="2">
        <v>48.72</v>
      </c>
      <c r="F316" t="s">
        <v>4694</v>
      </c>
      <c r="G316" s="2">
        <v>7.67</v>
      </c>
    </row>
    <row r="317" spans="1:7" x14ac:dyDescent="0.35">
      <c r="A317" t="s">
        <v>5010</v>
      </c>
      <c r="B317" t="s">
        <v>1097</v>
      </c>
      <c r="C317" s="1">
        <v>45554</v>
      </c>
      <c r="D317" s="1" t="str">
        <f>TEXT(Payments_Cleaned[[#This Row],[payment_date]],"mmm-yyyy")</f>
        <v>Sep-2024</v>
      </c>
      <c r="E317" s="2">
        <v>1865.15</v>
      </c>
      <c r="F317" t="s">
        <v>4694</v>
      </c>
      <c r="G317" s="2">
        <v>799.91</v>
      </c>
    </row>
    <row r="318" spans="1:7" x14ac:dyDescent="0.35">
      <c r="A318" t="s">
        <v>5011</v>
      </c>
      <c r="B318" t="s">
        <v>1099</v>
      </c>
      <c r="C318" s="1">
        <v>45629</v>
      </c>
      <c r="D318" s="1" t="str">
        <f>TEXT(Payments_Cleaned[[#This Row],[payment_date]],"mmm-yyyy")</f>
        <v>Dec-2024</v>
      </c>
      <c r="E318" s="2">
        <v>1850.16</v>
      </c>
      <c r="F318" t="s">
        <v>4694</v>
      </c>
      <c r="G318" s="2">
        <v>337.58</v>
      </c>
    </row>
    <row r="319" spans="1:7" x14ac:dyDescent="0.35">
      <c r="A319" t="s">
        <v>5012</v>
      </c>
      <c r="B319" t="s">
        <v>1100</v>
      </c>
      <c r="C319" s="1">
        <v>45017</v>
      </c>
      <c r="D319" s="1" t="str">
        <f>TEXT(Payments_Cleaned[[#This Row],[payment_date]],"mmm-yyyy")</f>
        <v>Apr-2023</v>
      </c>
      <c r="E319" s="2">
        <v>1181.5</v>
      </c>
      <c r="F319" t="s">
        <v>4694</v>
      </c>
      <c r="G319" s="2">
        <v>213.78</v>
      </c>
    </row>
    <row r="320" spans="1:7" x14ac:dyDescent="0.35">
      <c r="A320" t="s">
        <v>5013</v>
      </c>
      <c r="B320" t="s">
        <v>1101</v>
      </c>
      <c r="C320" s="1">
        <v>45571</v>
      </c>
      <c r="D320" s="1" t="str">
        <f>TEXT(Payments_Cleaned[[#This Row],[payment_date]],"mmm-yyyy")</f>
        <v>Oct-2024</v>
      </c>
      <c r="E320" s="2">
        <v>1034.78</v>
      </c>
      <c r="F320" t="s">
        <v>4694</v>
      </c>
      <c r="G320" s="2">
        <v>464.64</v>
      </c>
    </row>
    <row r="321" spans="1:7" x14ac:dyDescent="0.35">
      <c r="A321" t="s">
        <v>5014</v>
      </c>
      <c r="B321" t="s">
        <v>1102</v>
      </c>
      <c r="C321" s="1">
        <v>45402</v>
      </c>
      <c r="D321" s="1" t="str">
        <f>TEXT(Payments_Cleaned[[#This Row],[payment_date]],"mmm-yyyy")</f>
        <v>Apr-2024</v>
      </c>
      <c r="E321" s="2">
        <v>1632.24</v>
      </c>
      <c r="F321" t="s">
        <v>4694</v>
      </c>
      <c r="G321" s="2">
        <v>367.79</v>
      </c>
    </row>
    <row r="322" spans="1:7" x14ac:dyDescent="0.35">
      <c r="A322" t="s">
        <v>5015</v>
      </c>
      <c r="B322" t="s">
        <v>1103</v>
      </c>
      <c r="C322" s="1">
        <v>45234</v>
      </c>
      <c r="D322" s="1" t="str">
        <f>TEXT(Payments_Cleaned[[#This Row],[payment_date]],"mmm-yyyy")</f>
        <v>Nov-2023</v>
      </c>
      <c r="E322" s="2">
        <v>658.43</v>
      </c>
      <c r="F322" t="s">
        <v>4694</v>
      </c>
      <c r="G322" s="2">
        <v>102.04</v>
      </c>
    </row>
    <row r="323" spans="1:7" x14ac:dyDescent="0.35">
      <c r="A323" t="s">
        <v>5016</v>
      </c>
      <c r="B323" t="s">
        <v>1105</v>
      </c>
      <c r="C323" s="1">
        <v>45236</v>
      </c>
      <c r="D323" s="1" t="str">
        <f>TEXT(Payments_Cleaned[[#This Row],[payment_date]],"mmm-yyyy")</f>
        <v>Nov-2023</v>
      </c>
      <c r="E323" s="2">
        <v>672.31</v>
      </c>
      <c r="F323" t="s">
        <v>4694</v>
      </c>
      <c r="G323" s="2">
        <v>177.87</v>
      </c>
    </row>
    <row r="324" spans="1:7" x14ac:dyDescent="0.35">
      <c r="A324" t="s">
        <v>5017</v>
      </c>
      <c r="B324" t="s">
        <v>1106</v>
      </c>
      <c r="C324" s="1">
        <v>45124</v>
      </c>
      <c r="D324" s="1" t="str">
        <f>TEXT(Payments_Cleaned[[#This Row],[payment_date]],"mmm-yyyy")</f>
        <v>Jul-2023</v>
      </c>
      <c r="E324" s="2">
        <v>267.88</v>
      </c>
      <c r="F324" t="s">
        <v>4694</v>
      </c>
      <c r="G324" s="2">
        <v>98.26</v>
      </c>
    </row>
    <row r="325" spans="1:7" x14ac:dyDescent="0.35">
      <c r="A325" t="s">
        <v>5018</v>
      </c>
      <c r="B325" t="s">
        <v>1108</v>
      </c>
      <c r="C325" s="1">
        <v>45678</v>
      </c>
      <c r="D325" s="1" t="str">
        <f>TEXT(Payments_Cleaned[[#This Row],[payment_date]],"mmm-yyyy")</f>
        <v>Jan-2025</v>
      </c>
      <c r="E325" s="2">
        <v>1469.51</v>
      </c>
      <c r="F325" t="s">
        <v>4697</v>
      </c>
      <c r="G325" s="2">
        <v>543.17999999999995</v>
      </c>
    </row>
    <row r="326" spans="1:7" x14ac:dyDescent="0.35">
      <c r="A326" t="s">
        <v>5019</v>
      </c>
      <c r="B326" t="s">
        <v>1109</v>
      </c>
      <c r="C326" s="1">
        <v>45028</v>
      </c>
      <c r="D326" s="1" t="str">
        <f>TEXT(Payments_Cleaned[[#This Row],[payment_date]],"mmm-yyyy")</f>
        <v>Apr-2023</v>
      </c>
      <c r="E326" s="2">
        <v>358.76</v>
      </c>
      <c r="F326" t="s">
        <v>4694</v>
      </c>
      <c r="G326" s="2">
        <v>147.08000000000001</v>
      </c>
    </row>
    <row r="327" spans="1:7" x14ac:dyDescent="0.35">
      <c r="A327" t="s">
        <v>5020</v>
      </c>
      <c r="B327" t="s">
        <v>1110</v>
      </c>
      <c r="C327" s="1">
        <v>45024</v>
      </c>
      <c r="D327" s="1" t="str">
        <f>TEXT(Payments_Cleaned[[#This Row],[payment_date]],"mmm-yyyy")</f>
        <v>Apr-2023</v>
      </c>
      <c r="E327" s="2">
        <v>3263.08</v>
      </c>
      <c r="F327" t="s">
        <v>4694</v>
      </c>
      <c r="G327" s="2">
        <v>552.03</v>
      </c>
    </row>
    <row r="328" spans="1:7" x14ac:dyDescent="0.35">
      <c r="A328" t="s">
        <v>5021</v>
      </c>
      <c r="B328" t="s">
        <v>1111</v>
      </c>
      <c r="C328" s="1">
        <v>45601</v>
      </c>
      <c r="D328" s="1" t="str">
        <f>TEXT(Payments_Cleaned[[#This Row],[payment_date]],"mmm-yyyy")</f>
        <v>Nov-2024</v>
      </c>
      <c r="E328" s="2">
        <v>553.15</v>
      </c>
      <c r="F328" t="s">
        <v>4694</v>
      </c>
      <c r="G328" s="2">
        <v>187.11</v>
      </c>
    </row>
    <row r="329" spans="1:7" x14ac:dyDescent="0.35">
      <c r="A329" t="s">
        <v>5022</v>
      </c>
      <c r="B329" t="s">
        <v>1112</v>
      </c>
      <c r="C329" s="1">
        <v>45309</v>
      </c>
      <c r="D329" s="1" t="str">
        <f>TEXT(Payments_Cleaned[[#This Row],[payment_date]],"mmm-yyyy")</f>
        <v>Jan-2024</v>
      </c>
      <c r="E329" s="2">
        <v>143.08000000000001</v>
      </c>
      <c r="F329" t="s">
        <v>4694</v>
      </c>
      <c r="G329" s="2">
        <v>39.880000000000003</v>
      </c>
    </row>
    <row r="330" spans="1:7" x14ac:dyDescent="0.35">
      <c r="A330" t="s">
        <v>5023</v>
      </c>
      <c r="B330" t="s">
        <v>1113</v>
      </c>
      <c r="C330" s="1">
        <v>45604</v>
      </c>
      <c r="D330" s="1" t="str">
        <f>TEXT(Payments_Cleaned[[#This Row],[payment_date]],"mmm-yyyy")</f>
        <v>Nov-2024</v>
      </c>
      <c r="E330" s="2">
        <v>3941.27</v>
      </c>
      <c r="F330" t="s">
        <v>4694</v>
      </c>
      <c r="G330" s="2">
        <v>1325.75</v>
      </c>
    </row>
    <row r="331" spans="1:7" x14ac:dyDescent="0.35">
      <c r="A331" t="s">
        <v>5024</v>
      </c>
      <c r="B331" t="s">
        <v>1114</v>
      </c>
      <c r="C331" s="1">
        <v>45483</v>
      </c>
      <c r="D331" s="1" t="str">
        <f>TEXT(Payments_Cleaned[[#This Row],[payment_date]],"mmm-yyyy")</f>
        <v>Jul-2024</v>
      </c>
      <c r="E331" s="2">
        <v>3505.56</v>
      </c>
      <c r="F331" t="s">
        <v>4694</v>
      </c>
      <c r="G331" s="2">
        <v>1454.15</v>
      </c>
    </row>
    <row r="332" spans="1:7" x14ac:dyDescent="0.35">
      <c r="A332" t="s">
        <v>5025</v>
      </c>
      <c r="B332" t="s">
        <v>1115</v>
      </c>
      <c r="C332" s="1">
        <v>45370</v>
      </c>
      <c r="D332" s="1" t="str">
        <f>TEXT(Payments_Cleaned[[#This Row],[payment_date]],"mmm-yyyy")</f>
        <v>Mar-2024</v>
      </c>
      <c r="E332" s="2">
        <v>267.7</v>
      </c>
      <c r="F332" t="s">
        <v>4694</v>
      </c>
      <c r="G332" s="2">
        <v>19.600000000000001</v>
      </c>
    </row>
    <row r="333" spans="1:7" x14ac:dyDescent="0.35">
      <c r="A333" t="s">
        <v>5026</v>
      </c>
      <c r="B333" t="s">
        <v>1118</v>
      </c>
      <c r="C333" s="1">
        <v>45641</v>
      </c>
      <c r="D333" s="1" t="str">
        <f>TEXT(Payments_Cleaned[[#This Row],[payment_date]],"mmm-yyyy")</f>
        <v>Dec-2024</v>
      </c>
      <c r="E333" s="2">
        <v>33.380000000000003</v>
      </c>
      <c r="F333" t="s">
        <v>4694</v>
      </c>
      <c r="G333" s="2">
        <v>15.12</v>
      </c>
    </row>
    <row r="334" spans="1:7" x14ac:dyDescent="0.35">
      <c r="A334" t="s">
        <v>5027</v>
      </c>
      <c r="B334" t="s">
        <v>1119</v>
      </c>
      <c r="C334" s="1">
        <v>45421</v>
      </c>
      <c r="D334" s="1" t="str">
        <f>TEXT(Payments_Cleaned[[#This Row],[payment_date]],"mmm-yyyy")</f>
        <v>May-2024</v>
      </c>
      <c r="E334" s="2">
        <v>144.93</v>
      </c>
      <c r="F334" t="s">
        <v>4694</v>
      </c>
      <c r="G334" s="2">
        <v>37.200000000000003</v>
      </c>
    </row>
    <row r="335" spans="1:7" x14ac:dyDescent="0.35">
      <c r="A335" t="s">
        <v>5028</v>
      </c>
      <c r="B335" t="s">
        <v>1120</v>
      </c>
      <c r="C335" s="1">
        <v>45250</v>
      </c>
      <c r="D335" s="1" t="str">
        <f>TEXT(Payments_Cleaned[[#This Row],[payment_date]],"mmm-yyyy")</f>
        <v>Nov-2023</v>
      </c>
      <c r="E335" s="2">
        <v>324.64</v>
      </c>
      <c r="F335" t="s">
        <v>4694</v>
      </c>
      <c r="G335" s="2">
        <v>173.57</v>
      </c>
    </row>
    <row r="336" spans="1:7" x14ac:dyDescent="0.35">
      <c r="A336" t="s">
        <v>5029</v>
      </c>
      <c r="B336" t="s">
        <v>1121</v>
      </c>
      <c r="C336" s="1">
        <v>45227</v>
      </c>
      <c r="D336" s="1" t="str">
        <f>TEXT(Payments_Cleaned[[#This Row],[payment_date]],"mmm-yyyy")</f>
        <v>Oct-2023</v>
      </c>
      <c r="E336" s="2">
        <v>88.63</v>
      </c>
      <c r="F336" t="s">
        <v>4694</v>
      </c>
      <c r="G336" s="2">
        <v>22.4</v>
      </c>
    </row>
    <row r="337" spans="1:7" x14ac:dyDescent="0.35">
      <c r="A337" t="s">
        <v>5030</v>
      </c>
      <c r="B337" t="s">
        <v>1122</v>
      </c>
      <c r="C337" s="1">
        <v>45298</v>
      </c>
      <c r="D337" s="1" t="str">
        <f>TEXT(Payments_Cleaned[[#This Row],[payment_date]],"mmm-yyyy")</f>
        <v>Jan-2024</v>
      </c>
      <c r="E337" s="2">
        <v>261.91000000000003</v>
      </c>
      <c r="F337" t="s">
        <v>4694</v>
      </c>
      <c r="G337" s="2">
        <v>23.57</v>
      </c>
    </row>
    <row r="338" spans="1:7" x14ac:dyDescent="0.35">
      <c r="A338" t="s">
        <v>5031</v>
      </c>
      <c r="B338" t="s">
        <v>1123</v>
      </c>
      <c r="C338" s="1">
        <v>45631</v>
      </c>
      <c r="D338" s="1" t="str">
        <f>TEXT(Payments_Cleaned[[#This Row],[payment_date]],"mmm-yyyy")</f>
        <v>Dec-2024</v>
      </c>
      <c r="E338" s="2">
        <v>195.61</v>
      </c>
      <c r="F338" t="s">
        <v>4694</v>
      </c>
      <c r="G338" s="2">
        <v>82.08</v>
      </c>
    </row>
    <row r="339" spans="1:7" x14ac:dyDescent="0.35">
      <c r="A339" t="s">
        <v>5032</v>
      </c>
      <c r="B339" t="s">
        <v>1124</v>
      </c>
      <c r="C339" s="1">
        <v>45351</v>
      </c>
      <c r="D339" s="1" t="str">
        <f>TEXT(Payments_Cleaned[[#This Row],[payment_date]],"mmm-yyyy")</f>
        <v>Feb-2024</v>
      </c>
      <c r="E339" s="2">
        <v>46.25</v>
      </c>
      <c r="F339" t="s">
        <v>4694</v>
      </c>
      <c r="G339" s="2">
        <v>12.97</v>
      </c>
    </row>
    <row r="340" spans="1:7" x14ac:dyDescent="0.35">
      <c r="A340" t="s">
        <v>5033</v>
      </c>
      <c r="B340" t="s">
        <v>1125</v>
      </c>
      <c r="C340" s="1">
        <v>45025</v>
      </c>
      <c r="D340" s="1" t="str">
        <f>TEXT(Payments_Cleaned[[#This Row],[payment_date]],"mmm-yyyy")</f>
        <v>Apr-2023</v>
      </c>
      <c r="E340" s="2">
        <v>367.79</v>
      </c>
      <c r="F340" t="s">
        <v>4694</v>
      </c>
      <c r="G340" s="2">
        <v>155.71</v>
      </c>
    </row>
    <row r="341" spans="1:7" x14ac:dyDescent="0.35">
      <c r="A341" t="s">
        <v>5034</v>
      </c>
      <c r="B341" t="s">
        <v>1126</v>
      </c>
      <c r="C341" s="1">
        <v>45613</v>
      </c>
      <c r="D341" s="1" t="str">
        <f>TEXT(Payments_Cleaned[[#This Row],[payment_date]],"mmm-yyyy")</f>
        <v>Nov-2024</v>
      </c>
      <c r="E341" s="2">
        <v>166.85</v>
      </c>
      <c r="F341" t="s">
        <v>4694</v>
      </c>
      <c r="G341" s="2">
        <v>42.61</v>
      </c>
    </row>
    <row r="342" spans="1:7" x14ac:dyDescent="0.35">
      <c r="A342" t="s">
        <v>5035</v>
      </c>
      <c r="B342" t="s">
        <v>1128</v>
      </c>
      <c r="C342" s="1">
        <v>45312</v>
      </c>
      <c r="D342" s="1" t="str">
        <f>TEXT(Payments_Cleaned[[#This Row],[payment_date]],"mmm-yyyy")</f>
        <v>Jan-2024</v>
      </c>
      <c r="E342" s="2">
        <v>446.38</v>
      </c>
      <c r="F342" t="s">
        <v>4694</v>
      </c>
      <c r="G342" s="2">
        <v>64.05</v>
      </c>
    </row>
    <row r="343" spans="1:7" x14ac:dyDescent="0.35">
      <c r="A343" t="s">
        <v>5036</v>
      </c>
      <c r="B343" t="s">
        <v>1129</v>
      </c>
      <c r="C343" s="1">
        <v>45176</v>
      </c>
      <c r="D343" s="1" t="str">
        <f>TEXT(Payments_Cleaned[[#This Row],[payment_date]],"mmm-yyyy")</f>
        <v>Sep-2023</v>
      </c>
      <c r="E343" s="2">
        <v>682.54</v>
      </c>
      <c r="F343" t="s">
        <v>4694</v>
      </c>
      <c r="G343" s="2">
        <v>171.02</v>
      </c>
    </row>
    <row r="344" spans="1:7" x14ac:dyDescent="0.35">
      <c r="A344" t="s">
        <v>5037</v>
      </c>
      <c r="B344" t="s">
        <v>1131</v>
      </c>
      <c r="C344" s="1">
        <v>45677</v>
      </c>
      <c r="D344" s="1" t="str">
        <f>TEXT(Payments_Cleaned[[#This Row],[payment_date]],"mmm-yyyy")</f>
        <v>Jan-2025</v>
      </c>
      <c r="E344" s="2">
        <v>500.01</v>
      </c>
      <c r="F344" t="s">
        <v>4694</v>
      </c>
      <c r="G344" s="2">
        <v>185.06</v>
      </c>
    </row>
    <row r="345" spans="1:7" x14ac:dyDescent="0.35">
      <c r="A345" t="s">
        <v>5038</v>
      </c>
      <c r="B345" t="s">
        <v>1132</v>
      </c>
      <c r="C345" s="1">
        <v>45028</v>
      </c>
      <c r="D345" s="1" t="str">
        <f>TEXT(Payments_Cleaned[[#This Row],[payment_date]],"mmm-yyyy")</f>
        <v>Apr-2023</v>
      </c>
      <c r="E345" s="2">
        <v>883.36</v>
      </c>
      <c r="F345" t="s">
        <v>4694</v>
      </c>
      <c r="G345" s="2">
        <v>122.4</v>
      </c>
    </row>
    <row r="346" spans="1:7" x14ac:dyDescent="0.35">
      <c r="A346" t="s">
        <v>5039</v>
      </c>
      <c r="B346" t="s">
        <v>1133</v>
      </c>
      <c r="C346" s="1">
        <v>45462</v>
      </c>
      <c r="D346" s="1" t="str">
        <f>TEXT(Payments_Cleaned[[#This Row],[payment_date]],"mmm-yyyy")</f>
        <v>Jun-2024</v>
      </c>
      <c r="E346" s="2">
        <v>4042.69</v>
      </c>
      <c r="F346" t="s">
        <v>4694</v>
      </c>
      <c r="G346" s="2">
        <v>1818.6</v>
      </c>
    </row>
    <row r="347" spans="1:7" x14ac:dyDescent="0.35">
      <c r="A347" t="s">
        <v>5040</v>
      </c>
      <c r="B347" t="s">
        <v>1134</v>
      </c>
      <c r="C347" s="1">
        <v>45593</v>
      </c>
      <c r="D347" s="1" t="str">
        <f>TEXT(Payments_Cleaned[[#This Row],[payment_date]],"mmm-yyyy")</f>
        <v>Oct-2024</v>
      </c>
      <c r="E347" s="2">
        <v>1677.13</v>
      </c>
      <c r="F347" t="s">
        <v>4697</v>
      </c>
      <c r="G347" s="2">
        <v>258.10000000000002</v>
      </c>
    </row>
    <row r="348" spans="1:7" x14ac:dyDescent="0.35">
      <c r="A348" t="s">
        <v>5041</v>
      </c>
      <c r="B348" t="s">
        <v>1135</v>
      </c>
      <c r="C348" s="1">
        <v>45582</v>
      </c>
      <c r="D348" s="1" t="str">
        <f>TEXT(Payments_Cleaned[[#This Row],[payment_date]],"mmm-yyyy")</f>
        <v>Oct-2024</v>
      </c>
      <c r="E348" s="2">
        <v>510.73</v>
      </c>
      <c r="F348" t="s">
        <v>4694</v>
      </c>
      <c r="G348" s="2">
        <v>258.12</v>
      </c>
    </row>
    <row r="349" spans="1:7" x14ac:dyDescent="0.35">
      <c r="A349" t="s">
        <v>5042</v>
      </c>
      <c r="B349" t="s">
        <v>1136</v>
      </c>
      <c r="C349" s="1">
        <v>45559</v>
      </c>
      <c r="D349" s="1" t="str">
        <f>TEXT(Payments_Cleaned[[#This Row],[payment_date]],"mmm-yyyy")</f>
        <v>Sep-2024</v>
      </c>
      <c r="E349" s="2">
        <v>2658.12</v>
      </c>
      <c r="F349" t="s">
        <v>4694</v>
      </c>
      <c r="G349" s="2">
        <v>831.73</v>
      </c>
    </row>
    <row r="350" spans="1:7" x14ac:dyDescent="0.35">
      <c r="A350" t="s">
        <v>5043</v>
      </c>
      <c r="B350" t="s">
        <v>1137</v>
      </c>
      <c r="C350" s="1">
        <v>45602</v>
      </c>
      <c r="D350" s="1" t="str">
        <f>TEXT(Payments_Cleaned[[#This Row],[payment_date]],"mmm-yyyy")</f>
        <v>Nov-2024</v>
      </c>
      <c r="E350" s="2">
        <v>83.67</v>
      </c>
      <c r="F350" t="s">
        <v>4694</v>
      </c>
      <c r="G350" s="2">
        <v>28.83</v>
      </c>
    </row>
    <row r="351" spans="1:7" x14ac:dyDescent="0.35">
      <c r="A351" t="s">
        <v>5044</v>
      </c>
      <c r="B351" t="s">
        <v>1138</v>
      </c>
      <c r="C351" s="1">
        <v>45089</v>
      </c>
      <c r="D351" s="1" t="str">
        <f>TEXT(Payments_Cleaned[[#This Row],[payment_date]],"mmm-yyyy")</f>
        <v>Jun-2023</v>
      </c>
      <c r="E351" s="2">
        <v>270.58</v>
      </c>
      <c r="F351" t="s">
        <v>4694</v>
      </c>
      <c r="G351" s="2">
        <v>72.16</v>
      </c>
    </row>
    <row r="352" spans="1:7" x14ac:dyDescent="0.35">
      <c r="A352" t="s">
        <v>5045</v>
      </c>
      <c r="B352" t="s">
        <v>1139</v>
      </c>
      <c r="C352" s="1">
        <v>45209</v>
      </c>
      <c r="D352" s="1" t="str">
        <f>TEXT(Payments_Cleaned[[#This Row],[payment_date]],"mmm-yyyy")</f>
        <v>Oct-2023</v>
      </c>
      <c r="E352" s="2">
        <v>403.03</v>
      </c>
      <c r="F352" t="s">
        <v>4694</v>
      </c>
      <c r="G352" s="2">
        <v>139.15</v>
      </c>
    </row>
    <row r="353" spans="1:7" x14ac:dyDescent="0.35">
      <c r="A353" t="s">
        <v>5046</v>
      </c>
      <c r="B353" t="s">
        <v>1140</v>
      </c>
      <c r="C353" s="1">
        <v>45655</v>
      </c>
      <c r="D353" s="1" t="str">
        <f>TEXT(Payments_Cleaned[[#This Row],[payment_date]],"mmm-yyyy")</f>
        <v>Dec-2024</v>
      </c>
      <c r="E353" s="2">
        <v>836.67</v>
      </c>
      <c r="F353" t="s">
        <v>4694</v>
      </c>
      <c r="G353" s="2">
        <v>81.17</v>
      </c>
    </row>
    <row r="354" spans="1:7" x14ac:dyDescent="0.35">
      <c r="A354" t="s">
        <v>5047</v>
      </c>
      <c r="B354" t="s">
        <v>1141</v>
      </c>
      <c r="C354" s="1">
        <v>44977</v>
      </c>
      <c r="D354" s="1" t="str">
        <f>TEXT(Payments_Cleaned[[#This Row],[payment_date]],"mmm-yyyy")</f>
        <v>Feb-2023</v>
      </c>
      <c r="E354" s="2">
        <v>222.59</v>
      </c>
      <c r="F354" t="s">
        <v>4694</v>
      </c>
      <c r="G354" s="2">
        <v>128.24</v>
      </c>
    </row>
    <row r="355" spans="1:7" x14ac:dyDescent="0.35">
      <c r="A355" t="s">
        <v>5048</v>
      </c>
      <c r="B355" t="s">
        <v>1142</v>
      </c>
      <c r="C355" s="1">
        <v>45425</v>
      </c>
      <c r="D355" s="1" t="str">
        <f>TEXT(Payments_Cleaned[[#This Row],[payment_date]],"mmm-yyyy")</f>
        <v>May-2024</v>
      </c>
      <c r="E355" s="2">
        <v>966.07</v>
      </c>
      <c r="F355" t="s">
        <v>4694</v>
      </c>
      <c r="G355" s="2">
        <v>349.7</v>
      </c>
    </row>
    <row r="356" spans="1:7" x14ac:dyDescent="0.35">
      <c r="A356" t="s">
        <v>5049</v>
      </c>
      <c r="B356" t="s">
        <v>1143</v>
      </c>
      <c r="C356" s="1">
        <v>45040</v>
      </c>
      <c r="D356" s="1" t="str">
        <f>TEXT(Payments_Cleaned[[#This Row],[payment_date]],"mmm-yyyy")</f>
        <v>Apr-2023</v>
      </c>
      <c r="E356" s="2">
        <v>2864.85</v>
      </c>
      <c r="F356" t="s">
        <v>4694</v>
      </c>
      <c r="G356" s="2">
        <v>1366.62</v>
      </c>
    </row>
    <row r="357" spans="1:7" x14ac:dyDescent="0.35">
      <c r="A357" t="s">
        <v>5050</v>
      </c>
      <c r="B357" t="s">
        <v>1144</v>
      </c>
      <c r="C357" s="1">
        <v>45384</v>
      </c>
      <c r="D357" s="1" t="str">
        <f>TEXT(Payments_Cleaned[[#This Row],[payment_date]],"mmm-yyyy")</f>
        <v>Apr-2024</v>
      </c>
      <c r="E357" s="2">
        <v>104.64</v>
      </c>
      <c r="F357" t="s">
        <v>4694</v>
      </c>
      <c r="G357" s="2">
        <v>25.53</v>
      </c>
    </row>
    <row r="358" spans="1:7" x14ac:dyDescent="0.35">
      <c r="A358" t="s">
        <v>5051</v>
      </c>
      <c r="B358" t="s">
        <v>1145</v>
      </c>
      <c r="C358" s="1">
        <v>45637</v>
      </c>
      <c r="D358" s="1" t="str">
        <f>TEXT(Payments_Cleaned[[#This Row],[payment_date]],"mmm-yyyy")</f>
        <v>Dec-2024</v>
      </c>
      <c r="E358" s="2">
        <v>1637.64</v>
      </c>
      <c r="F358" t="s">
        <v>4694</v>
      </c>
      <c r="G358" s="2">
        <v>308.47000000000003</v>
      </c>
    </row>
    <row r="359" spans="1:7" x14ac:dyDescent="0.35">
      <c r="A359" t="s">
        <v>5052</v>
      </c>
      <c r="B359" t="s">
        <v>1146</v>
      </c>
      <c r="C359" s="1">
        <v>45232</v>
      </c>
      <c r="D359" s="1" t="str">
        <f>TEXT(Payments_Cleaned[[#This Row],[payment_date]],"mmm-yyyy")</f>
        <v>Nov-2023</v>
      </c>
      <c r="E359" s="2">
        <v>1464.25</v>
      </c>
      <c r="F359" t="s">
        <v>4697</v>
      </c>
      <c r="G359" s="2">
        <v>78.91</v>
      </c>
    </row>
    <row r="360" spans="1:7" x14ac:dyDescent="0.35">
      <c r="A360" t="s">
        <v>5053</v>
      </c>
      <c r="B360" t="s">
        <v>1148</v>
      </c>
      <c r="C360" s="1">
        <v>45552</v>
      </c>
      <c r="D360" s="1" t="str">
        <f>TEXT(Payments_Cleaned[[#This Row],[payment_date]],"mmm-yyyy")</f>
        <v>Sep-2024</v>
      </c>
      <c r="E360" s="2">
        <v>107.17</v>
      </c>
      <c r="F360" t="s">
        <v>4697</v>
      </c>
      <c r="G360" s="2">
        <v>16.59</v>
      </c>
    </row>
    <row r="361" spans="1:7" x14ac:dyDescent="0.35">
      <c r="A361" t="s">
        <v>5054</v>
      </c>
      <c r="B361" t="s">
        <v>1149</v>
      </c>
      <c r="C361" s="1">
        <v>45450</v>
      </c>
      <c r="D361" s="1" t="str">
        <f>TEXT(Payments_Cleaned[[#This Row],[payment_date]],"mmm-yyyy")</f>
        <v>Jun-2024</v>
      </c>
      <c r="E361" s="2">
        <v>1621.32</v>
      </c>
      <c r="F361" t="s">
        <v>4694</v>
      </c>
      <c r="G361" s="2">
        <v>415.32</v>
      </c>
    </row>
    <row r="362" spans="1:7" x14ac:dyDescent="0.35">
      <c r="A362" t="s">
        <v>5055</v>
      </c>
      <c r="B362" t="s">
        <v>1150</v>
      </c>
      <c r="C362" s="1">
        <v>45524</v>
      </c>
      <c r="D362" s="1" t="str">
        <f>TEXT(Payments_Cleaned[[#This Row],[payment_date]],"mmm-yyyy")</f>
        <v>Aug-2024</v>
      </c>
      <c r="E362" s="2">
        <v>131.66999999999999</v>
      </c>
      <c r="F362" t="s">
        <v>4694</v>
      </c>
      <c r="G362" s="2">
        <v>33.700000000000003</v>
      </c>
    </row>
    <row r="363" spans="1:7" x14ac:dyDescent="0.35">
      <c r="A363" t="s">
        <v>5056</v>
      </c>
      <c r="B363" t="s">
        <v>1151</v>
      </c>
      <c r="C363" s="1">
        <v>45444</v>
      </c>
      <c r="D363" s="1" t="str">
        <f>TEXT(Payments_Cleaned[[#This Row],[payment_date]],"mmm-yyyy")</f>
        <v>Jun-2024</v>
      </c>
      <c r="E363" s="2">
        <v>1080.1300000000001</v>
      </c>
      <c r="F363" t="s">
        <v>4694</v>
      </c>
      <c r="G363" s="2">
        <v>393.64</v>
      </c>
    </row>
    <row r="364" spans="1:7" x14ac:dyDescent="0.35">
      <c r="A364" t="s">
        <v>5057</v>
      </c>
      <c r="B364" t="s">
        <v>1152</v>
      </c>
      <c r="C364" s="1">
        <v>45638</v>
      </c>
      <c r="D364" s="1" t="str">
        <f>TEXT(Payments_Cleaned[[#This Row],[payment_date]],"mmm-yyyy")</f>
        <v>Dec-2024</v>
      </c>
      <c r="E364" s="2">
        <v>560.80999999999995</v>
      </c>
      <c r="F364" t="s">
        <v>4694</v>
      </c>
      <c r="G364" s="2">
        <v>90.46</v>
      </c>
    </row>
    <row r="365" spans="1:7" x14ac:dyDescent="0.35">
      <c r="A365" t="s">
        <v>5058</v>
      </c>
      <c r="B365" t="s">
        <v>1153</v>
      </c>
      <c r="C365" s="1">
        <v>45299</v>
      </c>
      <c r="D365" s="1" t="str">
        <f>TEXT(Payments_Cleaned[[#This Row],[payment_date]],"mmm-yyyy")</f>
        <v>Jan-2024</v>
      </c>
      <c r="E365" s="2">
        <v>401.14</v>
      </c>
      <c r="F365" t="s">
        <v>4694</v>
      </c>
      <c r="G365" s="2">
        <v>100.71</v>
      </c>
    </row>
    <row r="366" spans="1:7" x14ac:dyDescent="0.35">
      <c r="A366" t="s">
        <v>5059</v>
      </c>
      <c r="B366" t="s">
        <v>1155</v>
      </c>
      <c r="C366" s="1">
        <v>45242</v>
      </c>
      <c r="D366" s="1" t="str">
        <f>TEXT(Payments_Cleaned[[#This Row],[payment_date]],"mmm-yyyy")</f>
        <v>Nov-2023</v>
      </c>
      <c r="E366" s="2">
        <v>333.17</v>
      </c>
      <c r="F366" t="s">
        <v>4694</v>
      </c>
      <c r="G366" s="2">
        <v>86.58</v>
      </c>
    </row>
    <row r="367" spans="1:7" x14ac:dyDescent="0.35">
      <c r="A367" t="s">
        <v>5060</v>
      </c>
      <c r="B367" t="s">
        <v>1156</v>
      </c>
      <c r="C367" s="1">
        <v>45626</v>
      </c>
      <c r="D367" s="1" t="str">
        <f>TEXT(Payments_Cleaned[[#This Row],[payment_date]],"mmm-yyyy")</f>
        <v>Nov-2024</v>
      </c>
      <c r="E367" s="2">
        <v>618.41</v>
      </c>
      <c r="F367" t="s">
        <v>4694</v>
      </c>
      <c r="G367" s="2">
        <v>316.66000000000003</v>
      </c>
    </row>
    <row r="368" spans="1:7" x14ac:dyDescent="0.35">
      <c r="A368" t="s">
        <v>5061</v>
      </c>
      <c r="B368" t="s">
        <v>1157</v>
      </c>
      <c r="C368" s="1">
        <v>45147</v>
      </c>
      <c r="D368" s="1" t="str">
        <f>TEXT(Payments_Cleaned[[#This Row],[payment_date]],"mmm-yyyy")</f>
        <v>Aug-2023</v>
      </c>
      <c r="E368" s="2">
        <v>46.87</v>
      </c>
      <c r="F368" t="s">
        <v>4694</v>
      </c>
      <c r="G368" s="2">
        <v>11.21</v>
      </c>
    </row>
    <row r="369" spans="1:7" x14ac:dyDescent="0.35">
      <c r="A369" t="s">
        <v>5062</v>
      </c>
      <c r="B369" t="s">
        <v>1158</v>
      </c>
      <c r="C369" s="1">
        <v>45394</v>
      </c>
      <c r="D369" s="1" t="str">
        <f>TEXT(Payments_Cleaned[[#This Row],[payment_date]],"mmm-yyyy")</f>
        <v>Apr-2024</v>
      </c>
      <c r="E369" s="2">
        <v>1480.25</v>
      </c>
      <c r="F369" t="s">
        <v>4694</v>
      </c>
      <c r="G369" s="2">
        <v>336.12</v>
      </c>
    </row>
    <row r="370" spans="1:7" x14ac:dyDescent="0.35">
      <c r="A370" t="s">
        <v>5063</v>
      </c>
      <c r="B370" t="s">
        <v>1159</v>
      </c>
      <c r="C370" s="1">
        <v>45279</v>
      </c>
      <c r="D370" s="1" t="str">
        <f>TEXT(Payments_Cleaned[[#This Row],[payment_date]],"mmm-yyyy")</f>
        <v>Dec-2023</v>
      </c>
      <c r="E370" s="2">
        <v>4350.95</v>
      </c>
      <c r="F370" t="s">
        <v>4694</v>
      </c>
      <c r="G370" s="2">
        <v>2195.7399999999998</v>
      </c>
    </row>
    <row r="371" spans="1:7" x14ac:dyDescent="0.35">
      <c r="A371" t="s">
        <v>5064</v>
      </c>
      <c r="B371" t="s">
        <v>1162</v>
      </c>
      <c r="C371" s="1">
        <v>45674</v>
      </c>
      <c r="D371" s="1" t="str">
        <f>TEXT(Payments_Cleaned[[#This Row],[payment_date]],"mmm-yyyy")</f>
        <v>Jan-2025</v>
      </c>
      <c r="E371" s="2">
        <v>5409.99</v>
      </c>
      <c r="F371" t="s">
        <v>4694</v>
      </c>
      <c r="G371" s="2">
        <v>2444.52</v>
      </c>
    </row>
    <row r="372" spans="1:7" x14ac:dyDescent="0.35">
      <c r="A372" t="s">
        <v>5065</v>
      </c>
      <c r="B372" t="s">
        <v>1163</v>
      </c>
      <c r="C372" s="1">
        <v>45435</v>
      </c>
      <c r="D372" s="1" t="str">
        <f>TEXT(Payments_Cleaned[[#This Row],[payment_date]],"mmm-yyyy")</f>
        <v>May-2024</v>
      </c>
      <c r="E372" s="2">
        <v>689.02</v>
      </c>
      <c r="F372" t="s">
        <v>4694</v>
      </c>
      <c r="G372" s="2">
        <v>53.35</v>
      </c>
    </row>
    <row r="373" spans="1:7" x14ac:dyDescent="0.35">
      <c r="A373" t="s">
        <v>5066</v>
      </c>
      <c r="B373" t="s">
        <v>1165</v>
      </c>
      <c r="C373" s="1">
        <v>44981</v>
      </c>
      <c r="D373" s="1" t="str">
        <f>TEXT(Payments_Cleaned[[#This Row],[payment_date]],"mmm-yyyy")</f>
        <v>Feb-2023</v>
      </c>
      <c r="E373" s="2">
        <v>79.069999999999993</v>
      </c>
      <c r="F373" t="s">
        <v>4694</v>
      </c>
      <c r="G373" s="2">
        <v>43.69</v>
      </c>
    </row>
    <row r="374" spans="1:7" x14ac:dyDescent="0.35">
      <c r="A374" t="s">
        <v>5067</v>
      </c>
      <c r="B374" t="s">
        <v>1166</v>
      </c>
      <c r="C374" s="1">
        <v>45267</v>
      </c>
      <c r="D374" s="1" t="str">
        <f>TEXT(Payments_Cleaned[[#This Row],[payment_date]],"mmm-yyyy")</f>
        <v>Dec-2023</v>
      </c>
      <c r="E374" s="2">
        <v>4063.82</v>
      </c>
      <c r="F374" t="s">
        <v>4694</v>
      </c>
      <c r="G374" s="2">
        <v>713.02</v>
      </c>
    </row>
    <row r="375" spans="1:7" x14ac:dyDescent="0.35">
      <c r="A375" t="s">
        <v>5068</v>
      </c>
      <c r="B375" t="s">
        <v>1167</v>
      </c>
      <c r="C375" s="1">
        <v>45315</v>
      </c>
      <c r="D375" s="1" t="str">
        <f>TEXT(Payments_Cleaned[[#This Row],[payment_date]],"mmm-yyyy")</f>
        <v>Jan-2024</v>
      </c>
      <c r="E375" s="2">
        <v>1732.14</v>
      </c>
      <c r="F375" t="s">
        <v>4694</v>
      </c>
      <c r="G375" s="2">
        <v>148.94999999999999</v>
      </c>
    </row>
    <row r="376" spans="1:7" x14ac:dyDescent="0.35">
      <c r="A376" t="s">
        <v>5069</v>
      </c>
      <c r="B376" t="s">
        <v>1169</v>
      </c>
      <c r="C376" s="1">
        <v>45400</v>
      </c>
      <c r="D376" s="1" t="str">
        <f>TEXT(Payments_Cleaned[[#This Row],[payment_date]],"mmm-yyyy")</f>
        <v>Apr-2024</v>
      </c>
      <c r="E376" s="2">
        <v>1321.41</v>
      </c>
      <c r="F376" t="s">
        <v>4694</v>
      </c>
      <c r="G376" s="2">
        <v>107.14</v>
      </c>
    </row>
    <row r="377" spans="1:7" x14ac:dyDescent="0.35">
      <c r="A377" t="s">
        <v>5070</v>
      </c>
      <c r="B377" t="s">
        <v>1172</v>
      </c>
      <c r="C377" s="1">
        <v>45537</v>
      </c>
      <c r="D377" s="1" t="str">
        <f>TEXT(Payments_Cleaned[[#This Row],[payment_date]],"mmm-yyyy")</f>
        <v>Sep-2024</v>
      </c>
      <c r="E377" s="2">
        <v>298.61</v>
      </c>
      <c r="F377" t="s">
        <v>4694</v>
      </c>
      <c r="G377" s="2">
        <v>50.22</v>
      </c>
    </row>
    <row r="378" spans="1:7" x14ac:dyDescent="0.35">
      <c r="A378" t="s">
        <v>5071</v>
      </c>
      <c r="B378" t="s">
        <v>1173</v>
      </c>
      <c r="C378" s="1">
        <v>45152</v>
      </c>
      <c r="D378" s="1" t="str">
        <f>TEXT(Payments_Cleaned[[#This Row],[payment_date]],"mmm-yyyy")</f>
        <v>Aug-2023</v>
      </c>
      <c r="E378" s="2">
        <v>6756.48</v>
      </c>
      <c r="F378" t="s">
        <v>4694</v>
      </c>
      <c r="G378" s="2">
        <v>560.26</v>
      </c>
    </row>
    <row r="379" spans="1:7" x14ac:dyDescent="0.35">
      <c r="A379" t="s">
        <v>5072</v>
      </c>
      <c r="B379" t="s">
        <v>1175</v>
      </c>
      <c r="C379" s="1">
        <v>45484</v>
      </c>
      <c r="D379" s="1" t="str">
        <f>TEXT(Payments_Cleaned[[#This Row],[payment_date]],"mmm-yyyy")</f>
        <v>Jul-2024</v>
      </c>
      <c r="E379" s="2">
        <v>495.94</v>
      </c>
      <c r="F379" t="s">
        <v>4694</v>
      </c>
      <c r="G379" s="2">
        <v>54.38</v>
      </c>
    </row>
    <row r="380" spans="1:7" x14ac:dyDescent="0.35">
      <c r="A380" t="s">
        <v>5073</v>
      </c>
      <c r="B380" t="s">
        <v>1176</v>
      </c>
      <c r="C380" s="1">
        <v>45596</v>
      </c>
      <c r="D380" s="1" t="str">
        <f>TEXT(Payments_Cleaned[[#This Row],[payment_date]],"mmm-yyyy")</f>
        <v>Oct-2024</v>
      </c>
      <c r="E380" s="2">
        <v>82.14</v>
      </c>
      <c r="F380" t="s">
        <v>4694</v>
      </c>
      <c r="G380" s="2">
        <v>27.16</v>
      </c>
    </row>
    <row r="381" spans="1:7" x14ac:dyDescent="0.35">
      <c r="A381" t="s">
        <v>5074</v>
      </c>
      <c r="B381" t="s">
        <v>1177</v>
      </c>
      <c r="C381" s="1">
        <v>44999</v>
      </c>
      <c r="D381" s="1" t="str">
        <f>TEXT(Payments_Cleaned[[#This Row],[payment_date]],"mmm-yyyy")</f>
        <v>Mar-2023</v>
      </c>
      <c r="E381" s="2">
        <v>83.87</v>
      </c>
      <c r="F381" t="s">
        <v>4694</v>
      </c>
      <c r="G381" s="2">
        <v>25.53</v>
      </c>
    </row>
    <row r="382" spans="1:7" x14ac:dyDescent="0.35">
      <c r="A382" t="s">
        <v>5075</v>
      </c>
      <c r="B382" t="s">
        <v>1178</v>
      </c>
      <c r="C382" s="1">
        <v>45586</v>
      </c>
      <c r="D382" s="1" t="str">
        <f>TEXT(Payments_Cleaned[[#This Row],[payment_date]],"mmm-yyyy")</f>
        <v>Oct-2024</v>
      </c>
      <c r="E382" s="2">
        <v>166.6</v>
      </c>
      <c r="F382" t="s">
        <v>4694</v>
      </c>
      <c r="G382" s="2">
        <v>43.41</v>
      </c>
    </row>
    <row r="383" spans="1:7" x14ac:dyDescent="0.35">
      <c r="A383" t="s">
        <v>5076</v>
      </c>
      <c r="B383" t="s">
        <v>1179</v>
      </c>
      <c r="C383" s="1">
        <v>45380</v>
      </c>
      <c r="D383" s="1" t="str">
        <f>TEXT(Payments_Cleaned[[#This Row],[payment_date]],"mmm-yyyy")</f>
        <v>Mar-2024</v>
      </c>
      <c r="E383" s="2">
        <v>1658.39</v>
      </c>
      <c r="F383" t="s">
        <v>4694</v>
      </c>
      <c r="G383" s="2">
        <v>300.16000000000003</v>
      </c>
    </row>
    <row r="384" spans="1:7" x14ac:dyDescent="0.35">
      <c r="A384" t="s">
        <v>5077</v>
      </c>
      <c r="B384" t="s">
        <v>1180</v>
      </c>
      <c r="C384" s="1">
        <v>45182</v>
      </c>
      <c r="D384" s="1" t="str">
        <f>TEXT(Payments_Cleaned[[#This Row],[payment_date]],"mmm-yyyy")</f>
        <v>Sep-2023</v>
      </c>
      <c r="E384" s="2">
        <v>4853.03</v>
      </c>
      <c r="F384" t="s">
        <v>4694</v>
      </c>
      <c r="G384" s="2">
        <v>1118.3399999999999</v>
      </c>
    </row>
    <row r="385" spans="1:7" x14ac:dyDescent="0.35">
      <c r="A385" t="s">
        <v>5078</v>
      </c>
      <c r="B385" t="s">
        <v>1181</v>
      </c>
      <c r="C385" s="1">
        <v>45502</v>
      </c>
      <c r="D385" s="1" t="str">
        <f>TEXT(Payments_Cleaned[[#This Row],[payment_date]],"mmm-yyyy")</f>
        <v>Jul-2024</v>
      </c>
      <c r="E385" s="2">
        <v>4723.8999999999996</v>
      </c>
      <c r="F385" t="s">
        <v>4694</v>
      </c>
      <c r="G385" s="2">
        <v>1202.1500000000001</v>
      </c>
    </row>
    <row r="386" spans="1:7" x14ac:dyDescent="0.35">
      <c r="A386" t="s">
        <v>5079</v>
      </c>
      <c r="B386" t="s">
        <v>1183</v>
      </c>
      <c r="C386" s="1">
        <v>45476</v>
      </c>
      <c r="D386" s="1" t="str">
        <f>TEXT(Payments_Cleaned[[#This Row],[payment_date]],"mmm-yyyy")</f>
        <v>Jul-2024</v>
      </c>
      <c r="E386" s="2">
        <v>463.16</v>
      </c>
      <c r="F386" t="s">
        <v>4694</v>
      </c>
      <c r="G386" s="2">
        <v>224.92</v>
      </c>
    </row>
    <row r="387" spans="1:7" x14ac:dyDescent="0.35">
      <c r="A387" t="s">
        <v>5080</v>
      </c>
      <c r="B387" t="s">
        <v>1184</v>
      </c>
      <c r="C387" s="1">
        <v>45639</v>
      </c>
      <c r="D387" s="1" t="str">
        <f>TEXT(Payments_Cleaned[[#This Row],[payment_date]],"mmm-yyyy")</f>
        <v>Dec-2024</v>
      </c>
      <c r="E387" s="2">
        <v>89.57</v>
      </c>
      <c r="F387" t="s">
        <v>4697</v>
      </c>
      <c r="G387" s="2">
        <v>37.22</v>
      </c>
    </row>
    <row r="388" spans="1:7" x14ac:dyDescent="0.35">
      <c r="A388" t="s">
        <v>5081</v>
      </c>
      <c r="B388" t="s">
        <v>1185</v>
      </c>
      <c r="C388" s="1">
        <v>45134</v>
      </c>
      <c r="D388" s="1" t="str">
        <f>TEXT(Payments_Cleaned[[#This Row],[payment_date]],"mmm-yyyy")</f>
        <v>Jul-2023</v>
      </c>
      <c r="E388" s="2">
        <v>651.05999999999995</v>
      </c>
      <c r="F388" t="s">
        <v>4694</v>
      </c>
      <c r="G388" s="2">
        <v>89.21</v>
      </c>
    </row>
    <row r="389" spans="1:7" x14ac:dyDescent="0.35">
      <c r="A389" t="s">
        <v>5082</v>
      </c>
      <c r="B389" t="s">
        <v>1186</v>
      </c>
      <c r="C389" s="1">
        <v>45077</v>
      </c>
      <c r="D389" s="1" t="str">
        <f>TEXT(Payments_Cleaned[[#This Row],[payment_date]],"mmm-yyyy")</f>
        <v>May-2023</v>
      </c>
      <c r="E389" s="2">
        <v>175.94</v>
      </c>
      <c r="F389" t="s">
        <v>4694</v>
      </c>
      <c r="G389" s="2">
        <v>70.849999999999994</v>
      </c>
    </row>
    <row r="390" spans="1:7" x14ac:dyDescent="0.35">
      <c r="A390" t="s">
        <v>5083</v>
      </c>
      <c r="B390" t="s">
        <v>1187</v>
      </c>
      <c r="C390" s="1">
        <v>45414</v>
      </c>
      <c r="D390" s="1" t="str">
        <f>TEXT(Payments_Cleaned[[#This Row],[payment_date]],"mmm-yyyy")</f>
        <v>May-2024</v>
      </c>
      <c r="E390" s="2">
        <v>89.64</v>
      </c>
      <c r="F390" t="s">
        <v>4694</v>
      </c>
      <c r="G390" s="2">
        <v>8.17</v>
      </c>
    </row>
    <row r="391" spans="1:7" x14ac:dyDescent="0.35">
      <c r="A391" t="s">
        <v>5084</v>
      </c>
      <c r="B391" t="s">
        <v>1188</v>
      </c>
      <c r="C391" s="1">
        <v>45305</v>
      </c>
      <c r="D391" s="1" t="str">
        <f>TEXT(Payments_Cleaned[[#This Row],[payment_date]],"mmm-yyyy")</f>
        <v>Jan-2024</v>
      </c>
      <c r="E391" s="2">
        <v>1822.16</v>
      </c>
      <c r="F391" t="s">
        <v>4694</v>
      </c>
      <c r="G391" s="2">
        <v>378.89</v>
      </c>
    </row>
    <row r="392" spans="1:7" x14ac:dyDescent="0.35">
      <c r="A392" t="s">
        <v>5085</v>
      </c>
      <c r="B392" t="s">
        <v>1189</v>
      </c>
      <c r="C392" s="1">
        <v>45514</v>
      </c>
      <c r="D392" s="1" t="str">
        <f>TEXT(Payments_Cleaned[[#This Row],[payment_date]],"mmm-yyyy")</f>
        <v>Aug-2024</v>
      </c>
      <c r="E392" s="2">
        <v>5672.51</v>
      </c>
      <c r="F392" t="s">
        <v>4694</v>
      </c>
      <c r="G392" s="2">
        <v>1146.4000000000001</v>
      </c>
    </row>
    <row r="393" spans="1:7" x14ac:dyDescent="0.35">
      <c r="A393" t="s">
        <v>5086</v>
      </c>
      <c r="B393" t="s">
        <v>1190</v>
      </c>
      <c r="C393" s="1">
        <v>45379</v>
      </c>
      <c r="D393" s="1" t="str">
        <f>TEXT(Payments_Cleaned[[#This Row],[payment_date]],"mmm-yyyy")</f>
        <v>Mar-2024</v>
      </c>
      <c r="E393" s="2">
        <v>578.59</v>
      </c>
      <c r="F393" t="s">
        <v>4694</v>
      </c>
      <c r="G393" s="2">
        <v>106.12</v>
      </c>
    </row>
    <row r="394" spans="1:7" x14ac:dyDescent="0.35">
      <c r="A394" t="s">
        <v>5087</v>
      </c>
      <c r="B394" t="s">
        <v>1192</v>
      </c>
      <c r="C394" s="1">
        <v>45532</v>
      </c>
      <c r="D394" s="1" t="str">
        <f>TEXT(Payments_Cleaned[[#This Row],[payment_date]],"mmm-yyyy")</f>
        <v>Aug-2024</v>
      </c>
      <c r="E394" s="2">
        <v>305.43</v>
      </c>
      <c r="F394" t="s">
        <v>4694</v>
      </c>
      <c r="G394" s="2">
        <v>62.31</v>
      </c>
    </row>
    <row r="395" spans="1:7" x14ac:dyDescent="0.35">
      <c r="A395" t="s">
        <v>5088</v>
      </c>
      <c r="B395" t="s">
        <v>1195</v>
      </c>
      <c r="C395" s="1">
        <v>45115</v>
      </c>
      <c r="D395" s="1" t="str">
        <f>TEXT(Payments_Cleaned[[#This Row],[payment_date]],"mmm-yyyy")</f>
        <v>Jul-2023</v>
      </c>
      <c r="E395" s="2">
        <v>1918.45</v>
      </c>
      <c r="F395" t="s">
        <v>4694</v>
      </c>
      <c r="G395" s="2">
        <v>756.9</v>
      </c>
    </row>
    <row r="396" spans="1:7" x14ac:dyDescent="0.35">
      <c r="A396" t="s">
        <v>5089</v>
      </c>
      <c r="B396" t="s">
        <v>1198</v>
      </c>
      <c r="C396" s="1">
        <v>45537</v>
      </c>
      <c r="D396" s="1" t="str">
        <f>TEXT(Payments_Cleaned[[#This Row],[payment_date]],"mmm-yyyy")</f>
        <v>Sep-2024</v>
      </c>
      <c r="E396" s="2">
        <v>2629.01</v>
      </c>
      <c r="F396" t="s">
        <v>4694</v>
      </c>
      <c r="G396" s="2">
        <v>1041.0899999999999</v>
      </c>
    </row>
    <row r="397" spans="1:7" x14ac:dyDescent="0.35">
      <c r="A397" t="s">
        <v>5090</v>
      </c>
      <c r="B397" t="s">
        <v>1199</v>
      </c>
      <c r="C397" s="1">
        <v>45029</v>
      </c>
      <c r="D397" s="1" t="str">
        <f>TEXT(Payments_Cleaned[[#This Row],[payment_date]],"mmm-yyyy")</f>
        <v>Apr-2023</v>
      </c>
      <c r="E397" s="2">
        <v>640.04</v>
      </c>
      <c r="F397" t="s">
        <v>4694</v>
      </c>
      <c r="G397" s="2">
        <v>34.69</v>
      </c>
    </row>
    <row r="398" spans="1:7" x14ac:dyDescent="0.35">
      <c r="A398" t="s">
        <v>5091</v>
      </c>
      <c r="B398" t="s">
        <v>1200</v>
      </c>
      <c r="C398" s="1">
        <v>45211</v>
      </c>
      <c r="D398" s="1" t="str">
        <f>TEXT(Payments_Cleaned[[#This Row],[payment_date]],"mmm-yyyy")</f>
        <v>Oct-2023</v>
      </c>
      <c r="E398" s="2">
        <v>907.47</v>
      </c>
      <c r="F398" t="s">
        <v>4694</v>
      </c>
      <c r="G398" s="2">
        <v>73.38</v>
      </c>
    </row>
    <row r="399" spans="1:7" x14ac:dyDescent="0.35">
      <c r="A399" t="s">
        <v>5092</v>
      </c>
      <c r="B399" t="s">
        <v>1201</v>
      </c>
      <c r="C399" s="1">
        <v>45162</v>
      </c>
      <c r="D399" s="1" t="str">
        <f>TEXT(Payments_Cleaned[[#This Row],[payment_date]],"mmm-yyyy")</f>
        <v>Aug-2023</v>
      </c>
      <c r="E399" s="2">
        <v>1505.21</v>
      </c>
      <c r="F399" t="s">
        <v>4694</v>
      </c>
      <c r="G399" s="2">
        <v>880.93</v>
      </c>
    </row>
    <row r="400" spans="1:7" x14ac:dyDescent="0.35">
      <c r="A400" t="s">
        <v>5093</v>
      </c>
      <c r="B400" t="s">
        <v>1202</v>
      </c>
      <c r="C400" s="1">
        <v>45617</v>
      </c>
      <c r="D400" s="1" t="str">
        <f>TEXT(Payments_Cleaned[[#This Row],[payment_date]],"mmm-yyyy")</f>
        <v>Nov-2024</v>
      </c>
      <c r="E400" s="2">
        <v>157.5</v>
      </c>
      <c r="F400" t="s">
        <v>4697</v>
      </c>
      <c r="G400" s="2">
        <v>13.39</v>
      </c>
    </row>
    <row r="401" spans="1:7" x14ac:dyDescent="0.35">
      <c r="A401" t="s">
        <v>5094</v>
      </c>
      <c r="B401" t="s">
        <v>1203</v>
      </c>
      <c r="C401" s="1">
        <v>45692</v>
      </c>
      <c r="D401" s="1" t="str">
        <f>TEXT(Payments_Cleaned[[#This Row],[payment_date]],"mmm-yyyy")</f>
        <v>Feb-2025</v>
      </c>
      <c r="E401" s="2">
        <v>2834.86</v>
      </c>
      <c r="F401" t="s">
        <v>4694</v>
      </c>
      <c r="G401" s="2">
        <v>316.11</v>
      </c>
    </row>
    <row r="402" spans="1:7" x14ac:dyDescent="0.35">
      <c r="A402" t="s">
        <v>5095</v>
      </c>
      <c r="B402" t="s">
        <v>1204</v>
      </c>
      <c r="C402" s="1">
        <v>45508</v>
      </c>
      <c r="D402" s="1" t="str">
        <f>TEXT(Payments_Cleaned[[#This Row],[payment_date]],"mmm-yyyy")</f>
        <v>Aug-2024</v>
      </c>
      <c r="E402" s="2">
        <v>54.59</v>
      </c>
      <c r="F402" t="s">
        <v>4694</v>
      </c>
      <c r="G402" s="2">
        <v>4.59</v>
      </c>
    </row>
    <row r="403" spans="1:7" x14ac:dyDescent="0.35">
      <c r="A403" t="s">
        <v>5096</v>
      </c>
      <c r="B403" t="s">
        <v>1206</v>
      </c>
      <c r="C403" s="1">
        <v>45684</v>
      </c>
      <c r="D403" s="1" t="str">
        <f>TEXT(Payments_Cleaned[[#This Row],[payment_date]],"mmm-yyyy")</f>
        <v>Jan-2025</v>
      </c>
      <c r="E403" s="2">
        <v>102.92</v>
      </c>
      <c r="F403" t="s">
        <v>4694</v>
      </c>
      <c r="G403" s="2">
        <v>31.7</v>
      </c>
    </row>
    <row r="404" spans="1:7" x14ac:dyDescent="0.35">
      <c r="A404" t="s">
        <v>5097</v>
      </c>
      <c r="B404" t="s">
        <v>1207</v>
      </c>
      <c r="C404" s="1">
        <v>45239</v>
      </c>
      <c r="D404" s="1" t="str">
        <f>TEXT(Payments_Cleaned[[#This Row],[payment_date]],"mmm-yyyy")</f>
        <v>Nov-2023</v>
      </c>
      <c r="E404" s="2">
        <v>58.13</v>
      </c>
      <c r="F404" t="s">
        <v>4694</v>
      </c>
      <c r="G404" s="2">
        <v>2.88</v>
      </c>
    </row>
    <row r="405" spans="1:7" x14ac:dyDescent="0.35">
      <c r="A405" t="s">
        <v>5098</v>
      </c>
      <c r="B405" t="s">
        <v>1208</v>
      </c>
      <c r="C405" s="1">
        <v>45599</v>
      </c>
      <c r="D405" s="1" t="str">
        <f>TEXT(Payments_Cleaned[[#This Row],[payment_date]],"mmm-yyyy")</f>
        <v>Nov-2024</v>
      </c>
      <c r="E405" s="2">
        <v>143.29</v>
      </c>
      <c r="F405" t="s">
        <v>4694</v>
      </c>
      <c r="G405" s="2">
        <v>51.32</v>
      </c>
    </row>
    <row r="406" spans="1:7" x14ac:dyDescent="0.35">
      <c r="A406" t="s">
        <v>5099</v>
      </c>
      <c r="B406" t="s">
        <v>1209</v>
      </c>
      <c r="C406" s="1">
        <v>45423</v>
      </c>
      <c r="D406" s="1" t="str">
        <f>TEXT(Payments_Cleaned[[#This Row],[payment_date]],"mmm-yyyy")</f>
        <v>May-2024</v>
      </c>
      <c r="E406" s="2">
        <v>1377.83</v>
      </c>
      <c r="F406" t="s">
        <v>4694</v>
      </c>
      <c r="G406" s="2">
        <v>661.29</v>
      </c>
    </row>
    <row r="407" spans="1:7" x14ac:dyDescent="0.35">
      <c r="A407" t="s">
        <v>5100</v>
      </c>
      <c r="B407" t="s">
        <v>1210</v>
      </c>
      <c r="C407" s="1">
        <v>45343</v>
      </c>
      <c r="D407" s="1" t="str">
        <f>TEXT(Payments_Cleaned[[#This Row],[payment_date]],"mmm-yyyy")</f>
        <v>Feb-2024</v>
      </c>
      <c r="E407" s="2">
        <v>35.9</v>
      </c>
      <c r="F407" t="s">
        <v>4694</v>
      </c>
      <c r="G407" s="2">
        <v>10.48</v>
      </c>
    </row>
    <row r="408" spans="1:7" x14ac:dyDescent="0.35">
      <c r="A408" t="s">
        <v>5101</v>
      </c>
      <c r="B408" t="s">
        <v>1211</v>
      </c>
      <c r="C408" s="1">
        <v>45316</v>
      </c>
      <c r="D408" s="1" t="str">
        <f>TEXT(Payments_Cleaned[[#This Row],[payment_date]],"mmm-yyyy")</f>
        <v>Jan-2024</v>
      </c>
      <c r="E408" s="2">
        <v>3003.24</v>
      </c>
      <c r="F408" t="s">
        <v>4694</v>
      </c>
      <c r="G408" s="2">
        <v>886.36</v>
      </c>
    </row>
    <row r="409" spans="1:7" x14ac:dyDescent="0.35">
      <c r="A409" t="s">
        <v>5102</v>
      </c>
      <c r="B409" t="s">
        <v>1212</v>
      </c>
      <c r="C409" s="1">
        <v>45405</v>
      </c>
      <c r="D409" s="1" t="str">
        <f>TEXT(Payments_Cleaned[[#This Row],[payment_date]],"mmm-yyyy")</f>
        <v>Apr-2024</v>
      </c>
      <c r="E409" s="2">
        <v>498.57</v>
      </c>
      <c r="F409" t="s">
        <v>4694</v>
      </c>
      <c r="G409" s="2">
        <v>75.86</v>
      </c>
    </row>
    <row r="410" spans="1:7" x14ac:dyDescent="0.35">
      <c r="A410" t="s">
        <v>5103</v>
      </c>
      <c r="B410" t="s">
        <v>1215</v>
      </c>
      <c r="C410" s="1">
        <v>45579</v>
      </c>
      <c r="D410" s="1" t="str">
        <f>TEXT(Payments_Cleaned[[#This Row],[payment_date]],"mmm-yyyy")</f>
        <v>Oct-2024</v>
      </c>
      <c r="E410" s="2">
        <v>550.5</v>
      </c>
      <c r="F410" t="s">
        <v>4694</v>
      </c>
      <c r="G410" s="2">
        <v>33.700000000000003</v>
      </c>
    </row>
    <row r="411" spans="1:7" x14ac:dyDescent="0.35">
      <c r="A411" t="s">
        <v>5104</v>
      </c>
      <c r="B411" t="s">
        <v>1216</v>
      </c>
      <c r="C411" s="1">
        <v>45389</v>
      </c>
      <c r="D411" s="1" t="str">
        <f>TEXT(Payments_Cleaned[[#This Row],[payment_date]],"mmm-yyyy")</f>
        <v>Apr-2024</v>
      </c>
      <c r="E411" s="2">
        <v>146.69</v>
      </c>
      <c r="F411" t="s">
        <v>4694</v>
      </c>
      <c r="G411" s="2">
        <v>75.27</v>
      </c>
    </row>
    <row r="412" spans="1:7" x14ac:dyDescent="0.35">
      <c r="A412" t="s">
        <v>5105</v>
      </c>
      <c r="B412" t="s">
        <v>1217</v>
      </c>
      <c r="C412" s="1">
        <v>45106</v>
      </c>
      <c r="D412" s="1" t="str">
        <f>TEXT(Payments_Cleaned[[#This Row],[payment_date]],"mmm-yyyy")</f>
        <v>Jun-2023</v>
      </c>
      <c r="E412" s="2">
        <v>94.94</v>
      </c>
      <c r="F412" t="s">
        <v>4694</v>
      </c>
      <c r="G412" s="2">
        <v>20.25</v>
      </c>
    </row>
    <row r="413" spans="1:7" x14ac:dyDescent="0.35">
      <c r="A413" t="s">
        <v>5106</v>
      </c>
      <c r="B413" t="s">
        <v>1218</v>
      </c>
      <c r="C413" s="1">
        <v>45226</v>
      </c>
      <c r="D413" s="1" t="str">
        <f>TEXT(Payments_Cleaned[[#This Row],[payment_date]],"mmm-yyyy")</f>
        <v>Oct-2023</v>
      </c>
      <c r="E413" s="2">
        <v>925.45</v>
      </c>
      <c r="F413" t="s">
        <v>4694</v>
      </c>
      <c r="G413" s="2">
        <v>118.17</v>
      </c>
    </row>
    <row r="414" spans="1:7" x14ac:dyDescent="0.35">
      <c r="A414" t="s">
        <v>5107</v>
      </c>
      <c r="B414" t="s">
        <v>1219</v>
      </c>
      <c r="C414" s="1">
        <v>45386</v>
      </c>
      <c r="D414" s="1" t="str">
        <f>TEXT(Payments_Cleaned[[#This Row],[payment_date]],"mmm-yyyy")</f>
        <v>Apr-2024</v>
      </c>
      <c r="E414" s="2">
        <v>3346.65</v>
      </c>
      <c r="F414" t="s">
        <v>4694</v>
      </c>
      <c r="G414" s="2">
        <v>174.08</v>
      </c>
    </row>
    <row r="415" spans="1:7" x14ac:dyDescent="0.35">
      <c r="A415" t="s">
        <v>5108</v>
      </c>
      <c r="B415" t="s">
        <v>1221</v>
      </c>
      <c r="C415" s="1">
        <v>45605</v>
      </c>
      <c r="D415" s="1" t="str">
        <f>TEXT(Payments_Cleaned[[#This Row],[payment_date]],"mmm-yyyy")</f>
        <v>Nov-2024</v>
      </c>
      <c r="E415" s="2">
        <v>3653.66</v>
      </c>
      <c r="F415" t="s">
        <v>4694</v>
      </c>
      <c r="G415" s="2">
        <v>359.02</v>
      </c>
    </row>
    <row r="416" spans="1:7" x14ac:dyDescent="0.35">
      <c r="A416" t="s">
        <v>5109</v>
      </c>
      <c r="B416" t="s">
        <v>1222</v>
      </c>
      <c r="C416" s="1">
        <v>45644</v>
      </c>
      <c r="D416" s="1" t="str">
        <f>TEXT(Payments_Cleaned[[#This Row],[payment_date]],"mmm-yyyy")</f>
        <v>Dec-2024</v>
      </c>
      <c r="E416" s="2">
        <v>6840.51</v>
      </c>
      <c r="F416" t="s">
        <v>4694</v>
      </c>
      <c r="G416" s="2">
        <v>574.96</v>
      </c>
    </row>
    <row r="417" spans="1:7" x14ac:dyDescent="0.35">
      <c r="A417" t="s">
        <v>5110</v>
      </c>
      <c r="B417" t="s">
        <v>1223</v>
      </c>
      <c r="C417" s="1">
        <v>45002</v>
      </c>
      <c r="D417" s="1" t="str">
        <f>TEXT(Payments_Cleaned[[#This Row],[payment_date]],"mmm-yyyy")</f>
        <v>Mar-2023</v>
      </c>
      <c r="E417" s="2">
        <v>166.39</v>
      </c>
      <c r="F417" t="s">
        <v>4694</v>
      </c>
      <c r="G417" s="2">
        <v>22.58</v>
      </c>
    </row>
    <row r="418" spans="1:7" x14ac:dyDescent="0.35">
      <c r="A418" t="s">
        <v>5111</v>
      </c>
      <c r="B418" t="s">
        <v>1225</v>
      </c>
      <c r="C418" s="1">
        <v>45137</v>
      </c>
      <c r="D418" s="1" t="str">
        <f>TEXT(Payments_Cleaned[[#This Row],[payment_date]],"mmm-yyyy")</f>
        <v>Jul-2023</v>
      </c>
      <c r="E418" s="2">
        <v>961.22</v>
      </c>
      <c r="F418" t="s">
        <v>4694</v>
      </c>
      <c r="G418" s="2">
        <v>419.91</v>
      </c>
    </row>
    <row r="419" spans="1:7" x14ac:dyDescent="0.35">
      <c r="A419" t="s">
        <v>5112</v>
      </c>
      <c r="B419" t="s">
        <v>1226</v>
      </c>
      <c r="C419" s="1">
        <v>45107</v>
      </c>
      <c r="D419" s="1" t="str">
        <f>TEXT(Payments_Cleaned[[#This Row],[payment_date]],"mmm-yyyy")</f>
        <v>Jun-2023</v>
      </c>
      <c r="E419" s="2">
        <v>186.27</v>
      </c>
      <c r="F419" t="s">
        <v>4694</v>
      </c>
      <c r="G419" s="2">
        <v>46.12</v>
      </c>
    </row>
    <row r="420" spans="1:7" x14ac:dyDescent="0.35">
      <c r="A420" t="s">
        <v>5113</v>
      </c>
      <c r="B420" t="s">
        <v>1227</v>
      </c>
      <c r="C420" s="1">
        <v>45508</v>
      </c>
      <c r="D420" s="1" t="str">
        <f>TEXT(Payments_Cleaned[[#This Row],[payment_date]],"mmm-yyyy")</f>
        <v>Aug-2024</v>
      </c>
      <c r="E420" s="2">
        <v>146.47</v>
      </c>
      <c r="F420" t="s">
        <v>4694</v>
      </c>
      <c r="G420" s="2">
        <v>32.04</v>
      </c>
    </row>
    <row r="421" spans="1:7" x14ac:dyDescent="0.35">
      <c r="A421" t="s">
        <v>5114</v>
      </c>
      <c r="B421" t="s">
        <v>1229</v>
      </c>
      <c r="C421" s="1">
        <v>45561</v>
      </c>
      <c r="D421" s="1" t="str">
        <f>TEXT(Payments_Cleaned[[#This Row],[payment_date]],"mmm-yyyy")</f>
        <v>Sep-2024</v>
      </c>
      <c r="E421" s="2">
        <v>378.71</v>
      </c>
      <c r="F421" t="s">
        <v>4697</v>
      </c>
      <c r="G421" s="2">
        <v>45.54</v>
      </c>
    </row>
    <row r="422" spans="1:7" x14ac:dyDescent="0.35">
      <c r="A422" t="s">
        <v>5115</v>
      </c>
      <c r="B422" t="s">
        <v>1230</v>
      </c>
      <c r="C422" s="1">
        <v>45283</v>
      </c>
      <c r="D422" s="1" t="str">
        <f>TEXT(Payments_Cleaned[[#This Row],[payment_date]],"mmm-yyyy")</f>
        <v>Dec-2023</v>
      </c>
      <c r="E422" s="2">
        <v>117.92</v>
      </c>
      <c r="F422" t="s">
        <v>4694</v>
      </c>
      <c r="G422" s="2">
        <v>56.46</v>
      </c>
    </row>
    <row r="423" spans="1:7" x14ac:dyDescent="0.35">
      <c r="A423" t="s">
        <v>5116</v>
      </c>
      <c r="B423" t="s">
        <v>1232</v>
      </c>
      <c r="C423" s="1">
        <v>45294</v>
      </c>
      <c r="D423" s="1" t="str">
        <f>TEXT(Payments_Cleaned[[#This Row],[payment_date]],"mmm-yyyy")</f>
        <v>Jan-2024</v>
      </c>
      <c r="E423" s="2">
        <v>1553.33</v>
      </c>
      <c r="F423" t="s">
        <v>4694</v>
      </c>
      <c r="G423" s="2">
        <v>121.93</v>
      </c>
    </row>
    <row r="424" spans="1:7" x14ac:dyDescent="0.35">
      <c r="A424" t="s">
        <v>5117</v>
      </c>
      <c r="B424" t="s">
        <v>1236</v>
      </c>
      <c r="C424" s="1">
        <v>45198</v>
      </c>
      <c r="D424" s="1" t="str">
        <f>TEXT(Payments_Cleaned[[#This Row],[payment_date]],"mmm-yyyy")</f>
        <v>Sep-2023</v>
      </c>
      <c r="E424" s="2">
        <v>612.71</v>
      </c>
      <c r="F424" t="s">
        <v>4694</v>
      </c>
      <c r="G424" s="2">
        <v>58.48</v>
      </c>
    </row>
    <row r="425" spans="1:7" x14ac:dyDescent="0.35">
      <c r="A425" t="s">
        <v>5118</v>
      </c>
      <c r="B425" t="s">
        <v>1237</v>
      </c>
      <c r="C425" s="1">
        <v>45296</v>
      </c>
      <c r="D425" s="1" t="str">
        <f>TEXT(Payments_Cleaned[[#This Row],[payment_date]],"mmm-yyyy")</f>
        <v>Jan-2024</v>
      </c>
      <c r="E425" s="2">
        <v>1132.03</v>
      </c>
      <c r="F425" t="s">
        <v>4694</v>
      </c>
      <c r="G425" s="2">
        <v>66.64</v>
      </c>
    </row>
    <row r="426" spans="1:7" x14ac:dyDescent="0.35">
      <c r="A426" t="s">
        <v>5119</v>
      </c>
      <c r="B426" t="s">
        <v>1238</v>
      </c>
      <c r="C426" s="1">
        <v>45493</v>
      </c>
      <c r="D426" s="1" t="str">
        <f>TEXT(Payments_Cleaned[[#This Row],[payment_date]],"mmm-yyyy")</f>
        <v>Jul-2024</v>
      </c>
      <c r="E426" s="2">
        <v>482.01</v>
      </c>
      <c r="F426" t="s">
        <v>4694</v>
      </c>
      <c r="G426" s="2">
        <v>292.22000000000003</v>
      </c>
    </row>
    <row r="427" spans="1:7" x14ac:dyDescent="0.35">
      <c r="A427" t="s">
        <v>5120</v>
      </c>
      <c r="B427" t="s">
        <v>1240</v>
      </c>
      <c r="C427" s="1">
        <v>45481</v>
      </c>
      <c r="D427" s="1" t="str">
        <f>TEXT(Payments_Cleaned[[#This Row],[payment_date]],"mmm-yyyy")</f>
        <v>Jul-2024</v>
      </c>
      <c r="E427" s="2">
        <v>127.5</v>
      </c>
      <c r="F427" t="s">
        <v>4694</v>
      </c>
      <c r="G427" s="2">
        <v>10.7</v>
      </c>
    </row>
    <row r="428" spans="1:7" x14ac:dyDescent="0.35">
      <c r="A428" t="s">
        <v>5121</v>
      </c>
      <c r="B428" t="s">
        <v>1242</v>
      </c>
      <c r="C428" s="1">
        <v>45140</v>
      </c>
      <c r="D428" s="1" t="str">
        <f>TEXT(Payments_Cleaned[[#This Row],[payment_date]],"mmm-yyyy")</f>
        <v>Aug-2023</v>
      </c>
      <c r="E428" s="2">
        <v>579.84</v>
      </c>
      <c r="F428" t="s">
        <v>4694</v>
      </c>
      <c r="G428" s="2">
        <v>51.6</v>
      </c>
    </row>
    <row r="429" spans="1:7" x14ac:dyDescent="0.35">
      <c r="A429" t="s">
        <v>5122</v>
      </c>
      <c r="B429" t="s">
        <v>1243</v>
      </c>
      <c r="C429" s="1">
        <v>45009</v>
      </c>
      <c r="D429" s="1" t="str">
        <f>TEXT(Payments_Cleaned[[#This Row],[payment_date]],"mmm-yyyy")</f>
        <v>Mar-2023</v>
      </c>
      <c r="E429" s="2">
        <v>900.48</v>
      </c>
      <c r="F429" t="s">
        <v>4694</v>
      </c>
      <c r="G429" s="2">
        <v>481.5</v>
      </c>
    </row>
    <row r="430" spans="1:7" x14ac:dyDescent="0.35">
      <c r="A430" t="s">
        <v>5123</v>
      </c>
      <c r="B430" t="s">
        <v>1244</v>
      </c>
      <c r="C430" s="1">
        <v>45499</v>
      </c>
      <c r="D430" s="1" t="str">
        <f>TEXT(Payments_Cleaned[[#This Row],[payment_date]],"mmm-yyyy")</f>
        <v>Jul-2024</v>
      </c>
      <c r="E430" s="2">
        <v>718.84</v>
      </c>
      <c r="F430" t="s">
        <v>4694</v>
      </c>
      <c r="G430" s="2">
        <v>41.33</v>
      </c>
    </row>
    <row r="431" spans="1:7" x14ac:dyDescent="0.35">
      <c r="A431" t="s">
        <v>5124</v>
      </c>
      <c r="B431" t="s">
        <v>1246</v>
      </c>
      <c r="C431" s="1">
        <v>45679</v>
      </c>
      <c r="D431" s="1" t="str">
        <f>TEXT(Payments_Cleaned[[#This Row],[payment_date]],"mmm-yyyy")</f>
        <v>Jan-2025</v>
      </c>
      <c r="E431" s="2">
        <v>727.02</v>
      </c>
      <c r="F431" t="s">
        <v>4694</v>
      </c>
      <c r="G431" s="2">
        <v>363.79</v>
      </c>
    </row>
    <row r="432" spans="1:7" x14ac:dyDescent="0.35">
      <c r="A432" t="s">
        <v>5125</v>
      </c>
      <c r="B432" t="s">
        <v>1247</v>
      </c>
      <c r="C432" s="1">
        <v>45431</v>
      </c>
      <c r="D432" s="1" t="str">
        <f>TEXT(Payments_Cleaned[[#This Row],[payment_date]],"mmm-yyyy")</f>
        <v>May-2024</v>
      </c>
      <c r="E432" s="2">
        <v>502.11</v>
      </c>
      <c r="F432" t="s">
        <v>4694</v>
      </c>
      <c r="G432" s="2">
        <v>109.51</v>
      </c>
    </row>
    <row r="433" spans="1:7" x14ac:dyDescent="0.35">
      <c r="A433" t="s">
        <v>5126</v>
      </c>
      <c r="B433" t="s">
        <v>1249</v>
      </c>
      <c r="C433" s="1">
        <v>45286</v>
      </c>
      <c r="D433" s="1" t="str">
        <f>TEXT(Payments_Cleaned[[#This Row],[payment_date]],"mmm-yyyy")</f>
        <v>Dec-2023</v>
      </c>
      <c r="E433" s="2">
        <v>448.68</v>
      </c>
      <c r="F433" t="s">
        <v>4694</v>
      </c>
      <c r="G433" s="2">
        <v>36.94</v>
      </c>
    </row>
    <row r="434" spans="1:7" x14ac:dyDescent="0.35">
      <c r="A434" t="s">
        <v>5127</v>
      </c>
      <c r="B434" t="s">
        <v>1250</v>
      </c>
      <c r="C434" s="1">
        <v>45061</v>
      </c>
      <c r="D434" s="1" t="str">
        <f>TEXT(Payments_Cleaned[[#This Row],[payment_date]],"mmm-yyyy")</f>
        <v>May-2023</v>
      </c>
      <c r="E434" s="2">
        <v>43.14</v>
      </c>
      <c r="F434" t="s">
        <v>4697</v>
      </c>
      <c r="G434" s="2">
        <v>10.93</v>
      </c>
    </row>
    <row r="435" spans="1:7" x14ac:dyDescent="0.35">
      <c r="A435" t="s">
        <v>5128</v>
      </c>
      <c r="B435" t="s">
        <v>1251</v>
      </c>
      <c r="C435" s="1">
        <v>45518</v>
      </c>
      <c r="D435" s="1" t="str">
        <f>TEXT(Payments_Cleaned[[#This Row],[payment_date]],"mmm-yyyy")</f>
        <v>Aug-2024</v>
      </c>
      <c r="E435" s="2">
        <v>731.56</v>
      </c>
      <c r="F435" t="s">
        <v>4694</v>
      </c>
      <c r="G435" s="2">
        <v>115.98</v>
      </c>
    </row>
    <row r="436" spans="1:7" x14ac:dyDescent="0.35">
      <c r="A436" t="s">
        <v>5129</v>
      </c>
      <c r="B436" t="s">
        <v>1252</v>
      </c>
      <c r="C436" s="1">
        <v>45499</v>
      </c>
      <c r="D436" s="1" t="str">
        <f>TEXT(Payments_Cleaned[[#This Row],[payment_date]],"mmm-yyyy")</f>
        <v>Jul-2024</v>
      </c>
      <c r="E436" s="2">
        <v>414.35</v>
      </c>
      <c r="F436" t="s">
        <v>4694</v>
      </c>
      <c r="G436" s="2">
        <v>86.58</v>
      </c>
    </row>
    <row r="437" spans="1:7" x14ac:dyDescent="0.35">
      <c r="A437" t="s">
        <v>5130</v>
      </c>
      <c r="B437" t="s">
        <v>1253</v>
      </c>
      <c r="C437" s="1">
        <v>44962</v>
      </c>
      <c r="D437" s="1" t="str">
        <f>TEXT(Payments_Cleaned[[#This Row],[payment_date]],"mmm-yyyy")</f>
        <v>Feb-2023</v>
      </c>
      <c r="E437" s="2">
        <v>2215.9899999999998</v>
      </c>
      <c r="F437" t="s">
        <v>4694</v>
      </c>
      <c r="G437" s="2">
        <v>441</v>
      </c>
    </row>
    <row r="438" spans="1:7" x14ac:dyDescent="0.35">
      <c r="A438" t="s">
        <v>5131</v>
      </c>
      <c r="B438" t="s">
        <v>1255</v>
      </c>
      <c r="C438" s="1">
        <v>45580</v>
      </c>
      <c r="D438" s="1" t="str">
        <f>TEXT(Payments_Cleaned[[#This Row],[payment_date]],"mmm-yyyy")</f>
        <v>Oct-2024</v>
      </c>
      <c r="E438" s="2">
        <v>144.37</v>
      </c>
      <c r="F438" t="s">
        <v>4694</v>
      </c>
      <c r="G438" s="2">
        <v>77.150000000000006</v>
      </c>
    </row>
    <row r="439" spans="1:7" x14ac:dyDescent="0.35">
      <c r="A439" t="s">
        <v>5132</v>
      </c>
      <c r="B439" t="s">
        <v>1256</v>
      </c>
      <c r="C439" s="1">
        <v>44994</v>
      </c>
      <c r="D439" s="1" t="str">
        <f>TEXT(Payments_Cleaned[[#This Row],[payment_date]],"mmm-yyyy")</f>
        <v>Mar-2023</v>
      </c>
      <c r="E439" s="2">
        <v>362.33</v>
      </c>
      <c r="F439" t="s">
        <v>4694</v>
      </c>
      <c r="G439" s="2">
        <v>119.72</v>
      </c>
    </row>
    <row r="440" spans="1:7" x14ac:dyDescent="0.35">
      <c r="A440" t="s">
        <v>5133</v>
      </c>
      <c r="B440" t="s">
        <v>1257</v>
      </c>
      <c r="C440" s="1">
        <v>45300</v>
      </c>
      <c r="D440" s="1" t="str">
        <f>TEXT(Payments_Cleaned[[#This Row],[payment_date]],"mmm-yyyy")</f>
        <v>Jan-2024</v>
      </c>
      <c r="E440" s="2">
        <v>1748.47</v>
      </c>
      <c r="F440" t="s">
        <v>4694</v>
      </c>
      <c r="G440" s="2">
        <v>494.82</v>
      </c>
    </row>
    <row r="441" spans="1:7" x14ac:dyDescent="0.35">
      <c r="A441" t="s">
        <v>5134</v>
      </c>
      <c r="B441" t="s">
        <v>1258</v>
      </c>
      <c r="C441" s="1">
        <v>45547</v>
      </c>
      <c r="D441" s="1" t="str">
        <f>TEXT(Payments_Cleaned[[#This Row],[payment_date]],"mmm-yyyy")</f>
        <v>Sep-2024</v>
      </c>
      <c r="E441" s="2">
        <v>964.57</v>
      </c>
      <c r="F441" t="s">
        <v>4694</v>
      </c>
      <c r="G441" s="2">
        <v>503.6</v>
      </c>
    </row>
    <row r="442" spans="1:7" x14ac:dyDescent="0.35">
      <c r="A442" t="s">
        <v>5135</v>
      </c>
      <c r="B442" t="s">
        <v>1259</v>
      </c>
      <c r="C442" s="1">
        <v>45409</v>
      </c>
      <c r="D442" s="1" t="str">
        <f>TEXT(Payments_Cleaned[[#This Row],[payment_date]],"mmm-yyyy")</f>
        <v>Apr-2024</v>
      </c>
      <c r="E442" s="2">
        <v>283.93</v>
      </c>
      <c r="F442" t="s">
        <v>4694</v>
      </c>
      <c r="G442" s="2">
        <v>34.06</v>
      </c>
    </row>
    <row r="443" spans="1:7" x14ac:dyDescent="0.35">
      <c r="A443" t="s">
        <v>5136</v>
      </c>
      <c r="B443" t="s">
        <v>1260</v>
      </c>
      <c r="C443" s="1">
        <v>45069</v>
      </c>
      <c r="D443" s="1" t="str">
        <f>TEXT(Payments_Cleaned[[#This Row],[payment_date]],"mmm-yyyy")</f>
        <v>May-2023</v>
      </c>
      <c r="E443" s="2">
        <v>711.33</v>
      </c>
      <c r="F443" t="s">
        <v>4694</v>
      </c>
      <c r="G443" s="2">
        <v>171.47</v>
      </c>
    </row>
    <row r="444" spans="1:7" x14ac:dyDescent="0.35">
      <c r="A444" t="s">
        <v>5137</v>
      </c>
      <c r="B444" t="s">
        <v>1261</v>
      </c>
      <c r="C444" s="1">
        <v>45234</v>
      </c>
      <c r="D444" s="1" t="str">
        <f>TEXT(Payments_Cleaned[[#This Row],[payment_date]],"mmm-yyyy")</f>
        <v>Nov-2023</v>
      </c>
      <c r="E444" s="2">
        <v>722.65</v>
      </c>
      <c r="F444" t="s">
        <v>4694</v>
      </c>
      <c r="G444" s="2">
        <v>260.26</v>
      </c>
    </row>
    <row r="445" spans="1:7" x14ac:dyDescent="0.35">
      <c r="A445" t="s">
        <v>5138</v>
      </c>
      <c r="B445" t="s">
        <v>1262</v>
      </c>
      <c r="C445" s="1">
        <v>45412</v>
      </c>
      <c r="D445" s="1" t="str">
        <f>TEXT(Payments_Cleaned[[#This Row],[payment_date]],"mmm-yyyy")</f>
        <v>Apr-2024</v>
      </c>
      <c r="E445" s="2">
        <v>110.31</v>
      </c>
      <c r="F445" t="s">
        <v>4694</v>
      </c>
      <c r="G445" s="2">
        <v>65.510000000000005</v>
      </c>
    </row>
    <row r="446" spans="1:7" x14ac:dyDescent="0.35">
      <c r="A446" t="s">
        <v>5139</v>
      </c>
      <c r="B446" t="s">
        <v>1263</v>
      </c>
      <c r="C446" s="1">
        <v>45207</v>
      </c>
      <c r="D446" s="1" t="str">
        <f>TEXT(Payments_Cleaned[[#This Row],[payment_date]],"mmm-yyyy")</f>
        <v>Oct-2023</v>
      </c>
      <c r="E446" s="2">
        <v>385.78</v>
      </c>
      <c r="F446" t="s">
        <v>4694</v>
      </c>
      <c r="G446" s="2">
        <v>191.78</v>
      </c>
    </row>
    <row r="447" spans="1:7" x14ac:dyDescent="0.35">
      <c r="A447" t="s">
        <v>5140</v>
      </c>
      <c r="B447" t="s">
        <v>1264</v>
      </c>
      <c r="C447" s="1">
        <v>45258</v>
      </c>
      <c r="D447" s="1" t="str">
        <f>TEXT(Payments_Cleaned[[#This Row],[payment_date]],"mmm-yyyy")</f>
        <v>Nov-2023</v>
      </c>
      <c r="E447" s="2">
        <v>283.64</v>
      </c>
      <c r="F447" t="s">
        <v>4694</v>
      </c>
      <c r="G447" s="2">
        <v>54.85</v>
      </c>
    </row>
    <row r="448" spans="1:7" x14ac:dyDescent="0.35">
      <c r="A448" t="s">
        <v>5141</v>
      </c>
      <c r="B448" t="s">
        <v>1265</v>
      </c>
      <c r="C448" s="1">
        <v>45578</v>
      </c>
      <c r="D448" s="1" t="str">
        <f>TEXT(Payments_Cleaned[[#This Row],[payment_date]],"mmm-yyyy")</f>
        <v>Oct-2024</v>
      </c>
      <c r="E448" s="2">
        <v>144.05000000000001</v>
      </c>
      <c r="F448" t="s">
        <v>4694</v>
      </c>
      <c r="G448" s="2">
        <v>63.76</v>
      </c>
    </row>
    <row r="449" spans="1:7" x14ac:dyDescent="0.35">
      <c r="A449" t="s">
        <v>5142</v>
      </c>
      <c r="B449" t="s">
        <v>1266</v>
      </c>
      <c r="C449" s="1">
        <v>45054</v>
      </c>
      <c r="D449" s="1" t="str">
        <f>TEXT(Payments_Cleaned[[#This Row],[payment_date]],"mmm-yyyy")</f>
        <v>May-2023</v>
      </c>
      <c r="E449" s="2">
        <v>38.549999999999997</v>
      </c>
      <c r="F449" t="s">
        <v>4694</v>
      </c>
      <c r="G449" s="2">
        <v>6.46</v>
      </c>
    </row>
    <row r="450" spans="1:7" x14ac:dyDescent="0.35">
      <c r="A450" t="s">
        <v>5143</v>
      </c>
      <c r="B450" t="s">
        <v>1268</v>
      </c>
      <c r="C450" s="1">
        <v>45393</v>
      </c>
      <c r="D450" s="1" t="str">
        <f>TEXT(Payments_Cleaned[[#This Row],[payment_date]],"mmm-yyyy")</f>
        <v>Apr-2024</v>
      </c>
      <c r="E450" s="2">
        <v>3119.69</v>
      </c>
      <c r="F450" t="s">
        <v>4694</v>
      </c>
      <c r="G450" s="2">
        <v>231.85</v>
      </c>
    </row>
    <row r="451" spans="1:7" x14ac:dyDescent="0.35">
      <c r="A451" t="s">
        <v>5144</v>
      </c>
      <c r="B451" t="s">
        <v>1269</v>
      </c>
      <c r="C451" s="1">
        <v>45462</v>
      </c>
      <c r="D451" s="1" t="str">
        <f>TEXT(Payments_Cleaned[[#This Row],[payment_date]],"mmm-yyyy")</f>
        <v>Jun-2024</v>
      </c>
      <c r="E451" s="2">
        <v>288.64999999999998</v>
      </c>
      <c r="F451" t="s">
        <v>4694</v>
      </c>
      <c r="G451" s="2">
        <v>54.96</v>
      </c>
    </row>
    <row r="452" spans="1:7" x14ac:dyDescent="0.35">
      <c r="A452" t="s">
        <v>5145</v>
      </c>
      <c r="B452" t="s">
        <v>1272</v>
      </c>
      <c r="C452" s="1">
        <v>45285</v>
      </c>
      <c r="D452" s="1" t="str">
        <f>TEXT(Payments_Cleaned[[#This Row],[payment_date]],"mmm-yyyy")</f>
        <v>Dec-2023</v>
      </c>
      <c r="E452" s="2">
        <v>520.03</v>
      </c>
      <c r="F452" t="s">
        <v>4694</v>
      </c>
      <c r="G452" s="2">
        <v>234.42</v>
      </c>
    </row>
    <row r="453" spans="1:7" x14ac:dyDescent="0.35">
      <c r="A453" t="s">
        <v>5146</v>
      </c>
      <c r="B453" t="s">
        <v>1273</v>
      </c>
      <c r="C453" s="1">
        <v>45610</v>
      </c>
      <c r="D453" s="1" t="str">
        <f>TEXT(Payments_Cleaned[[#This Row],[payment_date]],"mmm-yyyy")</f>
        <v>Nov-2024</v>
      </c>
      <c r="E453" s="2">
        <v>1338.51</v>
      </c>
      <c r="F453" t="s">
        <v>4694</v>
      </c>
      <c r="G453" s="2">
        <v>404.8</v>
      </c>
    </row>
    <row r="454" spans="1:7" x14ac:dyDescent="0.35">
      <c r="A454" t="s">
        <v>5147</v>
      </c>
      <c r="B454" t="s">
        <v>1274</v>
      </c>
      <c r="C454" s="1">
        <v>45394</v>
      </c>
      <c r="D454" s="1" t="str">
        <f>TEXT(Payments_Cleaned[[#This Row],[payment_date]],"mmm-yyyy")</f>
        <v>Apr-2024</v>
      </c>
      <c r="E454" s="2">
        <v>531.58000000000004</v>
      </c>
      <c r="F454" t="s">
        <v>4694</v>
      </c>
      <c r="G454" s="2">
        <v>24.1</v>
      </c>
    </row>
    <row r="455" spans="1:7" x14ac:dyDescent="0.35">
      <c r="A455" t="s">
        <v>5148</v>
      </c>
      <c r="B455" t="s">
        <v>1275</v>
      </c>
      <c r="C455" s="1">
        <v>45689</v>
      </c>
      <c r="D455" s="1" t="str">
        <f>TEXT(Payments_Cleaned[[#This Row],[payment_date]],"mmm-yyyy")</f>
        <v>Feb-2025</v>
      </c>
      <c r="E455" s="2">
        <v>65.47</v>
      </c>
      <c r="F455" t="s">
        <v>4694</v>
      </c>
      <c r="G455" s="2">
        <v>28.57</v>
      </c>
    </row>
    <row r="456" spans="1:7" x14ac:dyDescent="0.35">
      <c r="A456" t="s">
        <v>5149</v>
      </c>
      <c r="B456" t="s">
        <v>1277</v>
      </c>
      <c r="C456" s="1">
        <v>45648</v>
      </c>
      <c r="D456" s="1" t="str">
        <f>TEXT(Payments_Cleaned[[#This Row],[payment_date]],"mmm-yyyy")</f>
        <v>Dec-2024</v>
      </c>
      <c r="E456" s="2">
        <v>144.71</v>
      </c>
      <c r="F456" t="s">
        <v>4694</v>
      </c>
      <c r="G456" s="2">
        <v>85.65</v>
      </c>
    </row>
    <row r="457" spans="1:7" x14ac:dyDescent="0.35">
      <c r="A457" t="s">
        <v>5150</v>
      </c>
      <c r="B457" t="s">
        <v>1278</v>
      </c>
      <c r="C457" s="1">
        <v>45609</v>
      </c>
      <c r="D457" s="1" t="str">
        <f>TEXT(Payments_Cleaned[[#This Row],[payment_date]],"mmm-yyyy")</f>
        <v>Nov-2024</v>
      </c>
      <c r="E457" s="2">
        <v>340.37</v>
      </c>
      <c r="F457" t="s">
        <v>4697</v>
      </c>
      <c r="G457" s="2">
        <v>79.31</v>
      </c>
    </row>
    <row r="458" spans="1:7" x14ac:dyDescent="0.35">
      <c r="A458" t="s">
        <v>5151</v>
      </c>
      <c r="B458" t="s">
        <v>1280</v>
      </c>
      <c r="C458" s="1">
        <v>45634</v>
      </c>
      <c r="D458" s="1" t="str">
        <f>TEXT(Payments_Cleaned[[#This Row],[payment_date]],"mmm-yyyy")</f>
        <v>Dec-2024</v>
      </c>
      <c r="E458" s="2">
        <v>445.08</v>
      </c>
      <c r="F458" t="s">
        <v>4694</v>
      </c>
      <c r="G458" s="2">
        <v>190.04</v>
      </c>
    </row>
    <row r="459" spans="1:7" x14ac:dyDescent="0.35">
      <c r="A459" t="s">
        <v>5152</v>
      </c>
      <c r="B459" t="s">
        <v>1281</v>
      </c>
      <c r="C459" s="1">
        <v>45598</v>
      </c>
      <c r="D459" s="1" t="str">
        <f>TEXT(Payments_Cleaned[[#This Row],[payment_date]],"mmm-yyyy")</f>
        <v>Nov-2024</v>
      </c>
      <c r="E459" s="2">
        <v>506.89</v>
      </c>
      <c r="F459" t="s">
        <v>4694</v>
      </c>
      <c r="G459" s="2">
        <v>177.77</v>
      </c>
    </row>
    <row r="460" spans="1:7" x14ac:dyDescent="0.35">
      <c r="A460" t="s">
        <v>5153</v>
      </c>
      <c r="B460" t="s">
        <v>1283</v>
      </c>
      <c r="C460" s="1">
        <v>45529</v>
      </c>
      <c r="D460" s="1" t="str">
        <f>TEXT(Payments_Cleaned[[#This Row],[payment_date]],"mmm-yyyy")</f>
        <v>Aug-2024</v>
      </c>
      <c r="E460" s="2">
        <v>1516.13</v>
      </c>
      <c r="F460" t="s">
        <v>4694</v>
      </c>
      <c r="G460" s="2">
        <v>169.01</v>
      </c>
    </row>
    <row r="461" spans="1:7" x14ac:dyDescent="0.35">
      <c r="A461" t="s">
        <v>5154</v>
      </c>
      <c r="B461" t="s">
        <v>1286</v>
      </c>
      <c r="C461" s="1">
        <v>45355</v>
      </c>
      <c r="D461" s="1" t="str">
        <f>TEXT(Payments_Cleaned[[#This Row],[payment_date]],"mmm-yyyy")</f>
        <v>Mar-2024</v>
      </c>
      <c r="E461" s="2">
        <v>4919.8999999999996</v>
      </c>
      <c r="F461" t="s">
        <v>4694</v>
      </c>
      <c r="G461" s="2">
        <v>2103.88</v>
      </c>
    </row>
    <row r="462" spans="1:7" x14ac:dyDescent="0.35">
      <c r="A462" t="s">
        <v>5155</v>
      </c>
      <c r="B462" t="s">
        <v>1287</v>
      </c>
      <c r="C462" s="1">
        <v>45034</v>
      </c>
      <c r="D462" s="1" t="str">
        <f>TEXT(Payments_Cleaned[[#This Row],[payment_date]],"mmm-yyyy")</f>
        <v>Apr-2023</v>
      </c>
      <c r="E462" s="2">
        <v>238.34</v>
      </c>
      <c r="F462" t="s">
        <v>4694</v>
      </c>
      <c r="G462" s="2">
        <v>58.28</v>
      </c>
    </row>
    <row r="463" spans="1:7" x14ac:dyDescent="0.35">
      <c r="A463" t="s">
        <v>5156</v>
      </c>
      <c r="B463" t="s">
        <v>1288</v>
      </c>
      <c r="C463" s="1">
        <v>45079</v>
      </c>
      <c r="D463" s="1" t="str">
        <f>TEXT(Payments_Cleaned[[#This Row],[payment_date]],"mmm-yyyy")</f>
        <v>Jun-2023</v>
      </c>
      <c r="E463" s="2">
        <v>4004.22</v>
      </c>
      <c r="F463" t="s">
        <v>4697</v>
      </c>
      <c r="G463" s="2">
        <v>1158.3699999999999</v>
      </c>
    </row>
    <row r="464" spans="1:7" x14ac:dyDescent="0.35">
      <c r="A464" t="s">
        <v>5157</v>
      </c>
      <c r="B464" t="s">
        <v>1289</v>
      </c>
      <c r="C464" s="1">
        <v>45293</v>
      </c>
      <c r="D464" s="1" t="str">
        <f>TEXT(Payments_Cleaned[[#This Row],[payment_date]],"mmm-yyyy")</f>
        <v>Jan-2024</v>
      </c>
      <c r="E464" s="2">
        <v>202.16</v>
      </c>
      <c r="F464" t="s">
        <v>4694</v>
      </c>
      <c r="G464" s="2">
        <v>41.26</v>
      </c>
    </row>
    <row r="465" spans="1:7" x14ac:dyDescent="0.35">
      <c r="A465" t="s">
        <v>5158</v>
      </c>
      <c r="B465" t="s">
        <v>1290</v>
      </c>
      <c r="C465" s="1">
        <v>45335</v>
      </c>
      <c r="D465" s="1" t="str">
        <f>TEXT(Payments_Cleaned[[#This Row],[payment_date]],"mmm-yyyy")</f>
        <v>Feb-2024</v>
      </c>
      <c r="E465" s="2">
        <v>1361.38</v>
      </c>
      <c r="F465" t="s">
        <v>4694</v>
      </c>
      <c r="G465" s="2">
        <v>176.35</v>
      </c>
    </row>
    <row r="466" spans="1:7" x14ac:dyDescent="0.35">
      <c r="A466" t="s">
        <v>5159</v>
      </c>
      <c r="B466" t="s">
        <v>1291</v>
      </c>
      <c r="C466" s="1">
        <v>45602</v>
      </c>
      <c r="D466" s="1" t="str">
        <f>TEXT(Payments_Cleaned[[#This Row],[payment_date]],"mmm-yyyy")</f>
        <v>Nov-2024</v>
      </c>
      <c r="E466" s="2">
        <v>245.74</v>
      </c>
      <c r="F466" t="s">
        <v>4694</v>
      </c>
      <c r="G466" s="2">
        <v>61.47</v>
      </c>
    </row>
    <row r="467" spans="1:7" x14ac:dyDescent="0.35">
      <c r="A467" t="s">
        <v>5160</v>
      </c>
      <c r="B467" t="s">
        <v>1293</v>
      </c>
      <c r="C467" s="1">
        <v>45080</v>
      </c>
      <c r="D467" s="1" t="str">
        <f>TEXT(Payments_Cleaned[[#This Row],[payment_date]],"mmm-yyyy")</f>
        <v>Jun-2023</v>
      </c>
      <c r="E467" s="2">
        <v>789.46</v>
      </c>
      <c r="F467" t="s">
        <v>4697</v>
      </c>
      <c r="G467" s="2">
        <v>45.86</v>
      </c>
    </row>
    <row r="468" spans="1:7" x14ac:dyDescent="0.35">
      <c r="A468" t="s">
        <v>5161</v>
      </c>
      <c r="B468" t="s">
        <v>1294</v>
      </c>
      <c r="C468" s="1">
        <v>45174</v>
      </c>
      <c r="D468" s="1" t="str">
        <f>TEXT(Payments_Cleaned[[#This Row],[payment_date]],"mmm-yyyy")</f>
        <v>Sep-2023</v>
      </c>
      <c r="E468" s="2">
        <v>150.1</v>
      </c>
      <c r="F468" t="s">
        <v>4694</v>
      </c>
      <c r="G468" s="2">
        <v>57.74</v>
      </c>
    </row>
    <row r="469" spans="1:7" x14ac:dyDescent="0.35">
      <c r="A469" t="s">
        <v>5162</v>
      </c>
      <c r="B469" t="s">
        <v>1295</v>
      </c>
      <c r="C469" s="1">
        <v>45412</v>
      </c>
      <c r="D469" s="1" t="str">
        <f>TEXT(Payments_Cleaned[[#This Row],[payment_date]],"mmm-yyyy")</f>
        <v>Apr-2024</v>
      </c>
      <c r="E469" s="2">
        <v>1488.23</v>
      </c>
      <c r="F469" t="s">
        <v>4694</v>
      </c>
      <c r="G469" s="2">
        <v>416.3</v>
      </c>
    </row>
    <row r="470" spans="1:7" x14ac:dyDescent="0.35">
      <c r="A470" t="s">
        <v>5163</v>
      </c>
      <c r="B470" t="s">
        <v>1296</v>
      </c>
      <c r="C470" s="1">
        <v>45214</v>
      </c>
      <c r="D470" s="1" t="str">
        <f>TEXT(Payments_Cleaned[[#This Row],[payment_date]],"mmm-yyyy")</f>
        <v>Oct-2023</v>
      </c>
      <c r="E470" s="2">
        <v>132.03</v>
      </c>
      <c r="F470" t="s">
        <v>4694</v>
      </c>
      <c r="G470" s="2">
        <v>47.95</v>
      </c>
    </row>
    <row r="471" spans="1:7" x14ac:dyDescent="0.35">
      <c r="A471" t="s">
        <v>5164</v>
      </c>
      <c r="B471" t="s">
        <v>1297</v>
      </c>
      <c r="C471" s="1">
        <v>45172</v>
      </c>
      <c r="D471" s="1" t="str">
        <f>TEXT(Payments_Cleaned[[#This Row],[payment_date]],"mmm-yyyy")</f>
        <v>Sep-2023</v>
      </c>
      <c r="E471" s="2">
        <v>272.66000000000003</v>
      </c>
      <c r="F471" t="s">
        <v>4694</v>
      </c>
      <c r="G471" s="2">
        <v>157.99</v>
      </c>
    </row>
    <row r="472" spans="1:7" x14ac:dyDescent="0.35">
      <c r="A472" t="s">
        <v>5165</v>
      </c>
      <c r="B472" t="s">
        <v>1298</v>
      </c>
      <c r="C472" s="1">
        <v>45538</v>
      </c>
      <c r="D472" s="1" t="str">
        <f>TEXT(Payments_Cleaned[[#This Row],[payment_date]],"mmm-yyyy")</f>
        <v>Sep-2024</v>
      </c>
      <c r="E472" s="2">
        <v>112.93</v>
      </c>
      <c r="F472" t="s">
        <v>4694</v>
      </c>
      <c r="G472" s="2">
        <v>39.71</v>
      </c>
    </row>
    <row r="473" spans="1:7" x14ac:dyDescent="0.35">
      <c r="A473" t="s">
        <v>5166</v>
      </c>
      <c r="B473" t="s">
        <v>1300</v>
      </c>
      <c r="C473" s="1">
        <v>45676</v>
      </c>
      <c r="D473" s="1" t="str">
        <f>TEXT(Payments_Cleaned[[#This Row],[payment_date]],"mmm-yyyy")</f>
        <v>Jan-2025</v>
      </c>
      <c r="E473" s="2">
        <v>1591.23</v>
      </c>
      <c r="F473" t="s">
        <v>4694</v>
      </c>
      <c r="G473" s="2">
        <v>461.96</v>
      </c>
    </row>
    <row r="474" spans="1:7" x14ac:dyDescent="0.35">
      <c r="A474" t="s">
        <v>5167</v>
      </c>
      <c r="B474" t="s">
        <v>1301</v>
      </c>
      <c r="C474" s="1">
        <v>45324</v>
      </c>
      <c r="D474" s="1" t="str">
        <f>TEXT(Payments_Cleaned[[#This Row],[payment_date]],"mmm-yyyy")</f>
        <v>Feb-2024</v>
      </c>
      <c r="E474" s="2">
        <v>2948.65</v>
      </c>
      <c r="F474" t="s">
        <v>4694</v>
      </c>
      <c r="G474" s="2">
        <v>446.92</v>
      </c>
    </row>
    <row r="475" spans="1:7" x14ac:dyDescent="0.35">
      <c r="A475" t="s">
        <v>5168</v>
      </c>
      <c r="B475" t="s">
        <v>1303</v>
      </c>
      <c r="C475" s="1">
        <v>45505</v>
      </c>
      <c r="D475" s="1" t="str">
        <f>TEXT(Payments_Cleaned[[#This Row],[payment_date]],"mmm-yyyy")</f>
        <v>Aug-2024</v>
      </c>
      <c r="E475" s="2">
        <v>181.44</v>
      </c>
      <c r="F475" t="s">
        <v>4694</v>
      </c>
      <c r="G475" s="2">
        <v>110.21</v>
      </c>
    </row>
    <row r="476" spans="1:7" x14ac:dyDescent="0.35">
      <c r="A476" t="s">
        <v>5169</v>
      </c>
      <c r="B476" t="s">
        <v>1305</v>
      </c>
      <c r="C476" s="1">
        <v>45409</v>
      </c>
      <c r="D476" s="1" t="str">
        <f>TEXT(Payments_Cleaned[[#This Row],[payment_date]],"mmm-yyyy")</f>
        <v>Apr-2024</v>
      </c>
      <c r="E476" s="2">
        <v>309.89</v>
      </c>
      <c r="F476" t="s">
        <v>4694</v>
      </c>
      <c r="G476" s="2">
        <v>24.5</v>
      </c>
    </row>
    <row r="477" spans="1:7" x14ac:dyDescent="0.35">
      <c r="A477" t="s">
        <v>5170</v>
      </c>
      <c r="B477" t="s">
        <v>1306</v>
      </c>
      <c r="C477" s="1">
        <v>45605</v>
      </c>
      <c r="D477" s="1" t="str">
        <f>TEXT(Payments_Cleaned[[#This Row],[payment_date]],"mmm-yyyy")</f>
        <v>Nov-2024</v>
      </c>
      <c r="E477" s="2">
        <v>224.18</v>
      </c>
      <c r="F477" t="s">
        <v>4694</v>
      </c>
      <c r="G477" s="2">
        <v>93.66</v>
      </c>
    </row>
    <row r="478" spans="1:7" x14ac:dyDescent="0.35">
      <c r="A478" t="s">
        <v>5171</v>
      </c>
      <c r="B478" t="s">
        <v>1308</v>
      </c>
      <c r="C478" s="1">
        <v>45472</v>
      </c>
      <c r="D478" s="1" t="str">
        <f>TEXT(Payments_Cleaned[[#This Row],[payment_date]],"mmm-yyyy")</f>
        <v>Jun-2024</v>
      </c>
      <c r="E478" s="2">
        <v>549.83000000000004</v>
      </c>
      <c r="F478" t="s">
        <v>4697</v>
      </c>
      <c r="G478" s="2">
        <v>78.349999999999994</v>
      </c>
    </row>
    <row r="479" spans="1:7" x14ac:dyDescent="0.35">
      <c r="A479" t="s">
        <v>5172</v>
      </c>
      <c r="B479" t="s">
        <v>1313</v>
      </c>
      <c r="C479" s="1">
        <v>45244</v>
      </c>
      <c r="D479" s="1" t="str">
        <f>TEXT(Payments_Cleaned[[#This Row],[payment_date]],"mmm-yyyy")</f>
        <v>Nov-2023</v>
      </c>
      <c r="E479" s="2">
        <v>281.38</v>
      </c>
      <c r="F479" t="s">
        <v>4694</v>
      </c>
      <c r="G479" s="2">
        <v>134.21</v>
      </c>
    </row>
    <row r="480" spans="1:7" x14ac:dyDescent="0.35">
      <c r="A480" t="s">
        <v>5173</v>
      </c>
      <c r="B480" t="s">
        <v>1314</v>
      </c>
      <c r="C480" s="1">
        <v>45205</v>
      </c>
      <c r="D480" s="1" t="str">
        <f>TEXT(Payments_Cleaned[[#This Row],[payment_date]],"mmm-yyyy")</f>
        <v>Oct-2023</v>
      </c>
      <c r="E480" s="2">
        <v>284.83999999999997</v>
      </c>
      <c r="F480" t="s">
        <v>4694</v>
      </c>
      <c r="G480" s="2">
        <v>140.22</v>
      </c>
    </row>
    <row r="481" spans="1:7" x14ac:dyDescent="0.35">
      <c r="A481" t="s">
        <v>5174</v>
      </c>
      <c r="B481" t="s">
        <v>1315</v>
      </c>
      <c r="C481" s="1">
        <v>45051</v>
      </c>
      <c r="D481" s="1" t="str">
        <f>TEXT(Payments_Cleaned[[#This Row],[payment_date]],"mmm-yyyy")</f>
        <v>May-2023</v>
      </c>
      <c r="E481" s="2">
        <v>173.45</v>
      </c>
      <c r="F481" t="s">
        <v>4694</v>
      </c>
      <c r="G481" s="2">
        <v>40.26</v>
      </c>
    </row>
    <row r="482" spans="1:7" x14ac:dyDescent="0.35">
      <c r="A482" t="s">
        <v>5175</v>
      </c>
      <c r="B482" t="s">
        <v>1316</v>
      </c>
      <c r="C482" s="1">
        <v>45214</v>
      </c>
      <c r="D482" s="1" t="str">
        <f>TEXT(Payments_Cleaned[[#This Row],[payment_date]],"mmm-yyyy")</f>
        <v>Oct-2023</v>
      </c>
      <c r="E482" s="2">
        <v>155.18</v>
      </c>
      <c r="F482" t="s">
        <v>4694</v>
      </c>
      <c r="G482" s="2">
        <v>67.84</v>
      </c>
    </row>
    <row r="483" spans="1:7" x14ac:dyDescent="0.35">
      <c r="A483" t="s">
        <v>5176</v>
      </c>
      <c r="B483" t="s">
        <v>1318</v>
      </c>
      <c r="C483" s="1">
        <v>45182</v>
      </c>
      <c r="D483" s="1" t="str">
        <f>TEXT(Payments_Cleaned[[#This Row],[payment_date]],"mmm-yyyy")</f>
        <v>Sep-2023</v>
      </c>
      <c r="E483" s="2">
        <v>564.14</v>
      </c>
      <c r="F483" t="s">
        <v>4694</v>
      </c>
      <c r="G483" s="2">
        <v>25.96</v>
      </c>
    </row>
    <row r="484" spans="1:7" x14ac:dyDescent="0.35">
      <c r="A484" t="s">
        <v>5177</v>
      </c>
      <c r="B484" t="s">
        <v>1319</v>
      </c>
      <c r="C484" s="1">
        <v>45268</v>
      </c>
      <c r="D484" s="1" t="str">
        <f>TEXT(Payments_Cleaned[[#This Row],[payment_date]],"mmm-yyyy")</f>
        <v>Dec-2023</v>
      </c>
      <c r="E484" s="2">
        <v>2999.89</v>
      </c>
      <c r="F484" t="s">
        <v>4694</v>
      </c>
      <c r="G484" s="2">
        <v>1707.42</v>
      </c>
    </row>
    <row r="485" spans="1:7" x14ac:dyDescent="0.35">
      <c r="A485" t="s">
        <v>5178</v>
      </c>
      <c r="B485" t="s">
        <v>1320</v>
      </c>
      <c r="C485" s="1">
        <v>45315</v>
      </c>
      <c r="D485" s="1" t="str">
        <f>TEXT(Payments_Cleaned[[#This Row],[payment_date]],"mmm-yyyy")</f>
        <v>Jan-2024</v>
      </c>
      <c r="E485" s="2">
        <v>2716.85</v>
      </c>
      <c r="F485" t="s">
        <v>4694</v>
      </c>
      <c r="G485" s="2">
        <v>449.86</v>
      </c>
    </row>
    <row r="486" spans="1:7" x14ac:dyDescent="0.35">
      <c r="A486" t="s">
        <v>5179</v>
      </c>
      <c r="B486" t="s">
        <v>1321</v>
      </c>
      <c r="C486" s="1">
        <v>45177</v>
      </c>
      <c r="D486" s="1" t="str">
        <f>TEXT(Payments_Cleaned[[#This Row],[payment_date]],"mmm-yyyy")</f>
        <v>Sep-2023</v>
      </c>
      <c r="E486" s="2">
        <v>309.77</v>
      </c>
      <c r="F486" t="s">
        <v>4694</v>
      </c>
      <c r="G486" s="2">
        <v>92.68</v>
      </c>
    </row>
    <row r="487" spans="1:7" x14ac:dyDescent="0.35">
      <c r="A487" t="s">
        <v>5180</v>
      </c>
      <c r="B487" t="s">
        <v>1323</v>
      </c>
      <c r="C487" s="1">
        <v>45009</v>
      </c>
      <c r="D487" s="1" t="str">
        <f>TEXT(Payments_Cleaned[[#This Row],[payment_date]],"mmm-yyyy")</f>
        <v>Mar-2023</v>
      </c>
      <c r="E487" s="2">
        <v>3554.29</v>
      </c>
      <c r="F487" t="s">
        <v>4694</v>
      </c>
      <c r="G487" s="2">
        <v>1387.39</v>
      </c>
    </row>
    <row r="488" spans="1:7" x14ac:dyDescent="0.35">
      <c r="A488" t="s">
        <v>5181</v>
      </c>
      <c r="B488" t="s">
        <v>1324</v>
      </c>
      <c r="C488" s="1">
        <v>45074</v>
      </c>
      <c r="D488" s="1" t="str">
        <f>TEXT(Payments_Cleaned[[#This Row],[payment_date]],"mmm-yyyy")</f>
        <v>May-2023</v>
      </c>
      <c r="E488" s="2">
        <v>1048.3900000000001</v>
      </c>
      <c r="F488" t="s">
        <v>4697</v>
      </c>
      <c r="G488" s="2">
        <v>356.53</v>
      </c>
    </row>
    <row r="489" spans="1:7" x14ac:dyDescent="0.35">
      <c r="A489" t="s">
        <v>5182</v>
      </c>
      <c r="B489" t="s">
        <v>1326</v>
      </c>
      <c r="C489" s="1">
        <v>45237</v>
      </c>
      <c r="D489" s="1" t="str">
        <f>TEXT(Payments_Cleaned[[#This Row],[payment_date]],"mmm-yyyy")</f>
        <v>Nov-2023</v>
      </c>
      <c r="E489" s="2">
        <v>1876.06</v>
      </c>
      <c r="F489" t="s">
        <v>4697</v>
      </c>
      <c r="G489" s="2">
        <v>428.2</v>
      </c>
    </row>
    <row r="490" spans="1:7" x14ac:dyDescent="0.35">
      <c r="A490" t="s">
        <v>5183</v>
      </c>
      <c r="B490" t="s">
        <v>1327</v>
      </c>
      <c r="C490" s="1">
        <v>45365</v>
      </c>
      <c r="D490" s="1" t="str">
        <f>TEXT(Payments_Cleaned[[#This Row],[payment_date]],"mmm-yyyy")</f>
        <v>Mar-2024</v>
      </c>
      <c r="E490" s="2">
        <v>518.38</v>
      </c>
      <c r="F490" t="s">
        <v>4694</v>
      </c>
      <c r="G490" s="2">
        <v>107.83</v>
      </c>
    </row>
    <row r="491" spans="1:7" x14ac:dyDescent="0.35">
      <c r="A491" t="s">
        <v>5184</v>
      </c>
      <c r="B491" t="s">
        <v>1328</v>
      </c>
      <c r="C491" s="1">
        <v>45476</v>
      </c>
      <c r="D491" s="1" t="str">
        <f>TEXT(Payments_Cleaned[[#This Row],[payment_date]],"mmm-yyyy")</f>
        <v>Jul-2024</v>
      </c>
      <c r="E491" s="2">
        <v>3420.84</v>
      </c>
      <c r="F491" t="s">
        <v>4694</v>
      </c>
      <c r="G491" s="2">
        <v>1484.02</v>
      </c>
    </row>
    <row r="492" spans="1:7" x14ac:dyDescent="0.35">
      <c r="A492" t="s">
        <v>5185</v>
      </c>
      <c r="B492" t="s">
        <v>1329</v>
      </c>
      <c r="C492" s="1">
        <v>45257</v>
      </c>
      <c r="D492" s="1" t="str">
        <f>TEXT(Payments_Cleaned[[#This Row],[payment_date]],"mmm-yyyy")</f>
        <v>Nov-2023</v>
      </c>
      <c r="E492" s="2">
        <v>904.08</v>
      </c>
      <c r="F492" t="s">
        <v>4694</v>
      </c>
      <c r="G492" s="2">
        <v>422.74</v>
      </c>
    </row>
    <row r="493" spans="1:7" x14ac:dyDescent="0.35">
      <c r="A493" t="s">
        <v>5186</v>
      </c>
      <c r="B493" t="s">
        <v>1330</v>
      </c>
      <c r="C493" s="1">
        <v>45248</v>
      </c>
      <c r="D493" s="1" t="str">
        <f>TEXT(Payments_Cleaned[[#This Row],[payment_date]],"mmm-yyyy")</f>
        <v>Nov-2023</v>
      </c>
      <c r="E493" s="2">
        <v>80.95</v>
      </c>
      <c r="F493" t="s">
        <v>4697</v>
      </c>
      <c r="G493" s="2">
        <v>15.93</v>
      </c>
    </row>
    <row r="494" spans="1:7" x14ac:dyDescent="0.35">
      <c r="A494" t="s">
        <v>5187</v>
      </c>
      <c r="B494" t="s">
        <v>1332</v>
      </c>
      <c r="C494" s="1">
        <v>45076</v>
      </c>
      <c r="D494" s="1" t="str">
        <f>TEXT(Payments_Cleaned[[#This Row],[payment_date]],"mmm-yyyy")</f>
        <v>May-2023</v>
      </c>
      <c r="E494" s="2">
        <v>444.25</v>
      </c>
      <c r="F494" t="s">
        <v>4697</v>
      </c>
      <c r="G494" s="2">
        <v>88.89</v>
      </c>
    </row>
    <row r="495" spans="1:7" x14ac:dyDescent="0.35">
      <c r="A495" t="s">
        <v>5188</v>
      </c>
      <c r="B495" t="s">
        <v>1335</v>
      </c>
      <c r="C495" s="1">
        <v>45573</v>
      </c>
      <c r="D495" s="1" t="str">
        <f>TEXT(Payments_Cleaned[[#This Row],[payment_date]],"mmm-yyyy")</f>
        <v>Oct-2024</v>
      </c>
      <c r="E495" s="2">
        <v>171.21</v>
      </c>
      <c r="F495" t="s">
        <v>4694</v>
      </c>
      <c r="G495" s="2">
        <v>30.94</v>
      </c>
    </row>
    <row r="496" spans="1:7" x14ac:dyDescent="0.35">
      <c r="A496" t="s">
        <v>5189</v>
      </c>
      <c r="B496" t="s">
        <v>1336</v>
      </c>
      <c r="C496" s="1">
        <v>45371</v>
      </c>
      <c r="D496" s="1" t="str">
        <f>TEXT(Payments_Cleaned[[#This Row],[payment_date]],"mmm-yyyy")</f>
        <v>Mar-2024</v>
      </c>
      <c r="E496" s="2">
        <v>397.53</v>
      </c>
      <c r="F496" t="s">
        <v>4694</v>
      </c>
      <c r="G496" s="2">
        <v>160.74</v>
      </c>
    </row>
    <row r="497" spans="1:7" x14ac:dyDescent="0.35">
      <c r="A497" t="s">
        <v>5190</v>
      </c>
      <c r="B497" t="s">
        <v>1337</v>
      </c>
      <c r="C497" s="1">
        <v>45342</v>
      </c>
      <c r="D497" s="1" t="str">
        <f>TEXT(Payments_Cleaned[[#This Row],[payment_date]],"mmm-yyyy")</f>
        <v>Feb-2024</v>
      </c>
      <c r="E497" s="2">
        <v>2104.96</v>
      </c>
      <c r="F497" t="s">
        <v>4694</v>
      </c>
      <c r="G497" s="2">
        <v>1282.3399999999999</v>
      </c>
    </row>
    <row r="498" spans="1:7" x14ac:dyDescent="0.35">
      <c r="A498" t="s">
        <v>5191</v>
      </c>
      <c r="B498" t="s">
        <v>1338</v>
      </c>
      <c r="C498" s="1">
        <v>45016</v>
      </c>
      <c r="D498" s="1" t="str">
        <f>TEXT(Payments_Cleaned[[#This Row],[payment_date]],"mmm-yyyy")</f>
        <v>Mar-2023</v>
      </c>
      <c r="E498" s="2">
        <v>388.88</v>
      </c>
      <c r="F498" t="s">
        <v>4694</v>
      </c>
      <c r="G498" s="2">
        <v>70.59</v>
      </c>
    </row>
    <row r="499" spans="1:7" x14ac:dyDescent="0.35">
      <c r="A499" t="s">
        <v>5192</v>
      </c>
      <c r="B499" t="s">
        <v>1340</v>
      </c>
      <c r="C499" s="1">
        <v>44999</v>
      </c>
      <c r="D499" s="1" t="str">
        <f>TEXT(Payments_Cleaned[[#This Row],[payment_date]],"mmm-yyyy")</f>
        <v>Mar-2023</v>
      </c>
      <c r="E499" s="2">
        <v>295.11</v>
      </c>
      <c r="F499" t="s">
        <v>4694</v>
      </c>
      <c r="G499" s="2">
        <v>111.22</v>
      </c>
    </row>
    <row r="500" spans="1:7" x14ac:dyDescent="0.35">
      <c r="A500" t="s">
        <v>5193</v>
      </c>
      <c r="B500" t="s">
        <v>1341</v>
      </c>
      <c r="C500" s="1">
        <v>45160</v>
      </c>
      <c r="D500" s="1" t="str">
        <f>TEXT(Payments_Cleaned[[#This Row],[payment_date]],"mmm-yyyy")</f>
        <v>Aug-2023</v>
      </c>
      <c r="E500" s="2">
        <v>1682.49</v>
      </c>
      <c r="F500" t="s">
        <v>4694</v>
      </c>
      <c r="G500" s="2">
        <v>466.21</v>
      </c>
    </row>
    <row r="501" spans="1:7" x14ac:dyDescent="0.35">
      <c r="A501" t="s">
        <v>5194</v>
      </c>
      <c r="B501" t="s">
        <v>1342</v>
      </c>
      <c r="C501" s="1">
        <v>45329</v>
      </c>
      <c r="D501" s="1" t="str">
        <f>TEXT(Payments_Cleaned[[#This Row],[payment_date]],"mmm-yyyy")</f>
        <v>Feb-2024</v>
      </c>
      <c r="E501" s="2">
        <v>70.790000000000006</v>
      </c>
      <c r="F501" t="s">
        <v>4694</v>
      </c>
      <c r="G501" s="2">
        <v>20.329999999999998</v>
      </c>
    </row>
    <row r="502" spans="1:7" x14ac:dyDescent="0.35">
      <c r="A502" t="s">
        <v>5195</v>
      </c>
      <c r="B502" t="s">
        <v>1343</v>
      </c>
      <c r="C502" s="1">
        <v>45408</v>
      </c>
      <c r="D502" s="1" t="str">
        <f>TEXT(Payments_Cleaned[[#This Row],[payment_date]],"mmm-yyyy")</f>
        <v>Apr-2024</v>
      </c>
      <c r="E502" s="2">
        <v>207.4</v>
      </c>
      <c r="F502" t="s">
        <v>4694</v>
      </c>
      <c r="G502" s="2">
        <v>13.83</v>
      </c>
    </row>
    <row r="503" spans="1:7" x14ac:dyDescent="0.35">
      <c r="A503" t="s">
        <v>5196</v>
      </c>
      <c r="B503" t="s">
        <v>1344</v>
      </c>
      <c r="C503" s="1">
        <v>45160</v>
      </c>
      <c r="D503" s="1" t="str">
        <f>TEXT(Payments_Cleaned[[#This Row],[payment_date]],"mmm-yyyy")</f>
        <v>Aug-2023</v>
      </c>
      <c r="E503" s="2">
        <v>174.05</v>
      </c>
      <c r="F503" t="s">
        <v>4694</v>
      </c>
      <c r="G503" s="2">
        <v>7.78</v>
      </c>
    </row>
    <row r="504" spans="1:7" x14ac:dyDescent="0.35">
      <c r="A504" t="s">
        <v>5197</v>
      </c>
      <c r="B504" t="s">
        <v>1345</v>
      </c>
      <c r="C504" s="1">
        <v>45134</v>
      </c>
      <c r="D504" s="1" t="str">
        <f>TEXT(Payments_Cleaned[[#This Row],[payment_date]],"mmm-yyyy")</f>
        <v>Jul-2023</v>
      </c>
      <c r="E504" s="2">
        <v>127.45</v>
      </c>
      <c r="F504" t="s">
        <v>4694</v>
      </c>
      <c r="G504" s="2">
        <v>35.659999999999997</v>
      </c>
    </row>
    <row r="505" spans="1:7" x14ac:dyDescent="0.35">
      <c r="A505" t="s">
        <v>5198</v>
      </c>
      <c r="B505" t="s">
        <v>1346</v>
      </c>
      <c r="C505" s="1">
        <v>45133</v>
      </c>
      <c r="D505" s="1" t="str">
        <f>TEXT(Payments_Cleaned[[#This Row],[payment_date]],"mmm-yyyy")</f>
        <v>Jul-2023</v>
      </c>
      <c r="E505" s="2">
        <v>39.22</v>
      </c>
      <c r="F505" t="s">
        <v>4694</v>
      </c>
      <c r="G505" s="2">
        <v>15.29</v>
      </c>
    </row>
    <row r="506" spans="1:7" x14ac:dyDescent="0.35">
      <c r="A506" t="s">
        <v>5199</v>
      </c>
      <c r="B506" t="s">
        <v>1347</v>
      </c>
      <c r="C506" s="1">
        <v>45003</v>
      </c>
      <c r="D506" s="1" t="str">
        <f>TEXT(Payments_Cleaned[[#This Row],[payment_date]],"mmm-yyyy")</f>
        <v>Mar-2023</v>
      </c>
      <c r="E506" s="2">
        <v>3592.29</v>
      </c>
      <c r="F506" t="s">
        <v>4694</v>
      </c>
      <c r="G506" s="2">
        <v>1148.76</v>
      </c>
    </row>
    <row r="507" spans="1:7" x14ac:dyDescent="0.35">
      <c r="A507" t="s">
        <v>5200</v>
      </c>
      <c r="B507" t="s">
        <v>1348</v>
      </c>
      <c r="C507" s="1">
        <v>45034</v>
      </c>
      <c r="D507" s="1" t="str">
        <f>TEXT(Payments_Cleaned[[#This Row],[payment_date]],"mmm-yyyy")</f>
        <v>Apr-2023</v>
      </c>
      <c r="E507" s="2">
        <v>2734.88</v>
      </c>
      <c r="F507" t="s">
        <v>4694</v>
      </c>
      <c r="G507" s="2">
        <v>1614.08</v>
      </c>
    </row>
    <row r="508" spans="1:7" x14ac:dyDescent="0.35">
      <c r="A508" t="s">
        <v>5201</v>
      </c>
      <c r="B508" t="s">
        <v>1349</v>
      </c>
      <c r="C508" s="1">
        <v>44974</v>
      </c>
      <c r="D508" s="1" t="str">
        <f>TEXT(Payments_Cleaned[[#This Row],[payment_date]],"mmm-yyyy")</f>
        <v>Feb-2023</v>
      </c>
      <c r="E508" s="2">
        <v>585.45000000000005</v>
      </c>
      <c r="F508" t="s">
        <v>4694</v>
      </c>
      <c r="G508" s="2">
        <v>90.47</v>
      </c>
    </row>
    <row r="509" spans="1:7" x14ac:dyDescent="0.35">
      <c r="A509" t="s">
        <v>5202</v>
      </c>
      <c r="B509" t="s">
        <v>1350</v>
      </c>
      <c r="C509" s="1">
        <v>45314</v>
      </c>
      <c r="D509" s="1" t="str">
        <f>TEXT(Payments_Cleaned[[#This Row],[payment_date]],"mmm-yyyy")</f>
        <v>Jan-2024</v>
      </c>
      <c r="E509" s="2">
        <v>458.45</v>
      </c>
      <c r="F509" t="s">
        <v>4694</v>
      </c>
      <c r="G509" s="2">
        <v>90.95</v>
      </c>
    </row>
    <row r="510" spans="1:7" x14ac:dyDescent="0.35">
      <c r="A510" t="s">
        <v>5203</v>
      </c>
      <c r="B510" t="s">
        <v>1351</v>
      </c>
      <c r="C510" s="1">
        <v>45046</v>
      </c>
      <c r="D510" s="1" t="str">
        <f>TEXT(Payments_Cleaned[[#This Row],[payment_date]],"mmm-yyyy")</f>
        <v>Apr-2023</v>
      </c>
      <c r="E510" s="2">
        <v>3652.37</v>
      </c>
      <c r="F510" t="s">
        <v>4694</v>
      </c>
      <c r="G510" s="2">
        <v>942.21</v>
      </c>
    </row>
    <row r="511" spans="1:7" x14ac:dyDescent="0.35">
      <c r="A511" t="s">
        <v>5204</v>
      </c>
      <c r="B511" t="s">
        <v>1352</v>
      </c>
      <c r="C511" s="1">
        <v>45516</v>
      </c>
      <c r="D511" s="1" t="str">
        <f>TEXT(Payments_Cleaned[[#This Row],[payment_date]],"mmm-yyyy")</f>
        <v>Aug-2024</v>
      </c>
      <c r="E511" s="2">
        <v>245.82</v>
      </c>
      <c r="F511" t="s">
        <v>4694</v>
      </c>
      <c r="G511" s="2">
        <v>72.19</v>
      </c>
    </row>
    <row r="512" spans="1:7" x14ac:dyDescent="0.35">
      <c r="A512" t="s">
        <v>5205</v>
      </c>
      <c r="B512" t="s">
        <v>1353</v>
      </c>
      <c r="C512" s="1">
        <v>45626</v>
      </c>
      <c r="D512" s="1" t="str">
        <f>TEXT(Payments_Cleaned[[#This Row],[payment_date]],"mmm-yyyy")</f>
        <v>Nov-2024</v>
      </c>
      <c r="E512" s="2">
        <v>292.27999999999997</v>
      </c>
      <c r="F512" t="s">
        <v>4694</v>
      </c>
      <c r="G512" s="2">
        <v>144.66999999999999</v>
      </c>
    </row>
    <row r="513" spans="1:7" x14ac:dyDescent="0.35">
      <c r="A513" t="s">
        <v>5206</v>
      </c>
      <c r="B513" t="s">
        <v>1355</v>
      </c>
      <c r="C513" s="1">
        <v>45580</v>
      </c>
      <c r="D513" s="1" t="str">
        <f>TEXT(Payments_Cleaned[[#This Row],[payment_date]],"mmm-yyyy")</f>
        <v>Oct-2024</v>
      </c>
      <c r="E513" s="2">
        <v>287.02</v>
      </c>
      <c r="F513" t="s">
        <v>4694</v>
      </c>
      <c r="G513" s="2">
        <v>40.799999999999997</v>
      </c>
    </row>
    <row r="514" spans="1:7" x14ac:dyDescent="0.35">
      <c r="A514" t="s">
        <v>5207</v>
      </c>
      <c r="B514" t="s">
        <v>1359</v>
      </c>
      <c r="C514" s="1">
        <v>45390</v>
      </c>
      <c r="D514" s="1" t="str">
        <f>TEXT(Payments_Cleaned[[#This Row],[payment_date]],"mmm-yyyy")</f>
        <v>Apr-2024</v>
      </c>
      <c r="E514" s="2">
        <v>80.67</v>
      </c>
      <c r="F514" t="s">
        <v>4694</v>
      </c>
      <c r="G514" s="2">
        <v>40.630000000000003</v>
      </c>
    </row>
    <row r="515" spans="1:7" x14ac:dyDescent="0.35">
      <c r="A515" t="s">
        <v>5208</v>
      </c>
      <c r="B515" t="s">
        <v>1360</v>
      </c>
      <c r="C515" s="1">
        <v>45630</v>
      </c>
      <c r="D515" s="1" t="str">
        <f>TEXT(Payments_Cleaned[[#This Row],[payment_date]],"mmm-yyyy")</f>
        <v>Dec-2024</v>
      </c>
      <c r="E515" s="2">
        <v>131.27000000000001</v>
      </c>
      <c r="F515" t="s">
        <v>4694</v>
      </c>
      <c r="G515" s="2">
        <v>55.94</v>
      </c>
    </row>
    <row r="516" spans="1:7" x14ac:dyDescent="0.35">
      <c r="A516" t="s">
        <v>5209</v>
      </c>
      <c r="B516" t="s">
        <v>1361</v>
      </c>
      <c r="C516" s="1">
        <v>44976</v>
      </c>
      <c r="D516" s="1" t="str">
        <f>TEXT(Payments_Cleaned[[#This Row],[payment_date]],"mmm-yyyy")</f>
        <v>Feb-2023</v>
      </c>
      <c r="E516" s="2">
        <v>91.76</v>
      </c>
      <c r="F516" t="s">
        <v>4694</v>
      </c>
      <c r="G516" s="2">
        <v>22.56</v>
      </c>
    </row>
    <row r="517" spans="1:7" x14ac:dyDescent="0.35">
      <c r="A517" t="s">
        <v>5210</v>
      </c>
      <c r="B517" t="s">
        <v>1362</v>
      </c>
      <c r="C517" s="1">
        <v>45143</v>
      </c>
      <c r="D517" s="1" t="str">
        <f>TEXT(Payments_Cleaned[[#This Row],[payment_date]],"mmm-yyyy")</f>
        <v>Aug-2023</v>
      </c>
      <c r="E517" s="2">
        <v>145.91999999999999</v>
      </c>
      <c r="F517" t="s">
        <v>4694</v>
      </c>
      <c r="G517" s="2">
        <v>69.33</v>
      </c>
    </row>
    <row r="518" spans="1:7" x14ac:dyDescent="0.35">
      <c r="A518" t="s">
        <v>5211</v>
      </c>
      <c r="B518" t="s">
        <v>1364</v>
      </c>
      <c r="C518" s="1">
        <v>45525</v>
      </c>
      <c r="D518" s="1" t="str">
        <f>TEXT(Payments_Cleaned[[#This Row],[payment_date]],"mmm-yyyy")</f>
        <v>Aug-2024</v>
      </c>
      <c r="E518" s="2">
        <v>1543.64</v>
      </c>
      <c r="F518" t="s">
        <v>4694</v>
      </c>
      <c r="G518" s="2">
        <v>354.53</v>
      </c>
    </row>
    <row r="519" spans="1:7" x14ac:dyDescent="0.35">
      <c r="A519" t="s">
        <v>5212</v>
      </c>
      <c r="B519" t="s">
        <v>1365</v>
      </c>
      <c r="C519" s="1">
        <v>45141</v>
      </c>
      <c r="D519" s="1" t="str">
        <f>TEXT(Payments_Cleaned[[#This Row],[payment_date]],"mmm-yyyy")</f>
        <v>Aug-2023</v>
      </c>
      <c r="E519" s="2">
        <v>3477.45</v>
      </c>
      <c r="F519" t="s">
        <v>4694</v>
      </c>
      <c r="G519" s="2">
        <v>273.55</v>
      </c>
    </row>
    <row r="520" spans="1:7" x14ac:dyDescent="0.35">
      <c r="A520" t="s">
        <v>5213</v>
      </c>
      <c r="B520" t="s">
        <v>1366</v>
      </c>
      <c r="C520" s="1">
        <v>45525</v>
      </c>
      <c r="D520" s="1" t="str">
        <f>TEXT(Payments_Cleaned[[#This Row],[payment_date]],"mmm-yyyy")</f>
        <v>Aug-2024</v>
      </c>
      <c r="E520" s="2">
        <v>297.35000000000002</v>
      </c>
      <c r="F520" t="s">
        <v>4694</v>
      </c>
      <c r="G520" s="2">
        <v>61.77</v>
      </c>
    </row>
    <row r="521" spans="1:7" x14ac:dyDescent="0.35">
      <c r="A521" t="s">
        <v>5214</v>
      </c>
      <c r="B521" t="s">
        <v>1367</v>
      </c>
      <c r="C521" s="1">
        <v>45107</v>
      </c>
      <c r="D521" s="1" t="str">
        <f>TEXT(Payments_Cleaned[[#This Row],[payment_date]],"mmm-yyyy")</f>
        <v>Jun-2023</v>
      </c>
      <c r="E521" s="2">
        <v>112.12</v>
      </c>
      <c r="F521" t="s">
        <v>4694</v>
      </c>
      <c r="G521" s="2">
        <v>59.95</v>
      </c>
    </row>
    <row r="522" spans="1:7" x14ac:dyDescent="0.35">
      <c r="A522" t="s">
        <v>5215</v>
      </c>
      <c r="B522" t="s">
        <v>1370</v>
      </c>
      <c r="C522" s="1">
        <v>45421</v>
      </c>
      <c r="D522" s="1" t="str">
        <f>TEXT(Payments_Cleaned[[#This Row],[payment_date]],"mmm-yyyy")</f>
        <v>May-2024</v>
      </c>
      <c r="E522" s="2">
        <v>83.88</v>
      </c>
      <c r="F522" t="s">
        <v>4694</v>
      </c>
      <c r="G522" s="2">
        <v>37.090000000000003</v>
      </c>
    </row>
    <row r="523" spans="1:7" x14ac:dyDescent="0.35">
      <c r="A523" t="s">
        <v>5216</v>
      </c>
      <c r="B523" t="s">
        <v>1371</v>
      </c>
      <c r="C523" s="1">
        <v>45384</v>
      </c>
      <c r="D523" s="1" t="str">
        <f>TEXT(Payments_Cleaned[[#This Row],[payment_date]],"mmm-yyyy")</f>
        <v>Apr-2024</v>
      </c>
      <c r="E523" s="2">
        <v>713.53</v>
      </c>
      <c r="F523" t="s">
        <v>4694</v>
      </c>
      <c r="G523" s="2">
        <v>168.04</v>
      </c>
    </row>
    <row r="524" spans="1:7" x14ac:dyDescent="0.35">
      <c r="A524" t="s">
        <v>5217</v>
      </c>
      <c r="B524" t="s">
        <v>1372</v>
      </c>
      <c r="C524" s="1">
        <v>45389</v>
      </c>
      <c r="D524" s="1" t="str">
        <f>TEXT(Payments_Cleaned[[#This Row],[payment_date]],"mmm-yyyy")</f>
        <v>Apr-2024</v>
      </c>
      <c r="E524" s="2">
        <v>235.19</v>
      </c>
      <c r="F524" t="s">
        <v>4694</v>
      </c>
      <c r="G524" s="2">
        <v>58.03</v>
      </c>
    </row>
    <row r="525" spans="1:7" x14ac:dyDescent="0.35">
      <c r="A525" t="s">
        <v>5218</v>
      </c>
      <c r="B525" t="s">
        <v>1373</v>
      </c>
      <c r="C525" s="1">
        <v>45417</v>
      </c>
      <c r="D525" s="1" t="str">
        <f>TEXT(Payments_Cleaned[[#This Row],[payment_date]],"mmm-yyyy")</f>
        <v>May-2024</v>
      </c>
      <c r="E525" s="2">
        <v>3306.98</v>
      </c>
      <c r="F525" t="s">
        <v>4694</v>
      </c>
      <c r="G525" s="2">
        <v>868.63</v>
      </c>
    </row>
    <row r="526" spans="1:7" x14ac:dyDescent="0.35">
      <c r="A526" t="s">
        <v>5219</v>
      </c>
      <c r="B526" t="s">
        <v>1374</v>
      </c>
      <c r="C526" s="1">
        <v>45437</v>
      </c>
      <c r="D526" s="1" t="str">
        <f>TEXT(Payments_Cleaned[[#This Row],[payment_date]],"mmm-yyyy")</f>
        <v>May-2024</v>
      </c>
      <c r="E526" s="2">
        <v>607.70000000000005</v>
      </c>
      <c r="F526" t="s">
        <v>4694</v>
      </c>
      <c r="G526" s="2">
        <v>100.96</v>
      </c>
    </row>
    <row r="527" spans="1:7" x14ac:dyDescent="0.35">
      <c r="A527" t="s">
        <v>5220</v>
      </c>
      <c r="B527" t="s">
        <v>1376</v>
      </c>
      <c r="C527" s="1">
        <v>45360</v>
      </c>
      <c r="D527" s="1" t="str">
        <f>TEXT(Payments_Cleaned[[#This Row],[payment_date]],"mmm-yyyy")</f>
        <v>Mar-2024</v>
      </c>
      <c r="E527" s="2">
        <v>3662.63</v>
      </c>
      <c r="F527" t="s">
        <v>4694</v>
      </c>
      <c r="G527" s="2">
        <v>1575.75</v>
      </c>
    </row>
    <row r="528" spans="1:7" x14ac:dyDescent="0.35">
      <c r="A528" t="s">
        <v>5221</v>
      </c>
      <c r="B528" t="s">
        <v>1378</v>
      </c>
      <c r="C528" s="1">
        <v>45290</v>
      </c>
      <c r="D528" s="1" t="str">
        <f>TEXT(Payments_Cleaned[[#This Row],[payment_date]],"mmm-yyyy")</f>
        <v>Dec-2023</v>
      </c>
      <c r="E528" s="2">
        <v>86.5</v>
      </c>
      <c r="F528" t="s">
        <v>4694</v>
      </c>
      <c r="G528" s="2">
        <v>31.36</v>
      </c>
    </row>
    <row r="529" spans="1:7" x14ac:dyDescent="0.35">
      <c r="A529" t="s">
        <v>5222</v>
      </c>
      <c r="B529" t="s">
        <v>1379</v>
      </c>
      <c r="C529" s="1">
        <v>45336</v>
      </c>
      <c r="D529" s="1" t="str">
        <f>TEXT(Payments_Cleaned[[#This Row],[payment_date]],"mmm-yyyy")</f>
        <v>Feb-2024</v>
      </c>
      <c r="E529" s="2">
        <v>2023.63</v>
      </c>
      <c r="F529" t="s">
        <v>4694</v>
      </c>
      <c r="G529" s="2">
        <v>260.35000000000002</v>
      </c>
    </row>
    <row r="530" spans="1:7" x14ac:dyDescent="0.35">
      <c r="A530" t="s">
        <v>5223</v>
      </c>
      <c r="B530" t="s">
        <v>1380</v>
      </c>
      <c r="C530" s="1">
        <v>45642</v>
      </c>
      <c r="D530" s="1" t="str">
        <f>TEXT(Payments_Cleaned[[#This Row],[payment_date]],"mmm-yyyy")</f>
        <v>Dec-2024</v>
      </c>
      <c r="E530" s="2">
        <v>492.29</v>
      </c>
      <c r="F530" t="s">
        <v>4694</v>
      </c>
      <c r="G530" s="2">
        <v>97.46</v>
      </c>
    </row>
    <row r="531" spans="1:7" x14ac:dyDescent="0.35">
      <c r="A531" t="s">
        <v>5224</v>
      </c>
      <c r="B531" t="s">
        <v>1381</v>
      </c>
      <c r="C531" s="1">
        <v>45572</v>
      </c>
      <c r="D531" s="1" t="str">
        <f>TEXT(Payments_Cleaned[[#This Row],[payment_date]],"mmm-yyyy")</f>
        <v>Oct-2024</v>
      </c>
      <c r="E531" s="2">
        <v>318.44</v>
      </c>
      <c r="F531" t="s">
        <v>4694</v>
      </c>
      <c r="G531" s="2">
        <v>44.03</v>
      </c>
    </row>
    <row r="532" spans="1:7" x14ac:dyDescent="0.35">
      <c r="A532" t="s">
        <v>5225</v>
      </c>
      <c r="B532" t="s">
        <v>1383</v>
      </c>
      <c r="C532" s="1">
        <v>45166</v>
      </c>
      <c r="D532" s="1" t="str">
        <f>TEXT(Payments_Cleaned[[#This Row],[payment_date]],"mmm-yyyy")</f>
        <v>Aug-2023</v>
      </c>
      <c r="E532" s="2">
        <v>2015.28</v>
      </c>
      <c r="F532" t="s">
        <v>4694</v>
      </c>
      <c r="G532" s="2">
        <v>378.59</v>
      </c>
    </row>
    <row r="533" spans="1:7" x14ac:dyDescent="0.35">
      <c r="A533" t="s">
        <v>5226</v>
      </c>
      <c r="B533" t="s">
        <v>1384</v>
      </c>
      <c r="C533" s="1">
        <v>45436</v>
      </c>
      <c r="D533" s="1" t="str">
        <f>TEXT(Payments_Cleaned[[#This Row],[payment_date]],"mmm-yyyy")</f>
        <v>May-2024</v>
      </c>
      <c r="E533" s="2">
        <v>187.19</v>
      </c>
      <c r="F533" t="s">
        <v>4694</v>
      </c>
      <c r="G533" s="2">
        <v>87.99</v>
      </c>
    </row>
    <row r="534" spans="1:7" x14ac:dyDescent="0.35">
      <c r="A534" t="s">
        <v>5227</v>
      </c>
      <c r="B534" t="s">
        <v>1385</v>
      </c>
      <c r="C534" s="1">
        <v>44994</v>
      </c>
      <c r="D534" s="1" t="str">
        <f>TEXT(Payments_Cleaned[[#This Row],[payment_date]],"mmm-yyyy")</f>
        <v>Mar-2023</v>
      </c>
      <c r="E534" s="2">
        <v>4311.51</v>
      </c>
      <c r="F534" t="s">
        <v>4694</v>
      </c>
      <c r="G534" s="2">
        <v>1543.83</v>
      </c>
    </row>
    <row r="535" spans="1:7" x14ac:dyDescent="0.35">
      <c r="A535" t="s">
        <v>5228</v>
      </c>
      <c r="B535" t="s">
        <v>1387</v>
      </c>
      <c r="C535" s="1">
        <v>45600</v>
      </c>
      <c r="D535" s="1" t="str">
        <f>TEXT(Payments_Cleaned[[#This Row],[payment_date]],"mmm-yyyy")</f>
        <v>Nov-2024</v>
      </c>
      <c r="E535" s="2">
        <v>111.93</v>
      </c>
      <c r="F535" t="s">
        <v>4694</v>
      </c>
      <c r="G535" s="2">
        <v>24.65</v>
      </c>
    </row>
    <row r="536" spans="1:7" x14ac:dyDescent="0.35">
      <c r="A536" t="s">
        <v>5229</v>
      </c>
      <c r="B536" t="s">
        <v>1388</v>
      </c>
      <c r="C536" s="1">
        <v>45388</v>
      </c>
      <c r="D536" s="1" t="str">
        <f>TEXT(Payments_Cleaned[[#This Row],[payment_date]],"mmm-yyyy")</f>
        <v>Apr-2024</v>
      </c>
      <c r="E536" s="2">
        <v>315.20999999999998</v>
      </c>
      <c r="F536" t="s">
        <v>4694</v>
      </c>
      <c r="G536" s="2">
        <v>108.89</v>
      </c>
    </row>
    <row r="537" spans="1:7" x14ac:dyDescent="0.35">
      <c r="A537" t="s">
        <v>5230</v>
      </c>
      <c r="B537" t="s">
        <v>1389</v>
      </c>
      <c r="C537" s="1">
        <v>45341</v>
      </c>
      <c r="D537" s="1" t="str">
        <f>TEXT(Payments_Cleaned[[#This Row],[payment_date]],"mmm-yyyy")</f>
        <v>Feb-2024</v>
      </c>
      <c r="E537" s="2">
        <v>314.22000000000003</v>
      </c>
      <c r="F537" t="s">
        <v>4697</v>
      </c>
      <c r="G537" s="2">
        <v>108.7</v>
      </c>
    </row>
    <row r="538" spans="1:7" x14ac:dyDescent="0.35">
      <c r="A538" t="s">
        <v>5231</v>
      </c>
      <c r="B538" t="s">
        <v>1390</v>
      </c>
      <c r="C538" s="1">
        <v>45301</v>
      </c>
      <c r="D538" s="1" t="str">
        <f>TEXT(Payments_Cleaned[[#This Row],[payment_date]],"mmm-yyyy")</f>
        <v>Jan-2024</v>
      </c>
      <c r="E538" s="2">
        <v>810.85</v>
      </c>
      <c r="F538" t="s">
        <v>4694</v>
      </c>
      <c r="G538" s="2">
        <v>128.6</v>
      </c>
    </row>
    <row r="539" spans="1:7" x14ac:dyDescent="0.35">
      <c r="A539" t="s">
        <v>5232</v>
      </c>
      <c r="B539" t="s">
        <v>1391</v>
      </c>
      <c r="C539" s="1">
        <v>45389</v>
      </c>
      <c r="D539" s="1" t="str">
        <f>TEXT(Payments_Cleaned[[#This Row],[payment_date]],"mmm-yyyy")</f>
        <v>Apr-2024</v>
      </c>
      <c r="E539" s="2">
        <v>1003.97</v>
      </c>
      <c r="F539" t="s">
        <v>4694</v>
      </c>
      <c r="G539" s="2">
        <v>348.12</v>
      </c>
    </row>
    <row r="540" spans="1:7" x14ac:dyDescent="0.35">
      <c r="A540" t="s">
        <v>5233</v>
      </c>
      <c r="B540" t="s">
        <v>1393</v>
      </c>
      <c r="C540" s="1">
        <v>45028</v>
      </c>
      <c r="D540" s="1" t="str">
        <f>TEXT(Payments_Cleaned[[#This Row],[payment_date]],"mmm-yyyy")</f>
        <v>Apr-2023</v>
      </c>
      <c r="E540" s="2">
        <v>306.77</v>
      </c>
      <c r="F540" t="s">
        <v>4694</v>
      </c>
      <c r="G540" s="2">
        <v>126.34</v>
      </c>
    </row>
    <row r="541" spans="1:7" x14ac:dyDescent="0.35">
      <c r="A541" t="s">
        <v>5234</v>
      </c>
      <c r="B541" t="s">
        <v>1394</v>
      </c>
      <c r="C541" s="1">
        <v>45499</v>
      </c>
      <c r="D541" s="1" t="str">
        <f>TEXT(Payments_Cleaned[[#This Row],[payment_date]],"mmm-yyyy")</f>
        <v>Jul-2024</v>
      </c>
      <c r="E541" s="2">
        <v>231.63</v>
      </c>
      <c r="F541" t="s">
        <v>4694</v>
      </c>
      <c r="G541" s="2">
        <v>46.73</v>
      </c>
    </row>
    <row r="542" spans="1:7" x14ac:dyDescent="0.35">
      <c r="A542" t="s">
        <v>5235</v>
      </c>
      <c r="B542" t="s">
        <v>1395</v>
      </c>
      <c r="C542" s="1">
        <v>45606</v>
      </c>
      <c r="D542" s="1" t="str">
        <f>TEXT(Payments_Cleaned[[#This Row],[payment_date]],"mmm-yyyy")</f>
        <v>Nov-2024</v>
      </c>
      <c r="E542" s="2">
        <v>594.41999999999996</v>
      </c>
      <c r="F542" t="s">
        <v>4694</v>
      </c>
      <c r="G542" s="2">
        <v>143.06</v>
      </c>
    </row>
    <row r="543" spans="1:7" x14ac:dyDescent="0.35">
      <c r="A543" t="s">
        <v>5236</v>
      </c>
      <c r="B543" t="s">
        <v>1396</v>
      </c>
      <c r="C543" s="1">
        <v>45119</v>
      </c>
      <c r="D543" s="1" t="str">
        <f>TEXT(Payments_Cleaned[[#This Row],[payment_date]],"mmm-yyyy")</f>
        <v>Jul-2023</v>
      </c>
      <c r="E543" s="2">
        <v>521.46</v>
      </c>
      <c r="F543" t="s">
        <v>4694</v>
      </c>
      <c r="G543" s="2">
        <v>221.96</v>
      </c>
    </row>
    <row r="544" spans="1:7" x14ac:dyDescent="0.35">
      <c r="A544" t="s">
        <v>5237</v>
      </c>
      <c r="B544" t="s">
        <v>1397</v>
      </c>
      <c r="C544" s="1">
        <v>45387</v>
      </c>
      <c r="D544" s="1" t="str">
        <f>TEXT(Payments_Cleaned[[#This Row],[payment_date]],"mmm-yyyy")</f>
        <v>Apr-2024</v>
      </c>
      <c r="E544" s="2">
        <v>534.51</v>
      </c>
      <c r="F544" t="s">
        <v>4694</v>
      </c>
      <c r="G544" s="2">
        <v>124.76</v>
      </c>
    </row>
    <row r="545" spans="1:7" x14ac:dyDescent="0.35">
      <c r="A545" t="s">
        <v>5238</v>
      </c>
      <c r="B545" t="s">
        <v>1402</v>
      </c>
      <c r="C545" s="1">
        <v>45219</v>
      </c>
      <c r="D545" s="1" t="str">
        <f>TEXT(Payments_Cleaned[[#This Row],[payment_date]],"mmm-yyyy")</f>
        <v>Oct-2023</v>
      </c>
      <c r="E545" s="2">
        <v>839.96</v>
      </c>
      <c r="F545" t="s">
        <v>4694</v>
      </c>
      <c r="G545" s="2">
        <v>95.43</v>
      </c>
    </row>
    <row r="546" spans="1:7" x14ac:dyDescent="0.35">
      <c r="A546" t="s">
        <v>5239</v>
      </c>
      <c r="B546" t="s">
        <v>1403</v>
      </c>
      <c r="C546" s="1">
        <v>45096</v>
      </c>
      <c r="D546" s="1" t="str">
        <f>TEXT(Payments_Cleaned[[#This Row],[payment_date]],"mmm-yyyy")</f>
        <v>Jun-2023</v>
      </c>
      <c r="E546" s="2">
        <v>289.19</v>
      </c>
      <c r="F546" t="s">
        <v>4694</v>
      </c>
      <c r="G546" s="2">
        <v>98.91</v>
      </c>
    </row>
    <row r="547" spans="1:7" x14ac:dyDescent="0.35">
      <c r="A547" t="s">
        <v>5240</v>
      </c>
      <c r="B547" t="s">
        <v>1404</v>
      </c>
      <c r="C547" s="1">
        <v>45201</v>
      </c>
      <c r="D547" s="1" t="str">
        <f>TEXT(Payments_Cleaned[[#This Row],[payment_date]],"mmm-yyyy")</f>
        <v>Oct-2023</v>
      </c>
      <c r="E547" s="2">
        <v>1174.78</v>
      </c>
      <c r="F547" t="s">
        <v>4694</v>
      </c>
      <c r="G547" s="2">
        <v>657.66</v>
      </c>
    </row>
    <row r="548" spans="1:7" x14ac:dyDescent="0.35">
      <c r="A548" t="s">
        <v>5241</v>
      </c>
      <c r="B548" t="s">
        <v>1405</v>
      </c>
      <c r="C548" s="1">
        <v>45492</v>
      </c>
      <c r="D548" s="1" t="str">
        <f>TEXT(Payments_Cleaned[[#This Row],[payment_date]],"mmm-yyyy")</f>
        <v>Jul-2024</v>
      </c>
      <c r="E548" s="2">
        <v>2501.0100000000002</v>
      </c>
      <c r="F548" t="s">
        <v>4694</v>
      </c>
      <c r="G548" s="2">
        <v>970.56</v>
      </c>
    </row>
    <row r="549" spans="1:7" x14ac:dyDescent="0.35">
      <c r="A549" t="s">
        <v>5242</v>
      </c>
      <c r="B549" t="s">
        <v>1406</v>
      </c>
      <c r="C549" s="1">
        <v>45447</v>
      </c>
      <c r="D549" s="1" t="str">
        <f>TEXT(Payments_Cleaned[[#This Row],[payment_date]],"mmm-yyyy")</f>
        <v>Jun-2024</v>
      </c>
      <c r="E549" s="2">
        <v>83.96</v>
      </c>
      <c r="F549" t="s">
        <v>4694</v>
      </c>
      <c r="G549" s="2">
        <v>10.31</v>
      </c>
    </row>
    <row r="550" spans="1:7" x14ac:dyDescent="0.35">
      <c r="A550" t="s">
        <v>5243</v>
      </c>
      <c r="B550" t="s">
        <v>1407</v>
      </c>
      <c r="C550" s="1">
        <v>45079</v>
      </c>
      <c r="D550" s="1" t="str">
        <f>TEXT(Payments_Cleaned[[#This Row],[payment_date]],"mmm-yyyy")</f>
        <v>Jun-2023</v>
      </c>
      <c r="E550" s="2">
        <v>650.77</v>
      </c>
      <c r="F550" t="s">
        <v>4694</v>
      </c>
      <c r="G550" s="2">
        <v>211.96</v>
      </c>
    </row>
    <row r="551" spans="1:7" x14ac:dyDescent="0.35">
      <c r="A551" t="s">
        <v>5244</v>
      </c>
      <c r="B551" t="s">
        <v>1408</v>
      </c>
      <c r="C551" s="1">
        <v>45083</v>
      </c>
      <c r="D551" s="1" t="str">
        <f>TEXT(Payments_Cleaned[[#This Row],[payment_date]],"mmm-yyyy")</f>
        <v>Jun-2023</v>
      </c>
      <c r="E551" s="2">
        <v>97.69</v>
      </c>
      <c r="F551" t="s">
        <v>4694</v>
      </c>
      <c r="G551" s="2">
        <v>12.79</v>
      </c>
    </row>
    <row r="552" spans="1:7" x14ac:dyDescent="0.35">
      <c r="A552" t="s">
        <v>5245</v>
      </c>
      <c r="B552" t="s">
        <v>1412</v>
      </c>
      <c r="C552" s="1">
        <v>45004</v>
      </c>
      <c r="D552" s="1" t="str">
        <f>TEXT(Payments_Cleaned[[#This Row],[payment_date]],"mmm-yyyy")</f>
        <v>Mar-2023</v>
      </c>
      <c r="E552" s="2">
        <v>319.89999999999998</v>
      </c>
      <c r="F552" t="s">
        <v>4694</v>
      </c>
      <c r="G552" s="2">
        <v>73.62</v>
      </c>
    </row>
    <row r="553" spans="1:7" x14ac:dyDescent="0.35">
      <c r="A553" t="s">
        <v>5246</v>
      </c>
      <c r="B553" t="s">
        <v>1413</v>
      </c>
      <c r="C553" s="1">
        <v>45050</v>
      </c>
      <c r="D553" s="1" t="str">
        <f>TEXT(Payments_Cleaned[[#This Row],[payment_date]],"mmm-yyyy")</f>
        <v>May-2023</v>
      </c>
      <c r="E553" s="2">
        <v>753.77</v>
      </c>
      <c r="F553" t="s">
        <v>4694</v>
      </c>
      <c r="G553" s="2">
        <v>157.81</v>
      </c>
    </row>
    <row r="554" spans="1:7" x14ac:dyDescent="0.35">
      <c r="A554" t="s">
        <v>5247</v>
      </c>
      <c r="B554" t="s">
        <v>1414</v>
      </c>
      <c r="C554" s="1">
        <v>45608</v>
      </c>
      <c r="D554" s="1" t="str">
        <f>TEXT(Payments_Cleaned[[#This Row],[payment_date]],"mmm-yyyy")</f>
        <v>Nov-2024</v>
      </c>
      <c r="E554" s="2">
        <v>897.1</v>
      </c>
      <c r="F554" t="s">
        <v>4694</v>
      </c>
      <c r="G554" s="2">
        <v>443.22</v>
      </c>
    </row>
    <row r="555" spans="1:7" x14ac:dyDescent="0.35">
      <c r="A555" t="s">
        <v>5248</v>
      </c>
      <c r="B555" t="s">
        <v>1415</v>
      </c>
      <c r="C555" s="1">
        <v>45679</v>
      </c>
      <c r="D555" s="1" t="str">
        <f>TEXT(Payments_Cleaned[[#This Row],[payment_date]],"mmm-yyyy")</f>
        <v>Jan-2025</v>
      </c>
      <c r="E555" s="2">
        <v>91.15</v>
      </c>
      <c r="F555" t="s">
        <v>4694</v>
      </c>
      <c r="G555" s="2">
        <v>12.2</v>
      </c>
    </row>
    <row r="556" spans="1:7" x14ac:dyDescent="0.35">
      <c r="A556" t="s">
        <v>5249</v>
      </c>
      <c r="B556" t="s">
        <v>1416</v>
      </c>
      <c r="C556" s="1">
        <v>45181</v>
      </c>
      <c r="D556" s="1" t="str">
        <f>TEXT(Payments_Cleaned[[#This Row],[payment_date]],"mmm-yyyy")</f>
        <v>Sep-2023</v>
      </c>
      <c r="E556" s="2">
        <v>268.12</v>
      </c>
      <c r="F556" t="s">
        <v>4694</v>
      </c>
      <c r="G556" s="2">
        <v>64.14</v>
      </c>
    </row>
    <row r="557" spans="1:7" x14ac:dyDescent="0.35">
      <c r="A557" t="s">
        <v>5250</v>
      </c>
      <c r="B557" t="s">
        <v>1417</v>
      </c>
      <c r="C557" s="1">
        <v>45350</v>
      </c>
      <c r="D557" s="1" t="str">
        <f>TEXT(Payments_Cleaned[[#This Row],[payment_date]],"mmm-yyyy")</f>
        <v>Feb-2024</v>
      </c>
      <c r="E557" s="2">
        <v>82.76</v>
      </c>
      <c r="F557" t="s">
        <v>4694</v>
      </c>
      <c r="G557" s="2">
        <v>29.11</v>
      </c>
    </row>
    <row r="558" spans="1:7" x14ac:dyDescent="0.35">
      <c r="A558" t="s">
        <v>5251</v>
      </c>
      <c r="B558" t="s">
        <v>1418</v>
      </c>
      <c r="C558" s="1">
        <v>45033</v>
      </c>
      <c r="D558" s="1" t="str">
        <f>TEXT(Payments_Cleaned[[#This Row],[payment_date]],"mmm-yyyy")</f>
        <v>Apr-2023</v>
      </c>
      <c r="E558" s="2">
        <v>6212.93</v>
      </c>
      <c r="F558" t="s">
        <v>4694</v>
      </c>
      <c r="G558" s="2">
        <v>1295.25</v>
      </c>
    </row>
    <row r="559" spans="1:7" x14ac:dyDescent="0.35">
      <c r="A559" t="s">
        <v>5252</v>
      </c>
      <c r="B559" t="s">
        <v>1419</v>
      </c>
      <c r="C559" s="1">
        <v>45004</v>
      </c>
      <c r="D559" s="1" t="str">
        <f>TEXT(Payments_Cleaned[[#This Row],[payment_date]],"mmm-yyyy")</f>
        <v>Mar-2023</v>
      </c>
      <c r="E559" s="2">
        <v>340.35</v>
      </c>
      <c r="F559" t="s">
        <v>4694</v>
      </c>
      <c r="G559" s="2">
        <v>150.12</v>
      </c>
    </row>
    <row r="560" spans="1:7" x14ac:dyDescent="0.35">
      <c r="A560" t="s">
        <v>5253</v>
      </c>
      <c r="B560" t="s">
        <v>1420</v>
      </c>
      <c r="C560" s="1">
        <v>45396</v>
      </c>
      <c r="D560" s="1" t="str">
        <f>TEXT(Payments_Cleaned[[#This Row],[payment_date]],"mmm-yyyy")</f>
        <v>Apr-2024</v>
      </c>
      <c r="E560" s="2">
        <v>271.52999999999997</v>
      </c>
      <c r="F560" t="s">
        <v>4694</v>
      </c>
      <c r="G560" s="2">
        <v>127.51</v>
      </c>
    </row>
    <row r="561" spans="1:7" x14ac:dyDescent="0.35">
      <c r="A561" t="s">
        <v>5254</v>
      </c>
      <c r="B561" t="s">
        <v>1421</v>
      </c>
      <c r="C561" s="1">
        <v>45601</v>
      </c>
      <c r="D561" s="1" t="str">
        <f>TEXT(Payments_Cleaned[[#This Row],[payment_date]],"mmm-yyyy")</f>
        <v>Nov-2024</v>
      </c>
      <c r="E561" s="2">
        <v>138.61000000000001</v>
      </c>
      <c r="F561" t="s">
        <v>4694</v>
      </c>
      <c r="G561" s="2">
        <v>83.25</v>
      </c>
    </row>
    <row r="562" spans="1:7" x14ac:dyDescent="0.35">
      <c r="A562" t="s">
        <v>5255</v>
      </c>
      <c r="B562" t="s">
        <v>1422</v>
      </c>
      <c r="C562" s="1">
        <v>45460</v>
      </c>
      <c r="D562" s="1" t="str">
        <f>TEXT(Payments_Cleaned[[#This Row],[payment_date]],"mmm-yyyy")</f>
        <v>Jun-2024</v>
      </c>
      <c r="E562" s="2">
        <v>738.14</v>
      </c>
      <c r="F562" t="s">
        <v>4694</v>
      </c>
      <c r="G562" s="2">
        <v>91.79</v>
      </c>
    </row>
    <row r="563" spans="1:7" x14ac:dyDescent="0.35">
      <c r="A563" t="s">
        <v>5256</v>
      </c>
      <c r="B563" t="s">
        <v>1423</v>
      </c>
      <c r="C563" s="1">
        <v>45056</v>
      </c>
      <c r="D563" s="1" t="str">
        <f>TEXT(Payments_Cleaned[[#This Row],[payment_date]],"mmm-yyyy")</f>
        <v>May-2023</v>
      </c>
      <c r="E563" s="2">
        <v>822.73</v>
      </c>
      <c r="F563" t="s">
        <v>4694</v>
      </c>
      <c r="G563" s="2">
        <v>177.22</v>
      </c>
    </row>
    <row r="564" spans="1:7" x14ac:dyDescent="0.35">
      <c r="A564" t="s">
        <v>5257</v>
      </c>
      <c r="B564" t="s">
        <v>1424</v>
      </c>
      <c r="C564" s="1">
        <v>45226</v>
      </c>
      <c r="D564" s="1" t="str">
        <f>TEXT(Payments_Cleaned[[#This Row],[payment_date]],"mmm-yyyy")</f>
        <v>Oct-2023</v>
      </c>
      <c r="E564" s="2">
        <v>551.97</v>
      </c>
      <c r="F564" t="s">
        <v>4694</v>
      </c>
      <c r="G564" s="2">
        <v>92.03</v>
      </c>
    </row>
    <row r="565" spans="1:7" x14ac:dyDescent="0.35">
      <c r="A565" t="s">
        <v>5258</v>
      </c>
      <c r="B565" t="s">
        <v>1425</v>
      </c>
      <c r="C565" s="1">
        <v>45006</v>
      </c>
      <c r="D565" s="1" t="str">
        <f>TEXT(Payments_Cleaned[[#This Row],[payment_date]],"mmm-yyyy")</f>
        <v>Mar-2023</v>
      </c>
      <c r="E565" s="2">
        <v>152.49</v>
      </c>
      <c r="F565" t="s">
        <v>4694</v>
      </c>
      <c r="G565" s="2">
        <v>29.43</v>
      </c>
    </row>
    <row r="566" spans="1:7" x14ac:dyDescent="0.35">
      <c r="A566" t="s">
        <v>5259</v>
      </c>
      <c r="B566" t="s">
        <v>1426</v>
      </c>
      <c r="C566" s="1">
        <v>45044</v>
      </c>
      <c r="D566" s="1" t="str">
        <f>TEXT(Payments_Cleaned[[#This Row],[payment_date]],"mmm-yyyy")</f>
        <v>Apr-2023</v>
      </c>
      <c r="E566" s="2">
        <v>4575.0200000000004</v>
      </c>
      <c r="F566" t="s">
        <v>4694</v>
      </c>
      <c r="G566" s="2">
        <v>852.15</v>
      </c>
    </row>
    <row r="567" spans="1:7" x14ac:dyDescent="0.35">
      <c r="A567" t="s">
        <v>5260</v>
      </c>
      <c r="B567" t="s">
        <v>1429</v>
      </c>
      <c r="C567" s="1">
        <v>45253</v>
      </c>
      <c r="D567" s="1" t="str">
        <f>TEXT(Payments_Cleaned[[#This Row],[payment_date]],"mmm-yyyy")</f>
        <v>Nov-2023</v>
      </c>
      <c r="E567" s="2">
        <v>445.59</v>
      </c>
      <c r="F567" t="s">
        <v>4694</v>
      </c>
      <c r="G567" s="2">
        <v>125.98</v>
      </c>
    </row>
    <row r="568" spans="1:7" x14ac:dyDescent="0.35">
      <c r="A568" t="s">
        <v>5261</v>
      </c>
      <c r="B568" t="s">
        <v>1430</v>
      </c>
      <c r="C568" s="1">
        <v>45635</v>
      </c>
      <c r="D568" s="1" t="str">
        <f>TEXT(Payments_Cleaned[[#This Row],[payment_date]],"mmm-yyyy")</f>
        <v>Dec-2024</v>
      </c>
      <c r="E568" s="2">
        <v>223</v>
      </c>
      <c r="F568" t="s">
        <v>4694</v>
      </c>
      <c r="G568" s="2">
        <v>96.73</v>
      </c>
    </row>
    <row r="569" spans="1:7" x14ac:dyDescent="0.35">
      <c r="A569" t="s">
        <v>5262</v>
      </c>
      <c r="B569" t="s">
        <v>1431</v>
      </c>
      <c r="C569" s="1">
        <v>45323</v>
      </c>
      <c r="D569" s="1" t="str">
        <f>TEXT(Payments_Cleaned[[#This Row],[payment_date]],"mmm-yyyy")</f>
        <v>Feb-2024</v>
      </c>
      <c r="E569" s="2">
        <v>117.7</v>
      </c>
      <c r="F569" t="s">
        <v>4694</v>
      </c>
      <c r="G569" s="2">
        <v>27.21</v>
      </c>
    </row>
    <row r="570" spans="1:7" x14ac:dyDescent="0.35">
      <c r="A570" t="s">
        <v>5263</v>
      </c>
      <c r="B570" t="s">
        <v>1432</v>
      </c>
      <c r="C570" s="1">
        <v>45331</v>
      </c>
      <c r="D570" s="1" t="str">
        <f>TEXT(Payments_Cleaned[[#This Row],[payment_date]],"mmm-yyyy")</f>
        <v>Feb-2024</v>
      </c>
      <c r="E570" s="2">
        <v>110.32</v>
      </c>
      <c r="F570" t="s">
        <v>4694</v>
      </c>
      <c r="G570" s="2">
        <v>41.21</v>
      </c>
    </row>
    <row r="571" spans="1:7" x14ac:dyDescent="0.35">
      <c r="A571" t="s">
        <v>5264</v>
      </c>
      <c r="B571" t="s">
        <v>1433</v>
      </c>
      <c r="C571" s="1">
        <v>45292</v>
      </c>
      <c r="D571" s="1" t="str">
        <f>TEXT(Payments_Cleaned[[#This Row],[payment_date]],"mmm-yyyy")</f>
        <v>Jan-2024</v>
      </c>
      <c r="E571" s="2">
        <v>403.48</v>
      </c>
      <c r="F571" t="s">
        <v>4694</v>
      </c>
      <c r="G571" s="2">
        <v>21.83</v>
      </c>
    </row>
    <row r="572" spans="1:7" x14ac:dyDescent="0.35">
      <c r="A572" t="s">
        <v>5265</v>
      </c>
      <c r="B572" t="s">
        <v>1434</v>
      </c>
      <c r="C572" s="1">
        <v>45507</v>
      </c>
      <c r="D572" s="1" t="str">
        <f>TEXT(Payments_Cleaned[[#This Row],[payment_date]],"mmm-yyyy")</f>
        <v>Aug-2024</v>
      </c>
      <c r="E572" s="2">
        <v>1207.01</v>
      </c>
      <c r="F572" t="s">
        <v>4694</v>
      </c>
      <c r="G572" s="2">
        <v>708.12</v>
      </c>
    </row>
    <row r="573" spans="1:7" x14ac:dyDescent="0.35">
      <c r="A573" t="s">
        <v>5266</v>
      </c>
      <c r="B573" t="s">
        <v>1435</v>
      </c>
      <c r="C573" s="1">
        <v>45303</v>
      </c>
      <c r="D573" s="1" t="str">
        <f>TEXT(Payments_Cleaned[[#This Row],[payment_date]],"mmm-yyyy")</f>
        <v>Jan-2024</v>
      </c>
      <c r="E573" s="2">
        <v>76.47</v>
      </c>
      <c r="F573" t="s">
        <v>4694</v>
      </c>
      <c r="G573" s="2">
        <v>34.47</v>
      </c>
    </row>
    <row r="574" spans="1:7" x14ac:dyDescent="0.35">
      <c r="A574" t="s">
        <v>5267</v>
      </c>
      <c r="B574" t="s">
        <v>1436</v>
      </c>
      <c r="C574" s="1">
        <v>45389</v>
      </c>
      <c r="D574" s="1" t="str">
        <f>TEXT(Payments_Cleaned[[#This Row],[payment_date]],"mmm-yyyy")</f>
        <v>Apr-2024</v>
      </c>
      <c r="E574" s="2">
        <v>2100.8000000000002</v>
      </c>
      <c r="F574" t="s">
        <v>4694</v>
      </c>
      <c r="G574" s="2">
        <v>1087.1400000000001</v>
      </c>
    </row>
    <row r="575" spans="1:7" x14ac:dyDescent="0.35">
      <c r="A575" t="s">
        <v>5268</v>
      </c>
      <c r="B575" t="s">
        <v>1437</v>
      </c>
      <c r="C575" s="1">
        <v>45083</v>
      </c>
      <c r="D575" s="1" t="str">
        <f>TEXT(Payments_Cleaned[[#This Row],[payment_date]],"mmm-yyyy")</f>
        <v>Jun-2023</v>
      </c>
      <c r="E575" s="2">
        <v>268.13</v>
      </c>
      <c r="F575" t="s">
        <v>4694</v>
      </c>
      <c r="G575" s="2">
        <v>30.73</v>
      </c>
    </row>
    <row r="576" spans="1:7" x14ac:dyDescent="0.35">
      <c r="A576" t="s">
        <v>5269</v>
      </c>
      <c r="B576" t="s">
        <v>1438</v>
      </c>
      <c r="C576" s="1">
        <v>45521</v>
      </c>
      <c r="D576" s="1" t="str">
        <f>TEXT(Payments_Cleaned[[#This Row],[payment_date]],"mmm-yyyy")</f>
        <v>Aug-2024</v>
      </c>
      <c r="E576" s="2">
        <v>267.06</v>
      </c>
      <c r="F576" t="s">
        <v>4694</v>
      </c>
      <c r="G576" s="2">
        <v>143.11000000000001</v>
      </c>
    </row>
    <row r="577" spans="1:7" x14ac:dyDescent="0.35">
      <c r="A577" t="s">
        <v>5270</v>
      </c>
      <c r="B577" t="s">
        <v>1440</v>
      </c>
      <c r="C577" s="1">
        <v>45306</v>
      </c>
      <c r="D577" s="1" t="str">
        <f>TEXT(Payments_Cleaned[[#This Row],[payment_date]],"mmm-yyyy")</f>
        <v>Jan-2024</v>
      </c>
      <c r="E577" s="2">
        <v>125.97</v>
      </c>
      <c r="F577" t="s">
        <v>4694</v>
      </c>
      <c r="G577" s="2">
        <v>19.62</v>
      </c>
    </row>
    <row r="578" spans="1:7" x14ac:dyDescent="0.35">
      <c r="A578" t="s">
        <v>5271</v>
      </c>
      <c r="B578" t="s">
        <v>1441</v>
      </c>
      <c r="C578" s="1">
        <v>45332</v>
      </c>
      <c r="D578" s="1" t="str">
        <f>TEXT(Payments_Cleaned[[#This Row],[payment_date]],"mmm-yyyy")</f>
        <v>Feb-2024</v>
      </c>
      <c r="E578" s="2">
        <v>920.6</v>
      </c>
      <c r="F578" t="s">
        <v>4694</v>
      </c>
      <c r="G578" s="2">
        <v>198.94</v>
      </c>
    </row>
    <row r="579" spans="1:7" x14ac:dyDescent="0.35">
      <c r="A579" t="s">
        <v>5272</v>
      </c>
      <c r="B579" t="s">
        <v>1444</v>
      </c>
      <c r="C579" s="1">
        <v>45119</v>
      </c>
      <c r="D579" s="1" t="str">
        <f>TEXT(Payments_Cleaned[[#This Row],[payment_date]],"mmm-yyyy")</f>
        <v>Jul-2023</v>
      </c>
      <c r="E579" s="2">
        <v>1503.58</v>
      </c>
      <c r="F579" t="s">
        <v>4694</v>
      </c>
      <c r="G579" s="2">
        <v>200.29</v>
      </c>
    </row>
    <row r="580" spans="1:7" x14ac:dyDescent="0.35">
      <c r="A580" t="s">
        <v>5273</v>
      </c>
      <c r="B580" t="s">
        <v>1445</v>
      </c>
      <c r="C580" s="1">
        <v>45333</v>
      </c>
      <c r="D580" s="1" t="str">
        <f>TEXT(Payments_Cleaned[[#This Row],[payment_date]],"mmm-yyyy")</f>
        <v>Feb-2024</v>
      </c>
      <c r="E580" s="2">
        <v>887.75</v>
      </c>
      <c r="F580" t="s">
        <v>4694</v>
      </c>
      <c r="G580" s="2">
        <v>409.07</v>
      </c>
    </row>
    <row r="581" spans="1:7" x14ac:dyDescent="0.35">
      <c r="A581" t="s">
        <v>5274</v>
      </c>
      <c r="B581" t="s">
        <v>1446</v>
      </c>
      <c r="C581" s="1">
        <v>45464</v>
      </c>
      <c r="D581" s="1" t="str">
        <f>TEXT(Payments_Cleaned[[#This Row],[payment_date]],"mmm-yyyy")</f>
        <v>Jun-2024</v>
      </c>
      <c r="E581" s="2">
        <v>41.79</v>
      </c>
      <c r="F581" t="s">
        <v>4694</v>
      </c>
      <c r="G581" s="2">
        <v>5.9</v>
      </c>
    </row>
    <row r="582" spans="1:7" x14ac:dyDescent="0.35">
      <c r="A582" t="s">
        <v>5275</v>
      </c>
      <c r="B582" t="s">
        <v>1447</v>
      </c>
      <c r="C582" s="1">
        <v>45336</v>
      </c>
      <c r="D582" s="1" t="str">
        <f>TEXT(Payments_Cleaned[[#This Row],[payment_date]],"mmm-yyyy")</f>
        <v>Feb-2024</v>
      </c>
      <c r="E582" s="2">
        <v>867.49</v>
      </c>
      <c r="F582" t="s">
        <v>4694</v>
      </c>
      <c r="G582" s="2">
        <v>232.85</v>
      </c>
    </row>
    <row r="583" spans="1:7" x14ac:dyDescent="0.35">
      <c r="A583" t="s">
        <v>5276</v>
      </c>
      <c r="B583" t="s">
        <v>1450</v>
      </c>
      <c r="C583" s="1">
        <v>45596</v>
      </c>
      <c r="D583" s="1" t="str">
        <f>TEXT(Payments_Cleaned[[#This Row],[payment_date]],"mmm-yyyy")</f>
        <v>Oct-2024</v>
      </c>
      <c r="E583" s="2">
        <v>328.55</v>
      </c>
      <c r="F583" t="s">
        <v>4694</v>
      </c>
      <c r="G583" s="2">
        <v>15.91</v>
      </c>
    </row>
    <row r="584" spans="1:7" x14ac:dyDescent="0.35">
      <c r="A584" t="s">
        <v>5277</v>
      </c>
      <c r="B584" t="s">
        <v>1451</v>
      </c>
      <c r="C584" s="1">
        <v>45439</v>
      </c>
      <c r="D584" s="1" t="str">
        <f>TEXT(Payments_Cleaned[[#This Row],[payment_date]],"mmm-yyyy")</f>
        <v>May-2024</v>
      </c>
      <c r="E584" s="2">
        <v>191.39</v>
      </c>
      <c r="F584" t="s">
        <v>4697</v>
      </c>
      <c r="G584" s="2">
        <v>99.65</v>
      </c>
    </row>
    <row r="585" spans="1:7" x14ac:dyDescent="0.35">
      <c r="A585" t="s">
        <v>5278</v>
      </c>
      <c r="B585" t="s">
        <v>1452</v>
      </c>
      <c r="C585" s="1">
        <v>45074</v>
      </c>
      <c r="D585" s="1" t="str">
        <f>TEXT(Payments_Cleaned[[#This Row],[payment_date]],"mmm-yyyy")</f>
        <v>May-2023</v>
      </c>
      <c r="E585" s="2">
        <v>627.66</v>
      </c>
      <c r="F585" t="s">
        <v>4694</v>
      </c>
      <c r="G585" s="2">
        <v>102.73</v>
      </c>
    </row>
    <row r="586" spans="1:7" x14ac:dyDescent="0.35">
      <c r="A586" t="s">
        <v>5279</v>
      </c>
      <c r="B586" t="s">
        <v>1453</v>
      </c>
      <c r="C586" s="1">
        <v>45100</v>
      </c>
      <c r="D586" s="1" t="str">
        <f>TEXT(Payments_Cleaned[[#This Row],[payment_date]],"mmm-yyyy")</f>
        <v>Jun-2023</v>
      </c>
      <c r="E586" s="2">
        <v>97.39</v>
      </c>
      <c r="F586" t="s">
        <v>4694</v>
      </c>
      <c r="G586" s="2">
        <v>16.7</v>
      </c>
    </row>
    <row r="587" spans="1:7" x14ac:dyDescent="0.35">
      <c r="A587" t="s">
        <v>5280</v>
      </c>
      <c r="B587" t="s">
        <v>1456</v>
      </c>
      <c r="C587" s="1">
        <v>45229</v>
      </c>
      <c r="D587" s="1" t="str">
        <f>TEXT(Payments_Cleaned[[#This Row],[payment_date]],"mmm-yyyy")</f>
        <v>Oct-2023</v>
      </c>
      <c r="E587" s="2">
        <v>1394.08</v>
      </c>
      <c r="F587" t="s">
        <v>4694</v>
      </c>
      <c r="G587" s="2">
        <v>249.1</v>
      </c>
    </row>
    <row r="588" spans="1:7" x14ac:dyDescent="0.35">
      <c r="A588" t="s">
        <v>5281</v>
      </c>
      <c r="B588" t="s">
        <v>1457</v>
      </c>
      <c r="C588" s="1">
        <v>45065</v>
      </c>
      <c r="D588" s="1" t="str">
        <f>TEXT(Payments_Cleaned[[#This Row],[payment_date]],"mmm-yyyy")</f>
        <v>May-2023</v>
      </c>
      <c r="E588" s="2">
        <v>490.54</v>
      </c>
      <c r="F588" t="s">
        <v>4694</v>
      </c>
      <c r="G588" s="2">
        <v>155.37</v>
      </c>
    </row>
    <row r="589" spans="1:7" x14ac:dyDescent="0.35">
      <c r="A589" t="s">
        <v>5282</v>
      </c>
      <c r="B589" t="s">
        <v>1458</v>
      </c>
      <c r="C589" s="1">
        <v>45050</v>
      </c>
      <c r="D589" s="1" t="str">
        <f>TEXT(Payments_Cleaned[[#This Row],[payment_date]],"mmm-yyyy")</f>
        <v>May-2023</v>
      </c>
      <c r="E589" s="2">
        <v>1720.42</v>
      </c>
      <c r="F589" t="s">
        <v>4694</v>
      </c>
      <c r="G589" s="2">
        <v>608.59</v>
      </c>
    </row>
    <row r="590" spans="1:7" x14ac:dyDescent="0.35">
      <c r="A590" t="s">
        <v>5283</v>
      </c>
      <c r="B590" t="s">
        <v>1459</v>
      </c>
      <c r="C590" s="1">
        <v>45180</v>
      </c>
      <c r="D590" s="1" t="str">
        <f>TEXT(Payments_Cleaned[[#This Row],[payment_date]],"mmm-yyyy")</f>
        <v>Sep-2023</v>
      </c>
      <c r="E590" s="2">
        <v>1714.04</v>
      </c>
      <c r="F590" t="s">
        <v>4694</v>
      </c>
      <c r="G590" s="2">
        <v>405.04</v>
      </c>
    </row>
    <row r="591" spans="1:7" x14ac:dyDescent="0.35">
      <c r="A591" t="s">
        <v>5284</v>
      </c>
      <c r="B591" t="s">
        <v>1461</v>
      </c>
      <c r="C591" s="1">
        <v>45120</v>
      </c>
      <c r="D591" s="1" t="str">
        <f>TEXT(Payments_Cleaned[[#This Row],[payment_date]],"mmm-yyyy")</f>
        <v>Jul-2023</v>
      </c>
      <c r="E591" s="2">
        <v>271.12</v>
      </c>
      <c r="F591" t="s">
        <v>4697</v>
      </c>
      <c r="G591" s="2">
        <v>67.63</v>
      </c>
    </row>
    <row r="592" spans="1:7" x14ac:dyDescent="0.35">
      <c r="A592" t="s">
        <v>5285</v>
      </c>
      <c r="B592" t="s">
        <v>1462</v>
      </c>
      <c r="C592" s="1">
        <v>45467</v>
      </c>
      <c r="D592" s="1" t="str">
        <f>TEXT(Payments_Cleaned[[#This Row],[payment_date]],"mmm-yyyy")</f>
        <v>Jun-2024</v>
      </c>
      <c r="E592" s="2">
        <v>2536.33</v>
      </c>
      <c r="F592" t="s">
        <v>4694</v>
      </c>
      <c r="G592" s="2">
        <v>893.49</v>
      </c>
    </row>
    <row r="593" spans="1:7" x14ac:dyDescent="0.35">
      <c r="A593" t="s">
        <v>5286</v>
      </c>
      <c r="B593" t="s">
        <v>1463</v>
      </c>
      <c r="C593" s="1">
        <v>45227</v>
      </c>
      <c r="D593" s="1" t="str">
        <f>TEXT(Payments_Cleaned[[#This Row],[payment_date]],"mmm-yyyy")</f>
        <v>Oct-2023</v>
      </c>
      <c r="E593" s="2">
        <v>447.74</v>
      </c>
      <c r="F593" t="s">
        <v>4697</v>
      </c>
      <c r="G593" s="2">
        <v>249.39</v>
      </c>
    </row>
    <row r="594" spans="1:7" x14ac:dyDescent="0.35">
      <c r="A594" t="s">
        <v>5287</v>
      </c>
      <c r="B594" t="s">
        <v>1465</v>
      </c>
      <c r="C594" s="1">
        <v>45618</v>
      </c>
      <c r="D594" s="1" t="str">
        <f>TEXT(Payments_Cleaned[[#This Row],[payment_date]],"mmm-yyyy")</f>
        <v>Nov-2024</v>
      </c>
      <c r="E594" s="2">
        <v>982.92</v>
      </c>
      <c r="F594" t="s">
        <v>4694</v>
      </c>
      <c r="G594" s="2">
        <v>334.31</v>
      </c>
    </row>
    <row r="595" spans="1:7" x14ac:dyDescent="0.35">
      <c r="A595" t="s">
        <v>5288</v>
      </c>
      <c r="B595" t="s">
        <v>1469</v>
      </c>
      <c r="C595" s="1">
        <v>45015</v>
      </c>
      <c r="D595" s="1" t="str">
        <f>TEXT(Payments_Cleaned[[#This Row],[payment_date]],"mmm-yyyy")</f>
        <v>Mar-2023</v>
      </c>
      <c r="E595" s="2">
        <v>81.14</v>
      </c>
      <c r="F595" t="s">
        <v>4694</v>
      </c>
      <c r="G595" s="2">
        <v>40.659999999999997</v>
      </c>
    </row>
    <row r="596" spans="1:7" x14ac:dyDescent="0.35">
      <c r="A596" t="s">
        <v>5289</v>
      </c>
      <c r="B596" t="s">
        <v>1470</v>
      </c>
      <c r="C596" s="1">
        <v>45051</v>
      </c>
      <c r="D596" s="1" t="str">
        <f>TEXT(Payments_Cleaned[[#This Row],[payment_date]],"mmm-yyyy")</f>
        <v>May-2023</v>
      </c>
      <c r="E596" s="2">
        <v>451.95</v>
      </c>
      <c r="F596" t="s">
        <v>4697</v>
      </c>
      <c r="G596" s="2">
        <v>63.16</v>
      </c>
    </row>
    <row r="597" spans="1:7" x14ac:dyDescent="0.35">
      <c r="A597" t="s">
        <v>5290</v>
      </c>
      <c r="B597" t="s">
        <v>1471</v>
      </c>
      <c r="C597" s="1">
        <v>45081</v>
      </c>
      <c r="D597" s="1" t="str">
        <f>TEXT(Payments_Cleaned[[#This Row],[payment_date]],"mmm-yyyy")</f>
        <v>Jun-2023</v>
      </c>
      <c r="E597" s="2">
        <v>759.41</v>
      </c>
      <c r="F597" t="s">
        <v>4697</v>
      </c>
      <c r="G597" s="2">
        <v>162.27000000000001</v>
      </c>
    </row>
    <row r="598" spans="1:7" x14ac:dyDescent="0.35">
      <c r="A598" t="s">
        <v>5291</v>
      </c>
      <c r="B598" t="s">
        <v>1472</v>
      </c>
      <c r="C598" s="1">
        <v>45220</v>
      </c>
      <c r="D598" s="1" t="str">
        <f>TEXT(Payments_Cleaned[[#This Row],[payment_date]],"mmm-yyyy")</f>
        <v>Oct-2023</v>
      </c>
      <c r="E598" s="2">
        <v>443.17</v>
      </c>
      <c r="F598" t="s">
        <v>4694</v>
      </c>
      <c r="G598" s="2">
        <v>184.13</v>
      </c>
    </row>
    <row r="599" spans="1:7" x14ac:dyDescent="0.35">
      <c r="A599" t="s">
        <v>5292</v>
      </c>
      <c r="B599" t="s">
        <v>1473</v>
      </c>
      <c r="C599" s="1">
        <v>45640</v>
      </c>
      <c r="D599" s="1" t="str">
        <f>TEXT(Payments_Cleaned[[#This Row],[payment_date]],"mmm-yyyy")</f>
        <v>Dec-2024</v>
      </c>
      <c r="E599" s="2">
        <v>138.81</v>
      </c>
      <c r="F599" t="s">
        <v>4697</v>
      </c>
      <c r="G599" s="2">
        <v>29.22</v>
      </c>
    </row>
    <row r="600" spans="1:7" x14ac:dyDescent="0.35">
      <c r="A600" t="s">
        <v>5293</v>
      </c>
      <c r="B600" t="s">
        <v>1474</v>
      </c>
      <c r="C600" s="1">
        <v>45531</v>
      </c>
      <c r="D600" s="1" t="str">
        <f>TEXT(Payments_Cleaned[[#This Row],[payment_date]],"mmm-yyyy")</f>
        <v>Aug-2024</v>
      </c>
      <c r="E600" s="2">
        <v>1372.75</v>
      </c>
      <c r="F600" t="s">
        <v>4694</v>
      </c>
      <c r="G600" s="2">
        <v>339.31</v>
      </c>
    </row>
    <row r="601" spans="1:7" x14ac:dyDescent="0.35">
      <c r="A601" t="s">
        <v>5294</v>
      </c>
      <c r="B601" t="s">
        <v>1475</v>
      </c>
      <c r="C601" s="1">
        <v>45108</v>
      </c>
      <c r="D601" s="1" t="str">
        <f>TEXT(Payments_Cleaned[[#This Row],[payment_date]],"mmm-yyyy")</f>
        <v>Jul-2023</v>
      </c>
      <c r="E601" s="2">
        <v>5593.48</v>
      </c>
      <c r="F601" t="s">
        <v>4694</v>
      </c>
      <c r="G601" s="2">
        <v>1549.79</v>
      </c>
    </row>
    <row r="602" spans="1:7" x14ac:dyDescent="0.35">
      <c r="A602" t="s">
        <v>5295</v>
      </c>
      <c r="B602" t="s">
        <v>1477</v>
      </c>
      <c r="C602" s="1">
        <v>45617</v>
      </c>
      <c r="D602" s="1" t="str">
        <f>TEXT(Payments_Cleaned[[#This Row],[payment_date]],"mmm-yyyy")</f>
        <v>Nov-2024</v>
      </c>
      <c r="E602" s="2">
        <v>344.1</v>
      </c>
      <c r="F602" t="s">
        <v>4694</v>
      </c>
      <c r="G602" s="2">
        <v>180.05</v>
      </c>
    </row>
    <row r="603" spans="1:7" x14ac:dyDescent="0.35">
      <c r="A603" t="s">
        <v>5296</v>
      </c>
      <c r="B603" t="s">
        <v>1478</v>
      </c>
      <c r="C603" s="1">
        <v>45350</v>
      </c>
      <c r="D603" s="1" t="str">
        <f>TEXT(Payments_Cleaned[[#This Row],[payment_date]],"mmm-yyyy")</f>
        <v>Feb-2024</v>
      </c>
      <c r="E603" s="2">
        <v>229.71</v>
      </c>
      <c r="F603" t="s">
        <v>4694</v>
      </c>
      <c r="G603" s="2">
        <v>67.31</v>
      </c>
    </row>
    <row r="604" spans="1:7" x14ac:dyDescent="0.35">
      <c r="A604" t="s">
        <v>5297</v>
      </c>
      <c r="B604" t="s">
        <v>1482</v>
      </c>
      <c r="C604" s="1">
        <v>45151</v>
      </c>
      <c r="D604" s="1" t="str">
        <f>TEXT(Payments_Cleaned[[#This Row],[payment_date]],"mmm-yyyy")</f>
        <v>Aug-2023</v>
      </c>
      <c r="E604" s="2">
        <v>554.55999999999995</v>
      </c>
      <c r="F604" t="s">
        <v>4694</v>
      </c>
      <c r="G604" s="2">
        <v>26.71</v>
      </c>
    </row>
    <row r="605" spans="1:7" x14ac:dyDescent="0.35">
      <c r="A605" t="s">
        <v>5298</v>
      </c>
      <c r="B605" t="s">
        <v>1484</v>
      </c>
      <c r="C605" s="1">
        <v>45518</v>
      </c>
      <c r="D605" s="1" t="str">
        <f>TEXT(Payments_Cleaned[[#This Row],[payment_date]],"mmm-yyyy")</f>
        <v>Aug-2024</v>
      </c>
      <c r="E605" s="2">
        <v>127.78</v>
      </c>
      <c r="F605" t="s">
        <v>4694</v>
      </c>
      <c r="G605" s="2">
        <v>67.709999999999994</v>
      </c>
    </row>
    <row r="606" spans="1:7" x14ac:dyDescent="0.35">
      <c r="A606" t="s">
        <v>5299</v>
      </c>
      <c r="B606" t="s">
        <v>1485</v>
      </c>
      <c r="C606" s="1">
        <v>45481</v>
      </c>
      <c r="D606" s="1" t="str">
        <f>TEXT(Payments_Cleaned[[#This Row],[payment_date]],"mmm-yyyy")</f>
        <v>Jul-2024</v>
      </c>
      <c r="E606" s="2">
        <v>586.87</v>
      </c>
      <c r="F606" t="s">
        <v>4694</v>
      </c>
      <c r="G606" s="2">
        <v>38.47</v>
      </c>
    </row>
    <row r="607" spans="1:7" x14ac:dyDescent="0.35">
      <c r="A607" t="s">
        <v>5300</v>
      </c>
      <c r="B607" t="s">
        <v>1486</v>
      </c>
      <c r="C607" s="1">
        <v>45560</v>
      </c>
      <c r="D607" s="1" t="str">
        <f>TEXT(Payments_Cleaned[[#This Row],[payment_date]],"mmm-yyyy")</f>
        <v>Sep-2024</v>
      </c>
      <c r="E607" s="2">
        <v>3080.08</v>
      </c>
      <c r="F607" t="s">
        <v>4694</v>
      </c>
      <c r="G607" s="2">
        <v>1015.91</v>
      </c>
    </row>
    <row r="608" spans="1:7" x14ac:dyDescent="0.35">
      <c r="A608" t="s">
        <v>5301</v>
      </c>
      <c r="B608" t="s">
        <v>1487</v>
      </c>
      <c r="C608" s="1">
        <v>45489</v>
      </c>
      <c r="D608" s="1" t="str">
        <f>TEXT(Payments_Cleaned[[#This Row],[payment_date]],"mmm-yyyy")</f>
        <v>Jul-2024</v>
      </c>
      <c r="E608" s="2">
        <v>44.23</v>
      </c>
      <c r="F608" t="s">
        <v>4694</v>
      </c>
      <c r="G608" s="2">
        <v>9.0500000000000007</v>
      </c>
    </row>
    <row r="609" spans="1:7" x14ac:dyDescent="0.35">
      <c r="A609" t="s">
        <v>5302</v>
      </c>
      <c r="B609" t="s">
        <v>1488</v>
      </c>
      <c r="C609" s="1">
        <v>45106</v>
      </c>
      <c r="D609" s="1" t="str">
        <f>TEXT(Payments_Cleaned[[#This Row],[payment_date]],"mmm-yyyy")</f>
        <v>Jun-2023</v>
      </c>
      <c r="E609" s="2">
        <v>721.55</v>
      </c>
      <c r="F609" t="s">
        <v>4694</v>
      </c>
      <c r="G609" s="2">
        <v>115.6</v>
      </c>
    </row>
    <row r="610" spans="1:7" x14ac:dyDescent="0.35">
      <c r="A610" t="s">
        <v>5303</v>
      </c>
      <c r="B610" t="s">
        <v>1489</v>
      </c>
      <c r="C610" s="1">
        <v>45634</v>
      </c>
      <c r="D610" s="1" t="str">
        <f>TEXT(Payments_Cleaned[[#This Row],[payment_date]],"mmm-yyyy")</f>
        <v>Dec-2024</v>
      </c>
      <c r="E610" s="2">
        <v>298.76</v>
      </c>
      <c r="F610" t="s">
        <v>4697</v>
      </c>
      <c r="G610" s="2">
        <v>178.11</v>
      </c>
    </row>
    <row r="611" spans="1:7" x14ac:dyDescent="0.35">
      <c r="A611" t="s">
        <v>5304</v>
      </c>
      <c r="B611" t="s">
        <v>1490</v>
      </c>
      <c r="C611" s="1">
        <v>45274</v>
      </c>
      <c r="D611" s="1" t="str">
        <f>TEXT(Payments_Cleaned[[#This Row],[payment_date]],"mmm-yyyy")</f>
        <v>Dec-2023</v>
      </c>
      <c r="E611" s="2">
        <v>292.86</v>
      </c>
      <c r="F611" t="s">
        <v>4694</v>
      </c>
      <c r="G611" s="2">
        <v>131.66999999999999</v>
      </c>
    </row>
    <row r="612" spans="1:7" x14ac:dyDescent="0.35">
      <c r="A612" t="s">
        <v>5305</v>
      </c>
      <c r="B612" t="s">
        <v>1491</v>
      </c>
      <c r="C612" s="1">
        <v>45582</v>
      </c>
      <c r="D612" s="1" t="str">
        <f>TEXT(Payments_Cleaned[[#This Row],[payment_date]],"mmm-yyyy")</f>
        <v>Oct-2024</v>
      </c>
      <c r="E612" s="2">
        <v>461.74</v>
      </c>
      <c r="F612" t="s">
        <v>4694</v>
      </c>
      <c r="G612" s="2">
        <v>129.1</v>
      </c>
    </row>
    <row r="613" spans="1:7" x14ac:dyDescent="0.35">
      <c r="A613" t="s">
        <v>5306</v>
      </c>
      <c r="B613" t="s">
        <v>1492</v>
      </c>
      <c r="C613" s="1">
        <v>45538</v>
      </c>
      <c r="D613" s="1" t="str">
        <f>TEXT(Payments_Cleaned[[#This Row],[payment_date]],"mmm-yyyy")</f>
        <v>Sep-2024</v>
      </c>
      <c r="E613" s="2">
        <v>477.46</v>
      </c>
      <c r="F613" t="s">
        <v>4694</v>
      </c>
      <c r="G613" s="2">
        <v>239.32</v>
      </c>
    </row>
    <row r="614" spans="1:7" x14ac:dyDescent="0.35">
      <c r="A614" t="s">
        <v>5307</v>
      </c>
      <c r="B614" t="s">
        <v>1494</v>
      </c>
      <c r="C614" s="1">
        <v>45189</v>
      </c>
      <c r="D614" s="1" t="str">
        <f>TEXT(Payments_Cleaned[[#This Row],[payment_date]],"mmm-yyyy")</f>
        <v>Sep-2023</v>
      </c>
      <c r="E614" s="2">
        <v>342.6</v>
      </c>
      <c r="F614" t="s">
        <v>4694</v>
      </c>
      <c r="G614" s="2">
        <v>74.87</v>
      </c>
    </row>
    <row r="615" spans="1:7" x14ac:dyDescent="0.35">
      <c r="A615" t="s">
        <v>5308</v>
      </c>
      <c r="B615" t="s">
        <v>1496</v>
      </c>
      <c r="C615" s="1">
        <v>45554</v>
      </c>
      <c r="D615" s="1" t="str">
        <f>TEXT(Payments_Cleaned[[#This Row],[payment_date]],"mmm-yyyy")</f>
        <v>Sep-2024</v>
      </c>
      <c r="E615" s="2">
        <v>475.47</v>
      </c>
      <c r="F615" t="s">
        <v>4694</v>
      </c>
      <c r="G615" s="2">
        <v>97.7</v>
      </c>
    </row>
    <row r="616" spans="1:7" x14ac:dyDescent="0.35">
      <c r="A616" t="s">
        <v>5309</v>
      </c>
      <c r="B616" t="s">
        <v>1499</v>
      </c>
      <c r="C616" s="1">
        <v>45362</v>
      </c>
      <c r="D616" s="1" t="str">
        <f>TEXT(Payments_Cleaned[[#This Row],[payment_date]],"mmm-yyyy")</f>
        <v>Mar-2024</v>
      </c>
      <c r="E616" s="2">
        <v>653.91999999999996</v>
      </c>
      <c r="F616" t="s">
        <v>4697</v>
      </c>
      <c r="G616" s="2">
        <v>321.27999999999997</v>
      </c>
    </row>
    <row r="617" spans="1:7" x14ac:dyDescent="0.35">
      <c r="A617" t="s">
        <v>5310</v>
      </c>
      <c r="B617" t="s">
        <v>1501</v>
      </c>
      <c r="C617" s="1">
        <v>45671</v>
      </c>
      <c r="D617" s="1" t="str">
        <f>TEXT(Payments_Cleaned[[#This Row],[payment_date]],"mmm-yyyy")</f>
        <v>Jan-2025</v>
      </c>
      <c r="E617" s="2">
        <v>37.93</v>
      </c>
      <c r="F617" t="s">
        <v>4694</v>
      </c>
      <c r="G617" s="2">
        <v>13.26</v>
      </c>
    </row>
    <row r="618" spans="1:7" x14ac:dyDescent="0.35">
      <c r="A618" t="s">
        <v>5311</v>
      </c>
      <c r="B618" t="s">
        <v>1505</v>
      </c>
      <c r="C618" s="1">
        <v>45653</v>
      </c>
      <c r="D618" s="1" t="str">
        <f>TEXT(Payments_Cleaned[[#This Row],[payment_date]],"mmm-yyyy")</f>
        <v>Dec-2024</v>
      </c>
      <c r="E618" s="2">
        <v>374.86</v>
      </c>
      <c r="F618" t="s">
        <v>4694</v>
      </c>
      <c r="G618" s="2">
        <v>37.450000000000003</v>
      </c>
    </row>
    <row r="619" spans="1:7" x14ac:dyDescent="0.35">
      <c r="A619" t="s">
        <v>5312</v>
      </c>
      <c r="B619" t="s">
        <v>1506</v>
      </c>
      <c r="C619" s="1">
        <v>45681</v>
      </c>
      <c r="D619" s="1" t="str">
        <f>TEXT(Payments_Cleaned[[#This Row],[payment_date]],"mmm-yyyy")</f>
        <v>Jan-2025</v>
      </c>
      <c r="E619" s="2">
        <v>1092.08</v>
      </c>
      <c r="F619" t="s">
        <v>4697</v>
      </c>
      <c r="G619" s="2">
        <v>590.27</v>
      </c>
    </row>
    <row r="620" spans="1:7" x14ac:dyDescent="0.35">
      <c r="A620" t="s">
        <v>5313</v>
      </c>
      <c r="B620" t="s">
        <v>1508</v>
      </c>
      <c r="C620" s="1">
        <v>45554</v>
      </c>
      <c r="D620" s="1" t="str">
        <f>TEXT(Payments_Cleaned[[#This Row],[payment_date]],"mmm-yyyy")</f>
        <v>Sep-2024</v>
      </c>
      <c r="E620" s="2">
        <v>1072.03</v>
      </c>
      <c r="F620" t="s">
        <v>4694</v>
      </c>
      <c r="G620" s="2">
        <v>606.97</v>
      </c>
    </row>
    <row r="621" spans="1:7" x14ac:dyDescent="0.35">
      <c r="A621" t="s">
        <v>5314</v>
      </c>
      <c r="B621" t="s">
        <v>1509</v>
      </c>
      <c r="C621" s="1">
        <v>45648</v>
      </c>
      <c r="D621" s="1" t="str">
        <f>TEXT(Payments_Cleaned[[#This Row],[payment_date]],"mmm-yyyy")</f>
        <v>Dec-2024</v>
      </c>
      <c r="E621" s="2">
        <v>685.61</v>
      </c>
      <c r="F621" t="s">
        <v>4694</v>
      </c>
      <c r="G621" s="2">
        <v>80.34</v>
      </c>
    </row>
    <row r="622" spans="1:7" x14ac:dyDescent="0.35">
      <c r="A622" t="s">
        <v>5315</v>
      </c>
      <c r="B622" t="s">
        <v>1510</v>
      </c>
      <c r="C622" s="1">
        <v>45334</v>
      </c>
      <c r="D622" s="1" t="str">
        <f>TEXT(Payments_Cleaned[[#This Row],[payment_date]],"mmm-yyyy")</f>
        <v>Feb-2024</v>
      </c>
      <c r="E622" s="2">
        <v>4079.79</v>
      </c>
      <c r="F622" t="s">
        <v>4694</v>
      </c>
      <c r="G622" s="2">
        <v>1130.5899999999999</v>
      </c>
    </row>
    <row r="623" spans="1:7" x14ac:dyDescent="0.35">
      <c r="A623" t="s">
        <v>5316</v>
      </c>
      <c r="B623" t="s">
        <v>1512</v>
      </c>
      <c r="C623" s="1">
        <v>45011</v>
      </c>
      <c r="D623" s="1" t="str">
        <f>TEXT(Payments_Cleaned[[#This Row],[payment_date]],"mmm-yyyy")</f>
        <v>Mar-2023</v>
      </c>
      <c r="E623" s="2">
        <v>248.08</v>
      </c>
      <c r="F623" t="s">
        <v>4694</v>
      </c>
      <c r="G623" s="2">
        <v>99.78</v>
      </c>
    </row>
    <row r="624" spans="1:7" x14ac:dyDescent="0.35">
      <c r="A624" t="s">
        <v>5317</v>
      </c>
      <c r="B624" t="s">
        <v>1513</v>
      </c>
      <c r="C624" s="1">
        <v>45488</v>
      </c>
      <c r="D624" s="1" t="str">
        <f>TEXT(Payments_Cleaned[[#This Row],[payment_date]],"mmm-yyyy")</f>
        <v>Jul-2024</v>
      </c>
      <c r="E624" s="2">
        <v>3757.57</v>
      </c>
      <c r="F624" t="s">
        <v>4694</v>
      </c>
      <c r="G624" s="2">
        <v>814.14</v>
      </c>
    </row>
    <row r="625" spans="1:7" x14ac:dyDescent="0.35">
      <c r="A625" t="s">
        <v>5318</v>
      </c>
      <c r="B625" t="s">
        <v>1514</v>
      </c>
      <c r="C625" s="1">
        <v>45294</v>
      </c>
      <c r="D625" s="1" t="str">
        <f>TEXT(Payments_Cleaned[[#This Row],[payment_date]],"mmm-yyyy")</f>
        <v>Jan-2024</v>
      </c>
      <c r="E625" s="2">
        <v>539.08000000000004</v>
      </c>
      <c r="F625" t="s">
        <v>4694</v>
      </c>
      <c r="G625" s="2">
        <v>148.97999999999999</v>
      </c>
    </row>
    <row r="626" spans="1:7" x14ac:dyDescent="0.35">
      <c r="A626" t="s">
        <v>5319</v>
      </c>
      <c r="B626" t="s">
        <v>1515</v>
      </c>
      <c r="C626" s="1">
        <v>45078</v>
      </c>
      <c r="D626" s="1" t="str">
        <f>TEXT(Payments_Cleaned[[#This Row],[payment_date]],"mmm-yyyy")</f>
        <v>Jun-2023</v>
      </c>
      <c r="E626" s="2">
        <v>1271.21</v>
      </c>
      <c r="F626" t="s">
        <v>4694</v>
      </c>
      <c r="G626" s="2">
        <v>632.91</v>
      </c>
    </row>
    <row r="627" spans="1:7" x14ac:dyDescent="0.35">
      <c r="A627" t="s">
        <v>5320</v>
      </c>
      <c r="B627" t="s">
        <v>1516</v>
      </c>
      <c r="C627" s="1">
        <v>45297</v>
      </c>
      <c r="D627" s="1" t="str">
        <f>TEXT(Payments_Cleaned[[#This Row],[payment_date]],"mmm-yyyy")</f>
        <v>Jan-2024</v>
      </c>
      <c r="E627" s="2">
        <v>1459.21</v>
      </c>
      <c r="F627" t="s">
        <v>4694</v>
      </c>
      <c r="G627" s="2">
        <v>598.37</v>
      </c>
    </row>
    <row r="628" spans="1:7" x14ac:dyDescent="0.35">
      <c r="A628" t="s">
        <v>5321</v>
      </c>
      <c r="B628" t="s">
        <v>1517</v>
      </c>
      <c r="C628" s="1">
        <v>45098</v>
      </c>
      <c r="D628" s="1" t="str">
        <f>TEXT(Payments_Cleaned[[#This Row],[payment_date]],"mmm-yyyy")</f>
        <v>Jun-2023</v>
      </c>
      <c r="E628" s="2">
        <v>970.91</v>
      </c>
      <c r="F628" t="s">
        <v>4694</v>
      </c>
      <c r="G628" s="2">
        <v>61.96</v>
      </c>
    </row>
    <row r="629" spans="1:7" x14ac:dyDescent="0.35">
      <c r="A629" t="s">
        <v>5322</v>
      </c>
      <c r="B629" t="s">
        <v>1518</v>
      </c>
      <c r="C629" s="1">
        <v>45541</v>
      </c>
      <c r="D629" s="1" t="str">
        <f>TEXT(Payments_Cleaned[[#This Row],[payment_date]],"mmm-yyyy")</f>
        <v>Sep-2024</v>
      </c>
      <c r="E629" s="2">
        <v>525.19000000000005</v>
      </c>
      <c r="F629" t="s">
        <v>4694</v>
      </c>
      <c r="G629" s="2">
        <v>294.63</v>
      </c>
    </row>
    <row r="630" spans="1:7" x14ac:dyDescent="0.35">
      <c r="A630" t="s">
        <v>5323</v>
      </c>
      <c r="B630" t="s">
        <v>1522</v>
      </c>
      <c r="C630" s="1">
        <v>45453</v>
      </c>
      <c r="D630" s="1" t="str">
        <f>TEXT(Payments_Cleaned[[#This Row],[payment_date]],"mmm-yyyy")</f>
        <v>Jun-2024</v>
      </c>
      <c r="E630" s="2">
        <v>4124.26</v>
      </c>
      <c r="F630" t="s">
        <v>4694</v>
      </c>
      <c r="G630" s="2">
        <v>683.17</v>
      </c>
    </row>
    <row r="631" spans="1:7" x14ac:dyDescent="0.35">
      <c r="A631" t="s">
        <v>5324</v>
      </c>
      <c r="B631" t="s">
        <v>1524</v>
      </c>
      <c r="C631" s="1">
        <v>45256</v>
      </c>
      <c r="D631" s="1" t="str">
        <f>TEXT(Payments_Cleaned[[#This Row],[payment_date]],"mmm-yyyy")</f>
        <v>Nov-2023</v>
      </c>
      <c r="E631" s="2">
        <v>361.95</v>
      </c>
      <c r="F631" t="s">
        <v>4694</v>
      </c>
      <c r="G631" s="2">
        <v>37.96</v>
      </c>
    </row>
    <row r="632" spans="1:7" x14ac:dyDescent="0.35">
      <c r="A632" t="s">
        <v>5325</v>
      </c>
      <c r="B632" t="s">
        <v>1525</v>
      </c>
      <c r="C632" s="1">
        <v>45664</v>
      </c>
      <c r="D632" s="1" t="str">
        <f>TEXT(Payments_Cleaned[[#This Row],[payment_date]],"mmm-yyyy")</f>
        <v>Jan-2025</v>
      </c>
      <c r="E632" s="2">
        <v>145.49</v>
      </c>
      <c r="F632" t="s">
        <v>4694</v>
      </c>
      <c r="G632" s="2">
        <v>67</v>
      </c>
    </row>
    <row r="633" spans="1:7" x14ac:dyDescent="0.35">
      <c r="A633" t="s">
        <v>5326</v>
      </c>
      <c r="B633" t="s">
        <v>1526</v>
      </c>
      <c r="C633" s="1">
        <v>45067</v>
      </c>
      <c r="D633" s="1" t="str">
        <f>TEXT(Payments_Cleaned[[#This Row],[payment_date]],"mmm-yyyy")</f>
        <v>May-2023</v>
      </c>
      <c r="E633" s="2">
        <v>172.19</v>
      </c>
      <c r="F633" t="s">
        <v>4694</v>
      </c>
      <c r="G633" s="2">
        <v>14.86</v>
      </c>
    </row>
    <row r="634" spans="1:7" x14ac:dyDescent="0.35">
      <c r="A634" t="s">
        <v>5327</v>
      </c>
      <c r="B634" t="s">
        <v>1527</v>
      </c>
      <c r="C634" s="1">
        <v>45433</v>
      </c>
      <c r="D634" s="1" t="str">
        <f>TEXT(Payments_Cleaned[[#This Row],[payment_date]],"mmm-yyyy")</f>
        <v>May-2024</v>
      </c>
      <c r="E634" s="2">
        <v>482.6</v>
      </c>
      <c r="F634" t="s">
        <v>4694</v>
      </c>
      <c r="G634" s="2">
        <v>77.14</v>
      </c>
    </row>
    <row r="635" spans="1:7" x14ac:dyDescent="0.35">
      <c r="A635" t="s">
        <v>5328</v>
      </c>
      <c r="B635" t="s">
        <v>1528</v>
      </c>
      <c r="C635" s="1">
        <v>44977</v>
      </c>
      <c r="D635" s="1" t="str">
        <f>TEXT(Payments_Cleaned[[#This Row],[payment_date]],"mmm-yyyy")</f>
        <v>Feb-2023</v>
      </c>
      <c r="E635" s="2">
        <v>2882.86</v>
      </c>
      <c r="F635" t="s">
        <v>4694</v>
      </c>
      <c r="G635" s="2">
        <v>554.38</v>
      </c>
    </row>
    <row r="636" spans="1:7" x14ac:dyDescent="0.35">
      <c r="A636" t="s">
        <v>5329</v>
      </c>
      <c r="B636" t="s">
        <v>1529</v>
      </c>
      <c r="C636" s="1">
        <v>45302</v>
      </c>
      <c r="D636" s="1" t="str">
        <f>TEXT(Payments_Cleaned[[#This Row],[payment_date]],"mmm-yyyy")</f>
        <v>Jan-2024</v>
      </c>
      <c r="E636" s="2">
        <v>498.79</v>
      </c>
      <c r="F636" t="s">
        <v>4697</v>
      </c>
      <c r="G636" s="2">
        <v>248.97</v>
      </c>
    </row>
    <row r="637" spans="1:7" x14ac:dyDescent="0.35">
      <c r="A637" t="s">
        <v>5330</v>
      </c>
      <c r="B637" t="s">
        <v>1530</v>
      </c>
      <c r="C637" s="1">
        <v>45673</v>
      </c>
      <c r="D637" s="1" t="str">
        <f>TEXT(Payments_Cleaned[[#This Row],[payment_date]],"mmm-yyyy")</f>
        <v>Jan-2025</v>
      </c>
      <c r="E637" s="2">
        <v>141.75</v>
      </c>
      <c r="F637" t="s">
        <v>4694</v>
      </c>
      <c r="G637" s="2">
        <v>55.02</v>
      </c>
    </row>
    <row r="638" spans="1:7" x14ac:dyDescent="0.35">
      <c r="A638" t="s">
        <v>5331</v>
      </c>
      <c r="B638" t="s">
        <v>1531</v>
      </c>
      <c r="C638" s="1">
        <v>45647</v>
      </c>
      <c r="D638" s="1" t="str">
        <f>TEXT(Payments_Cleaned[[#This Row],[payment_date]],"mmm-yyyy")</f>
        <v>Dec-2024</v>
      </c>
      <c r="E638" s="2">
        <v>6448.47</v>
      </c>
      <c r="F638" t="s">
        <v>4697</v>
      </c>
      <c r="G638" s="2">
        <v>838.82</v>
      </c>
    </row>
    <row r="639" spans="1:7" x14ac:dyDescent="0.35">
      <c r="A639" t="s">
        <v>5332</v>
      </c>
      <c r="B639" t="s">
        <v>1532</v>
      </c>
      <c r="C639" s="1">
        <v>45530</v>
      </c>
      <c r="D639" s="1" t="str">
        <f>TEXT(Payments_Cleaned[[#This Row],[payment_date]],"mmm-yyyy")</f>
        <v>Aug-2024</v>
      </c>
      <c r="E639" s="2">
        <v>920.62</v>
      </c>
      <c r="F639" t="s">
        <v>4694</v>
      </c>
      <c r="G639" s="2">
        <v>267.37</v>
      </c>
    </row>
    <row r="640" spans="1:7" x14ac:dyDescent="0.35">
      <c r="A640" t="s">
        <v>5333</v>
      </c>
      <c r="B640" t="s">
        <v>1533</v>
      </c>
      <c r="C640" s="1">
        <v>45266</v>
      </c>
      <c r="D640" s="1" t="str">
        <f>TEXT(Payments_Cleaned[[#This Row],[payment_date]],"mmm-yyyy")</f>
        <v>Dec-2023</v>
      </c>
      <c r="E640" s="2">
        <v>728.12</v>
      </c>
      <c r="F640" t="s">
        <v>4694</v>
      </c>
      <c r="G640" s="2">
        <v>195.9</v>
      </c>
    </row>
    <row r="641" spans="1:7" x14ac:dyDescent="0.35">
      <c r="A641" t="s">
        <v>5334</v>
      </c>
      <c r="B641" t="s">
        <v>1534</v>
      </c>
      <c r="C641" s="1">
        <v>45102</v>
      </c>
      <c r="D641" s="1" t="str">
        <f>TEXT(Payments_Cleaned[[#This Row],[payment_date]],"mmm-yyyy")</f>
        <v>Jun-2023</v>
      </c>
      <c r="E641" s="2">
        <v>500.55</v>
      </c>
      <c r="F641" t="s">
        <v>4694</v>
      </c>
      <c r="G641" s="2">
        <v>171.04</v>
      </c>
    </row>
    <row r="642" spans="1:7" x14ac:dyDescent="0.35">
      <c r="A642" t="s">
        <v>5335</v>
      </c>
      <c r="B642" t="s">
        <v>1535</v>
      </c>
      <c r="C642" s="1">
        <v>45238</v>
      </c>
      <c r="D642" s="1" t="str">
        <f>TEXT(Payments_Cleaned[[#This Row],[payment_date]],"mmm-yyyy")</f>
        <v>Nov-2023</v>
      </c>
      <c r="E642" s="2">
        <v>6065.41</v>
      </c>
      <c r="F642" t="s">
        <v>4697</v>
      </c>
      <c r="G642" s="2">
        <v>1981.45</v>
      </c>
    </row>
    <row r="643" spans="1:7" x14ac:dyDescent="0.35">
      <c r="A643" t="s">
        <v>5336</v>
      </c>
      <c r="B643" t="s">
        <v>1536</v>
      </c>
      <c r="C643" s="1">
        <v>45180</v>
      </c>
      <c r="D643" s="1" t="str">
        <f>TEXT(Payments_Cleaned[[#This Row],[payment_date]],"mmm-yyyy")</f>
        <v>Sep-2023</v>
      </c>
      <c r="E643" s="2">
        <v>4151.4399999999996</v>
      </c>
      <c r="F643" t="s">
        <v>4694</v>
      </c>
      <c r="G643" s="2">
        <v>1732.36</v>
      </c>
    </row>
    <row r="644" spans="1:7" x14ac:dyDescent="0.35">
      <c r="A644" t="s">
        <v>5337</v>
      </c>
      <c r="B644" t="s">
        <v>1537</v>
      </c>
      <c r="C644" s="1">
        <v>45153</v>
      </c>
      <c r="D644" s="1" t="str">
        <f>TEXT(Payments_Cleaned[[#This Row],[payment_date]],"mmm-yyyy")</f>
        <v>Aug-2023</v>
      </c>
      <c r="E644" s="2">
        <v>109.6</v>
      </c>
      <c r="F644" t="s">
        <v>4694</v>
      </c>
      <c r="G644" s="2">
        <v>18.61</v>
      </c>
    </row>
    <row r="645" spans="1:7" x14ac:dyDescent="0.35">
      <c r="A645" t="s">
        <v>5338</v>
      </c>
      <c r="B645" t="s">
        <v>1538</v>
      </c>
      <c r="C645" s="1">
        <v>45636</v>
      </c>
      <c r="D645" s="1" t="str">
        <f>TEXT(Payments_Cleaned[[#This Row],[payment_date]],"mmm-yyyy")</f>
        <v>Dec-2024</v>
      </c>
      <c r="E645" s="2">
        <v>786.5</v>
      </c>
      <c r="F645" t="s">
        <v>4694</v>
      </c>
      <c r="G645" s="2">
        <v>128.51</v>
      </c>
    </row>
    <row r="646" spans="1:7" x14ac:dyDescent="0.35">
      <c r="A646" t="s">
        <v>5339</v>
      </c>
      <c r="B646" t="s">
        <v>1539</v>
      </c>
      <c r="C646" s="1">
        <v>45625</v>
      </c>
      <c r="D646" s="1" t="str">
        <f>TEXT(Payments_Cleaned[[#This Row],[payment_date]],"mmm-yyyy")</f>
        <v>Nov-2024</v>
      </c>
      <c r="E646" s="2">
        <v>68.73</v>
      </c>
      <c r="F646" t="s">
        <v>4694</v>
      </c>
      <c r="G646" s="2">
        <v>36.99</v>
      </c>
    </row>
    <row r="647" spans="1:7" x14ac:dyDescent="0.35">
      <c r="A647" t="s">
        <v>5340</v>
      </c>
      <c r="B647" t="s">
        <v>1543</v>
      </c>
      <c r="C647" s="1">
        <v>45019</v>
      </c>
      <c r="D647" s="1" t="str">
        <f>TEXT(Payments_Cleaned[[#This Row],[payment_date]],"mmm-yyyy")</f>
        <v>Apr-2023</v>
      </c>
      <c r="E647" s="2">
        <v>1487.46</v>
      </c>
      <c r="F647" t="s">
        <v>4694</v>
      </c>
      <c r="G647" s="2">
        <v>131.57</v>
      </c>
    </row>
    <row r="648" spans="1:7" x14ac:dyDescent="0.35">
      <c r="A648" t="s">
        <v>5341</v>
      </c>
      <c r="B648" t="s">
        <v>1544</v>
      </c>
      <c r="C648" s="1">
        <v>45249</v>
      </c>
      <c r="D648" s="1" t="str">
        <f>TEXT(Payments_Cleaned[[#This Row],[payment_date]],"mmm-yyyy")</f>
        <v>Nov-2023</v>
      </c>
      <c r="E648" s="2">
        <v>97.06</v>
      </c>
      <c r="F648" t="s">
        <v>4697</v>
      </c>
      <c r="G648" s="2">
        <v>16.95</v>
      </c>
    </row>
    <row r="649" spans="1:7" x14ac:dyDescent="0.35">
      <c r="A649" t="s">
        <v>5342</v>
      </c>
      <c r="B649" t="s">
        <v>1546</v>
      </c>
      <c r="C649" s="1">
        <v>44969</v>
      </c>
      <c r="D649" s="1" t="str">
        <f>TEXT(Payments_Cleaned[[#This Row],[payment_date]],"mmm-yyyy")</f>
        <v>Feb-2023</v>
      </c>
      <c r="E649" s="2">
        <v>425.07</v>
      </c>
      <c r="F649" t="s">
        <v>4694</v>
      </c>
      <c r="G649" s="2">
        <v>19.3</v>
      </c>
    </row>
    <row r="650" spans="1:7" x14ac:dyDescent="0.35">
      <c r="A650" t="s">
        <v>5343</v>
      </c>
      <c r="B650" t="s">
        <v>1547</v>
      </c>
      <c r="C650" s="1">
        <v>45316</v>
      </c>
      <c r="D650" s="1" t="str">
        <f>TEXT(Payments_Cleaned[[#This Row],[payment_date]],"mmm-yyyy")</f>
        <v>Jan-2024</v>
      </c>
      <c r="E650" s="2">
        <v>258.11</v>
      </c>
      <c r="F650" t="s">
        <v>4694</v>
      </c>
      <c r="G650" s="2">
        <v>131.56</v>
      </c>
    </row>
    <row r="651" spans="1:7" x14ac:dyDescent="0.35">
      <c r="A651" t="s">
        <v>5344</v>
      </c>
      <c r="B651" t="s">
        <v>1548</v>
      </c>
      <c r="C651" s="1">
        <v>45234</v>
      </c>
      <c r="D651" s="1" t="str">
        <f>TEXT(Payments_Cleaned[[#This Row],[payment_date]],"mmm-yyyy")</f>
        <v>Nov-2023</v>
      </c>
      <c r="E651" s="2">
        <v>243.39</v>
      </c>
      <c r="F651" t="s">
        <v>4694</v>
      </c>
      <c r="G651" s="2">
        <v>143.30000000000001</v>
      </c>
    </row>
    <row r="652" spans="1:7" x14ac:dyDescent="0.35">
      <c r="A652" t="s">
        <v>5345</v>
      </c>
      <c r="B652" t="s">
        <v>1549</v>
      </c>
      <c r="C652" s="1">
        <v>45074</v>
      </c>
      <c r="D652" s="1" t="str">
        <f>TEXT(Payments_Cleaned[[#This Row],[payment_date]],"mmm-yyyy")</f>
        <v>May-2023</v>
      </c>
      <c r="E652" s="2">
        <v>3420.77</v>
      </c>
      <c r="F652" t="s">
        <v>4694</v>
      </c>
      <c r="G652" s="2">
        <v>182.16</v>
      </c>
    </row>
    <row r="653" spans="1:7" x14ac:dyDescent="0.35">
      <c r="A653" t="s">
        <v>5346</v>
      </c>
      <c r="B653" t="s">
        <v>1551</v>
      </c>
      <c r="C653" s="1">
        <v>45296</v>
      </c>
      <c r="D653" s="1" t="str">
        <f>TEXT(Payments_Cleaned[[#This Row],[payment_date]],"mmm-yyyy")</f>
        <v>Jan-2024</v>
      </c>
      <c r="E653" s="2">
        <v>1354.94</v>
      </c>
      <c r="F653" t="s">
        <v>4694</v>
      </c>
      <c r="G653" s="2">
        <v>462.74</v>
      </c>
    </row>
    <row r="654" spans="1:7" x14ac:dyDescent="0.35">
      <c r="A654" t="s">
        <v>5347</v>
      </c>
      <c r="B654" t="s">
        <v>1552</v>
      </c>
      <c r="C654" s="1">
        <v>45501</v>
      </c>
      <c r="D654" s="1" t="str">
        <f>TEXT(Payments_Cleaned[[#This Row],[payment_date]],"mmm-yyyy")</f>
        <v>Jul-2024</v>
      </c>
      <c r="E654" s="2">
        <v>371.42</v>
      </c>
      <c r="F654" t="s">
        <v>4694</v>
      </c>
      <c r="G654" s="2">
        <v>55.92</v>
      </c>
    </row>
    <row r="655" spans="1:7" x14ac:dyDescent="0.35">
      <c r="A655" t="s">
        <v>5348</v>
      </c>
      <c r="B655" t="s">
        <v>1553</v>
      </c>
      <c r="C655" s="1">
        <v>45607</v>
      </c>
      <c r="D655" s="1" t="str">
        <f>TEXT(Payments_Cleaned[[#This Row],[payment_date]],"mmm-yyyy")</f>
        <v>Nov-2024</v>
      </c>
      <c r="E655" s="2">
        <v>656.48</v>
      </c>
      <c r="F655" t="s">
        <v>4697</v>
      </c>
      <c r="G655" s="2">
        <v>123.38</v>
      </c>
    </row>
    <row r="656" spans="1:7" x14ac:dyDescent="0.35">
      <c r="A656" t="s">
        <v>5349</v>
      </c>
      <c r="B656" t="s">
        <v>1554</v>
      </c>
      <c r="C656" s="1">
        <v>45552</v>
      </c>
      <c r="D656" s="1" t="str">
        <f>TEXT(Payments_Cleaned[[#This Row],[payment_date]],"mmm-yyyy")</f>
        <v>Sep-2024</v>
      </c>
      <c r="E656" s="2">
        <v>529.58000000000004</v>
      </c>
      <c r="F656" t="s">
        <v>4694</v>
      </c>
      <c r="G656" s="2">
        <v>32.58</v>
      </c>
    </row>
    <row r="657" spans="1:7" x14ac:dyDescent="0.35">
      <c r="A657" t="s">
        <v>5350</v>
      </c>
      <c r="B657" t="s">
        <v>1555</v>
      </c>
      <c r="C657" s="1">
        <v>45037</v>
      </c>
      <c r="D657" s="1" t="str">
        <f>TEXT(Payments_Cleaned[[#This Row],[payment_date]],"mmm-yyyy")</f>
        <v>Apr-2023</v>
      </c>
      <c r="E657" s="2">
        <v>202.81</v>
      </c>
      <c r="F657" t="s">
        <v>4694</v>
      </c>
      <c r="G657" s="2">
        <v>25</v>
      </c>
    </row>
    <row r="658" spans="1:7" x14ac:dyDescent="0.35">
      <c r="A658" t="s">
        <v>5351</v>
      </c>
      <c r="B658" t="s">
        <v>1556</v>
      </c>
      <c r="C658" s="1">
        <v>45243</v>
      </c>
      <c r="D658" s="1" t="str">
        <f>TEXT(Payments_Cleaned[[#This Row],[payment_date]],"mmm-yyyy")</f>
        <v>Nov-2023</v>
      </c>
      <c r="E658" s="2">
        <v>325.57</v>
      </c>
      <c r="F658" t="s">
        <v>4694</v>
      </c>
      <c r="G658" s="2">
        <v>70.37</v>
      </c>
    </row>
    <row r="659" spans="1:7" x14ac:dyDescent="0.35">
      <c r="A659" t="s">
        <v>5352</v>
      </c>
      <c r="B659" t="s">
        <v>1557</v>
      </c>
      <c r="C659" s="1">
        <v>44976</v>
      </c>
      <c r="D659" s="1" t="str">
        <f>TEXT(Payments_Cleaned[[#This Row],[payment_date]],"mmm-yyyy")</f>
        <v>Feb-2023</v>
      </c>
      <c r="E659" s="2">
        <v>4204.1499999999996</v>
      </c>
      <c r="F659" t="s">
        <v>4694</v>
      </c>
      <c r="G659" s="2">
        <v>1959.41</v>
      </c>
    </row>
    <row r="660" spans="1:7" x14ac:dyDescent="0.35">
      <c r="A660" t="s">
        <v>5353</v>
      </c>
      <c r="B660" t="s">
        <v>1558</v>
      </c>
      <c r="C660" s="1">
        <v>45524</v>
      </c>
      <c r="D660" s="1" t="str">
        <f>TEXT(Payments_Cleaned[[#This Row],[payment_date]],"mmm-yyyy")</f>
        <v>Aug-2024</v>
      </c>
      <c r="E660" s="2">
        <v>725.26</v>
      </c>
      <c r="F660" t="s">
        <v>4694</v>
      </c>
      <c r="G660" s="2">
        <v>83.51</v>
      </c>
    </row>
    <row r="661" spans="1:7" x14ac:dyDescent="0.35">
      <c r="A661" t="s">
        <v>5354</v>
      </c>
      <c r="B661" t="s">
        <v>1560</v>
      </c>
      <c r="C661" s="1">
        <v>45511</v>
      </c>
      <c r="D661" s="1" t="str">
        <f>TEXT(Payments_Cleaned[[#This Row],[payment_date]],"mmm-yyyy")</f>
        <v>Aug-2024</v>
      </c>
      <c r="E661" s="2">
        <v>1456.22</v>
      </c>
      <c r="F661" t="s">
        <v>4694</v>
      </c>
      <c r="G661" s="2">
        <v>237.06</v>
      </c>
    </row>
    <row r="662" spans="1:7" x14ac:dyDescent="0.35">
      <c r="A662" t="s">
        <v>5355</v>
      </c>
      <c r="B662" t="s">
        <v>1561</v>
      </c>
      <c r="C662" s="1">
        <v>45089</v>
      </c>
      <c r="D662" s="1" t="str">
        <f>TEXT(Payments_Cleaned[[#This Row],[payment_date]],"mmm-yyyy")</f>
        <v>Jun-2023</v>
      </c>
      <c r="E662" s="2">
        <v>338.15</v>
      </c>
      <c r="F662" t="s">
        <v>4694</v>
      </c>
      <c r="G662" s="2">
        <v>142.62</v>
      </c>
    </row>
    <row r="663" spans="1:7" x14ac:dyDescent="0.35">
      <c r="A663" t="s">
        <v>5356</v>
      </c>
      <c r="B663" t="s">
        <v>1562</v>
      </c>
      <c r="C663" s="1">
        <v>45601</v>
      </c>
      <c r="D663" s="1" t="str">
        <f>TEXT(Payments_Cleaned[[#This Row],[payment_date]],"mmm-yyyy")</f>
        <v>Nov-2024</v>
      </c>
      <c r="E663" s="2">
        <v>483.29</v>
      </c>
      <c r="F663" t="s">
        <v>4694</v>
      </c>
      <c r="G663" s="2">
        <v>149.81</v>
      </c>
    </row>
    <row r="664" spans="1:7" x14ac:dyDescent="0.35">
      <c r="A664" t="s">
        <v>5357</v>
      </c>
      <c r="B664" t="s">
        <v>1563</v>
      </c>
      <c r="C664" s="1">
        <v>45137</v>
      </c>
      <c r="D664" s="1" t="str">
        <f>TEXT(Payments_Cleaned[[#This Row],[payment_date]],"mmm-yyyy")</f>
        <v>Jul-2023</v>
      </c>
      <c r="E664" s="2">
        <v>247.04</v>
      </c>
      <c r="F664" t="s">
        <v>4694</v>
      </c>
      <c r="G664" s="2">
        <v>84.48</v>
      </c>
    </row>
    <row r="665" spans="1:7" x14ac:dyDescent="0.35">
      <c r="A665" t="s">
        <v>5358</v>
      </c>
      <c r="B665" t="s">
        <v>1566</v>
      </c>
      <c r="C665" s="1">
        <v>45097</v>
      </c>
      <c r="D665" s="1" t="str">
        <f>TEXT(Payments_Cleaned[[#This Row],[payment_date]],"mmm-yyyy")</f>
        <v>Jun-2023</v>
      </c>
      <c r="E665" s="2">
        <v>317.48</v>
      </c>
      <c r="F665" t="s">
        <v>4694</v>
      </c>
      <c r="G665" s="2">
        <v>108.42</v>
      </c>
    </row>
    <row r="666" spans="1:7" x14ac:dyDescent="0.35">
      <c r="A666" t="s">
        <v>5359</v>
      </c>
      <c r="B666" t="s">
        <v>1567</v>
      </c>
      <c r="C666" s="1">
        <v>45210</v>
      </c>
      <c r="D666" s="1" t="str">
        <f>TEXT(Payments_Cleaned[[#This Row],[payment_date]],"mmm-yyyy")</f>
        <v>Oct-2023</v>
      </c>
      <c r="E666" s="2">
        <v>377.26</v>
      </c>
      <c r="F666" t="s">
        <v>4694</v>
      </c>
      <c r="G666" s="2">
        <v>40.82</v>
      </c>
    </row>
    <row r="667" spans="1:7" x14ac:dyDescent="0.35">
      <c r="A667" t="s">
        <v>5360</v>
      </c>
      <c r="B667" t="s">
        <v>1568</v>
      </c>
      <c r="C667" s="1">
        <v>45644</v>
      </c>
      <c r="D667" s="1" t="str">
        <f>TEXT(Payments_Cleaned[[#This Row],[payment_date]],"mmm-yyyy")</f>
        <v>Dec-2024</v>
      </c>
      <c r="E667" s="2">
        <v>182.39</v>
      </c>
      <c r="F667" t="s">
        <v>4694</v>
      </c>
      <c r="G667" s="2">
        <v>10.98</v>
      </c>
    </row>
    <row r="668" spans="1:7" x14ac:dyDescent="0.35">
      <c r="A668" t="s">
        <v>5361</v>
      </c>
      <c r="B668" t="s">
        <v>1569</v>
      </c>
      <c r="C668" s="1">
        <v>45484</v>
      </c>
      <c r="D668" s="1" t="str">
        <f>TEXT(Payments_Cleaned[[#This Row],[payment_date]],"mmm-yyyy")</f>
        <v>Jul-2024</v>
      </c>
      <c r="E668" s="2">
        <v>334.4</v>
      </c>
      <c r="F668" t="s">
        <v>4697</v>
      </c>
      <c r="G668" s="2">
        <v>140.02000000000001</v>
      </c>
    </row>
    <row r="669" spans="1:7" x14ac:dyDescent="0.35">
      <c r="A669" t="s">
        <v>5362</v>
      </c>
      <c r="B669" t="s">
        <v>1570</v>
      </c>
      <c r="C669" s="1">
        <v>45152</v>
      </c>
      <c r="D669" s="1" t="str">
        <f>TEXT(Payments_Cleaned[[#This Row],[payment_date]],"mmm-yyyy")</f>
        <v>Aug-2023</v>
      </c>
      <c r="E669" s="2">
        <v>422.65</v>
      </c>
      <c r="F669" t="s">
        <v>4694</v>
      </c>
      <c r="G669" s="2">
        <v>19.22</v>
      </c>
    </row>
    <row r="670" spans="1:7" x14ac:dyDescent="0.35">
      <c r="A670" t="s">
        <v>5363</v>
      </c>
      <c r="B670" t="s">
        <v>1572</v>
      </c>
      <c r="C670" s="1">
        <v>45065</v>
      </c>
      <c r="D670" s="1" t="str">
        <f>TEXT(Payments_Cleaned[[#This Row],[payment_date]],"mmm-yyyy")</f>
        <v>May-2023</v>
      </c>
      <c r="E670" s="2">
        <v>160.38</v>
      </c>
      <c r="F670" t="s">
        <v>4694</v>
      </c>
      <c r="G670" s="2">
        <v>26.5</v>
      </c>
    </row>
    <row r="671" spans="1:7" x14ac:dyDescent="0.35">
      <c r="A671" t="s">
        <v>5364</v>
      </c>
      <c r="B671" t="s">
        <v>1574</v>
      </c>
      <c r="C671" s="1">
        <v>45207</v>
      </c>
      <c r="D671" s="1" t="str">
        <f>TEXT(Payments_Cleaned[[#This Row],[payment_date]],"mmm-yyyy")</f>
        <v>Oct-2023</v>
      </c>
      <c r="E671" s="2">
        <v>919.07</v>
      </c>
      <c r="F671" t="s">
        <v>4694</v>
      </c>
      <c r="G671" s="2">
        <v>180.84</v>
      </c>
    </row>
    <row r="672" spans="1:7" x14ac:dyDescent="0.35">
      <c r="A672" t="s">
        <v>5365</v>
      </c>
      <c r="B672" t="s">
        <v>1575</v>
      </c>
      <c r="C672" s="1">
        <v>45329</v>
      </c>
      <c r="D672" s="1" t="str">
        <f>TEXT(Payments_Cleaned[[#This Row],[payment_date]],"mmm-yyyy")</f>
        <v>Feb-2024</v>
      </c>
      <c r="E672" s="2">
        <v>4584.38</v>
      </c>
      <c r="F672" t="s">
        <v>4694</v>
      </c>
      <c r="G672" s="2">
        <v>1317.67</v>
      </c>
    </row>
    <row r="673" spans="1:7" x14ac:dyDescent="0.35">
      <c r="A673" t="s">
        <v>5366</v>
      </c>
      <c r="B673" t="s">
        <v>1576</v>
      </c>
      <c r="C673" s="1">
        <v>45232</v>
      </c>
      <c r="D673" s="1" t="str">
        <f>TEXT(Payments_Cleaned[[#This Row],[payment_date]],"mmm-yyyy")</f>
        <v>Nov-2023</v>
      </c>
      <c r="E673" s="2">
        <v>4306.8599999999997</v>
      </c>
      <c r="F673" t="s">
        <v>4694</v>
      </c>
      <c r="G673" s="2">
        <v>1250.81</v>
      </c>
    </row>
    <row r="674" spans="1:7" x14ac:dyDescent="0.35">
      <c r="A674" t="s">
        <v>5367</v>
      </c>
      <c r="B674" t="s">
        <v>1577</v>
      </c>
      <c r="C674" s="1">
        <v>45383</v>
      </c>
      <c r="D674" s="1" t="str">
        <f>TEXT(Payments_Cleaned[[#This Row],[payment_date]],"mmm-yyyy")</f>
        <v>Apr-2024</v>
      </c>
      <c r="E674" s="2">
        <v>189.3</v>
      </c>
      <c r="F674" t="s">
        <v>4694</v>
      </c>
      <c r="G674" s="2">
        <v>101.55</v>
      </c>
    </row>
    <row r="675" spans="1:7" x14ac:dyDescent="0.35">
      <c r="A675" t="s">
        <v>5368</v>
      </c>
      <c r="B675" t="s">
        <v>1578</v>
      </c>
      <c r="C675" s="1">
        <v>45310</v>
      </c>
      <c r="D675" s="1" t="str">
        <f>TEXT(Payments_Cleaned[[#This Row],[payment_date]],"mmm-yyyy")</f>
        <v>Jan-2024</v>
      </c>
      <c r="E675" s="2">
        <v>4055.32</v>
      </c>
      <c r="F675" t="s">
        <v>4694</v>
      </c>
      <c r="G675" s="2">
        <v>452.08</v>
      </c>
    </row>
    <row r="676" spans="1:7" x14ac:dyDescent="0.35">
      <c r="A676" t="s">
        <v>5369</v>
      </c>
      <c r="B676" t="s">
        <v>1579</v>
      </c>
      <c r="C676" s="1">
        <v>45045</v>
      </c>
      <c r="D676" s="1" t="str">
        <f>TEXT(Payments_Cleaned[[#This Row],[payment_date]],"mmm-yyyy")</f>
        <v>Apr-2023</v>
      </c>
      <c r="E676" s="2">
        <v>466.7</v>
      </c>
      <c r="F676" t="s">
        <v>4694</v>
      </c>
      <c r="G676" s="2">
        <v>229.19</v>
      </c>
    </row>
    <row r="677" spans="1:7" x14ac:dyDescent="0.35">
      <c r="A677" t="s">
        <v>5370</v>
      </c>
      <c r="B677" t="s">
        <v>1580</v>
      </c>
      <c r="C677" s="1">
        <v>45306</v>
      </c>
      <c r="D677" s="1" t="str">
        <f>TEXT(Payments_Cleaned[[#This Row],[payment_date]],"mmm-yyyy")</f>
        <v>Jan-2024</v>
      </c>
      <c r="E677" s="2">
        <v>7190.79</v>
      </c>
      <c r="F677" t="s">
        <v>4694</v>
      </c>
      <c r="G677" s="2">
        <v>411.9</v>
      </c>
    </row>
    <row r="678" spans="1:7" x14ac:dyDescent="0.35">
      <c r="A678" t="s">
        <v>5371</v>
      </c>
      <c r="B678" t="s">
        <v>1581</v>
      </c>
      <c r="C678" s="1">
        <v>45541</v>
      </c>
      <c r="D678" s="1" t="str">
        <f>TEXT(Payments_Cleaned[[#This Row],[payment_date]],"mmm-yyyy")</f>
        <v>Sep-2024</v>
      </c>
      <c r="E678" s="2">
        <v>1776.56</v>
      </c>
      <c r="F678" t="s">
        <v>4694</v>
      </c>
      <c r="G678" s="2">
        <v>158.19999999999999</v>
      </c>
    </row>
    <row r="679" spans="1:7" x14ac:dyDescent="0.35">
      <c r="A679" t="s">
        <v>5372</v>
      </c>
      <c r="B679" t="s">
        <v>1582</v>
      </c>
      <c r="C679" s="1">
        <v>45142</v>
      </c>
      <c r="D679" s="1" t="str">
        <f>TEXT(Payments_Cleaned[[#This Row],[payment_date]],"mmm-yyyy")</f>
        <v>Aug-2023</v>
      </c>
      <c r="E679" s="2">
        <v>269.95</v>
      </c>
      <c r="F679" t="s">
        <v>4694</v>
      </c>
      <c r="G679" s="2">
        <v>32.1</v>
      </c>
    </row>
    <row r="680" spans="1:7" x14ac:dyDescent="0.35">
      <c r="A680" t="s">
        <v>5373</v>
      </c>
      <c r="B680" t="s">
        <v>1583</v>
      </c>
      <c r="C680" s="1">
        <v>45656</v>
      </c>
      <c r="D680" s="1" t="str">
        <f>TEXT(Payments_Cleaned[[#This Row],[payment_date]],"mmm-yyyy")</f>
        <v>Dec-2024</v>
      </c>
      <c r="E680" s="2">
        <v>453.99</v>
      </c>
      <c r="F680" t="s">
        <v>4694</v>
      </c>
      <c r="G680" s="2">
        <v>104.37</v>
      </c>
    </row>
    <row r="681" spans="1:7" x14ac:dyDescent="0.35">
      <c r="A681" t="s">
        <v>5374</v>
      </c>
      <c r="B681" t="s">
        <v>1584</v>
      </c>
      <c r="C681" s="1">
        <v>45259</v>
      </c>
      <c r="D681" s="1" t="str">
        <f>TEXT(Payments_Cleaned[[#This Row],[payment_date]],"mmm-yyyy")</f>
        <v>Nov-2023</v>
      </c>
      <c r="E681" s="2">
        <v>368.97</v>
      </c>
      <c r="F681" t="s">
        <v>4694</v>
      </c>
      <c r="G681" s="2">
        <v>83.9</v>
      </c>
    </row>
    <row r="682" spans="1:7" x14ac:dyDescent="0.35">
      <c r="A682" t="s">
        <v>5375</v>
      </c>
      <c r="B682" t="s">
        <v>1585</v>
      </c>
      <c r="C682" s="1">
        <v>45018</v>
      </c>
      <c r="D682" s="1" t="str">
        <f>TEXT(Payments_Cleaned[[#This Row],[payment_date]],"mmm-yyyy")</f>
        <v>Apr-2023</v>
      </c>
      <c r="E682" s="2">
        <v>78.86</v>
      </c>
      <c r="F682" t="s">
        <v>4694</v>
      </c>
      <c r="G682" s="2">
        <v>25.43</v>
      </c>
    </row>
    <row r="683" spans="1:7" x14ac:dyDescent="0.35">
      <c r="A683" t="s">
        <v>5376</v>
      </c>
      <c r="B683" t="s">
        <v>1586</v>
      </c>
      <c r="C683" s="1">
        <v>45540</v>
      </c>
      <c r="D683" s="1" t="str">
        <f>TEXT(Payments_Cleaned[[#This Row],[payment_date]],"mmm-yyyy")</f>
        <v>Sep-2024</v>
      </c>
      <c r="E683" s="2">
        <v>185.36</v>
      </c>
      <c r="F683" t="s">
        <v>4697</v>
      </c>
      <c r="G683" s="2">
        <v>14.27</v>
      </c>
    </row>
    <row r="684" spans="1:7" x14ac:dyDescent="0.35">
      <c r="A684" t="s">
        <v>5377</v>
      </c>
      <c r="B684" t="s">
        <v>1587</v>
      </c>
      <c r="C684" s="1">
        <v>45041</v>
      </c>
      <c r="D684" s="1" t="str">
        <f>TEXT(Payments_Cleaned[[#This Row],[payment_date]],"mmm-yyyy")</f>
        <v>Apr-2023</v>
      </c>
      <c r="E684" s="2">
        <v>3870.55</v>
      </c>
      <c r="F684" t="s">
        <v>4694</v>
      </c>
      <c r="G684" s="2">
        <v>175.05</v>
      </c>
    </row>
    <row r="685" spans="1:7" x14ac:dyDescent="0.35">
      <c r="A685" t="s">
        <v>5378</v>
      </c>
      <c r="B685" t="s">
        <v>1588</v>
      </c>
      <c r="C685" s="1">
        <v>45094</v>
      </c>
      <c r="D685" s="1" t="str">
        <f>TEXT(Payments_Cleaned[[#This Row],[payment_date]],"mmm-yyyy")</f>
        <v>Jun-2023</v>
      </c>
      <c r="E685" s="2">
        <v>39.54</v>
      </c>
      <c r="F685" t="s">
        <v>4694</v>
      </c>
      <c r="G685" s="2">
        <v>9.6999999999999993</v>
      </c>
    </row>
    <row r="686" spans="1:7" x14ac:dyDescent="0.35">
      <c r="A686" t="s">
        <v>5379</v>
      </c>
      <c r="B686" t="s">
        <v>1589</v>
      </c>
      <c r="C686" s="1">
        <v>45320</v>
      </c>
      <c r="D686" s="1" t="str">
        <f>TEXT(Payments_Cleaned[[#This Row],[payment_date]],"mmm-yyyy")</f>
        <v>Jan-2024</v>
      </c>
      <c r="E686" s="2">
        <v>343.43</v>
      </c>
      <c r="F686" t="s">
        <v>4694</v>
      </c>
      <c r="G686" s="2">
        <v>88.61</v>
      </c>
    </row>
    <row r="687" spans="1:7" x14ac:dyDescent="0.35">
      <c r="A687" t="s">
        <v>5380</v>
      </c>
      <c r="B687" t="s">
        <v>1591</v>
      </c>
      <c r="C687" s="1">
        <v>45037</v>
      </c>
      <c r="D687" s="1" t="str">
        <f>TEXT(Payments_Cleaned[[#This Row],[payment_date]],"mmm-yyyy")</f>
        <v>Apr-2023</v>
      </c>
      <c r="E687" s="2">
        <v>3384.36</v>
      </c>
      <c r="F687" t="s">
        <v>4694</v>
      </c>
      <c r="G687" s="2">
        <v>821.92</v>
      </c>
    </row>
    <row r="688" spans="1:7" x14ac:dyDescent="0.35">
      <c r="A688" t="s">
        <v>5381</v>
      </c>
      <c r="B688" t="s">
        <v>1592</v>
      </c>
      <c r="C688" s="1">
        <v>45629</v>
      </c>
      <c r="D688" s="1" t="str">
        <f>TEXT(Payments_Cleaned[[#This Row],[payment_date]],"mmm-yyyy")</f>
        <v>Dec-2024</v>
      </c>
      <c r="E688" s="2">
        <v>36.93</v>
      </c>
      <c r="F688" t="s">
        <v>4694</v>
      </c>
      <c r="G688" s="2">
        <v>19.079999999999998</v>
      </c>
    </row>
    <row r="689" spans="1:7" x14ac:dyDescent="0.35">
      <c r="A689" t="s">
        <v>5382</v>
      </c>
      <c r="B689" t="s">
        <v>1595</v>
      </c>
      <c r="C689" s="1">
        <v>45322</v>
      </c>
      <c r="D689" s="1" t="str">
        <f>TEXT(Payments_Cleaned[[#This Row],[payment_date]],"mmm-yyyy")</f>
        <v>Jan-2024</v>
      </c>
      <c r="E689" s="2">
        <v>245.97</v>
      </c>
      <c r="F689" t="s">
        <v>4694</v>
      </c>
      <c r="G689" s="2">
        <v>53.78</v>
      </c>
    </row>
    <row r="690" spans="1:7" x14ac:dyDescent="0.35">
      <c r="A690" t="s">
        <v>5383</v>
      </c>
      <c r="B690" t="s">
        <v>1597</v>
      </c>
      <c r="C690" s="1">
        <v>45316</v>
      </c>
      <c r="D690" s="1" t="str">
        <f>TEXT(Payments_Cleaned[[#This Row],[payment_date]],"mmm-yyyy")</f>
        <v>Jan-2024</v>
      </c>
      <c r="E690" s="2">
        <v>37.07</v>
      </c>
      <c r="F690" t="s">
        <v>4694</v>
      </c>
      <c r="G690" s="2">
        <v>10.15</v>
      </c>
    </row>
    <row r="691" spans="1:7" x14ac:dyDescent="0.35">
      <c r="A691" t="s">
        <v>5384</v>
      </c>
      <c r="B691" t="s">
        <v>1599</v>
      </c>
      <c r="C691" s="1">
        <v>45275</v>
      </c>
      <c r="D691" s="1" t="str">
        <f>TEXT(Payments_Cleaned[[#This Row],[payment_date]],"mmm-yyyy")</f>
        <v>Dec-2023</v>
      </c>
      <c r="E691" s="2">
        <v>5313.36</v>
      </c>
      <c r="F691" t="s">
        <v>4694</v>
      </c>
      <c r="G691" s="2">
        <v>704.51</v>
      </c>
    </row>
    <row r="692" spans="1:7" x14ac:dyDescent="0.35">
      <c r="A692" t="s">
        <v>5385</v>
      </c>
      <c r="B692" t="s">
        <v>1602</v>
      </c>
      <c r="C692" s="1">
        <v>44974</v>
      </c>
      <c r="D692" s="1" t="str">
        <f>TEXT(Payments_Cleaned[[#This Row],[payment_date]],"mmm-yyyy")</f>
        <v>Feb-2023</v>
      </c>
      <c r="E692" s="2">
        <v>102.5</v>
      </c>
      <c r="F692" t="s">
        <v>4697</v>
      </c>
      <c r="G692" s="2">
        <v>8.8000000000000007</v>
      </c>
    </row>
    <row r="693" spans="1:7" x14ac:dyDescent="0.35">
      <c r="A693" t="s">
        <v>5386</v>
      </c>
      <c r="B693" t="s">
        <v>1603</v>
      </c>
      <c r="C693" s="1">
        <v>45145</v>
      </c>
      <c r="D693" s="1" t="str">
        <f>TEXT(Payments_Cleaned[[#This Row],[payment_date]],"mmm-yyyy")</f>
        <v>Aug-2023</v>
      </c>
      <c r="E693" s="2">
        <v>375.65</v>
      </c>
      <c r="F693" t="s">
        <v>4694</v>
      </c>
      <c r="G693" s="2">
        <v>182.27</v>
      </c>
    </row>
    <row r="694" spans="1:7" x14ac:dyDescent="0.35">
      <c r="A694" t="s">
        <v>5387</v>
      </c>
      <c r="B694" t="s">
        <v>1604</v>
      </c>
      <c r="C694" s="1">
        <v>45071</v>
      </c>
      <c r="D694" s="1" t="str">
        <f>TEXT(Payments_Cleaned[[#This Row],[payment_date]],"mmm-yyyy")</f>
        <v>May-2023</v>
      </c>
      <c r="E694" s="2">
        <v>2953.01</v>
      </c>
      <c r="F694" t="s">
        <v>4694</v>
      </c>
      <c r="G694" s="2">
        <v>1376.19</v>
      </c>
    </row>
    <row r="695" spans="1:7" x14ac:dyDescent="0.35">
      <c r="A695" t="s">
        <v>5388</v>
      </c>
      <c r="B695" t="s">
        <v>1605</v>
      </c>
      <c r="C695" s="1">
        <v>45456</v>
      </c>
      <c r="D695" s="1" t="str">
        <f>TEXT(Payments_Cleaned[[#This Row],[payment_date]],"mmm-yyyy")</f>
        <v>Jun-2024</v>
      </c>
      <c r="E695" s="2">
        <v>245.19</v>
      </c>
      <c r="F695" t="s">
        <v>4694</v>
      </c>
      <c r="G695" s="2">
        <v>96.36</v>
      </c>
    </row>
    <row r="696" spans="1:7" x14ac:dyDescent="0.35">
      <c r="A696" t="s">
        <v>5389</v>
      </c>
      <c r="B696" t="s">
        <v>1606</v>
      </c>
      <c r="C696" s="1">
        <v>45233</v>
      </c>
      <c r="D696" s="1" t="str">
        <f>TEXT(Payments_Cleaned[[#This Row],[payment_date]],"mmm-yyyy")</f>
        <v>Nov-2023</v>
      </c>
      <c r="E696" s="2">
        <v>207.04</v>
      </c>
      <c r="F696" t="s">
        <v>4697</v>
      </c>
      <c r="G696" s="2">
        <v>115.74</v>
      </c>
    </row>
    <row r="697" spans="1:7" x14ac:dyDescent="0.35">
      <c r="A697" t="s">
        <v>5390</v>
      </c>
      <c r="B697" t="s">
        <v>1607</v>
      </c>
      <c r="C697" s="1">
        <v>45254</v>
      </c>
      <c r="D697" s="1" t="str">
        <f>TEXT(Payments_Cleaned[[#This Row],[payment_date]],"mmm-yyyy")</f>
        <v>Nov-2023</v>
      </c>
      <c r="E697" s="2">
        <v>612.74</v>
      </c>
      <c r="F697" t="s">
        <v>4694</v>
      </c>
      <c r="G697" s="2">
        <v>114.34</v>
      </c>
    </row>
    <row r="698" spans="1:7" x14ac:dyDescent="0.35">
      <c r="A698" t="s">
        <v>5391</v>
      </c>
      <c r="B698" t="s">
        <v>1608</v>
      </c>
      <c r="C698" s="1">
        <v>45396</v>
      </c>
      <c r="D698" s="1" t="str">
        <f>TEXT(Payments_Cleaned[[#This Row],[payment_date]],"mmm-yyyy")</f>
        <v>Apr-2024</v>
      </c>
      <c r="E698" s="2">
        <v>3840.64</v>
      </c>
      <c r="F698" t="s">
        <v>4694</v>
      </c>
      <c r="G698" s="2">
        <v>490.04</v>
      </c>
    </row>
    <row r="699" spans="1:7" x14ac:dyDescent="0.35">
      <c r="A699" t="s">
        <v>5392</v>
      </c>
      <c r="B699" t="s">
        <v>1609</v>
      </c>
      <c r="C699" s="1">
        <v>45159</v>
      </c>
      <c r="D699" s="1" t="str">
        <f>TEXT(Payments_Cleaned[[#This Row],[payment_date]],"mmm-yyyy")</f>
        <v>Aug-2023</v>
      </c>
      <c r="E699" s="2">
        <v>6250.75</v>
      </c>
      <c r="F699" t="s">
        <v>4694</v>
      </c>
      <c r="G699" s="2">
        <v>825.43</v>
      </c>
    </row>
    <row r="700" spans="1:7" x14ac:dyDescent="0.35">
      <c r="A700" t="s">
        <v>5393</v>
      </c>
      <c r="B700" t="s">
        <v>1610</v>
      </c>
      <c r="C700" s="1">
        <v>45605</v>
      </c>
      <c r="D700" s="1" t="str">
        <f>TEXT(Payments_Cleaned[[#This Row],[payment_date]],"mmm-yyyy")</f>
        <v>Nov-2024</v>
      </c>
      <c r="E700" s="2">
        <v>368.38</v>
      </c>
      <c r="F700" t="s">
        <v>4694</v>
      </c>
      <c r="G700" s="2">
        <v>81.96</v>
      </c>
    </row>
    <row r="701" spans="1:7" x14ac:dyDescent="0.35">
      <c r="A701" t="s">
        <v>5394</v>
      </c>
      <c r="B701" t="s">
        <v>1611</v>
      </c>
      <c r="C701" s="1">
        <v>45543</v>
      </c>
      <c r="D701" s="1" t="str">
        <f>TEXT(Payments_Cleaned[[#This Row],[payment_date]],"mmm-yyyy")</f>
        <v>Sep-2024</v>
      </c>
      <c r="E701" s="2">
        <v>554.75</v>
      </c>
      <c r="F701" t="s">
        <v>4697</v>
      </c>
      <c r="G701" s="2">
        <v>293.14</v>
      </c>
    </row>
    <row r="702" spans="1:7" x14ac:dyDescent="0.35">
      <c r="A702" t="s">
        <v>5395</v>
      </c>
      <c r="B702" t="s">
        <v>1612</v>
      </c>
      <c r="C702" s="1">
        <v>44984</v>
      </c>
      <c r="D702" s="1" t="str">
        <f>TEXT(Payments_Cleaned[[#This Row],[payment_date]],"mmm-yyyy")</f>
        <v>Feb-2023</v>
      </c>
      <c r="E702" s="2">
        <v>144.97999999999999</v>
      </c>
      <c r="F702" t="s">
        <v>4694</v>
      </c>
      <c r="G702" s="2">
        <v>61.34</v>
      </c>
    </row>
    <row r="703" spans="1:7" x14ac:dyDescent="0.35">
      <c r="A703" t="s">
        <v>5396</v>
      </c>
      <c r="B703" t="s">
        <v>1614</v>
      </c>
      <c r="C703" s="1">
        <v>45185</v>
      </c>
      <c r="D703" s="1" t="str">
        <f>TEXT(Payments_Cleaned[[#This Row],[payment_date]],"mmm-yyyy")</f>
        <v>Sep-2023</v>
      </c>
      <c r="E703" s="2">
        <v>222.13</v>
      </c>
      <c r="F703" t="s">
        <v>4694</v>
      </c>
      <c r="G703" s="2">
        <v>87.13</v>
      </c>
    </row>
    <row r="704" spans="1:7" x14ac:dyDescent="0.35">
      <c r="A704" t="s">
        <v>5397</v>
      </c>
      <c r="B704" t="s">
        <v>1615</v>
      </c>
      <c r="C704" s="1">
        <v>45512</v>
      </c>
      <c r="D704" s="1" t="str">
        <f>TEXT(Payments_Cleaned[[#This Row],[payment_date]],"mmm-yyyy")</f>
        <v>Aug-2024</v>
      </c>
      <c r="E704" s="2">
        <v>54.43</v>
      </c>
      <c r="F704" t="s">
        <v>4694</v>
      </c>
      <c r="G704" s="2">
        <v>7.21</v>
      </c>
    </row>
    <row r="705" spans="1:7" x14ac:dyDescent="0.35">
      <c r="A705" t="s">
        <v>5398</v>
      </c>
      <c r="B705" t="s">
        <v>1618</v>
      </c>
      <c r="C705" s="1">
        <v>45644</v>
      </c>
      <c r="D705" s="1" t="str">
        <f>TEXT(Payments_Cleaned[[#This Row],[payment_date]],"mmm-yyyy")</f>
        <v>Dec-2024</v>
      </c>
      <c r="E705" s="2">
        <v>318.95999999999998</v>
      </c>
      <c r="F705" t="s">
        <v>4694</v>
      </c>
      <c r="G705" s="2">
        <v>169.99</v>
      </c>
    </row>
    <row r="706" spans="1:7" x14ac:dyDescent="0.35">
      <c r="A706" t="s">
        <v>5399</v>
      </c>
      <c r="B706" t="s">
        <v>1620</v>
      </c>
      <c r="C706" s="1">
        <v>45493</v>
      </c>
      <c r="D706" s="1" t="str">
        <f>TEXT(Payments_Cleaned[[#This Row],[payment_date]],"mmm-yyyy")</f>
        <v>Jul-2024</v>
      </c>
      <c r="E706" s="2">
        <v>303.95999999999998</v>
      </c>
      <c r="F706" t="s">
        <v>4694</v>
      </c>
      <c r="G706" s="2">
        <v>140.77000000000001</v>
      </c>
    </row>
    <row r="707" spans="1:7" x14ac:dyDescent="0.35">
      <c r="A707" t="s">
        <v>5400</v>
      </c>
      <c r="B707" t="s">
        <v>1622</v>
      </c>
      <c r="C707" s="1">
        <v>45023</v>
      </c>
      <c r="D707" s="1" t="str">
        <f>TEXT(Payments_Cleaned[[#This Row],[payment_date]],"mmm-yyyy")</f>
        <v>Apr-2023</v>
      </c>
      <c r="E707" s="2">
        <v>393.41</v>
      </c>
      <c r="F707" t="s">
        <v>4694</v>
      </c>
      <c r="G707" s="2">
        <v>141.34</v>
      </c>
    </row>
    <row r="708" spans="1:7" x14ac:dyDescent="0.35">
      <c r="A708" t="s">
        <v>5401</v>
      </c>
      <c r="B708" t="s">
        <v>1623</v>
      </c>
      <c r="C708" s="1">
        <v>45255</v>
      </c>
      <c r="D708" s="1" t="str">
        <f>TEXT(Payments_Cleaned[[#This Row],[payment_date]],"mmm-yyyy")</f>
        <v>Nov-2023</v>
      </c>
      <c r="E708" s="2">
        <v>4070.91</v>
      </c>
      <c r="F708" t="s">
        <v>4694</v>
      </c>
      <c r="G708" s="2">
        <v>2013.75</v>
      </c>
    </row>
    <row r="709" spans="1:7" x14ac:dyDescent="0.35">
      <c r="A709" t="s">
        <v>5402</v>
      </c>
      <c r="B709" t="s">
        <v>1624</v>
      </c>
      <c r="C709" s="1">
        <v>45234</v>
      </c>
      <c r="D709" s="1" t="str">
        <f>TEXT(Payments_Cleaned[[#This Row],[payment_date]],"mmm-yyyy")</f>
        <v>Nov-2023</v>
      </c>
      <c r="E709" s="2">
        <v>867.11</v>
      </c>
      <c r="F709" t="s">
        <v>4694</v>
      </c>
      <c r="G709" s="2">
        <v>239.94</v>
      </c>
    </row>
    <row r="710" spans="1:7" x14ac:dyDescent="0.35">
      <c r="A710" t="s">
        <v>5403</v>
      </c>
      <c r="B710" t="s">
        <v>1626</v>
      </c>
      <c r="C710" s="1">
        <v>44993</v>
      </c>
      <c r="D710" s="1" t="str">
        <f>TEXT(Payments_Cleaned[[#This Row],[payment_date]],"mmm-yyyy")</f>
        <v>Mar-2023</v>
      </c>
      <c r="E710" s="2">
        <v>1858.63</v>
      </c>
      <c r="F710" t="s">
        <v>4694</v>
      </c>
      <c r="G710" s="2">
        <v>260.93</v>
      </c>
    </row>
    <row r="711" spans="1:7" x14ac:dyDescent="0.35">
      <c r="A711" t="s">
        <v>5404</v>
      </c>
      <c r="B711" t="s">
        <v>1627</v>
      </c>
      <c r="C711" s="1">
        <v>45313</v>
      </c>
      <c r="D711" s="1" t="str">
        <f>TEXT(Payments_Cleaned[[#This Row],[payment_date]],"mmm-yyyy")</f>
        <v>Jan-2024</v>
      </c>
      <c r="E711" s="2">
        <v>396.71</v>
      </c>
      <c r="F711" t="s">
        <v>4694</v>
      </c>
      <c r="G711" s="2">
        <v>120.43</v>
      </c>
    </row>
    <row r="712" spans="1:7" x14ac:dyDescent="0.35">
      <c r="A712" t="s">
        <v>5405</v>
      </c>
      <c r="B712" t="s">
        <v>1628</v>
      </c>
      <c r="C712" s="1">
        <v>45148</v>
      </c>
      <c r="D712" s="1" t="str">
        <f>TEXT(Payments_Cleaned[[#This Row],[payment_date]],"mmm-yyyy")</f>
        <v>Aug-2023</v>
      </c>
      <c r="E712" s="2">
        <v>42.09</v>
      </c>
      <c r="F712" t="s">
        <v>4694</v>
      </c>
      <c r="G712" s="2">
        <v>9.65</v>
      </c>
    </row>
    <row r="713" spans="1:7" x14ac:dyDescent="0.35">
      <c r="A713" t="s">
        <v>5406</v>
      </c>
      <c r="B713" t="s">
        <v>1631</v>
      </c>
      <c r="C713" s="1">
        <v>45409</v>
      </c>
      <c r="D713" s="1" t="str">
        <f>TEXT(Payments_Cleaned[[#This Row],[payment_date]],"mmm-yyyy")</f>
        <v>Apr-2024</v>
      </c>
      <c r="E713" s="2">
        <v>845.77</v>
      </c>
      <c r="F713" t="s">
        <v>4694</v>
      </c>
      <c r="G713" s="2">
        <v>267.51</v>
      </c>
    </row>
    <row r="714" spans="1:7" x14ac:dyDescent="0.35">
      <c r="A714" t="s">
        <v>5407</v>
      </c>
      <c r="B714" t="s">
        <v>1633</v>
      </c>
      <c r="C714" s="1">
        <v>44973</v>
      </c>
      <c r="D714" s="1" t="str">
        <f>TEXT(Payments_Cleaned[[#This Row],[payment_date]],"mmm-yyyy")</f>
        <v>Feb-2023</v>
      </c>
      <c r="E714" s="2">
        <v>285.06</v>
      </c>
      <c r="F714" t="s">
        <v>4694</v>
      </c>
      <c r="G714" s="2">
        <v>29.11</v>
      </c>
    </row>
    <row r="715" spans="1:7" x14ac:dyDescent="0.35">
      <c r="A715" t="s">
        <v>5408</v>
      </c>
      <c r="B715" t="s">
        <v>1634</v>
      </c>
      <c r="C715" s="1">
        <v>45452</v>
      </c>
      <c r="D715" s="1" t="str">
        <f>TEXT(Payments_Cleaned[[#This Row],[payment_date]],"mmm-yyyy")</f>
        <v>Jun-2024</v>
      </c>
      <c r="E715" s="2">
        <v>301.76</v>
      </c>
      <c r="F715" t="s">
        <v>4694</v>
      </c>
      <c r="G715" s="2">
        <v>18.739999999999998</v>
      </c>
    </row>
    <row r="716" spans="1:7" x14ac:dyDescent="0.35">
      <c r="A716" t="s">
        <v>5409</v>
      </c>
      <c r="B716" t="s">
        <v>1636</v>
      </c>
      <c r="C716" s="1">
        <v>45523</v>
      </c>
      <c r="D716" s="1" t="str">
        <f>TEXT(Payments_Cleaned[[#This Row],[payment_date]],"mmm-yyyy")</f>
        <v>Aug-2024</v>
      </c>
      <c r="E716" s="2">
        <v>102.16</v>
      </c>
      <c r="F716" t="s">
        <v>4694</v>
      </c>
      <c r="G716" s="2">
        <v>51.91</v>
      </c>
    </row>
    <row r="717" spans="1:7" x14ac:dyDescent="0.35">
      <c r="A717" t="s">
        <v>5410</v>
      </c>
      <c r="B717" t="s">
        <v>1637</v>
      </c>
      <c r="C717" s="1">
        <v>45513</v>
      </c>
      <c r="D717" s="1" t="str">
        <f>TEXT(Payments_Cleaned[[#This Row],[payment_date]],"mmm-yyyy")</f>
        <v>Aug-2024</v>
      </c>
      <c r="E717" s="2">
        <v>263.74</v>
      </c>
      <c r="F717" t="s">
        <v>4694</v>
      </c>
      <c r="G717" s="2">
        <v>11.75</v>
      </c>
    </row>
    <row r="718" spans="1:7" x14ac:dyDescent="0.35">
      <c r="A718" t="s">
        <v>5411</v>
      </c>
      <c r="B718" t="s">
        <v>1638</v>
      </c>
      <c r="C718" s="1">
        <v>45641</v>
      </c>
      <c r="D718" s="1" t="str">
        <f>TEXT(Payments_Cleaned[[#This Row],[payment_date]],"mmm-yyyy")</f>
        <v>Dec-2024</v>
      </c>
      <c r="E718" s="2">
        <v>173.57</v>
      </c>
      <c r="F718" t="s">
        <v>4694</v>
      </c>
      <c r="G718" s="2">
        <v>54.42</v>
      </c>
    </row>
    <row r="719" spans="1:7" x14ac:dyDescent="0.35">
      <c r="A719" t="s">
        <v>5412</v>
      </c>
      <c r="B719" t="s">
        <v>1639</v>
      </c>
      <c r="C719" s="1">
        <v>45137</v>
      </c>
      <c r="D719" s="1" t="str">
        <f>TEXT(Payments_Cleaned[[#This Row],[payment_date]],"mmm-yyyy")</f>
        <v>Jul-2023</v>
      </c>
      <c r="E719" s="2">
        <v>159.5</v>
      </c>
      <c r="F719" t="s">
        <v>4694</v>
      </c>
      <c r="G719" s="2">
        <v>51.04</v>
      </c>
    </row>
    <row r="720" spans="1:7" x14ac:dyDescent="0.35">
      <c r="A720" t="s">
        <v>5413</v>
      </c>
      <c r="B720" t="s">
        <v>1640</v>
      </c>
      <c r="C720" s="1">
        <v>44976</v>
      </c>
      <c r="D720" s="1" t="str">
        <f>TEXT(Payments_Cleaned[[#This Row],[payment_date]],"mmm-yyyy")</f>
        <v>Feb-2023</v>
      </c>
      <c r="E720" s="2">
        <v>3926.35</v>
      </c>
      <c r="F720" t="s">
        <v>4694</v>
      </c>
      <c r="G720" s="2">
        <v>2366.81</v>
      </c>
    </row>
    <row r="721" spans="1:7" x14ac:dyDescent="0.35">
      <c r="A721" t="s">
        <v>5414</v>
      </c>
      <c r="B721" t="s">
        <v>1641</v>
      </c>
      <c r="C721" s="1">
        <v>45127</v>
      </c>
      <c r="D721" s="1" t="str">
        <f>TEXT(Payments_Cleaned[[#This Row],[payment_date]],"mmm-yyyy")</f>
        <v>Jul-2023</v>
      </c>
      <c r="E721" s="2">
        <v>956.68</v>
      </c>
      <c r="F721" t="s">
        <v>4694</v>
      </c>
      <c r="G721" s="2">
        <v>110.37</v>
      </c>
    </row>
    <row r="722" spans="1:7" x14ac:dyDescent="0.35">
      <c r="A722" t="s">
        <v>5415</v>
      </c>
      <c r="B722" t="s">
        <v>1642</v>
      </c>
      <c r="C722" s="1">
        <v>45378</v>
      </c>
      <c r="D722" s="1" t="str">
        <f>TEXT(Payments_Cleaned[[#This Row],[payment_date]],"mmm-yyyy")</f>
        <v>Mar-2024</v>
      </c>
      <c r="E722" s="2">
        <v>719.67</v>
      </c>
      <c r="F722" t="s">
        <v>4694</v>
      </c>
      <c r="G722" s="2">
        <v>166</v>
      </c>
    </row>
    <row r="723" spans="1:7" x14ac:dyDescent="0.35">
      <c r="A723" t="s">
        <v>5416</v>
      </c>
      <c r="B723" t="s">
        <v>1643</v>
      </c>
      <c r="C723" s="1">
        <v>44994</v>
      </c>
      <c r="D723" s="1" t="str">
        <f>TEXT(Payments_Cleaned[[#This Row],[payment_date]],"mmm-yyyy")</f>
        <v>Mar-2023</v>
      </c>
      <c r="E723" s="2">
        <v>1207.6600000000001</v>
      </c>
      <c r="F723" t="s">
        <v>4694</v>
      </c>
      <c r="G723" s="2">
        <v>718.77</v>
      </c>
    </row>
    <row r="724" spans="1:7" x14ac:dyDescent="0.35">
      <c r="A724" t="s">
        <v>5417</v>
      </c>
      <c r="B724" t="s">
        <v>1644</v>
      </c>
      <c r="C724" s="1">
        <v>45368</v>
      </c>
      <c r="D724" s="1" t="str">
        <f>TEXT(Payments_Cleaned[[#This Row],[payment_date]],"mmm-yyyy")</f>
        <v>Mar-2024</v>
      </c>
      <c r="E724" s="2">
        <v>1983.27</v>
      </c>
      <c r="F724" t="s">
        <v>4694</v>
      </c>
      <c r="G724" s="2">
        <v>226.54</v>
      </c>
    </row>
    <row r="725" spans="1:7" x14ac:dyDescent="0.35">
      <c r="A725" t="s">
        <v>5418</v>
      </c>
      <c r="B725" t="s">
        <v>1645</v>
      </c>
      <c r="C725" s="1">
        <v>44968</v>
      </c>
      <c r="D725" s="1" t="str">
        <f>TEXT(Payments_Cleaned[[#This Row],[payment_date]],"mmm-yyyy")</f>
        <v>Feb-2023</v>
      </c>
      <c r="E725" s="2">
        <v>172.84</v>
      </c>
      <c r="F725" t="s">
        <v>4694</v>
      </c>
      <c r="G725" s="2">
        <v>51.83</v>
      </c>
    </row>
    <row r="726" spans="1:7" x14ac:dyDescent="0.35">
      <c r="A726" t="s">
        <v>5419</v>
      </c>
      <c r="B726" t="s">
        <v>1646</v>
      </c>
      <c r="C726" s="1">
        <v>45012</v>
      </c>
      <c r="D726" s="1" t="str">
        <f>TEXT(Payments_Cleaned[[#This Row],[payment_date]],"mmm-yyyy")</f>
        <v>Mar-2023</v>
      </c>
      <c r="E726" s="2">
        <v>190.25</v>
      </c>
      <c r="F726" t="s">
        <v>4694</v>
      </c>
      <c r="G726" s="2">
        <v>9.92</v>
      </c>
    </row>
    <row r="727" spans="1:7" x14ac:dyDescent="0.35">
      <c r="A727" t="s">
        <v>5420</v>
      </c>
      <c r="B727" t="s">
        <v>1647</v>
      </c>
      <c r="C727" s="1">
        <v>45646</v>
      </c>
      <c r="D727" s="1" t="str">
        <f>TEXT(Payments_Cleaned[[#This Row],[payment_date]],"mmm-yyyy")</f>
        <v>Dec-2024</v>
      </c>
      <c r="E727" s="2">
        <v>2919.43</v>
      </c>
      <c r="F727" t="s">
        <v>4694</v>
      </c>
      <c r="G727" s="2">
        <v>1207.5</v>
      </c>
    </row>
    <row r="728" spans="1:7" x14ac:dyDescent="0.35">
      <c r="A728" t="s">
        <v>5421</v>
      </c>
      <c r="B728" t="s">
        <v>1648</v>
      </c>
      <c r="C728" s="1">
        <v>45197</v>
      </c>
      <c r="D728" s="1" t="str">
        <f>TEXT(Payments_Cleaned[[#This Row],[payment_date]],"mmm-yyyy")</f>
        <v>Sep-2023</v>
      </c>
      <c r="E728" s="2">
        <v>302.52</v>
      </c>
      <c r="F728" t="s">
        <v>4694</v>
      </c>
      <c r="G728" s="2">
        <v>44.18</v>
      </c>
    </row>
    <row r="729" spans="1:7" x14ac:dyDescent="0.35">
      <c r="A729" t="s">
        <v>5422</v>
      </c>
      <c r="B729" t="s">
        <v>1649</v>
      </c>
      <c r="C729" s="1">
        <v>45171</v>
      </c>
      <c r="D729" s="1" t="str">
        <f>TEXT(Payments_Cleaned[[#This Row],[payment_date]],"mmm-yyyy")</f>
        <v>Sep-2023</v>
      </c>
      <c r="E729" s="2">
        <v>1226.17</v>
      </c>
      <c r="F729" t="s">
        <v>4694</v>
      </c>
      <c r="G729" s="2">
        <v>53.59</v>
      </c>
    </row>
    <row r="730" spans="1:7" x14ac:dyDescent="0.35">
      <c r="A730" t="s">
        <v>5423</v>
      </c>
      <c r="B730" t="s">
        <v>1650</v>
      </c>
      <c r="C730" s="1">
        <v>45007</v>
      </c>
      <c r="D730" s="1" t="str">
        <f>TEXT(Payments_Cleaned[[#This Row],[payment_date]],"mmm-yyyy")</f>
        <v>Mar-2023</v>
      </c>
      <c r="E730" s="2">
        <v>133.78</v>
      </c>
      <c r="F730" t="s">
        <v>4694</v>
      </c>
      <c r="G730" s="2">
        <v>52.85</v>
      </c>
    </row>
    <row r="731" spans="1:7" x14ac:dyDescent="0.35">
      <c r="A731" t="s">
        <v>5424</v>
      </c>
      <c r="B731" t="s">
        <v>1651</v>
      </c>
      <c r="C731" s="1">
        <v>45426</v>
      </c>
      <c r="D731" s="1" t="str">
        <f>TEXT(Payments_Cleaned[[#This Row],[payment_date]],"mmm-yyyy")</f>
        <v>May-2024</v>
      </c>
      <c r="E731" s="2">
        <v>857.92</v>
      </c>
      <c r="F731" t="s">
        <v>4694</v>
      </c>
      <c r="G731" s="2">
        <v>405.41</v>
      </c>
    </row>
    <row r="732" spans="1:7" x14ac:dyDescent="0.35">
      <c r="A732" t="s">
        <v>5425</v>
      </c>
      <c r="B732" t="s">
        <v>1652</v>
      </c>
      <c r="C732" s="1">
        <v>45414</v>
      </c>
      <c r="D732" s="1" t="str">
        <f>TEXT(Payments_Cleaned[[#This Row],[payment_date]],"mmm-yyyy")</f>
        <v>May-2024</v>
      </c>
      <c r="E732" s="2">
        <v>1058.8800000000001</v>
      </c>
      <c r="F732" t="s">
        <v>4694</v>
      </c>
      <c r="G732" s="2">
        <v>85.36</v>
      </c>
    </row>
    <row r="733" spans="1:7" x14ac:dyDescent="0.35">
      <c r="A733" t="s">
        <v>5426</v>
      </c>
      <c r="B733" t="s">
        <v>1653</v>
      </c>
      <c r="C733" s="1">
        <v>44966</v>
      </c>
      <c r="D733" s="1" t="str">
        <f>TEXT(Payments_Cleaned[[#This Row],[payment_date]],"mmm-yyyy")</f>
        <v>Feb-2023</v>
      </c>
      <c r="E733" s="2">
        <v>658.57</v>
      </c>
      <c r="F733" t="s">
        <v>4694</v>
      </c>
      <c r="G733" s="2">
        <v>34.54</v>
      </c>
    </row>
    <row r="734" spans="1:7" x14ac:dyDescent="0.35">
      <c r="A734" t="s">
        <v>5427</v>
      </c>
      <c r="B734" t="s">
        <v>1654</v>
      </c>
      <c r="C734" s="1">
        <v>45581</v>
      </c>
      <c r="D734" s="1" t="str">
        <f>TEXT(Payments_Cleaned[[#This Row],[payment_date]],"mmm-yyyy")</f>
        <v>Oct-2024</v>
      </c>
      <c r="E734" s="2">
        <v>117.71</v>
      </c>
      <c r="F734" t="s">
        <v>4694</v>
      </c>
      <c r="G734" s="2">
        <v>69.569999999999993</v>
      </c>
    </row>
    <row r="735" spans="1:7" x14ac:dyDescent="0.35">
      <c r="A735" t="s">
        <v>5428</v>
      </c>
      <c r="B735" t="s">
        <v>1655</v>
      </c>
      <c r="C735" s="1">
        <v>45238</v>
      </c>
      <c r="D735" s="1" t="str">
        <f>TEXT(Payments_Cleaned[[#This Row],[payment_date]],"mmm-yyyy")</f>
        <v>Nov-2023</v>
      </c>
      <c r="E735" s="2">
        <v>746.38</v>
      </c>
      <c r="F735" t="s">
        <v>4694</v>
      </c>
      <c r="G735" s="2">
        <v>54.49</v>
      </c>
    </row>
    <row r="736" spans="1:7" x14ac:dyDescent="0.35">
      <c r="A736" t="s">
        <v>5429</v>
      </c>
      <c r="B736" t="s">
        <v>1656</v>
      </c>
      <c r="C736" s="1">
        <v>45316</v>
      </c>
      <c r="D736" s="1" t="str">
        <f>TEXT(Payments_Cleaned[[#This Row],[payment_date]],"mmm-yyyy")</f>
        <v>Jan-2024</v>
      </c>
      <c r="E736" s="2">
        <v>316.73</v>
      </c>
      <c r="F736" t="s">
        <v>4694</v>
      </c>
      <c r="G736" s="2">
        <v>16.559999999999999</v>
      </c>
    </row>
    <row r="737" spans="1:7" x14ac:dyDescent="0.35">
      <c r="A737" t="s">
        <v>5430</v>
      </c>
      <c r="B737" t="s">
        <v>1659</v>
      </c>
      <c r="C737" s="1">
        <v>45667</v>
      </c>
      <c r="D737" s="1" t="str">
        <f>TEXT(Payments_Cleaned[[#This Row],[payment_date]],"mmm-yyyy")</f>
        <v>Jan-2025</v>
      </c>
      <c r="E737" s="2">
        <v>3581.08</v>
      </c>
      <c r="F737" t="s">
        <v>4697</v>
      </c>
      <c r="G737" s="2">
        <v>1829.2</v>
      </c>
    </row>
    <row r="738" spans="1:7" x14ac:dyDescent="0.35">
      <c r="A738" t="s">
        <v>5431</v>
      </c>
      <c r="B738" t="s">
        <v>1660</v>
      </c>
      <c r="C738" s="1">
        <v>45510</v>
      </c>
      <c r="D738" s="1" t="str">
        <f>TEXT(Payments_Cleaned[[#This Row],[payment_date]],"mmm-yyyy")</f>
        <v>Aug-2024</v>
      </c>
      <c r="E738" s="2">
        <v>239.23</v>
      </c>
      <c r="F738" t="s">
        <v>4694</v>
      </c>
      <c r="G738" s="2">
        <v>69.08</v>
      </c>
    </row>
    <row r="739" spans="1:7" x14ac:dyDescent="0.35">
      <c r="A739" t="s">
        <v>5432</v>
      </c>
      <c r="B739" t="s">
        <v>1662</v>
      </c>
      <c r="C739" s="1">
        <v>45397</v>
      </c>
      <c r="D739" s="1" t="str">
        <f>TEXT(Payments_Cleaned[[#This Row],[payment_date]],"mmm-yyyy")</f>
        <v>Apr-2024</v>
      </c>
      <c r="E739" s="2">
        <v>245.24</v>
      </c>
      <c r="F739" t="s">
        <v>4694</v>
      </c>
      <c r="G739" s="2">
        <v>118.15</v>
      </c>
    </row>
    <row r="740" spans="1:7" x14ac:dyDescent="0.35">
      <c r="A740" t="s">
        <v>5433</v>
      </c>
      <c r="B740" t="s">
        <v>1663</v>
      </c>
      <c r="C740" s="1">
        <v>45213</v>
      </c>
      <c r="D740" s="1" t="str">
        <f>TEXT(Payments_Cleaned[[#This Row],[payment_date]],"mmm-yyyy")</f>
        <v>Oct-2023</v>
      </c>
      <c r="E740" s="2">
        <v>514.14</v>
      </c>
      <c r="F740" t="s">
        <v>4694</v>
      </c>
      <c r="G740" s="2">
        <v>45.35</v>
      </c>
    </row>
    <row r="741" spans="1:7" x14ac:dyDescent="0.35">
      <c r="A741" t="s">
        <v>5434</v>
      </c>
      <c r="B741" t="s">
        <v>1665</v>
      </c>
      <c r="C741" s="1">
        <v>45045</v>
      </c>
      <c r="D741" s="1" t="str">
        <f>TEXT(Payments_Cleaned[[#This Row],[payment_date]],"mmm-yyyy")</f>
        <v>Apr-2023</v>
      </c>
      <c r="E741" s="2">
        <v>36.72</v>
      </c>
      <c r="F741" t="s">
        <v>4694</v>
      </c>
      <c r="G741" s="2">
        <v>14.89</v>
      </c>
    </row>
    <row r="742" spans="1:7" x14ac:dyDescent="0.35">
      <c r="A742" t="s">
        <v>5435</v>
      </c>
      <c r="B742" t="s">
        <v>1667</v>
      </c>
      <c r="C742" s="1">
        <v>45240</v>
      </c>
      <c r="D742" s="1" t="str">
        <f>TEXT(Payments_Cleaned[[#This Row],[payment_date]],"mmm-yyyy")</f>
        <v>Nov-2023</v>
      </c>
      <c r="E742" s="2">
        <v>393.73</v>
      </c>
      <c r="F742" t="s">
        <v>4694</v>
      </c>
      <c r="G742" s="2">
        <v>231.65</v>
      </c>
    </row>
    <row r="743" spans="1:7" x14ac:dyDescent="0.35">
      <c r="A743" t="s">
        <v>5436</v>
      </c>
      <c r="B743" t="s">
        <v>1668</v>
      </c>
      <c r="C743" s="1">
        <v>45157</v>
      </c>
      <c r="D743" s="1" t="str">
        <f>TEXT(Payments_Cleaned[[#This Row],[payment_date]],"mmm-yyyy")</f>
        <v>Aug-2023</v>
      </c>
      <c r="E743" s="2">
        <v>272.94</v>
      </c>
      <c r="F743" t="s">
        <v>4694</v>
      </c>
      <c r="G743" s="2">
        <v>27.47</v>
      </c>
    </row>
    <row r="744" spans="1:7" x14ac:dyDescent="0.35">
      <c r="A744" t="s">
        <v>5437</v>
      </c>
      <c r="B744" t="s">
        <v>1669</v>
      </c>
      <c r="C744" s="1">
        <v>45299</v>
      </c>
      <c r="D744" s="1" t="str">
        <f>TEXT(Payments_Cleaned[[#This Row],[payment_date]],"mmm-yyyy")</f>
        <v>Jan-2024</v>
      </c>
      <c r="E744" s="2">
        <v>3856.34</v>
      </c>
      <c r="F744" t="s">
        <v>4694</v>
      </c>
      <c r="G744" s="2">
        <v>1653.76</v>
      </c>
    </row>
    <row r="745" spans="1:7" x14ac:dyDescent="0.35">
      <c r="A745" t="s">
        <v>5438</v>
      </c>
      <c r="B745" t="s">
        <v>1670</v>
      </c>
      <c r="C745" s="1">
        <v>45043</v>
      </c>
      <c r="D745" s="1" t="str">
        <f>TEXT(Payments_Cleaned[[#This Row],[payment_date]],"mmm-yyyy")</f>
        <v>Apr-2023</v>
      </c>
      <c r="E745" s="2">
        <v>3291.49</v>
      </c>
      <c r="F745" t="s">
        <v>4694</v>
      </c>
      <c r="G745" s="2">
        <v>1323.82</v>
      </c>
    </row>
    <row r="746" spans="1:7" x14ac:dyDescent="0.35">
      <c r="A746" t="s">
        <v>5439</v>
      </c>
      <c r="B746" t="s">
        <v>1671</v>
      </c>
      <c r="C746" s="1">
        <v>45345</v>
      </c>
      <c r="D746" s="1" t="str">
        <f>TEXT(Payments_Cleaned[[#This Row],[payment_date]],"mmm-yyyy")</f>
        <v>Feb-2024</v>
      </c>
      <c r="E746" s="2">
        <v>603.99</v>
      </c>
      <c r="F746" t="s">
        <v>4697</v>
      </c>
      <c r="G746" s="2">
        <v>266.27</v>
      </c>
    </row>
    <row r="747" spans="1:7" x14ac:dyDescent="0.35">
      <c r="A747" t="s">
        <v>5440</v>
      </c>
      <c r="B747" t="s">
        <v>1672</v>
      </c>
      <c r="C747" s="1">
        <v>45274</v>
      </c>
      <c r="D747" s="1" t="str">
        <f>TEXT(Payments_Cleaned[[#This Row],[payment_date]],"mmm-yyyy")</f>
        <v>Dec-2023</v>
      </c>
      <c r="E747" s="2">
        <v>1086.4000000000001</v>
      </c>
      <c r="F747" t="s">
        <v>4694</v>
      </c>
      <c r="G747" s="2">
        <v>373.23</v>
      </c>
    </row>
    <row r="748" spans="1:7" x14ac:dyDescent="0.35">
      <c r="A748" t="s">
        <v>5441</v>
      </c>
      <c r="B748" t="s">
        <v>1673</v>
      </c>
      <c r="C748" s="1">
        <v>45109</v>
      </c>
      <c r="D748" s="1" t="str">
        <f>TEXT(Payments_Cleaned[[#This Row],[payment_date]],"mmm-yyyy")</f>
        <v>Jul-2023</v>
      </c>
      <c r="E748" s="2">
        <v>586.6</v>
      </c>
      <c r="F748" t="s">
        <v>4694</v>
      </c>
      <c r="G748" s="2">
        <v>272.95</v>
      </c>
    </row>
    <row r="749" spans="1:7" x14ac:dyDescent="0.35">
      <c r="A749" t="s">
        <v>5442</v>
      </c>
      <c r="B749" t="s">
        <v>1674</v>
      </c>
      <c r="C749" s="1">
        <v>45619</v>
      </c>
      <c r="D749" s="1" t="str">
        <f>TEXT(Payments_Cleaned[[#This Row],[payment_date]],"mmm-yyyy")</f>
        <v>Nov-2024</v>
      </c>
      <c r="E749" s="2">
        <v>4043.1</v>
      </c>
      <c r="F749" t="s">
        <v>4694</v>
      </c>
      <c r="G749" s="2">
        <v>291.45999999999998</v>
      </c>
    </row>
    <row r="750" spans="1:7" x14ac:dyDescent="0.35">
      <c r="A750" t="s">
        <v>5443</v>
      </c>
      <c r="B750" t="s">
        <v>1675</v>
      </c>
      <c r="C750" s="1">
        <v>45608</v>
      </c>
      <c r="D750" s="1" t="str">
        <f>TEXT(Payments_Cleaned[[#This Row],[payment_date]],"mmm-yyyy")</f>
        <v>Nov-2024</v>
      </c>
      <c r="E750" s="2">
        <v>397.52</v>
      </c>
      <c r="F750" t="s">
        <v>4694</v>
      </c>
      <c r="G750" s="2">
        <v>225.31</v>
      </c>
    </row>
    <row r="751" spans="1:7" x14ac:dyDescent="0.35">
      <c r="A751" t="s">
        <v>5444</v>
      </c>
      <c r="B751" t="s">
        <v>1676</v>
      </c>
      <c r="C751" s="1">
        <v>45583</v>
      </c>
      <c r="D751" s="1" t="str">
        <f>TEXT(Payments_Cleaned[[#This Row],[payment_date]],"mmm-yyyy")</f>
        <v>Oct-2024</v>
      </c>
      <c r="E751" s="2">
        <v>204.79</v>
      </c>
      <c r="F751" t="s">
        <v>4694</v>
      </c>
      <c r="G751" s="2">
        <v>91.99</v>
      </c>
    </row>
    <row r="752" spans="1:7" x14ac:dyDescent="0.35">
      <c r="A752" t="s">
        <v>5445</v>
      </c>
      <c r="B752" t="s">
        <v>1678</v>
      </c>
      <c r="C752" s="1">
        <v>45559</v>
      </c>
      <c r="D752" s="1" t="str">
        <f>TEXT(Payments_Cleaned[[#This Row],[payment_date]],"mmm-yyyy")</f>
        <v>Sep-2024</v>
      </c>
      <c r="E752" s="2">
        <v>172.11</v>
      </c>
      <c r="F752" t="s">
        <v>4697</v>
      </c>
      <c r="G752" s="2">
        <v>104.04</v>
      </c>
    </row>
    <row r="753" spans="1:7" x14ac:dyDescent="0.35">
      <c r="A753" t="s">
        <v>5446</v>
      </c>
      <c r="B753" t="s">
        <v>1679</v>
      </c>
      <c r="C753" s="1">
        <v>45621</v>
      </c>
      <c r="D753" s="1" t="str">
        <f>TEXT(Payments_Cleaned[[#This Row],[payment_date]],"mmm-yyyy")</f>
        <v>Nov-2024</v>
      </c>
      <c r="E753" s="2">
        <v>551.02</v>
      </c>
      <c r="F753" t="s">
        <v>4694</v>
      </c>
      <c r="G753" s="2">
        <v>53.12</v>
      </c>
    </row>
    <row r="754" spans="1:7" x14ac:dyDescent="0.35">
      <c r="A754" t="s">
        <v>5447</v>
      </c>
      <c r="B754" t="s">
        <v>1680</v>
      </c>
      <c r="C754" s="1">
        <v>45080</v>
      </c>
      <c r="D754" s="1" t="str">
        <f>TEXT(Payments_Cleaned[[#This Row],[payment_date]],"mmm-yyyy")</f>
        <v>Jun-2023</v>
      </c>
      <c r="E754" s="2">
        <v>335.41</v>
      </c>
      <c r="F754" t="s">
        <v>4694</v>
      </c>
      <c r="G754" s="2">
        <v>94.42</v>
      </c>
    </row>
    <row r="755" spans="1:7" x14ac:dyDescent="0.35">
      <c r="A755" t="s">
        <v>5448</v>
      </c>
      <c r="B755" t="s">
        <v>1682</v>
      </c>
      <c r="C755" s="1">
        <v>45401</v>
      </c>
      <c r="D755" s="1" t="str">
        <f>TEXT(Payments_Cleaned[[#This Row],[payment_date]],"mmm-yyyy")</f>
        <v>Apr-2024</v>
      </c>
      <c r="E755" s="2">
        <v>214.26</v>
      </c>
      <c r="F755" t="s">
        <v>4694</v>
      </c>
      <c r="G755" s="2">
        <v>18.989999999999998</v>
      </c>
    </row>
    <row r="756" spans="1:7" x14ac:dyDescent="0.35">
      <c r="A756" t="s">
        <v>5449</v>
      </c>
      <c r="B756" t="s">
        <v>1683</v>
      </c>
      <c r="C756" s="1">
        <v>45415</v>
      </c>
      <c r="D756" s="1" t="str">
        <f>TEXT(Payments_Cleaned[[#This Row],[payment_date]],"mmm-yyyy")</f>
        <v>May-2024</v>
      </c>
      <c r="E756" s="2">
        <v>693.52</v>
      </c>
      <c r="F756" t="s">
        <v>4694</v>
      </c>
      <c r="G756" s="2">
        <v>30.91</v>
      </c>
    </row>
    <row r="757" spans="1:7" x14ac:dyDescent="0.35">
      <c r="A757" t="s">
        <v>5450</v>
      </c>
      <c r="B757" t="s">
        <v>1684</v>
      </c>
      <c r="C757" s="1">
        <v>45569</v>
      </c>
      <c r="D757" s="1" t="str">
        <f>TEXT(Payments_Cleaned[[#This Row],[payment_date]],"mmm-yyyy")</f>
        <v>Oct-2024</v>
      </c>
      <c r="E757" s="2">
        <v>409.07</v>
      </c>
      <c r="F757" t="s">
        <v>4697</v>
      </c>
      <c r="G757" s="2">
        <v>29.02</v>
      </c>
    </row>
    <row r="758" spans="1:7" x14ac:dyDescent="0.35">
      <c r="A758" t="s">
        <v>5451</v>
      </c>
      <c r="B758" t="s">
        <v>1687</v>
      </c>
      <c r="C758" s="1">
        <v>45126</v>
      </c>
      <c r="D758" s="1" t="str">
        <f>TEXT(Payments_Cleaned[[#This Row],[payment_date]],"mmm-yyyy")</f>
        <v>Jul-2023</v>
      </c>
      <c r="E758" s="2">
        <v>620.09</v>
      </c>
      <c r="F758" t="s">
        <v>4694</v>
      </c>
      <c r="G758" s="2">
        <v>147.80000000000001</v>
      </c>
    </row>
    <row r="759" spans="1:7" x14ac:dyDescent="0.35">
      <c r="A759" t="s">
        <v>5452</v>
      </c>
      <c r="B759" t="s">
        <v>1688</v>
      </c>
      <c r="C759" s="1">
        <v>45166</v>
      </c>
      <c r="D759" s="1" t="str">
        <f>TEXT(Payments_Cleaned[[#This Row],[payment_date]],"mmm-yyyy")</f>
        <v>Aug-2023</v>
      </c>
      <c r="E759" s="2">
        <v>525.54999999999995</v>
      </c>
      <c r="F759" t="s">
        <v>4697</v>
      </c>
      <c r="G759" s="2">
        <v>282.19</v>
      </c>
    </row>
    <row r="760" spans="1:7" x14ac:dyDescent="0.35">
      <c r="A760" t="s">
        <v>5453</v>
      </c>
      <c r="B760" t="s">
        <v>1689</v>
      </c>
      <c r="C760" s="1">
        <v>45591</v>
      </c>
      <c r="D760" s="1" t="str">
        <f>TEXT(Payments_Cleaned[[#This Row],[payment_date]],"mmm-yyyy")</f>
        <v>Oct-2024</v>
      </c>
      <c r="E760" s="2">
        <v>67.88</v>
      </c>
      <c r="F760" t="s">
        <v>4697</v>
      </c>
      <c r="G760" s="2">
        <v>32.450000000000003</v>
      </c>
    </row>
    <row r="761" spans="1:7" x14ac:dyDescent="0.35">
      <c r="A761" t="s">
        <v>5454</v>
      </c>
      <c r="B761" t="s">
        <v>1690</v>
      </c>
      <c r="C761" s="1">
        <v>45522</v>
      </c>
      <c r="D761" s="1" t="str">
        <f>TEXT(Payments_Cleaned[[#This Row],[payment_date]],"mmm-yyyy")</f>
        <v>Aug-2024</v>
      </c>
      <c r="E761" s="2">
        <v>631.19000000000005</v>
      </c>
      <c r="F761" t="s">
        <v>4694</v>
      </c>
      <c r="G761" s="2">
        <v>294.16000000000003</v>
      </c>
    </row>
    <row r="762" spans="1:7" x14ac:dyDescent="0.35">
      <c r="A762" t="s">
        <v>5455</v>
      </c>
      <c r="B762" t="s">
        <v>1691</v>
      </c>
      <c r="C762" s="1">
        <v>45661</v>
      </c>
      <c r="D762" s="1" t="str">
        <f>TEXT(Payments_Cleaned[[#This Row],[payment_date]],"mmm-yyyy")</f>
        <v>Jan-2025</v>
      </c>
      <c r="E762" s="2">
        <v>78.05</v>
      </c>
      <c r="F762" t="s">
        <v>4694</v>
      </c>
      <c r="G762" s="2">
        <v>42.44</v>
      </c>
    </row>
    <row r="763" spans="1:7" x14ac:dyDescent="0.35">
      <c r="A763" t="s">
        <v>5456</v>
      </c>
      <c r="B763" t="s">
        <v>1692</v>
      </c>
      <c r="C763" s="1">
        <v>45374</v>
      </c>
      <c r="D763" s="1" t="str">
        <f>TEXT(Payments_Cleaned[[#This Row],[payment_date]],"mmm-yyyy")</f>
        <v>Mar-2024</v>
      </c>
      <c r="E763" s="2">
        <v>293.37</v>
      </c>
      <c r="F763" t="s">
        <v>4697</v>
      </c>
      <c r="G763" s="2">
        <v>93.59</v>
      </c>
    </row>
    <row r="764" spans="1:7" x14ac:dyDescent="0.35">
      <c r="A764" t="s">
        <v>5457</v>
      </c>
      <c r="B764" t="s">
        <v>1694</v>
      </c>
      <c r="C764" s="1">
        <v>45648</v>
      </c>
      <c r="D764" s="1" t="str">
        <f>TEXT(Payments_Cleaned[[#This Row],[payment_date]],"mmm-yyyy")</f>
        <v>Dec-2024</v>
      </c>
      <c r="E764" s="2">
        <v>206.32</v>
      </c>
      <c r="F764" t="s">
        <v>4694</v>
      </c>
      <c r="G764" s="2">
        <v>12.24</v>
      </c>
    </row>
    <row r="765" spans="1:7" x14ac:dyDescent="0.35">
      <c r="A765" t="s">
        <v>5458</v>
      </c>
      <c r="B765" t="s">
        <v>1695</v>
      </c>
      <c r="C765" s="1">
        <v>45439</v>
      </c>
      <c r="D765" s="1" t="str">
        <f>TEXT(Payments_Cleaned[[#This Row],[payment_date]],"mmm-yyyy")</f>
        <v>May-2024</v>
      </c>
      <c r="E765" s="2">
        <v>261.24</v>
      </c>
      <c r="F765" t="s">
        <v>4694</v>
      </c>
      <c r="G765" s="2">
        <v>147.75</v>
      </c>
    </row>
    <row r="766" spans="1:7" x14ac:dyDescent="0.35">
      <c r="A766" t="s">
        <v>5459</v>
      </c>
      <c r="B766" t="s">
        <v>1696</v>
      </c>
      <c r="C766" s="1">
        <v>45178</v>
      </c>
      <c r="D766" s="1" t="str">
        <f>TEXT(Payments_Cleaned[[#This Row],[payment_date]],"mmm-yyyy")</f>
        <v>Sep-2023</v>
      </c>
      <c r="E766" s="2">
        <v>822.52</v>
      </c>
      <c r="F766" t="s">
        <v>4694</v>
      </c>
      <c r="G766" s="2">
        <v>489.03</v>
      </c>
    </row>
    <row r="767" spans="1:7" x14ac:dyDescent="0.35">
      <c r="A767" t="s">
        <v>5460</v>
      </c>
      <c r="B767" t="s">
        <v>1697</v>
      </c>
      <c r="C767" s="1">
        <v>45703</v>
      </c>
      <c r="D767" s="1" t="str">
        <f>TEXT(Payments_Cleaned[[#This Row],[payment_date]],"mmm-yyyy")</f>
        <v>Feb-2025</v>
      </c>
      <c r="E767" s="2">
        <v>221.28</v>
      </c>
      <c r="F767" t="s">
        <v>4694</v>
      </c>
      <c r="G767" s="2">
        <v>86.47</v>
      </c>
    </row>
    <row r="768" spans="1:7" x14ac:dyDescent="0.35">
      <c r="A768" t="s">
        <v>5461</v>
      </c>
      <c r="B768" t="s">
        <v>1699</v>
      </c>
      <c r="C768" s="1">
        <v>45138</v>
      </c>
      <c r="D768" s="1" t="str">
        <f>TEXT(Payments_Cleaned[[#This Row],[payment_date]],"mmm-yyyy")</f>
        <v>Jul-2023</v>
      </c>
      <c r="E768" s="2">
        <v>206.5</v>
      </c>
      <c r="F768" t="s">
        <v>4694</v>
      </c>
      <c r="G768" s="2">
        <v>14.75</v>
      </c>
    </row>
    <row r="769" spans="1:7" x14ac:dyDescent="0.35">
      <c r="A769" t="s">
        <v>5462</v>
      </c>
      <c r="B769" t="s">
        <v>1700</v>
      </c>
      <c r="C769" s="1">
        <v>44984</v>
      </c>
      <c r="D769" s="1" t="str">
        <f>TEXT(Payments_Cleaned[[#This Row],[payment_date]],"mmm-yyyy")</f>
        <v>Feb-2023</v>
      </c>
      <c r="E769" s="2">
        <v>39.74</v>
      </c>
      <c r="F769" t="s">
        <v>4694</v>
      </c>
      <c r="G769" s="2">
        <v>14.45</v>
      </c>
    </row>
    <row r="770" spans="1:7" x14ac:dyDescent="0.35">
      <c r="A770" t="s">
        <v>5463</v>
      </c>
      <c r="B770" t="s">
        <v>1701</v>
      </c>
      <c r="C770" s="1">
        <v>45695</v>
      </c>
      <c r="D770" s="1" t="str">
        <f>TEXT(Payments_Cleaned[[#This Row],[payment_date]],"mmm-yyyy")</f>
        <v>Feb-2025</v>
      </c>
      <c r="E770" s="2">
        <v>102.71</v>
      </c>
      <c r="F770" t="s">
        <v>4694</v>
      </c>
      <c r="G770" s="2">
        <v>13.82</v>
      </c>
    </row>
    <row r="771" spans="1:7" x14ac:dyDescent="0.35">
      <c r="A771" t="s">
        <v>5464</v>
      </c>
      <c r="B771" t="s">
        <v>1702</v>
      </c>
      <c r="C771" s="1">
        <v>45198</v>
      </c>
      <c r="D771" s="1" t="str">
        <f>TEXT(Payments_Cleaned[[#This Row],[payment_date]],"mmm-yyyy")</f>
        <v>Sep-2023</v>
      </c>
      <c r="E771" s="2">
        <v>547.08000000000004</v>
      </c>
      <c r="F771" t="s">
        <v>4697</v>
      </c>
      <c r="G771" s="2">
        <v>34.9</v>
      </c>
    </row>
    <row r="772" spans="1:7" x14ac:dyDescent="0.35">
      <c r="A772" t="s">
        <v>5465</v>
      </c>
      <c r="B772" t="s">
        <v>1704</v>
      </c>
      <c r="C772" s="1">
        <v>45075</v>
      </c>
      <c r="D772" s="1" t="str">
        <f>TEXT(Payments_Cleaned[[#This Row],[payment_date]],"mmm-yyyy")</f>
        <v>May-2023</v>
      </c>
      <c r="E772" s="2">
        <v>676.18</v>
      </c>
      <c r="F772" t="s">
        <v>4694</v>
      </c>
      <c r="G772" s="2">
        <v>153.81</v>
      </c>
    </row>
    <row r="773" spans="1:7" x14ac:dyDescent="0.35">
      <c r="A773" t="s">
        <v>5466</v>
      </c>
      <c r="B773" t="s">
        <v>1706</v>
      </c>
      <c r="C773" s="1">
        <v>45475</v>
      </c>
      <c r="D773" s="1" t="str">
        <f>TEXT(Payments_Cleaned[[#This Row],[payment_date]],"mmm-yyyy")</f>
        <v>Jul-2024</v>
      </c>
      <c r="E773" s="2">
        <v>729.63</v>
      </c>
      <c r="F773" t="s">
        <v>4694</v>
      </c>
      <c r="G773" s="2">
        <v>143.82</v>
      </c>
    </row>
    <row r="774" spans="1:7" x14ac:dyDescent="0.35">
      <c r="A774" t="s">
        <v>5467</v>
      </c>
      <c r="B774" t="s">
        <v>1707</v>
      </c>
      <c r="C774" s="1">
        <v>45413</v>
      </c>
      <c r="D774" s="1" t="str">
        <f>TEXT(Payments_Cleaned[[#This Row],[payment_date]],"mmm-yyyy")</f>
        <v>May-2024</v>
      </c>
      <c r="E774" s="2">
        <v>256.45</v>
      </c>
      <c r="F774" t="s">
        <v>4694</v>
      </c>
      <c r="G774" s="2">
        <v>144.63999999999999</v>
      </c>
    </row>
    <row r="775" spans="1:7" x14ac:dyDescent="0.35">
      <c r="A775" t="s">
        <v>5468</v>
      </c>
      <c r="B775" t="s">
        <v>1708</v>
      </c>
      <c r="C775" s="1">
        <v>45390</v>
      </c>
      <c r="D775" s="1" t="str">
        <f>TEXT(Payments_Cleaned[[#This Row],[payment_date]],"mmm-yyyy")</f>
        <v>Apr-2024</v>
      </c>
      <c r="E775" s="2">
        <v>3101.35</v>
      </c>
      <c r="F775" t="s">
        <v>4694</v>
      </c>
      <c r="G775" s="2">
        <v>1843.92</v>
      </c>
    </row>
    <row r="776" spans="1:7" x14ac:dyDescent="0.35">
      <c r="A776" t="s">
        <v>5469</v>
      </c>
      <c r="B776" t="s">
        <v>1710</v>
      </c>
      <c r="C776" s="1">
        <v>45677</v>
      </c>
      <c r="D776" s="1" t="str">
        <f>TEXT(Payments_Cleaned[[#This Row],[payment_date]],"mmm-yyyy")</f>
        <v>Jan-2025</v>
      </c>
      <c r="E776" s="2">
        <v>216.01</v>
      </c>
      <c r="F776" t="s">
        <v>4697</v>
      </c>
      <c r="G776" s="2">
        <v>70.02</v>
      </c>
    </row>
    <row r="777" spans="1:7" x14ac:dyDescent="0.35">
      <c r="A777" t="s">
        <v>5470</v>
      </c>
      <c r="B777" t="s">
        <v>1711</v>
      </c>
      <c r="C777" s="1">
        <v>45487</v>
      </c>
      <c r="D777" s="1" t="str">
        <f>TEXT(Payments_Cleaned[[#This Row],[payment_date]],"mmm-yyyy")</f>
        <v>Jul-2024</v>
      </c>
      <c r="E777" s="2">
        <v>3188.29</v>
      </c>
      <c r="F777" t="s">
        <v>4694</v>
      </c>
      <c r="G777" s="2">
        <v>1635.66</v>
      </c>
    </row>
    <row r="778" spans="1:7" x14ac:dyDescent="0.35">
      <c r="A778" t="s">
        <v>5471</v>
      </c>
      <c r="B778" t="s">
        <v>1712</v>
      </c>
      <c r="C778" s="1">
        <v>45694</v>
      </c>
      <c r="D778" s="1" t="str">
        <f>TEXT(Payments_Cleaned[[#This Row],[payment_date]],"mmm-yyyy")</f>
        <v>Feb-2025</v>
      </c>
      <c r="E778" s="2">
        <v>213.65</v>
      </c>
      <c r="F778" t="s">
        <v>4694</v>
      </c>
      <c r="G778" s="2">
        <v>127.47</v>
      </c>
    </row>
    <row r="779" spans="1:7" x14ac:dyDescent="0.35">
      <c r="A779" t="s">
        <v>5472</v>
      </c>
      <c r="B779" t="s">
        <v>1713</v>
      </c>
      <c r="C779" s="1">
        <v>45630</v>
      </c>
      <c r="D779" s="1" t="str">
        <f>TEXT(Payments_Cleaned[[#This Row],[payment_date]],"mmm-yyyy")</f>
        <v>Dec-2024</v>
      </c>
      <c r="E779" s="2">
        <v>459.44</v>
      </c>
      <c r="F779" t="s">
        <v>4694</v>
      </c>
      <c r="G779" s="2">
        <v>267.39999999999998</v>
      </c>
    </row>
    <row r="780" spans="1:7" x14ac:dyDescent="0.35">
      <c r="A780" t="s">
        <v>5473</v>
      </c>
      <c r="B780" t="s">
        <v>1714</v>
      </c>
      <c r="C780" s="1">
        <v>45238</v>
      </c>
      <c r="D780" s="1" t="str">
        <f>TEXT(Payments_Cleaned[[#This Row],[payment_date]],"mmm-yyyy")</f>
        <v>Nov-2023</v>
      </c>
      <c r="E780" s="2">
        <v>311.51</v>
      </c>
      <c r="F780" t="s">
        <v>4694</v>
      </c>
      <c r="G780" s="2">
        <v>106.13</v>
      </c>
    </row>
    <row r="781" spans="1:7" x14ac:dyDescent="0.35">
      <c r="A781" t="s">
        <v>5474</v>
      </c>
      <c r="B781" t="s">
        <v>1715</v>
      </c>
      <c r="C781" s="1">
        <v>45069</v>
      </c>
      <c r="D781" s="1" t="str">
        <f>TEXT(Payments_Cleaned[[#This Row],[payment_date]],"mmm-yyyy")</f>
        <v>May-2023</v>
      </c>
      <c r="E781" s="2">
        <v>1122.1300000000001</v>
      </c>
      <c r="F781" t="s">
        <v>4694</v>
      </c>
      <c r="G781" s="2">
        <v>97.71</v>
      </c>
    </row>
    <row r="782" spans="1:7" x14ac:dyDescent="0.35">
      <c r="A782" t="s">
        <v>5475</v>
      </c>
      <c r="B782" t="s">
        <v>1717</v>
      </c>
      <c r="C782" s="1">
        <v>45269</v>
      </c>
      <c r="D782" s="1" t="str">
        <f>TEXT(Payments_Cleaned[[#This Row],[payment_date]],"mmm-yyyy")</f>
        <v>Dec-2023</v>
      </c>
      <c r="E782" s="2">
        <v>5768.78</v>
      </c>
      <c r="F782" t="s">
        <v>4694</v>
      </c>
      <c r="G782" s="2">
        <v>572.92999999999995</v>
      </c>
    </row>
    <row r="783" spans="1:7" x14ac:dyDescent="0.35">
      <c r="A783" t="s">
        <v>5476</v>
      </c>
      <c r="B783" t="s">
        <v>1720</v>
      </c>
      <c r="C783" s="1">
        <v>45323</v>
      </c>
      <c r="D783" s="1" t="str">
        <f>TEXT(Payments_Cleaned[[#This Row],[payment_date]],"mmm-yyyy")</f>
        <v>Feb-2024</v>
      </c>
      <c r="E783" s="2">
        <v>86.11</v>
      </c>
      <c r="F783" t="s">
        <v>4694</v>
      </c>
      <c r="G783" s="2">
        <v>31.81</v>
      </c>
    </row>
    <row r="784" spans="1:7" x14ac:dyDescent="0.35">
      <c r="A784" t="s">
        <v>5477</v>
      </c>
      <c r="B784" t="s">
        <v>1721</v>
      </c>
      <c r="C784" s="1">
        <v>45252</v>
      </c>
      <c r="D784" s="1" t="str">
        <f>TEXT(Payments_Cleaned[[#This Row],[payment_date]],"mmm-yyyy")</f>
        <v>Nov-2023</v>
      </c>
      <c r="E784" s="2">
        <v>622.63</v>
      </c>
      <c r="F784" t="s">
        <v>4694</v>
      </c>
      <c r="G784" s="2">
        <v>355.38</v>
      </c>
    </row>
    <row r="785" spans="1:7" x14ac:dyDescent="0.35">
      <c r="A785" t="s">
        <v>5478</v>
      </c>
      <c r="B785" t="s">
        <v>1722</v>
      </c>
      <c r="C785" s="1">
        <v>45449</v>
      </c>
      <c r="D785" s="1" t="str">
        <f>TEXT(Payments_Cleaned[[#This Row],[payment_date]],"mmm-yyyy")</f>
        <v>Jun-2024</v>
      </c>
      <c r="E785" s="2">
        <v>2894.11</v>
      </c>
      <c r="F785" t="s">
        <v>4694</v>
      </c>
      <c r="G785" s="2">
        <v>1454.56</v>
      </c>
    </row>
    <row r="786" spans="1:7" x14ac:dyDescent="0.35">
      <c r="A786" t="s">
        <v>5479</v>
      </c>
      <c r="B786" t="s">
        <v>1723</v>
      </c>
      <c r="C786" s="1">
        <v>45630</v>
      </c>
      <c r="D786" s="1" t="str">
        <f>TEXT(Payments_Cleaned[[#This Row],[payment_date]],"mmm-yyyy")</f>
        <v>Dec-2024</v>
      </c>
      <c r="E786" s="2">
        <v>2576.41</v>
      </c>
      <c r="F786" t="s">
        <v>4694</v>
      </c>
      <c r="G786" s="2">
        <v>586.66</v>
      </c>
    </row>
    <row r="787" spans="1:7" x14ac:dyDescent="0.35">
      <c r="A787" t="s">
        <v>5480</v>
      </c>
      <c r="B787" t="s">
        <v>1724</v>
      </c>
      <c r="C787" s="1">
        <v>45190</v>
      </c>
      <c r="D787" s="1" t="str">
        <f>TEXT(Payments_Cleaned[[#This Row],[payment_date]],"mmm-yyyy")</f>
        <v>Sep-2023</v>
      </c>
      <c r="E787" s="2">
        <v>1573.62</v>
      </c>
      <c r="F787" t="s">
        <v>4694</v>
      </c>
      <c r="G787" s="2">
        <v>885.89</v>
      </c>
    </row>
    <row r="788" spans="1:7" x14ac:dyDescent="0.35">
      <c r="A788" t="s">
        <v>5481</v>
      </c>
      <c r="B788" t="s">
        <v>1726</v>
      </c>
      <c r="C788" s="1">
        <v>45434</v>
      </c>
      <c r="D788" s="1" t="str">
        <f>TEXT(Payments_Cleaned[[#This Row],[payment_date]],"mmm-yyyy")</f>
        <v>May-2024</v>
      </c>
      <c r="E788" s="2">
        <v>168.29</v>
      </c>
      <c r="F788" t="s">
        <v>4694</v>
      </c>
      <c r="G788" s="2">
        <v>47.88</v>
      </c>
    </row>
    <row r="789" spans="1:7" x14ac:dyDescent="0.35">
      <c r="A789" t="s">
        <v>5482</v>
      </c>
      <c r="B789" t="s">
        <v>1727</v>
      </c>
      <c r="C789" s="1">
        <v>44970</v>
      </c>
      <c r="D789" s="1" t="str">
        <f>TEXT(Payments_Cleaned[[#This Row],[payment_date]],"mmm-yyyy")</f>
        <v>Feb-2023</v>
      </c>
      <c r="E789" s="2">
        <v>226.73</v>
      </c>
      <c r="F789" t="s">
        <v>4694</v>
      </c>
      <c r="G789" s="2">
        <v>119.12</v>
      </c>
    </row>
    <row r="790" spans="1:7" x14ac:dyDescent="0.35">
      <c r="A790" t="s">
        <v>5483</v>
      </c>
      <c r="B790" t="s">
        <v>1728</v>
      </c>
      <c r="C790" s="1">
        <v>45162</v>
      </c>
      <c r="D790" s="1" t="str">
        <f>TEXT(Payments_Cleaned[[#This Row],[payment_date]],"mmm-yyyy")</f>
        <v>Aug-2023</v>
      </c>
      <c r="E790" s="2">
        <v>722.5</v>
      </c>
      <c r="F790" t="s">
        <v>4694</v>
      </c>
      <c r="G790" s="2">
        <v>147.85</v>
      </c>
    </row>
    <row r="791" spans="1:7" x14ac:dyDescent="0.35">
      <c r="A791" t="s">
        <v>5484</v>
      </c>
      <c r="B791" t="s">
        <v>1730</v>
      </c>
      <c r="C791" s="1">
        <v>45057</v>
      </c>
      <c r="D791" s="1" t="str">
        <f>TEXT(Payments_Cleaned[[#This Row],[payment_date]],"mmm-yyyy")</f>
        <v>May-2023</v>
      </c>
      <c r="E791" s="2">
        <v>651.79999999999995</v>
      </c>
      <c r="F791" t="s">
        <v>4694</v>
      </c>
      <c r="G791" s="2">
        <v>54.84</v>
      </c>
    </row>
    <row r="792" spans="1:7" x14ac:dyDescent="0.35">
      <c r="A792" t="s">
        <v>5485</v>
      </c>
      <c r="B792" t="s">
        <v>1731</v>
      </c>
      <c r="C792" s="1">
        <v>44988</v>
      </c>
      <c r="D792" s="1" t="str">
        <f>TEXT(Payments_Cleaned[[#This Row],[payment_date]],"mmm-yyyy")</f>
        <v>Mar-2023</v>
      </c>
      <c r="E792" s="2">
        <v>1061.25</v>
      </c>
      <c r="F792" t="s">
        <v>4694</v>
      </c>
      <c r="G792" s="2">
        <v>240.69</v>
      </c>
    </row>
    <row r="793" spans="1:7" x14ac:dyDescent="0.35">
      <c r="A793" t="s">
        <v>5486</v>
      </c>
      <c r="B793" t="s">
        <v>1733</v>
      </c>
      <c r="C793" s="1">
        <v>45606</v>
      </c>
      <c r="D793" s="1" t="str">
        <f>TEXT(Payments_Cleaned[[#This Row],[payment_date]],"mmm-yyyy")</f>
        <v>Nov-2024</v>
      </c>
      <c r="E793" s="2">
        <v>307.23</v>
      </c>
      <c r="F793" t="s">
        <v>4694</v>
      </c>
      <c r="G793" s="2">
        <v>42.4</v>
      </c>
    </row>
    <row r="794" spans="1:7" x14ac:dyDescent="0.35">
      <c r="A794" t="s">
        <v>5487</v>
      </c>
      <c r="B794" t="s">
        <v>1736</v>
      </c>
      <c r="C794" s="1">
        <v>45403</v>
      </c>
      <c r="D794" s="1" t="str">
        <f>TEXT(Payments_Cleaned[[#This Row],[payment_date]],"mmm-yyyy")</f>
        <v>Apr-2024</v>
      </c>
      <c r="E794" s="2">
        <v>1369.91</v>
      </c>
      <c r="F794" t="s">
        <v>4694</v>
      </c>
      <c r="G794" s="2">
        <v>258.88</v>
      </c>
    </row>
    <row r="795" spans="1:7" x14ac:dyDescent="0.35">
      <c r="A795" t="s">
        <v>5488</v>
      </c>
      <c r="B795" t="s">
        <v>1737</v>
      </c>
      <c r="C795" s="1">
        <v>45072</v>
      </c>
      <c r="D795" s="1" t="str">
        <f>TEXT(Payments_Cleaned[[#This Row],[payment_date]],"mmm-yyyy")</f>
        <v>May-2023</v>
      </c>
      <c r="E795" s="2">
        <v>1783.35</v>
      </c>
      <c r="F795" t="s">
        <v>4697</v>
      </c>
      <c r="G795" s="2">
        <v>250.63</v>
      </c>
    </row>
    <row r="796" spans="1:7" x14ac:dyDescent="0.35">
      <c r="A796" t="s">
        <v>5489</v>
      </c>
      <c r="B796" t="s">
        <v>1738</v>
      </c>
      <c r="C796" s="1">
        <v>45570</v>
      </c>
      <c r="D796" s="1" t="str">
        <f>TEXT(Payments_Cleaned[[#This Row],[payment_date]],"mmm-yyyy")</f>
        <v>Oct-2024</v>
      </c>
      <c r="E796" s="2">
        <v>1490.53</v>
      </c>
      <c r="F796" t="s">
        <v>4697</v>
      </c>
      <c r="G796" s="2">
        <v>770.59</v>
      </c>
    </row>
    <row r="797" spans="1:7" x14ac:dyDescent="0.35">
      <c r="A797" t="s">
        <v>5490</v>
      </c>
      <c r="B797" t="s">
        <v>1739</v>
      </c>
      <c r="C797" s="1">
        <v>45118</v>
      </c>
      <c r="D797" s="1" t="str">
        <f>TEXT(Payments_Cleaned[[#This Row],[payment_date]],"mmm-yyyy")</f>
        <v>Jul-2023</v>
      </c>
      <c r="E797" s="2">
        <v>705.38</v>
      </c>
      <c r="F797" t="s">
        <v>4694</v>
      </c>
      <c r="G797" s="2">
        <v>297.24</v>
      </c>
    </row>
    <row r="798" spans="1:7" x14ac:dyDescent="0.35">
      <c r="A798" t="s">
        <v>5491</v>
      </c>
      <c r="B798" t="s">
        <v>1740</v>
      </c>
      <c r="C798" s="1">
        <v>45123</v>
      </c>
      <c r="D798" s="1" t="str">
        <f>TEXT(Payments_Cleaned[[#This Row],[payment_date]],"mmm-yyyy")</f>
        <v>Jul-2023</v>
      </c>
      <c r="E798" s="2">
        <v>3641.68</v>
      </c>
      <c r="F798" t="s">
        <v>4694</v>
      </c>
      <c r="G798" s="2">
        <v>2076.37</v>
      </c>
    </row>
    <row r="799" spans="1:7" x14ac:dyDescent="0.35">
      <c r="A799" t="s">
        <v>5492</v>
      </c>
      <c r="B799" t="s">
        <v>1741</v>
      </c>
      <c r="C799" s="1">
        <v>45684</v>
      </c>
      <c r="D799" s="1" t="str">
        <f>TEXT(Payments_Cleaned[[#This Row],[payment_date]],"mmm-yyyy")</f>
        <v>Jan-2025</v>
      </c>
      <c r="E799" s="2">
        <v>263.70999999999998</v>
      </c>
      <c r="F799" t="s">
        <v>4694</v>
      </c>
      <c r="G799" s="2">
        <v>144.24</v>
      </c>
    </row>
    <row r="800" spans="1:7" x14ac:dyDescent="0.35">
      <c r="A800" t="s">
        <v>5493</v>
      </c>
      <c r="B800" t="s">
        <v>1742</v>
      </c>
      <c r="C800" s="1">
        <v>45224</v>
      </c>
      <c r="D800" s="1" t="str">
        <f>TEXT(Payments_Cleaned[[#This Row],[payment_date]],"mmm-yyyy")</f>
        <v>Oct-2023</v>
      </c>
      <c r="E800" s="2">
        <v>2514.69</v>
      </c>
      <c r="F800" t="s">
        <v>4694</v>
      </c>
      <c r="G800" s="2">
        <v>767.56</v>
      </c>
    </row>
    <row r="801" spans="1:7" x14ac:dyDescent="0.35">
      <c r="A801" t="s">
        <v>5494</v>
      </c>
      <c r="B801" t="s">
        <v>1744</v>
      </c>
      <c r="C801" s="1">
        <v>44970</v>
      </c>
      <c r="D801" s="1" t="str">
        <f>TEXT(Payments_Cleaned[[#This Row],[payment_date]],"mmm-yyyy")</f>
        <v>Feb-2023</v>
      </c>
      <c r="E801" s="2">
        <v>419.57</v>
      </c>
      <c r="F801" t="s">
        <v>4694</v>
      </c>
      <c r="G801" s="2">
        <v>244.11</v>
      </c>
    </row>
    <row r="802" spans="1:7" x14ac:dyDescent="0.35">
      <c r="A802" t="s">
        <v>5495</v>
      </c>
      <c r="B802" t="s">
        <v>1746</v>
      </c>
      <c r="C802" s="1">
        <v>45270</v>
      </c>
      <c r="D802" s="1" t="str">
        <f>TEXT(Payments_Cleaned[[#This Row],[payment_date]],"mmm-yyyy")</f>
        <v>Dec-2023</v>
      </c>
      <c r="E802" s="2">
        <v>302.52999999999997</v>
      </c>
      <c r="F802" t="s">
        <v>4694</v>
      </c>
      <c r="G802" s="2">
        <v>45.4</v>
      </c>
    </row>
    <row r="803" spans="1:7" x14ac:dyDescent="0.35">
      <c r="A803" t="s">
        <v>5496</v>
      </c>
      <c r="B803" t="s">
        <v>1747</v>
      </c>
      <c r="C803" s="1">
        <v>45116</v>
      </c>
      <c r="D803" s="1" t="str">
        <f>TEXT(Payments_Cleaned[[#This Row],[payment_date]],"mmm-yyyy")</f>
        <v>Jul-2023</v>
      </c>
      <c r="E803" s="2">
        <v>3049.91</v>
      </c>
      <c r="F803" t="s">
        <v>4694</v>
      </c>
      <c r="G803" s="2">
        <v>1479.4</v>
      </c>
    </row>
    <row r="804" spans="1:7" x14ac:dyDescent="0.35">
      <c r="A804" t="s">
        <v>5497</v>
      </c>
      <c r="B804" t="s">
        <v>1749</v>
      </c>
      <c r="C804" s="1">
        <v>45440</v>
      </c>
      <c r="D804" s="1" t="str">
        <f>TEXT(Payments_Cleaned[[#This Row],[payment_date]],"mmm-yyyy")</f>
        <v>May-2024</v>
      </c>
      <c r="E804" s="2">
        <v>719.48</v>
      </c>
      <c r="F804" t="s">
        <v>4694</v>
      </c>
      <c r="G804" s="2">
        <v>215.92</v>
      </c>
    </row>
    <row r="805" spans="1:7" x14ac:dyDescent="0.35">
      <c r="A805" t="s">
        <v>5498</v>
      </c>
      <c r="B805" t="s">
        <v>1750</v>
      </c>
      <c r="C805" s="1">
        <v>45405</v>
      </c>
      <c r="D805" s="1" t="str">
        <f>TEXT(Payments_Cleaned[[#This Row],[payment_date]],"mmm-yyyy")</f>
        <v>Apr-2024</v>
      </c>
      <c r="E805" s="2">
        <v>117.75</v>
      </c>
      <c r="F805" t="s">
        <v>4694</v>
      </c>
      <c r="G805" s="2">
        <v>64.099999999999994</v>
      </c>
    </row>
    <row r="806" spans="1:7" x14ac:dyDescent="0.35">
      <c r="A806" t="s">
        <v>5499</v>
      </c>
      <c r="B806" t="s">
        <v>1751</v>
      </c>
      <c r="C806" s="1">
        <v>45005</v>
      </c>
      <c r="D806" s="1" t="str">
        <f>TEXT(Payments_Cleaned[[#This Row],[payment_date]],"mmm-yyyy")</f>
        <v>Mar-2023</v>
      </c>
      <c r="E806" s="2">
        <v>625.88</v>
      </c>
      <c r="F806" t="s">
        <v>4694</v>
      </c>
      <c r="G806" s="2">
        <v>289.82</v>
      </c>
    </row>
    <row r="807" spans="1:7" x14ac:dyDescent="0.35">
      <c r="A807" t="s">
        <v>5500</v>
      </c>
      <c r="B807" t="s">
        <v>1752</v>
      </c>
      <c r="C807" s="1">
        <v>45311</v>
      </c>
      <c r="D807" s="1" t="str">
        <f>TEXT(Payments_Cleaned[[#This Row],[payment_date]],"mmm-yyyy")</f>
        <v>Jan-2024</v>
      </c>
      <c r="E807" s="2">
        <v>578.73</v>
      </c>
      <c r="F807" t="s">
        <v>4694</v>
      </c>
      <c r="G807" s="2">
        <v>352.48</v>
      </c>
    </row>
    <row r="808" spans="1:7" x14ac:dyDescent="0.35">
      <c r="A808" t="s">
        <v>5501</v>
      </c>
      <c r="B808" t="s">
        <v>1755</v>
      </c>
      <c r="C808" s="1">
        <v>45193</v>
      </c>
      <c r="D808" s="1" t="str">
        <f>TEXT(Payments_Cleaned[[#This Row],[payment_date]],"mmm-yyyy")</f>
        <v>Sep-2023</v>
      </c>
      <c r="E808" s="2">
        <v>279.17</v>
      </c>
      <c r="F808" t="s">
        <v>4694</v>
      </c>
      <c r="G808" s="2">
        <v>163.12</v>
      </c>
    </row>
    <row r="809" spans="1:7" x14ac:dyDescent="0.35">
      <c r="A809" t="s">
        <v>5502</v>
      </c>
      <c r="B809" t="s">
        <v>1756</v>
      </c>
      <c r="C809" s="1">
        <v>45174</v>
      </c>
      <c r="D809" s="1" t="str">
        <f>TEXT(Payments_Cleaned[[#This Row],[payment_date]],"mmm-yyyy")</f>
        <v>Sep-2023</v>
      </c>
      <c r="E809" s="2">
        <v>267.42</v>
      </c>
      <c r="F809" t="s">
        <v>4694</v>
      </c>
      <c r="G809" s="2">
        <v>91.55</v>
      </c>
    </row>
    <row r="810" spans="1:7" x14ac:dyDescent="0.35">
      <c r="A810" t="s">
        <v>5503</v>
      </c>
      <c r="B810" t="s">
        <v>1757</v>
      </c>
      <c r="C810" s="1">
        <v>45504</v>
      </c>
      <c r="D810" s="1" t="str">
        <f>TEXT(Payments_Cleaned[[#This Row],[payment_date]],"mmm-yyyy")</f>
        <v>Jul-2024</v>
      </c>
      <c r="E810" s="2">
        <v>109.76</v>
      </c>
      <c r="F810" t="s">
        <v>4697</v>
      </c>
      <c r="G810" s="2">
        <v>16.77</v>
      </c>
    </row>
    <row r="811" spans="1:7" x14ac:dyDescent="0.35">
      <c r="A811" t="s">
        <v>5504</v>
      </c>
      <c r="B811" t="s">
        <v>1758</v>
      </c>
      <c r="C811" s="1">
        <v>45267</v>
      </c>
      <c r="D811" s="1" t="str">
        <f>TEXT(Payments_Cleaned[[#This Row],[payment_date]],"mmm-yyyy")</f>
        <v>Dec-2023</v>
      </c>
      <c r="E811" s="2">
        <v>114.3</v>
      </c>
      <c r="F811" t="s">
        <v>4694</v>
      </c>
      <c r="G811" s="2">
        <v>48.83</v>
      </c>
    </row>
    <row r="812" spans="1:7" x14ac:dyDescent="0.35">
      <c r="A812" t="s">
        <v>5505</v>
      </c>
      <c r="B812" t="s">
        <v>1759</v>
      </c>
      <c r="C812" s="1">
        <v>45020</v>
      </c>
      <c r="D812" s="1" t="str">
        <f>TEXT(Payments_Cleaned[[#This Row],[payment_date]],"mmm-yyyy")</f>
        <v>Apr-2023</v>
      </c>
      <c r="E812" s="2">
        <v>5413.49</v>
      </c>
      <c r="F812" t="s">
        <v>4694</v>
      </c>
      <c r="G812" s="2">
        <v>606.02</v>
      </c>
    </row>
    <row r="813" spans="1:7" x14ac:dyDescent="0.35">
      <c r="A813" t="s">
        <v>5506</v>
      </c>
      <c r="B813" t="s">
        <v>1760</v>
      </c>
      <c r="C813" s="1">
        <v>45094</v>
      </c>
      <c r="D813" s="1" t="str">
        <f>TEXT(Payments_Cleaned[[#This Row],[payment_date]],"mmm-yyyy")</f>
        <v>Jun-2023</v>
      </c>
      <c r="E813" s="2">
        <v>268.14</v>
      </c>
      <c r="F813" t="s">
        <v>4694</v>
      </c>
      <c r="G813" s="2">
        <v>163.31</v>
      </c>
    </row>
    <row r="814" spans="1:7" x14ac:dyDescent="0.35">
      <c r="A814" t="s">
        <v>5507</v>
      </c>
      <c r="B814" t="s">
        <v>1761</v>
      </c>
      <c r="C814" s="1">
        <v>45006</v>
      </c>
      <c r="D814" s="1" t="str">
        <f>TEXT(Payments_Cleaned[[#This Row],[payment_date]],"mmm-yyyy")</f>
        <v>Mar-2023</v>
      </c>
      <c r="E814" s="2">
        <v>113.76</v>
      </c>
      <c r="F814" t="s">
        <v>4697</v>
      </c>
      <c r="G814" s="2">
        <v>10.17</v>
      </c>
    </row>
    <row r="815" spans="1:7" x14ac:dyDescent="0.35">
      <c r="A815" t="s">
        <v>5508</v>
      </c>
      <c r="B815" t="s">
        <v>1762</v>
      </c>
      <c r="C815" s="1">
        <v>45612</v>
      </c>
      <c r="D815" s="1" t="str">
        <f>TEXT(Payments_Cleaned[[#This Row],[payment_date]],"mmm-yyyy")</f>
        <v>Nov-2024</v>
      </c>
      <c r="E815" s="2">
        <v>762.32</v>
      </c>
      <c r="F815" t="s">
        <v>4694</v>
      </c>
      <c r="G815" s="2">
        <v>266.04000000000002</v>
      </c>
    </row>
    <row r="816" spans="1:7" x14ac:dyDescent="0.35">
      <c r="A816" t="s">
        <v>5509</v>
      </c>
      <c r="B816" t="s">
        <v>1763</v>
      </c>
      <c r="C816" s="1">
        <v>45536</v>
      </c>
      <c r="D816" s="1" t="str">
        <f>TEXT(Payments_Cleaned[[#This Row],[payment_date]],"mmm-yyyy")</f>
        <v>Sep-2024</v>
      </c>
      <c r="E816" s="2">
        <v>566.70000000000005</v>
      </c>
      <c r="F816" t="s">
        <v>4697</v>
      </c>
      <c r="G816" s="2">
        <v>265.64</v>
      </c>
    </row>
    <row r="817" spans="1:7" x14ac:dyDescent="0.35">
      <c r="A817" t="s">
        <v>5510</v>
      </c>
      <c r="B817" t="s">
        <v>1765</v>
      </c>
      <c r="C817" s="1">
        <v>45019</v>
      </c>
      <c r="D817" s="1" t="str">
        <f>TEXT(Payments_Cleaned[[#This Row],[payment_date]],"mmm-yyyy")</f>
        <v>Apr-2023</v>
      </c>
      <c r="E817" s="2">
        <v>1263.53</v>
      </c>
      <c r="F817" t="s">
        <v>4694</v>
      </c>
      <c r="G817" s="2">
        <v>140.43</v>
      </c>
    </row>
    <row r="818" spans="1:7" x14ac:dyDescent="0.35">
      <c r="A818" t="s">
        <v>5511</v>
      </c>
      <c r="B818" t="s">
        <v>1768</v>
      </c>
      <c r="C818" s="1">
        <v>45481</v>
      </c>
      <c r="D818" s="1" t="str">
        <f>TEXT(Payments_Cleaned[[#This Row],[payment_date]],"mmm-yyyy")</f>
        <v>Jul-2024</v>
      </c>
      <c r="E818" s="2">
        <v>635.91999999999996</v>
      </c>
      <c r="F818" t="s">
        <v>4694</v>
      </c>
      <c r="G818" s="2">
        <v>264.52</v>
      </c>
    </row>
    <row r="819" spans="1:7" x14ac:dyDescent="0.35">
      <c r="A819" t="s">
        <v>5512</v>
      </c>
      <c r="B819" t="s">
        <v>1769</v>
      </c>
      <c r="C819" s="1">
        <v>45634</v>
      </c>
      <c r="D819" s="1" t="str">
        <f>TEXT(Payments_Cleaned[[#This Row],[payment_date]],"mmm-yyyy")</f>
        <v>Dec-2024</v>
      </c>
      <c r="E819" s="2">
        <v>4196.3500000000004</v>
      </c>
      <c r="F819" t="s">
        <v>4694</v>
      </c>
      <c r="G819" s="2">
        <v>353.24</v>
      </c>
    </row>
    <row r="820" spans="1:7" x14ac:dyDescent="0.35">
      <c r="A820" t="s">
        <v>5513</v>
      </c>
      <c r="B820" t="s">
        <v>1773</v>
      </c>
      <c r="C820" s="1">
        <v>45639</v>
      </c>
      <c r="D820" s="1" t="str">
        <f>TEXT(Payments_Cleaned[[#This Row],[payment_date]],"mmm-yyyy")</f>
        <v>Dec-2024</v>
      </c>
      <c r="E820" s="2">
        <v>2907.56</v>
      </c>
      <c r="F820" t="s">
        <v>4694</v>
      </c>
      <c r="G820" s="2">
        <v>1110.57</v>
      </c>
    </row>
    <row r="821" spans="1:7" x14ac:dyDescent="0.35">
      <c r="A821" t="s">
        <v>5514</v>
      </c>
      <c r="B821" t="s">
        <v>1775</v>
      </c>
      <c r="C821" s="1">
        <v>45048</v>
      </c>
      <c r="D821" s="1" t="str">
        <f>TEXT(Payments_Cleaned[[#This Row],[payment_date]],"mmm-yyyy")</f>
        <v>May-2023</v>
      </c>
      <c r="E821" s="2">
        <v>591.79</v>
      </c>
      <c r="F821" t="s">
        <v>4694</v>
      </c>
      <c r="G821" s="2">
        <v>93.8</v>
      </c>
    </row>
    <row r="822" spans="1:7" x14ac:dyDescent="0.35">
      <c r="A822" t="s">
        <v>5515</v>
      </c>
      <c r="B822" t="s">
        <v>1778</v>
      </c>
      <c r="C822" s="1">
        <v>45133</v>
      </c>
      <c r="D822" s="1" t="str">
        <f>TEXT(Payments_Cleaned[[#This Row],[payment_date]],"mmm-yyyy")</f>
        <v>Jul-2023</v>
      </c>
      <c r="E822" s="2">
        <v>2064.35</v>
      </c>
      <c r="F822" t="s">
        <v>4694</v>
      </c>
      <c r="G822" s="2">
        <v>175.72</v>
      </c>
    </row>
    <row r="823" spans="1:7" x14ac:dyDescent="0.35">
      <c r="A823" t="s">
        <v>5516</v>
      </c>
      <c r="B823" t="s">
        <v>1780</v>
      </c>
      <c r="C823" s="1">
        <v>45500</v>
      </c>
      <c r="D823" s="1" t="str">
        <f>TEXT(Payments_Cleaned[[#This Row],[payment_date]],"mmm-yyyy")</f>
        <v>Jul-2024</v>
      </c>
      <c r="E823" s="2">
        <v>1232.58</v>
      </c>
      <c r="F823" t="s">
        <v>4694</v>
      </c>
      <c r="G823" s="2">
        <v>276.60000000000002</v>
      </c>
    </row>
    <row r="824" spans="1:7" x14ac:dyDescent="0.35">
      <c r="A824" t="s">
        <v>5517</v>
      </c>
      <c r="B824" t="s">
        <v>1782</v>
      </c>
      <c r="C824" s="1">
        <v>45357</v>
      </c>
      <c r="D824" s="1" t="str">
        <f>TEXT(Payments_Cleaned[[#This Row],[payment_date]],"mmm-yyyy")</f>
        <v>Mar-2024</v>
      </c>
      <c r="E824" s="2">
        <v>3311.58</v>
      </c>
      <c r="F824" t="s">
        <v>4694</v>
      </c>
      <c r="G824" s="2">
        <v>866.31</v>
      </c>
    </row>
    <row r="825" spans="1:7" x14ac:dyDescent="0.35">
      <c r="A825" t="s">
        <v>5518</v>
      </c>
      <c r="B825" t="s">
        <v>1784</v>
      </c>
      <c r="C825" s="1">
        <v>45158</v>
      </c>
      <c r="D825" s="1" t="str">
        <f>TEXT(Payments_Cleaned[[#This Row],[payment_date]],"mmm-yyyy")</f>
        <v>Aug-2023</v>
      </c>
      <c r="E825" s="2">
        <v>117.75</v>
      </c>
      <c r="F825" t="s">
        <v>4697</v>
      </c>
      <c r="G825" s="2">
        <v>49.02</v>
      </c>
    </row>
    <row r="826" spans="1:7" x14ac:dyDescent="0.35">
      <c r="A826" t="s">
        <v>5519</v>
      </c>
      <c r="B826" t="s">
        <v>1786</v>
      </c>
      <c r="C826" s="1">
        <v>45064</v>
      </c>
      <c r="D826" s="1" t="str">
        <f>TEXT(Payments_Cleaned[[#This Row],[payment_date]],"mmm-yyyy")</f>
        <v>May-2023</v>
      </c>
      <c r="E826" s="2">
        <v>312.68</v>
      </c>
      <c r="F826" t="s">
        <v>4694</v>
      </c>
      <c r="G826" s="2">
        <v>89.13</v>
      </c>
    </row>
    <row r="827" spans="1:7" x14ac:dyDescent="0.35">
      <c r="A827" t="s">
        <v>5520</v>
      </c>
      <c r="B827" t="s">
        <v>1787</v>
      </c>
      <c r="C827" s="1">
        <v>45117</v>
      </c>
      <c r="D827" s="1" t="str">
        <f>TEXT(Payments_Cleaned[[#This Row],[payment_date]],"mmm-yyyy")</f>
        <v>Jul-2023</v>
      </c>
      <c r="E827" s="2">
        <v>145.81</v>
      </c>
      <c r="F827" t="s">
        <v>4694</v>
      </c>
      <c r="G827" s="2">
        <v>34.700000000000003</v>
      </c>
    </row>
    <row r="828" spans="1:7" x14ac:dyDescent="0.35">
      <c r="A828" t="s">
        <v>5521</v>
      </c>
      <c r="B828" t="s">
        <v>1788</v>
      </c>
      <c r="C828" s="1">
        <v>45640</v>
      </c>
      <c r="D828" s="1" t="str">
        <f>TEXT(Payments_Cleaned[[#This Row],[payment_date]],"mmm-yyyy")</f>
        <v>Dec-2024</v>
      </c>
      <c r="E828" s="2">
        <v>640.91</v>
      </c>
      <c r="F828" t="s">
        <v>4697</v>
      </c>
      <c r="G828" s="2">
        <v>55.91</v>
      </c>
    </row>
    <row r="829" spans="1:7" x14ac:dyDescent="0.35">
      <c r="A829" t="s">
        <v>5522</v>
      </c>
      <c r="B829" t="s">
        <v>1789</v>
      </c>
      <c r="C829" s="1">
        <v>45413</v>
      </c>
      <c r="D829" s="1" t="str">
        <f>TEXT(Payments_Cleaned[[#This Row],[payment_date]],"mmm-yyyy")</f>
        <v>May-2024</v>
      </c>
      <c r="E829" s="2">
        <v>172.44</v>
      </c>
      <c r="F829" t="s">
        <v>4694</v>
      </c>
      <c r="G829" s="2">
        <v>7.59</v>
      </c>
    </row>
    <row r="830" spans="1:7" x14ac:dyDescent="0.35">
      <c r="A830" t="s">
        <v>5523</v>
      </c>
      <c r="B830" t="s">
        <v>1790</v>
      </c>
      <c r="C830" s="1">
        <v>45065</v>
      </c>
      <c r="D830" s="1" t="str">
        <f>TEXT(Payments_Cleaned[[#This Row],[payment_date]],"mmm-yyyy")</f>
        <v>May-2023</v>
      </c>
      <c r="E830" s="2">
        <v>1416.58</v>
      </c>
      <c r="F830" t="s">
        <v>4694</v>
      </c>
      <c r="G830" s="2">
        <v>515.26</v>
      </c>
    </row>
    <row r="831" spans="1:7" x14ac:dyDescent="0.35">
      <c r="A831" t="s">
        <v>5524</v>
      </c>
      <c r="B831" t="s">
        <v>1791</v>
      </c>
      <c r="C831" s="1">
        <v>45570</v>
      </c>
      <c r="D831" s="1" t="str">
        <f>TEXT(Payments_Cleaned[[#This Row],[payment_date]],"mmm-yyyy")</f>
        <v>Oct-2024</v>
      </c>
      <c r="E831" s="2">
        <v>44.34</v>
      </c>
      <c r="F831" t="s">
        <v>4694</v>
      </c>
      <c r="G831" s="2">
        <v>2.95</v>
      </c>
    </row>
    <row r="832" spans="1:7" x14ac:dyDescent="0.35">
      <c r="A832" t="s">
        <v>5525</v>
      </c>
      <c r="B832" t="s">
        <v>1792</v>
      </c>
      <c r="C832" s="1">
        <v>45667</v>
      </c>
      <c r="D832" s="1" t="str">
        <f>TEXT(Payments_Cleaned[[#This Row],[payment_date]],"mmm-yyyy")</f>
        <v>Jan-2025</v>
      </c>
      <c r="E832" s="2">
        <v>926.27</v>
      </c>
      <c r="F832" t="s">
        <v>4694</v>
      </c>
      <c r="G832" s="2">
        <v>103.04</v>
      </c>
    </row>
    <row r="833" spans="1:7" x14ac:dyDescent="0.35">
      <c r="A833" t="s">
        <v>5526</v>
      </c>
      <c r="B833" t="s">
        <v>1794</v>
      </c>
      <c r="C833" s="1">
        <v>45633</v>
      </c>
      <c r="D833" s="1" t="str">
        <f>TEXT(Payments_Cleaned[[#This Row],[payment_date]],"mmm-yyyy")</f>
        <v>Dec-2024</v>
      </c>
      <c r="E833" s="2">
        <v>1105.06</v>
      </c>
      <c r="F833" t="s">
        <v>4694</v>
      </c>
      <c r="G833" s="2">
        <v>160.26</v>
      </c>
    </row>
    <row r="834" spans="1:7" x14ac:dyDescent="0.35">
      <c r="A834" t="s">
        <v>5527</v>
      </c>
      <c r="B834" t="s">
        <v>1795</v>
      </c>
      <c r="C834" s="1">
        <v>45641</v>
      </c>
      <c r="D834" s="1" t="str">
        <f>TEXT(Payments_Cleaned[[#This Row],[payment_date]],"mmm-yyyy")</f>
        <v>Dec-2024</v>
      </c>
      <c r="E834" s="2">
        <v>1643.27</v>
      </c>
      <c r="F834" t="s">
        <v>4694</v>
      </c>
      <c r="G834" s="2">
        <v>386.78</v>
      </c>
    </row>
    <row r="835" spans="1:7" x14ac:dyDescent="0.35">
      <c r="A835" t="s">
        <v>5528</v>
      </c>
      <c r="B835" t="s">
        <v>1796</v>
      </c>
      <c r="C835" s="1">
        <v>45668</v>
      </c>
      <c r="D835" s="1" t="str">
        <f>TEXT(Payments_Cleaned[[#This Row],[payment_date]],"mmm-yyyy")</f>
        <v>Jan-2025</v>
      </c>
      <c r="E835" s="2">
        <v>693.31</v>
      </c>
      <c r="F835" t="s">
        <v>4694</v>
      </c>
      <c r="G835" s="2">
        <v>376.66</v>
      </c>
    </row>
    <row r="836" spans="1:7" x14ac:dyDescent="0.35">
      <c r="A836" t="s">
        <v>5529</v>
      </c>
      <c r="B836" t="s">
        <v>1797</v>
      </c>
      <c r="C836" s="1">
        <v>45131</v>
      </c>
      <c r="D836" s="1" t="str">
        <f>TEXT(Payments_Cleaned[[#This Row],[payment_date]],"mmm-yyyy")</f>
        <v>Jul-2023</v>
      </c>
      <c r="E836" s="2">
        <v>787.14</v>
      </c>
      <c r="F836" t="s">
        <v>4694</v>
      </c>
      <c r="G836" s="2">
        <v>345.76</v>
      </c>
    </row>
    <row r="837" spans="1:7" x14ac:dyDescent="0.35">
      <c r="A837" t="s">
        <v>5530</v>
      </c>
      <c r="B837" t="s">
        <v>1798</v>
      </c>
      <c r="C837" s="1">
        <v>45654</v>
      </c>
      <c r="D837" s="1" t="str">
        <f>TEXT(Payments_Cleaned[[#This Row],[payment_date]],"mmm-yyyy")</f>
        <v>Dec-2024</v>
      </c>
      <c r="E837" s="2">
        <v>423.49</v>
      </c>
      <c r="F837" t="s">
        <v>4694</v>
      </c>
      <c r="G837" s="2">
        <v>62.94</v>
      </c>
    </row>
    <row r="838" spans="1:7" x14ac:dyDescent="0.35">
      <c r="A838" t="s">
        <v>5531</v>
      </c>
      <c r="B838" t="s">
        <v>1799</v>
      </c>
      <c r="C838" s="1">
        <v>45364</v>
      </c>
      <c r="D838" s="1" t="str">
        <f>TEXT(Payments_Cleaned[[#This Row],[payment_date]],"mmm-yyyy")</f>
        <v>Mar-2024</v>
      </c>
      <c r="E838" s="2">
        <v>2224.59</v>
      </c>
      <c r="F838" t="s">
        <v>4697</v>
      </c>
      <c r="G838" s="2">
        <v>420.87</v>
      </c>
    </row>
    <row r="839" spans="1:7" x14ac:dyDescent="0.35">
      <c r="A839" t="s">
        <v>5532</v>
      </c>
      <c r="B839" t="s">
        <v>1802</v>
      </c>
      <c r="C839" s="1">
        <v>45455</v>
      </c>
      <c r="D839" s="1" t="str">
        <f>TEXT(Payments_Cleaned[[#This Row],[payment_date]],"mmm-yyyy")</f>
        <v>Jun-2024</v>
      </c>
      <c r="E839" s="2">
        <v>1340.66</v>
      </c>
      <c r="F839" t="s">
        <v>4694</v>
      </c>
      <c r="G839" s="2">
        <v>222.87</v>
      </c>
    </row>
    <row r="840" spans="1:7" x14ac:dyDescent="0.35">
      <c r="A840" t="s">
        <v>5533</v>
      </c>
      <c r="B840" t="s">
        <v>1803</v>
      </c>
      <c r="C840" s="1">
        <v>45628</v>
      </c>
      <c r="D840" s="1" t="str">
        <f>TEXT(Payments_Cleaned[[#This Row],[payment_date]],"mmm-yyyy")</f>
        <v>Dec-2024</v>
      </c>
      <c r="E840" s="2">
        <v>1945.99</v>
      </c>
      <c r="F840" t="s">
        <v>4694</v>
      </c>
      <c r="G840" s="2">
        <v>179.95</v>
      </c>
    </row>
    <row r="841" spans="1:7" x14ac:dyDescent="0.35">
      <c r="A841" t="s">
        <v>5534</v>
      </c>
      <c r="B841" t="s">
        <v>1804</v>
      </c>
      <c r="C841" s="1">
        <v>44991</v>
      </c>
      <c r="D841" s="1" t="str">
        <f>TEXT(Payments_Cleaned[[#This Row],[payment_date]],"mmm-yyyy")</f>
        <v>Mar-2023</v>
      </c>
      <c r="E841" s="2">
        <v>671.86</v>
      </c>
      <c r="F841" t="s">
        <v>4694</v>
      </c>
      <c r="G841" s="2">
        <v>274.16000000000003</v>
      </c>
    </row>
    <row r="842" spans="1:7" x14ac:dyDescent="0.35">
      <c r="A842" t="s">
        <v>5535</v>
      </c>
      <c r="B842" t="s">
        <v>1805</v>
      </c>
      <c r="C842" s="1">
        <v>45012</v>
      </c>
      <c r="D842" s="1" t="str">
        <f>TEXT(Payments_Cleaned[[#This Row],[payment_date]],"mmm-yyyy")</f>
        <v>Mar-2023</v>
      </c>
      <c r="E842" s="2">
        <v>90.13</v>
      </c>
      <c r="F842" t="s">
        <v>4694</v>
      </c>
      <c r="G842" s="2">
        <v>50.87</v>
      </c>
    </row>
    <row r="843" spans="1:7" x14ac:dyDescent="0.35">
      <c r="A843" t="s">
        <v>5536</v>
      </c>
      <c r="B843" t="s">
        <v>1807</v>
      </c>
      <c r="C843" s="1">
        <v>45584</v>
      </c>
      <c r="D843" s="1" t="str">
        <f>TEXT(Payments_Cleaned[[#This Row],[payment_date]],"mmm-yyyy")</f>
        <v>Oct-2024</v>
      </c>
      <c r="E843" s="2">
        <v>660.29</v>
      </c>
      <c r="F843" t="s">
        <v>4694</v>
      </c>
      <c r="G843" s="2">
        <v>261.70999999999998</v>
      </c>
    </row>
    <row r="844" spans="1:7" x14ac:dyDescent="0.35">
      <c r="A844" t="s">
        <v>5537</v>
      </c>
      <c r="B844" t="s">
        <v>1808</v>
      </c>
      <c r="C844" s="1">
        <v>44957</v>
      </c>
      <c r="D844" s="1" t="str">
        <f>TEXT(Payments_Cleaned[[#This Row],[payment_date]],"mmm-yyyy")</f>
        <v>Jan-2023</v>
      </c>
      <c r="E844" s="2">
        <v>722.92</v>
      </c>
      <c r="F844" t="s">
        <v>4694</v>
      </c>
      <c r="G844" s="2">
        <v>79.75</v>
      </c>
    </row>
    <row r="845" spans="1:7" x14ac:dyDescent="0.35">
      <c r="A845" t="s">
        <v>5538</v>
      </c>
      <c r="B845" t="s">
        <v>1809</v>
      </c>
      <c r="C845" s="1">
        <v>45491</v>
      </c>
      <c r="D845" s="1" t="str">
        <f>TEXT(Payments_Cleaned[[#This Row],[payment_date]],"mmm-yyyy")</f>
        <v>Jul-2024</v>
      </c>
      <c r="E845" s="2">
        <v>353</v>
      </c>
      <c r="F845" t="s">
        <v>4694</v>
      </c>
      <c r="G845" s="2">
        <v>124.86</v>
      </c>
    </row>
    <row r="846" spans="1:7" x14ac:dyDescent="0.35">
      <c r="A846" t="s">
        <v>5539</v>
      </c>
      <c r="B846" t="s">
        <v>1811</v>
      </c>
      <c r="C846" s="1">
        <v>45508</v>
      </c>
      <c r="D846" s="1" t="str">
        <f>TEXT(Payments_Cleaned[[#This Row],[payment_date]],"mmm-yyyy")</f>
        <v>Aug-2024</v>
      </c>
      <c r="E846" s="2">
        <v>795.96</v>
      </c>
      <c r="F846" t="s">
        <v>4694</v>
      </c>
      <c r="G846" s="2">
        <v>94.7</v>
      </c>
    </row>
    <row r="847" spans="1:7" x14ac:dyDescent="0.35">
      <c r="A847" t="s">
        <v>5540</v>
      </c>
      <c r="B847" t="s">
        <v>1812</v>
      </c>
      <c r="C847" s="1">
        <v>45347</v>
      </c>
      <c r="D847" s="1" t="str">
        <f>TEXT(Payments_Cleaned[[#This Row],[payment_date]],"mmm-yyyy")</f>
        <v>Feb-2024</v>
      </c>
      <c r="E847" s="2">
        <v>544.4</v>
      </c>
      <c r="F847" t="s">
        <v>4697</v>
      </c>
      <c r="G847" s="2">
        <v>276.14999999999998</v>
      </c>
    </row>
    <row r="848" spans="1:7" x14ac:dyDescent="0.35">
      <c r="A848" t="s">
        <v>5541</v>
      </c>
      <c r="B848" t="s">
        <v>1813</v>
      </c>
      <c r="C848" s="1">
        <v>45435</v>
      </c>
      <c r="D848" s="1" t="str">
        <f>TEXT(Payments_Cleaned[[#This Row],[payment_date]],"mmm-yyyy")</f>
        <v>May-2024</v>
      </c>
      <c r="E848" s="2">
        <v>1286.76</v>
      </c>
      <c r="F848" t="s">
        <v>4694</v>
      </c>
      <c r="G848" s="2">
        <v>61.34</v>
      </c>
    </row>
    <row r="849" spans="1:7" x14ac:dyDescent="0.35">
      <c r="A849" t="s">
        <v>5542</v>
      </c>
      <c r="B849" t="s">
        <v>1814</v>
      </c>
      <c r="C849" s="1">
        <v>45623</v>
      </c>
      <c r="D849" s="1" t="str">
        <f>TEXT(Payments_Cleaned[[#This Row],[payment_date]],"mmm-yyyy")</f>
        <v>Nov-2024</v>
      </c>
      <c r="E849" s="2">
        <v>150.51</v>
      </c>
      <c r="F849" t="s">
        <v>4694</v>
      </c>
      <c r="G849" s="2">
        <v>9.0500000000000007</v>
      </c>
    </row>
    <row r="850" spans="1:7" x14ac:dyDescent="0.35">
      <c r="A850" t="s">
        <v>5543</v>
      </c>
      <c r="B850" t="s">
        <v>1816</v>
      </c>
      <c r="C850" s="1">
        <v>45577</v>
      </c>
      <c r="D850" s="1" t="str">
        <f>TEXT(Payments_Cleaned[[#This Row],[payment_date]],"mmm-yyyy")</f>
        <v>Oct-2024</v>
      </c>
      <c r="E850" s="2">
        <v>37.58</v>
      </c>
      <c r="F850" t="s">
        <v>4694</v>
      </c>
      <c r="G850" s="2">
        <v>20.6</v>
      </c>
    </row>
    <row r="851" spans="1:7" x14ac:dyDescent="0.35">
      <c r="A851" t="s">
        <v>5544</v>
      </c>
      <c r="B851" t="s">
        <v>1817</v>
      </c>
      <c r="C851" s="1">
        <v>45257</v>
      </c>
      <c r="D851" s="1" t="str">
        <f>TEXT(Payments_Cleaned[[#This Row],[payment_date]],"mmm-yyyy")</f>
        <v>Nov-2023</v>
      </c>
      <c r="E851" s="2">
        <v>170.98</v>
      </c>
      <c r="F851" t="s">
        <v>4694</v>
      </c>
      <c r="G851" s="2">
        <v>42.12</v>
      </c>
    </row>
    <row r="852" spans="1:7" x14ac:dyDescent="0.35">
      <c r="A852" t="s">
        <v>5545</v>
      </c>
      <c r="B852" t="s">
        <v>1819</v>
      </c>
      <c r="C852" s="1">
        <v>45112</v>
      </c>
      <c r="D852" s="1" t="str">
        <f>TEXT(Payments_Cleaned[[#This Row],[payment_date]],"mmm-yyyy")</f>
        <v>Jul-2023</v>
      </c>
      <c r="E852" s="2">
        <v>44.24</v>
      </c>
      <c r="F852" t="s">
        <v>4694</v>
      </c>
      <c r="G852" s="2">
        <v>8.9499999999999993</v>
      </c>
    </row>
    <row r="853" spans="1:7" x14ac:dyDescent="0.35">
      <c r="A853" t="s">
        <v>5546</v>
      </c>
      <c r="B853" t="s">
        <v>1820</v>
      </c>
      <c r="C853" s="1">
        <v>45306</v>
      </c>
      <c r="D853" s="1" t="str">
        <f>TEXT(Payments_Cleaned[[#This Row],[payment_date]],"mmm-yyyy")</f>
        <v>Jan-2024</v>
      </c>
      <c r="E853" s="2">
        <v>2168.6</v>
      </c>
      <c r="F853" t="s">
        <v>4694</v>
      </c>
      <c r="G853" s="2">
        <v>309.3</v>
      </c>
    </row>
    <row r="854" spans="1:7" x14ac:dyDescent="0.35">
      <c r="A854" t="s">
        <v>5547</v>
      </c>
      <c r="B854" t="s">
        <v>1821</v>
      </c>
      <c r="C854" s="1">
        <v>45166</v>
      </c>
      <c r="D854" s="1" t="str">
        <f>TEXT(Payments_Cleaned[[#This Row],[payment_date]],"mmm-yyyy")</f>
        <v>Aug-2023</v>
      </c>
      <c r="E854" s="2">
        <v>424.33</v>
      </c>
      <c r="F854" t="s">
        <v>4694</v>
      </c>
      <c r="G854" s="2">
        <v>111.4</v>
      </c>
    </row>
    <row r="855" spans="1:7" x14ac:dyDescent="0.35">
      <c r="A855" t="s">
        <v>5548</v>
      </c>
      <c r="B855" t="s">
        <v>1822</v>
      </c>
      <c r="C855" s="1">
        <v>45682</v>
      </c>
      <c r="D855" s="1" t="str">
        <f>TEXT(Payments_Cleaned[[#This Row],[payment_date]],"mmm-yyyy")</f>
        <v>Jan-2025</v>
      </c>
      <c r="E855" s="2">
        <v>657.73</v>
      </c>
      <c r="F855" t="s">
        <v>4694</v>
      </c>
      <c r="G855" s="2">
        <v>167.79</v>
      </c>
    </row>
    <row r="856" spans="1:7" x14ac:dyDescent="0.35">
      <c r="A856" t="s">
        <v>5549</v>
      </c>
      <c r="B856" t="s">
        <v>1823</v>
      </c>
      <c r="C856" s="1">
        <v>45445</v>
      </c>
      <c r="D856" s="1" t="str">
        <f>TEXT(Payments_Cleaned[[#This Row],[payment_date]],"mmm-yyyy")</f>
        <v>Jun-2024</v>
      </c>
      <c r="E856" s="2">
        <v>1929.05</v>
      </c>
      <c r="F856" t="s">
        <v>4694</v>
      </c>
      <c r="G856" s="2">
        <v>227.99</v>
      </c>
    </row>
    <row r="857" spans="1:7" x14ac:dyDescent="0.35">
      <c r="A857" t="s">
        <v>5550</v>
      </c>
      <c r="B857" t="s">
        <v>1825</v>
      </c>
      <c r="C857" s="1">
        <v>45009</v>
      </c>
      <c r="D857" s="1" t="str">
        <f>TEXT(Payments_Cleaned[[#This Row],[payment_date]],"mmm-yyyy")</f>
        <v>Mar-2023</v>
      </c>
      <c r="E857" s="2">
        <v>1846.73</v>
      </c>
      <c r="F857" t="s">
        <v>4694</v>
      </c>
      <c r="G857" s="2">
        <v>285.2</v>
      </c>
    </row>
    <row r="858" spans="1:7" x14ac:dyDescent="0.35">
      <c r="A858" t="s">
        <v>5551</v>
      </c>
      <c r="B858" t="s">
        <v>1826</v>
      </c>
      <c r="C858" s="1">
        <v>45186</v>
      </c>
      <c r="D858" s="1" t="str">
        <f>TEXT(Payments_Cleaned[[#This Row],[payment_date]],"mmm-yyyy")</f>
        <v>Sep-2023</v>
      </c>
      <c r="E858" s="2">
        <v>165.42</v>
      </c>
      <c r="F858" t="s">
        <v>4694</v>
      </c>
      <c r="G858" s="2">
        <v>36.79</v>
      </c>
    </row>
    <row r="859" spans="1:7" x14ac:dyDescent="0.35">
      <c r="A859" t="s">
        <v>5552</v>
      </c>
      <c r="B859" t="s">
        <v>1828</v>
      </c>
      <c r="C859" s="1">
        <v>45608</v>
      </c>
      <c r="D859" s="1" t="str">
        <f>TEXT(Payments_Cleaned[[#This Row],[payment_date]],"mmm-yyyy")</f>
        <v>Nov-2024</v>
      </c>
      <c r="E859" s="2">
        <v>359.12</v>
      </c>
      <c r="F859" t="s">
        <v>4694</v>
      </c>
      <c r="G859" s="2">
        <v>75.2</v>
      </c>
    </row>
    <row r="860" spans="1:7" x14ac:dyDescent="0.35">
      <c r="A860" t="s">
        <v>5553</v>
      </c>
      <c r="B860" t="s">
        <v>1829</v>
      </c>
      <c r="C860" s="1">
        <v>45559</v>
      </c>
      <c r="D860" s="1" t="str">
        <f>TEXT(Payments_Cleaned[[#This Row],[payment_date]],"mmm-yyyy")</f>
        <v>Sep-2024</v>
      </c>
      <c r="E860" s="2">
        <v>146.13999999999999</v>
      </c>
      <c r="F860" t="s">
        <v>4697</v>
      </c>
      <c r="G860" s="2">
        <v>37.479999999999997</v>
      </c>
    </row>
    <row r="861" spans="1:7" x14ac:dyDescent="0.35">
      <c r="A861" t="s">
        <v>5554</v>
      </c>
      <c r="B861" t="s">
        <v>1830</v>
      </c>
      <c r="C861" s="1">
        <v>45170</v>
      </c>
      <c r="D861" s="1" t="str">
        <f>TEXT(Payments_Cleaned[[#This Row],[payment_date]],"mmm-yyyy")</f>
        <v>Sep-2023</v>
      </c>
      <c r="E861" s="2">
        <v>4837.5</v>
      </c>
      <c r="F861" t="s">
        <v>4694</v>
      </c>
      <c r="G861" s="2">
        <v>1373.17</v>
      </c>
    </row>
    <row r="862" spans="1:7" x14ac:dyDescent="0.35">
      <c r="A862" t="s">
        <v>5555</v>
      </c>
      <c r="B862" t="s">
        <v>1835</v>
      </c>
      <c r="C862" s="1">
        <v>45360</v>
      </c>
      <c r="D862" s="1" t="str">
        <f>TEXT(Payments_Cleaned[[#This Row],[payment_date]],"mmm-yyyy")</f>
        <v>Mar-2024</v>
      </c>
      <c r="E862" s="2">
        <v>671.89</v>
      </c>
      <c r="F862" t="s">
        <v>4694</v>
      </c>
      <c r="G862" s="2">
        <v>84.8</v>
      </c>
    </row>
    <row r="863" spans="1:7" x14ac:dyDescent="0.35">
      <c r="A863" t="s">
        <v>5556</v>
      </c>
      <c r="B863" t="s">
        <v>1836</v>
      </c>
      <c r="C863" s="1">
        <v>45170</v>
      </c>
      <c r="D863" s="1" t="str">
        <f>TEXT(Payments_Cleaned[[#This Row],[payment_date]],"mmm-yyyy")</f>
        <v>Sep-2023</v>
      </c>
      <c r="E863" s="2">
        <v>369.59</v>
      </c>
      <c r="F863" t="s">
        <v>4694</v>
      </c>
      <c r="G863" s="2">
        <v>97.32</v>
      </c>
    </row>
    <row r="864" spans="1:7" x14ac:dyDescent="0.35">
      <c r="A864" t="s">
        <v>5557</v>
      </c>
      <c r="B864" t="s">
        <v>1838</v>
      </c>
      <c r="C864" s="1">
        <v>45081</v>
      </c>
      <c r="D864" s="1" t="str">
        <f>TEXT(Payments_Cleaned[[#This Row],[payment_date]],"mmm-yyyy")</f>
        <v>Jun-2023</v>
      </c>
      <c r="E864" s="2">
        <v>2611.61</v>
      </c>
      <c r="F864" t="s">
        <v>4697</v>
      </c>
      <c r="G864" s="2">
        <v>1505.97</v>
      </c>
    </row>
    <row r="865" spans="1:7" x14ac:dyDescent="0.35">
      <c r="A865" t="s">
        <v>5558</v>
      </c>
      <c r="B865" t="s">
        <v>1839</v>
      </c>
      <c r="C865" s="1">
        <v>45409</v>
      </c>
      <c r="D865" s="1" t="str">
        <f>TEXT(Payments_Cleaned[[#This Row],[payment_date]],"mmm-yyyy")</f>
        <v>Apr-2024</v>
      </c>
      <c r="E865" s="2">
        <v>586.24</v>
      </c>
      <c r="F865" t="s">
        <v>4694</v>
      </c>
      <c r="G865" s="2">
        <v>27.79</v>
      </c>
    </row>
    <row r="866" spans="1:7" x14ac:dyDescent="0.35">
      <c r="A866" t="s">
        <v>5559</v>
      </c>
      <c r="B866" t="s">
        <v>1840</v>
      </c>
      <c r="C866" s="1">
        <v>45154</v>
      </c>
      <c r="D866" s="1" t="str">
        <f>TEXT(Payments_Cleaned[[#This Row],[payment_date]],"mmm-yyyy")</f>
        <v>Aug-2023</v>
      </c>
      <c r="E866" s="2">
        <v>953.9</v>
      </c>
      <c r="F866" t="s">
        <v>4694</v>
      </c>
      <c r="G866" s="2">
        <v>361.52</v>
      </c>
    </row>
    <row r="867" spans="1:7" x14ac:dyDescent="0.35">
      <c r="A867" t="s">
        <v>5560</v>
      </c>
      <c r="B867" t="s">
        <v>1841</v>
      </c>
      <c r="C867" s="1">
        <v>45488</v>
      </c>
      <c r="D867" s="1" t="str">
        <f>TEXT(Payments_Cleaned[[#This Row],[payment_date]],"mmm-yyyy")</f>
        <v>Jul-2024</v>
      </c>
      <c r="E867" s="2">
        <v>564.77</v>
      </c>
      <c r="F867" t="s">
        <v>4694</v>
      </c>
      <c r="G867" s="2">
        <v>151.27000000000001</v>
      </c>
    </row>
    <row r="868" spans="1:7" x14ac:dyDescent="0.35">
      <c r="A868" t="s">
        <v>5561</v>
      </c>
      <c r="B868" t="s">
        <v>1843</v>
      </c>
      <c r="C868" s="1">
        <v>45077</v>
      </c>
      <c r="D868" s="1" t="str">
        <f>TEXT(Payments_Cleaned[[#This Row],[payment_date]],"mmm-yyyy")</f>
        <v>May-2023</v>
      </c>
      <c r="E868" s="2">
        <v>179.79</v>
      </c>
      <c r="F868" t="s">
        <v>4694</v>
      </c>
      <c r="G868" s="2">
        <v>27.99</v>
      </c>
    </row>
    <row r="869" spans="1:7" x14ac:dyDescent="0.35">
      <c r="A869" t="s">
        <v>5562</v>
      </c>
      <c r="B869" t="s">
        <v>1844</v>
      </c>
      <c r="C869" s="1">
        <v>45369</v>
      </c>
      <c r="D869" s="1" t="str">
        <f>TEXT(Payments_Cleaned[[#This Row],[payment_date]],"mmm-yyyy")</f>
        <v>Mar-2024</v>
      </c>
      <c r="E869" s="2">
        <v>309.44</v>
      </c>
      <c r="F869" t="s">
        <v>4694</v>
      </c>
      <c r="G869" s="2">
        <v>154.66</v>
      </c>
    </row>
    <row r="870" spans="1:7" x14ac:dyDescent="0.35">
      <c r="A870" t="s">
        <v>5563</v>
      </c>
      <c r="B870" t="s">
        <v>1846</v>
      </c>
      <c r="C870" s="1">
        <v>45619</v>
      </c>
      <c r="D870" s="1" t="str">
        <f>TEXT(Payments_Cleaned[[#This Row],[payment_date]],"mmm-yyyy")</f>
        <v>Nov-2024</v>
      </c>
      <c r="E870" s="2">
        <v>4809.76</v>
      </c>
      <c r="F870" t="s">
        <v>4694</v>
      </c>
      <c r="G870" s="2">
        <v>369.47</v>
      </c>
    </row>
    <row r="871" spans="1:7" x14ac:dyDescent="0.35">
      <c r="A871" t="s">
        <v>5564</v>
      </c>
      <c r="B871" t="s">
        <v>1847</v>
      </c>
      <c r="C871" s="1">
        <v>45566</v>
      </c>
      <c r="D871" s="1" t="str">
        <f>TEXT(Payments_Cleaned[[#This Row],[payment_date]],"mmm-yyyy")</f>
        <v>Oct-2024</v>
      </c>
      <c r="E871" s="2">
        <v>269.17</v>
      </c>
      <c r="F871" t="s">
        <v>4694</v>
      </c>
      <c r="G871" s="2">
        <v>18.760000000000002</v>
      </c>
    </row>
    <row r="872" spans="1:7" x14ac:dyDescent="0.35">
      <c r="A872" t="s">
        <v>5565</v>
      </c>
      <c r="B872" t="s">
        <v>1848</v>
      </c>
      <c r="C872" s="1">
        <v>45393</v>
      </c>
      <c r="D872" s="1" t="str">
        <f>TEXT(Payments_Cleaned[[#This Row],[payment_date]],"mmm-yyyy")</f>
        <v>Apr-2024</v>
      </c>
      <c r="E872" s="2">
        <v>1345.5</v>
      </c>
      <c r="F872" t="s">
        <v>4694</v>
      </c>
      <c r="G872" s="2">
        <v>809.16</v>
      </c>
    </row>
    <row r="873" spans="1:7" x14ac:dyDescent="0.35">
      <c r="A873" t="s">
        <v>5566</v>
      </c>
      <c r="B873" t="s">
        <v>1850</v>
      </c>
      <c r="C873" s="1">
        <v>45098</v>
      </c>
      <c r="D873" s="1" t="str">
        <f>TEXT(Payments_Cleaned[[#This Row],[payment_date]],"mmm-yyyy")</f>
        <v>Jun-2023</v>
      </c>
      <c r="E873" s="2">
        <v>533.38</v>
      </c>
      <c r="F873" t="s">
        <v>4694</v>
      </c>
      <c r="G873" s="2">
        <v>95.54</v>
      </c>
    </row>
    <row r="874" spans="1:7" x14ac:dyDescent="0.35">
      <c r="A874" t="s">
        <v>5567</v>
      </c>
      <c r="B874" t="s">
        <v>1852</v>
      </c>
      <c r="C874" s="1">
        <v>45251</v>
      </c>
      <c r="D874" s="1" t="str">
        <f>TEXT(Payments_Cleaned[[#This Row],[payment_date]],"mmm-yyyy")</f>
        <v>Nov-2023</v>
      </c>
      <c r="E874" s="2">
        <v>85.06</v>
      </c>
      <c r="F874" t="s">
        <v>4694</v>
      </c>
      <c r="G874" s="2">
        <v>10.91</v>
      </c>
    </row>
    <row r="875" spans="1:7" x14ac:dyDescent="0.35">
      <c r="A875" t="s">
        <v>5568</v>
      </c>
      <c r="B875" t="s">
        <v>1853</v>
      </c>
      <c r="C875" s="1">
        <v>45190</v>
      </c>
      <c r="D875" s="1" t="str">
        <f>TEXT(Payments_Cleaned[[#This Row],[payment_date]],"mmm-yyyy")</f>
        <v>Sep-2023</v>
      </c>
      <c r="E875" s="2">
        <v>429.12</v>
      </c>
      <c r="F875" t="s">
        <v>4694</v>
      </c>
      <c r="G875" s="2">
        <v>23.69</v>
      </c>
    </row>
    <row r="876" spans="1:7" x14ac:dyDescent="0.35">
      <c r="A876" t="s">
        <v>5569</v>
      </c>
      <c r="B876" t="s">
        <v>1856</v>
      </c>
      <c r="C876" s="1">
        <v>45054</v>
      </c>
      <c r="D876" s="1" t="str">
        <f>TEXT(Payments_Cleaned[[#This Row],[payment_date]],"mmm-yyyy")</f>
        <v>May-2023</v>
      </c>
      <c r="E876" s="2">
        <v>406.21</v>
      </c>
      <c r="F876" t="s">
        <v>4694</v>
      </c>
      <c r="G876" s="2">
        <v>183.41</v>
      </c>
    </row>
    <row r="877" spans="1:7" x14ac:dyDescent="0.35">
      <c r="A877" t="s">
        <v>5570</v>
      </c>
      <c r="B877" t="s">
        <v>1857</v>
      </c>
      <c r="C877" s="1">
        <v>45446</v>
      </c>
      <c r="D877" s="1" t="str">
        <f>TEXT(Payments_Cleaned[[#This Row],[payment_date]],"mmm-yyyy")</f>
        <v>Jun-2024</v>
      </c>
      <c r="E877" s="2">
        <v>39.89</v>
      </c>
      <c r="F877" t="s">
        <v>4694</v>
      </c>
      <c r="G877" s="2">
        <v>22.18</v>
      </c>
    </row>
    <row r="878" spans="1:7" x14ac:dyDescent="0.35">
      <c r="A878" t="s">
        <v>5571</v>
      </c>
      <c r="B878" t="s">
        <v>1862</v>
      </c>
      <c r="C878" s="1">
        <v>44990</v>
      </c>
      <c r="D878" s="1" t="str">
        <f>TEXT(Payments_Cleaned[[#This Row],[payment_date]],"mmm-yyyy")</f>
        <v>Mar-2023</v>
      </c>
      <c r="E878" s="2">
        <v>211.23</v>
      </c>
      <c r="F878" t="s">
        <v>4694</v>
      </c>
      <c r="G878" s="2">
        <v>114.75</v>
      </c>
    </row>
    <row r="879" spans="1:7" x14ac:dyDescent="0.35">
      <c r="A879" t="s">
        <v>5572</v>
      </c>
      <c r="B879" t="s">
        <v>1863</v>
      </c>
      <c r="C879" s="1">
        <v>45341</v>
      </c>
      <c r="D879" s="1" t="str">
        <f>TEXT(Payments_Cleaned[[#This Row],[payment_date]],"mmm-yyyy")</f>
        <v>Feb-2024</v>
      </c>
      <c r="E879" s="2">
        <v>2441.7399999999998</v>
      </c>
      <c r="F879" t="s">
        <v>4694</v>
      </c>
      <c r="G879" s="2">
        <v>276.87</v>
      </c>
    </row>
    <row r="880" spans="1:7" x14ac:dyDescent="0.35">
      <c r="A880" t="s">
        <v>5573</v>
      </c>
      <c r="B880" t="s">
        <v>1864</v>
      </c>
      <c r="C880" s="1">
        <v>45463</v>
      </c>
      <c r="D880" s="1" t="str">
        <f>TEXT(Payments_Cleaned[[#This Row],[payment_date]],"mmm-yyyy")</f>
        <v>Jun-2024</v>
      </c>
      <c r="E880" s="2">
        <v>6315.01</v>
      </c>
      <c r="F880" t="s">
        <v>4694</v>
      </c>
      <c r="G880" s="2">
        <v>1163.1199999999999</v>
      </c>
    </row>
    <row r="881" spans="1:7" x14ac:dyDescent="0.35">
      <c r="A881" t="s">
        <v>5574</v>
      </c>
      <c r="B881" t="s">
        <v>1865</v>
      </c>
      <c r="C881" s="1">
        <v>45268</v>
      </c>
      <c r="D881" s="1" t="str">
        <f>TEXT(Payments_Cleaned[[#This Row],[payment_date]],"mmm-yyyy")</f>
        <v>Dec-2023</v>
      </c>
      <c r="E881" s="2">
        <v>1315.93</v>
      </c>
      <c r="F881" t="s">
        <v>4694</v>
      </c>
      <c r="G881" s="2">
        <v>95.1</v>
      </c>
    </row>
    <row r="882" spans="1:7" x14ac:dyDescent="0.35">
      <c r="A882" t="s">
        <v>5575</v>
      </c>
      <c r="B882" t="s">
        <v>1867</v>
      </c>
      <c r="C882" s="1">
        <v>45238</v>
      </c>
      <c r="D882" s="1" t="str">
        <f>TEXT(Payments_Cleaned[[#This Row],[payment_date]],"mmm-yyyy")</f>
        <v>Nov-2023</v>
      </c>
      <c r="E882" s="2">
        <v>238.08</v>
      </c>
      <c r="F882" t="s">
        <v>4694</v>
      </c>
      <c r="G882" s="2">
        <v>93.84</v>
      </c>
    </row>
    <row r="883" spans="1:7" x14ac:dyDescent="0.35">
      <c r="A883" t="s">
        <v>5576</v>
      </c>
      <c r="B883" t="s">
        <v>1868</v>
      </c>
      <c r="C883" s="1">
        <v>45419</v>
      </c>
      <c r="D883" s="1" t="str">
        <f>TEXT(Payments_Cleaned[[#This Row],[payment_date]],"mmm-yyyy")</f>
        <v>May-2024</v>
      </c>
      <c r="E883" s="2">
        <v>251.8</v>
      </c>
      <c r="F883" t="s">
        <v>4694</v>
      </c>
      <c r="G883" s="2">
        <v>118.31</v>
      </c>
    </row>
    <row r="884" spans="1:7" x14ac:dyDescent="0.35">
      <c r="A884" t="s">
        <v>5577</v>
      </c>
      <c r="B884" t="s">
        <v>1869</v>
      </c>
      <c r="C884" s="1">
        <v>45628</v>
      </c>
      <c r="D884" s="1" t="str">
        <f>TEXT(Payments_Cleaned[[#This Row],[payment_date]],"mmm-yyyy")</f>
        <v>Dec-2024</v>
      </c>
      <c r="E884" s="2">
        <v>614.51</v>
      </c>
      <c r="F884" t="s">
        <v>4694</v>
      </c>
      <c r="G884" s="2">
        <v>45.73</v>
      </c>
    </row>
    <row r="885" spans="1:7" x14ac:dyDescent="0.35">
      <c r="A885" t="s">
        <v>5578</v>
      </c>
      <c r="B885" t="s">
        <v>1870</v>
      </c>
      <c r="C885" s="1">
        <v>45413</v>
      </c>
      <c r="D885" s="1" t="str">
        <f>TEXT(Payments_Cleaned[[#This Row],[payment_date]],"mmm-yyyy")</f>
        <v>May-2024</v>
      </c>
      <c r="E885" s="2">
        <v>528.49</v>
      </c>
      <c r="F885" t="s">
        <v>4694</v>
      </c>
      <c r="G885" s="2">
        <v>27.21</v>
      </c>
    </row>
    <row r="886" spans="1:7" x14ac:dyDescent="0.35">
      <c r="A886" t="s">
        <v>5579</v>
      </c>
      <c r="B886" t="s">
        <v>1871</v>
      </c>
      <c r="C886" s="1">
        <v>45332</v>
      </c>
      <c r="D886" s="1" t="str">
        <f>TEXT(Payments_Cleaned[[#This Row],[payment_date]],"mmm-yyyy")</f>
        <v>Feb-2024</v>
      </c>
      <c r="E886" s="2">
        <v>1704.91</v>
      </c>
      <c r="F886" t="s">
        <v>4694</v>
      </c>
      <c r="G886" s="2">
        <v>229.48</v>
      </c>
    </row>
    <row r="887" spans="1:7" x14ac:dyDescent="0.35">
      <c r="A887" t="s">
        <v>5580</v>
      </c>
      <c r="B887" t="s">
        <v>1872</v>
      </c>
      <c r="C887" s="1">
        <v>45009</v>
      </c>
      <c r="D887" s="1" t="str">
        <f>TEXT(Payments_Cleaned[[#This Row],[payment_date]],"mmm-yyyy")</f>
        <v>Mar-2023</v>
      </c>
      <c r="E887" s="2">
        <v>2562.39</v>
      </c>
      <c r="F887" t="s">
        <v>4694</v>
      </c>
      <c r="G887" s="2">
        <v>134.88999999999999</v>
      </c>
    </row>
    <row r="888" spans="1:7" x14ac:dyDescent="0.35">
      <c r="A888" t="s">
        <v>5581</v>
      </c>
      <c r="B888" t="s">
        <v>1873</v>
      </c>
      <c r="C888" s="1">
        <v>45366</v>
      </c>
      <c r="D888" s="1" t="str">
        <f>TEXT(Payments_Cleaned[[#This Row],[payment_date]],"mmm-yyyy")</f>
        <v>Mar-2024</v>
      </c>
      <c r="E888" s="2">
        <v>1028.3599999999999</v>
      </c>
      <c r="F888" t="s">
        <v>4694</v>
      </c>
      <c r="G888" s="2">
        <v>296.64</v>
      </c>
    </row>
    <row r="889" spans="1:7" x14ac:dyDescent="0.35">
      <c r="A889" t="s">
        <v>5582</v>
      </c>
      <c r="B889" t="s">
        <v>1874</v>
      </c>
      <c r="C889" s="1">
        <v>45445</v>
      </c>
      <c r="D889" s="1" t="str">
        <f>TEXT(Payments_Cleaned[[#This Row],[payment_date]],"mmm-yyyy")</f>
        <v>Jun-2024</v>
      </c>
      <c r="E889" s="2">
        <v>967.72</v>
      </c>
      <c r="F889" t="s">
        <v>4694</v>
      </c>
      <c r="G889" s="2">
        <v>556.09</v>
      </c>
    </row>
    <row r="890" spans="1:7" x14ac:dyDescent="0.35">
      <c r="A890" t="s">
        <v>5583</v>
      </c>
      <c r="B890" t="s">
        <v>1876</v>
      </c>
      <c r="C890" s="1">
        <v>45634</v>
      </c>
      <c r="D890" s="1" t="str">
        <f>TEXT(Payments_Cleaned[[#This Row],[payment_date]],"mmm-yyyy")</f>
        <v>Dec-2024</v>
      </c>
      <c r="E890" s="2">
        <v>1302.42</v>
      </c>
      <c r="F890" t="s">
        <v>4694</v>
      </c>
      <c r="G890" s="2">
        <v>449.43</v>
      </c>
    </row>
    <row r="891" spans="1:7" x14ac:dyDescent="0.35">
      <c r="A891" t="s">
        <v>5584</v>
      </c>
      <c r="B891" t="s">
        <v>1877</v>
      </c>
      <c r="C891" s="1">
        <v>45518</v>
      </c>
      <c r="D891" s="1" t="str">
        <f>TEXT(Payments_Cleaned[[#This Row],[payment_date]],"mmm-yyyy")</f>
        <v>Aug-2024</v>
      </c>
      <c r="E891" s="2">
        <v>639.77</v>
      </c>
      <c r="F891" t="s">
        <v>4694</v>
      </c>
      <c r="G891" s="2">
        <v>81.27</v>
      </c>
    </row>
    <row r="892" spans="1:7" x14ac:dyDescent="0.35">
      <c r="A892" t="s">
        <v>5585</v>
      </c>
      <c r="B892" t="s">
        <v>1878</v>
      </c>
      <c r="C892" s="1">
        <v>45060</v>
      </c>
      <c r="D892" s="1" t="str">
        <f>TEXT(Payments_Cleaned[[#This Row],[payment_date]],"mmm-yyyy")</f>
        <v>May-2023</v>
      </c>
      <c r="E892" s="2">
        <v>3073.18</v>
      </c>
      <c r="F892" t="s">
        <v>4694</v>
      </c>
      <c r="G892" s="2">
        <v>372.67</v>
      </c>
    </row>
    <row r="893" spans="1:7" x14ac:dyDescent="0.35">
      <c r="A893" t="s">
        <v>5586</v>
      </c>
      <c r="B893" t="s">
        <v>1879</v>
      </c>
      <c r="C893" s="1">
        <v>45163</v>
      </c>
      <c r="D893" s="1" t="str">
        <f>TEXT(Payments_Cleaned[[#This Row],[payment_date]],"mmm-yyyy")</f>
        <v>Aug-2023</v>
      </c>
      <c r="E893" s="2">
        <v>94.58</v>
      </c>
      <c r="F893" t="s">
        <v>4694</v>
      </c>
      <c r="G893" s="2">
        <v>34.83</v>
      </c>
    </row>
    <row r="894" spans="1:7" x14ac:dyDescent="0.35">
      <c r="A894" t="s">
        <v>5587</v>
      </c>
      <c r="B894" t="s">
        <v>1880</v>
      </c>
      <c r="C894" s="1">
        <v>45379</v>
      </c>
      <c r="D894" s="1" t="str">
        <f>TEXT(Payments_Cleaned[[#This Row],[payment_date]],"mmm-yyyy")</f>
        <v>Mar-2024</v>
      </c>
      <c r="E894" s="2">
        <v>1215.58</v>
      </c>
      <c r="F894" t="s">
        <v>4694</v>
      </c>
      <c r="G894" s="2">
        <v>643.79</v>
      </c>
    </row>
    <row r="895" spans="1:7" x14ac:dyDescent="0.35">
      <c r="A895" t="s">
        <v>5588</v>
      </c>
      <c r="B895" t="s">
        <v>1883</v>
      </c>
      <c r="C895" s="1">
        <v>45529</v>
      </c>
      <c r="D895" s="1" t="str">
        <f>TEXT(Payments_Cleaned[[#This Row],[payment_date]],"mmm-yyyy")</f>
        <v>Aug-2024</v>
      </c>
      <c r="E895" s="2">
        <v>167.13</v>
      </c>
      <c r="F895" t="s">
        <v>4694</v>
      </c>
      <c r="G895" s="2">
        <v>37.39</v>
      </c>
    </row>
    <row r="896" spans="1:7" x14ac:dyDescent="0.35">
      <c r="A896" t="s">
        <v>5589</v>
      </c>
      <c r="B896" t="s">
        <v>1884</v>
      </c>
      <c r="C896" s="1">
        <v>45109</v>
      </c>
      <c r="D896" s="1" t="str">
        <f>TEXT(Payments_Cleaned[[#This Row],[payment_date]],"mmm-yyyy")</f>
        <v>Jul-2023</v>
      </c>
      <c r="E896" s="2">
        <v>287.23</v>
      </c>
      <c r="F896" t="s">
        <v>4694</v>
      </c>
      <c r="G896" s="2">
        <v>136.08000000000001</v>
      </c>
    </row>
    <row r="897" spans="1:7" x14ac:dyDescent="0.35">
      <c r="A897" t="s">
        <v>5590</v>
      </c>
      <c r="B897" t="s">
        <v>1888</v>
      </c>
      <c r="C897" s="1">
        <v>44981</v>
      </c>
      <c r="D897" s="1" t="str">
        <f>TEXT(Payments_Cleaned[[#This Row],[payment_date]],"mmm-yyyy")</f>
        <v>Feb-2023</v>
      </c>
      <c r="E897" s="2">
        <v>388.5</v>
      </c>
      <c r="F897" t="s">
        <v>4694</v>
      </c>
      <c r="G897" s="2">
        <v>51.4</v>
      </c>
    </row>
    <row r="898" spans="1:7" x14ac:dyDescent="0.35">
      <c r="A898" t="s">
        <v>5591</v>
      </c>
      <c r="B898" t="s">
        <v>1889</v>
      </c>
      <c r="C898" s="1">
        <v>45550</v>
      </c>
      <c r="D898" s="1" t="str">
        <f>TEXT(Payments_Cleaned[[#This Row],[payment_date]],"mmm-yyyy")</f>
        <v>Sep-2024</v>
      </c>
      <c r="E898" s="2">
        <v>365.42</v>
      </c>
      <c r="F898" t="s">
        <v>4694</v>
      </c>
      <c r="G898" s="2">
        <v>159.38999999999999</v>
      </c>
    </row>
    <row r="899" spans="1:7" x14ac:dyDescent="0.35">
      <c r="A899" t="s">
        <v>5592</v>
      </c>
      <c r="B899" t="s">
        <v>1890</v>
      </c>
      <c r="C899" s="1">
        <v>45336</v>
      </c>
      <c r="D899" s="1" t="str">
        <f>TEXT(Payments_Cleaned[[#This Row],[payment_date]],"mmm-yyyy")</f>
        <v>Feb-2024</v>
      </c>
      <c r="E899" s="2">
        <v>373.73</v>
      </c>
      <c r="F899" t="s">
        <v>4694</v>
      </c>
      <c r="G899" s="2">
        <v>54.87</v>
      </c>
    </row>
    <row r="900" spans="1:7" x14ac:dyDescent="0.35">
      <c r="A900" t="s">
        <v>5593</v>
      </c>
      <c r="B900" t="s">
        <v>1891</v>
      </c>
      <c r="C900" s="1">
        <v>45410</v>
      </c>
      <c r="D900" s="1" t="str">
        <f>TEXT(Payments_Cleaned[[#This Row],[payment_date]],"mmm-yyyy")</f>
        <v>Apr-2024</v>
      </c>
      <c r="E900" s="2">
        <v>1093.1500000000001</v>
      </c>
      <c r="F900" t="s">
        <v>4694</v>
      </c>
      <c r="G900" s="2">
        <v>447.05</v>
      </c>
    </row>
    <row r="901" spans="1:7" x14ac:dyDescent="0.35">
      <c r="A901" t="s">
        <v>5594</v>
      </c>
      <c r="B901" t="s">
        <v>1892</v>
      </c>
      <c r="C901" s="1">
        <v>45204</v>
      </c>
      <c r="D901" s="1" t="str">
        <f>TEXT(Payments_Cleaned[[#This Row],[payment_date]],"mmm-yyyy")</f>
        <v>Oct-2023</v>
      </c>
      <c r="E901" s="2">
        <v>99.41</v>
      </c>
      <c r="F901" t="s">
        <v>4694</v>
      </c>
      <c r="G901" s="2">
        <v>48.91</v>
      </c>
    </row>
    <row r="902" spans="1:7" x14ac:dyDescent="0.35">
      <c r="A902" t="s">
        <v>5595</v>
      </c>
      <c r="B902" t="s">
        <v>1893</v>
      </c>
      <c r="C902" s="1">
        <v>45512</v>
      </c>
      <c r="D902" s="1" t="str">
        <f>TEXT(Payments_Cleaned[[#This Row],[payment_date]],"mmm-yyyy")</f>
        <v>Aug-2024</v>
      </c>
      <c r="E902" s="2">
        <v>476.51</v>
      </c>
      <c r="F902" t="s">
        <v>4694</v>
      </c>
      <c r="G902" s="2">
        <v>62.39</v>
      </c>
    </row>
    <row r="903" spans="1:7" x14ac:dyDescent="0.35">
      <c r="A903" t="s">
        <v>5596</v>
      </c>
      <c r="B903" t="s">
        <v>1894</v>
      </c>
      <c r="C903" s="1">
        <v>45634</v>
      </c>
      <c r="D903" s="1" t="str">
        <f>TEXT(Payments_Cleaned[[#This Row],[payment_date]],"mmm-yyyy")</f>
        <v>Dec-2024</v>
      </c>
      <c r="E903" s="2">
        <v>38.159999999999997</v>
      </c>
      <c r="F903" t="s">
        <v>4694</v>
      </c>
      <c r="G903" s="2">
        <v>7.04</v>
      </c>
    </row>
    <row r="904" spans="1:7" x14ac:dyDescent="0.35">
      <c r="A904" t="s">
        <v>5597</v>
      </c>
      <c r="B904" t="s">
        <v>1897</v>
      </c>
      <c r="C904" s="1">
        <v>45537</v>
      </c>
      <c r="D904" s="1" t="str">
        <f>TEXT(Payments_Cleaned[[#This Row],[payment_date]],"mmm-yyyy")</f>
        <v>Sep-2024</v>
      </c>
      <c r="E904" s="2">
        <v>120.8</v>
      </c>
      <c r="F904" t="s">
        <v>4697</v>
      </c>
      <c r="G904" s="2">
        <v>67.38</v>
      </c>
    </row>
    <row r="905" spans="1:7" x14ac:dyDescent="0.35">
      <c r="A905" t="s">
        <v>5598</v>
      </c>
      <c r="B905" t="s">
        <v>1899</v>
      </c>
      <c r="C905" s="1">
        <v>45229</v>
      </c>
      <c r="D905" s="1" t="str">
        <f>TEXT(Payments_Cleaned[[#This Row],[payment_date]],"mmm-yyyy")</f>
        <v>Oct-2023</v>
      </c>
      <c r="E905" s="2">
        <v>1221.8</v>
      </c>
      <c r="F905" t="s">
        <v>4694</v>
      </c>
      <c r="G905" s="2">
        <v>189.43</v>
      </c>
    </row>
    <row r="906" spans="1:7" x14ac:dyDescent="0.35">
      <c r="A906" t="s">
        <v>5599</v>
      </c>
      <c r="B906" t="s">
        <v>1901</v>
      </c>
      <c r="C906" s="1">
        <v>45411</v>
      </c>
      <c r="D906" s="1" t="str">
        <f>TEXT(Payments_Cleaned[[#This Row],[payment_date]],"mmm-yyyy")</f>
        <v>Apr-2024</v>
      </c>
      <c r="E906" s="2">
        <v>5688.74</v>
      </c>
      <c r="F906" t="s">
        <v>4694</v>
      </c>
      <c r="G906" s="2">
        <v>614.16999999999996</v>
      </c>
    </row>
    <row r="907" spans="1:7" x14ac:dyDescent="0.35">
      <c r="A907" t="s">
        <v>5600</v>
      </c>
      <c r="B907" t="s">
        <v>1902</v>
      </c>
      <c r="C907" s="1">
        <v>45359</v>
      </c>
      <c r="D907" s="1" t="str">
        <f>TEXT(Payments_Cleaned[[#This Row],[payment_date]],"mmm-yyyy")</f>
        <v>Mar-2024</v>
      </c>
      <c r="E907" s="2">
        <v>4328.8</v>
      </c>
      <c r="F907" t="s">
        <v>4694</v>
      </c>
      <c r="G907" s="2">
        <v>1199.68</v>
      </c>
    </row>
    <row r="908" spans="1:7" x14ac:dyDescent="0.35">
      <c r="A908" t="s">
        <v>5601</v>
      </c>
      <c r="B908" t="s">
        <v>1903</v>
      </c>
      <c r="C908" s="1">
        <v>45255</v>
      </c>
      <c r="D908" s="1" t="str">
        <f>TEXT(Payments_Cleaned[[#This Row],[payment_date]],"mmm-yyyy")</f>
        <v>Nov-2023</v>
      </c>
      <c r="E908" s="2">
        <v>134.55000000000001</v>
      </c>
      <c r="F908" t="s">
        <v>4694</v>
      </c>
      <c r="G908" s="2">
        <v>31.48</v>
      </c>
    </row>
    <row r="909" spans="1:7" x14ac:dyDescent="0.35">
      <c r="A909" t="s">
        <v>5602</v>
      </c>
      <c r="B909" t="s">
        <v>1904</v>
      </c>
      <c r="C909" s="1">
        <v>45519</v>
      </c>
      <c r="D909" s="1" t="str">
        <f>TEXT(Payments_Cleaned[[#This Row],[payment_date]],"mmm-yyyy")</f>
        <v>Aug-2024</v>
      </c>
      <c r="E909" s="2">
        <v>3431.59</v>
      </c>
      <c r="F909" t="s">
        <v>4694</v>
      </c>
      <c r="G909" s="2">
        <v>1616.19</v>
      </c>
    </row>
    <row r="910" spans="1:7" x14ac:dyDescent="0.35">
      <c r="A910" t="s">
        <v>5603</v>
      </c>
      <c r="B910" t="s">
        <v>1906</v>
      </c>
      <c r="C910" s="1">
        <v>45400</v>
      </c>
      <c r="D910" s="1" t="str">
        <f>TEXT(Payments_Cleaned[[#This Row],[payment_date]],"mmm-yyyy")</f>
        <v>Apr-2024</v>
      </c>
      <c r="E910" s="2">
        <v>131.36000000000001</v>
      </c>
      <c r="F910" t="s">
        <v>4694</v>
      </c>
      <c r="G910" s="2">
        <v>16.59</v>
      </c>
    </row>
    <row r="911" spans="1:7" x14ac:dyDescent="0.35">
      <c r="A911" t="s">
        <v>5604</v>
      </c>
      <c r="B911" t="s">
        <v>1907</v>
      </c>
      <c r="C911" s="1">
        <v>45163</v>
      </c>
      <c r="D911" s="1" t="str">
        <f>TEXT(Payments_Cleaned[[#This Row],[payment_date]],"mmm-yyyy")</f>
        <v>Aug-2023</v>
      </c>
      <c r="E911" s="2">
        <v>103.19</v>
      </c>
      <c r="F911" t="s">
        <v>4694</v>
      </c>
      <c r="G911" s="2">
        <v>55.44</v>
      </c>
    </row>
    <row r="912" spans="1:7" x14ac:dyDescent="0.35">
      <c r="A912" t="s">
        <v>5605</v>
      </c>
      <c r="B912" t="s">
        <v>1908</v>
      </c>
      <c r="C912" s="1">
        <v>45545</v>
      </c>
      <c r="D912" s="1" t="str">
        <f>TEXT(Payments_Cleaned[[#This Row],[payment_date]],"mmm-yyyy")</f>
        <v>Sep-2024</v>
      </c>
      <c r="E912" s="2">
        <v>338.8</v>
      </c>
      <c r="F912" t="s">
        <v>4694</v>
      </c>
      <c r="G912" s="2">
        <v>160.46</v>
      </c>
    </row>
    <row r="913" spans="1:7" x14ac:dyDescent="0.35">
      <c r="A913" t="s">
        <v>5606</v>
      </c>
      <c r="B913" t="s">
        <v>1909</v>
      </c>
      <c r="C913" s="1">
        <v>45661</v>
      </c>
      <c r="D913" s="1" t="str">
        <f>TEXT(Payments_Cleaned[[#This Row],[payment_date]],"mmm-yyyy")</f>
        <v>Jan-2025</v>
      </c>
      <c r="E913" s="2">
        <v>747.03</v>
      </c>
      <c r="F913" t="s">
        <v>4694</v>
      </c>
      <c r="G913" s="2">
        <v>96.16</v>
      </c>
    </row>
    <row r="914" spans="1:7" x14ac:dyDescent="0.35">
      <c r="A914" t="s">
        <v>5607</v>
      </c>
      <c r="B914" t="s">
        <v>1910</v>
      </c>
      <c r="C914" s="1">
        <v>45244</v>
      </c>
      <c r="D914" s="1" t="str">
        <f>TEXT(Payments_Cleaned[[#This Row],[payment_date]],"mmm-yyyy")</f>
        <v>Nov-2023</v>
      </c>
      <c r="E914" s="2">
        <v>2945.69</v>
      </c>
      <c r="F914" t="s">
        <v>4694</v>
      </c>
      <c r="G914" s="2">
        <v>711.37</v>
      </c>
    </row>
    <row r="915" spans="1:7" x14ac:dyDescent="0.35">
      <c r="A915" t="s">
        <v>5608</v>
      </c>
      <c r="B915" t="s">
        <v>1911</v>
      </c>
      <c r="C915" s="1">
        <v>45186</v>
      </c>
      <c r="D915" s="1" t="str">
        <f>TEXT(Payments_Cleaned[[#This Row],[payment_date]],"mmm-yyyy")</f>
        <v>Sep-2023</v>
      </c>
      <c r="E915" s="2">
        <v>1136.01</v>
      </c>
      <c r="F915" t="s">
        <v>4697</v>
      </c>
      <c r="G915" s="2">
        <v>654.13</v>
      </c>
    </row>
    <row r="916" spans="1:7" x14ac:dyDescent="0.35">
      <c r="A916" t="s">
        <v>5609</v>
      </c>
      <c r="B916" t="s">
        <v>1915</v>
      </c>
      <c r="C916" s="1">
        <v>45463</v>
      </c>
      <c r="D916" s="1" t="str">
        <f>TEXT(Payments_Cleaned[[#This Row],[payment_date]],"mmm-yyyy")</f>
        <v>Jun-2024</v>
      </c>
      <c r="E916" s="2">
        <v>577.66999999999996</v>
      </c>
      <c r="F916" t="s">
        <v>4694</v>
      </c>
      <c r="G916" s="2">
        <v>288.92</v>
      </c>
    </row>
    <row r="917" spans="1:7" x14ac:dyDescent="0.35">
      <c r="A917" t="s">
        <v>5610</v>
      </c>
      <c r="B917" t="s">
        <v>1916</v>
      </c>
      <c r="C917" s="1">
        <v>45387</v>
      </c>
      <c r="D917" s="1" t="str">
        <f>TEXT(Payments_Cleaned[[#This Row],[payment_date]],"mmm-yyyy")</f>
        <v>Apr-2024</v>
      </c>
      <c r="E917" s="2">
        <v>5798.39</v>
      </c>
      <c r="F917" t="s">
        <v>4694</v>
      </c>
      <c r="G917" s="2">
        <v>1619.33</v>
      </c>
    </row>
    <row r="918" spans="1:7" x14ac:dyDescent="0.35">
      <c r="A918" t="s">
        <v>5611</v>
      </c>
      <c r="B918" t="s">
        <v>1917</v>
      </c>
      <c r="C918" s="1">
        <v>45426</v>
      </c>
      <c r="D918" s="1" t="str">
        <f>TEXT(Payments_Cleaned[[#This Row],[payment_date]],"mmm-yyyy")</f>
        <v>May-2024</v>
      </c>
      <c r="E918" s="2">
        <v>83.14</v>
      </c>
      <c r="F918" t="s">
        <v>4697</v>
      </c>
      <c r="G918" s="2">
        <v>26.64</v>
      </c>
    </row>
    <row r="919" spans="1:7" x14ac:dyDescent="0.35">
      <c r="A919" t="s">
        <v>5612</v>
      </c>
      <c r="B919" t="s">
        <v>1918</v>
      </c>
      <c r="C919" s="1">
        <v>45177</v>
      </c>
      <c r="D919" s="1" t="str">
        <f>TEXT(Payments_Cleaned[[#This Row],[payment_date]],"mmm-yyyy")</f>
        <v>Sep-2023</v>
      </c>
      <c r="E919" s="2">
        <v>129.9</v>
      </c>
      <c r="F919" t="s">
        <v>4694</v>
      </c>
      <c r="G919" s="2">
        <v>14.16</v>
      </c>
    </row>
    <row r="920" spans="1:7" x14ac:dyDescent="0.35">
      <c r="A920" t="s">
        <v>5613</v>
      </c>
      <c r="B920" t="s">
        <v>1919</v>
      </c>
      <c r="C920" s="1">
        <v>45583</v>
      </c>
      <c r="D920" s="1" t="str">
        <f>TEXT(Payments_Cleaned[[#This Row],[payment_date]],"mmm-yyyy")</f>
        <v>Oct-2024</v>
      </c>
      <c r="E920" s="2">
        <v>342.25</v>
      </c>
      <c r="F920" t="s">
        <v>4694</v>
      </c>
      <c r="G920" s="2">
        <v>81.25</v>
      </c>
    </row>
    <row r="921" spans="1:7" x14ac:dyDescent="0.35">
      <c r="A921" t="s">
        <v>5614</v>
      </c>
      <c r="B921" t="s">
        <v>1921</v>
      </c>
      <c r="C921" s="1">
        <v>45663</v>
      </c>
      <c r="D921" s="1" t="str">
        <f>TEXT(Payments_Cleaned[[#This Row],[payment_date]],"mmm-yyyy")</f>
        <v>Jan-2025</v>
      </c>
      <c r="E921" s="2">
        <v>307.93</v>
      </c>
      <c r="F921" t="s">
        <v>4694</v>
      </c>
      <c r="G921" s="2">
        <v>32.79</v>
      </c>
    </row>
    <row r="922" spans="1:7" x14ac:dyDescent="0.35">
      <c r="A922" t="s">
        <v>5615</v>
      </c>
      <c r="B922" t="s">
        <v>1926</v>
      </c>
      <c r="C922" s="1">
        <v>45636</v>
      </c>
      <c r="D922" s="1" t="str">
        <f>TEXT(Payments_Cleaned[[#This Row],[payment_date]],"mmm-yyyy")</f>
        <v>Dec-2024</v>
      </c>
      <c r="E922" s="2">
        <v>404.05</v>
      </c>
      <c r="F922" t="s">
        <v>4694</v>
      </c>
      <c r="G922" s="2">
        <v>23.25</v>
      </c>
    </row>
    <row r="923" spans="1:7" x14ac:dyDescent="0.35">
      <c r="A923" t="s">
        <v>5616</v>
      </c>
      <c r="B923" t="s">
        <v>1927</v>
      </c>
      <c r="C923" s="1">
        <v>45458</v>
      </c>
      <c r="D923" s="1" t="str">
        <f>TEXT(Payments_Cleaned[[#This Row],[payment_date]],"mmm-yyyy")</f>
        <v>Jun-2024</v>
      </c>
      <c r="E923" s="2">
        <v>6115.3</v>
      </c>
      <c r="F923" t="s">
        <v>4694</v>
      </c>
      <c r="G923" s="2">
        <v>1197.1500000000001</v>
      </c>
    </row>
    <row r="924" spans="1:7" x14ac:dyDescent="0.35">
      <c r="A924" t="s">
        <v>5617</v>
      </c>
      <c r="B924" t="s">
        <v>1928</v>
      </c>
      <c r="C924" s="1">
        <v>45546</v>
      </c>
      <c r="D924" s="1" t="str">
        <f>TEXT(Payments_Cleaned[[#This Row],[payment_date]],"mmm-yyyy")</f>
        <v>Sep-2024</v>
      </c>
      <c r="E924" s="2">
        <v>420.65</v>
      </c>
      <c r="F924" t="s">
        <v>4694</v>
      </c>
      <c r="G924" s="2">
        <v>147.88</v>
      </c>
    </row>
    <row r="925" spans="1:7" x14ac:dyDescent="0.35">
      <c r="A925" t="s">
        <v>5618</v>
      </c>
      <c r="B925" t="s">
        <v>1929</v>
      </c>
      <c r="C925" s="1">
        <v>45636</v>
      </c>
      <c r="D925" s="1" t="str">
        <f>TEXT(Payments_Cleaned[[#This Row],[payment_date]],"mmm-yyyy")</f>
        <v>Dec-2024</v>
      </c>
      <c r="E925" s="2">
        <v>312.14</v>
      </c>
      <c r="F925" t="s">
        <v>4694</v>
      </c>
      <c r="G925" s="2">
        <v>58.33</v>
      </c>
    </row>
    <row r="926" spans="1:7" x14ac:dyDescent="0.35">
      <c r="A926" t="s">
        <v>5619</v>
      </c>
      <c r="B926" t="s">
        <v>1930</v>
      </c>
      <c r="C926" s="1">
        <v>45230</v>
      </c>
      <c r="D926" s="1" t="str">
        <f>TEXT(Payments_Cleaned[[#This Row],[payment_date]],"mmm-yyyy")</f>
        <v>Oct-2023</v>
      </c>
      <c r="E926" s="2">
        <v>282.56</v>
      </c>
      <c r="F926" t="s">
        <v>4694</v>
      </c>
      <c r="G926" s="2">
        <v>72.86</v>
      </c>
    </row>
    <row r="927" spans="1:7" x14ac:dyDescent="0.35">
      <c r="A927" t="s">
        <v>5620</v>
      </c>
      <c r="B927" t="s">
        <v>1931</v>
      </c>
      <c r="C927" s="1">
        <v>45544</v>
      </c>
      <c r="D927" s="1" t="str">
        <f>TEXT(Payments_Cleaned[[#This Row],[payment_date]],"mmm-yyyy")</f>
        <v>Sep-2024</v>
      </c>
      <c r="E927" s="2">
        <v>505.78</v>
      </c>
      <c r="F927" t="s">
        <v>4694</v>
      </c>
      <c r="G927" s="2">
        <v>174.44</v>
      </c>
    </row>
    <row r="928" spans="1:7" x14ac:dyDescent="0.35">
      <c r="A928" t="s">
        <v>5621</v>
      </c>
      <c r="B928" t="s">
        <v>1932</v>
      </c>
      <c r="C928" s="1">
        <v>45211</v>
      </c>
      <c r="D928" s="1" t="str">
        <f>TEXT(Payments_Cleaned[[#This Row],[payment_date]],"mmm-yyyy")</f>
        <v>Oct-2023</v>
      </c>
      <c r="E928" s="2">
        <v>143.78</v>
      </c>
      <c r="F928" t="s">
        <v>4694</v>
      </c>
      <c r="G928" s="2">
        <v>75.010000000000005</v>
      </c>
    </row>
    <row r="929" spans="1:7" x14ac:dyDescent="0.35">
      <c r="A929" t="s">
        <v>5622</v>
      </c>
      <c r="B929" t="s">
        <v>1935</v>
      </c>
      <c r="C929" s="1">
        <v>45666</v>
      </c>
      <c r="D929" s="1" t="str">
        <f>TEXT(Payments_Cleaned[[#This Row],[payment_date]],"mmm-yyyy")</f>
        <v>Jan-2025</v>
      </c>
      <c r="E929" s="2">
        <v>95.72</v>
      </c>
      <c r="F929" t="s">
        <v>4694</v>
      </c>
      <c r="G929" s="2">
        <v>54.1</v>
      </c>
    </row>
    <row r="930" spans="1:7" x14ac:dyDescent="0.35">
      <c r="A930" t="s">
        <v>5623</v>
      </c>
      <c r="B930" t="s">
        <v>1936</v>
      </c>
      <c r="C930" s="1">
        <v>45029</v>
      </c>
      <c r="D930" s="1" t="str">
        <f>TEXT(Payments_Cleaned[[#This Row],[payment_date]],"mmm-yyyy")</f>
        <v>Apr-2023</v>
      </c>
      <c r="E930" s="2">
        <v>933.36</v>
      </c>
      <c r="F930" t="s">
        <v>4694</v>
      </c>
      <c r="G930" s="2">
        <v>450.44</v>
      </c>
    </row>
    <row r="931" spans="1:7" x14ac:dyDescent="0.35">
      <c r="A931" t="s">
        <v>5624</v>
      </c>
      <c r="B931" t="s">
        <v>1937</v>
      </c>
      <c r="C931" s="1">
        <v>45415</v>
      </c>
      <c r="D931" s="1" t="str">
        <f>TEXT(Payments_Cleaned[[#This Row],[payment_date]],"mmm-yyyy")</f>
        <v>May-2024</v>
      </c>
      <c r="E931" s="2">
        <v>558.34</v>
      </c>
      <c r="F931" t="s">
        <v>4694</v>
      </c>
      <c r="G931" s="2">
        <v>231.31</v>
      </c>
    </row>
    <row r="932" spans="1:7" x14ac:dyDescent="0.35">
      <c r="A932" t="s">
        <v>5625</v>
      </c>
      <c r="B932" t="s">
        <v>1938</v>
      </c>
      <c r="C932" s="1">
        <v>45278</v>
      </c>
      <c r="D932" s="1" t="str">
        <f>TEXT(Payments_Cleaned[[#This Row],[payment_date]],"mmm-yyyy")</f>
        <v>Dec-2023</v>
      </c>
      <c r="E932" s="2">
        <v>1683.92</v>
      </c>
      <c r="F932" t="s">
        <v>4694</v>
      </c>
      <c r="G932" s="2">
        <v>696.62</v>
      </c>
    </row>
    <row r="933" spans="1:7" x14ac:dyDescent="0.35">
      <c r="A933" t="s">
        <v>5626</v>
      </c>
      <c r="B933" t="s">
        <v>1940</v>
      </c>
      <c r="C933" s="1">
        <v>45318</v>
      </c>
      <c r="D933" s="1" t="str">
        <f>TEXT(Payments_Cleaned[[#This Row],[payment_date]],"mmm-yyyy")</f>
        <v>Jan-2024</v>
      </c>
      <c r="E933" s="2">
        <v>1105.56</v>
      </c>
      <c r="F933" t="s">
        <v>4694</v>
      </c>
      <c r="G933" s="2">
        <v>524.05999999999995</v>
      </c>
    </row>
    <row r="934" spans="1:7" x14ac:dyDescent="0.35">
      <c r="A934" t="s">
        <v>5627</v>
      </c>
      <c r="B934" t="s">
        <v>1941</v>
      </c>
      <c r="C934" s="1">
        <v>45556</v>
      </c>
      <c r="D934" s="1" t="str">
        <f>TEXT(Payments_Cleaned[[#This Row],[payment_date]],"mmm-yyyy")</f>
        <v>Sep-2024</v>
      </c>
      <c r="E934" s="2">
        <v>329.72</v>
      </c>
      <c r="F934" t="s">
        <v>4694</v>
      </c>
      <c r="G934" s="2">
        <v>61.1</v>
      </c>
    </row>
    <row r="935" spans="1:7" x14ac:dyDescent="0.35">
      <c r="A935" t="s">
        <v>5628</v>
      </c>
      <c r="B935" t="s">
        <v>1944</v>
      </c>
      <c r="C935" s="1">
        <v>45273</v>
      </c>
      <c r="D935" s="1" t="str">
        <f>TEXT(Payments_Cleaned[[#This Row],[payment_date]],"mmm-yyyy")</f>
        <v>Dec-2023</v>
      </c>
      <c r="E935" s="2">
        <v>251.42</v>
      </c>
      <c r="F935" t="s">
        <v>4694</v>
      </c>
      <c r="G935" s="2">
        <v>36.549999999999997</v>
      </c>
    </row>
    <row r="936" spans="1:7" x14ac:dyDescent="0.35">
      <c r="A936" t="s">
        <v>5629</v>
      </c>
      <c r="B936" t="s">
        <v>1945</v>
      </c>
      <c r="C936" s="1">
        <v>45138</v>
      </c>
      <c r="D936" s="1" t="str">
        <f>TEXT(Payments_Cleaned[[#This Row],[payment_date]],"mmm-yyyy")</f>
        <v>Jul-2023</v>
      </c>
      <c r="E936" s="2">
        <v>5705.06</v>
      </c>
      <c r="F936" t="s">
        <v>4694</v>
      </c>
      <c r="G936" s="2">
        <v>323.14</v>
      </c>
    </row>
    <row r="937" spans="1:7" x14ac:dyDescent="0.35">
      <c r="A937" t="s">
        <v>5630</v>
      </c>
      <c r="B937" t="s">
        <v>1946</v>
      </c>
      <c r="C937" s="1">
        <v>45366</v>
      </c>
      <c r="D937" s="1" t="str">
        <f>TEXT(Payments_Cleaned[[#This Row],[payment_date]],"mmm-yyyy")</f>
        <v>Mar-2024</v>
      </c>
      <c r="E937" s="2">
        <v>3615.17</v>
      </c>
      <c r="F937" t="s">
        <v>4694</v>
      </c>
      <c r="G937" s="2">
        <v>1201.05</v>
      </c>
    </row>
    <row r="938" spans="1:7" x14ac:dyDescent="0.35">
      <c r="A938" t="s">
        <v>5631</v>
      </c>
      <c r="B938" t="s">
        <v>1947</v>
      </c>
      <c r="C938" s="1">
        <v>45214</v>
      </c>
      <c r="D938" s="1" t="str">
        <f>TEXT(Payments_Cleaned[[#This Row],[payment_date]],"mmm-yyyy")</f>
        <v>Oct-2023</v>
      </c>
      <c r="E938" s="2">
        <v>239.56</v>
      </c>
      <c r="F938" t="s">
        <v>4694</v>
      </c>
      <c r="G938" s="2">
        <v>39.39</v>
      </c>
    </row>
    <row r="939" spans="1:7" x14ac:dyDescent="0.35">
      <c r="A939" t="s">
        <v>5632</v>
      </c>
      <c r="B939" t="s">
        <v>1948</v>
      </c>
      <c r="C939" s="1">
        <v>45586</v>
      </c>
      <c r="D939" s="1" t="str">
        <f>TEXT(Payments_Cleaned[[#This Row],[payment_date]],"mmm-yyyy")</f>
        <v>Oct-2024</v>
      </c>
      <c r="E939" s="2">
        <v>4172.03</v>
      </c>
      <c r="F939" t="s">
        <v>4694</v>
      </c>
      <c r="G939" s="2">
        <v>563.61</v>
      </c>
    </row>
    <row r="940" spans="1:7" x14ac:dyDescent="0.35">
      <c r="A940" t="s">
        <v>5633</v>
      </c>
      <c r="B940" t="s">
        <v>1949</v>
      </c>
      <c r="C940" s="1">
        <v>45539</v>
      </c>
      <c r="D940" s="1" t="str">
        <f>TEXT(Payments_Cleaned[[#This Row],[payment_date]],"mmm-yyyy")</f>
        <v>Sep-2024</v>
      </c>
      <c r="E940" s="2">
        <v>741.07</v>
      </c>
      <c r="F940" t="s">
        <v>4697</v>
      </c>
      <c r="G940" s="2">
        <v>105.51</v>
      </c>
    </row>
    <row r="941" spans="1:7" x14ac:dyDescent="0.35">
      <c r="A941" t="s">
        <v>5634</v>
      </c>
      <c r="B941" t="s">
        <v>1950</v>
      </c>
      <c r="C941" s="1">
        <v>45063</v>
      </c>
      <c r="D941" s="1" t="str">
        <f>TEXT(Payments_Cleaned[[#This Row],[payment_date]],"mmm-yyyy")</f>
        <v>May-2023</v>
      </c>
      <c r="E941" s="2">
        <v>350.94</v>
      </c>
      <c r="F941" t="s">
        <v>4694</v>
      </c>
      <c r="G941" s="2">
        <v>142.93</v>
      </c>
    </row>
    <row r="942" spans="1:7" x14ac:dyDescent="0.35">
      <c r="A942" t="s">
        <v>5635</v>
      </c>
      <c r="B942" t="s">
        <v>1951</v>
      </c>
      <c r="C942" s="1">
        <v>45321</v>
      </c>
      <c r="D942" s="1" t="str">
        <f>TEXT(Payments_Cleaned[[#This Row],[payment_date]],"mmm-yyyy")</f>
        <v>Jan-2024</v>
      </c>
      <c r="E942" s="2">
        <v>39.76</v>
      </c>
      <c r="F942" t="s">
        <v>4694</v>
      </c>
      <c r="G942" s="2">
        <v>5.29</v>
      </c>
    </row>
    <row r="943" spans="1:7" x14ac:dyDescent="0.35">
      <c r="A943" t="s">
        <v>5636</v>
      </c>
      <c r="B943" t="s">
        <v>1952</v>
      </c>
      <c r="C943" s="1">
        <v>45232</v>
      </c>
      <c r="D943" s="1" t="str">
        <f>TEXT(Payments_Cleaned[[#This Row],[payment_date]],"mmm-yyyy")</f>
        <v>Nov-2023</v>
      </c>
      <c r="E943" s="2">
        <v>84.23</v>
      </c>
      <c r="F943" t="s">
        <v>4697</v>
      </c>
      <c r="G943" s="2">
        <v>14.45</v>
      </c>
    </row>
    <row r="944" spans="1:7" x14ac:dyDescent="0.35">
      <c r="A944" t="s">
        <v>5637</v>
      </c>
      <c r="B944" t="s">
        <v>1953</v>
      </c>
      <c r="C944" s="1">
        <v>45592</v>
      </c>
      <c r="D944" s="1" t="str">
        <f>TEXT(Payments_Cleaned[[#This Row],[payment_date]],"mmm-yyyy")</f>
        <v>Oct-2024</v>
      </c>
      <c r="E944" s="2">
        <v>160.22999999999999</v>
      </c>
      <c r="F944" t="s">
        <v>4694</v>
      </c>
      <c r="G944" s="2">
        <v>84.72</v>
      </c>
    </row>
    <row r="945" spans="1:7" x14ac:dyDescent="0.35">
      <c r="A945" t="s">
        <v>5638</v>
      </c>
      <c r="B945" t="s">
        <v>1954</v>
      </c>
      <c r="C945" s="1">
        <v>45201</v>
      </c>
      <c r="D945" s="1" t="str">
        <f>TEXT(Payments_Cleaned[[#This Row],[payment_date]],"mmm-yyyy")</f>
        <v>Oct-2023</v>
      </c>
      <c r="E945" s="2">
        <v>6759.36</v>
      </c>
      <c r="F945" t="s">
        <v>4694</v>
      </c>
      <c r="G945" s="2">
        <v>1211.24</v>
      </c>
    </row>
    <row r="946" spans="1:7" x14ac:dyDescent="0.35">
      <c r="A946" t="s">
        <v>5639</v>
      </c>
      <c r="B946" t="s">
        <v>1955</v>
      </c>
      <c r="C946" s="1">
        <v>45414</v>
      </c>
      <c r="D946" s="1" t="str">
        <f>TEXT(Payments_Cleaned[[#This Row],[payment_date]],"mmm-yyyy")</f>
        <v>May-2024</v>
      </c>
      <c r="E946" s="2">
        <v>142.91999999999999</v>
      </c>
      <c r="F946" t="s">
        <v>4694</v>
      </c>
      <c r="G946" s="2">
        <v>29.91</v>
      </c>
    </row>
    <row r="947" spans="1:7" x14ac:dyDescent="0.35">
      <c r="A947" t="s">
        <v>5640</v>
      </c>
      <c r="B947" t="s">
        <v>1957</v>
      </c>
      <c r="C947" s="1">
        <v>45466</v>
      </c>
      <c r="D947" s="1" t="str">
        <f>TEXT(Payments_Cleaned[[#This Row],[payment_date]],"mmm-yyyy")</f>
        <v>Jun-2024</v>
      </c>
      <c r="E947" s="2">
        <v>244.99</v>
      </c>
      <c r="F947" t="s">
        <v>4694</v>
      </c>
      <c r="G947" s="2">
        <v>34.619999999999997</v>
      </c>
    </row>
    <row r="948" spans="1:7" x14ac:dyDescent="0.35">
      <c r="A948" t="s">
        <v>5641</v>
      </c>
      <c r="B948" t="s">
        <v>1959</v>
      </c>
      <c r="C948" s="1">
        <v>45310</v>
      </c>
      <c r="D948" s="1" t="str">
        <f>TEXT(Payments_Cleaned[[#This Row],[payment_date]],"mmm-yyyy")</f>
        <v>Jan-2024</v>
      </c>
      <c r="E948" s="2">
        <v>1483.77</v>
      </c>
      <c r="F948" t="s">
        <v>4694</v>
      </c>
      <c r="G948" s="2">
        <v>282.13</v>
      </c>
    </row>
    <row r="949" spans="1:7" x14ac:dyDescent="0.35">
      <c r="A949" t="s">
        <v>5642</v>
      </c>
      <c r="B949" t="s">
        <v>1960</v>
      </c>
      <c r="C949" s="1">
        <v>44960</v>
      </c>
      <c r="D949" s="1" t="str">
        <f>TEXT(Payments_Cleaned[[#This Row],[payment_date]],"mmm-yyyy")</f>
        <v>Feb-2023</v>
      </c>
      <c r="E949" s="2">
        <v>128.33000000000001</v>
      </c>
      <c r="F949" t="s">
        <v>4694</v>
      </c>
      <c r="G949" s="2">
        <v>64.36</v>
      </c>
    </row>
    <row r="950" spans="1:7" x14ac:dyDescent="0.35">
      <c r="A950" t="s">
        <v>5643</v>
      </c>
      <c r="B950" t="s">
        <v>1961</v>
      </c>
      <c r="C950" s="1">
        <v>45438</v>
      </c>
      <c r="D950" s="1" t="str">
        <f>TEXT(Payments_Cleaned[[#This Row],[payment_date]],"mmm-yyyy")</f>
        <v>May-2024</v>
      </c>
      <c r="E950" s="2">
        <v>2037.33</v>
      </c>
      <c r="F950" t="s">
        <v>4694</v>
      </c>
      <c r="G950" s="2">
        <v>93.16</v>
      </c>
    </row>
    <row r="951" spans="1:7" x14ac:dyDescent="0.35">
      <c r="A951" t="s">
        <v>5644</v>
      </c>
      <c r="B951" t="s">
        <v>1962</v>
      </c>
      <c r="C951" s="1">
        <v>45305</v>
      </c>
      <c r="D951" s="1" t="str">
        <f>TEXT(Payments_Cleaned[[#This Row],[payment_date]],"mmm-yyyy")</f>
        <v>Jan-2024</v>
      </c>
      <c r="E951" s="2">
        <v>560.44000000000005</v>
      </c>
      <c r="F951" t="s">
        <v>4694</v>
      </c>
      <c r="G951" s="2">
        <v>102.64</v>
      </c>
    </row>
    <row r="952" spans="1:7" x14ac:dyDescent="0.35">
      <c r="A952" t="s">
        <v>5645</v>
      </c>
      <c r="B952" t="s">
        <v>1963</v>
      </c>
      <c r="C952" s="1">
        <v>45451</v>
      </c>
      <c r="D952" s="1" t="str">
        <f>TEXT(Payments_Cleaned[[#This Row],[payment_date]],"mmm-yyyy")</f>
        <v>Jun-2024</v>
      </c>
      <c r="E952" s="2">
        <v>127.01</v>
      </c>
      <c r="F952" t="s">
        <v>4697</v>
      </c>
      <c r="G952" s="2">
        <v>32.590000000000003</v>
      </c>
    </row>
    <row r="953" spans="1:7" x14ac:dyDescent="0.35">
      <c r="A953" t="s">
        <v>5646</v>
      </c>
      <c r="B953" t="s">
        <v>1964</v>
      </c>
      <c r="C953" s="1">
        <v>45566</v>
      </c>
      <c r="D953" s="1" t="str">
        <f>TEXT(Payments_Cleaned[[#This Row],[payment_date]],"mmm-yyyy")</f>
        <v>Oct-2024</v>
      </c>
      <c r="E953" s="2">
        <v>118.18</v>
      </c>
      <c r="F953" t="s">
        <v>4694</v>
      </c>
      <c r="G953" s="2">
        <v>29.24</v>
      </c>
    </row>
    <row r="954" spans="1:7" x14ac:dyDescent="0.35">
      <c r="A954" t="s">
        <v>5647</v>
      </c>
      <c r="B954" t="s">
        <v>1965</v>
      </c>
      <c r="C954" s="1">
        <v>45374</v>
      </c>
      <c r="D954" s="1" t="str">
        <f>TEXT(Payments_Cleaned[[#This Row],[payment_date]],"mmm-yyyy")</f>
        <v>Mar-2024</v>
      </c>
      <c r="E954" s="2">
        <v>79.86</v>
      </c>
      <c r="F954" t="s">
        <v>4694</v>
      </c>
      <c r="G954" s="2">
        <v>35.94</v>
      </c>
    </row>
    <row r="955" spans="1:7" x14ac:dyDescent="0.35">
      <c r="A955" t="s">
        <v>5648</v>
      </c>
      <c r="B955" t="s">
        <v>1966</v>
      </c>
      <c r="C955" s="1">
        <v>44993</v>
      </c>
      <c r="D955" s="1" t="str">
        <f>TEXT(Payments_Cleaned[[#This Row],[payment_date]],"mmm-yyyy")</f>
        <v>Mar-2023</v>
      </c>
      <c r="E955" s="2">
        <v>1297.44</v>
      </c>
      <c r="F955" t="s">
        <v>4694</v>
      </c>
      <c r="G955" s="2">
        <v>193.32</v>
      </c>
    </row>
    <row r="956" spans="1:7" x14ac:dyDescent="0.35">
      <c r="A956" t="s">
        <v>5649</v>
      </c>
      <c r="B956" t="s">
        <v>1967</v>
      </c>
      <c r="C956" s="1">
        <v>45556</v>
      </c>
      <c r="D956" s="1" t="str">
        <f>TEXT(Payments_Cleaned[[#This Row],[payment_date]],"mmm-yyyy")</f>
        <v>Sep-2024</v>
      </c>
      <c r="E956" s="2">
        <v>353.91</v>
      </c>
      <c r="F956" t="s">
        <v>4694</v>
      </c>
      <c r="G956" s="2">
        <v>20.49</v>
      </c>
    </row>
    <row r="957" spans="1:7" x14ac:dyDescent="0.35">
      <c r="A957" t="s">
        <v>5650</v>
      </c>
      <c r="B957" t="s">
        <v>1968</v>
      </c>
      <c r="C957" s="1">
        <v>45136</v>
      </c>
      <c r="D957" s="1" t="str">
        <f>TEXT(Payments_Cleaned[[#This Row],[payment_date]],"mmm-yyyy")</f>
        <v>Jul-2023</v>
      </c>
      <c r="E957" s="2">
        <v>216.38</v>
      </c>
      <c r="F957" t="s">
        <v>4694</v>
      </c>
      <c r="G957" s="2">
        <v>111.96</v>
      </c>
    </row>
    <row r="958" spans="1:7" x14ac:dyDescent="0.35">
      <c r="A958" t="s">
        <v>5651</v>
      </c>
      <c r="B958" t="s">
        <v>1969</v>
      </c>
      <c r="C958" s="1">
        <v>45559</v>
      </c>
      <c r="D958" s="1" t="str">
        <f>TEXT(Payments_Cleaned[[#This Row],[payment_date]],"mmm-yyyy")</f>
        <v>Sep-2024</v>
      </c>
      <c r="E958" s="2">
        <v>104.36</v>
      </c>
      <c r="F958" t="s">
        <v>4694</v>
      </c>
      <c r="G958" s="2">
        <v>39.57</v>
      </c>
    </row>
    <row r="959" spans="1:7" x14ac:dyDescent="0.35">
      <c r="A959" t="s">
        <v>5652</v>
      </c>
      <c r="B959" t="s">
        <v>1970</v>
      </c>
      <c r="C959" s="1">
        <v>45549</v>
      </c>
      <c r="D959" s="1" t="str">
        <f>TEXT(Payments_Cleaned[[#This Row],[payment_date]],"mmm-yyyy")</f>
        <v>Sep-2024</v>
      </c>
      <c r="E959" s="2">
        <v>346.43</v>
      </c>
      <c r="F959" t="s">
        <v>4694</v>
      </c>
      <c r="G959" s="2">
        <v>209.42</v>
      </c>
    </row>
    <row r="960" spans="1:7" x14ac:dyDescent="0.35">
      <c r="A960" t="s">
        <v>5653</v>
      </c>
      <c r="B960" t="s">
        <v>1971</v>
      </c>
      <c r="C960" s="1">
        <v>45058</v>
      </c>
      <c r="D960" s="1" t="str">
        <f>TEXT(Payments_Cleaned[[#This Row],[payment_date]],"mmm-yyyy")</f>
        <v>May-2023</v>
      </c>
      <c r="E960" s="2">
        <v>106.27</v>
      </c>
      <c r="F960" t="s">
        <v>4694</v>
      </c>
      <c r="G960" s="2">
        <v>51.02</v>
      </c>
    </row>
    <row r="961" spans="1:7" x14ac:dyDescent="0.35">
      <c r="A961" t="s">
        <v>5654</v>
      </c>
      <c r="B961" t="s">
        <v>1972</v>
      </c>
      <c r="C961" s="1">
        <v>45061</v>
      </c>
      <c r="D961" s="1" t="str">
        <f>TEXT(Payments_Cleaned[[#This Row],[payment_date]],"mmm-yyyy")</f>
        <v>May-2023</v>
      </c>
      <c r="E961" s="2">
        <v>386.47</v>
      </c>
      <c r="F961" t="s">
        <v>4694</v>
      </c>
      <c r="G961" s="2">
        <v>218.49</v>
      </c>
    </row>
    <row r="962" spans="1:7" x14ac:dyDescent="0.35">
      <c r="A962" t="s">
        <v>5655</v>
      </c>
      <c r="B962" t="s">
        <v>1973</v>
      </c>
      <c r="C962" s="1">
        <v>45007</v>
      </c>
      <c r="D962" s="1" t="str">
        <f>TEXT(Payments_Cleaned[[#This Row],[payment_date]],"mmm-yyyy")</f>
        <v>Mar-2023</v>
      </c>
      <c r="E962" s="2">
        <v>325.43</v>
      </c>
      <c r="F962" t="s">
        <v>4694</v>
      </c>
      <c r="G962" s="2">
        <v>123.77</v>
      </c>
    </row>
    <row r="963" spans="1:7" x14ac:dyDescent="0.35">
      <c r="A963" t="s">
        <v>5656</v>
      </c>
      <c r="B963" t="s">
        <v>1974</v>
      </c>
      <c r="C963" s="1">
        <v>45095</v>
      </c>
      <c r="D963" s="1" t="str">
        <f>TEXT(Payments_Cleaned[[#This Row],[payment_date]],"mmm-yyyy")</f>
        <v>Jun-2023</v>
      </c>
      <c r="E963" s="2">
        <v>411.84</v>
      </c>
      <c r="F963" t="s">
        <v>4694</v>
      </c>
      <c r="G963" s="2">
        <v>84.27</v>
      </c>
    </row>
    <row r="964" spans="1:7" x14ac:dyDescent="0.35">
      <c r="A964" t="s">
        <v>5657</v>
      </c>
      <c r="B964" t="s">
        <v>1976</v>
      </c>
      <c r="C964" s="1">
        <v>45017</v>
      </c>
      <c r="D964" s="1" t="str">
        <f>TEXT(Payments_Cleaned[[#This Row],[payment_date]],"mmm-yyyy")</f>
        <v>Apr-2023</v>
      </c>
      <c r="E964" s="2">
        <v>2625.07</v>
      </c>
      <c r="F964" t="s">
        <v>4694</v>
      </c>
      <c r="G964" s="2">
        <v>1423.26</v>
      </c>
    </row>
    <row r="965" spans="1:7" x14ac:dyDescent="0.35">
      <c r="A965" t="s">
        <v>5658</v>
      </c>
      <c r="B965" t="s">
        <v>1977</v>
      </c>
      <c r="C965" s="1">
        <v>45492</v>
      </c>
      <c r="D965" s="1" t="str">
        <f>TEXT(Payments_Cleaned[[#This Row],[payment_date]],"mmm-yyyy")</f>
        <v>Jul-2024</v>
      </c>
      <c r="E965" s="2">
        <v>237.67</v>
      </c>
      <c r="F965" t="s">
        <v>4694</v>
      </c>
      <c r="G965" s="2">
        <v>32.369999999999997</v>
      </c>
    </row>
    <row r="966" spans="1:7" x14ac:dyDescent="0.35">
      <c r="A966" t="s">
        <v>5659</v>
      </c>
      <c r="B966" t="s">
        <v>1978</v>
      </c>
      <c r="C966" s="1">
        <v>45556</v>
      </c>
      <c r="D966" s="1" t="str">
        <f>TEXT(Payments_Cleaned[[#This Row],[payment_date]],"mmm-yyyy")</f>
        <v>Sep-2024</v>
      </c>
      <c r="E966" s="2">
        <v>150.09</v>
      </c>
      <c r="F966" t="s">
        <v>4694</v>
      </c>
      <c r="G966" s="2">
        <v>16.21</v>
      </c>
    </row>
    <row r="967" spans="1:7" x14ac:dyDescent="0.35">
      <c r="A967" t="s">
        <v>5660</v>
      </c>
      <c r="B967" t="s">
        <v>1979</v>
      </c>
      <c r="C967" s="1">
        <v>45481</v>
      </c>
      <c r="D967" s="1" t="str">
        <f>TEXT(Payments_Cleaned[[#This Row],[payment_date]],"mmm-yyyy")</f>
        <v>Jul-2024</v>
      </c>
      <c r="E967" s="2">
        <v>966.42</v>
      </c>
      <c r="F967" t="s">
        <v>4694</v>
      </c>
      <c r="G967" s="2">
        <v>132.1</v>
      </c>
    </row>
    <row r="968" spans="1:7" x14ac:dyDescent="0.35">
      <c r="A968" t="s">
        <v>5661</v>
      </c>
      <c r="B968" t="s">
        <v>1980</v>
      </c>
      <c r="C968" s="1">
        <v>45110</v>
      </c>
      <c r="D968" s="1" t="str">
        <f>TEXT(Payments_Cleaned[[#This Row],[payment_date]],"mmm-yyyy")</f>
        <v>Jul-2023</v>
      </c>
      <c r="E968" s="2">
        <v>552.94000000000005</v>
      </c>
      <c r="F968" t="s">
        <v>4694</v>
      </c>
      <c r="G968" s="2">
        <v>47.53</v>
      </c>
    </row>
    <row r="969" spans="1:7" x14ac:dyDescent="0.35">
      <c r="A969" t="s">
        <v>5662</v>
      </c>
      <c r="B969" t="s">
        <v>1981</v>
      </c>
      <c r="C969" s="1">
        <v>45227</v>
      </c>
      <c r="D969" s="1" t="str">
        <f>TEXT(Payments_Cleaned[[#This Row],[payment_date]],"mmm-yyyy")</f>
        <v>Oct-2023</v>
      </c>
      <c r="E969" s="2">
        <v>36.380000000000003</v>
      </c>
      <c r="F969" t="s">
        <v>4694</v>
      </c>
      <c r="G969" s="2">
        <v>11.87</v>
      </c>
    </row>
    <row r="970" spans="1:7" x14ac:dyDescent="0.35">
      <c r="A970" t="s">
        <v>5663</v>
      </c>
      <c r="B970" t="s">
        <v>1982</v>
      </c>
      <c r="C970" s="1">
        <v>45118</v>
      </c>
      <c r="D970" s="1" t="str">
        <f>TEXT(Payments_Cleaned[[#This Row],[payment_date]],"mmm-yyyy")</f>
        <v>Jul-2023</v>
      </c>
      <c r="E970" s="2">
        <v>126.48</v>
      </c>
      <c r="F970" t="s">
        <v>4694</v>
      </c>
      <c r="G970" s="2">
        <v>42.73</v>
      </c>
    </row>
    <row r="971" spans="1:7" x14ac:dyDescent="0.35">
      <c r="A971" t="s">
        <v>5664</v>
      </c>
      <c r="B971" t="s">
        <v>1983</v>
      </c>
      <c r="C971" s="1">
        <v>45680</v>
      </c>
      <c r="D971" s="1" t="str">
        <f>TEXT(Payments_Cleaned[[#This Row],[payment_date]],"mmm-yyyy")</f>
        <v>Jan-2025</v>
      </c>
      <c r="E971" s="2">
        <v>358.15</v>
      </c>
      <c r="F971" t="s">
        <v>4694</v>
      </c>
      <c r="G971" s="2">
        <v>44.14</v>
      </c>
    </row>
    <row r="972" spans="1:7" x14ac:dyDescent="0.35">
      <c r="A972" t="s">
        <v>5665</v>
      </c>
      <c r="B972" t="s">
        <v>1984</v>
      </c>
      <c r="C972" s="1">
        <v>45124</v>
      </c>
      <c r="D972" s="1" t="str">
        <f>TEXT(Payments_Cleaned[[#This Row],[payment_date]],"mmm-yyyy")</f>
        <v>Jul-2023</v>
      </c>
      <c r="E972" s="2">
        <v>200.85</v>
      </c>
      <c r="F972" t="s">
        <v>4694</v>
      </c>
      <c r="G972" s="2">
        <v>27.31</v>
      </c>
    </row>
    <row r="973" spans="1:7" x14ac:dyDescent="0.35">
      <c r="A973" t="s">
        <v>5666</v>
      </c>
      <c r="B973" t="s">
        <v>1985</v>
      </c>
      <c r="C973" s="1">
        <v>45281</v>
      </c>
      <c r="D973" s="1" t="str">
        <f>TEXT(Payments_Cleaned[[#This Row],[payment_date]],"mmm-yyyy")</f>
        <v>Dec-2023</v>
      </c>
      <c r="E973" s="2">
        <v>4889.8100000000004</v>
      </c>
      <c r="F973" t="s">
        <v>4694</v>
      </c>
      <c r="G973" s="2">
        <v>1686.64</v>
      </c>
    </row>
    <row r="974" spans="1:7" x14ac:dyDescent="0.35">
      <c r="A974" t="s">
        <v>5667</v>
      </c>
      <c r="B974" t="s">
        <v>1986</v>
      </c>
      <c r="C974" s="1">
        <v>45538</v>
      </c>
      <c r="D974" s="1" t="str">
        <f>TEXT(Payments_Cleaned[[#This Row],[payment_date]],"mmm-yyyy")</f>
        <v>Sep-2024</v>
      </c>
      <c r="E974" s="2">
        <v>786.72</v>
      </c>
      <c r="F974" t="s">
        <v>4694</v>
      </c>
      <c r="G974" s="2">
        <v>102.72</v>
      </c>
    </row>
    <row r="975" spans="1:7" x14ac:dyDescent="0.35">
      <c r="A975" t="s">
        <v>5668</v>
      </c>
      <c r="B975" t="s">
        <v>1987</v>
      </c>
      <c r="C975" s="1">
        <v>45399</v>
      </c>
      <c r="D975" s="1" t="str">
        <f>TEXT(Payments_Cleaned[[#This Row],[payment_date]],"mmm-yyyy")</f>
        <v>Apr-2024</v>
      </c>
      <c r="E975" s="2">
        <v>252.73</v>
      </c>
      <c r="F975" t="s">
        <v>4694</v>
      </c>
      <c r="G975" s="2">
        <v>117.64</v>
      </c>
    </row>
    <row r="976" spans="1:7" x14ac:dyDescent="0.35">
      <c r="A976" t="s">
        <v>5669</v>
      </c>
      <c r="B976" t="s">
        <v>1988</v>
      </c>
      <c r="C976" s="1">
        <v>45549</v>
      </c>
      <c r="D976" s="1" t="str">
        <f>TEXT(Payments_Cleaned[[#This Row],[payment_date]],"mmm-yyyy")</f>
        <v>Sep-2024</v>
      </c>
      <c r="E976" s="2">
        <v>52.84</v>
      </c>
      <c r="F976" t="s">
        <v>4694</v>
      </c>
      <c r="G976" s="2">
        <v>8.32</v>
      </c>
    </row>
    <row r="977" spans="1:7" x14ac:dyDescent="0.35">
      <c r="A977" t="s">
        <v>5670</v>
      </c>
      <c r="B977" t="s">
        <v>1989</v>
      </c>
      <c r="C977" s="1">
        <v>45574</v>
      </c>
      <c r="D977" s="1" t="str">
        <f>TEXT(Payments_Cleaned[[#This Row],[payment_date]],"mmm-yyyy")</f>
        <v>Oct-2024</v>
      </c>
      <c r="E977" s="2">
        <v>125.91</v>
      </c>
      <c r="F977" t="s">
        <v>4694</v>
      </c>
      <c r="G977" s="2">
        <v>33.1</v>
      </c>
    </row>
    <row r="978" spans="1:7" x14ac:dyDescent="0.35">
      <c r="A978" t="s">
        <v>5671</v>
      </c>
      <c r="B978" t="s">
        <v>1991</v>
      </c>
      <c r="C978" s="1">
        <v>45293</v>
      </c>
      <c r="D978" s="1" t="str">
        <f>TEXT(Payments_Cleaned[[#This Row],[payment_date]],"mmm-yyyy")</f>
        <v>Jan-2024</v>
      </c>
      <c r="E978" s="2">
        <v>4090.31</v>
      </c>
      <c r="F978" t="s">
        <v>4694</v>
      </c>
      <c r="G978" s="2">
        <v>1201.26</v>
      </c>
    </row>
    <row r="979" spans="1:7" x14ac:dyDescent="0.35">
      <c r="A979" t="s">
        <v>5672</v>
      </c>
      <c r="B979" t="s">
        <v>1992</v>
      </c>
      <c r="C979" s="1">
        <v>45424</v>
      </c>
      <c r="D979" s="1" t="str">
        <f>TEXT(Payments_Cleaned[[#This Row],[payment_date]],"mmm-yyyy")</f>
        <v>May-2024</v>
      </c>
      <c r="E979" s="2">
        <v>4319.66</v>
      </c>
      <c r="F979" t="s">
        <v>4694</v>
      </c>
      <c r="G979" s="2">
        <v>923.02</v>
      </c>
    </row>
    <row r="980" spans="1:7" x14ac:dyDescent="0.35">
      <c r="A980" t="s">
        <v>5673</v>
      </c>
      <c r="B980" t="s">
        <v>1994</v>
      </c>
      <c r="C980" s="1">
        <v>45109</v>
      </c>
      <c r="D980" s="1" t="str">
        <f>TEXT(Payments_Cleaned[[#This Row],[payment_date]],"mmm-yyyy")</f>
        <v>Jul-2023</v>
      </c>
      <c r="E980" s="2">
        <v>115.36</v>
      </c>
      <c r="F980" t="s">
        <v>4694</v>
      </c>
      <c r="G980" s="2">
        <v>10.55</v>
      </c>
    </row>
    <row r="981" spans="1:7" x14ac:dyDescent="0.35">
      <c r="A981" t="s">
        <v>5674</v>
      </c>
      <c r="B981" t="s">
        <v>1995</v>
      </c>
      <c r="C981" s="1">
        <v>44952</v>
      </c>
      <c r="D981" s="1" t="str">
        <f>TEXT(Payments_Cleaned[[#This Row],[payment_date]],"mmm-yyyy")</f>
        <v>Jan-2023</v>
      </c>
      <c r="E981" s="2">
        <v>165.47</v>
      </c>
      <c r="F981" t="s">
        <v>4694</v>
      </c>
      <c r="G981" s="2">
        <v>30.39</v>
      </c>
    </row>
    <row r="982" spans="1:7" x14ac:dyDescent="0.35">
      <c r="A982" t="s">
        <v>5675</v>
      </c>
      <c r="B982" t="s">
        <v>1997</v>
      </c>
      <c r="C982" s="1">
        <v>45413</v>
      </c>
      <c r="D982" s="1" t="str">
        <f>TEXT(Payments_Cleaned[[#This Row],[payment_date]],"mmm-yyyy")</f>
        <v>May-2024</v>
      </c>
      <c r="E982" s="2">
        <v>90.34</v>
      </c>
      <c r="F982" t="s">
        <v>4694</v>
      </c>
      <c r="G982" s="2">
        <v>15.2</v>
      </c>
    </row>
    <row r="983" spans="1:7" x14ac:dyDescent="0.35">
      <c r="A983" t="s">
        <v>5676</v>
      </c>
      <c r="B983" t="s">
        <v>1998</v>
      </c>
      <c r="C983" s="1">
        <v>45195</v>
      </c>
      <c r="D983" s="1" t="str">
        <f>TEXT(Payments_Cleaned[[#This Row],[payment_date]],"mmm-yyyy")</f>
        <v>Sep-2023</v>
      </c>
      <c r="E983" s="2">
        <v>681.62</v>
      </c>
      <c r="F983" t="s">
        <v>4694</v>
      </c>
      <c r="G983" s="2">
        <v>139.81</v>
      </c>
    </row>
    <row r="984" spans="1:7" x14ac:dyDescent="0.35">
      <c r="A984" t="s">
        <v>5677</v>
      </c>
      <c r="B984" t="s">
        <v>2000</v>
      </c>
      <c r="C984" s="1">
        <v>45504</v>
      </c>
      <c r="D984" s="1" t="str">
        <f>TEXT(Payments_Cleaned[[#This Row],[payment_date]],"mmm-yyyy")</f>
        <v>Jul-2024</v>
      </c>
      <c r="E984" s="2">
        <v>81.63</v>
      </c>
      <c r="F984" t="s">
        <v>4694</v>
      </c>
      <c r="G984" s="2">
        <v>30.6</v>
      </c>
    </row>
    <row r="985" spans="1:7" x14ac:dyDescent="0.35">
      <c r="A985" t="s">
        <v>5678</v>
      </c>
      <c r="B985" t="s">
        <v>2001</v>
      </c>
      <c r="C985" s="1">
        <v>45459</v>
      </c>
      <c r="D985" s="1" t="str">
        <f>TEXT(Payments_Cleaned[[#This Row],[payment_date]],"mmm-yyyy")</f>
        <v>Jun-2024</v>
      </c>
      <c r="E985" s="2">
        <v>440.21</v>
      </c>
      <c r="F985" t="s">
        <v>4694</v>
      </c>
      <c r="G985" s="2">
        <v>229.88</v>
      </c>
    </row>
    <row r="986" spans="1:7" x14ac:dyDescent="0.35">
      <c r="A986" t="s">
        <v>5679</v>
      </c>
      <c r="B986" t="s">
        <v>2004</v>
      </c>
      <c r="C986" s="1">
        <v>45557</v>
      </c>
      <c r="D986" s="1" t="str">
        <f>TEXT(Payments_Cleaned[[#This Row],[payment_date]],"mmm-yyyy")</f>
        <v>Sep-2024</v>
      </c>
      <c r="E986" s="2">
        <v>6081.94</v>
      </c>
      <c r="F986" t="s">
        <v>4694</v>
      </c>
      <c r="G986" s="2">
        <v>1559.28</v>
      </c>
    </row>
    <row r="987" spans="1:7" x14ac:dyDescent="0.35">
      <c r="A987" t="s">
        <v>5680</v>
      </c>
      <c r="B987" t="s">
        <v>2005</v>
      </c>
      <c r="C987" s="1">
        <v>45543</v>
      </c>
      <c r="D987" s="1" t="str">
        <f>TEXT(Payments_Cleaned[[#This Row],[payment_date]],"mmm-yyyy")</f>
        <v>Sep-2024</v>
      </c>
      <c r="E987" s="2">
        <v>163.89</v>
      </c>
      <c r="F987" t="s">
        <v>4694</v>
      </c>
      <c r="G987" s="2">
        <v>32.21</v>
      </c>
    </row>
    <row r="988" spans="1:7" x14ac:dyDescent="0.35">
      <c r="A988" t="s">
        <v>5681</v>
      </c>
      <c r="B988" t="s">
        <v>2006</v>
      </c>
      <c r="C988" s="1">
        <v>45267</v>
      </c>
      <c r="D988" s="1" t="str">
        <f>TEXT(Payments_Cleaned[[#This Row],[payment_date]],"mmm-yyyy")</f>
        <v>Dec-2023</v>
      </c>
      <c r="E988" s="2">
        <v>744.13</v>
      </c>
      <c r="F988" t="s">
        <v>4694</v>
      </c>
      <c r="G988" s="2">
        <v>167.9</v>
      </c>
    </row>
    <row r="989" spans="1:7" x14ac:dyDescent="0.35">
      <c r="A989" t="s">
        <v>5682</v>
      </c>
      <c r="B989" t="s">
        <v>2007</v>
      </c>
      <c r="C989" s="1">
        <v>45383</v>
      </c>
      <c r="D989" s="1" t="str">
        <f>TEXT(Payments_Cleaned[[#This Row],[payment_date]],"mmm-yyyy")</f>
        <v>Apr-2024</v>
      </c>
      <c r="E989" s="2">
        <v>1421.99</v>
      </c>
      <c r="F989" t="s">
        <v>4694</v>
      </c>
      <c r="G989" s="2">
        <v>283.85000000000002</v>
      </c>
    </row>
    <row r="990" spans="1:7" x14ac:dyDescent="0.35">
      <c r="A990" t="s">
        <v>5683</v>
      </c>
      <c r="B990" t="s">
        <v>2008</v>
      </c>
      <c r="C990" s="1">
        <v>45600</v>
      </c>
      <c r="D990" s="1" t="str">
        <f>TEXT(Payments_Cleaned[[#This Row],[payment_date]],"mmm-yyyy")</f>
        <v>Nov-2024</v>
      </c>
      <c r="E990" s="2">
        <v>274.18</v>
      </c>
      <c r="F990" t="s">
        <v>4697</v>
      </c>
      <c r="G990" s="2">
        <v>89.01</v>
      </c>
    </row>
    <row r="991" spans="1:7" x14ac:dyDescent="0.35">
      <c r="A991" t="s">
        <v>5684</v>
      </c>
      <c r="B991" t="s">
        <v>2009</v>
      </c>
      <c r="C991" s="1">
        <v>45563</v>
      </c>
      <c r="D991" s="1" t="str">
        <f>TEXT(Payments_Cleaned[[#This Row],[payment_date]],"mmm-yyyy")</f>
        <v>Sep-2024</v>
      </c>
      <c r="E991" s="2">
        <v>674.07</v>
      </c>
      <c r="F991" t="s">
        <v>4694</v>
      </c>
      <c r="G991" s="2">
        <v>124.51</v>
      </c>
    </row>
    <row r="992" spans="1:7" x14ac:dyDescent="0.35">
      <c r="A992" t="s">
        <v>5685</v>
      </c>
      <c r="B992" t="s">
        <v>2010</v>
      </c>
      <c r="C992" s="1">
        <v>45617</v>
      </c>
      <c r="D992" s="1" t="str">
        <f>TEXT(Payments_Cleaned[[#This Row],[payment_date]],"mmm-yyyy")</f>
        <v>Nov-2024</v>
      </c>
      <c r="E992" s="2">
        <v>1946.21</v>
      </c>
      <c r="F992" t="s">
        <v>4694</v>
      </c>
      <c r="G992" s="2">
        <v>227</v>
      </c>
    </row>
    <row r="993" spans="1:7" x14ac:dyDescent="0.35">
      <c r="A993" t="s">
        <v>5686</v>
      </c>
      <c r="B993" t="s">
        <v>2011</v>
      </c>
      <c r="C993" s="1">
        <v>45566</v>
      </c>
      <c r="D993" s="1" t="str">
        <f>TEXT(Payments_Cleaned[[#This Row],[payment_date]],"mmm-yyyy")</f>
        <v>Oct-2024</v>
      </c>
      <c r="E993" s="2">
        <v>1756.66</v>
      </c>
      <c r="F993" t="s">
        <v>4694</v>
      </c>
      <c r="G993" s="2">
        <v>232.43</v>
      </c>
    </row>
    <row r="994" spans="1:7" x14ac:dyDescent="0.35">
      <c r="A994" t="s">
        <v>5687</v>
      </c>
      <c r="B994" t="s">
        <v>2012</v>
      </c>
      <c r="C994" s="1">
        <v>45580</v>
      </c>
      <c r="D994" s="1" t="str">
        <f>TEXT(Payments_Cleaned[[#This Row],[payment_date]],"mmm-yyyy")</f>
        <v>Oct-2024</v>
      </c>
      <c r="E994" s="2">
        <v>490.33</v>
      </c>
      <c r="F994" t="s">
        <v>4694</v>
      </c>
      <c r="G994" s="2">
        <v>20.86</v>
      </c>
    </row>
    <row r="995" spans="1:7" x14ac:dyDescent="0.35">
      <c r="A995" t="s">
        <v>5688</v>
      </c>
      <c r="B995" t="s">
        <v>2014</v>
      </c>
      <c r="C995" s="1">
        <v>45560</v>
      </c>
      <c r="D995" s="1" t="str">
        <f>TEXT(Payments_Cleaned[[#This Row],[payment_date]],"mmm-yyyy")</f>
        <v>Sep-2024</v>
      </c>
      <c r="E995" s="2">
        <v>189.95</v>
      </c>
      <c r="F995" t="s">
        <v>4694</v>
      </c>
      <c r="G995" s="2">
        <v>36.19</v>
      </c>
    </row>
    <row r="996" spans="1:7" x14ac:dyDescent="0.35">
      <c r="A996" t="s">
        <v>5689</v>
      </c>
      <c r="B996" t="s">
        <v>2016</v>
      </c>
      <c r="C996" s="1">
        <v>44982</v>
      </c>
      <c r="D996" s="1" t="str">
        <f>TEXT(Payments_Cleaned[[#This Row],[payment_date]],"mmm-yyyy")</f>
        <v>Feb-2023</v>
      </c>
      <c r="E996" s="2">
        <v>485.33</v>
      </c>
      <c r="F996" t="s">
        <v>4694</v>
      </c>
      <c r="G996" s="2">
        <v>270.51</v>
      </c>
    </row>
    <row r="997" spans="1:7" x14ac:dyDescent="0.35">
      <c r="A997" t="s">
        <v>5690</v>
      </c>
      <c r="B997" t="s">
        <v>2019</v>
      </c>
      <c r="C997" s="1">
        <v>45074</v>
      </c>
      <c r="D997" s="1" t="str">
        <f>TEXT(Payments_Cleaned[[#This Row],[payment_date]],"mmm-yyyy")</f>
        <v>May-2023</v>
      </c>
      <c r="E997" s="2">
        <v>3439.95</v>
      </c>
      <c r="F997" t="s">
        <v>4694</v>
      </c>
      <c r="G997" s="2">
        <v>1739.26</v>
      </c>
    </row>
    <row r="998" spans="1:7" x14ac:dyDescent="0.35">
      <c r="A998" t="s">
        <v>5691</v>
      </c>
      <c r="B998" t="s">
        <v>2020</v>
      </c>
      <c r="C998" s="1">
        <v>45648</v>
      </c>
      <c r="D998" s="1" t="str">
        <f>TEXT(Payments_Cleaned[[#This Row],[payment_date]],"mmm-yyyy")</f>
        <v>Dec-2024</v>
      </c>
      <c r="E998" s="2">
        <v>899.24</v>
      </c>
      <c r="F998" t="s">
        <v>4694</v>
      </c>
      <c r="G998" s="2">
        <v>407.65</v>
      </c>
    </row>
    <row r="999" spans="1:7" x14ac:dyDescent="0.35">
      <c r="A999" t="s">
        <v>5692</v>
      </c>
      <c r="B999" t="s">
        <v>2021</v>
      </c>
      <c r="C999" s="1">
        <v>45068</v>
      </c>
      <c r="D999" s="1" t="str">
        <f>TEXT(Payments_Cleaned[[#This Row],[payment_date]],"mmm-yyyy")</f>
        <v>May-2023</v>
      </c>
      <c r="E999" s="2">
        <v>2003.58</v>
      </c>
      <c r="F999" t="s">
        <v>4694</v>
      </c>
      <c r="G999" s="2">
        <v>192.61</v>
      </c>
    </row>
    <row r="1000" spans="1:7" x14ac:dyDescent="0.35">
      <c r="A1000" t="s">
        <v>5693</v>
      </c>
      <c r="B1000" t="s">
        <v>2022</v>
      </c>
      <c r="C1000" s="1">
        <v>45051</v>
      </c>
      <c r="D1000" s="1" t="str">
        <f>TEXT(Payments_Cleaned[[#This Row],[payment_date]],"mmm-yyyy")</f>
        <v>May-2023</v>
      </c>
      <c r="E1000" s="2">
        <v>450.87</v>
      </c>
      <c r="F1000" t="s">
        <v>4694</v>
      </c>
      <c r="G1000" s="2">
        <v>108.25</v>
      </c>
    </row>
    <row r="1001" spans="1:7" x14ac:dyDescent="0.35">
      <c r="A1001" t="s">
        <v>5694</v>
      </c>
      <c r="B1001" t="s">
        <v>2023</v>
      </c>
      <c r="C1001" s="1">
        <v>45284</v>
      </c>
      <c r="D1001" s="1" t="str">
        <f>TEXT(Payments_Cleaned[[#This Row],[payment_date]],"mmm-yyyy")</f>
        <v>Dec-2023</v>
      </c>
      <c r="E1001" s="2">
        <v>143.38999999999999</v>
      </c>
      <c r="F1001" t="s">
        <v>4694</v>
      </c>
      <c r="G1001" s="2">
        <v>25.64</v>
      </c>
    </row>
    <row r="1002" spans="1:7" x14ac:dyDescent="0.35">
      <c r="A1002" t="s">
        <v>5695</v>
      </c>
      <c r="B1002" t="s">
        <v>2024</v>
      </c>
      <c r="C1002" s="1">
        <v>45065</v>
      </c>
      <c r="D1002" s="1" t="str">
        <f>TEXT(Payments_Cleaned[[#This Row],[payment_date]],"mmm-yyyy")</f>
        <v>May-2023</v>
      </c>
      <c r="E1002" s="2">
        <v>40.590000000000003</v>
      </c>
      <c r="F1002" t="s">
        <v>4694</v>
      </c>
      <c r="G1002" s="2">
        <v>11.64</v>
      </c>
    </row>
    <row r="1003" spans="1:7" x14ac:dyDescent="0.35">
      <c r="A1003" t="s">
        <v>5696</v>
      </c>
      <c r="B1003" t="s">
        <v>2025</v>
      </c>
      <c r="C1003" s="1">
        <v>45007</v>
      </c>
      <c r="D1003" s="1" t="str">
        <f>TEXT(Payments_Cleaned[[#This Row],[payment_date]],"mmm-yyyy")</f>
        <v>Mar-2023</v>
      </c>
      <c r="E1003" s="2">
        <v>749.76</v>
      </c>
      <c r="F1003" t="s">
        <v>4697</v>
      </c>
      <c r="G1003" s="2">
        <v>83.81</v>
      </c>
    </row>
    <row r="1004" spans="1:7" x14ac:dyDescent="0.35">
      <c r="A1004" t="s">
        <v>5697</v>
      </c>
      <c r="B1004" t="s">
        <v>2026</v>
      </c>
      <c r="C1004" s="1">
        <v>45112</v>
      </c>
      <c r="D1004" s="1" t="str">
        <f>TEXT(Payments_Cleaned[[#This Row],[payment_date]],"mmm-yyyy")</f>
        <v>Jul-2023</v>
      </c>
      <c r="E1004" s="2">
        <v>87.4</v>
      </c>
      <c r="F1004" t="s">
        <v>4694</v>
      </c>
      <c r="G1004" s="2">
        <v>26.38</v>
      </c>
    </row>
    <row r="1005" spans="1:7" x14ac:dyDescent="0.35">
      <c r="A1005" t="s">
        <v>5698</v>
      </c>
      <c r="B1005" t="s">
        <v>2027</v>
      </c>
      <c r="C1005" s="1">
        <v>45345</v>
      </c>
      <c r="D1005" s="1" t="str">
        <f>TEXT(Payments_Cleaned[[#This Row],[payment_date]],"mmm-yyyy")</f>
        <v>Feb-2024</v>
      </c>
      <c r="E1005" s="2">
        <v>136.05000000000001</v>
      </c>
      <c r="F1005" t="s">
        <v>4694</v>
      </c>
      <c r="G1005" s="2">
        <v>48.65</v>
      </c>
    </row>
    <row r="1006" spans="1:7" x14ac:dyDescent="0.35">
      <c r="A1006" t="s">
        <v>5699</v>
      </c>
      <c r="B1006" t="s">
        <v>2029</v>
      </c>
      <c r="C1006" s="1">
        <v>45247</v>
      </c>
      <c r="D1006" s="1" t="str">
        <f>TEXT(Payments_Cleaned[[#This Row],[payment_date]],"mmm-yyyy")</f>
        <v>Nov-2023</v>
      </c>
      <c r="E1006" s="2">
        <v>408.87</v>
      </c>
      <c r="F1006" t="s">
        <v>4694</v>
      </c>
      <c r="G1006" s="2">
        <v>117.73</v>
      </c>
    </row>
    <row r="1007" spans="1:7" x14ac:dyDescent="0.35">
      <c r="A1007" t="s">
        <v>5700</v>
      </c>
      <c r="B1007" t="s">
        <v>2031</v>
      </c>
      <c r="C1007" s="1">
        <v>45681</v>
      </c>
      <c r="D1007" s="1" t="str">
        <f>TEXT(Payments_Cleaned[[#This Row],[payment_date]],"mmm-yyyy")</f>
        <v>Jan-2025</v>
      </c>
      <c r="E1007" s="2">
        <v>473.26</v>
      </c>
      <c r="F1007" t="s">
        <v>4694</v>
      </c>
      <c r="G1007" s="2">
        <v>54.57</v>
      </c>
    </row>
    <row r="1008" spans="1:7" x14ac:dyDescent="0.35">
      <c r="A1008" t="s">
        <v>5701</v>
      </c>
      <c r="B1008" t="s">
        <v>2033</v>
      </c>
      <c r="C1008" s="1">
        <v>45069</v>
      </c>
      <c r="D1008" s="1" t="str">
        <f>TEXT(Payments_Cleaned[[#This Row],[payment_date]],"mmm-yyyy")</f>
        <v>May-2023</v>
      </c>
      <c r="E1008" s="2">
        <v>154.75</v>
      </c>
      <c r="F1008" t="s">
        <v>4694</v>
      </c>
      <c r="G1008" s="2">
        <v>71.180000000000007</v>
      </c>
    </row>
    <row r="1009" spans="1:7" x14ac:dyDescent="0.35">
      <c r="A1009" t="s">
        <v>5702</v>
      </c>
      <c r="B1009" t="s">
        <v>2034</v>
      </c>
      <c r="C1009" s="1">
        <v>45140</v>
      </c>
      <c r="D1009" s="1" t="str">
        <f>TEXT(Payments_Cleaned[[#This Row],[payment_date]],"mmm-yyyy")</f>
        <v>Aug-2023</v>
      </c>
      <c r="E1009" s="2">
        <v>3218.55</v>
      </c>
      <c r="F1009" t="s">
        <v>4694</v>
      </c>
      <c r="G1009" s="2">
        <v>1857.78</v>
      </c>
    </row>
    <row r="1010" spans="1:7" x14ac:dyDescent="0.35">
      <c r="A1010" t="s">
        <v>5703</v>
      </c>
      <c r="B1010" t="s">
        <v>2035</v>
      </c>
      <c r="C1010" s="1">
        <v>45352</v>
      </c>
      <c r="D1010" s="1" t="str">
        <f>TEXT(Payments_Cleaned[[#This Row],[payment_date]],"mmm-yyyy")</f>
        <v>Mar-2024</v>
      </c>
      <c r="E1010" s="2">
        <v>165.81</v>
      </c>
      <c r="F1010" t="s">
        <v>4697</v>
      </c>
      <c r="G1010" s="2">
        <v>48.16</v>
      </c>
    </row>
    <row r="1011" spans="1:7" x14ac:dyDescent="0.35">
      <c r="A1011" t="s">
        <v>5704</v>
      </c>
      <c r="B1011" t="s">
        <v>2036</v>
      </c>
      <c r="C1011" s="1">
        <v>45239</v>
      </c>
      <c r="D1011" s="1" t="str">
        <f>TEXT(Payments_Cleaned[[#This Row],[payment_date]],"mmm-yyyy")</f>
        <v>Nov-2023</v>
      </c>
      <c r="E1011" s="2">
        <v>224.36</v>
      </c>
      <c r="F1011" t="s">
        <v>4694</v>
      </c>
      <c r="G1011" s="2">
        <v>102.55</v>
      </c>
    </row>
    <row r="1012" spans="1:7" x14ac:dyDescent="0.35">
      <c r="A1012" t="s">
        <v>5705</v>
      </c>
      <c r="B1012" t="s">
        <v>2038</v>
      </c>
      <c r="C1012" s="1">
        <v>45534</v>
      </c>
      <c r="D1012" s="1" t="str">
        <f>TEXT(Payments_Cleaned[[#This Row],[payment_date]],"mmm-yyyy")</f>
        <v>Aug-2024</v>
      </c>
      <c r="E1012" s="2">
        <v>134.74</v>
      </c>
      <c r="F1012" t="s">
        <v>4694</v>
      </c>
      <c r="G1012" s="2">
        <v>11.06</v>
      </c>
    </row>
    <row r="1013" spans="1:7" x14ac:dyDescent="0.35">
      <c r="A1013" t="s">
        <v>5706</v>
      </c>
      <c r="B1013" t="s">
        <v>2040</v>
      </c>
      <c r="C1013" s="1">
        <v>45216</v>
      </c>
      <c r="D1013" s="1" t="str">
        <f>TEXT(Payments_Cleaned[[#This Row],[payment_date]],"mmm-yyyy")</f>
        <v>Oct-2023</v>
      </c>
      <c r="E1013" s="2">
        <v>434.6</v>
      </c>
      <c r="F1013" t="s">
        <v>4697</v>
      </c>
      <c r="G1013" s="2">
        <v>163.03</v>
      </c>
    </row>
    <row r="1014" spans="1:7" x14ac:dyDescent="0.35">
      <c r="A1014" t="s">
        <v>5707</v>
      </c>
      <c r="B1014" t="s">
        <v>2041</v>
      </c>
      <c r="C1014" s="1">
        <v>45597</v>
      </c>
      <c r="D1014" s="1" t="str">
        <f>TEXT(Payments_Cleaned[[#This Row],[payment_date]],"mmm-yyyy")</f>
        <v>Nov-2024</v>
      </c>
      <c r="E1014" s="2">
        <v>81.92</v>
      </c>
      <c r="F1014" t="s">
        <v>4694</v>
      </c>
      <c r="G1014" s="2">
        <v>21.84</v>
      </c>
    </row>
    <row r="1015" spans="1:7" x14ac:dyDescent="0.35">
      <c r="A1015" t="s">
        <v>5708</v>
      </c>
      <c r="B1015" t="s">
        <v>2043</v>
      </c>
      <c r="C1015" s="1">
        <v>45072</v>
      </c>
      <c r="D1015" s="1" t="str">
        <f>TEXT(Payments_Cleaned[[#This Row],[payment_date]],"mmm-yyyy")</f>
        <v>May-2023</v>
      </c>
      <c r="E1015" s="2">
        <v>1568</v>
      </c>
      <c r="F1015" t="s">
        <v>4694</v>
      </c>
      <c r="G1015" s="2">
        <v>632.89</v>
      </c>
    </row>
    <row r="1016" spans="1:7" x14ac:dyDescent="0.35">
      <c r="A1016" t="s">
        <v>5709</v>
      </c>
      <c r="B1016" t="s">
        <v>2044</v>
      </c>
      <c r="C1016" s="1">
        <v>45553</v>
      </c>
      <c r="D1016" s="1" t="str">
        <f>TEXT(Payments_Cleaned[[#This Row],[payment_date]],"mmm-yyyy")</f>
        <v>Sep-2024</v>
      </c>
      <c r="E1016" s="2">
        <v>267.47000000000003</v>
      </c>
      <c r="F1016" t="s">
        <v>4694</v>
      </c>
      <c r="G1016" s="2">
        <v>80.430000000000007</v>
      </c>
    </row>
    <row r="1017" spans="1:7" x14ac:dyDescent="0.35">
      <c r="A1017" t="s">
        <v>5710</v>
      </c>
      <c r="B1017" t="s">
        <v>2049</v>
      </c>
      <c r="C1017" s="1">
        <v>45143</v>
      </c>
      <c r="D1017" s="1" t="str">
        <f>TEXT(Payments_Cleaned[[#This Row],[payment_date]],"mmm-yyyy")</f>
        <v>Aug-2023</v>
      </c>
      <c r="E1017" s="2">
        <v>1537.71</v>
      </c>
      <c r="F1017" t="s">
        <v>4694</v>
      </c>
      <c r="G1017" s="2">
        <v>707.56</v>
      </c>
    </row>
    <row r="1018" spans="1:7" x14ac:dyDescent="0.35">
      <c r="A1018" t="s">
        <v>5711</v>
      </c>
      <c r="B1018" t="s">
        <v>2051</v>
      </c>
      <c r="C1018" s="1">
        <v>45284</v>
      </c>
      <c r="D1018" s="1" t="str">
        <f>TEXT(Payments_Cleaned[[#This Row],[payment_date]],"mmm-yyyy")</f>
        <v>Dec-2023</v>
      </c>
      <c r="E1018" s="2">
        <v>945.36</v>
      </c>
      <c r="F1018" t="s">
        <v>4694</v>
      </c>
      <c r="G1018" s="2">
        <v>248.03</v>
      </c>
    </row>
    <row r="1019" spans="1:7" x14ac:dyDescent="0.35">
      <c r="A1019" t="s">
        <v>5712</v>
      </c>
      <c r="B1019" t="s">
        <v>2053</v>
      </c>
      <c r="C1019" s="1">
        <v>45506</v>
      </c>
      <c r="D1019" s="1" t="str">
        <f>TEXT(Payments_Cleaned[[#This Row],[payment_date]],"mmm-yyyy")</f>
        <v>Aug-2024</v>
      </c>
      <c r="E1019" s="2">
        <v>134.99</v>
      </c>
      <c r="F1019" t="s">
        <v>4694</v>
      </c>
      <c r="G1019" s="2">
        <v>10.18</v>
      </c>
    </row>
    <row r="1020" spans="1:7" x14ac:dyDescent="0.35">
      <c r="A1020" t="s">
        <v>5713</v>
      </c>
      <c r="B1020" t="s">
        <v>2054</v>
      </c>
      <c r="C1020" s="1">
        <v>45611</v>
      </c>
      <c r="D1020" s="1" t="str">
        <f>TEXT(Payments_Cleaned[[#This Row],[payment_date]],"mmm-yyyy")</f>
        <v>Nov-2024</v>
      </c>
      <c r="E1020" s="2">
        <v>120.34</v>
      </c>
      <c r="F1020" t="s">
        <v>4697</v>
      </c>
      <c r="G1020" s="2">
        <v>26.29</v>
      </c>
    </row>
    <row r="1021" spans="1:7" x14ac:dyDescent="0.35">
      <c r="A1021" t="s">
        <v>5714</v>
      </c>
      <c r="B1021" t="s">
        <v>2055</v>
      </c>
      <c r="C1021" s="1">
        <v>45382</v>
      </c>
      <c r="D1021" s="1" t="str">
        <f>TEXT(Payments_Cleaned[[#This Row],[payment_date]],"mmm-yyyy")</f>
        <v>Mar-2024</v>
      </c>
      <c r="E1021" s="2">
        <v>1692.67</v>
      </c>
      <c r="F1021" t="s">
        <v>4694</v>
      </c>
      <c r="G1021" s="2">
        <v>219.37</v>
      </c>
    </row>
    <row r="1022" spans="1:7" x14ac:dyDescent="0.35">
      <c r="A1022" t="s">
        <v>5715</v>
      </c>
      <c r="B1022" t="s">
        <v>2056</v>
      </c>
      <c r="C1022" s="1">
        <v>45425</v>
      </c>
      <c r="D1022" s="1" t="str">
        <f>TEXT(Payments_Cleaned[[#This Row],[payment_date]],"mmm-yyyy")</f>
        <v>May-2024</v>
      </c>
      <c r="E1022" s="2">
        <v>168.65</v>
      </c>
      <c r="F1022" t="s">
        <v>4694</v>
      </c>
      <c r="G1022" s="2">
        <v>22.98</v>
      </c>
    </row>
    <row r="1023" spans="1:7" x14ac:dyDescent="0.35">
      <c r="A1023" t="s">
        <v>5716</v>
      </c>
      <c r="B1023" t="s">
        <v>2057</v>
      </c>
      <c r="C1023" s="1">
        <v>45095</v>
      </c>
      <c r="D1023" s="1" t="str">
        <f>TEXT(Payments_Cleaned[[#This Row],[payment_date]],"mmm-yyyy")</f>
        <v>Jun-2023</v>
      </c>
      <c r="E1023" s="2">
        <v>776.18</v>
      </c>
      <c r="F1023" t="s">
        <v>4694</v>
      </c>
      <c r="G1023" s="2">
        <v>67.849999999999994</v>
      </c>
    </row>
    <row r="1024" spans="1:7" x14ac:dyDescent="0.35">
      <c r="A1024" t="s">
        <v>5717</v>
      </c>
      <c r="B1024" t="s">
        <v>2060</v>
      </c>
      <c r="C1024" s="1">
        <v>45569</v>
      </c>
      <c r="D1024" s="1" t="str">
        <f>TEXT(Payments_Cleaned[[#This Row],[payment_date]],"mmm-yyyy")</f>
        <v>Oct-2024</v>
      </c>
      <c r="E1024" s="2">
        <v>257.39999999999998</v>
      </c>
      <c r="F1024" t="s">
        <v>4694</v>
      </c>
      <c r="G1024" s="2">
        <v>83.03</v>
      </c>
    </row>
    <row r="1025" spans="1:7" x14ac:dyDescent="0.35">
      <c r="A1025" t="s">
        <v>5718</v>
      </c>
      <c r="B1025" t="s">
        <v>2062</v>
      </c>
      <c r="C1025" s="1">
        <v>45171</v>
      </c>
      <c r="D1025" s="1" t="str">
        <f>TEXT(Payments_Cleaned[[#This Row],[payment_date]],"mmm-yyyy")</f>
        <v>Sep-2023</v>
      </c>
      <c r="E1025" s="2">
        <v>212.15</v>
      </c>
      <c r="F1025" t="s">
        <v>4694</v>
      </c>
      <c r="G1025" s="2">
        <v>104.02</v>
      </c>
    </row>
    <row r="1026" spans="1:7" x14ac:dyDescent="0.35">
      <c r="A1026" t="s">
        <v>5719</v>
      </c>
      <c r="B1026" t="s">
        <v>2063</v>
      </c>
      <c r="C1026" s="1">
        <v>45524</v>
      </c>
      <c r="D1026" s="1" t="str">
        <f>TEXT(Payments_Cleaned[[#This Row],[payment_date]],"mmm-yyyy")</f>
        <v>Aug-2024</v>
      </c>
      <c r="E1026" s="2">
        <v>1984.42</v>
      </c>
      <c r="F1026" t="s">
        <v>4694</v>
      </c>
      <c r="G1026" s="2">
        <v>305.81</v>
      </c>
    </row>
    <row r="1027" spans="1:7" x14ac:dyDescent="0.35">
      <c r="A1027" t="s">
        <v>5720</v>
      </c>
      <c r="B1027" t="s">
        <v>2064</v>
      </c>
      <c r="C1027" s="1">
        <v>45318</v>
      </c>
      <c r="D1027" s="1" t="str">
        <f>TEXT(Payments_Cleaned[[#This Row],[payment_date]],"mmm-yyyy")</f>
        <v>Jan-2024</v>
      </c>
      <c r="E1027" s="2">
        <v>1347.79</v>
      </c>
      <c r="F1027" t="s">
        <v>4694</v>
      </c>
      <c r="G1027" s="2">
        <v>356.76</v>
      </c>
    </row>
    <row r="1028" spans="1:7" x14ac:dyDescent="0.35">
      <c r="A1028" t="s">
        <v>5721</v>
      </c>
      <c r="B1028" t="s">
        <v>2066</v>
      </c>
      <c r="C1028" s="1">
        <v>45063</v>
      </c>
      <c r="D1028" s="1" t="str">
        <f>TEXT(Payments_Cleaned[[#This Row],[payment_date]],"mmm-yyyy")</f>
        <v>May-2023</v>
      </c>
      <c r="E1028" s="2">
        <v>108.89</v>
      </c>
      <c r="F1028" t="s">
        <v>4694</v>
      </c>
      <c r="G1028" s="2">
        <v>54.61</v>
      </c>
    </row>
    <row r="1029" spans="1:7" x14ac:dyDescent="0.35">
      <c r="A1029" t="s">
        <v>5722</v>
      </c>
      <c r="B1029" t="s">
        <v>2067</v>
      </c>
      <c r="C1029" s="1">
        <v>45580</v>
      </c>
      <c r="D1029" s="1" t="str">
        <f>TEXT(Payments_Cleaned[[#This Row],[payment_date]],"mmm-yyyy")</f>
        <v>Oct-2024</v>
      </c>
      <c r="E1029" s="2">
        <v>49.31</v>
      </c>
      <c r="F1029" t="s">
        <v>4694</v>
      </c>
      <c r="G1029" s="2">
        <v>4.96</v>
      </c>
    </row>
    <row r="1030" spans="1:7" x14ac:dyDescent="0.35">
      <c r="A1030" t="s">
        <v>5723</v>
      </c>
      <c r="B1030" t="s">
        <v>2068</v>
      </c>
      <c r="C1030" s="1">
        <v>45530</v>
      </c>
      <c r="D1030" s="1" t="str">
        <f>TEXT(Payments_Cleaned[[#This Row],[payment_date]],"mmm-yyyy")</f>
        <v>Aug-2024</v>
      </c>
      <c r="E1030" s="2">
        <v>276.45</v>
      </c>
      <c r="F1030" t="s">
        <v>4694</v>
      </c>
      <c r="G1030" s="2">
        <v>30.07</v>
      </c>
    </row>
    <row r="1031" spans="1:7" x14ac:dyDescent="0.35">
      <c r="A1031" t="s">
        <v>5724</v>
      </c>
      <c r="B1031" t="s">
        <v>2069</v>
      </c>
      <c r="C1031" s="1">
        <v>45457</v>
      </c>
      <c r="D1031" s="1" t="str">
        <f>TEXT(Payments_Cleaned[[#This Row],[payment_date]],"mmm-yyyy")</f>
        <v>Jun-2024</v>
      </c>
      <c r="E1031" s="2">
        <v>153.91999999999999</v>
      </c>
      <c r="F1031" t="s">
        <v>4694</v>
      </c>
      <c r="G1031" s="2">
        <v>62.52</v>
      </c>
    </row>
    <row r="1032" spans="1:7" x14ac:dyDescent="0.35">
      <c r="A1032" t="s">
        <v>5725</v>
      </c>
      <c r="B1032" t="s">
        <v>2070</v>
      </c>
      <c r="C1032" s="1">
        <v>45459</v>
      </c>
      <c r="D1032" s="1" t="str">
        <f>TEXT(Payments_Cleaned[[#This Row],[payment_date]],"mmm-yyyy")</f>
        <v>Jun-2024</v>
      </c>
      <c r="E1032" s="2">
        <v>4937.45</v>
      </c>
      <c r="F1032" t="s">
        <v>4694</v>
      </c>
      <c r="G1032" s="2">
        <v>709.47</v>
      </c>
    </row>
    <row r="1033" spans="1:7" x14ac:dyDescent="0.35">
      <c r="A1033" t="s">
        <v>5726</v>
      </c>
      <c r="B1033" t="s">
        <v>2071</v>
      </c>
      <c r="C1033" s="1">
        <v>45437</v>
      </c>
      <c r="D1033" s="1" t="str">
        <f>TEXT(Payments_Cleaned[[#This Row],[payment_date]],"mmm-yyyy")</f>
        <v>May-2024</v>
      </c>
      <c r="E1033" s="2">
        <v>5013.3</v>
      </c>
      <c r="F1033" t="s">
        <v>4694</v>
      </c>
      <c r="G1033" s="2">
        <v>218.84</v>
      </c>
    </row>
    <row r="1034" spans="1:7" x14ac:dyDescent="0.35">
      <c r="A1034" t="s">
        <v>5727</v>
      </c>
      <c r="B1034" t="s">
        <v>2072</v>
      </c>
      <c r="C1034" s="1">
        <v>45229</v>
      </c>
      <c r="D1034" s="1" t="str">
        <f>TEXT(Payments_Cleaned[[#This Row],[payment_date]],"mmm-yyyy")</f>
        <v>Oct-2023</v>
      </c>
      <c r="E1034" s="2">
        <v>562.79999999999995</v>
      </c>
      <c r="F1034" t="s">
        <v>4694</v>
      </c>
      <c r="G1034" s="2">
        <v>69.67</v>
      </c>
    </row>
    <row r="1035" spans="1:7" x14ac:dyDescent="0.35">
      <c r="A1035" t="s">
        <v>5728</v>
      </c>
      <c r="B1035" t="s">
        <v>2073</v>
      </c>
      <c r="C1035" s="1">
        <v>45389</v>
      </c>
      <c r="D1035" s="1" t="str">
        <f>TEXT(Payments_Cleaned[[#This Row],[payment_date]],"mmm-yyyy")</f>
        <v>Apr-2024</v>
      </c>
      <c r="E1035" s="2">
        <v>234.45</v>
      </c>
      <c r="F1035" t="s">
        <v>4694</v>
      </c>
      <c r="G1035" s="2">
        <v>125.98</v>
      </c>
    </row>
    <row r="1036" spans="1:7" x14ac:dyDescent="0.35">
      <c r="A1036" t="s">
        <v>5729</v>
      </c>
      <c r="B1036" t="s">
        <v>2075</v>
      </c>
      <c r="C1036" s="1">
        <v>45337</v>
      </c>
      <c r="D1036" s="1" t="str">
        <f>TEXT(Payments_Cleaned[[#This Row],[payment_date]],"mmm-yyyy")</f>
        <v>Feb-2024</v>
      </c>
      <c r="E1036" s="2">
        <v>113.46</v>
      </c>
      <c r="F1036" t="s">
        <v>4694</v>
      </c>
      <c r="G1036" s="2">
        <v>45.25</v>
      </c>
    </row>
    <row r="1037" spans="1:7" x14ac:dyDescent="0.35">
      <c r="A1037" t="s">
        <v>5730</v>
      </c>
      <c r="B1037" t="s">
        <v>2076</v>
      </c>
      <c r="C1037" s="1">
        <v>45241</v>
      </c>
      <c r="D1037" s="1" t="str">
        <f>TEXT(Payments_Cleaned[[#This Row],[payment_date]],"mmm-yyyy")</f>
        <v>Nov-2023</v>
      </c>
      <c r="E1037" s="2">
        <v>462.22</v>
      </c>
      <c r="F1037" t="s">
        <v>4694</v>
      </c>
      <c r="G1037" s="2">
        <v>111.32</v>
      </c>
    </row>
    <row r="1038" spans="1:7" x14ac:dyDescent="0.35">
      <c r="A1038" t="s">
        <v>5731</v>
      </c>
      <c r="B1038" t="s">
        <v>2077</v>
      </c>
      <c r="C1038" s="1">
        <v>45233</v>
      </c>
      <c r="D1038" s="1" t="str">
        <f>TEXT(Payments_Cleaned[[#This Row],[payment_date]],"mmm-yyyy")</f>
        <v>Nov-2023</v>
      </c>
      <c r="E1038" s="2">
        <v>514.44000000000005</v>
      </c>
      <c r="F1038" t="s">
        <v>4694</v>
      </c>
      <c r="G1038" s="2">
        <v>169.93</v>
      </c>
    </row>
    <row r="1039" spans="1:7" x14ac:dyDescent="0.35">
      <c r="A1039" t="s">
        <v>5732</v>
      </c>
      <c r="B1039" t="s">
        <v>2079</v>
      </c>
      <c r="C1039" s="1">
        <v>45126</v>
      </c>
      <c r="D1039" s="1" t="str">
        <f>TEXT(Payments_Cleaned[[#This Row],[payment_date]],"mmm-yyyy")</f>
        <v>Jul-2023</v>
      </c>
      <c r="E1039" s="2">
        <v>1828.23</v>
      </c>
      <c r="F1039" t="s">
        <v>4694</v>
      </c>
      <c r="G1039" s="2">
        <v>195.13</v>
      </c>
    </row>
    <row r="1040" spans="1:7" x14ac:dyDescent="0.35">
      <c r="A1040" t="s">
        <v>5733</v>
      </c>
      <c r="B1040" t="s">
        <v>2081</v>
      </c>
      <c r="C1040" s="1">
        <v>45501</v>
      </c>
      <c r="D1040" s="1" t="str">
        <f>TEXT(Payments_Cleaned[[#This Row],[payment_date]],"mmm-yyyy")</f>
        <v>Jul-2024</v>
      </c>
      <c r="E1040" s="2">
        <v>1886.89</v>
      </c>
      <c r="F1040" t="s">
        <v>4697</v>
      </c>
      <c r="G1040" s="2">
        <v>415.07</v>
      </c>
    </row>
    <row r="1041" spans="1:7" x14ac:dyDescent="0.35">
      <c r="A1041" t="s">
        <v>5734</v>
      </c>
      <c r="B1041" t="s">
        <v>2082</v>
      </c>
      <c r="C1041" s="1">
        <v>45507</v>
      </c>
      <c r="D1041" s="1" t="str">
        <f>TEXT(Payments_Cleaned[[#This Row],[payment_date]],"mmm-yyyy")</f>
        <v>Aug-2024</v>
      </c>
      <c r="E1041" s="2">
        <v>1515.2</v>
      </c>
      <c r="F1041" t="s">
        <v>4694</v>
      </c>
      <c r="G1041" s="2">
        <v>678.74</v>
      </c>
    </row>
    <row r="1042" spans="1:7" x14ac:dyDescent="0.35">
      <c r="A1042" t="s">
        <v>5735</v>
      </c>
      <c r="B1042" t="s">
        <v>2083</v>
      </c>
      <c r="C1042" s="1">
        <v>44967</v>
      </c>
      <c r="D1042" s="1" t="str">
        <f>TEXT(Payments_Cleaned[[#This Row],[payment_date]],"mmm-yyyy")</f>
        <v>Feb-2023</v>
      </c>
      <c r="E1042" s="2">
        <v>485.07</v>
      </c>
      <c r="F1042" t="s">
        <v>4694</v>
      </c>
      <c r="G1042" s="2">
        <v>201.11</v>
      </c>
    </row>
    <row r="1043" spans="1:7" x14ac:dyDescent="0.35">
      <c r="A1043" t="s">
        <v>5736</v>
      </c>
      <c r="B1043" t="s">
        <v>2084</v>
      </c>
      <c r="C1043" s="1">
        <v>45262</v>
      </c>
      <c r="D1043" s="1" t="str">
        <f>TEXT(Payments_Cleaned[[#This Row],[payment_date]],"mmm-yyyy")</f>
        <v>Dec-2023</v>
      </c>
      <c r="E1043" s="2">
        <v>549.83000000000004</v>
      </c>
      <c r="F1043" t="s">
        <v>4694</v>
      </c>
      <c r="G1043" s="2">
        <v>293.58999999999997</v>
      </c>
    </row>
    <row r="1044" spans="1:7" x14ac:dyDescent="0.35">
      <c r="A1044" t="s">
        <v>5737</v>
      </c>
      <c r="B1044" t="s">
        <v>2085</v>
      </c>
      <c r="C1044" s="1">
        <v>45384</v>
      </c>
      <c r="D1044" s="1" t="str">
        <f>TEXT(Payments_Cleaned[[#This Row],[payment_date]],"mmm-yyyy")</f>
        <v>Apr-2024</v>
      </c>
      <c r="E1044" s="2">
        <v>511.49</v>
      </c>
      <c r="F1044" t="s">
        <v>4694</v>
      </c>
      <c r="G1044" s="2">
        <v>224.69</v>
      </c>
    </row>
    <row r="1045" spans="1:7" x14ac:dyDescent="0.35">
      <c r="A1045" t="s">
        <v>5738</v>
      </c>
      <c r="B1045" t="s">
        <v>2086</v>
      </c>
      <c r="C1045" s="1">
        <v>45423</v>
      </c>
      <c r="D1045" s="1" t="str">
        <f>TEXT(Payments_Cleaned[[#This Row],[payment_date]],"mmm-yyyy")</f>
        <v>May-2024</v>
      </c>
      <c r="E1045" s="2">
        <v>39.15</v>
      </c>
      <c r="F1045" t="s">
        <v>4694</v>
      </c>
      <c r="G1045" s="2">
        <v>22.48</v>
      </c>
    </row>
    <row r="1046" spans="1:7" x14ac:dyDescent="0.35">
      <c r="A1046" t="s">
        <v>5739</v>
      </c>
      <c r="B1046" t="s">
        <v>2089</v>
      </c>
      <c r="C1046" s="1">
        <v>45578</v>
      </c>
      <c r="D1046" s="1" t="str">
        <f>TEXT(Payments_Cleaned[[#This Row],[payment_date]],"mmm-yyyy")</f>
        <v>Oct-2024</v>
      </c>
      <c r="E1046" s="2">
        <v>61.11</v>
      </c>
      <c r="F1046" t="s">
        <v>4694</v>
      </c>
      <c r="G1046" s="2">
        <v>29.41</v>
      </c>
    </row>
    <row r="1047" spans="1:7" x14ac:dyDescent="0.35">
      <c r="A1047" t="s">
        <v>5740</v>
      </c>
      <c r="B1047" t="s">
        <v>2090</v>
      </c>
      <c r="C1047" s="1">
        <v>45234</v>
      </c>
      <c r="D1047" s="1" t="str">
        <f>TEXT(Payments_Cleaned[[#This Row],[payment_date]],"mmm-yyyy")</f>
        <v>Nov-2023</v>
      </c>
      <c r="E1047" s="2">
        <v>2316.7800000000002</v>
      </c>
      <c r="F1047" t="s">
        <v>4694</v>
      </c>
      <c r="G1047" s="2">
        <v>1030.57</v>
      </c>
    </row>
    <row r="1048" spans="1:7" x14ac:dyDescent="0.35">
      <c r="A1048" t="s">
        <v>5741</v>
      </c>
      <c r="B1048" t="s">
        <v>2091</v>
      </c>
      <c r="C1048" s="1">
        <v>45532</v>
      </c>
      <c r="D1048" s="1" t="str">
        <f>TEXT(Payments_Cleaned[[#This Row],[payment_date]],"mmm-yyyy")</f>
        <v>Aug-2024</v>
      </c>
      <c r="E1048" s="2">
        <v>163.35</v>
      </c>
      <c r="F1048" t="s">
        <v>4694</v>
      </c>
      <c r="G1048" s="2">
        <v>86.37</v>
      </c>
    </row>
    <row r="1049" spans="1:7" x14ac:dyDescent="0.35">
      <c r="A1049" t="s">
        <v>5742</v>
      </c>
      <c r="B1049" t="s">
        <v>2092</v>
      </c>
      <c r="C1049" s="1">
        <v>45206</v>
      </c>
      <c r="D1049" s="1" t="str">
        <f>TEXT(Payments_Cleaned[[#This Row],[payment_date]],"mmm-yyyy")</f>
        <v>Oct-2023</v>
      </c>
      <c r="E1049" s="2">
        <v>581.59</v>
      </c>
      <c r="F1049" t="s">
        <v>4694</v>
      </c>
      <c r="G1049" s="2">
        <v>92.51</v>
      </c>
    </row>
    <row r="1050" spans="1:7" x14ac:dyDescent="0.35">
      <c r="A1050" t="s">
        <v>5743</v>
      </c>
      <c r="B1050" t="s">
        <v>2093</v>
      </c>
      <c r="C1050" s="1">
        <v>45126</v>
      </c>
      <c r="D1050" s="1" t="str">
        <f>TEXT(Payments_Cleaned[[#This Row],[payment_date]],"mmm-yyyy")</f>
        <v>Jul-2023</v>
      </c>
      <c r="E1050" s="2">
        <v>161.38</v>
      </c>
      <c r="F1050" t="s">
        <v>4694</v>
      </c>
      <c r="G1050" s="2">
        <v>32.28</v>
      </c>
    </row>
    <row r="1051" spans="1:7" x14ac:dyDescent="0.35">
      <c r="A1051" t="s">
        <v>5744</v>
      </c>
      <c r="B1051" t="s">
        <v>2096</v>
      </c>
      <c r="C1051" s="1">
        <v>45656</v>
      </c>
      <c r="D1051" s="1" t="str">
        <f>TEXT(Payments_Cleaned[[#This Row],[payment_date]],"mmm-yyyy")</f>
        <v>Dec-2024</v>
      </c>
      <c r="E1051" s="2">
        <v>3706.71</v>
      </c>
      <c r="F1051" t="s">
        <v>4694</v>
      </c>
      <c r="G1051" s="2">
        <v>961.89</v>
      </c>
    </row>
    <row r="1052" spans="1:7" x14ac:dyDescent="0.35">
      <c r="A1052" t="s">
        <v>5745</v>
      </c>
      <c r="B1052" t="s">
        <v>2098</v>
      </c>
      <c r="C1052" s="1">
        <v>45286</v>
      </c>
      <c r="D1052" s="1" t="str">
        <f>TEXT(Payments_Cleaned[[#This Row],[payment_date]],"mmm-yyyy")</f>
        <v>Dec-2023</v>
      </c>
      <c r="E1052" s="2">
        <v>661.19</v>
      </c>
      <c r="F1052" t="s">
        <v>4694</v>
      </c>
      <c r="G1052" s="2">
        <v>180.08</v>
      </c>
    </row>
    <row r="1053" spans="1:7" x14ac:dyDescent="0.35">
      <c r="A1053" t="s">
        <v>5746</v>
      </c>
      <c r="B1053" t="s">
        <v>2099</v>
      </c>
      <c r="C1053" s="1">
        <v>45308</v>
      </c>
      <c r="D1053" s="1" t="str">
        <f>TEXT(Payments_Cleaned[[#This Row],[payment_date]],"mmm-yyyy")</f>
        <v>Jan-2024</v>
      </c>
      <c r="E1053" s="2">
        <v>3254.17</v>
      </c>
      <c r="F1053" t="s">
        <v>4694</v>
      </c>
      <c r="G1053" s="2">
        <v>243.07</v>
      </c>
    </row>
    <row r="1054" spans="1:7" x14ac:dyDescent="0.35">
      <c r="A1054" t="s">
        <v>5747</v>
      </c>
      <c r="B1054" t="s">
        <v>2100</v>
      </c>
      <c r="C1054" s="1">
        <v>45601</v>
      </c>
      <c r="D1054" s="1" t="str">
        <f>TEXT(Payments_Cleaned[[#This Row],[payment_date]],"mmm-yyyy")</f>
        <v>Nov-2024</v>
      </c>
      <c r="E1054" s="2">
        <v>162.68</v>
      </c>
      <c r="F1054" t="s">
        <v>4694</v>
      </c>
      <c r="G1054" s="2">
        <v>42.59</v>
      </c>
    </row>
    <row r="1055" spans="1:7" x14ac:dyDescent="0.35">
      <c r="A1055" t="s">
        <v>5748</v>
      </c>
      <c r="B1055" t="s">
        <v>2101</v>
      </c>
      <c r="C1055" s="1">
        <v>45656</v>
      </c>
      <c r="D1055" s="1" t="str">
        <f>TEXT(Payments_Cleaned[[#This Row],[payment_date]],"mmm-yyyy")</f>
        <v>Dec-2024</v>
      </c>
      <c r="E1055" s="2">
        <v>1855.88</v>
      </c>
      <c r="F1055" t="s">
        <v>4694</v>
      </c>
      <c r="G1055" s="2">
        <v>188.88</v>
      </c>
    </row>
    <row r="1056" spans="1:7" x14ac:dyDescent="0.35">
      <c r="A1056" t="s">
        <v>5749</v>
      </c>
      <c r="B1056" t="s">
        <v>2102</v>
      </c>
      <c r="C1056" s="1">
        <v>45333</v>
      </c>
      <c r="D1056" s="1" t="str">
        <f>TEXT(Payments_Cleaned[[#This Row],[payment_date]],"mmm-yyyy")</f>
        <v>Feb-2024</v>
      </c>
      <c r="E1056" s="2">
        <v>679.42</v>
      </c>
      <c r="F1056" t="s">
        <v>4694</v>
      </c>
      <c r="G1056" s="2">
        <v>102.6</v>
      </c>
    </row>
    <row r="1057" spans="1:7" x14ac:dyDescent="0.35">
      <c r="A1057" t="s">
        <v>5750</v>
      </c>
      <c r="B1057" t="s">
        <v>2103</v>
      </c>
      <c r="C1057" s="1">
        <v>45575</v>
      </c>
      <c r="D1057" s="1" t="str">
        <f>TEXT(Payments_Cleaned[[#This Row],[payment_date]],"mmm-yyyy")</f>
        <v>Oct-2024</v>
      </c>
      <c r="E1057" s="2">
        <v>227.69</v>
      </c>
      <c r="F1057" t="s">
        <v>4694</v>
      </c>
      <c r="G1057" s="2">
        <v>45.96</v>
      </c>
    </row>
    <row r="1058" spans="1:7" x14ac:dyDescent="0.35">
      <c r="A1058" t="s">
        <v>5751</v>
      </c>
      <c r="B1058" t="s">
        <v>2104</v>
      </c>
      <c r="C1058" s="1">
        <v>45053</v>
      </c>
      <c r="D1058" s="1" t="str">
        <f>TEXT(Payments_Cleaned[[#This Row],[payment_date]],"mmm-yyyy")</f>
        <v>May-2023</v>
      </c>
      <c r="E1058" s="2">
        <v>644.4</v>
      </c>
      <c r="F1058" t="s">
        <v>4694</v>
      </c>
      <c r="G1058" s="2">
        <v>138.03</v>
      </c>
    </row>
    <row r="1059" spans="1:7" x14ac:dyDescent="0.35">
      <c r="A1059" t="s">
        <v>5752</v>
      </c>
      <c r="B1059" t="s">
        <v>2105</v>
      </c>
      <c r="C1059" s="1">
        <v>45271</v>
      </c>
      <c r="D1059" s="1" t="str">
        <f>TEXT(Payments_Cleaned[[#This Row],[payment_date]],"mmm-yyyy")</f>
        <v>Dec-2023</v>
      </c>
      <c r="E1059" s="2">
        <v>5900.02</v>
      </c>
      <c r="F1059" t="s">
        <v>4694</v>
      </c>
      <c r="G1059" s="2">
        <v>607.89</v>
      </c>
    </row>
    <row r="1060" spans="1:7" x14ac:dyDescent="0.35">
      <c r="A1060" t="s">
        <v>5753</v>
      </c>
      <c r="B1060" t="s">
        <v>2107</v>
      </c>
      <c r="C1060" s="1">
        <v>45460</v>
      </c>
      <c r="D1060" s="1" t="str">
        <f>TEXT(Payments_Cleaned[[#This Row],[payment_date]],"mmm-yyyy")</f>
        <v>Jun-2024</v>
      </c>
      <c r="E1060" s="2">
        <v>669.22</v>
      </c>
      <c r="F1060" t="s">
        <v>4694</v>
      </c>
      <c r="G1060" s="2">
        <v>392.89</v>
      </c>
    </row>
    <row r="1061" spans="1:7" x14ac:dyDescent="0.35">
      <c r="A1061" t="s">
        <v>5754</v>
      </c>
      <c r="B1061" t="s">
        <v>2108</v>
      </c>
      <c r="C1061" s="1">
        <v>45353</v>
      </c>
      <c r="D1061" s="1" t="str">
        <f>TEXT(Payments_Cleaned[[#This Row],[payment_date]],"mmm-yyyy")</f>
        <v>Mar-2024</v>
      </c>
      <c r="E1061" s="2">
        <v>1930.38</v>
      </c>
      <c r="F1061" t="s">
        <v>4694</v>
      </c>
      <c r="G1061" s="2">
        <v>401.53</v>
      </c>
    </row>
    <row r="1062" spans="1:7" x14ac:dyDescent="0.35">
      <c r="A1062" t="s">
        <v>5755</v>
      </c>
      <c r="B1062" t="s">
        <v>2109</v>
      </c>
      <c r="C1062" s="1">
        <v>45666</v>
      </c>
      <c r="D1062" s="1" t="str">
        <f>TEXT(Payments_Cleaned[[#This Row],[payment_date]],"mmm-yyyy")</f>
        <v>Jan-2025</v>
      </c>
      <c r="E1062" s="2">
        <v>688.39</v>
      </c>
      <c r="F1062" t="s">
        <v>4694</v>
      </c>
      <c r="G1062" s="2">
        <v>90.21</v>
      </c>
    </row>
    <row r="1063" spans="1:7" x14ac:dyDescent="0.35">
      <c r="A1063" t="s">
        <v>5756</v>
      </c>
      <c r="B1063" t="s">
        <v>2110</v>
      </c>
      <c r="C1063" s="1">
        <v>45315</v>
      </c>
      <c r="D1063" s="1" t="str">
        <f>TEXT(Payments_Cleaned[[#This Row],[payment_date]],"mmm-yyyy")</f>
        <v>Jan-2024</v>
      </c>
      <c r="E1063" s="2">
        <v>2340.21</v>
      </c>
      <c r="F1063" t="s">
        <v>4694</v>
      </c>
      <c r="G1063" s="2">
        <v>105.07</v>
      </c>
    </row>
    <row r="1064" spans="1:7" x14ac:dyDescent="0.35">
      <c r="A1064" t="s">
        <v>5757</v>
      </c>
      <c r="B1064" t="s">
        <v>2111</v>
      </c>
      <c r="C1064" s="1">
        <v>44999</v>
      </c>
      <c r="D1064" s="1" t="str">
        <f>TEXT(Payments_Cleaned[[#This Row],[payment_date]],"mmm-yyyy")</f>
        <v>Mar-2023</v>
      </c>
      <c r="E1064" s="2">
        <v>1190.49</v>
      </c>
      <c r="F1064" t="s">
        <v>4694</v>
      </c>
      <c r="G1064" s="2">
        <v>474.82</v>
      </c>
    </row>
    <row r="1065" spans="1:7" x14ac:dyDescent="0.35">
      <c r="A1065" t="s">
        <v>5758</v>
      </c>
      <c r="B1065" t="s">
        <v>2113</v>
      </c>
      <c r="C1065" s="1">
        <v>45383</v>
      </c>
      <c r="D1065" s="1" t="str">
        <f>TEXT(Payments_Cleaned[[#This Row],[payment_date]],"mmm-yyyy")</f>
        <v>Apr-2024</v>
      </c>
      <c r="E1065" s="2">
        <v>613.32000000000005</v>
      </c>
      <c r="F1065" t="s">
        <v>4694</v>
      </c>
      <c r="G1065" s="2">
        <v>84.16</v>
      </c>
    </row>
    <row r="1066" spans="1:7" x14ac:dyDescent="0.35">
      <c r="A1066" t="s">
        <v>5759</v>
      </c>
      <c r="B1066" t="s">
        <v>2115</v>
      </c>
      <c r="C1066" s="1">
        <v>45314</v>
      </c>
      <c r="D1066" s="1" t="str">
        <f>TEXT(Payments_Cleaned[[#This Row],[payment_date]],"mmm-yyyy")</f>
        <v>Jan-2024</v>
      </c>
      <c r="E1066" s="2">
        <v>290.82</v>
      </c>
      <c r="F1066" t="s">
        <v>4694</v>
      </c>
      <c r="G1066" s="2">
        <v>35.479999999999997</v>
      </c>
    </row>
    <row r="1067" spans="1:7" x14ac:dyDescent="0.35">
      <c r="A1067" t="s">
        <v>5760</v>
      </c>
      <c r="B1067" t="s">
        <v>2116</v>
      </c>
      <c r="C1067" s="1">
        <v>45273</v>
      </c>
      <c r="D1067" s="1" t="str">
        <f>TEXT(Payments_Cleaned[[#This Row],[payment_date]],"mmm-yyyy")</f>
        <v>Dec-2023</v>
      </c>
      <c r="E1067" s="2">
        <v>735.18</v>
      </c>
      <c r="F1067" t="s">
        <v>4694</v>
      </c>
      <c r="G1067" s="2">
        <v>57.72</v>
      </c>
    </row>
    <row r="1068" spans="1:7" x14ac:dyDescent="0.35">
      <c r="A1068" t="s">
        <v>5761</v>
      </c>
      <c r="B1068" t="s">
        <v>2120</v>
      </c>
      <c r="C1068" s="1">
        <v>45078</v>
      </c>
      <c r="D1068" s="1" t="str">
        <f>TEXT(Payments_Cleaned[[#This Row],[payment_date]],"mmm-yyyy")</f>
        <v>Jun-2023</v>
      </c>
      <c r="E1068" s="2">
        <v>513.51</v>
      </c>
      <c r="F1068" t="s">
        <v>4694</v>
      </c>
      <c r="G1068" s="2">
        <v>266.33999999999997</v>
      </c>
    </row>
    <row r="1069" spans="1:7" x14ac:dyDescent="0.35">
      <c r="A1069" t="s">
        <v>5762</v>
      </c>
      <c r="B1069" t="s">
        <v>2124</v>
      </c>
      <c r="C1069" s="1">
        <v>45332</v>
      </c>
      <c r="D1069" s="1" t="str">
        <f>TEXT(Payments_Cleaned[[#This Row],[payment_date]],"mmm-yyyy")</f>
        <v>Feb-2024</v>
      </c>
      <c r="E1069" s="2">
        <v>3689.54</v>
      </c>
      <c r="F1069" t="s">
        <v>4694</v>
      </c>
      <c r="G1069" s="2">
        <v>1832.21</v>
      </c>
    </row>
    <row r="1070" spans="1:7" x14ac:dyDescent="0.35">
      <c r="A1070" t="s">
        <v>5763</v>
      </c>
      <c r="B1070" t="s">
        <v>2125</v>
      </c>
      <c r="C1070" s="1">
        <v>45463</v>
      </c>
      <c r="D1070" s="1" t="str">
        <f>TEXT(Payments_Cleaned[[#This Row],[payment_date]],"mmm-yyyy")</f>
        <v>Jun-2024</v>
      </c>
      <c r="E1070" s="2">
        <v>865.42</v>
      </c>
      <c r="F1070" t="s">
        <v>4694</v>
      </c>
      <c r="G1070" s="2">
        <v>61.59</v>
      </c>
    </row>
    <row r="1071" spans="1:7" x14ac:dyDescent="0.35">
      <c r="A1071" t="s">
        <v>5764</v>
      </c>
      <c r="B1071" t="s">
        <v>2127</v>
      </c>
      <c r="C1071" s="1">
        <v>45016</v>
      </c>
      <c r="D1071" s="1" t="str">
        <f>TEXT(Payments_Cleaned[[#This Row],[payment_date]],"mmm-yyyy")</f>
        <v>Mar-2023</v>
      </c>
      <c r="E1071" s="2">
        <v>4639.3100000000004</v>
      </c>
      <c r="F1071" t="s">
        <v>4694</v>
      </c>
      <c r="G1071" s="2">
        <v>800.74</v>
      </c>
    </row>
    <row r="1072" spans="1:7" x14ac:dyDescent="0.35">
      <c r="A1072" t="s">
        <v>5765</v>
      </c>
      <c r="B1072" t="s">
        <v>2128</v>
      </c>
      <c r="C1072" s="1">
        <v>45513</v>
      </c>
      <c r="D1072" s="1" t="str">
        <f>TEXT(Payments_Cleaned[[#This Row],[payment_date]],"mmm-yyyy")</f>
        <v>Aug-2024</v>
      </c>
      <c r="E1072" s="2">
        <v>102.66</v>
      </c>
      <c r="F1072" t="s">
        <v>4694</v>
      </c>
      <c r="G1072" s="2">
        <v>13.89</v>
      </c>
    </row>
    <row r="1073" spans="1:7" x14ac:dyDescent="0.35">
      <c r="A1073" t="s">
        <v>5766</v>
      </c>
      <c r="B1073" t="s">
        <v>2129</v>
      </c>
      <c r="C1073" s="1">
        <v>45465</v>
      </c>
      <c r="D1073" s="1" t="str">
        <f>TEXT(Payments_Cleaned[[#This Row],[payment_date]],"mmm-yyyy")</f>
        <v>Jun-2024</v>
      </c>
      <c r="E1073" s="2">
        <v>77.180000000000007</v>
      </c>
      <c r="F1073" t="s">
        <v>4694</v>
      </c>
      <c r="G1073" s="2">
        <v>18.27</v>
      </c>
    </row>
    <row r="1074" spans="1:7" x14ac:dyDescent="0.35">
      <c r="A1074" t="s">
        <v>5767</v>
      </c>
      <c r="B1074" t="s">
        <v>2130</v>
      </c>
      <c r="C1074" s="1">
        <v>45469</v>
      </c>
      <c r="D1074" s="1" t="str">
        <f>TEXT(Payments_Cleaned[[#This Row],[payment_date]],"mmm-yyyy")</f>
        <v>Jun-2024</v>
      </c>
      <c r="E1074" s="2">
        <v>419.58</v>
      </c>
      <c r="F1074" t="s">
        <v>4694</v>
      </c>
      <c r="G1074" s="2">
        <v>124.09</v>
      </c>
    </row>
    <row r="1075" spans="1:7" x14ac:dyDescent="0.35">
      <c r="A1075" t="s">
        <v>5768</v>
      </c>
      <c r="B1075" t="s">
        <v>2131</v>
      </c>
      <c r="C1075" s="1">
        <v>44969</v>
      </c>
      <c r="D1075" s="1" t="str">
        <f>TEXT(Payments_Cleaned[[#This Row],[payment_date]],"mmm-yyyy")</f>
        <v>Feb-2023</v>
      </c>
      <c r="E1075" s="2">
        <v>295.3</v>
      </c>
      <c r="F1075" t="s">
        <v>4694</v>
      </c>
      <c r="G1075" s="2">
        <v>72.83</v>
      </c>
    </row>
    <row r="1076" spans="1:7" x14ac:dyDescent="0.35">
      <c r="A1076" t="s">
        <v>5769</v>
      </c>
      <c r="B1076" t="s">
        <v>2132</v>
      </c>
      <c r="C1076" s="1">
        <v>45180</v>
      </c>
      <c r="D1076" s="1" t="str">
        <f>TEXT(Payments_Cleaned[[#This Row],[payment_date]],"mmm-yyyy")</f>
        <v>Sep-2023</v>
      </c>
      <c r="E1076" s="2">
        <v>5000.3500000000004</v>
      </c>
      <c r="F1076" t="s">
        <v>4694</v>
      </c>
      <c r="G1076" s="2">
        <v>1787.16</v>
      </c>
    </row>
    <row r="1077" spans="1:7" x14ac:dyDescent="0.35">
      <c r="A1077" t="s">
        <v>5770</v>
      </c>
      <c r="B1077" t="s">
        <v>2134</v>
      </c>
      <c r="C1077" s="1">
        <v>45629</v>
      </c>
      <c r="D1077" s="1" t="str">
        <f>TEXT(Payments_Cleaned[[#This Row],[payment_date]],"mmm-yyyy")</f>
        <v>Dec-2024</v>
      </c>
      <c r="E1077" s="2">
        <v>339.93</v>
      </c>
      <c r="F1077" t="s">
        <v>4694</v>
      </c>
      <c r="G1077" s="2">
        <v>36.07</v>
      </c>
    </row>
    <row r="1078" spans="1:7" x14ac:dyDescent="0.35">
      <c r="A1078" t="s">
        <v>5771</v>
      </c>
      <c r="B1078" t="s">
        <v>2135</v>
      </c>
      <c r="C1078" s="1">
        <v>45250</v>
      </c>
      <c r="D1078" s="1" t="str">
        <f>TEXT(Payments_Cleaned[[#This Row],[payment_date]],"mmm-yyyy")</f>
        <v>Nov-2023</v>
      </c>
      <c r="E1078" s="2">
        <v>934.26</v>
      </c>
      <c r="F1078" t="s">
        <v>4697</v>
      </c>
      <c r="G1078" s="2">
        <v>50.3</v>
      </c>
    </row>
    <row r="1079" spans="1:7" x14ac:dyDescent="0.35">
      <c r="A1079" t="s">
        <v>5772</v>
      </c>
      <c r="B1079" t="s">
        <v>2136</v>
      </c>
      <c r="C1079" s="1">
        <v>45534</v>
      </c>
      <c r="D1079" s="1" t="str">
        <f>TEXT(Payments_Cleaned[[#This Row],[payment_date]],"mmm-yyyy")</f>
        <v>Aug-2024</v>
      </c>
      <c r="E1079" s="2">
        <v>2300.36</v>
      </c>
      <c r="F1079" t="s">
        <v>4694</v>
      </c>
      <c r="G1079" s="2">
        <v>109.95</v>
      </c>
    </row>
    <row r="1080" spans="1:7" x14ac:dyDescent="0.35">
      <c r="A1080" t="s">
        <v>5773</v>
      </c>
      <c r="B1080" t="s">
        <v>2137</v>
      </c>
      <c r="C1080" s="1">
        <v>45171</v>
      </c>
      <c r="D1080" s="1" t="str">
        <f>TEXT(Payments_Cleaned[[#This Row],[payment_date]],"mmm-yyyy")</f>
        <v>Sep-2023</v>
      </c>
      <c r="E1080" s="2">
        <v>84.92</v>
      </c>
      <c r="F1080" t="s">
        <v>4697</v>
      </c>
      <c r="G1080" s="2">
        <v>29.83</v>
      </c>
    </row>
    <row r="1081" spans="1:7" x14ac:dyDescent="0.35">
      <c r="A1081" t="s">
        <v>5774</v>
      </c>
      <c r="B1081" t="s">
        <v>2138</v>
      </c>
      <c r="C1081" s="1">
        <v>44980</v>
      </c>
      <c r="D1081" s="1" t="str">
        <f>TEXT(Payments_Cleaned[[#This Row],[payment_date]],"mmm-yyyy")</f>
        <v>Feb-2023</v>
      </c>
      <c r="E1081" s="2">
        <v>269.83999999999997</v>
      </c>
      <c r="F1081" t="s">
        <v>4697</v>
      </c>
      <c r="G1081" s="2">
        <v>18.8</v>
      </c>
    </row>
    <row r="1082" spans="1:7" x14ac:dyDescent="0.35">
      <c r="A1082" t="s">
        <v>5775</v>
      </c>
      <c r="B1082" t="s">
        <v>2139</v>
      </c>
      <c r="C1082" s="1">
        <v>45400</v>
      </c>
      <c r="D1082" s="1" t="str">
        <f>TEXT(Payments_Cleaned[[#This Row],[payment_date]],"mmm-yyyy")</f>
        <v>Apr-2024</v>
      </c>
      <c r="E1082" s="2">
        <v>159.07</v>
      </c>
      <c r="F1082" t="s">
        <v>4694</v>
      </c>
      <c r="G1082" s="2">
        <v>18.82</v>
      </c>
    </row>
    <row r="1083" spans="1:7" x14ac:dyDescent="0.35">
      <c r="A1083" t="s">
        <v>5776</v>
      </c>
      <c r="B1083" t="s">
        <v>2140</v>
      </c>
      <c r="C1083" s="1">
        <v>45126</v>
      </c>
      <c r="D1083" s="1" t="str">
        <f>TEXT(Payments_Cleaned[[#This Row],[payment_date]],"mmm-yyyy")</f>
        <v>Jul-2023</v>
      </c>
      <c r="E1083" s="2">
        <v>1787.88</v>
      </c>
      <c r="F1083" t="s">
        <v>4694</v>
      </c>
      <c r="G1083" s="2">
        <v>816.38</v>
      </c>
    </row>
    <row r="1084" spans="1:7" x14ac:dyDescent="0.35">
      <c r="A1084" t="s">
        <v>5777</v>
      </c>
      <c r="B1084" t="s">
        <v>2142</v>
      </c>
      <c r="C1084" s="1">
        <v>45488</v>
      </c>
      <c r="D1084" s="1" t="str">
        <f>TEXT(Payments_Cleaned[[#This Row],[payment_date]],"mmm-yyyy")</f>
        <v>Jul-2024</v>
      </c>
      <c r="E1084" s="2">
        <v>263.2</v>
      </c>
      <c r="F1084" t="s">
        <v>4694</v>
      </c>
      <c r="G1084" s="2">
        <v>115.83</v>
      </c>
    </row>
    <row r="1085" spans="1:7" x14ac:dyDescent="0.35">
      <c r="A1085" t="s">
        <v>5778</v>
      </c>
      <c r="B1085" t="s">
        <v>2143</v>
      </c>
      <c r="C1085" s="1">
        <v>45613</v>
      </c>
      <c r="D1085" s="1" t="str">
        <f>TEXT(Payments_Cleaned[[#This Row],[payment_date]],"mmm-yyyy")</f>
        <v>Nov-2024</v>
      </c>
      <c r="E1085" s="2">
        <v>491.43</v>
      </c>
      <c r="F1085" t="s">
        <v>4697</v>
      </c>
      <c r="G1085" s="2">
        <v>99.37</v>
      </c>
    </row>
    <row r="1086" spans="1:7" x14ac:dyDescent="0.35">
      <c r="A1086" t="s">
        <v>5779</v>
      </c>
      <c r="B1086" t="s">
        <v>2144</v>
      </c>
      <c r="C1086" s="1">
        <v>45458</v>
      </c>
      <c r="D1086" s="1" t="str">
        <f>TEXT(Payments_Cleaned[[#This Row],[payment_date]],"mmm-yyyy")</f>
        <v>Jun-2024</v>
      </c>
      <c r="E1086" s="2">
        <v>231.07</v>
      </c>
      <c r="F1086" t="s">
        <v>4694</v>
      </c>
      <c r="G1086" s="2">
        <v>61.42</v>
      </c>
    </row>
    <row r="1087" spans="1:7" x14ac:dyDescent="0.35">
      <c r="A1087" t="s">
        <v>5780</v>
      </c>
      <c r="B1087" t="s">
        <v>2145</v>
      </c>
      <c r="C1087" s="1">
        <v>44960</v>
      </c>
      <c r="D1087" s="1" t="str">
        <f>TEXT(Payments_Cleaned[[#This Row],[payment_date]],"mmm-yyyy")</f>
        <v>Feb-2023</v>
      </c>
      <c r="E1087" s="2">
        <v>5577.06</v>
      </c>
      <c r="F1087" t="s">
        <v>4694</v>
      </c>
      <c r="G1087" s="2">
        <v>409.61</v>
      </c>
    </row>
    <row r="1088" spans="1:7" x14ac:dyDescent="0.35">
      <c r="A1088" t="s">
        <v>5781</v>
      </c>
      <c r="B1088" t="s">
        <v>2148</v>
      </c>
      <c r="C1088" s="1">
        <v>45512</v>
      </c>
      <c r="D1088" s="1" t="str">
        <f>TEXT(Payments_Cleaned[[#This Row],[payment_date]],"mmm-yyyy")</f>
        <v>Aug-2024</v>
      </c>
      <c r="E1088" s="2">
        <v>5034.28</v>
      </c>
      <c r="F1088" t="s">
        <v>4694</v>
      </c>
      <c r="G1088" s="2">
        <v>708.1</v>
      </c>
    </row>
    <row r="1089" spans="1:7" x14ac:dyDescent="0.35">
      <c r="A1089" t="s">
        <v>5782</v>
      </c>
      <c r="B1089" t="s">
        <v>2149</v>
      </c>
      <c r="C1089" s="1">
        <v>45390</v>
      </c>
      <c r="D1089" s="1" t="str">
        <f>TEXT(Payments_Cleaned[[#This Row],[payment_date]],"mmm-yyyy")</f>
        <v>Apr-2024</v>
      </c>
      <c r="E1089" s="2">
        <v>624.9</v>
      </c>
      <c r="F1089" t="s">
        <v>4694</v>
      </c>
      <c r="G1089" s="2">
        <v>27.18</v>
      </c>
    </row>
    <row r="1090" spans="1:7" x14ac:dyDescent="0.35">
      <c r="A1090" t="s">
        <v>5783</v>
      </c>
      <c r="B1090" t="s">
        <v>2150</v>
      </c>
      <c r="C1090" s="1">
        <v>45073</v>
      </c>
      <c r="D1090" s="1" t="str">
        <f>TEXT(Payments_Cleaned[[#This Row],[payment_date]],"mmm-yyyy")</f>
        <v>May-2023</v>
      </c>
      <c r="E1090" s="2">
        <v>106.05</v>
      </c>
      <c r="F1090" t="s">
        <v>4694</v>
      </c>
      <c r="G1090" s="2">
        <v>7.99</v>
      </c>
    </row>
    <row r="1091" spans="1:7" x14ac:dyDescent="0.35">
      <c r="A1091" t="s">
        <v>5784</v>
      </c>
      <c r="B1091" t="s">
        <v>2151</v>
      </c>
      <c r="C1091" s="1">
        <v>45100</v>
      </c>
      <c r="D1091" s="1" t="str">
        <f>TEXT(Payments_Cleaned[[#This Row],[payment_date]],"mmm-yyyy")</f>
        <v>Jun-2023</v>
      </c>
      <c r="E1091" s="2">
        <v>2952.46</v>
      </c>
      <c r="F1091" t="s">
        <v>4694</v>
      </c>
      <c r="G1091" s="2">
        <v>841.13</v>
      </c>
    </row>
    <row r="1092" spans="1:7" x14ac:dyDescent="0.35">
      <c r="A1092" t="s">
        <v>5785</v>
      </c>
      <c r="B1092" t="s">
        <v>2153</v>
      </c>
      <c r="C1092" s="1">
        <v>45071</v>
      </c>
      <c r="D1092" s="1" t="str">
        <f>TEXT(Payments_Cleaned[[#This Row],[payment_date]],"mmm-yyyy")</f>
        <v>May-2023</v>
      </c>
      <c r="E1092" s="2">
        <v>38.86</v>
      </c>
      <c r="F1092" t="s">
        <v>4694</v>
      </c>
      <c r="G1092" s="2">
        <v>9.2200000000000006</v>
      </c>
    </row>
    <row r="1093" spans="1:7" x14ac:dyDescent="0.35">
      <c r="A1093" t="s">
        <v>5786</v>
      </c>
      <c r="B1093" t="s">
        <v>2154</v>
      </c>
      <c r="C1093" s="1">
        <v>45156</v>
      </c>
      <c r="D1093" s="1" t="str">
        <f>TEXT(Payments_Cleaned[[#This Row],[payment_date]],"mmm-yyyy")</f>
        <v>Aug-2023</v>
      </c>
      <c r="E1093" s="2">
        <v>36.44</v>
      </c>
      <c r="F1093" t="s">
        <v>4694</v>
      </c>
      <c r="G1093" s="2">
        <v>19.170000000000002</v>
      </c>
    </row>
    <row r="1094" spans="1:7" x14ac:dyDescent="0.35">
      <c r="A1094" t="s">
        <v>5787</v>
      </c>
      <c r="B1094" t="s">
        <v>2155</v>
      </c>
      <c r="C1094" s="1">
        <v>45691</v>
      </c>
      <c r="D1094" s="1" t="str">
        <f>TEXT(Payments_Cleaned[[#This Row],[payment_date]],"mmm-yyyy")</f>
        <v>Feb-2025</v>
      </c>
      <c r="E1094" s="2">
        <v>70.849999999999994</v>
      </c>
      <c r="F1094" t="s">
        <v>4694</v>
      </c>
      <c r="G1094" s="2">
        <v>30.94</v>
      </c>
    </row>
    <row r="1095" spans="1:7" x14ac:dyDescent="0.35">
      <c r="A1095" t="s">
        <v>5788</v>
      </c>
      <c r="B1095" t="s">
        <v>2156</v>
      </c>
      <c r="C1095" s="1">
        <v>45532</v>
      </c>
      <c r="D1095" s="1" t="str">
        <f>TEXT(Payments_Cleaned[[#This Row],[payment_date]],"mmm-yyyy")</f>
        <v>Aug-2024</v>
      </c>
      <c r="E1095" s="2">
        <v>153.86000000000001</v>
      </c>
      <c r="F1095" t="s">
        <v>4694</v>
      </c>
      <c r="G1095" s="2">
        <v>11.88</v>
      </c>
    </row>
    <row r="1096" spans="1:7" x14ac:dyDescent="0.35">
      <c r="A1096" t="s">
        <v>5789</v>
      </c>
      <c r="B1096" t="s">
        <v>2157</v>
      </c>
      <c r="C1096" s="1">
        <v>45032</v>
      </c>
      <c r="D1096" s="1" t="str">
        <f>TEXT(Payments_Cleaned[[#This Row],[payment_date]],"mmm-yyyy")</f>
        <v>Apr-2023</v>
      </c>
      <c r="E1096" s="2">
        <v>2676.57</v>
      </c>
      <c r="F1096" t="s">
        <v>4694</v>
      </c>
      <c r="G1096" s="2">
        <v>1567.44</v>
      </c>
    </row>
    <row r="1097" spans="1:7" x14ac:dyDescent="0.35">
      <c r="A1097" t="s">
        <v>5790</v>
      </c>
      <c r="B1097" t="s">
        <v>2158</v>
      </c>
      <c r="C1097" s="1">
        <v>45444</v>
      </c>
      <c r="D1097" s="1" t="str">
        <f>TEXT(Payments_Cleaned[[#This Row],[payment_date]],"mmm-yyyy")</f>
        <v>Jun-2024</v>
      </c>
      <c r="E1097" s="2">
        <v>1027.8800000000001</v>
      </c>
      <c r="F1097" t="s">
        <v>4694</v>
      </c>
      <c r="G1097" s="2">
        <v>88.63</v>
      </c>
    </row>
    <row r="1098" spans="1:7" x14ac:dyDescent="0.35">
      <c r="A1098" t="s">
        <v>5791</v>
      </c>
      <c r="B1098" t="s">
        <v>2160</v>
      </c>
      <c r="C1098" s="1">
        <v>45156</v>
      </c>
      <c r="D1098" s="1" t="str">
        <f>TEXT(Payments_Cleaned[[#This Row],[payment_date]],"mmm-yyyy")</f>
        <v>Aug-2023</v>
      </c>
      <c r="E1098" s="2">
        <v>3490.16</v>
      </c>
      <c r="F1098" t="s">
        <v>4694</v>
      </c>
      <c r="G1098" s="2">
        <v>566.29</v>
      </c>
    </row>
    <row r="1099" spans="1:7" x14ac:dyDescent="0.35">
      <c r="A1099" t="s">
        <v>5792</v>
      </c>
      <c r="B1099" t="s">
        <v>2161</v>
      </c>
      <c r="C1099" s="1">
        <v>45060</v>
      </c>
      <c r="D1099" s="1" t="str">
        <f>TEXT(Payments_Cleaned[[#This Row],[payment_date]],"mmm-yyyy")</f>
        <v>May-2023</v>
      </c>
      <c r="E1099" s="2">
        <v>666.4</v>
      </c>
      <c r="F1099" t="s">
        <v>4694</v>
      </c>
      <c r="G1099" s="2">
        <v>68.459999999999994</v>
      </c>
    </row>
    <row r="1100" spans="1:7" x14ac:dyDescent="0.35">
      <c r="A1100" t="s">
        <v>5793</v>
      </c>
      <c r="B1100" t="s">
        <v>2162</v>
      </c>
      <c r="C1100" s="1">
        <v>45047</v>
      </c>
      <c r="D1100" s="1" t="str">
        <f>TEXT(Payments_Cleaned[[#This Row],[payment_date]],"mmm-yyyy")</f>
        <v>May-2023</v>
      </c>
      <c r="E1100" s="2">
        <v>552.46</v>
      </c>
      <c r="F1100" t="s">
        <v>4694</v>
      </c>
      <c r="G1100" s="2">
        <v>69.260000000000005</v>
      </c>
    </row>
    <row r="1101" spans="1:7" x14ac:dyDescent="0.35">
      <c r="A1101" t="s">
        <v>5794</v>
      </c>
      <c r="B1101" t="s">
        <v>2164</v>
      </c>
      <c r="C1101" s="1">
        <v>45163</v>
      </c>
      <c r="D1101" s="1" t="str">
        <f>TEXT(Payments_Cleaned[[#This Row],[payment_date]],"mmm-yyyy")</f>
        <v>Aug-2023</v>
      </c>
      <c r="E1101" s="2">
        <v>118.19</v>
      </c>
      <c r="F1101" t="s">
        <v>4694</v>
      </c>
      <c r="G1101" s="2">
        <v>44.57</v>
      </c>
    </row>
    <row r="1102" spans="1:7" x14ac:dyDescent="0.35">
      <c r="A1102" t="s">
        <v>5795</v>
      </c>
      <c r="B1102" t="s">
        <v>2168</v>
      </c>
      <c r="C1102" s="1">
        <v>45129</v>
      </c>
      <c r="D1102" s="1" t="str">
        <f>TEXT(Payments_Cleaned[[#This Row],[payment_date]],"mmm-yyyy")</f>
        <v>Jul-2023</v>
      </c>
      <c r="E1102" s="2">
        <v>770.06</v>
      </c>
      <c r="F1102" t="s">
        <v>4694</v>
      </c>
      <c r="G1102" s="2">
        <v>225.62</v>
      </c>
    </row>
    <row r="1103" spans="1:7" x14ac:dyDescent="0.35">
      <c r="A1103" t="s">
        <v>5796</v>
      </c>
      <c r="B1103" t="s">
        <v>2169</v>
      </c>
      <c r="C1103" s="1">
        <v>45455</v>
      </c>
      <c r="D1103" s="1" t="str">
        <f>TEXT(Payments_Cleaned[[#This Row],[payment_date]],"mmm-yyyy")</f>
        <v>Jun-2024</v>
      </c>
      <c r="E1103" s="2">
        <v>526.85</v>
      </c>
      <c r="F1103" t="s">
        <v>4694</v>
      </c>
      <c r="G1103" s="2">
        <v>58.85</v>
      </c>
    </row>
    <row r="1104" spans="1:7" x14ac:dyDescent="0.35">
      <c r="A1104" t="s">
        <v>5797</v>
      </c>
      <c r="B1104" t="s">
        <v>2170</v>
      </c>
      <c r="C1104" s="1">
        <v>45594</v>
      </c>
      <c r="D1104" s="1" t="str">
        <f>TEXT(Payments_Cleaned[[#This Row],[payment_date]],"mmm-yyyy")</f>
        <v>Oct-2024</v>
      </c>
      <c r="E1104" s="2">
        <v>145.32</v>
      </c>
      <c r="F1104" t="s">
        <v>4694</v>
      </c>
      <c r="G1104" s="2">
        <v>52.8</v>
      </c>
    </row>
    <row r="1105" spans="1:7" x14ac:dyDescent="0.35">
      <c r="A1105" t="s">
        <v>5798</v>
      </c>
      <c r="B1105" t="s">
        <v>2171</v>
      </c>
      <c r="C1105" s="1">
        <v>45271</v>
      </c>
      <c r="D1105" s="1" t="str">
        <f>TEXT(Payments_Cleaned[[#This Row],[payment_date]],"mmm-yyyy")</f>
        <v>Dec-2023</v>
      </c>
      <c r="E1105" s="2">
        <v>338.52</v>
      </c>
      <c r="F1105" t="s">
        <v>4694</v>
      </c>
      <c r="G1105" s="2">
        <v>28.91</v>
      </c>
    </row>
    <row r="1106" spans="1:7" x14ac:dyDescent="0.35">
      <c r="A1106" t="s">
        <v>5799</v>
      </c>
      <c r="B1106" t="s">
        <v>2172</v>
      </c>
      <c r="C1106" s="1">
        <v>45563</v>
      </c>
      <c r="D1106" s="1" t="str">
        <f>TEXT(Payments_Cleaned[[#This Row],[payment_date]],"mmm-yyyy")</f>
        <v>Sep-2024</v>
      </c>
      <c r="E1106" s="2">
        <v>157.62</v>
      </c>
      <c r="F1106" t="s">
        <v>4697</v>
      </c>
      <c r="G1106" s="2">
        <v>20.87</v>
      </c>
    </row>
    <row r="1107" spans="1:7" x14ac:dyDescent="0.35">
      <c r="A1107" t="s">
        <v>5800</v>
      </c>
      <c r="B1107" t="s">
        <v>2173</v>
      </c>
      <c r="C1107" s="1">
        <v>45373</v>
      </c>
      <c r="D1107" s="1" t="str">
        <f>TEXT(Payments_Cleaned[[#This Row],[payment_date]],"mmm-yyyy")</f>
        <v>Mar-2024</v>
      </c>
      <c r="E1107" s="2">
        <v>155.47</v>
      </c>
      <c r="F1107" t="s">
        <v>4694</v>
      </c>
      <c r="G1107" s="2">
        <v>47.14</v>
      </c>
    </row>
    <row r="1108" spans="1:7" x14ac:dyDescent="0.35">
      <c r="A1108" t="s">
        <v>5801</v>
      </c>
      <c r="B1108" t="s">
        <v>2175</v>
      </c>
      <c r="C1108" s="1">
        <v>45438</v>
      </c>
      <c r="D1108" s="1" t="str">
        <f>TEXT(Payments_Cleaned[[#This Row],[payment_date]],"mmm-yyyy")</f>
        <v>May-2024</v>
      </c>
      <c r="E1108" s="2">
        <v>1162.49</v>
      </c>
      <c r="F1108" t="s">
        <v>4697</v>
      </c>
      <c r="G1108" s="2">
        <v>622.97</v>
      </c>
    </row>
    <row r="1109" spans="1:7" x14ac:dyDescent="0.35">
      <c r="A1109" t="s">
        <v>5802</v>
      </c>
      <c r="B1109" t="s">
        <v>2176</v>
      </c>
      <c r="C1109" s="1">
        <v>45014</v>
      </c>
      <c r="D1109" s="1" t="str">
        <f>TEXT(Payments_Cleaned[[#This Row],[payment_date]],"mmm-yyyy")</f>
        <v>Mar-2023</v>
      </c>
      <c r="E1109" s="2">
        <v>425.71</v>
      </c>
      <c r="F1109" t="s">
        <v>4694</v>
      </c>
      <c r="G1109" s="2">
        <v>220.22</v>
      </c>
    </row>
    <row r="1110" spans="1:7" x14ac:dyDescent="0.35">
      <c r="A1110" t="s">
        <v>5803</v>
      </c>
      <c r="B1110" t="s">
        <v>2177</v>
      </c>
      <c r="C1110" s="1">
        <v>45088</v>
      </c>
      <c r="D1110" s="1" t="str">
        <f>TEXT(Payments_Cleaned[[#This Row],[payment_date]],"mmm-yyyy")</f>
        <v>Jun-2023</v>
      </c>
      <c r="E1110" s="2">
        <v>3755.78</v>
      </c>
      <c r="F1110" t="s">
        <v>4694</v>
      </c>
      <c r="G1110" s="2">
        <v>2046.31</v>
      </c>
    </row>
    <row r="1111" spans="1:7" x14ac:dyDescent="0.35">
      <c r="A1111" t="s">
        <v>5804</v>
      </c>
      <c r="B1111" t="s">
        <v>2178</v>
      </c>
      <c r="C1111" s="1">
        <v>45557</v>
      </c>
      <c r="D1111" s="1" t="str">
        <f>TEXT(Payments_Cleaned[[#This Row],[payment_date]],"mmm-yyyy")</f>
        <v>Sep-2024</v>
      </c>
      <c r="E1111" s="2">
        <v>921.93</v>
      </c>
      <c r="F1111" t="s">
        <v>4694</v>
      </c>
      <c r="G1111" s="2">
        <v>369.42</v>
      </c>
    </row>
    <row r="1112" spans="1:7" x14ac:dyDescent="0.35">
      <c r="A1112" t="s">
        <v>5805</v>
      </c>
      <c r="B1112" t="s">
        <v>2179</v>
      </c>
      <c r="C1112" s="1">
        <v>45207</v>
      </c>
      <c r="D1112" s="1" t="str">
        <f>TEXT(Payments_Cleaned[[#This Row],[payment_date]],"mmm-yyyy")</f>
        <v>Oct-2023</v>
      </c>
      <c r="E1112" s="2">
        <v>1272.43</v>
      </c>
      <c r="F1112" t="s">
        <v>4694</v>
      </c>
      <c r="G1112" s="2">
        <v>390.28</v>
      </c>
    </row>
    <row r="1113" spans="1:7" x14ac:dyDescent="0.35">
      <c r="A1113" t="s">
        <v>5806</v>
      </c>
      <c r="B1113" t="s">
        <v>2180</v>
      </c>
      <c r="C1113" s="1">
        <v>45286</v>
      </c>
      <c r="D1113" s="1" t="str">
        <f>TEXT(Payments_Cleaned[[#This Row],[payment_date]],"mmm-yyyy")</f>
        <v>Dec-2023</v>
      </c>
      <c r="E1113" s="2">
        <v>126.83</v>
      </c>
      <c r="F1113" t="s">
        <v>4697</v>
      </c>
      <c r="G1113" s="2">
        <v>11.56</v>
      </c>
    </row>
    <row r="1114" spans="1:7" x14ac:dyDescent="0.35">
      <c r="A1114" t="s">
        <v>5807</v>
      </c>
      <c r="B1114" t="s">
        <v>2181</v>
      </c>
      <c r="C1114" s="1">
        <v>45283</v>
      </c>
      <c r="D1114" s="1" t="str">
        <f>TEXT(Payments_Cleaned[[#This Row],[payment_date]],"mmm-yyyy")</f>
        <v>Dec-2023</v>
      </c>
      <c r="E1114" s="2">
        <v>1839.03</v>
      </c>
      <c r="F1114" t="s">
        <v>4694</v>
      </c>
      <c r="G1114" s="2">
        <v>761.57</v>
      </c>
    </row>
    <row r="1115" spans="1:7" x14ac:dyDescent="0.35">
      <c r="A1115" t="s">
        <v>5808</v>
      </c>
      <c r="B1115" t="s">
        <v>2182</v>
      </c>
      <c r="C1115" s="1">
        <v>45212</v>
      </c>
      <c r="D1115" s="1" t="str">
        <f>TEXT(Payments_Cleaned[[#This Row],[payment_date]],"mmm-yyyy")</f>
        <v>Oct-2023</v>
      </c>
      <c r="E1115" s="2">
        <v>507</v>
      </c>
      <c r="F1115" t="s">
        <v>4697</v>
      </c>
      <c r="G1115" s="2">
        <v>294.06</v>
      </c>
    </row>
    <row r="1116" spans="1:7" x14ac:dyDescent="0.35">
      <c r="A1116" t="s">
        <v>5809</v>
      </c>
      <c r="B1116" t="s">
        <v>2186</v>
      </c>
      <c r="C1116" s="1">
        <v>45497</v>
      </c>
      <c r="D1116" s="1" t="str">
        <f>TEXT(Payments_Cleaned[[#This Row],[payment_date]],"mmm-yyyy")</f>
        <v>Jul-2024</v>
      </c>
      <c r="E1116" s="2">
        <v>295.39</v>
      </c>
      <c r="F1116" t="s">
        <v>4694</v>
      </c>
      <c r="G1116" s="2">
        <v>123.15</v>
      </c>
    </row>
    <row r="1117" spans="1:7" x14ac:dyDescent="0.35">
      <c r="A1117" t="s">
        <v>5810</v>
      </c>
      <c r="B1117" t="s">
        <v>2187</v>
      </c>
      <c r="C1117" s="1">
        <v>45014</v>
      </c>
      <c r="D1117" s="1" t="str">
        <f>TEXT(Payments_Cleaned[[#This Row],[payment_date]],"mmm-yyyy")</f>
        <v>Mar-2023</v>
      </c>
      <c r="E1117" s="2">
        <v>82.85</v>
      </c>
      <c r="F1117" t="s">
        <v>4694</v>
      </c>
      <c r="G1117" s="2">
        <v>25.54</v>
      </c>
    </row>
    <row r="1118" spans="1:7" x14ac:dyDescent="0.35">
      <c r="A1118" t="s">
        <v>5811</v>
      </c>
      <c r="B1118" t="s">
        <v>2188</v>
      </c>
      <c r="C1118" s="1">
        <v>45144</v>
      </c>
      <c r="D1118" s="1" t="str">
        <f>TEXT(Payments_Cleaned[[#This Row],[payment_date]],"mmm-yyyy")</f>
        <v>Aug-2023</v>
      </c>
      <c r="E1118" s="2">
        <v>908.37</v>
      </c>
      <c r="F1118" t="s">
        <v>4694</v>
      </c>
      <c r="G1118" s="2">
        <v>462.06</v>
      </c>
    </row>
    <row r="1119" spans="1:7" x14ac:dyDescent="0.35">
      <c r="A1119" t="s">
        <v>5812</v>
      </c>
      <c r="B1119" t="s">
        <v>2189</v>
      </c>
      <c r="C1119" s="1">
        <v>45059</v>
      </c>
      <c r="D1119" s="1" t="str">
        <f>TEXT(Payments_Cleaned[[#This Row],[payment_date]],"mmm-yyyy")</f>
        <v>May-2023</v>
      </c>
      <c r="E1119" s="2">
        <v>57.09</v>
      </c>
      <c r="F1119" t="s">
        <v>4694</v>
      </c>
      <c r="G1119" s="2">
        <v>3.37</v>
      </c>
    </row>
    <row r="1120" spans="1:7" x14ac:dyDescent="0.35">
      <c r="A1120" t="s">
        <v>5813</v>
      </c>
      <c r="B1120" t="s">
        <v>2190</v>
      </c>
      <c r="C1120" s="1">
        <v>45135</v>
      </c>
      <c r="D1120" s="1" t="str">
        <f>TEXT(Payments_Cleaned[[#This Row],[payment_date]],"mmm-yyyy")</f>
        <v>Jul-2023</v>
      </c>
      <c r="E1120" s="2">
        <v>1830.9</v>
      </c>
      <c r="F1120" t="s">
        <v>4694</v>
      </c>
      <c r="G1120" s="2">
        <v>530.79999999999995</v>
      </c>
    </row>
    <row r="1121" spans="1:7" x14ac:dyDescent="0.35">
      <c r="A1121" t="s">
        <v>5814</v>
      </c>
      <c r="B1121" t="s">
        <v>2191</v>
      </c>
      <c r="C1121" s="1">
        <v>45137</v>
      </c>
      <c r="D1121" s="1" t="str">
        <f>TEXT(Payments_Cleaned[[#This Row],[payment_date]],"mmm-yyyy")</f>
        <v>Jul-2023</v>
      </c>
      <c r="E1121" s="2">
        <v>125.72</v>
      </c>
      <c r="F1121" t="s">
        <v>4694</v>
      </c>
      <c r="G1121" s="2">
        <v>25.73</v>
      </c>
    </row>
    <row r="1122" spans="1:7" x14ac:dyDescent="0.35">
      <c r="A1122" t="s">
        <v>5815</v>
      </c>
      <c r="B1122" t="s">
        <v>2192</v>
      </c>
      <c r="C1122" s="1">
        <v>45007</v>
      </c>
      <c r="D1122" s="1" t="str">
        <f>TEXT(Payments_Cleaned[[#This Row],[payment_date]],"mmm-yyyy")</f>
        <v>Mar-2023</v>
      </c>
      <c r="E1122" s="2">
        <v>991.45</v>
      </c>
      <c r="F1122" t="s">
        <v>4694</v>
      </c>
      <c r="G1122" s="2">
        <v>405.09</v>
      </c>
    </row>
    <row r="1123" spans="1:7" x14ac:dyDescent="0.35">
      <c r="A1123" t="s">
        <v>5816</v>
      </c>
      <c r="B1123" t="s">
        <v>2193</v>
      </c>
      <c r="C1123" s="1">
        <v>45426</v>
      </c>
      <c r="D1123" s="1" t="str">
        <f>TEXT(Payments_Cleaned[[#This Row],[payment_date]],"mmm-yyyy")</f>
        <v>May-2024</v>
      </c>
      <c r="E1123" s="2">
        <v>676.06</v>
      </c>
      <c r="F1123" t="s">
        <v>4694</v>
      </c>
      <c r="G1123" s="2">
        <v>56.71</v>
      </c>
    </row>
    <row r="1124" spans="1:7" x14ac:dyDescent="0.35">
      <c r="A1124" t="s">
        <v>5817</v>
      </c>
      <c r="B1124" t="s">
        <v>2195</v>
      </c>
      <c r="C1124" s="1">
        <v>45513</v>
      </c>
      <c r="D1124" s="1" t="str">
        <f>TEXT(Payments_Cleaned[[#This Row],[payment_date]],"mmm-yyyy")</f>
        <v>Aug-2024</v>
      </c>
      <c r="E1124" s="2">
        <v>132.69999999999999</v>
      </c>
      <c r="F1124" t="s">
        <v>4694</v>
      </c>
      <c r="G1124" s="2">
        <v>11.66</v>
      </c>
    </row>
    <row r="1125" spans="1:7" x14ac:dyDescent="0.35">
      <c r="A1125" t="s">
        <v>5818</v>
      </c>
      <c r="B1125" t="s">
        <v>2196</v>
      </c>
      <c r="C1125" s="1">
        <v>45080</v>
      </c>
      <c r="D1125" s="1" t="str">
        <f>TEXT(Payments_Cleaned[[#This Row],[payment_date]],"mmm-yyyy")</f>
        <v>Jun-2023</v>
      </c>
      <c r="E1125" s="2">
        <v>653.32000000000005</v>
      </c>
      <c r="F1125" t="s">
        <v>4694</v>
      </c>
      <c r="G1125" s="2">
        <v>269.52</v>
      </c>
    </row>
    <row r="1126" spans="1:7" x14ac:dyDescent="0.35">
      <c r="A1126" t="s">
        <v>5819</v>
      </c>
      <c r="B1126" t="s">
        <v>2197</v>
      </c>
      <c r="C1126" s="1">
        <v>45414</v>
      </c>
      <c r="D1126" s="1" t="str">
        <f>TEXT(Payments_Cleaned[[#This Row],[payment_date]],"mmm-yyyy")</f>
        <v>May-2024</v>
      </c>
      <c r="E1126" s="2">
        <v>49.06</v>
      </c>
      <c r="F1126" t="s">
        <v>4694</v>
      </c>
      <c r="G1126" s="2">
        <v>3.01</v>
      </c>
    </row>
    <row r="1127" spans="1:7" x14ac:dyDescent="0.35">
      <c r="A1127" t="s">
        <v>5820</v>
      </c>
      <c r="B1127" t="s">
        <v>2198</v>
      </c>
      <c r="C1127" s="1">
        <v>45331</v>
      </c>
      <c r="D1127" s="1" t="str">
        <f>TEXT(Payments_Cleaned[[#This Row],[payment_date]],"mmm-yyyy")</f>
        <v>Feb-2024</v>
      </c>
      <c r="E1127" s="2">
        <v>301.31</v>
      </c>
      <c r="F1127" t="s">
        <v>4694</v>
      </c>
      <c r="G1127" s="2">
        <v>40</v>
      </c>
    </row>
    <row r="1128" spans="1:7" x14ac:dyDescent="0.35">
      <c r="A1128" t="s">
        <v>5821</v>
      </c>
      <c r="B1128" t="s">
        <v>2199</v>
      </c>
      <c r="C1128" s="1">
        <v>44985</v>
      </c>
      <c r="D1128" s="1" t="str">
        <f>TEXT(Payments_Cleaned[[#This Row],[payment_date]],"mmm-yyyy")</f>
        <v>Feb-2023</v>
      </c>
      <c r="E1128" s="2">
        <v>457.38</v>
      </c>
      <c r="F1128" t="s">
        <v>4694</v>
      </c>
      <c r="G1128" s="2">
        <v>106.14</v>
      </c>
    </row>
    <row r="1129" spans="1:7" x14ac:dyDescent="0.35">
      <c r="A1129" t="s">
        <v>5822</v>
      </c>
      <c r="B1129" t="s">
        <v>2200</v>
      </c>
      <c r="C1129" s="1">
        <v>45379</v>
      </c>
      <c r="D1129" s="1" t="str">
        <f>TEXT(Payments_Cleaned[[#This Row],[payment_date]],"mmm-yyyy")</f>
        <v>Mar-2024</v>
      </c>
      <c r="E1129" s="2">
        <v>158.15</v>
      </c>
      <c r="F1129" t="s">
        <v>4694</v>
      </c>
      <c r="G1129" s="2">
        <v>21.75</v>
      </c>
    </row>
    <row r="1130" spans="1:7" x14ac:dyDescent="0.35">
      <c r="A1130" t="s">
        <v>5823</v>
      </c>
      <c r="B1130" t="s">
        <v>2201</v>
      </c>
      <c r="C1130" s="1">
        <v>45451</v>
      </c>
      <c r="D1130" s="1" t="str">
        <f>TEXT(Payments_Cleaned[[#This Row],[payment_date]],"mmm-yyyy")</f>
        <v>Jun-2024</v>
      </c>
      <c r="E1130" s="2">
        <v>1651.26</v>
      </c>
      <c r="F1130" t="s">
        <v>4694</v>
      </c>
      <c r="G1130" s="2">
        <v>79.680000000000007</v>
      </c>
    </row>
    <row r="1131" spans="1:7" x14ac:dyDescent="0.35">
      <c r="A1131" t="s">
        <v>5824</v>
      </c>
      <c r="B1131" t="s">
        <v>2203</v>
      </c>
      <c r="C1131" s="1">
        <v>45228</v>
      </c>
      <c r="D1131" s="1" t="str">
        <f>TEXT(Payments_Cleaned[[#This Row],[payment_date]],"mmm-yyyy")</f>
        <v>Oct-2023</v>
      </c>
      <c r="E1131" s="2">
        <v>257.52</v>
      </c>
      <c r="F1131" t="s">
        <v>4694</v>
      </c>
      <c r="G1131" s="2">
        <v>38.950000000000003</v>
      </c>
    </row>
    <row r="1132" spans="1:7" x14ac:dyDescent="0.35">
      <c r="A1132" t="s">
        <v>5825</v>
      </c>
      <c r="B1132" t="s">
        <v>2204</v>
      </c>
      <c r="C1132" s="1">
        <v>45610</v>
      </c>
      <c r="D1132" s="1" t="str">
        <f>TEXT(Payments_Cleaned[[#This Row],[payment_date]],"mmm-yyyy")</f>
        <v>Nov-2024</v>
      </c>
      <c r="E1132" s="2">
        <v>5324.15</v>
      </c>
      <c r="F1132" t="s">
        <v>4694</v>
      </c>
      <c r="G1132" s="2">
        <v>1559.08</v>
      </c>
    </row>
    <row r="1133" spans="1:7" x14ac:dyDescent="0.35">
      <c r="A1133" t="s">
        <v>5826</v>
      </c>
      <c r="B1133" t="s">
        <v>2205</v>
      </c>
      <c r="C1133" s="1">
        <v>45652</v>
      </c>
      <c r="D1133" s="1" t="str">
        <f>TEXT(Payments_Cleaned[[#This Row],[payment_date]],"mmm-yyyy")</f>
        <v>Dec-2024</v>
      </c>
      <c r="E1133" s="2">
        <v>117.63</v>
      </c>
      <c r="F1133" t="s">
        <v>4697</v>
      </c>
      <c r="G1133" s="2">
        <v>68.680000000000007</v>
      </c>
    </row>
    <row r="1134" spans="1:7" x14ac:dyDescent="0.35">
      <c r="A1134" t="s">
        <v>5827</v>
      </c>
      <c r="B1134" t="s">
        <v>2206</v>
      </c>
      <c r="C1134" s="1">
        <v>45676</v>
      </c>
      <c r="D1134" s="1" t="str">
        <f>TEXT(Payments_Cleaned[[#This Row],[payment_date]],"mmm-yyyy")</f>
        <v>Jan-2025</v>
      </c>
      <c r="E1134" s="2">
        <v>162.78</v>
      </c>
      <c r="F1134" t="s">
        <v>4694</v>
      </c>
      <c r="G1134" s="2">
        <v>61.09</v>
      </c>
    </row>
    <row r="1135" spans="1:7" x14ac:dyDescent="0.35">
      <c r="A1135" t="s">
        <v>5828</v>
      </c>
      <c r="B1135" t="s">
        <v>2208</v>
      </c>
      <c r="C1135" s="1">
        <v>45126</v>
      </c>
      <c r="D1135" s="1" t="str">
        <f>TEXT(Payments_Cleaned[[#This Row],[payment_date]],"mmm-yyyy")</f>
        <v>Jul-2023</v>
      </c>
      <c r="E1135" s="2">
        <v>909.78</v>
      </c>
      <c r="F1135" t="s">
        <v>4694</v>
      </c>
      <c r="G1135" s="2">
        <v>203.81</v>
      </c>
    </row>
    <row r="1136" spans="1:7" x14ac:dyDescent="0.35">
      <c r="A1136" t="s">
        <v>5829</v>
      </c>
      <c r="B1136" t="s">
        <v>2209</v>
      </c>
      <c r="C1136" s="1">
        <v>45308</v>
      </c>
      <c r="D1136" s="1" t="str">
        <f>TEXT(Payments_Cleaned[[#This Row],[payment_date]],"mmm-yyyy")</f>
        <v>Jan-2024</v>
      </c>
      <c r="E1136" s="2">
        <v>2847.88</v>
      </c>
      <c r="F1136" t="s">
        <v>4694</v>
      </c>
      <c r="G1136" s="2">
        <v>412.16</v>
      </c>
    </row>
    <row r="1137" spans="1:7" x14ac:dyDescent="0.35">
      <c r="A1137" t="s">
        <v>5830</v>
      </c>
      <c r="B1137" t="s">
        <v>2210</v>
      </c>
      <c r="C1137" s="1">
        <v>45158</v>
      </c>
      <c r="D1137" s="1" t="str">
        <f>TEXT(Payments_Cleaned[[#This Row],[payment_date]],"mmm-yyyy")</f>
        <v>Aug-2023</v>
      </c>
      <c r="E1137" s="2">
        <v>501.4</v>
      </c>
      <c r="F1137" t="s">
        <v>4694</v>
      </c>
      <c r="G1137" s="2">
        <v>107.32</v>
      </c>
    </row>
    <row r="1138" spans="1:7" x14ac:dyDescent="0.35">
      <c r="A1138" t="s">
        <v>5831</v>
      </c>
      <c r="B1138" t="s">
        <v>2211</v>
      </c>
      <c r="C1138" s="1">
        <v>45404</v>
      </c>
      <c r="D1138" s="1" t="str">
        <f>TEXT(Payments_Cleaned[[#This Row],[payment_date]],"mmm-yyyy")</f>
        <v>Apr-2024</v>
      </c>
      <c r="E1138" s="2">
        <v>298.58999999999997</v>
      </c>
      <c r="F1138" t="s">
        <v>4694</v>
      </c>
      <c r="G1138" s="2">
        <v>89.83</v>
      </c>
    </row>
    <row r="1139" spans="1:7" x14ac:dyDescent="0.35">
      <c r="A1139" t="s">
        <v>5832</v>
      </c>
      <c r="B1139" t="s">
        <v>2212</v>
      </c>
      <c r="C1139" s="1">
        <v>45237</v>
      </c>
      <c r="D1139" s="1" t="str">
        <f>TEXT(Payments_Cleaned[[#This Row],[payment_date]],"mmm-yyyy")</f>
        <v>Nov-2023</v>
      </c>
      <c r="E1139" s="2">
        <v>3582.46</v>
      </c>
      <c r="F1139" t="s">
        <v>4694</v>
      </c>
      <c r="G1139" s="2">
        <v>1650.37</v>
      </c>
    </row>
    <row r="1140" spans="1:7" x14ac:dyDescent="0.35">
      <c r="A1140" t="s">
        <v>5833</v>
      </c>
      <c r="B1140" t="s">
        <v>2213</v>
      </c>
      <c r="C1140" s="1">
        <v>45310</v>
      </c>
      <c r="D1140" s="1" t="str">
        <f>TEXT(Payments_Cleaned[[#This Row],[payment_date]],"mmm-yyyy")</f>
        <v>Jan-2024</v>
      </c>
      <c r="E1140" s="2">
        <v>339.22</v>
      </c>
      <c r="F1140" t="s">
        <v>4694</v>
      </c>
      <c r="G1140" s="2">
        <v>28.68</v>
      </c>
    </row>
    <row r="1141" spans="1:7" x14ac:dyDescent="0.35">
      <c r="A1141" t="s">
        <v>5834</v>
      </c>
      <c r="B1141" t="s">
        <v>2214</v>
      </c>
      <c r="C1141" s="1">
        <v>45359</v>
      </c>
      <c r="D1141" s="1" t="str">
        <f>TEXT(Payments_Cleaned[[#This Row],[payment_date]],"mmm-yyyy")</f>
        <v>Mar-2024</v>
      </c>
      <c r="E1141" s="2">
        <v>608.51</v>
      </c>
      <c r="F1141" t="s">
        <v>4694</v>
      </c>
      <c r="G1141" s="2">
        <v>126.59</v>
      </c>
    </row>
    <row r="1142" spans="1:7" x14ac:dyDescent="0.35">
      <c r="A1142" t="s">
        <v>5835</v>
      </c>
      <c r="B1142" t="s">
        <v>2215</v>
      </c>
      <c r="C1142" s="1">
        <v>45483</v>
      </c>
      <c r="D1142" s="1" t="str">
        <f>TEXT(Payments_Cleaned[[#This Row],[payment_date]],"mmm-yyyy")</f>
        <v>Jul-2024</v>
      </c>
      <c r="E1142" s="2">
        <v>4556.47</v>
      </c>
      <c r="F1142" t="s">
        <v>4694</v>
      </c>
      <c r="G1142" s="2">
        <v>2468.67</v>
      </c>
    </row>
    <row r="1143" spans="1:7" x14ac:dyDescent="0.35">
      <c r="A1143" t="s">
        <v>5836</v>
      </c>
      <c r="B1143" t="s">
        <v>2216</v>
      </c>
      <c r="C1143" s="1">
        <v>45202</v>
      </c>
      <c r="D1143" s="1" t="str">
        <f>TEXT(Payments_Cleaned[[#This Row],[payment_date]],"mmm-yyyy")</f>
        <v>Oct-2023</v>
      </c>
      <c r="E1143" s="2">
        <v>134.71</v>
      </c>
      <c r="F1143" t="s">
        <v>4694</v>
      </c>
      <c r="G1143" s="2">
        <v>26.79</v>
      </c>
    </row>
    <row r="1144" spans="1:7" x14ac:dyDescent="0.35">
      <c r="A1144" t="s">
        <v>5837</v>
      </c>
      <c r="B1144" t="s">
        <v>2219</v>
      </c>
      <c r="C1144" s="1">
        <v>45674</v>
      </c>
      <c r="D1144" s="1" t="str">
        <f>TEXT(Payments_Cleaned[[#This Row],[payment_date]],"mmm-yyyy")</f>
        <v>Jan-2025</v>
      </c>
      <c r="E1144" s="2">
        <v>249.74</v>
      </c>
      <c r="F1144" t="s">
        <v>4694</v>
      </c>
      <c r="G1144" s="2">
        <v>33.24</v>
      </c>
    </row>
    <row r="1145" spans="1:7" x14ac:dyDescent="0.35">
      <c r="A1145" t="s">
        <v>5838</v>
      </c>
      <c r="B1145" t="s">
        <v>2220</v>
      </c>
      <c r="C1145" s="1">
        <v>45548</v>
      </c>
      <c r="D1145" s="1" t="str">
        <f>TEXT(Payments_Cleaned[[#This Row],[payment_date]],"mmm-yyyy")</f>
        <v>Sep-2024</v>
      </c>
      <c r="E1145" s="2">
        <v>1789.59</v>
      </c>
      <c r="F1145" t="s">
        <v>4694</v>
      </c>
      <c r="G1145" s="2">
        <v>268.2</v>
      </c>
    </row>
    <row r="1146" spans="1:7" x14ac:dyDescent="0.35">
      <c r="A1146" t="s">
        <v>5839</v>
      </c>
      <c r="B1146" t="s">
        <v>2221</v>
      </c>
      <c r="C1146" s="1">
        <v>45520</v>
      </c>
      <c r="D1146" s="1" t="str">
        <f>TEXT(Payments_Cleaned[[#This Row],[payment_date]],"mmm-yyyy")</f>
        <v>Aug-2024</v>
      </c>
      <c r="E1146" s="2">
        <v>1128.6600000000001</v>
      </c>
      <c r="F1146" t="s">
        <v>4694</v>
      </c>
      <c r="G1146" s="2">
        <v>430.1</v>
      </c>
    </row>
    <row r="1147" spans="1:7" x14ac:dyDescent="0.35">
      <c r="A1147" t="s">
        <v>5840</v>
      </c>
      <c r="B1147" t="s">
        <v>2222</v>
      </c>
      <c r="C1147" s="1">
        <v>45414</v>
      </c>
      <c r="D1147" s="1" t="str">
        <f>TEXT(Payments_Cleaned[[#This Row],[payment_date]],"mmm-yyyy")</f>
        <v>May-2024</v>
      </c>
      <c r="E1147" s="2">
        <v>923.8</v>
      </c>
      <c r="F1147" t="s">
        <v>4694</v>
      </c>
      <c r="G1147" s="2">
        <v>238.72</v>
      </c>
    </row>
    <row r="1148" spans="1:7" x14ac:dyDescent="0.35">
      <c r="A1148" t="s">
        <v>5841</v>
      </c>
      <c r="B1148" t="s">
        <v>2223</v>
      </c>
      <c r="C1148" s="1">
        <v>45040</v>
      </c>
      <c r="D1148" s="1" t="str">
        <f>TEXT(Payments_Cleaned[[#This Row],[payment_date]],"mmm-yyyy")</f>
        <v>Apr-2023</v>
      </c>
      <c r="E1148" s="2">
        <v>585.69000000000005</v>
      </c>
      <c r="F1148" t="s">
        <v>4694</v>
      </c>
      <c r="G1148" s="2">
        <v>105.91</v>
      </c>
    </row>
    <row r="1149" spans="1:7" x14ac:dyDescent="0.35">
      <c r="A1149" t="s">
        <v>5842</v>
      </c>
      <c r="B1149" t="s">
        <v>2224</v>
      </c>
      <c r="C1149" s="1">
        <v>45636</v>
      </c>
      <c r="D1149" s="1" t="str">
        <f>TEXT(Payments_Cleaned[[#This Row],[payment_date]],"mmm-yyyy")</f>
        <v>Dec-2024</v>
      </c>
      <c r="E1149" s="2">
        <v>75.94</v>
      </c>
      <c r="F1149" t="s">
        <v>4694</v>
      </c>
      <c r="G1149" s="2">
        <v>39.35</v>
      </c>
    </row>
    <row r="1150" spans="1:7" x14ac:dyDescent="0.35">
      <c r="A1150" t="s">
        <v>5843</v>
      </c>
      <c r="B1150" t="s">
        <v>2225</v>
      </c>
      <c r="C1150" s="1">
        <v>45070</v>
      </c>
      <c r="D1150" s="1" t="str">
        <f>TEXT(Payments_Cleaned[[#This Row],[payment_date]],"mmm-yyyy")</f>
        <v>May-2023</v>
      </c>
      <c r="E1150" s="2">
        <v>777.76</v>
      </c>
      <c r="F1150" t="s">
        <v>4697</v>
      </c>
      <c r="G1150" s="2">
        <v>210.43</v>
      </c>
    </row>
    <row r="1151" spans="1:7" x14ac:dyDescent="0.35">
      <c r="A1151" t="s">
        <v>5844</v>
      </c>
      <c r="B1151" t="s">
        <v>2226</v>
      </c>
      <c r="C1151" s="1">
        <v>45405</v>
      </c>
      <c r="D1151" s="1" t="str">
        <f>TEXT(Payments_Cleaned[[#This Row],[payment_date]],"mmm-yyyy")</f>
        <v>Apr-2024</v>
      </c>
      <c r="E1151" s="2">
        <v>2066.61</v>
      </c>
      <c r="F1151" t="s">
        <v>4697</v>
      </c>
      <c r="G1151" s="2">
        <v>571.45000000000005</v>
      </c>
    </row>
    <row r="1152" spans="1:7" x14ac:dyDescent="0.35">
      <c r="A1152" t="s">
        <v>5845</v>
      </c>
      <c r="B1152" t="s">
        <v>2227</v>
      </c>
      <c r="C1152" s="1">
        <v>45396</v>
      </c>
      <c r="D1152" s="1" t="str">
        <f>TEXT(Payments_Cleaned[[#This Row],[payment_date]],"mmm-yyyy")</f>
        <v>Apr-2024</v>
      </c>
      <c r="E1152" s="2">
        <v>950.91</v>
      </c>
      <c r="F1152" t="s">
        <v>4694</v>
      </c>
      <c r="G1152" s="2">
        <v>422.03</v>
      </c>
    </row>
    <row r="1153" spans="1:7" x14ac:dyDescent="0.35">
      <c r="A1153" t="s">
        <v>5846</v>
      </c>
      <c r="B1153" t="s">
        <v>2228</v>
      </c>
      <c r="C1153" s="1">
        <v>45113</v>
      </c>
      <c r="D1153" s="1" t="str">
        <f>TEXT(Payments_Cleaned[[#This Row],[payment_date]],"mmm-yyyy")</f>
        <v>Jul-2023</v>
      </c>
      <c r="E1153" s="2">
        <v>128.75</v>
      </c>
      <c r="F1153" t="s">
        <v>4694</v>
      </c>
      <c r="G1153" s="2">
        <v>53.89</v>
      </c>
    </row>
    <row r="1154" spans="1:7" x14ac:dyDescent="0.35">
      <c r="A1154" t="s">
        <v>5847</v>
      </c>
      <c r="B1154" t="s">
        <v>2229</v>
      </c>
      <c r="C1154" s="1">
        <v>45460</v>
      </c>
      <c r="D1154" s="1" t="str">
        <f>TEXT(Payments_Cleaned[[#This Row],[payment_date]],"mmm-yyyy")</f>
        <v>Jun-2024</v>
      </c>
      <c r="E1154" s="2">
        <v>4237.79</v>
      </c>
      <c r="F1154" t="s">
        <v>4694</v>
      </c>
      <c r="G1154" s="2">
        <v>629.52</v>
      </c>
    </row>
    <row r="1155" spans="1:7" x14ac:dyDescent="0.35">
      <c r="A1155" t="s">
        <v>5848</v>
      </c>
      <c r="B1155" t="s">
        <v>2230</v>
      </c>
      <c r="C1155" s="1">
        <v>45339</v>
      </c>
      <c r="D1155" s="1" t="str">
        <f>TEXT(Payments_Cleaned[[#This Row],[payment_date]],"mmm-yyyy")</f>
        <v>Feb-2024</v>
      </c>
      <c r="E1155" s="2">
        <v>2953.61</v>
      </c>
      <c r="F1155" t="s">
        <v>4694</v>
      </c>
      <c r="G1155" s="2">
        <v>798.94</v>
      </c>
    </row>
    <row r="1156" spans="1:7" x14ac:dyDescent="0.35">
      <c r="A1156" t="s">
        <v>5849</v>
      </c>
      <c r="B1156" t="s">
        <v>2231</v>
      </c>
      <c r="C1156" s="1">
        <v>44999</v>
      </c>
      <c r="D1156" s="1" t="str">
        <f>TEXT(Payments_Cleaned[[#This Row],[payment_date]],"mmm-yyyy")</f>
        <v>Mar-2023</v>
      </c>
      <c r="E1156" s="2">
        <v>106.01</v>
      </c>
      <c r="F1156" t="s">
        <v>4694</v>
      </c>
      <c r="G1156" s="2">
        <v>57.23</v>
      </c>
    </row>
    <row r="1157" spans="1:7" x14ac:dyDescent="0.35">
      <c r="A1157" t="s">
        <v>5850</v>
      </c>
      <c r="B1157" t="s">
        <v>2232</v>
      </c>
      <c r="C1157" s="1">
        <v>45263</v>
      </c>
      <c r="D1157" s="1" t="str">
        <f>TEXT(Payments_Cleaned[[#This Row],[payment_date]],"mmm-yyyy")</f>
        <v>Dec-2023</v>
      </c>
      <c r="E1157" s="2">
        <v>656.93</v>
      </c>
      <c r="F1157" t="s">
        <v>4694</v>
      </c>
      <c r="G1157" s="2">
        <v>364.55</v>
      </c>
    </row>
    <row r="1158" spans="1:7" x14ac:dyDescent="0.35">
      <c r="A1158" t="s">
        <v>5851</v>
      </c>
      <c r="B1158" t="s">
        <v>2233</v>
      </c>
      <c r="C1158" s="1">
        <v>45460</v>
      </c>
      <c r="D1158" s="1" t="str">
        <f>TEXT(Payments_Cleaned[[#This Row],[payment_date]],"mmm-yyyy")</f>
        <v>Jun-2024</v>
      </c>
      <c r="E1158" s="2">
        <v>91.65</v>
      </c>
      <c r="F1158" t="s">
        <v>4694</v>
      </c>
      <c r="G1158" s="2">
        <v>38.32</v>
      </c>
    </row>
    <row r="1159" spans="1:7" x14ac:dyDescent="0.35">
      <c r="A1159" t="s">
        <v>5852</v>
      </c>
      <c r="B1159" t="s">
        <v>2234</v>
      </c>
      <c r="C1159" s="1">
        <v>45175</v>
      </c>
      <c r="D1159" s="1" t="str">
        <f>TEXT(Payments_Cleaned[[#This Row],[payment_date]],"mmm-yyyy")</f>
        <v>Sep-2023</v>
      </c>
      <c r="E1159" s="2">
        <v>3727.26</v>
      </c>
      <c r="F1159" t="s">
        <v>4694</v>
      </c>
      <c r="G1159" s="2">
        <v>523.57000000000005</v>
      </c>
    </row>
    <row r="1160" spans="1:7" x14ac:dyDescent="0.35">
      <c r="A1160" t="s">
        <v>5853</v>
      </c>
      <c r="B1160" t="s">
        <v>2235</v>
      </c>
      <c r="C1160" s="1">
        <v>45337</v>
      </c>
      <c r="D1160" s="1" t="str">
        <f>TEXT(Payments_Cleaned[[#This Row],[payment_date]],"mmm-yyyy")</f>
        <v>Feb-2024</v>
      </c>
      <c r="E1160" s="2">
        <v>79.45</v>
      </c>
      <c r="F1160" t="s">
        <v>4694</v>
      </c>
      <c r="G1160" s="2">
        <v>16.3</v>
      </c>
    </row>
    <row r="1161" spans="1:7" x14ac:dyDescent="0.35">
      <c r="A1161" t="s">
        <v>5854</v>
      </c>
      <c r="B1161" t="s">
        <v>2236</v>
      </c>
      <c r="C1161" s="1">
        <v>45406</v>
      </c>
      <c r="D1161" s="1" t="str">
        <f>TEXT(Payments_Cleaned[[#This Row],[payment_date]],"mmm-yyyy")</f>
        <v>Apr-2024</v>
      </c>
      <c r="E1161" s="2">
        <v>94.13</v>
      </c>
      <c r="F1161" t="s">
        <v>4694</v>
      </c>
      <c r="G1161" s="2">
        <v>24.01</v>
      </c>
    </row>
    <row r="1162" spans="1:7" x14ac:dyDescent="0.35">
      <c r="A1162" t="s">
        <v>5855</v>
      </c>
      <c r="B1162" t="s">
        <v>2237</v>
      </c>
      <c r="C1162" s="1">
        <v>45572</v>
      </c>
      <c r="D1162" s="1" t="str">
        <f>TEXT(Payments_Cleaned[[#This Row],[payment_date]],"mmm-yyyy")</f>
        <v>Oct-2024</v>
      </c>
      <c r="E1162" s="2">
        <v>572.22</v>
      </c>
      <c r="F1162" t="s">
        <v>4694</v>
      </c>
      <c r="G1162" s="2">
        <v>251.81</v>
      </c>
    </row>
    <row r="1163" spans="1:7" x14ac:dyDescent="0.35">
      <c r="A1163" t="s">
        <v>5856</v>
      </c>
      <c r="B1163" t="s">
        <v>2238</v>
      </c>
      <c r="C1163" s="1">
        <v>45554</v>
      </c>
      <c r="D1163" s="1" t="str">
        <f>TEXT(Payments_Cleaned[[#This Row],[payment_date]],"mmm-yyyy")</f>
        <v>Sep-2024</v>
      </c>
      <c r="E1163" s="2">
        <v>1162.72</v>
      </c>
      <c r="F1163" t="s">
        <v>4694</v>
      </c>
      <c r="G1163" s="2">
        <v>159.6</v>
      </c>
    </row>
    <row r="1164" spans="1:7" x14ac:dyDescent="0.35">
      <c r="A1164" t="s">
        <v>5857</v>
      </c>
      <c r="B1164" t="s">
        <v>2239</v>
      </c>
      <c r="C1164" s="1">
        <v>45148</v>
      </c>
      <c r="D1164" s="1" t="str">
        <f>TEXT(Payments_Cleaned[[#This Row],[payment_date]],"mmm-yyyy")</f>
        <v>Aug-2023</v>
      </c>
      <c r="E1164" s="2">
        <v>1123.7</v>
      </c>
      <c r="F1164" t="s">
        <v>4694</v>
      </c>
      <c r="G1164" s="2">
        <v>331.59</v>
      </c>
    </row>
    <row r="1165" spans="1:7" x14ac:dyDescent="0.35">
      <c r="A1165" t="s">
        <v>5858</v>
      </c>
      <c r="B1165" t="s">
        <v>2240</v>
      </c>
      <c r="C1165" s="1">
        <v>45182</v>
      </c>
      <c r="D1165" s="1" t="str">
        <f>TEXT(Payments_Cleaned[[#This Row],[payment_date]],"mmm-yyyy")</f>
        <v>Sep-2023</v>
      </c>
      <c r="E1165" s="2">
        <v>3719.09</v>
      </c>
      <c r="F1165" t="s">
        <v>4697</v>
      </c>
      <c r="G1165" s="2">
        <v>1078.68</v>
      </c>
    </row>
    <row r="1166" spans="1:7" x14ac:dyDescent="0.35">
      <c r="A1166" t="s">
        <v>5859</v>
      </c>
      <c r="B1166" t="s">
        <v>2241</v>
      </c>
      <c r="C1166" s="1">
        <v>45476</v>
      </c>
      <c r="D1166" s="1" t="str">
        <f>TEXT(Payments_Cleaned[[#This Row],[payment_date]],"mmm-yyyy")</f>
        <v>Jul-2024</v>
      </c>
      <c r="E1166" s="2">
        <v>1671.74</v>
      </c>
      <c r="F1166" t="s">
        <v>4694</v>
      </c>
      <c r="G1166" s="2">
        <v>504.39</v>
      </c>
    </row>
    <row r="1167" spans="1:7" x14ac:dyDescent="0.35">
      <c r="A1167" t="s">
        <v>5860</v>
      </c>
      <c r="B1167" t="s">
        <v>2242</v>
      </c>
      <c r="C1167" s="1">
        <v>45416</v>
      </c>
      <c r="D1167" s="1" t="str">
        <f>TEXT(Payments_Cleaned[[#This Row],[payment_date]],"mmm-yyyy")</f>
        <v>May-2024</v>
      </c>
      <c r="E1167" s="2">
        <v>3489.95</v>
      </c>
      <c r="F1167" t="s">
        <v>4694</v>
      </c>
      <c r="G1167" s="2">
        <v>677.02</v>
      </c>
    </row>
    <row r="1168" spans="1:7" x14ac:dyDescent="0.35">
      <c r="A1168" t="s">
        <v>5861</v>
      </c>
      <c r="B1168" t="s">
        <v>2243</v>
      </c>
      <c r="C1168" s="1">
        <v>45080</v>
      </c>
      <c r="D1168" s="1" t="str">
        <f>TEXT(Payments_Cleaned[[#This Row],[payment_date]],"mmm-yyyy")</f>
        <v>Jun-2023</v>
      </c>
      <c r="E1168" s="2">
        <v>129.75</v>
      </c>
      <c r="F1168" t="s">
        <v>4694</v>
      </c>
      <c r="G1168" s="2">
        <v>34.450000000000003</v>
      </c>
    </row>
    <row r="1169" spans="1:7" x14ac:dyDescent="0.35">
      <c r="A1169" t="s">
        <v>5862</v>
      </c>
      <c r="B1169" t="s">
        <v>2244</v>
      </c>
      <c r="C1169" s="1">
        <v>45076</v>
      </c>
      <c r="D1169" s="1" t="str">
        <f>TEXT(Payments_Cleaned[[#This Row],[payment_date]],"mmm-yyyy")</f>
        <v>May-2023</v>
      </c>
      <c r="E1169" s="2">
        <v>3570.41</v>
      </c>
      <c r="F1169" t="s">
        <v>4694</v>
      </c>
      <c r="G1169" s="2">
        <v>1649.56</v>
      </c>
    </row>
    <row r="1170" spans="1:7" x14ac:dyDescent="0.35">
      <c r="A1170" t="s">
        <v>5863</v>
      </c>
      <c r="B1170" t="s">
        <v>2245</v>
      </c>
      <c r="C1170" s="1">
        <v>44965</v>
      </c>
      <c r="D1170" s="1" t="str">
        <f>TEXT(Payments_Cleaned[[#This Row],[payment_date]],"mmm-yyyy")</f>
        <v>Feb-2023</v>
      </c>
      <c r="E1170" s="2">
        <v>2869.89</v>
      </c>
      <c r="F1170" t="s">
        <v>4694</v>
      </c>
      <c r="G1170" s="2">
        <v>1441.08</v>
      </c>
    </row>
    <row r="1171" spans="1:7" x14ac:dyDescent="0.35">
      <c r="A1171" t="s">
        <v>5864</v>
      </c>
      <c r="B1171" t="s">
        <v>2246</v>
      </c>
      <c r="C1171" s="1">
        <v>45081</v>
      </c>
      <c r="D1171" s="1" t="str">
        <f>TEXT(Payments_Cleaned[[#This Row],[payment_date]],"mmm-yyyy")</f>
        <v>Jun-2023</v>
      </c>
      <c r="E1171" s="2">
        <v>106.53</v>
      </c>
      <c r="F1171" t="s">
        <v>4694</v>
      </c>
      <c r="G1171" s="2">
        <v>35.1</v>
      </c>
    </row>
    <row r="1172" spans="1:7" x14ac:dyDescent="0.35">
      <c r="A1172" t="s">
        <v>5865</v>
      </c>
      <c r="B1172" t="s">
        <v>2247</v>
      </c>
      <c r="C1172" s="1">
        <v>45524</v>
      </c>
      <c r="D1172" s="1" t="str">
        <f>TEXT(Payments_Cleaned[[#This Row],[payment_date]],"mmm-yyyy")</f>
        <v>Aug-2024</v>
      </c>
      <c r="E1172" s="2">
        <v>4748.33</v>
      </c>
      <c r="F1172" t="s">
        <v>4694</v>
      </c>
      <c r="G1172" s="2">
        <v>463</v>
      </c>
    </row>
    <row r="1173" spans="1:7" x14ac:dyDescent="0.35">
      <c r="A1173" t="s">
        <v>5866</v>
      </c>
      <c r="B1173" t="s">
        <v>2248</v>
      </c>
      <c r="C1173" s="1">
        <v>45275</v>
      </c>
      <c r="D1173" s="1" t="str">
        <f>TEXT(Payments_Cleaned[[#This Row],[payment_date]],"mmm-yyyy")</f>
        <v>Dec-2023</v>
      </c>
      <c r="E1173" s="2">
        <v>67.180000000000007</v>
      </c>
      <c r="F1173" t="s">
        <v>4694</v>
      </c>
      <c r="G1173" s="2">
        <v>30.89</v>
      </c>
    </row>
    <row r="1174" spans="1:7" x14ac:dyDescent="0.35">
      <c r="A1174" t="s">
        <v>5867</v>
      </c>
      <c r="B1174" t="s">
        <v>2250</v>
      </c>
      <c r="C1174" s="1">
        <v>45087</v>
      </c>
      <c r="D1174" s="1" t="str">
        <f>TEXT(Payments_Cleaned[[#This Row],[payment_date]],"mmm-yyyy")</f>
        <v>Jun-2023</v>
      </c>
      <c r="E1174" s="2">
        <v>1390.37</v>
      </c>
      <c r="F1174" t="s">
        <v>4694</v>
      </c>
      <c r="G1174" s="2">
        <v>443.18</v>
      </c>
    </row>
    <row r="1175" spans="1:7" x14ac:dyDescent="0.35">
      <c r="A1175" t="s">
        <v>5868</v>
      </c>
      <c r="B1175" t="s">
        <v>2252</v>
      </c>
      <c r="C1175" s="1">
        <v>45068</v>
      </c>
      <c r="D1175" s="1" t="str">
        <f>TEXT(Payments_Cleaned[[#This Row],[payment_date]],"mmm-yyyy")</f>
        <v>May-2023</v>
      </c>
      <c r="E1175" s="2">
        <v>433.37</v>
      </c>
      <c r="F1175" t="s">
        <v>4697</v>
      </c>
      <c r="G1175" s="2">
        <v>106.75</v>
      </c>
    </row>
    <row r="1176" spans="1:7" x14ac:dyDescent="0.35">
      <c r="A1176" t="s">
        <v>5869</v>
      </c>
      <c r="B1176" t="s">
        <v>2254</v>
      </c>
      <c r="C1176" s="1">
        <v>45528</v>
      </c>
      <c r="D1176" s="1" t="str">
        <f>TEXT(Payments_Cleaned[[#This Row],[payment_date]],"mmm-yyyy")</f>
        <v>Aug-2024</v>
      </c>
      <c r="E1176" s="2">
        <v>397.47</v>
      </c>
      <c r="F1176" t="s">
        <v>4694</v>
      </c>
      <c r="G1176" s="2">
        <v>54.77</v>
      </c>
    </row>
    <row r="1177" spans="1:7" x14ac:dyDescent="0.35">
      <c r="A1177" t="s">
        <v>5870</v>
      </c>
      <c r="B1177" t="s">
        <v>2255</v>
      </c>
      <c r="C1177" s="1">
        <v>45046</v>
      </c>
      <c r="D1177" s="1" t="str">
        <f>TEXT(Payments_Cleaned[[#This Row],[payment_date]],"mmm-yyyy")</f>
        <v>Apr-2023</v>
      </c>
      <c r="E1177" s="2">
        <v>6135.32</v>
      </c>
      <c r="F1177" t="s">
        <v>4694</v>
      </c>
      <c r="G1177" s="2">
        <v>1003.34</v>
      </c>
    </row>
    <row r="1178" spans="1:7" x14ac:dyDescent="0.35">
      <c r="A1178" t="s">
        <v>5871</v>
      </c>
      <c r="B1178" t="s">
        <v>2256</v>
      </c>
      <c r="C1178" s="1">
        <v>45058</v>
      </c>
      <c r="D1178" s="1" t="str">
        <f>TEXT(Payments_Cleaned[[#This Row],[payment_date]],"mmm-yyyy")</f>
        <v>May-2023</v>
      </c>
      <c r="E1178" s="2">
        <v>321.51</v>
      </c>
      <c r="F1178" t="s">
        <v>4694</v>
      </c>
      <c r="G1178" s="2">
        <v>51.28</v>
      </c>
    </row>
    <row r="1179" spans="1:7" x14ac:dyDescent="0.35">
      <c r="A1179" t="s">
        <v>5872</v>
      </c>
      <c r="B1179" t="s">
        <v>2257</v>
      </c>
      <c r="C1179" s="1">
        <v>45022</v>
      </c>
      <c r="D1179" s="1" t="str">
        <f>TEXT(Payments_Cleaned[[#This Row],[payment_date]],"mmm-yyyy")</f>
        <v>Apr-2023</v>
      </c>
      <c r="E1179" s="2">
        <v>4122.12</v>
      </c>
      <c r="F1179" t="s">
        <v>4694</v>
      </c>
      <c r="G1179" s="2">
        <v>386.73</v>
      </c>
    </row>
    <row r="1180" spans="1:7" x14ac:dyDescent="0.35">
      <c r="A1180" t="s">
        <v>5873</v>
      </c>
      <c r="B1180" t="s">
        <v>2258</v>
      </c>
      <c r="C1180" s="1">
        <v>44984</v>
      </c>
      <c r="D1180" s="1" t="str">
        <f>TEXT(Payments_Cleaned[[#This Row],[payment_date]],"mmm-yyyy")</f>
        <v>Feb-2023</v>
      </c>
      <c r="E1180" s="2">
        <v>3541.22</v>
      </c>
      <c r="F1180" t="s">
        <v>4694</v>
      </c>
      <c r="G1180" s="2">
        <v>1315.17</v>
      </c>
    </row>
    <row r="1181" spans="1:7" x14ac:dyDescent="0.35">
      <c r="A1181" t="s">
        <v>5874</v>
      </c>
      <c r="B1181" t="s">
        <v>2260</v>
      </c>
      <c r="C1181" s="1">
        <v>45007</v>
      </c>
      <c r="D1181" s="1" t="str">
        <f>TEXT(Payments_Cleaned[[#This Row],[payment_date]],"mmm-yyyy")</f>
        <v>Mar-2023</v>
      </c>
      <c r="E1181" s="2">
        <v>47.72</v>
      </c>
      <c r="F1181" t="s">
        <v>4694</v>
      </c>
      <c r="G1181" s="2">
        <v>8.9700000000000006</v>
      </c>
    </row>
    <row r="1182" spans="1:7" x14ac:dyDescent="0.35">
      <c r="A1182" t="s">
        <v>5875</v>
      </c>
      <c r="B1182" t="s">
        <v>2262</v>
      </c>
      <c r="C1182" s="1">
        <v>44982</v>
      </c>
      <c r="D1182" s="1" t="str">
        <f>TEXT(Payments_Cleaned[[#This Row],[payment_date]],"mmm-yyyy")</f>
        <v>Feb-2023</v>
      </c>
      <c r="E1182" s="2">
        <v>479.93</v>
      </c>
      <c r="F1182" t="s">
        <v>4694</v>
      </c>
      <c r="G1182" s="2">
        <v>26.19</v>
      </c>
    </row>
    <row r="1183" spans="1:7" x14ac:dyDescent="0.35">
      <c r="A1183" t="s">
        <v>5876</v>
      </c>
      <c r="B1183" t="s">
        <v>2264</v>
      </c>
      <c r="C1183" s="1">
        <v>45152</v>
      </c>
      <c r="D1183" s="1" t="str">
        <f>TEXT(Payments_Cleaned[[#This Row],[payment_date]],"mmm-yyyy")</f>
        <v>Aug-2023</v>
      </c>
      <c r="E1183" s="2">
        <v>129.88999999999999</v>
      </c>
      <c r="F1183" t="s">
        <v>4694</v>
      </c>
      <c r="G1183" s="2">
        <v>42.73</v>
      </c>
    </row>
    <row r="1184" spans="1:7" x14ac:dyDescent="0.35">
      <c r="A1184" t="s">
        <v>5877</v>
      </c>
      <c r="B1184" t="s">
        <v>2265</v>
      </c>
      <c r="C1184" s="1">
        <v>45407</v>
      </c>
      <c r="D1184" s="1" t="str">
        <f>TEXT(Payments_Cleaned[[#This Row],[payment_date]],"mmm-yyyy")</f>
        <v>Apr-2024</v>
      </c>
      <c r="E1184" s="2">
        <v>196.65</v>
      </c>
      <c r="F1184" t="s">
        <v>4694</v>
      </c>
      <c r="G1184" s="2">
        <v>13.96</v>
      </c>
    </row>
    <row r="1185" spans="1:7" x14ac:dyDescent="0.35">
      <c r="A1185" t="s">
        <v>5878</v>
      </c>
      <c r="B1185" t="s">
        <v>2266</v>
      </c>
      <c r="C1185" s="1">
        <v>45514</v>
      </c>
      <c r="D1185" s="1" t="str">
        <f>TEXT(Payments_Cleaned[[#This Row],[payment_date]],"mmm-yyyy")</f>
        <v>Aug-2024</v>
      </c>
      <c r="E1185" s="2">
        <v>533.41999999999996</v>
      </c>
      <c r="F1185" t="s">
        <v>4694</v>
      </c>
      <c r="G1185" s="2">
        <v>299.57</v>
      </c>
    </row>
    <row r="1186" spans="1:7" x14ac:dyDescent="0.35">
      <c r="A1186" t="s">
        <v>5879</v>
      </c>
      <c r="B1186" t="s">
        <v>2267</v>
      </c>
      <c r="C1186" s="1">
        <v>45640</v>
      </c>
      <c r="D1186" s="1" t="str">
        <f>TEXT(Payments_Cleaned[[#This Row],[payment_date]],"mmm-yyyy")</f>
        <v>Dec-2024</v>
      </c>
      <c r="E1186" s="2">
        <v>86.08</v>
      </c>
      <c r="F1186" t="s">
        <v>4694</v>
      </c>
      <c r="G1186" s="2">
        <v>8.7100000000000009</v>
      </c>
    </row>
    <row r="1187" spans="1:7" x14ac:dyDescent="0.35">
      <c r="A1187" t="s">
        <v>5880</v>
      </c>
      <c r="B1187" t="s">
        <v>2268</v>
      </c>
      <c r="C1187" s="1">
        <v>45391</v>
      </c>
      <c r="D1187" s="1" t="str">
        <f>TEXT(Payments_Cleaned[[#This Row],[payment_date]],"mmm-yyyy")</f>
        <v>Apr-2024</v>
      </c>
      <c r="E1187" s="2">
        <v>1040.1099999999999</v>
      </c>
      <c r="F1187" t="s">
        <v>4694</v>
      </c>
      <c r="G1187" s="2">
        <v>468.21</v>
      </c>
    </row>
    <row r="1188" spans="1:7" x14ac:dyDescent="0.35">
      <c r="A1188" t="s">
        <v>5881</v>
      </c>
      <c r="B1188" t="s">
        <v>2270</v>
      </c>
      <c r="C1188" s="1">
        <v>45099</v>
      </c>
      <c r="D1188" s="1" t="str">
        <f>TEXT(Payments_Cleaned[[#This Row],[payment_date]],"mmm-yyyy")</f>
        <v>Jun-2023</v>
      </c>
      <c r="E1188" s="2">
        <v>194.57</v>
      </c>
      <c r="F1188" t="s">
        <v>4694</v>
      </c>
      <c r="G1188" s="2">
        <v>18.79</v>
      </c>
    </row>
    <row r="1189" spans="1:7" x14ac:dyDescent="0.35">
      <c r="A1189" t="s">
        <v>5882</v>
      </c>
      <c r="B1189" t="s">
        <v>2271</v>
      </c>
      <c r="C1189" s="1">
        <v>45041</v>
      </c>
      <c r="D1189" s="1" t="str">
        <f>TEXT(Payments_Cleaned[[#This Row],[payment_date]],"mmm-yyyy")</f>
        <v>Apr-2023</v>
      </c>
      <c r="E1189" s="2">
        <v>354.16</v>
      </c>
      <c r="F1189" t="s">
        <v>4694</v>
      </c>
      <c r="G1189" s="2">
        <v>54.38</v>
      </c>
    </row>
    <row r="1190" spans="1:7" x14ac:dyDescent="0.35">
      <c r="A1190" t="s">
        <v>5883</v>
      </c>
      <c r="B1190" t="s">
        <v>2273</v>
      </c>
      <c r="C1190" s="1">
        <v>45339</v>
      </c>
      <c r="D1190" s="1" t="str">
        <f>TEXT(Payments_Cleaned[[#This Row],[payment_date]],"mmm-yyyy")</f>
        <v>Feb-2024</v>
      </c>
      <c r="E1190" s="2">
        <v>2894.6</v>
      </c>
      <c r="F1190" t="s">
        <v>4694</v>
      </c>
      <c r="G1190" s="2">
        <v>1592.16</v>
      </c>
    </row>
    <row r="1191" spans="1:7" x14ac:dyDescent="0.35">
      <c r="A1191" t="s">
        <v>5884</v>
      </c>
      <c r="B1191" t="s">
        <v>2276</v>
      </c>
      <c r="C1191" s="1">
        <v>45489</v>
      </c>
      <c r="D1191" s="1" t="str">
        <f>TEXT(Payments_Cleaned[[#This Row],[payment_date]],"mmm-yyyy")</f>
        <v>Jul-2024</v>
      </c>
      <c r="E1191" s="2">
        <v>99.65</v>
      </c>
      <c r="F1191" t="s">
        <v>4694</v>
      </c>
      <c r="G1191" s="2">
        <v>19.8</v>
      </c>
    </row>
    <row r="1192" spans="1:7" x14ac:dyDescent="0.35">
      <c r="A1192" t="s">
        <v>5885</v>
      </c>
      <c r="B1192" t="s">
        <v>2277</v>
      </c>
      <c r="C1192" s="1">
        <v>45189</v>
      </c>
      <c r="D1192" s="1" t="str">
        <f>TEXT(Payments_Cleaned[[#This Row],[payment_date]],"mmm-yyyy")</f>
        <v>Sep-2023</v>
      </c>
      <c r="E1192" s="2">
        <v>32.619999999999997</v>
      </c>
      <c r="F1192" t="s">
        <v>4694</v>
      </c>
      <c r="G1192" s="2">
        <v>19.64</v>
      </c>
    </row>
    <row r="1193" spans="1:7" x14ac:dyDescent="0.35">
      <c r="A1193" t="s">
        <v>5886</v>
      </c>
      <c r="B1193" t="s">
        <v>2278</v>
      </c>
      <c r="C1193" s="1">
        <v>45349</v>
      </c>
      <c r="D1193" s="1" t="str">
        <f>TEXT(Payments_Cleaned[[#This Row],[payment_date]],"mmm-yyyy")</f>
        <v>Feb-2024</v>
      </c>
      <c r="E1193" s="2">
        <v>338.16</v>
      </c>
      <c r="F1193" t="s">
        <v>4694</v>
      </c>
      <c r="G1193" s="2">
        <v>70.900000000000006</v>
      </c>
    </row>
    <row r="1194" spans="1:7" x14ac:dyDescent="0.35">
      <c r="A1194" t="s">
        <v>5887</v>
      </c>
      <c r="B1194" t="s">
        <v>2279</v>
      </c>
      <c r="C1194" s="1">
        <v>45086</v>
      </c>
      <c r="D1194" s="1" t="str">
        <f>TEXT(Payments_Cleaned[[#This Row],[payment_date]],"mmm-yyyy")</f>
        <v>Jun-2023</v>
      </c>
      <c r="E1194" s="2">
        <v>1358.78</v>
      </c>
      <c r="F1194" t="s">
        <v>4694</v>
      </c>
      <c r="G1194" s="2">
        <v>652.41</v>
      </c>
    </row>
    <row r="1195" spans="1:7" x14ac:dyDescent="0.35">
      <c r="A1195" t="s">
        <v>5888</v>
      </c>
      <c r="B1195" t="s">
        <v>2280</v>
      </c>
      <c r="C1195" s="1">
        <v>45436</v>
      </c>
      <c r="D1195" s="1" t="str">
        <f>TEXT(Payments_Cleaned[[#This Row],[payment_date]],"mmm-yyyy")</f>
        <v>May-2024</v>
      </c>
      <c r="E1195" s="2">
        <v>139.03</v>
      </c>
      <c r="F1195" t="s">
        <v>4694</v>
      </c>
      <c r="G1195" s="2">
        <v>30.71</v>
      </c>
    </row>
    <row r="1196" spans="1:7" x14ac:dyDescent="0.35">
      <c r="A1196" t="s">
        <v>5889</v>
      </c>
      <c r="B1196" t="s">
        <v>2281</v>
      </c>
      <c r="C1196" s="1">
        <v>45375</v>
      </c>
      <c r="D1196" s="1" t="str">
        <f>TEXT(Payments_Cleaned[[#This Row],[payment_date]],"mmm-yyyy")</f>
        <v>Mar-2024</v>
      </c>
      <c r="E1196" s="2">
        <v>1298.77</v>
      </c>
      <c r="F1196" t="s">
        <v>4694</v>
      </c>
      <c r="G1196" s="2">
        <v>60.73</v>
      </c>
    </row>
    <row r="1197" spans="1:7" x14ac:dyDescent="0.35">
      <c r="A1197" t="s">
        <v>5890</v>
      </c>
      <c r="B1197" t="s">
        <v>2282</v>
      </c>
      <c r="C1197" s="1">
        <v>44967</v>
      </c>
      <c r="D1197" s="1" t="str">
        <f>TEXT(Payments_Cleaned[[#This Row],[payment_date]],"mmm-yyyy")</f>
        <v>Feb-2023</v>
      </c>
      <c r="E1197" s="2">
        <v>1036.81</v>
      </c>
      <c r="F1197" t="s">
        <v>4694</v>
      </c>
      <c r="G1197" s="2">
        <v>212.01</v>
      </c>
    </row>
    <row r="1198" spans="1:7" x14ac:dyDescent="0.35">
      <c r="A1198" t="s">
        <v>5891</v>
      </c>
      <c r="B1198" t="s">
        <v>2283</v>
      </c>
      <c r="C1198" s="1">
        <v>45301</v>
      </c>
      <c r="D1198" s="1" t="str">
        <f>TEXT(Payments_Cleaned[[#This Row],[payment_date]],"mmm-yyyy")</f>
        <v>Jan-2024</v>
      </c>
      <c r="E1198" s="2">
        <v>3539</v>
      </c>
      <c r="F1198" t="s">
        <v>4694</v>
      </c>
      <c r="G1198" s="2">
        <v>647.04</v>
      </c>
    </row>
    <row r="1199" spans="1:7" x14ac:dyDescent="0.35">
      <c r="A1199" t="s">
        <v>5892</v>
      </c>
      <c r="B1199" t="s">
        <v>2285</v>
      </c>
      <c r="C1199" s="1">
        <v>45312</v>
      </c>
      <c r="D1199" s="1" t="str">
        <f>TEXT(Payments_Cleaned[[#This Row],[payment_date]],"mmm-yyyy")</f>
        <v>Jan-2024</v>
      </c>
      <c r="E1199" s="2">
        <v>105.59</v>
      </c>
      <c r="F1199" t="s">
        <v>4694</v>
      </c>
      <c r="G1199" s="2">
        <v>7.32</v>
      </c>
    </row>
    <row r="1200" spans="1:7" x14ac:dyDescent="0.35">
      <c r="A1200" t="s">
        <v>5893</v>
      </c>
      <c r="B1200" t="s">
        <v>2286</v>
      </c>
      <c r="C1200" s="1">
        <v>45546</v>
      </c>
      <c r="D1200" s="1" t="str">
        <f>TEXT(Payments_Cleaned[[#This Row],[payment_date]],"mmm-yyyy")</f>
        <v>Sep-2024</v>
      </c>
      <c r="E1200" s="2">
        <v>717.25</v>
      </c>
      <c r="F1200" t="s">
        <v>4694</v>
      </c>
      <c r="G1200" s="2">
        <v>201.36</v>
      </c>
    </row>
    <row r="1201" spans="1:7" x14ac:dyDescent="0.35">
      <c r="A1201" t="s">
        <v>5894</v>
      </c>
      <c r="B1201" t="s">
        <v>2288</v>
      </c>
      <c r="C1201" s="1">
        <v>45177</v>
      </c>
      <c r="D1201" s="1" t="str">
        <f>TEXT(Payments_Cleaned[[#This Row],[payment_date]],"mmm-yyyy")</f>
        <v>Sep-2023</v>
      </c>
      <c r="E1201" s="2">
        <v>582.9</v>
      </c>
      <c r="F1201" t="s">
        <v>4694</v>
      </c>
      <c r="G1201" s="2">
        <v>134.62</v>
      </c>
    </row>
    <row r="1202" spans="1:7" x14ac:dyDescent="0.35">
      <c r="A1202" t="s">
        <v>5895</v>
      </c>
      <c r="B1202" t="s">
        <v>2289</v>
      </c>
      <c r="C1202" s="1">
        <v>45517</v>
      </c>
      <c r="D1202" s="1" t="str">
        <f>TEXT(Payments_Cleaned[[#This Row],[payment_date]],"mmm-yyyy")</f>
        <v>Aug-2024</v>
      </c>
      <c r="E1202" s="2">
        <v>363.48</v>
      </c>
      <c r="F1202" t="s">
        <v>4697</v>
      </c>
      <c r="G1202" s="2">
        <v>22.21</v>
      </c>
    </row>
    <row r="1203" spans="1:7" x14ac:dyDescent="0.35">
      <c r="A1203" t="s">
        <v>5896</v>
      </c>
      <c r="B1203" t="s">
        <v>2290</v>
      </c>
      <c r="C1203" s="1">
        <v>45622</v>
      </c>
      <c r="D1203" s="1" t="str">
        <f>TEXT(Payments_Cleaned[[#This Row],[payment_date]],"mmm-yyyy")</f>
        <v>Nov-2024</v>
      </c>
      <c r="E1203" s="2">
        <v>1586.44</v>
      </c>
      <c r="F1203" t="s">
        <v>4694</v>
      </c>
      <c r="G1203" s="2">
        <v>657.1</v>
      </c>
    </row>
    <row r="1204" spans="1:7" x14ac:dyDescent="0.35">
      <c r="A1204" t="s">
        <v>5897</v>
      </c>
      <c r="B1204" t="s">
        <v>2291</v>
      </c>
      <c r="C1204" s="1">
        <v>45166</v>
      </c>
      <c r="D1204" s="1" t="str">
        <f>TEXT(Payments_Cleaned[[#This Row],[payment_date]],"mmm-yyyy")</f>
        <v>Aug-2023</v>
      </c>
      <c r="E1204" s="2">
        <v>216.82</v>
      </c>
      <c r="F1204" t="s">
        <v>4697</v>
      </c>
      <c r="G1204" s="2">
        <v>108.45</v>
      </c>
    </row>
    <row r="1205" spans="1:7" x14ac:dyDescent="0.35">
      <c r="A1205" t="s">
        <v>5898</v>
      </c>
      <c r="B1205" t="s">
        <v>2292</v>
      </c>
      <c r="C1205" s="1">
        <v>44965</v>
      </c>
      <c r="D1205" s="1" t="str">
        <f>TEXT(Payments_Cleaned[[#This Row],[payment_date]],"mmm-yyyy")</f>
        <v>Feb-2023</v>
      </c>
      <c r="E1205" s="2">
        <v>7709.76</v>
      </c>
      <c r="F1205" t="s">
        <v>4694</v>
      </c>
      <c r="G1205" s="2">
        <v>398.87</v>
      </c>
    </row>
    <row r="1206" spans="1:7" x14ac:dyDescent="0.35">
      <c r="A1206" t="s">
        <v>5899</v>
      </c>
      <c r="B1206" t="s">
        <v>2294</v>
      </c>
      <c r="C1206" s="1">
        <v>45477</v>
      </c>
      <c r="D1206" s="1" t="str">
        <f>TEXT(Payments_Cleaned[[#This Row],[payment_date]],"mmm-yyyy")</f>
        <v>Jul-2024</v>
      </c>
      <c r="E1206" s="2">
        <v>124.08</v>
      </c>
      <c r="F1206" t="s">
        <v>4697</v>
      </c>
      <c r="G1206" s="2">
        <v>60.98</v>
      </c>
    </row>
    <row r="1207" spans="1:7" x14ac:dyDescent="0.35">
      <c r="A1207" t="s">
        <v>5900</v>
      </c>
      <c r="B1207" t="s">
        <v>2296</v>
      </c>
      <c r="C1207" s="1">
        <v>45283</v>
      </c>
      <c r="D1207" s="1" t="str">
        <f>TEXT(Payments_Cleaned[[#This Row],[payment_date]],"mmm-yyyy")</f>
        <v>Dec-2023</v>
      </c>
      <c r="E1207" s="2">
        <v>76.44</v>
      </c>
      <c r="F1207" t="s">
        <v>4694</v>
      </c>
      <c r="G1207" s="2">
        <v>44.24</v>
      </c>
    </row>
    <row r="1208" spans="1:7" x14ac:dyDescent="0.35">
      <c r="A1208" t="s">
        <v>5901</v>
      </c>
      <c r="B1208" t="s">
        <v>2297</v>
      </c>
      <c r="C1208" s="1">
        <v>45357</v>
      </c>
      <c r="D1208" s="1" t="str">
        <f>TEXT(Payments_Cleaned[[#This Row],[payment_date]],"mmm-yyyy")</f>
        <v>Mar-2024</v>
      </c>
      <c r="E1208" s="2">
        <v>544.13</v>
      </c>
      <c r="F1208" t="s">
        <v>4694</v>
      </c>
      <c r="G1208" s="2">
        <v>301.57</v>
      </c>
    </row>
    <row r="1209" spans="1:7" x14ac:dyDescent="0.35">
      <c r="A1209" t="s">
        <v>5902</v>
      </c>
      <c r="B1209" t="s">
        <v>2300</v>
      </c>
      <c r="C1209" s="1">
        <v>45062</v>
      </c>
      <c r="D1209" s="1" t="str">
        <f>TEXT(Payments_Cleaned[[#This Row],[payment_date]],"mmm-yyyy")</f>
        <v>May-2023</v>
      </c>
      <c r="E1209" s="2">
        <v>127.05</v>
      </c>
      <c r="F1209" t="s">
        <v>4694</v>
      </c>
      <c r="G1209" s="2">
        <v>71.3</v>
      </c>
    </row>
    <row r="1210" spans="1:7" x14ac:dyDescent="0.35">
      <c r="A1210" t="s">
        <v>5903</v>
      </c>
      <c r="B1210" t="s">
        <v>2301</v>
      </c>
      <c r="C1210" s="1">
        <v>45439</v>
      </c>
      <c r="D1210" s="1" t="str">
        <f>TEXT(Payments_Cleaned[[#This Row],[payment_date]],"mmm-yyyy")</f>
        <v>May-2024</v>
      </c>
      <c r="E1210" s="2">
        <v>3964.71</v>
      </c>
      <c r="F1210" t="s">
        <v>4694</v>
      </c>
      <c r="G1210" s="2">
        <v>319.56</v>
      </c>
    </row>
    <row r="1211" spans="1:7" x14ac:dyDescent="0.35">
      <c r="A1211" t="s">
        <v>5904</v>
      </c>
      <c r="B1211" t="s">
        <v>2302</v>
      </c>
      <c r="C1211" s="1">
        <v>45432</v>
      </c>
      <c r="D1211" s="1" t="str">
        <f>TEXT(Payments_Cleaned[[#This Row],[payment_date]],"mmm-yyyy")</f>
        <v>May-2024</v>
      </c>
      <c r="E1211" s="2">
        <v>118.95</v>
      </c>
      <c r="F1211" t="s">
        <v>4694</v>
      </c>
      <c r="G1211" s="2">
        <v>6.3</v>
      </c>
    </row>
    <row r="1212" spans="1:7" x14ac:dyDescent="0.35">
      <c r="A1212" t="s">
        <v>5905</v>
      </c>
      <c r="B1212" t="s">
        <v>2303</v>
      </c>
      <c r="C1212" s="1">
        <v>45388</v>
      </c>
      <c r="D1212" s="1" t="str">
        <f>TEXT(Payments_Cleaned[[#This Row],[payment_date]],"mmm-yyyy")</f>
        <v>Apr-2024</v>
      </c>
      <c r="E1212" s="2">
        <v>369.53</v>
      </c>
      <c r="F1212" t="s">
        <v>4694</v>
      </c>
      <c r="G1212" s="2">
        <v>148.94</v>
      </c>
    </row>
    <row r="1213" spans="1:7" x14ac:dyDescent="0.35">
      <c r="A1213" t="s">
        <v>5906</v>
      </c>
      <c r="B1213" t="s">
        <v>2304</v>
      </c>
      <c r="C1213" s="1">
        <v>45677</v>
      </c>
      <c r="D1213" s="1" t="str">
        <f>TEXT(Payments_Cleaned[[#This Row],[payment_date]],"mmm-yyyy")</f>
        <v>Jan-2025</v>
      </c>
      <c r="E1213" s="2">
        <v>87.62</v>
      </c>
      <c r="F1213" t="s">
        <v>4694</v>
      </c>
      <c r="G1213" s="2">
        <v>41.86</v>
      </c>
    </row>
    <row r="1214" spans="1:7" x14ac:dyDescent="0.35">
      <c r="A1214" t="s">
        <v>5907</v>
      </c>
      <c r="B1214" t="s">
        <v>2305</v>
      </c>
      <c r="C1214" s="1">
        <v>45641</v>
      </c>
      <c r="D1214" s="1" t="str">
        <f>TEXT(Payments_Cleaned[[#This Row],[payment_date]],"mmm-yyyy")</f>
        <v>Dec-2024</v>
      </c>
      <c r="E1214" s="2">
        <v>1122.17</v>
      </c>
      <c r="F1214" t="s">
        <v>4694</v>
      </c>
      <c r="G1214" s="2">
        <v>600.17999999999995</v>
      </c>
    </row>
    <row r="1215" spans="1:7" x14ac:dyDescent="0.35">
      <c r="A1215" t="s">
        <v>5908</v>
      </c>
      <c r="B1215" t="s">
        <v>2307</v>
      </c>
      <c r="C1215" s="1">
        <v>45554</v>
      </c>
      <c r="D1215" s="1" t="str">
        <f>TEXT(Payments_Cleaned[[#This Row],[payment_date]],"mmm-yyyy")</f>
        <v>Sep-2024</v>
      </c>
      <c r="E1215" s="2">
        <v>722.37</v>
      </c>
      <c r="F1215" t="s">
        <v>4697</v>
      </c>
      <c r="G1215" s="2">
        <v>138.49</v>
      </c>
    </row>
    <row r="1216" spans="1:7" x14ac:dyDescent="0.35">
      <c r="A1216" t="s">
        <v>5909</v>
      </c>
      <c r="B1216" t="s">
        <v>2309</v>
      </c>
      <c r="C1216" s="1">
        <v>45056</v>
      </c>
      <c r="D1216" s="1" t="str">
        <f>TEXT(Payments_Cleaned[[#This Row],[payment_date]],"mmm-yyyy")</f>
        <v>May-2023</v>
      </c>
      <c r="E1216" s="2">
        <v>751.81</v>
      </c>
      <c r="F1216" t="s">
        <v>4694</v>
      </c>
      <c r="G1216" s="2">
        <v>225.85</v>
      </c>
    </row>
    <row r="1217" spans="1:7" x14ac:dyDescent="0.35">
      <c r="A1217" t="s">
        <v>5910</v>
      </c>
      <c r="B1217" t="s">
        <v>2310</v>
      </c>
      <c r="C1217" s="1">
        <v>45298</v>
      </c>
      <c r="D1217" s="1" t="str">
        <f>TEXT(Payments_Cleaned[[#This Row],[payment_date]],"mmm-yyyy")</f>
        <v>Jan-2024</v>
      </c>
      <c r="E1217" s="2">
        <v>290.63</v>
      </c>
      <c r="F1217" t="s">
        <v>4694</v>
      </c>
      <c r="G1217" s="2">
        <v>76.25</v>
      </c>
    </row>
    <row r="1218" spans="1:7" x14ac:dyDescent="0.35">
      <c r="A1218" t="s">
        <v>5911</v>
      </c>
      <c r="B1218" t="s">
        <v>2312</v>
      </c>
      <c r="C1218" s="1">
        <v>45466</v>
      </c>
      <c r="D1218" s="1" t="str">
        <f>TEXT(Payments_Cleaned[[#This Row],[payment_date]],"mmm-yyyy")</f>
        <v>Jun-2024</v>
      </c>
      <c r="E1218" s="2">
        <v>594.58000000000004</v>
      </c>
      <c r="F1218" t="s">
        <v>4694</v>
      </c>
      <c r="G1218" s="2">
        <v>64.739999999999995</v>
      </c>
    </row>
    <row r="1219" spans="1:7" x14ac:dyDescent="0.35">
      <c r="A1219" t="s">
        <v>5912</v>
      </c>
      <c r="B1219" t="s">
        <v>2314</v>
      </c>
      <c r="C1219" s="1">
        <v>45543</v>
      </c>
      <c r="D1219" s="1" t="str">
        <f>TEXT(Payments_Cleaned[[#This Row],[payment_date]],"mmm-yyyy")</f>
        <v>Sep-2024</v>
      </c>
      <c r="E1219" s="2">
        <v>2282.36</v>
      </c>
      <c r="F1219" t="s">
        <v>4694</v>
      </c>
      <c r="G1219" s="2">
        <v>372.39</v>
      </c>
    </row>
    <row r="1220" spans="1:7" x14ac:dyDescent="0.35">
      <c r="A1220" t="s">
        <v>5913</v>
      </c>
      <c r="B1220" t="s">
        <v>2315</v>
      </c>
      <c r="C1220" s="1">
        <v>45122</v>
      </c>
      <c r="D1220" s="1" t="str">
        <f>TEXT(Payments_Cleaned[[#This Row],[payment_date]],"mmm-yyyy")</f>
        <v>Jul-2023</v>
      </c>
      <c r="E1220" s="2">
        <v>238.08</v>
      </c>
      <c r="F1220" t="s">
        <v>4694</v>
      </c>
      <c r="G1220" s="2">
        <v>33.92</v>
      </c>
    </row>
    <row r="1221" spans="1:7" x14ac:dyDescent="0.35">
      <c r="A1221" t="s">
        <v>5914</v>
      </c>
      <c r="B1221" t="s">
        <v>2317</v>
      </c>
      <c r="C1221" s="1">
        <v>45124</v>
      </c>
      <c r="D1221" s="1" t="str">
        <f>TEXT(Payments_Cleaned[[#This Row],[payment_date]],"mmm-yyyy")</f>
        <v>Jul-2023</v>
      </c>
      <c r="E1221" s="2">
        <v>624.04</v>
      </c>
      <c r="F1221" t="s">
        <v>4694</v>
      </c>
      <c r="G1221" s="2">
        <v>50.58</v>
      </c>
    </row>
    <row r="1222" spans="1:7" x14ac:dyDescent="0.35">
      <c r="A1222" t="s">
        <v>5915</v>
      </c>
      <c r="B1222" t="s">
        <v>2320</v>
      </c>
      <c r="C1222" s="1">
        <v>45190</v>
      </c>
      <c r="D1222" s="1" t="str">
        <f>TEXT(Payments_Cleaned[[#This Row],[payment_date]],"mmm-yyyy")</f>
        <v>Sep-2023</v>
      </c>
      <c r="E1222" s="2">
        <v>4268.6899999999996</v>
      </c>
      <c r="F1222" t="s">
        <v>4694</v>
      </c>
      <c r="G1222" s="2">
        <v>1683.41</v>
      </c>
    </row>
    <row r="1223" spans="1:7" x14ac:dyDescent="0.35">
      <c r="A1223" t="s">
        <v>5916</v>
      </c>
      <c r="B1223" t="s">
        <v>2321</v>
      </c>
      <c r="C1223" s="1">
        <v>45638</v>
      </c>
      <c r="D1223" s="1" t="str">
        <f>TEXT(Payments_Cleaned[[#This Row],[payment_date]],"mmm-yyyy")</f>
        <v>Dec-2024</v>
      </c>
      <c r="E1223" s="2">
        <v>50.51</v>
      </c>
      <c r="F1223" t="s">
        <v>4694</v>
      </c>
      <c r="G1223" s="2">
        <v>10.59</v>
      </c>
    </row>
    <row r="1224" spans="1:7" x14ac:dyDescent="0.35">
      <c r="A1224" t="s">
        <v>5917</v>
      </c>
      <c r="B1224" t="s">
        <v>2322</v>
      </c>
      <c r="C1224" s="1">
        <v>45455</v>
      </c>
      <c r="D1224" s="1" t="str">
        <f>TEXT(Payments_Cleaned[[#This Row],[payment_date]],"mmm-yyyy")</f>
        <v>Jun-2024</v>
      </c>
      <c r="E1224" s="2">
        <v>444.18</v>
      </c>
      <c r="F1224" t="s">
        <v>4694</v>
      </c>
      <c r="G1224" s="2">
        <v>141.35</v>
      </c>
    </row>
    <row r="1225" spans="1:7" x14ac:dyDescent="0.35">
      <c r="A1225" t="s">
        <v>5918</v>
      </c>
      <c r="B1225" t="s">
        <v>2323</v>
      </c>
      <c r="C1225" s="1">
        <v>45187</v>
      </c>
      <c r="D1225" s="1" t="str">
        <f>TEXT(Payments_Cleaned[[#This Row],[payment_date]],"mmm-yyyy")</f>
        <v>Sep-2023</v>
      </c>
      <c r="E1225" s="2">
        <v>1048.68</v>
      </c>
      <c r="F1225" t="s">
        <v>4694</v>
      </c>
      <c r="G1225" s="2">
        <v>225.53</v>
      </c>
    </row>
    <row r="1226" spans="1:7" x14ac:dyDescent="0.35">
      <c r="A1226" t="s">
        <v>5919</v>
      </c>
      <c r="B1226" t="s">
        <v>2325</v>
      </c>
      <c r="C1226" s="1">
        <v>45496</v>
      </c>
      <c r="D1226" s="1" t="str">
        <f>TEXT(Payments_Cleaned[[#This Row],[payment_date]],"mmm-yyyy")</f>
        <v>Jul-2024</v>
      </c>
      <c r="E1226" s="2">
        <v>138.03</v>
      </c>
      <c r="F1226" t="s">
        <v>4694</v>
      </c>
      <c r="G1226" s="2">
        <v>54.33</v>
      </c>
    </row>
    <row r="1227" spans="1:7" x14ac:dyDescent="0.35">
      <c r="A1227" t="s">
        <v>5920</v>
      </c>
      <c r="B1227" t="s">
        <v>2326</v>
      </c>
      <c r="C1227" s="1">
        <v>45109</v>
      </c>
      <c r="D1227" s="1" t="str">
        <f>TEXT(Payments_Cleaned[[#This Row],[payment_date]],"mmm-yyyy")</f>
        <v>Jul-2023</v>
      </c>
      <c r="E1227" s="2">
        <v>197.75</v>
      </c>
      <c r="F1227" t="s">
        <v>4694</v>
      </c>
      <c r="G1227" s="2">
        <v>85.31</v>
      </c>
    </row>
    <row r="1228" spans="1:7" x14ac:dyDescent="0.35">
      <c r="A1228" t="s">
        <v>5921</v>
      </c>
      <c r="B1228" t="s">
        <v>2327</v>
      </c>
      <c r="C1228" s="1">
        <v>45068</v>
      </c>
      <c r="D1228" s="1" t="str">
        <f>TEXT(Payments_Cleaned[[#This Row],[payment_date]],"mmm-yyyy")</f>
        <v>May-2023</v>
      </c>
      <c r="E1228" s="2">
        <v>616.39</v>
      </c>
      <c r="F1228" t="s">
        <v>4694</v>
      </c>
      <c r="G1228" s="2">
        <v>163.61000000000001</v>
      </c>
    </row>
    <row r="1229" spans="1:7" x14ac:dyDescent="0.35">
      <c r="A1229" t="s">
        <v>5922</v>
      </c>
      <c r="B1229" t="s">
        <v>2328</v>
      </c>
      <c r="C1229" s="1">
        <v>45345</v>
      </c>
      <c r="D1229" s="1" t="str">
        <f>TEXT(Payments_Cleaned[[#This Row],[payment_date]],"mmm-yyyy")</f>
        <v>Feb-2024</v>
      </c>
      <c r="E1229" s="2">
        <v>124.68</v>
      </c>
      <c r="F1229" t="s">
        <v>4694</v>
      </c>
      <c r="G1229" s="2">
        <v>13.71</v>
      </c>
    </row>
    <row r="1230" spans="1:7" x14ac:dyDescent="0.35">
      <c r="A1230" t="s">
        <v>5923</v>
      </c>
      <c r="B1230" t="s">
        <v>2330</v>
      </c>
      <c r="C1230" s="1">
        <v>45433</v>
      </c>
      <c r="D1230" s="1" t="str">
        <f>TEXT(Payments_Cleaned[[#This Row],[payment_date]],"mmm-yyyy")</f>
        <v>May-2024</v>
      </c>
      <c r="E1230" s="2">
        <v>292.64</v>
      </c>
      <c r="F1230" t="s">
        <v>4694</v>
      </c>
      <c r="G1230" s="2">
        <v>42.67</v>
      </c>
    </row>
    <row r="1231" spans="1:7" x14ac:dyDescent="0.35">
      <c r="A1231" t="s">
        <v>5924</v>
      </c>
      <c r="B1231" t="s">
        <v>2332</v>
      </c>
      <c r="C1231" s="1">
        <v>45371</v>
      </c>
      <c r="D1231" s="1" t="str">
        <f>TEXT(Payments_Cleaned[[#This Row],[payment_date]],"mmm-yyyy")</f>
        <v>Mar-2024</v>
      </c>
      <c r="E1231" s="2">
        <v>287.93</v>
      </c>
      <c r="F1231" t="s">
        <v>4694</v>
      </c>
      <c r="G1231" s="2">
        <v>67.87</v>
      </c>
    </row>
    <row r="1232" spans="1:7" x14ac:dyDescent="0.35">
      <c r="A1232" t="s">
        <v>5925</v>
      </c>
      <c r="B1232" t="s">
        <v>2333</v>
      </c>
      <c r="C1232" s="1">
        <v>45266</v>
      </c>
      <c r="D1232" s="1" t="str">
        <f>TEXT(Payments_Cleaned[[#This Row],[payment_date]],"mmm-yyyy")</f>
        <v>Dec-2023</v>
      </c>
      <c r="E1232" s="2">
        <v>640.21</v>
      </c>
      <c r="F1232" t="s">
        <v>4694</v>
      </c>
      <c r="G1232" s="2">
        <v>80.599999999999994</v>
      </c>
    </row>
    <row r="1233" spans="1:7" x14ac:dyDescent="0.35">
      <c r="A1233" t="s">
        <v>5926</v>
      </c>
      <c r="B1233" t="s">
        <v>2334</v>
      </c>
      <c r="C1233" s="1">
        <v>45102</v>
      </c>
      <c r="D1233" s="1" t="str">
        <f>TEXT(Payments_Cleaned[[#This Row],[payment_date]],"mmm-yyyy")</f>
        <v>Jun-2023</v>
      </c>
      <c r="E1233" s="2">
        <v>318.95</v>
      </c>
      <c r="F1233" t="s">
        <v>4694</v>
      </c>
      <c r="G1233" s="2">
        <v>15.69</v>
      </c>
    </row>
    <row r="1234" spans="1:7" x14ac:dyDescent="0.35">
      <c r="A1234" t="s">
        <v>5927</v>
      </c>
      <c r="B1234" t="s">
        <v>2335</v>
      </c>
      <c r="C1234" s="1">
        <v>45672</v>
      </c>
      <c r="D1234" s="1" t="str">
        <f>TEXT(Payments_Cleaned[[#This Row],[payment_date]],"mmm-yyyy")</f>
        <v>Jan-2025</v>
      </c>
      <c r="E1234" s="2">
        <v>150.58000000000001</v>
      </c>
      <c r="F1234" t="s">
        <v>4694</v>
      </c>
      <c r="G1234" s="2">
        <v>12.22</v>
      </c>
    </row>
    <row r="1235" spans="1:7" x14ac:dyDescent="0.35">
      <c r="A1235" t="s">
        <v>5928</v>
      </c>
      <c r="B1235" t="s">
        <v>2337</v>
      </c>
      <c r="C1235" s="1">
        <v>45037</v>
      </c>
      <c r="D1235" s="1" t="str">
        <f>TEXT(Payments_Cleaned[[#This Row],[payment_date]],"mmm-yyyy")</f>
        <v>Apr-2023</v>
      </c>
      <c r="E1235" s="2">
        <v>549.16999999999996</v>
      </c>
      <c r="F1235" t="s">
        <v>4694</v>
      </c>
      <c r="G1235" s="2">
        <v>26.29</v>
      </c>
    </row>
    <row r="1236" spans="1:7" x14ac:dyDescent="0.35">
      <c r="A1236" t="s">
        <v>5929</v>
      </c>
      <c r="B1236" t="s">
        <v>2339</v>
      </c>
      <c r="C1236" s="1">
        <v>45304</v>
      </c>
      <c r="D1236" s="1" t="str">
        <f>TEXT(Payments_Cleaned[[#This Row],[payment_date]],"mmm-yyyy")</f>
        <v>Jan-2024</v>
      </c>
      <c r="E1236" s="2">
        <v>4102.7299999999996</v>
      </c>
      <c r="F1236" t="s">
        <v>4694</v>
      </c>
      <c r="G1236" s="2">
        <v>631.41999999999996</v>
      </c>
    </row>
    <row r="1237" spans="1:7" x14ac:dyDescent="0.35">
      <c r="A1237" t="s">
        <v>5930</v>
      </c>
      <c r="B1237" t="s">
        <v>2340</v>
      </c>
      <c r="C1237" s="1">
        <v>45528</v>
      </c>
      <c r="D1237" s="1" t="str">
        <f>TEXT(Payments_Cleaned[[#This Row],[payment_date]],"mmm-yyyy")</f>
        <v>Aug-2024</v>
      </c>
      <c r="E1237" s="2">
        <v>1192.49</v>
      </c>
      <c r="F1237" t="s">
        <v>4694</v>
      </c>
      <c r="G1237" s="2">
        <v>239.13</v>
      </c>
    </row>
    <row r="1238" spans="1:7" x14ac:dyDescent="0.35">
      <c r="A1238" t="s">
        <v>5931</v>
      </c>
      <c r="B1238" t="s">
        <v>2341</v>
      </c>
      <c r="C1238" s="1">
        <v>45290</v>
      </c>
      <c r="D1238" s="1" t="str">
        <f>TEXT(Payments_Cleaned[[#This Row],[payment_date]],"mmm-yyyy")</f>
        <v>Dec-2023</v>
      </c>
      <c r="E1238" s="2">
        <v>116.87</v>
      </c>
      <c r="F1238" t="s">
        <v>4694</v>
      </c>
      <c r="G1238" s="2">
        <v>29.65</v>
      </c>
    </row>
    <row r="1239" spans="1:7" x14ac:dyDescent="0.35">
      <c r="A1239" t="s">
        <v>5932</v>
      </c>
      <c r="B1239" t="s">
        <v>2343</v>
      </c>
      <c r="C1239" s="1">
        <v>45067</v>
      </c>
      <c r="D1239" s="1" t="str">
        <f>TEXT(Payments_Cleaned[[#This Row],[payment_date]],"mmm-yyyy")</f>
        <v>May-2023</v>
      </c>
      <c r="E1239" s="2">
        <v>580.65</v>
      </c>
      <c r="F1239" t="s">
        <v>4694</v>
      </c>
      <c r="G1239" s="2">
        <v>43.62</v>
      </c>
    </row>
    <row r="1240" spans="1:7" x14ac:dyDescent="0.35">
      <c r="A1240" t="s">
        <v>5933</v>
      </c>
      <c r="B1240" t="s">
        <v>2344</v>
      </c>
      <c r="C1240" s="1">
        <v>45004</v>
      </c>
      <c r="D1240" s="1" t="str">
        <f>TEXT(Payments_Cleaned[[#This Row],[payment_date]],"mmm-yyyy")</f>
        <v>Mar-2023</v>
      </c>
      <c r="E1240" s="2">
        <v>1017.22</v>
      </c>
      <c r="F1240" t="s">
        <v>4694</v>
      </c>
      <c r="G1240" s="2">
        <v>64.61</v>
      </c>
    </row>
    <row r="1241" spans="1:7" x14ac:dyDescent="0.35">
      <c r="A1241" t="s">
        <v>5934</v>
      </c>
      <c r="B1241" t="s">
        <v>2346</v>
      </c>
      <c r="C1241" s="1">
        <v>45221</v>
      </c>
      <c r="D1241" s="1" t="str">
        <f>TEXT(Payments_Cleaned[[#This Row],[payment_date]],"mmm-yyyy")</f>
        <v>Oct-2023</v>
      </c>
      <c r="E1241" s="2">
        <v>322.17</v>
      </c>
      <c r="F1241" t="s">
        <v>4694</v>
      </c>
      <c r="G1241" s="2">
        <v>194.49</v>
      </c>
    </row>
    <row r="1242" spans="1:7" x14ac:dyDescent="0.35">
      <c r="A1242" t="s">
        <v>5935</v>
      </c>
      <c r="B1242" t="s">
        <v>2347</v>
      </c>
      <c r="C1242" s="1">
        <v>45377</v>
      </c>
      <c r="D1242" s="1" t="str">
        <f>TEXT(Payments_Cleaned[[#This Row],[payment_date]],"mmm-yyyy")</f>
        <v>Mar-2024</v>
      </c>
      <c r="E1242" s="2">
        <v>536.35</v>
      </c>
      <c r="F1242" t="s">
        <v>4694</v>
      </c>
      <c r="G1242" s="2">
        <v>210.22</v>
      </c>
    </row>
    <row r="1243" spans="1:7" x14ac:dyDescent="0.35">
      <c r="A1243" t="s">
        <v>5936</v>
      </c>
      <c r="B1243" t="s">
        <v>2348</v>
      </c>
      <c r="C1243" s="1">
        <v>45432</v>
      </c>
      <c r="D1243" s="1" t="str">
        <f>TEXT(Payments_Cleaned[[#This Row],[payment_date]],"mmm-yyyy")</f>
        <v>May-2024</v>
      </c>
      <c r="E1243" s="2">
        <v>4197.6400000000003</v>
      </c>
      <c r="F1243" t="s">
        <v>4694</v>
      </c>
      <c r="G1243" s="2">
        <v>885.12</v>
      </c>
    </row>
    <row r="1244" spans="1:7" x14ac:dyDescent="0.35">
      <c r="A1244" t="s">
        <v>5937</v>
      </c>
      <c r="B1244" t="s">
        <v>2349</v>
      </c>
      <c r="C1244" s="1">
        <v>45015</v>
      </c>
      <c r="D1244" s="1" t="str">
        <f>TEXT(Payments_Cleaned[[#This Row],[payment_date]],"mmm-yyyy")</f>
        <v>Mar-2023</v>
      </c>
      <c r="E1244" s="2">
        <v>667.38</v>
      </c>
      <c r="F1244" t="s">
        <v>4694</v>
      </c>
      <c r="G1244" s="2">
        <v>105.68</v>
      </c>
    </row>
    <row r="1245" spans="1:7" x14ac:dyDescent="0.35">
      <c r="A1245" t="s">
        <v>5938</v>
      </c>
      <c r="B1245" t="s">
        <v>2351</v>
      </c>
      <c r="C1245" s="1">
        <v>45120</v>
      </c>
      <c r="D1245" s="1" t="str">
        <f>TEXT(Payments_Cleaned[[#This Row],[payment_date]],"mmm-yyyy")</f>
        <v>Jul-2023</v>
      </c>
      <c r="E1245" s="2">
        <v>140.63999999999999</v>
      </c>
      <c r="F1245" t="s">
        <v>4694</v>
      </c>
      <c r="G1245" s="2">
        <v>25.08</v>
      </c>
    </row>
    <row r="1246" spans="1:7" x14ac:dyDescent="0.35">
      <c r="A1246" t="s">
        <v>5939</v>
      </c>
      <c r="B1246" t="s">
        <v>2352</v>
      </c>
      <c r="C1246" s="1">
        <v>45214</v>
      </c>
      <c r="D1246" s="1" t="str">
        <f>TEXT(Payments_Cleaned[[#This Row],[payment_date]],"mmm-yyyy")</f>
        <v>Oct-2023</v>
      </c>
      <c r="E1246" s="2">
        <v>570.35</v>
      </c>
      <c r="F1246" t="s">
        <v>4694</v>
      </c>
      <c r="G1246" s="2">
        <v>220.91</v>
      </c>
    </row>
    <row r="1247" spans="1:7" x14ac:dyDescent="0.35">
      <c r="A1247" t="s">
        <v>5940</v>
      </c>
      <c r="B1247" t="s">
        <v>2353</v>
      </c>
      <c r="C1247" s="1">
        <v>45038</v>
      </c>
      <c r="D1247" s="1" t="str">
        <f>TEXT(Payments_Cleaned[[#This Row],[payment_date]],"mmm-yyyy")</f>
        <v>Apr-2023</v>
      </c>
      <c r="E1247" s="2">
        <v>716.49</v>
      </c>
      <c r="F1247" t="s">
        <v>4694</v>
      </c>
      <c r="G1247" s="2">
        <v>377.86</v>
      </c>
    </row>
    <row r="1248" spans="1:7" x14ac:dyDescent="0.35">
      <c r="A1248" t="s">
        <v>5941</v>
      </c>
      <c r="B1248" t="s">
        <v>2354</v>
      </c>
      <c r="C1248" s="1">
        <v>45271</v>
      </c>
      <c r="D1248" s="1" t="str">
        <f>TEXT(Payments_Cleaned[[#This Row],[payment_date]],"mmm-yyyy")</f>
        <v>Dec-2023</v>
      </c>
      <c r="E1248" s="2">
        <v>1411.25</v>
      </c>
      <c r="F1248" t="s">
        <v>4694</v>
      </c>
      <c r="G1248" s="2">
        <v>410.13</v>
      </c>
    </row>
    <row r="1249" spans="1:7" x14ac:dyDescent="0.35">
      <c r="A1249" t="s">
        <v>5942</v>
      </c>
      <c r="B1249" t="s">
        <v>2355</v>
      </c>
      <c r="C1249" s="1">
        <v>45618</v>
      </c>
      <c r="D1249" s="1" t="str">
        <f>TEXT(Payments_Cleaned[[#This Row],[payment_date]],"mmm-yyyy")</f>
        <v>Nov-2024</v>
      </c>
      <c r="E1249" s="2">
        <v>299.69</v>
      </c>
      <c r="F1249" t="s">
        <v>4694</v>
      </c>
      <c r="G1249" s="2">
        <v>114.59</v>
      </c>
    </row>
    <row r="1250" spans="1:7" x14ac:dyDescent="0.35">
      <c r="A1250" t="s">
        <v>5943</v>
      </c>
      <c r="B1250" t="s">
        <v>2357</v>
      </c>
      <c r="C1250" s="1">
        <v>45209</v>
      </c>
      <c r="D1250" s="1" t="str">
        <f>TEXT(Payments_Cleaned[[#This Row],[payment_date]],"mmm-yyyy")</f>
        <v>Oct-2023</v>
      </c>
      <c r="E1250" s="2">
        <v>86.85</v>
      </c>
      <c r="F1250" t="s">
        <v>4694</v>
      </c>
      <c r="G1250" s="2">
        <v>51.59</v>
      </c>
    </row>
    <row r="1251" spans="1:7" x14ac:dyDescent="0.35">
      <c r="A1251" t="s">
        <v>5944</v>
      </c>
      <c r="B1251" t="s">
        <v>2358</v>
      </c>
      <c r="C1251" s="1">
        <v>45545</v>
      </c>
      <c r="D1251" s="1" t="str">
        <f>TEXT(Payments_Cleaned[[#This Row],[payment_date]],"mmm-yyyy")</f>
        <v>Sep-2024</v>
      </c>
      <c r="E1251" s="2">
        <v>215.81</v>
      </c>
      <c r="F1251" t="s">
        <v>4694</v>
      </c>
      <c r="G1251" s="2">
        <v>13.06</v>
      </c>
    </row>
    <row r="1252" spans="1:7" x14ac:dyDescent="0.35">
      <c r="A1252" t="s">
        <v>5945</v>
      </c>
      <c r="B1252" t="s">
        <v>2360</v>
      </c>
      <c r="C1252" s="1">
        <v>44991</v>
      </c>
      <c r="D1252" s="1" t="str">
        <f>TEXT(Payments_Cleaned[[#This Row],[payment_date]],"mmm-yyyy")</f>
        <v>Mar-2023</v>
      </c>
      <c r="E1252" s="2">
        <v>1905.93</v>
      </c>
      <c r="F1252" t="s">
        <v>4694</v>
      </c>
      <c r="G1252" s="2">
        <v>150.81</v>
      </c>
    </row>
    <row r="1253" spans="1:7" x14ac:dyDescent="0.35">
      <c r="A1253" t="s">
        <v>5946</v>
      </c>
      <c r="B1253" t="s">
        <v>2362</v>
      </c>
      <c r="C1253" s="1">
        <v>45422</v>
      </c>
      <c r="D1253" s="1" t="str">
        <f>TEXT(Payments_Cleaned[[#This Row],[payment_date]],"mmm-yyyy")</f>
        <v>May-2024</v>
      </c>
      <c r="E1253" s="2">
        <v>310.14</v>
      </c>
      <c r="F1253" t="s">
        <v>4694</v>
      </c>
      <c r="G1253" s="2">
        <v>47.2</v>
      </c>
    </row>
    <row r="1254" spans="1:7" x14ac:dyDescent="0.35">
      <c r="A1254" t="s">
        <v>5947</v>
      </c>
      <c r="B1254" t="s">
        <v>2364</v>
      </c>
      <c r="C1254" s="1">
        <v>45028</v>
      </c>
      <c r="D1254" s="1" t="str">
        <f>TEXT(Payments_Cleaned[[#This Row],[payment_date]],"mmm-yyyy")</f>
        <v>Apr-2023</v>
      </c>
      <c r="E1254" s="2">
        <v>5956.33</v>
      </c>
      <c r="F1254" t="s">
        <v>4694</v>
      </c>
      <c r="G1254" s="2">
        <v>1017.17</v>
      </c>
    </row>
    <row r="1255" spans="1:7" x14ac:dyDescent="0.35">
      <c r="A1255" t="s">
        <v>5948</v>
      </c>
      <c r="B1255" t="s">
        <v>2365</v>
      </c>
      <c r="C1255" s="1">
        <v>44966</v>
      </c>
      <c r="D1255" s="1" t="str">
        <f>TEXT(Payments_Cleaned[[#This Row],[payment_date]],"mmm-yyyy")</f>
        <v>Feb-2023</v>
      </c>
      <c r="E1255" s="2">
        <v>218.1</v>
      </c>
      <c r="F1255" t="s">
        <v>4694</v>
      </c>
      <c r="G1255" s="2">
        <v>52.92</v>
      </c>
    </row>
    <row r="1256" spans="1:7" x14ac:dyDescent="0.35">
      <c r="A1256" t="s">
        <v>5949</v>
      </c>
      <c r="B1256" t="s">
        <v>2366</v>
      </c>
      <c r="C1256" s="1">
        <v>45092</v>
      </c>
      <c r="D1256" s="1" t="str">
        <f>TEXT(Payments_Cleaned[[#This Row],[payment_date]],"mmm-yyyy")</f>
        <v>Jun-2023</v>
      </c>
      <c r="E1256" s="2">
        <v>285</v>
      </c>
      <c r="F1256" t="s">
        <v>4697</v>
      </c>
      <c r="G1256" s="2">
        <v>94.61</v>
      </c>
    </row>
    <row r="1257" spans="1:7" x14ac:dyDescent="0.35">
      <c r="A1257" t="s">
        <v>5950</v>
      </c>
      <c r="B1257" t="s">
        <v>2367</v>
      </c>
      <c r="C1257" s="1">
        <v>45143</v>
      </c>
      <c r="D1257" s="1" t="str">
        <f>TEXT(Payments_Cleaned[[#This Row],[payment_date]],"mmm-yyyy")</f>
        <v>Aug-2023</v>
      </c>
      <c r="E1257" s="2">
        <v>113.33</v>
      </c>
      <c r="F1257" t="s">
        <v>4694</v>
      </c>
      <c r="G1257" s="2">
        <v>8.1999999999999993</v>
      </c>
    </row>
    <row r="1258" spans="1:7" x14ac:dyDescent="0.35">
      <c r="A1258" t="s">
        <v>5951</v>
      </c>
      <c r="B1258" t="s">
        <v>2368</v>
      </c>
      <c r="C1258" s="1">
        <v>45034</v>
      </c>
      <c r="D1258" s="1" t="str">
        <f>TEXT(Payments_Cleaned[[#This Row],[payment_date]],"mmm-yyyy")</f>
        <v>Apr-2023</v>
      </c>
      <c r="E1258" s="2">
        <v>829.17</v>
      </c>
      <c r="F1258" t="s">
        <v>4694</v>
      </c>
      <c r="G1258" s="2">
        <v>493.84</v>
      </c>
    </row>
    <row r="1259" spans="1:7" x14ac:dyDescent="0.35">
      <c r="A1259" t="s">
        <v>5952</v>
      </c>
      <c r="B1259" t="s">
        <v>2369</v>
      </c>
      <c r="C1259" s="1">
        <v>45610</v>
      </c>
      <c r="D1259" s="1" t="str">
        <f>TEXT(Payments_Cleaned[[#This Row],[payment_date]],"mmm-yyyy")</f>
        <v>Nov-2024</v>
      </c>
      <c r="E1259" s="2">
        <v>94.5</v>
      </c>
      <c r="F1259" t="s">
        <v>4694</v>
      </c>
      <c r="G1259" s="2">
        <v>16.649999999999999</v>
      </c>
    </row>
    <row r="1260" spans="1:7" x14ac:dyDescent="0.35">
      <c r="A1260" t="s">
        <v>5953</v>
      </c>
      <c r="B1260" t="s">
        <v>2370</v>
      </c>
      <c r="C1260" s="1">
        <v>45367</v>
      </c>
      <c r="D1260" s="1" t="str">
        <f>TEXT(Payments_Cleaned[[#This Row],[payment_date]],"mmm-yyyy")</f>
        <v>Mar-2024</v>
      </c>
      <c r="E1260" s="2">
        <v>320.62</v>
      </c>
      <c r="F1260" t="s">
        <v>4694</v>
      </c>
      <c r="G1260" s="2">
        <v>48.43</v>
      </c>
    </row>
    <row r="1261" spans="1:7" x14ac:dyDescent="0.35">
      <c r="A1261" t="s">
        <v>5954</v>
      </c>
      <c r="B1261" t="s">
        <v>2371</v>
      </c>
      <c r="C1261" s="1">
        <v>45042</v>
      </c>
      <c r="D1261" s="1" t="str">
        <f>TEXT(Payments_Cleaned[[#This Row],[payment_date]],"mmm-yyyy")</f>
        <v>Apr-2023</v>
      </c>
      <c r="E1261" s="2">
        <v>500.57</v>
      </c>
      <c r="F1261" t="s">
        <v>4694</v>
      </c>
      <c r="G1261" s="2">
        <v>116.1</v>
      </c>
    </row>
    <row r="1262" spans="1:7" x14ac:dyDescent="0.35">
      <c r="A1262" t="s">
        <v>5955</v>
      </c>
      <c r="B1262" t="s">
        <v>2372</v>
      </c>
      <c r="C1262" s="1">
        <v>45189</v>
      </c>
      <c r="D1262" s="1" t="str">
        <f>TEXT(Payments_Cleaned[[#This Row],[payment_date]],"mmm-yyyy")</f>
        <v>Sep-2023</v>
      </c>
      <c r="E1262" s="2">
        <v>3119.16</v>
      </c>
      <c r="F1262" t="s">
        <v>4694</v>
      </c>
      <c r="G1262" s="2">
        <v>1148.76</v>
      </c>
    </row>
    <row r="1263" spans="1:7" x14ac:dyDescent="0.35">
      <c r="A1263" t="s">
        <v>5956</v>
      </c>
      <c r="B1263" t="s">
        <v>2374</v>
      </c>
      <c r="C1263" s="1">
        <v>45588</v>
      </c>
      <c r="D1263" s="1" t="str">
        <f>TEXT(Payments_Cleaned[[#This Row],[payment_date]],"mmm-yyyy")</f>
        <v>Oct-2024</v>
      </c>
      <c r="E1263" s="2">
        <v>219.22</v>
      </c>
      <c r="F1263" t="s">
        <v>4694</v>
      </c>
      <c r="G1263" s="2">
        <v>130.1</v>
      </c>
    </row>
    <row r="1264" spans="1:7" x14ac:dyDescent="0.35">
      <c r="A1264" t="s">
        <v>5957</v>
      </c>
      <c r="B1264" t="s">
        <v>2375</v>
      </c>
      <c r="C1264" s="1">
        <v>45214</v>
      </c>
      <c r="D1264" s="1" t="str">
        <f>TEXT(Payments_Cleaned[[#This Row],[payment_date]],"mmm-yyyy")</f>
        <v>Oct-2023</v>
      </c>
      <c r="E1264" s="2">
        <v>1215.6300000000001</v>
      </c>
      <c r="F1264" t="s">
        <v>4694</v>
      </c>
      <c r="G1264" s="2">
        <v>119.19</v>
      </c>
    </row>
    <row r="1265" spans="1:7" x14ac:dyDescent="0.35">
      <c r="A1265" t="s">
        <v>5958</v>
      </c>
      <c r="B1265" t="s">
        <v>2376</v>
      </c>
      <c r="C1265" s="1">
        <v>45126</v>
      </c>
      <c r="D1265" s="1" t="str">
        <f>TEXT(Payments_Cleaned[[#This Row],[payment_date]],"mmm-yyyy")</f>
        <v>Jul-2023</v>
      </c>
      <c r="E1265" s="2">
        <v>147.62</v>
      </c>
      <c r="F1265" t="s">
        <v>4694</v>
      </c>
      <c r="G1265" s="2">
        <v>20.29</v>
      </c>
    </row>
    <row r="1266" spans="1:7" x14ac:dyDescent="0.35">
      <c r="A1266" t="s">
        <v>5959</v>
      </c>
      <c r="B1266" t="s">
        <v>2377</v>
      </c>
      <c r="C1266" s="1">
        <v>45119</v>
      </c>
      <c r="D1266" s="1" t="str">
        <f>TEXT(Payments_Cleaned[[#This Row],[payment_date]],"mmm-yyyy")</f>
        <v>Jul-2023</v>
      </c>
      <c r="E1266" s="2">
        <v>107.58</v>
      </c>
      <c r="F1266" t="s">
        <v>4697</v>
      </c>
      <c r="G1266" s="2">
        <v>60.92</v>
      </c>
    </row>
    <row r="1267" spans="1:7" x14ac:dyDescent="0.35">
      <c r="A1267" t="s">
        <v>5960</v>
      </c>
      <c r="B1267" t="s">
        <v>2378</v>
      </c>
      <c r="C1267" s="1">
        <v>45600</v>
      </c>
      <c r="D1267" s="1" t="str">
        <f>TEXT(Payments_Cleaned[[#This Row],[payment_date]],"mmm-yyyy")</f>
        <v>Nov-2024</v>
      </c>
      <c r="E1267" s="2">
        <v>318.56</v>
      </c>
      <c r="F1267" t="s">
        <v>4694</v>
      </c>
      <c r="G1267" s="2">
        <v>185.46</v>
      </c>
    </row>
    <row r="1268" spans="1:7" x14ac:dyDescent="0.35">
      <c r="A1268" t="s">
        <v>5961</v>
      </c>
      <c r="B1268" t="s">
        <v>2380</v>
      </c>
      <c r="C1268" s="1">
        <v>45017</v>
      </c>
      <c r="D1268" s="1" t="str">
        <f>TEXT(Payments_Cleaned[[#This Row],[payment_date]],"mmm-yyyy")</f>
        <v>Apr-2023</v>
      </c>
      <c r="E1268" s="2">
        <v>526.62</v>
      </c>
      <c r="F1268" t="s">
        <v>4694</v>
      </c>
      <c r="G1268" s="2">
        <v>220.53</v>
      </c>
    </row>
    <row r="1269" spans="1:7" x14ac:dyDescent="0.35">
      <c r="A1269" t="s">
        <v>5962</v>
      </c>
      <c r="B1269" t="s">
        <v>2381</v>
      </c>
      <c r="C1269" s="1">
        <v>45643</v>
      </c>
      <c r="D1269" s="1" t="str">
        <f>TEXT(Payments_Cleaned[[#This Row],[payment_date]],"mmm-yyyy")</f>
        <v>Dec-2024</v>
      </c>
      <c r="E1269" s="2">
        <v>635.74</v>
      </c>
      <c r="F1269" t="s">
        <v>4694</v>
      </c>
      <c r="G1269" s="2">
        <v>58.04</v>
      </c>
    </row>
    <row r="1270" spans="1:7" x14ac:dyDescent="0.35">
      <c r="A1270" t="s">
        <v>5963</v>
      </c>
      <c r="B1270" t="s">
        <v>2382</v>
      </c>
      <c r="C1270" s="1">
        <v>45382</v>
      </c>
      <c r="D1270" s="1" t="str">
        <f>TEXT(Payments_Cleaned[[#This Row],[payment_date]],"mmm-yyyy")</f>
        <v>Mar-2024</v>
      </c>
      <c r="E1270" s="2">
        <v>634.92999999999995</v>
      </c>
      <c r="F1270" t="s">
        <v>4694</v>
      </c>
      <c r="G1270" s="2">
        <v>185.42</v>
      </c>
    </row>
    <row r="1271" spans="1:7" x14ac:dyDescent="0.35">
      <c r="A1271" t="s">
        <v>5964</v>
      </c>
      <c r="B1271" t="s">
        <v>2383</v>
      </c>
      <c r="C1271" s="1">
        <v>45453</v>
      </c>
      <c r="D1271" s="1" t="str">
        <f>TEXT(Payments_Cleaned[[#This Row],[payment_date]],"mmm-yyyy")</f>
        <v>Jun-2024</v>
      </c>
      <c r="E1271" s="2">
        <v>115.39</v>
      </c>
      <c r="F1271" t="s">
        <v>4694</v>
      </c>
      <c r="G1271" s="2">
        <v>5.15</v>
      </c>
    </row>
    <row r="1272" spans="1:7" x14ac:dyDescent="0.35">
      <c r="A1272" t="s">
        <v>5965</v>
      </c>
      <c r="B1272" t="s">
        <v>2386</v>
      </c>
      <c r="C1272" s="1">
        <v>45358</v>
      </c>
      <c r="D1272" s="1" t="str">
        <f>TEXT(Payments_Cleaned[[#This Row],[payment_date]],"mmm-yyyy")</f>
        <v>Mar-2024</v>
      </c>
      <c r="E1272" s="2">
        <v>6105.97</v>
      </c>
      <c r="F1272" t="s">
        <v>4694</v>
      </c>
      <c r="G1272" s="2">
        <v>842.61</v>
      </c>
    </row>
    <row r="1273" spans="1:7" x14ac:dyDescent="0.35">
      <c r="A1273" t="s">
        <v>5966</v>
      </c>
      <c r="B1273" t="s">
        <v>2387</v>
      </c>
      <c r="C1273" s="1">
        <v>45321</v>
      </c>
      <c r="D1273" s="1" t="str">
        <f>TEXT(Payments_Cleaned[[#This Row],[payment_date]],"mmm-yyyy")</f>
        <v>Jan-2024</v>
      </c>
      <c r="E1273" s="2">
        <v>1195.98</v>
      </c>
      <c r="F1273" t="s">
        <v>4697</v>
      </c>
      <c r="G1273" s="2">
        <v>315.92</v>
      </c>
    </row>
    <row r="1274" spans="1:7" x14ac:dyDescent="0.35">
      <c r="A1274" t="s">
        <v>5967</v>
      </c>
      <c r="B1274" t="s">
        <v>2388</v>
      </c>
      <c r="C1274" s="1">
        <v>45228</v>
      </c>
      <c r="D1274" s="1" t="str">
        <f>TEXT(Payments_Cleaned[[#This Row],[payment_date]],"mmm-yyyy")</f>
        <v>Oct-2023</v>
      </c>
      <c r="E1274" s="2">
        <v>342.99</v>
      </c>
      <c r="F1274" t="s">
        <v>4694</v>
      </c>
      <c r="G1274" s="2">
        <v>73.58</v>
      </c>
    </row>
    <row r="1275" spans="1:7" x14ac:dyDescent="0.35">
      <c r="A1275" t="s">
        <v>5968</v>
      </c>
      <c r="B1275" t="s">
        <v>2389</v>
      </c>
      <c r="C1275" s="1">
        <v>45581</v>
      </c>
      <c r="D1275" s="1" t="str">
        <f>TEXT(Payments_Cleaned[[#This Row],[payment_date]],"mmm-yyyy")</f>
        <v>Oct-2024</v>
      </c>
      <c r="E1275" s="2">
        <v>649.04999999999995</v>
      </c>
      <c r="F1275" t="s">
        <v>4697</v>
      </c>
      <c r="G1275" s="2">
        <v>300.74</v>
      </c>
    </row>
    <row r="1276" spans="1:7" x14ac:dyDescent="0.35">
      <c r="A1276" t="s">
        <v>5969</v>
      </c>
      <c r="B1276" t="s">
        <v>2390</v>
      </c>
      <c r="C1276" s="1">
        <v>45585</v>
      </c>
      <c r="D1276" s="1" t="str">
        <f>TEXT(Payments_Cleaned[[#This Row],[payment_date]],"mmm-yyyy")</f>
        <v>Oct-2024</v>
      </c>
      <c r="E1276" s="2">
        <v>3470.04</v>
      </c>
      <c r="F1276" t="s">
        <v>4694</v>
      </c>
      <c r="G1276" s="2">
        <v>2028.95</v>
      </c>
    </row>
    <row r="1277" spans="1:7" x14ac:dyDescent="0.35">
      <c r="A1277" t="s">
        <v>5970</v>
      </c>
      <c r="B1277" t="s">
        <v>2391</v>
      </c>
      <c r="C1277" s="1">
        <v>45324</v>
      </c>
      <c r="D1277" s="1" t="str">
        <f>TEXT(Payments_Cleaned[[#This Row],[payment_date]],"mmm-yyyy")</f>
        <v>Feb-2024</v>
      </c>
      <c r="E1277" s="2">
        <v>173.23</v>
      </c>
      <c r="F1277" t="s">
        <v>4694</v>
      </c>
      <c r="G1277" s="2">
        <v>43.66</v>
      </c>
    </row>
    <row r="1278" spans="1:7" x14ac:dyDescent="0.35">
      <c r="A1278" t="s">
        <v>5971</v>
      </c>
      <c r="B1278" t="s">
        <v>2392</v>
      </c>
      <c r="C1278" s="1">
        <v>45025</v>
      </c>
      <c r="D1278" s="1" t="str">
        <f>TEXT(Payments_Cleaned[[#This Row],[payment_date]],"mmm-yyyy")</f>
        <v>Apr-2023</v>
      </c>
      <c r="E1278" s="2">
        <v>596.27</v>
      </c>
      <c r="F1278" t="s">
        <v>4694</v>
      </c>
      <c r="G1278" s="2">
        <v>88.76</v>
      </c>
    </row>
    <row r="1279" spans="1:7" x14ac:dyDescent="0.35">
      <c r="A1279" t="s">
        <v>5972</v>
      </c>
      <c r="B1279" t="s">
        <v>2393</v>
      </c>
      <c r="C1279" s="1">
        <v>45197</v>
      </c>
      <c r="D1279" s="1" t="str">
        <f>TEXT(Payments_Cleaned[[#This Row],[payment_date]],"mmm-yyyy")</f>
        <v>Sep-2023</v>
      </c>
      <c r="E1279" s="2">
        <v>4538.22</v>
      </c>
      <c r="F1279" t="s">
        <v>4694</v>
      </c>
      <c r="G1279" s="2">
        <v>2711.39</v>
      </c>
    </row>
    <row r="1280" spans="1:7" x14ac:dyDescent="0.35">
      <c r="A1280" t="s">
        <v>5973</v>
      </c>
      <c r="B1280" t="s">
        <v>2394</v>
      </c>
      <c r="C1280" s="1">
        <v>45000</v>
      </c>
      <c r="D1280" s="1" t="str">
        <f>TEXT(Payments_Cleaned[[#This Row],[payment_date]],"mmm-yyyy")</f>
        <v>Mar-2023</v>
      </c>
      <c r="E1280" s="2">
        <v>168.36</v>
      </c>
      <c r="F1280" t="s">
        <v>4694</v>
      </c>
      <c r="G1280" s="2">
        <v>10.11</v>
      </c>
    </row>
    <row r="1281" spans="1:7" x14ac:dyDescent="0.35">
      <c r="A1281" t="s">
        <v>5974</v>
      </c>
      <c r="B1281" t="s">
        <v>2395</v>
      </c>
      <c r="C1281" s="1">
        <v>45353</v>
      </c>
      <c r="D1281" s="1" t="str">
        <f>TEXT(Payments_Cleaned[[#This Row],[payment_date]],"mmm-yyyy")</f>
        <v>Mar-2024</v>
      </c>
      <c r="E1281" s="2">
        <v>2574.21</v>
      </c>
      <c r="F1281" t="s">
        <v>4694</v>
      </c>
      <c r="G1281" s="2">
        <v>1437.32</v>
      </c>
    </row>
    <row r="1282" spans="1:7" x14ac:dyDescent="0.35">
      <c r="A1282" t="s">
        <v>5975</v>
      </c>
      <c r="B1282" t="s">
        <v>2396</v>
      </c>
      <c r="C1282" s="1">
        <v>45005</v>
      </c>
      <c r="D1282" s="1" t="str">
        <f>TEXT(Payments_Cleaned[[#This Row],[payment_date]],"mmm-yyyy")</f>
        <v>Mar-2023</v>
      </c>
      <c r="E1282" s="2">
        <v>166.13</v>
      </c>
      <c r="F1282" t="s">
        <v>4694</v>
      </c>
      <c r="G1282" s="2">
        <v>33.31</v>
      </c>
    </row>
    <row r="1283" spans="1:7" x14ac:dyDescent="0.35">
      <c r="A1283" t="s">
        <v>5976</v>
      </c>
      <c r="B1283" t="s">
        <v>2398</v>
      </c>
      <c r="C1283" s="1">
        <v>45154</v>
      </c>
      <c r="D1283" s="1" t="str">
        <f>TEXT(Payments_Cleaned[[#This Row],[payment_date]],"mmm-yyyy")</f>
        <v>Aug-2023</v>
      </c>
      <c r="E1283" s="2">
        <v>2930.31</v>
      </c>
      <c r="F1283" t="s">
        <v>4694</v>
      </c>
      <c r="G1283" s="2">
        <v>1091.04</v>
      </c>
    </row>
    <row r="1284" spans="1:7" x14ac:dyDescent="0.35">
      <c r="A1284" t="s">
        <v>5977</v>
      </c>
      <c r="B1284" t="s">
        <v>2399</v>
      </c>
      <c r="C1284" s="1">
        <v>45452</v>
      </c>
      <c r="D1284" s="1" t="str">
        <f>TEXT(Payments_Cleaned[[#This Row],[payment_date]],"mmm-yyyy")</f>
        <v>Jun-2024</v>
      </c>
      <c r="E1284" s="2">
        <v>86.79</v>
      </c>
      <c r="F1284" t="s">
        <v>4694</v>
      </c>
      <c r="G1284" s="2">
        <v>26.4</v>
      </c>
    </row>
    <row r="1285" spans="1:7" x14ac:dyDescent="0.35">
      <c r="A1285" t="s">
        <v>5978</v>
      </c>
      <c r="B1285" t="s">
        <v>2402</v>
      </c>
      <c r="C1285" s="1">
        <v>45329</v>
      </c>
      <c r="D1285" s="1" t="str">
        <f>TEXT(Payments_Cleaned[[#This Row],[payment_date]],"mmm-yyyy")</f>
        <v>Feb-2024</v>
      </c>
      <c r="E1285" s="2">
        <v>495.99</v>
      </c>
      <c r="F1285" t="s">
        <v>4694</v>
      </c>
      <c r="G1285" s="2">
        <v>287.69</v>
      </c>
    </row>
    <row r="1286" spans="1:7" x14ac:dyDescent="0.35">
      <c r="A1286" t="s">
        <v>5979</v>
      </c>
      <c r="B1286" t="s">
        <v>2403</v>
      </c>
      <c r="C1286" s="1">
        <v>45104</v>
      </c>
      <c r="D1286" s="1" t="str">
        <f>TEXT(Payments_Cleaned[[#This Row],[payment_date]],"mmm-yyyy")</f>
        <v>Jun-2023</v>
      </c>
      <c r="E1286" s="2">
        <v>4092.52</v>
      </c>
      <c r="F1286" t="s">
        <v>4694</v>
      </c>
      <c r="G1286" s="2">
        <v>707.3</v>
      </c>
    </row>
    <row r="1287" spans="1:7" x14ac:dyDescent="0.35">
      <c r="A1287" t="s">
        <v>5980</v>
      </c>
      <c r="B1287" t="s">
        <v>2405</v>
      </c>
      <c r="C1287" s="1">
        <v>45447</v>
      </c>
      <c r="D1287" s="1" t="str">
        <f>TEXT(Payments_Cleaned[[#This Row],[payment_date]],"mmm-yyyy")</f>
        <v>Jun-2024</v>
      </c>
      <c r="E1287" s="2">
        <v>380.97</v>
      </c>
      <c r="F1287" t="s">
        <v>4694</v>
      </c>
      <c r="G1287" s="2">
        <v>64.349999999999994</v>
      </c>
    </row>
    <row r="1288" spans="1:7" x14ac:dyDescent="0.35">
      <c r="A1288" t="s">
        <v>5981</v>
      </c>
      <c r="B1288" t="s">
        <v>2406</v>
      </c>
      <c r="C1288" s="1">
        <v>45394</v>
      </c>
      <c r="D1288" s="1" t="str">
        <f>TEXT(Payments_Cleaned[[#This Row],[payment_date]],"mmm-yyyy")</f>
        <v>Apr-2024</v>
      </c>
      <c r="E1288" s="2">
        <v>3891.53</v>
      </c>
      <c r="F1288" t="s">
        <v>4694</v>
      </c>
      <c r="G1288" s="2">
        <v>1734.69</v>
      </c>
    </row>
    <row r="1289" spans="1:7" x14ac:dyDescent="0.35">
      <c r="A1289" t="s">
        <v>5982</v>
      </c>
      <c r="B1289" t="s">
        <v>2408</v>
      </c>
      <c r="C1289" s="1">
        <v>45544</v>
      </c>
      <c r="D1289" s="1" t="str">
        <f>TEXT(Payments_Cleaned[[#This Row],[payment_date]],"mmm-yyyy")</f>
        <v>Sep-2024</v>
      </c>
      <c r="E1289" s="2">
        <v>160.27000000000001</v>
      </c>
      <c r="F1289" t="s">
        <v>4697</v>
      </c>
      <c r="G1289" s="2">
        <v>21.64</v>
      </c>
    </row>
    <row r="1290" spans="1:7" x14ac:dyDescent="0.35">
      <c r="A1290" t="s">
        <v>5983</v>
      </c>
      <c r="B1290" t="s">
        <v>2409</v>
      </c>
      <c r="C1290" s="1">
        <v>45328</v>
      </c>
      <c r="D1290" s="1" t="str">
        <f>TEXT(Payments_Cleaned[[#This Row],[payment_date]],"mmm-yyyy")</f>
        <v>Feb-2024</v>
      </c>
      <c r="E1290" s="2">
        <v>1338.17</v>
      </c>
      <c r="F1290" t="s">
        <v>4694</v>
      </c>
      <c r="G1290" s="2">
        <v>527.07000000000005</v>
      </c>
    </row>
    <row r="1291" spans="1:7" x14ac:dyDescent="0.35">
      <c r="A1291" t="s">
        <v>5984</v>
      </c>
      <c r="B1291" t="s">
        <v>2410</v>
      </c>
      <c r="C1291" s="1">
        <v>45040</v>
      </c>
      <c r="D1291" s="1" t="str">
        <f>TEXT(Payments_Cleaned[[#This Row],[payment_date]],"mmm-yyyy")</f>
        <v>Apr-2023</v>
      </c>
      <c r="E1291" s="2">
        <v>3810.66</v>
      </c>
      <c r="F1291" t="s">
        <v>4694</v>
      </c>
      <c r="G1291" s="2">
        <v>1237.74</v>
      </c>
    </row>
    <row r="1292" spans="1:7" x14ac:dyDescent="0.35">
      <c r="A1292" t="s">
        <v>5985</v>
      </c>
      <c r="B1292" t="s">
        <v>2411</v>
      </c>
      <c r="C1292" s="1">
        <v>45266</v>
      </c>
      <c r="D1292" s="1" t="str">
        <f>TEXT(Payments_Cleaned[[#This Row],[payment_date]],"mmm-yyyy")</f>
        <v>Dec-2023</v>
      </c>
      <c r="E1292" s="2">
        <v>1145.8699999999999</v>
      </c>
      <c r="F1292" t="s">
        <v>4694</v>
      </c>
      <c r="G1292" s="2">
        <v>340.69</v>
      </c>
    </row>
    <row r="1293" spans="1:7" x14ac:dyDescent="0.35">
      <c r="A1293" t="s">
        <v>5986</v>
      </c>
      <c r="B1293" t="s">
        <v>2412</v>
      </c>
      <c r="C1293" s="1">
        <v>45249</v>
      </c>
      <c r="D1293" s="1" t="str">
        <f>TEXT(Payments_Cleaned[[#This Row],[payment_date]],"mmm-yyyy")</f>
        <v>Nov-2023</v>
      </c>
      <c r="E1293" s="2">
        <v>117.96</v>
      </c>
      <c r="F1293" t="s">
        <v>4694</v>
      </c>
      <c r="G1293" s="2">
        <v>37.520000000000003</v>
      </c>
    </row>
    <row r="1294" spans="1:7" x14ac:dyDescent="0.35">
      <c r="A1294" t="s">
        <v>5987</v>
      </c>
      <c r="B1294" t="s">
        <v>2413</v>
      </c>
      <c r="C1294" s="1">
        <v>45162</v>
      </c>
      <c r="D1294" s="1" t="str">
        <f>TEXT(Payments_Cleaned[[#This Row],[payment_date]],"mmm-yyyy")</f>
        <v>Aug-2023</v>
      </c>
      <c r="E1294" s="2">
        <v>3408.29</v>
      </c>
      <c r="F1294" t="s">
        <v>4694</v>
      </c>
      <c r="G1294" s="2">
        <v>1641.17</v>
      </c>
    </row>
    <row r="1295" spans="1:7" x14ac:dyDescent="0.35">
      <c r="A1295" t="s">
        <v>5988</v>
      </c>
      <c r="B1295" t="s">
        <v>2414</v>
      </c>
      <c r="C1295" s="1">
        <v>45006</v>
      </c>
      <c r="D1295" s="1" t="str">
        <f>TEXT(Payments_Cleaned[[#This Row],[payment_date]],"mmm-yyyy")</f>
        <v>Mar-2023</v>
      </c>
      <c r="E1295" s="2">
        <v>3698.72</v>
      </c>
      <c r="F1295" t="s">
        <v>4694</v>
      </c>
      <c r="G1295" s="2">
        <v>589.62</v>
      </c>
    </row>
    <row r="1296" spans="1:7" x14ac:dyDescent="0.35">
      <c r="A1296" t="s">
        <v>5989</v>
      </c>
      <c r="B1296" t="s">
        <v>2415</v>
      </c>
      <c r="C1296" s="1">
        <v>45295</v>
      </c>
      <c r="D1296" s="1" t="str">
        <f>TEXT(Payments_Cleaned[[#This Row],[payment_date]],"mmm-yyyy")</f>
        <v>Jan-2024</v>
      </c>
      <c r="E1296" s="2">
        <v>1550.99</v>
      </c>
      <c r="F1296" t="s">
        <v>4694</v>
      </c>
      <c r="G1296" s="2">
        <v>662.67</v>
      </c>
    </row>
    <row r="1297" spans="1:7" x14ac:dyDescent="0.35">
      <c r="A1297" t="s">
        <v>5990</v>
      </c>
      <c r="B1297" t="s">
        <v>2416</v>
      </c>
      <c r="C1297" s="1">
        <v>45102</v>
      </c>
      <c r="D1297" s="1" t="str">
        <f>TEXT(Payments_Cleaned[[#This Row],[payment_date]],"mmm-yyyy")</f>
        <v>Jun-2023</v>
      </c>
      <c r="E1297" s="2">
        <v>4011.33</v>
      </c>
      <c r="F1297" t="s">
        <v>4694</v>
      </c>
      <c r="G1297" s="2">
        <v>196.99</v>
      </c>
    </row>
    <row r="1298" spans="1:7" x14ac:dyDescent="0.35">
      <c r="A1298" t="s">
        <v>5991</v>
      </c>
      <c r="B1298" t="s">
        <v>2417</v>
      </c>
      <c r="C1298" s="1">
        <v>45289</v>
      </c>
      <c r="D1298" s="1" t="str">
        <f>TEXT(Payments_Cleaned[[#This Row],[payment_date]],"mmm-yyyy")</f>
        <v>Dec-2023</v>
      </c>
      <c r="E1298" s="2">
        <v>695.17</v>
      </c>
      <c r="F1298" t="s">
        <v>4694</v>
      </c>
      <c r="G1298" s="2">
        <v>184.98</v>
      </c>
    </row>
    <row r="1299" spans="1:7" x14ac:dyDescent="0.35">
      <c r="A1299" t="s">
        <v>5992</v>
      </c>
      <c r="B1299" t="s">
        <v>2419</v>
      </c>
      <c r="C1299" s="1">
        <v>45307</v>
      </c>
      <c r="D1299" s="1" t="str">
        <f>TEXT(Payments_Cleaned[[#This Row],[payment_date]],"mmm-yyyy")</f>
        <v>Jan-2024</v>
      </c>
      <c r="E1299" s="2">
        <v>82.4</v>
      </c>
      <c r="F1299" t="s">
        <v>4694</v>
      </c>
      <c r="G1299" s="2">
        <v>16.2</v>
      </c>
    </row>
    <row r="1300" spans="1:7" x14ac:dyDescent="0.35">
      <c r="A1300" t="s">
        <v>5993</v>
      </c>
      <c r="B1300" t="s">
        <v>2421</v>
      </c>
      <c r="C1300" s="1">
        <v>45259</v>
      </c>
      <c r="D1300" s="1" t="str">
        <f>TEXT(Payments_Cleaned[[#This Row],[payment_date]],"mmm-yyyy")</f>
        <v>Nov-2023</v>
      </c>
      <c r="E1300" s="2">
        <v>1193.25</v>
      </c>
      <c r="F1300" t="s">
        <v>4694</v>
      </c>
      <c r="G1300" s="2">
        <v>201.28</v>
      </c>
    </row>
    <row r="1301" spans="1:7" x14ac:dyDescent="0.35">
      <c r="A1301" t="s">
        <v>5994</v>
      </c>
      <c r="B1301" t="s">
        <v>2422</v>
      </c>
      <c r="C1301" s="1">
        <v>45469</v>
      </c>
      <c r="D1301" s="1" t="str">
        <f>TEXT(Payments_Cleaned[[#This Row],[payment_date]],"mmm-yyyy")</f>
        <v>Jun-2024</v>
      </c>
      <c r="E1301" s="2">
        <v>255.09</v>
      </c>
      <c r="F1301" t="s">
        <v>4694</v>
      </c>
      <c r="G1301" s="2">
        <v>101.44</v>
      </c>
    </row>
    <row r="1302" spans="1:7" x14ac:dyDescent="0.35">
      <c r="A1302" t="s">
        <v>5995</v>
      </c>
      <c r="B1302" t="s">
        <v>2423</v>
      </c>
      <c r="C1302" s="1">
        <v>45606</v>
      </c>
      <c r="D1302" s="1" t="str">
        <f>TEXT(Payments_Cleaned[[#This Row],[payment_date]],"mmm-yyyy")</f>
        <v>Nov-2024</v>
      </c>
      <c r="E1302" s="2">
        <v>2548.8200000000002</v>
      </c>
      <c r="F1302" t="s">
        <v>4697</v>
      </c>
      <c r="G1302" s="2">
        <v>607.70000000000005</v>
      </c>
    </row>
    <row r="1303" spans="1:7" x14ac:dyDescent="0.35">
      <c r="A1303" t="s">
        <v>5996</v>
      </c>
      <c r="B1303" t="s">
        <v>2424</v>
      </c>
      <c r="C1303" s="1">
        <v>45305</v>
      </c>
      <c r="D1303" s="1" t="str">
        <f>TEXT(Payments_Cleaned[[#This Row],[payment_date]],"mmm-yyyy")</f>
        <v>Jan-2024</v>
      </c>
      <c r="E1303" s="2">
        <v>720.69</v>
      </c>
      <c r="F1303" t="s">
        <v>4694</v>
      </c>
      <c r="G1303" s="2">
        <v>47.69</v>
      </c>
    </row>
    <row r="1304" spans="1:7" x14ac:dyDescent="0.35">
      <c r="A1304" t="s">
        <v>5997</v>
      </c>
      <c r="B1304" t="s">
        <v>2427</v>
      </c>
      <c r="C1304" s="1">
        <v>45246</v>
      </c>
      <c r="D1304" s="1" t="str">
        <f>TEXT(Payments_Cleaned[[#This Row],[payment_date]],"mmm-yyyy")</f>
        <v>Nov-2023</v>
      </c>
      <c r="E1304" s="2">
        <v>152.05000000000001</v>
      </c>
      <c r="F1304" t="s">
        <v>4694</v>
      </c>
      <c r="G1304" s="2">
        <v>16.809999999999999</v>
      </c>
    </row>
    <row r="1305" spans="1:7" x14ac:dyDescent="0.35">
      <c r="A1305" t="s">
        <v>5998</v>
      </c>
      <c r="B1305" t="s">
        <v>2428</v>
      </c>
      <c r="C1305" s="1">
        <v>45123</v>
      </c>
      <c r="D1305" s="1" t="str">
        <f>TEXT(Payments_Cleaned[[#This Row],[payment_date]],"mmm-yyyy")</f>
        <v>Jul-2023</v>
      </c>
      <c r="E1305" s="2">
        <v>855.68</v>
      </c>
      <c r="F1305" t="s">
        <v>4694</v>
      </c>
      <c r="G1305" s="2">
        <v>42.83</v>
      </c>
    </row>
    <row r="1306" spans="1:7" x14ac:dyDescent="0.35">
      <c r="A1306" t="s">
        <v>5999</v>
      </c>
      <c r="B1306" t="s">
        <v>2429</v>
      </c>
      <c r="C1306" s="1">
        <v>45399</v>
      </c>
      <c r="D1306" s="1" t="str">
        <f>TEXT(Payments_Cleaned[[#This Row],[payment_date]],"mmm-yyyy")</f>
        <v>Apr-2024</v>
      </c>
      <c r="E1306" s="2">
        <v>317.54000000000002</v>
      </c>
      <c r="F1306" t="s">
        <v>4694</v>
      </c>
      <c r="G1306" s="2">
        <v>16.43</v>
      </c>
    </row>
    <row r="1307" spans="1:7" x14ac:dyDescent="0.35">
      <c r="A1307" t="s">
        <v>6000</v>
      </c>
      <c r="B1307" t="s">
        <v>2431</v>
      </c>
      <c r="C1307" s="1">
        <v>45568</v>
      </c>
      <c r="D1307" s="1" t="str">
        <f>TEXT(Payments_Cleaned[[#This Row],[payment_date]],"mmm-yyyy")</f>
        <v>Oct-2024</v>
      </c>
      <c r="E1307" s="2">
        <v>945.28</v>
      </c>
      <c r="F1307" t="s">
        <v>4694</v>
      </c>
      <c r="G1307" s="2">
        <v>444.37</v>
      </c>
    </row>
    <row r="1308" spans="1:7" x14ac:dyDescent="0.35">
      <c r="A1308" t="s">
        <v>6001</v>
      </c>
      <c r="B1308" t="s">
        <v>2432</v>
      </c>
      <c r="C1308" s="1">
        <v>45442</v>
      </c>
      <c r="D1308" s="1" t="str">
        <f>TEXT(Payments_Cleaned[[#This Row],[payment_date]],"mmm-yyyy")</f>
        <v>May-2024</v>
      </c>
      <c r="E1308" s="2">
        <v>251.31</v>
      </c>
      <c r="F1308" t="s">
        <v>4694</v>
      </c>
      <c r="G1308" s="2">
        <v>127.33</v>
      </c>
    </row>
    <row r="1309" spans="1:7" x14ac:dyDescent="0.35">
      <c r="A1309" t="s">
        <v>6002</v>
      </c>
      <c r="B1309" t="s">
        <v>2433</v>
      </c>
      <c r="C1309" s="1">
        <v>45637</v>
      </c>
      <c r="D1309" s="1" t="str">
        <f>TEXT(Payments_Cleaned[[#This Row],[payment_date]],"mmm-yyyy")</f>
        <v>Dec-2024</v>
      </c>
      <c r="E1309" s="2">
        <v>589.16</v>
      </c>
      <c r="F1309" t="s">
        <v>4694</v>
      </c>
      <c r="G1309" s="2">
        <v>256.99</v>
      </c>
    </row>
    <row r="1310" spans="1:7" x14ac:dyDescent="0.35">
      <c r="A1310" t="s">
        <v>6003</v>
      </c>
      <c r="B1310" t="s">
        <v>2434</v>
      </c>
      <c r="C1310" s="1">
        <v>45348</v>
      </c>
      <c r="D1310" s="1" t="str">
        <f>TEXT(Payments_Cleaned[[#This Row],[payment_date]],"mmm-yyyy")</f>
        <v>Feb-2024</v>
      </c>
      <c r="E1310" s="2">
        <v>165.35</v>
      </c>
      <c r="F1310" t="s">
        <v>4694</v>
      </c>
      <c r="G1310" s="2">
        <v>15.47</v>
      </c>
    </row>
    <row r="1311" spans="1:7" x14ac:dyDescent="0.35">
      <c r="A1311" t="s">
        <v>6004</v>
      </c>
      <c r="B1311" t="s">
        <v>2436</v>
      </c>
      <c r="C1311" s="1">
        <v>45636</v>
      </c>
      <c r="D1311" s="1" t="str">
        <f>TEXT(Payments_Cleaned[[#This Row],[payment_date]],"mmm-yyyy")</f>
        <v>Dec-2024</v>
      </c>
      <c r="E1311" s="2">
        <v>243.52</v>
      </c>
      <c r="F1311" t="s">
        <v>4694</v>
      </c>
      <c r="G1311" s="2">
        <v>95.94</v>
      </c>
    </row>
    <row r="1312" spans="1:7" x14ac:dyDescent="0.35">
      <c r="A1312" t="s">
        <v>6005</v>
      </c>
      <c r="B1312" t="s">
        <v>2437</v>
      </c>
      <c r="C1312" s="1">
        <v>45462</v>
      </c>
      <c r="D1312" s="1" t="str">
        <f>TEXT(Payments_Cleaned[[#This Row],[payment_date]],"mmm-yyyy")</f>
        <v>Jun-2024</v>
      </c>
      <c r="E1312" s="2">
        <v>169.42</v>
      </c>
      <c r="F1312" t="s">
        <v>4694</v>
      </c>
      <c r="G1312" s="2">
        <v>29.87</v>
      </c>
    </row>
    <row r="1313" spans="1:7" x14ac:dyDescent="0.35">
      <c r="A1313" t="s">
        <v>6006</v>
      </c>
      <c r="B1313" t="s">
        <v>2438</v>
      </c>
      <c r="C1313" s="1">
        <v>45442</v>
      </c>
      <c r="D1313" s="1" t="str">
        <f>TEXT(Payments_Cleaned[[#This Row],[payment_date]],"mmm-yyyy")</f>
        <v>May-2024</v>
      </c>
      <c r="E1313" s="2">
        <v>296.62</v>
      </c>
      <c r="F1313" t="s">
        <v>4694</v>
      </c>
      <c r="G1313" s="2">
        <v>50.69</v>
      </c>
    </row>
    <row r="1314" spans="1:7" x14ac:dyDescent="0.35">
      <c r="A1314" t="s">
        <v>6007</v>
      </c>
      <c r="B1314" t="s">
        <v>2439</v>
      </c>
      <c r="C1314" s="1">
        <v>45668</v>
      </c>
      <c r="D1314" s="1" t="str">
        <f>TEXT(Payments_Cleaned[[#This Row],[payment_date]],"mmm-yyyy")</f>
        <v>Jan-2025</v>
      </c>
      <c r="E1314" s="2">
        <v>247.22</v>
      </c>
      <c r="F1314" t="s">
        <v>4694</v>
      </c>
      <c r="G1314" s="2">
        <v>82.77</v>
      </c>
    </row>
    <row r="1315" spans="1:7" x14ac:dyDescent="0.35">
      <c r="A1315" t="s">
        <v>6008</v>
      </c>
      <c r="B1315" t="s">
        <v>2440</v>
      </c>
      <c r="C1315" s="1">
        <v>45023</v>
      </c>
      <c r="D1315" s="1" t="str">
        <f>TEXT(Payments_Cleaned[[#This Row],[payment_date]],"mmm-yyyy")</f>
        <v>Apr-2023</v>
      </c>
      <c r="E1315" s="2">
        <v>114.15</v>
      </c>
      <c r="F1315" t="s">
        <v>4694</v>
      </c>
      <c r="G1315" s="2">
        <v>24.35</v>
      </c>
    </row>
    <row r="1316" spans="1:7" x14ac:dyDescent="0.35">
      <c r="A1316" t="s">
        <v>6009</v>
      </c>
      <c r="B1316" t="s">
        <v>2441</v>
      </c>
      <c r="C1316" s="1">
        <v>45471</v>
      </c>
      <c r="D1316" s="1" t="str">
        <f>TEXT(Payments_Cleaned[[#This Row],[payment_date]],"mmm-yyyy")</f>
        <v>Jun-2024</v>
      </c>
      <c r="E1316" s="2">
        <v>1007.49</v>
      </c>
      <c r="F1316" t="s">
        <v>4694</v>
      </c>
      <c r="G1316" s="2">
        <v>121.42</v>
      </c>
    </row>
    <row r="1317" spans="1:7" x14ac:dyDescent="0.35">
      <c r="A1317" t="s">
        <v>6010</v>
      </c>
      <c r="B1317" t="s">
        <v>2443</v>
      </c>
      <c r="C1317" s="1">
        <v>45601</v>
      </c>
      <c r="D1317" s="1" t="str">
        <f>TEXT(Payments_Cleaned[[#This Row],[payment_date]],"mmm-yyyy")</f>
        <v>Nov-2024</v>
      </c>
      <c r="E1317" s="2">
        <v>403.73</v>
      </c>
      <c r="F1317" t="s">
        <v>4694</v>
      </c>
      <c r="G1317" s="2">
        <v>194.02</v>
      </c>
    </row>
    <row r="1318" spans="1:7" x14ac:dyDescent="0.35">
      <c r="A1318" t="s">
        <v>6011</v>
      </c>
      <c r="B1318" t="s">
        <v>2444</v>
      </c>
      <c r="C1318" s="1">
        <v>45247</v>
      </c>
      <c r="D1318" s="1" t="str">
        <f>TEXT(Payments_Cleaned[[#This Row],[payment_date]],"mmm-yyyy")</f>
        <v>Nov-2023</v>
      </c>
      <c r="E1318" s="2">
        <v>118.35</v>
      </c>
      <c r="F1318" t="s">
        <v>4694</v>
      </c>
      <c r="G1318" s="2">
        <v>20.83</v>
      </c>
    </row>
    <row r="1319" spans="1:7" x14ac:dyDescent="0.35">
      <c r="A1319" t="s">
        <v>6012</v>
      </c>
      <c r="B1319" t="s">
        <v>2445</v>
      </c>
      <c r="C1319" s="1">
        <v>45330</v>
      </c>
      <c r="D1319" s="1" t="str">
        <f>TEXT(Payments_Cleaned[[#This Row],[payment_date]],"mmm-yyyy")</f>
        <v>Feb-2024</v>
      </c>
      <c r="E1319" s="2">
        <v>376.1</v>
      </c>
      <c r="F1319" t="s">
        <v>4694</v>
      </c>
      <c r="G1319" s="2">
        <v>201.6</v>
      </c>
    </row>
    <row r="1320" spans="1:7" x14ac:dyDescent="0.35">
      <c r="A1320" t="s">
        <v>6013</v>
      </c>
      <c r="B1320" t="s">
        <v>2446</v>
      </c>
      <c r="C1320" s="1">
        <v>45644</v>
      </c>
      <c r="D1320" s="1" t="str">
        <f>TEXT(Payments_Cleaned[[#This Row],[payment_date]],"mmm-yyyy")</f>
        <v>Dec-2024</v>
      </c>
      <c r="E1320" s="2">
        <v>722.38</v>
      </c>
      <c r="F1320" t="s">
        <v>4694</v>
      </c>
      <c r="G1320" s="2">
        <v>98.13</v>
      </c>
    </row>
    <row r="1321" spans="1:7" x14ac:dyDescent="0.35">
      <c r="A1321" t="s">
        <v>6014</v>
      </c>
      <c r="B1321" t="s">
        <v>2449</v>
      </c>
      <c r="C1321" s="1">
        <v>45524</v>
      </c>
      <c r="D1321" s="1" t="str">
        <f>TEXT(Payments_Cleaned[[#This Row],[payment_date]],"mmm-yyyy")</f>
        <v>Aug-2024</v>
      </c>
      <c r="E1321" s="2">
        <v>48.99</v>
      </c>
      <c r="F1321" t="s">
        <v>4694</v>
      </c>
      <c r="G1321" s="2">
        <v>7.28</v>
      </c>
    </row>
    <row r="1322" spans="1:7" x14ac:dyDescent="0.35">
      <c r="A1322" t="s">
        <v>6015</v>
      </c>
      <c r="B1322" t="s">
        <v>2450</v>
      </c>
      <c r="C1322" s="1">
        <v>45131</v>
      </c>
      <c r="D1322" s="1" t="str">
        <f>TEXT(Payments_Cleaned[[#This Row],[payment_date]],"mmm-yyyy")</f>
        <v>Jul-2023</v>
      </c>
      <c r="E1322" s="2">
        <v>550.79999999999995</v>
      </c>
      <c r="F1322" t="s">
        <v>4694</v>
      </c>
      <c r="G1322" s="2">
        <v>262.39</v>
      </c>
    </row>
    <row r="1323" spans="1:7" x14ac:dyDescent="0.35">
      <c r="A1323" t="s">
        <v>6016</v>
      </c>
      <c r="B1323" t="s">
        <v>2451</v>
      </c>
      <c r="C1323" s="1">
        <v>45412</v>
      </c>
      <c r="D1323" s="1" t="str">
        <f>TEXT(Payments_Cleaned[[#This Row],[payment_date]],"mmm-yyyy")</f>
        <v>Apr-2024</v>
      </c>
      <c r="E1323" s="2">
        <v>847.28</v>
      </c>
      <c r="F1323" t="s">
        <v>4694</v>
      </c>
      <c r="G1323" s="2">
        <v>84.08</v>
      </c>
    </row>
    <row r="1324" spans="1:7" x14ac:dyDescent="0.35">
      <c r="A1324" t="s">
        <v>6017</v>
      </c>
      <c r="B1324" t="s">
        <v>2452</v>
      </c>
      <c r="C1324" s="1">
        <v>45545</v>
      </c>
      <c r="D1324" s="1" t="str">
        <f>TEXT(Payments_Cleaned[[#This Row],[payment_date]],"mmm-yyyy")</f>
        <v>Sep-2024</v>
      </c>
      <c r="E1324" s="2">
        <v>148.86000000000001</v>
      </c>
      <c r="F1324" t="s">
        <v>4694</v>
      </c>
      <c r="G1324" s="2">
        <v>76.55</v>
      </c>
    </row>
    <row r="1325" spans="1:7" x14ac:dyDescent="0.35">
      <c r="A1325" t="s">
        <v>6018</v>
      </c>
      <c r="B1325" t="s">
        <v>2454</v>
      </c>
      <c r="C1325" s="1">
        <v>45072</v>
      </c>
      <c r="D1325" s="1" t="str">
        <f>TEXT(Payments_Cleaned[[#This Row],[payment_date]],"mmm-yyyy")</f>
        <v>May-2023</v>
      </c>
      <c r="E1325" s="2">
        <v>103.44</v>
      </c>
      <c r="F1325" t="s">
        <v>4694</v>
      </c>
      <c r="G1325" s="2">
        <v>5.93</v>
      </c>
    </row>
    <row r="1326" spans="1:7" x14ac:dyDescent="0.35">
      <c r="A1326" t="s">
        <v>6019</v>
      </c>
      <c r="B1326" t="s">
        <v>2455</v>
      </c>
      <c r="C1326" s="1">
        <v>45132</v>
      </c>
      <c r="D1326" s="1" t="str">
        <f>TEXT(Payments_Cleaned[[#This Row],[payment_date]],"mmm-yyyy")</f>
        <v>Jul-2023</v>
      </c>
      <c r="E1326" s="2">
        <v>78.680000000000007</v>
      </c>
      <c r="F1326" t="s">
        <v>4694</v>
      </c>
      <c r="G1326" s="2">
        <v>29.8</v>
      </c>
    </row>
    <row r="1327" spans="1:7" x14ac:dyDescent="0.35">
      <c r="A1327" t="s">
        <v>6020</v>
      </c>
      <c r="B1327" t="s">
        <v>2456</v>
      </c>
      <c r="C1327" s="1">
        <v>45644</v>
      </c>
      <c r="D1327" s="1" t="str">
        <f>TEXT(Payments_Cleaned[[#This Row],[payment_date]],"mmm-yyyy")</f>
        <v>Dec-2024</v>
      </c>
      <c r="E1327" s="2">
        <v>100.54</v>
      </c>
      <c r="F1327" t="s">
        <v>4694</v>
      </c>
      <c r="G1327" s="2">
        <v>36.71</v>
      </c>
    </row>
    <row r="1328" spans="1:7" x14ac:dyDescent="0.35">
      <c r="A1328" t="s">
        <v>6021</v>
      </c>
      <c r="B1328" t="s">
        <v>2457</v>
      </c>
      <c r="C1328" s="1">
        <v>45386</v>
      </c>
      <c r="D1328" s="1" t="str">
        <f>TEXT(Payments_Cleaned[[#This Row],[payment_date]],"mmm-yyyy")</f>
        <v>Apr-2024</v>
      </c>
      <c r="E1328" s="2">
        <v>2895.12</v>
      </c>
      <c r="F1328" t="s">
        <v>4694</v>
      </c>
      <c r="G1328" s="2">
        <v>715.53</v>
      </c>
    </row>
    <row r="1329" spans="1:7" x14ac:dyDescent="0.35">
      <c r="A1329" t="s">
        <v>6022</v>
      </c>
      <c r="B1329" t="s">
        <v>2458</v>
      </c>
      <c r="C1329" s="1">
        <v>45593</v>
      </c>
      <c r="D1329" s="1" t="str">
        <f>TEXT(Payments_Cleaned[[#This Row],[payment_date]],"mmm-yyyy")</f>
        <v>Oct-2024</v>
      </c>
      <c r="E1329" s="2">
        <v>107.67</v>
      </c>
      <c r="F1329" t="s">
        <v>4694</v>
      </c>
      <c r="G1329" s="2">
        <v>15.32</v>
      </c>
    </row>
    <row r="1330" spans="1:7" x14ac:dyDescent="0.35">
      <c r="A1330" t="s">
        <v>6023</v>
      </c>
      <c r="B1330" t="s">
        <v>2460</v>
      </c>
      <c r="C1330" s="1">
        <v>45564</v>
      </c>
      <c r="D1330" s="1" t="str">
        <f>TEXT(Payments_Cleaned[[#This Row],[payment_date]],"mmm-yyyy")</f>
        <v>Sep-2024</v>
      </c>
      <c r="E1330" s="2">
        <v>362.81</v>
      </c>
      <c r="F1330" t="s">
        <v>4694</v>
      </c>
      <c r="G1330" s="2">
        <v>79.47</v>
      </c>
    </row>
    <row r="1331" spans="1:7" x14ac:dyDescent="0.35">
      <c r="A1331" t="s">
        <v>6024</v>
      </c>
      <c r="B1331" t="s">
        <v>2461</v>
      </c>
      <c r="C1331" s="1">
        <v>45511</v>
      </c>
      <c r="D1331" s="1" t="str">
        <f>TEXT(Payments_Cleaned[[#This Row],[payment_date]],"mmm-yyyy")</f>
        <v>Aug-2024</v>
      </c>
      <c r="E1331" s="2">
        <v>73.72</v>
      </c>
      <c r="F1331" t="s">
        <v>4694</v>
      </c>
      <c r="G1331" s="2">
        <v>44.87</v>
      </c>
    </row>
    <row r="1332" spans="1:7" x14ac:dyDescent="0.35">
      <c r="A1332" t="s">
        <v>6025</v>
      </c>
      <c r="B1332" t="s">
        <v>2462</v>
      </c>
      <c r="C1332" s="1">
        <v>45275</v>
      </c>
      <c r="D1332" s="1" t="str">
        <f>TEXT(Payments_Cleaned[[#This Row],[payment_date]],"mmm-yyyy")</f>
        <v>Dec-2023</v>
      </c>
      <c r="E1332" s="2">
        <v>536.23</v>
      </c>
      <c r="F1332" t="s">
        <v>4694</v>
      </c>
      <c r="G1332" s="2">
        <v>46.55</v>
      </c>
    </row>
    <row r="1333" spans="1:7" x14ac:dyDescent="0.35">
      <c r="A1333" t="s">
        <v>6026</v>
      </c>
      <c r="B1333" t="s">
        <v>2464</v>
      </c>
      <c r="C1333" s="1">
        <v>45482</v>
      </c>
      <c r="D1333" s="1" t="str">
        <f>TEXT(Payments_Cleaned[[#This Row],[payment_date]],"mmm-yyyy")</f>
        <v>Jul-2024</v>
      </c>
      <c r="E1333" s="2">
        <v>5054.04</v>
      </c>
      <c r="F1333" t="s">
        <v>4694</v>
      </c>
      <c r="G1333" s="2">
        <v>1880.15</v>
      </c>
    </row>
    <row r="1334" spans="1:7" x14ac:dyDescent="0.35">
      <c r="A1334" t="s">
        <v>6027</v>
      </c>
      <c r="B1334" t="s">
        <v>2466</v>
      </c>
      <c r="C1334" s="1">
        <v>45616</v>
      </c>
      <c r="D1334" s="1" t="str">
        <f>TEXT(Payments_Cleaned[[#This Row],[payment_date]],"mmm-yyyy")</f>
        <v>Nov-2024</v>
      </c>
      <c r="E1334" s="2">
        <v>49.92</v>
      </c>
      <c r="F1334" t="s">
        <v>4694</v>
      </c>
      <c r="G1334" s="2">
        <v>4.09</v>
      </c>
    </row>
    <row r="1335" spans="1:7" x14ac:dyDescent="0.35">
      <c r="A1335" t="s">
        <v>6028</v>
      </c>
      <c r="B1335" t="s">
        <v>2468</v>
      </c>
      <c r="C1335" s="1">
        <v>45083</v>
      </c>
      <c r="D1335" s="1" t="str">
        <f>TEXT(Payments_Cleaned[[#This Row],[payment_date]],"mmm-yyyy")</f>
        <v>Jun-2023</v>
      </c>
      <c r="E1335" s="2">
        <v>2001.12</v>
      </c>
      <c r="F1335" t="s">
        <v>4697</v>
      </c>
      <c r="G1335" s="2">
        <v>234.84</v>
      </c>
    </row>
    <row r="1336" spans="1:7" x14ac:dyDescent="0.35">
      <c r="A1336" t="s">
        <v>6029</v>
      </c>
      <c r="B1336" t="s">
        <v>2469</v>
      </c>
      <c r="C1336" s="1">
        <v>45650</v>
      </c>
      <c r="D1336" s="1" t="str">
        <f>TEXT(Payments_Cleaned[[#This Row],[payment_date]],"mmm-yyyy")</f>
        <v>Dec-2024</v>
      </c>
      <c r="E1336" s="2">
        <v>925.57</v>
      </c>
      <c r="F1336" t="s">
        <v>4694</v>
      </c>
      <c r="G1336" s="2">
        <v>199.76</v>
      </c>
    </row>
    <row r="1337" spans="1:7" x14ac:dyDescent="0.35">
      <c r="A1337" t="s">
        <v>6030</v>
      </c>
      <c r="B1337" t="s">
        <v>2470</v>
      </c>
      <c r="C1337" s="1">
        <v>45139</v>
      </c>
      <c r="D1337" s="1" t="str">
        <f>TEXT(Payments_Cleaned[[#This Row],[payment_date]],"mmm-yyyy")</f>
        <v>Aug-2023</v>
      </c>
      <c r="E1337" s="2">
        <v>543.77</v>
      </c>
      <c r="F1337" t="s">
        <v>4694</v>
      </c>
      <c r="G1337" s="2">
        <v>191.94</v>
      </c>
    </row>
    <row r="1338" spans="1:7" x14ac:dyDescent="0.35">
      <c r="A1338" t="s">
        <v>6031</v>
      </c>
      <c r="B1338" t="s">
        <v>2471</v>
      </c>
      <c r="C1338" s="1">
        <v>45156</v>
      </c>
      <c r="D1338" s="1" t="str">
        <f>TEXT(Payments_Cleaned[[#This Row],[payment_date]],"mmm-yyyy")</f>
        <v>Aug-2023</v>
      </c>
      <c r="E1338" s="2">
        <v>337.26</v>
      </c>
      <c r="F1338" t="s">
        <v>4694</v>
      </c>
      <c r="G1338" s="2">
        <v>89.65</v>
      </c>
    </row>
    <row r="1339" spans="1:7" x14ac:dyDescent="0.35">
      <c r="A1339" t="s">
        <v>6032</v>
      </c>
      <c r="B1339" t="s">
        <v>2472</v>
      </c>
      <c r="C1339" s="1">
        <v>45167</v>
      </c>
      <c r="D1339" s="1" t="str">
        <f>TEXT(Payments_Cleaned[[#This Row],[payment_date]],"mmm-yyyy")</f>
        <v>Aug-2023</v>
      </c>
      <c r="E1339" s="2">
        <v>151.53</v>
      </c>
      <c r="F1339" t="s">
        <v>4694</v>
      </c>
      <c r="G1339" s="2">
        <v>43.57</v>
      </c>
    </row>
    <row r="1340" spans="1:7" x14ac:dyDescent="0.35">
      <c r="A1340" t="s">
        <v>6033</v>
      </c>
      <c r="B1340" t="s">
        <v>2473</v>
      </c>
      <c r="C1340" s="1">
        <v>45202</v>
      </c>
      <c r="D1340" s="1" t="str">
        <f>TEXT(Payments_Cleaned[[#This Row],[payment_date]],"mmm-yyyy")</f>
        <v>Oct-2023</v>
      </c>
      <c r="E1340" s="2">
        <v>463.73</v>
      </c>
      <c r="F1340" t="s">
        <v>4694</v>
      </c>
      <c r="G1340" s="2">
        <v>228.5</v>
      </c>
    </row>
    <row r="1341" spans="1:7" x14ac:dyDescent="0.35">
      <c r="A1341" t="s">
        <v>6034</v>
      </c>
      <c r="B1341" t="s">
        <v>2474</v>
      </c>
      <c r="C1341" s="1">
        <v>45083</v>
      </c>
      <c r="D1341" s="1" t="str">
        <f>TEXT(Payments_Cleaned[[#This Row],[payment_date]],"mmm-yyyy")</f>
        <v>Jun-2023</v>
      </c>
      <c r="E1341" s="2">
        <v>4814.17</v>
      </c>
      <c r="F1341" t="s">
        <v>4694</v>
      </c>
      <c r="G1341" s="2">
        <v>448.91</v>
      </c>
    </row>
    <row r="1342" spans="1:7" x14ac:dyDescent="0.35">
      <c r="A1342" t="s">
        <v>6035</v>
      </c>
      <c r="B1342" t="s">
        <v>2475</v>
      </c>
      <c r="C1342" s="1">
        <v>45541</v>
      </c>
      <c r="D1342" s="1" t="str">
        <f>TEXT(Payments_Cleaned[[#This Row],[payment_date]],"mmm-yyyy")</f>
        <v>Sep-2024</v>
      </c>
      <c r="E1342" s="2">
        <v>572.07000000000005</v>
      </c>
      <c r="F1342" t="s">
        <v>4694</v>
      </c>
      <c r="G1342" s="2">
        <v>324.33999999999997</v>
      </c>
    </row>
    <row r="1343" spans="1:7" x14ac:dyDescent="0.35">
      <c r="A1343" t="s">
        <v>6036</v>
      </c>
      <c r="B1343" t="s">
        <v>2477</v>
      </c>
      <c r="C1343" s="1">
        <v>45155</v>
      </c>
      <c r="D1343" s="1" t="str">
        <f>TEXT(Payments_Cleaned[[#This Row],[payment_date]],"mmm-yyyy")</f>
        <v>Aug-2023</v>
      </c>
      <c r="E1343" s="2">
        <v>1212.77</v>
      </c>
      <c r="F1343" t="s">
        <v>4694</v>
      </c>
      <c r="G1343" s="2">
        <v>596.96</v>
      </c>
    </row>
    <row r="1344" spans="1:7" x14ac:dyDescent="0.35">
      <c r="A1344" t="s">
        <v>6037</v>
      </c>
      <c r="B1344" t="s">
        <v>2479</v>
      </c>
      <c r="C1344" s="1">
        <v>44943</v>
      </c>
      <c r="D1344" s="1" t="str">
        <f>TEXT(Payments_Cleaned[[#This Row],[payment_date]],"mmm-yyyy")</f>
        <v>Jan-2023</v>
      </c>
      <c r="E1344" s="2">
        <v>3849.58</v>
      </c>
      <c r="F1344" t="s">
        <v>4697</v>
      </c>
      <c r="G1344" s="2">
        <v>1522.15</v>
      </c>
    </row>
    <row r="1345" spans="1:7" x14ac:dyDescent="0.35">
      <c r="A1345" t="s">
        <v>6038</v>
      </c>
      <c r="B1345" t="s">
        <v>2480</v>
      </c>
      <c r="C1345" s="1">
        <v>45085</v>
      </c>
      <c r="D1345" s="1" t="str">
        <f>TEXT(Payments_Cleaned[[#This Row],[payment_date]],"mmm-yyyy")</f>
        <v>Jun-2023</v>
      </c>
      <c r="E1345" s="2">
        <v>208.74</v>
      </c>
      <c r="F1345" t="s">
        <v>4697</v>
      </c>
      <c r="G1345" s="2">
        <v>11.83</v>
      </c>
    </row>
    <row r="1346" spans="1:7" x14ac:dyDescent="0.35">
      <c r="A1346" t="s">
        <v>6039</v>
      </c>
      <c r="B1346" t="s">
        <v>2481</v>
      </c>
      <c r="C1346" s="1">
        <v>45321</v>
      </c>
      <c r="D1346" s="1" t="str">
        <f>TEXT(Payments_Cleaned[[#This Row],[payment_date]],"mmm-yyyy")</f>
        <v>Jan-2024</v>
      </c>
      <c r="E1346" s="2">
        <v>281.2</v>
      </c>
      <c r="F1346" t="s">
        <v>4694</v>
      </c>
      <c r="G1346" s="2">
        <v>68.92</v>
      </c>
    </row>
    <row r="1347" spans="1:7" x14ac:dyDescent="0.35">
      <c r="A1347" t="s">
        <v>6040</v>
      </c>
      <c r="B1347" t="s">
        <v>2482</v>
      </c>
      <c r="C1347" s="1">
        <v>45582</v>
      </c>
      <c r="D1347" s="1" t="str">
        <f>TEXT(Payments_Cleaned[[#This Row],[payment_date]],"mmm-yyyy")</f>
        <v>Oct-2024</v>
      </c>
      <c r="E1347" s="2">
        <v>317.74</v>
      </c>
      <c r="F1347" t="s">
        <v>4694</v>
      </c>
      <c r="G1347" s="2">
        <v>42.21</v>
      </c>
    </row>
    <row r="1348" spans="1:7" x14ac:dyDescent="0.35">
      <c r="A1348" t="s">
        <v>6041</v>
      </c>
      <c r="B1348" t="s">
        <v>2484</v>
      </c>
      <c r="C1348" s="1">
        <v>45293</v>
      </c>
      <c r="D1348" s="1" t="str">
        <f>TEXT(Payments_Cleaned[[#This Row],[payment_date]],"mmm-yyyy")</f>
        <v>Jan-2024</v>
      </c>
      <c r="E1348" s="2">
        <v>343.13</v>
      </c>
      <c r="F1348" t="s">
        <v>4694</v>
      </c>
      <c r="G1348" s="2">
        <v>207.85</v>
      </c>
    </row>
    <row r="1349" spans="1:7" x14ac:dyDescent="0.35">
      <c r="A1349" t="s">
        <v>6042</v>
      </c>
      <c r="B1349" t="s">
        <v>2487</v>
      </c>
      <c r="C1349" s="1">
        <v>44963</v>
      </c>
      <c r="D1349" s="1" t="str">
        <f>TEXT(Payments_Cleaned[[#This Row],[payment_date]],"mmm-yyyy")</f>
        <v>Feb-2023</v>
      </c>
      <c r="E1349" s="2">
        <v>3061.34</v>
      </c>
      <c r="F1349" t="s">
        <v>4697</v>
      </c>
      <c r="G1349" s="2">
        <v>871.21</v>
      </c>
    </row>
    <row r="1350" spans="1:7" x14ac:dyDescent="0.35">
      <c r="A1350" t="s">
        <v>6043</v>
      </c>
      <c r="B1350" t="s">
        <v>2489</v>
      </c>
      <c r="C1350" s="1">
        <v>45430</v>
      </c>
      <c r="D1350" s="1" t="str">
        <f>TEXT(Payments_Cleaned[[#This Row],[payment_date]],"mmm-yyyy")</f>
        <v>May-2024</v>
      </c>
      <c r="E1350" s="2">
        <v>3855.05</v>
      </c>
      <c r="F1350" t="s">
        <v>4694</v>
      </c>
      <c r="G1350" s="2">
        <v>2083.39</v>
      </c>
    </row>
    <row r="1351" spans="1:7" x14ac:dyDescent="0.35">
      <c r="A1351" t="s">
        <v>6044</v>
      </c>
      <c r="B1351" t="s">
        <v>2492</v>
      </c>
      <c r="C1351" s="1">
        <v>45556</v>
      </c>
      <c r="D1351" s="1" t="str">
        <f>TEXT(Payments_Cleaned[[#This Row],[payment_date]],"mmm-yyyy")</f>
        <v>Sep-2024</v>
      </c>
      <c r="E1351" s="2">
        <v>321.45999999999998</v>
      </c>
      <c r="F1351" t="s">
        <v>4694</v>
      </c>
      <c r="G1351" s="2">
        <v>160.56</v>
      </c>
    </row>
    <row r="1352" spans="1:7" x14ac:dyDescent="0.35">
      <c r="A1352" t="s">
        <v>6045</v>
      </c>
      <c r="B1352" t="s">
        <v>2494</v>
      </c>
      <c r="C1352" s="1">
        <v>45033</v>
      </c>
      <c r="D1352" s="1" t="str">
        <f>TEXT(Payments_Cleaned[[#This Row],[payment_date]],"mmm-yyyy")</f>
        <v>Apr-2023</v>
      </c>
      <c r="E1352" s="2">
        <v>507.79</v>
      </c>
      <c r="F1352" t="s">
        <v>4694</v>
      </c>
      <c r="G1352" s="2">
        <v>46.03</v>
      </c>
    </row>
    <row r="1353" spans="1:7" x14ac:dyDescent="0.35">
      <c r="A1353" t="s">
        <v>6046</v>
      </c>
      <c r="B1353" t="s">
        <v>2495</v>
      </c>
      <c r="C1353" s="1">
        <v>45082</v>
      </c>
      <c r="D1353" s="1" t="str">
        <f>TEXT(Payments_Cleaned[[#This Row],[payment_date]],"mmm-yyyy")</f>
        <v>Jun-2023</v>
      </c>
      <c r="E1353" s="2">
        <v>119.47</v>
      </c>
      <c r="F1353" t="s">
        <v>4697</v>
      </c>
      <c r="G1353" s="2">
        <v>10.27</v>
      </c>
    </row>
    <row r="1354" spans="1:7" x14ac:dyDescent="0.35">
      <c r="A1354" t="s">
        <v>6047</v>
      </c>
      <c r="B1354" t="s">
        <v>2496</v>
      </c>
      <c r="C1354" s="1">
        <v>45146</v>
      </c>
      <c r="D1354" s="1" t="str">
        <f>TEXT(Payments_Cleaned[[#This Row],[payment_date]],"mmm-yyyy")</f>
        <v>Aug-2023</v>
      </c>
      <c r="E1354" s="2">
        <v>1472.31</v>
      </c>
      <c r="F1354" t="s">
        <v>4694</v>
      </c>
      <c r="G1354" s="2">
        <v>388.32</v>
      </c>
    </row>
    <row r="1355" spans="1:7" x14ac:dyDescent="0.35">
      <c r="A1355" t="s">
        <v>6048</v>
      </c>
      <c r="B1355" t="s">
        <v>2497</v>
      </c>
      <c r="C1355" s="1">
        <v>45096</v>
      </c>
      <c r="D1355" s="1" t="str">
        <f>TEXT(Payments_Cleaned[[#This Row],[payment_date]],"mmm-yyyy")</f>
        <v>Jun-2023</v>
      </c>
      <c r="E1355" s="2">
        <v>115.23</v>
      </c>
      <c r="F1355" t="s">
        <v>4694</v>
      </c>
      <c r="G1355" s="2">
        <v>49.4</v>
      </c>
    </row>
    <row r="1356" spans="1:7" x14ac:dyDescent="0.35">
      <c r="A1356" t="s">
        <v>6049</v>
      </c>
      <c r="B1356" t="s">
        <v>2498</v>
      </c>
      <c r="C1356" s="1">
        <v>45411</v>
      </c>
      <c r="D1356" s="1" t="str">
        <f>TEXT(Payments_Cleaned[[#This Row],[payment_date]],"mmm-yyyy")</f>
        <v>Apr-2024</v>
      </c>
      <c r="E1356" s="2">
        <v>125.91</v>
      </c>
      <c r="F1356" t="s">
        <v>4694</v>
      </c>
      <c r="G1356" s="2">
        <v>15.1</v>
      </c>
    </row>
    <row r="1357" spans="1:7" x14ac:dyDescent="0.35">
      <c r="A1357" t="s">
        <v>6050</v>
      </c>
      <c r="B1357" t="s">
        <v>2500</v>
      </c>
      <c r="C1357" s="1">
        <v>45271</v>
      </c>
      <c r="D1357" s="1" t="str">
        <f>TEXT(Payments_Cleaned[[#This Row],[payment_date]],"mmm-yyyy")</f>
        <v>Dec-2023</v>
      </c>
      <c r="E1357" s="2">
        <v>155.53</v>
      </c>
      <c r="F1357" t="s">
        <v>4694</v>
      </c>
      <c r="G1357" s="2">
        <v>54.26</v>
      </c>
    </row>
    <row r="1358" spans="1:7" x14ac:dyDescent="0.35">
      <c r="A1358" t="s">
        <v>6051</v>
      </c>
      <c r="B1358" t="s">
        <v>2501</v>
      </c>
      <c r="C1358" s="1">
        <v>45485</v>
      </c>
      <c r="D1358" s="1" t="str">
        <f>TEXT(Payments_Cleaned[[#This Row],[payment_date]],"mmm-yyyy")</f>
        <v>Jul-2024</v>
      </c>
      <c r="E1358" s="2">
        <v>275.26</v>
      </c>
      <c r="F1358" t="s">
        <v>4694</v>
      </c>
      <c r="G1358" s="2">
        <v>82.4</v>
      </c>
    </row>
    <row r="1359" spans="1:7" x14ac:dyDescent="0.35">
      <c r="A1359" t="s">
        <v>6052</v>
      </c>
      <c r="B1359" t="s">
        <v>2502</v>
      </c>
      <c r="C1359" s="1">
        <v>45599</v>
      </c>
      <c r="D1359" s="1" t="str">
        <f>TEXT(Payments_Cleaned[[#This Row],[payment_date]],"mmm-yyyy")</f>
        <v>Nov-2024</v>
      </c>
      <c r="E1359" s="2">
        <v>2822.95</v>
      </c>
      <c r="F1359" t="s">
        <v>4697</v>
      </c>
      <c r="G1359" s="2">
        <v>1197.06</v>
      </c>
    </row>
    <row r="1360" spans="1:7" x14ac:dyDescent="0.35">
      <c r="A1360" t="s">
        <v>6053</v>
      </c>
      <c r="B1360" t="s">
        <v>2503</v>
      </c>
      <c r="C1360" s="1">
        <v>45245</v>
      </c>
      <c r="D1360" s="1" t="str">
        <f>TEXT(Payments_Cleaned[[#This Row],[payment_date]],"mmm-yyyy")</f>
        <v>Nov-2023</v>
      </c>
      <c r="E1360" s="2">
        <v>1691.11</v>
      </c>
      <c r="F1360" t="s">
        <v>4694</v>
      </c>
      <c r="G1360" s="2">
        <v>158.15</v>
      </c>
    </row>
    <row r="1361" spans="1:7" x14ac:dyDescent="0.35">
      <c r="A1361" t="s">
        <v>6054</v>
      </c>
      <c r="B1361" t="s">
        <v>2507</v>
      </c>
      <c r="C1361" s="1">
        <v>45112</v>
      </c>
      <c r="D1361" s="1" t="str">
        <f>TEXT(Payments_Cleaned[[#This Row],[payment_date]],"mmm-yyyy")</f>
        <v>Jul-2023</v>
      </c>
      <c r="E1361" s="2">
        <v>619.69000000000005</v>
      </c>
      <c r="F1361" t="s">
        <v>4694</v>
      </c>
      <c r="G1361" s="2">
        <v>224.16</v>
      </c>
    </row>
    <row r="1362" spans="1:7" x14ac:dyDescent="0.35">
      <c r="A1362" t="s">
        <v>6055</v>
      </c>
      <c r="B1362" t="s">
        <v>2508</v>
      </c>
      <c r="C1362" s="1">
        <v>45259</v>
      </c>
      <c r="D1362" s="1" t="str">
        <f>TEXT(Payments_Cleaned[[#This Row],[payment_date]],"mmm-yyyy")</f>
        <v>Nov-2023</v>
      </c>
      <c r="E1362" s="2">
        <v>425.78</v>
      </c>
      <c r="F1362" t="s">
        <v>4694</v>
      </c>
      <c r="G1362" s="2">
        <v>112.48</v>
      </c>
    </row>
    <row r="1363" spans="1:7" x14ac:dyDescent="0.35">
      <c r="A1363" t="s">
        <v>6056</v>
      </c>
      <c r="B1363" t="s">
        <v>2510</v>
      </c>
      <c r="C1363" s="1">
        <v>45517</v>
      </c>
      <c r="D1363" s="1" t="str">
        <f>TEXT(Payments_Cleaned[[#This Row],[payment_date]],"mmm-yyyy")</f>
        <v>Aug-2024</v>
      </c>
      <c r="E1363" s="2">
        <v>807.36</v>
      </c>
      <c r="F1363" t="s">
        <v>4694</v>
      </c>
      <c r="G1363" s="2">
        <v>69.33</v>
      </c>
    </row>
    <row r="1364" spans="1:7" x14ac:dyDescent="0.35">
      <c r="A1364" t="s">
        <v>6057</v>
      </c>
      <c r="B1364" t="s">
        <v>2511</v>
      </c>
      <c r="C1364" s="1">
        <v>45332</v>
      </c>
      <c r="D1364" s="1" t="str">
        <f>TEXT(Payments_Cleaned[[#This Row],[payment_date]],"mmm-yyyy")</f>
        <v>Feb-2024</v>
      </c>
      <c r="E1364" s="2">
        <v>126.37</v>
      </c>
      <c r="F1364" t="s">
        <v>4694</v>
      </c>
      <c r="G1364" s="2">
        <v>44.78</v>
      </c>
    </row>
    <row r="1365" spans="1:7" x14ac:dyDescent="0.35">
      <c r="A1365" t="s">
        <v>6058</v>
      </c>
      <c r="B1365" t="s">
        <v>2512</v>
      </c>
      <c r="C1365" s="1">
        <v>45496</v>
      </c>
      <c r="D1365" s="1" t="str">
        <f>TEXT(Payments_Cleaned[[#This Row],[payment_date]],"mmm-yyyy")</f>
        <v>Jul-2024</v>
      </c>
      <c r="E1365" s="2">
        <v>3366.48</v>
      </c>
      <c r="F1365" t="s">
        <v>4694</v>
      </c>
      <c r="G1365" s="2">
        <v>170.98</v>
      </c>
    </row>
    <row r="1366" spans="1:7" x14ac:dyDescent="0.35">
      <c r="A1366" t="s">
        <v>6059</v>
      </c>
      <c r="B1366" t="s">
        <v>2514</v>
      </c>
      <c r="C1366" s="1">
        <v>45122</v>
      </c>
      <c r="D1366" s="1" t="str">
        <f>TEXT(Payments_Cleaned[[#This Row],[payment_date]],"mmm-yyyy")</f>
        <v>Jul-2023</v>
      </c>
      <c r="E1366" s="2">
        <v>611.04</v>
      </c>
      <c r="F1366" t="s">
        <v>4694</v>
      </c>
      <c r="G1366" s="2">
        <v>180.87</v>
      </c>
    </row>
    <row r="1367" spans="1:7" x14ac:dyDescent="0.35">
      <c r="A1367" t="s">
        <v>6060</v>
      </c>
      <c r="B1367" t="s">
        <v>2515</v>
      </c>
      <c r="C1367" s="1">
        <v>45314</v>
      </c>
      <c r="D1367" s="1" t="str">
        <f>TEXT(Payments_Cleaned[[#This Row],[payment_date]],"mmm-yyyy")</f>
        <v>Jan-2024</v>
      </c>
      <c r="E1367" s="2">
        <v>2491.4299999999998</v>
      </c>
      <c r="F1367" t="s">
        <v>4697</v>
      </c>
      <c r="G1367" s="2">
        <v>1217.33</v>
      </c>
    </row>
    <row r="1368" spans="1:7" x14ac:dyDescent="0.35">
      <c r="A1368" t="s">
        <v>6061</v>
      </c>
      <c r="B1368" t="s">
        <v>2516</v>
      </c>
      <c r="C1368" s="1">
        <v>45268</v>
      </c>
      <c r="D1368" s="1" t="str">
        <f>TEXT(Payments_Cleaned[[#This Row],[payment_date]],"mmm-yyyy")</f>
        <v>Dec-2023</v>
      </c>
      <c r="E1368" s="2">
        <v>484.08</v>
      </c>
      <c r="F1368" t="s">
        <v>4694</v>
      </c>
      <c r="G1368" s="2">
        <v>62.22</v>
      </c>
    </row>
    <row r="1369" spans="1:7" x14ac:dyDescent="0.35">
      <c r="A1369" t="s">
        <v>6062</v>
      </c>
      <c r="B1369" t="s">
        <v>2517</v>
      </c>
      <c r="C1369" s="1">
        <v>45064</v>
      </c>
      <c r="D1369" s="1" t="str">
        <f>TEXT(Payments_Cleaned[[#This Row],[payment_date]],"mmm-yyyy")</f>
        <v>May-2023</v>
      </c>
      <c r="E1369" s="2">
        <v>1238.21</v>
      </c>
      <c r="F1369" t="s">
        <v>4697</v>
      </c>
      <c r="G1369" s="2">
        <v>632.04</v>
      </c>
    </row>
    <row r="1370" spans="1:7" x14ac:dyDescent="0.35">
      <c r="A1370" t="s">
        <v>6063</v>
      </c>
      <c r="B1370" t="s">
        <v>2518</v>
      </c>
      <c r="C1370" s="1">
        <v>45150</v>
      </c>
      <c r="D1370" s="1" t="str">
        <f>TEXT(Payments_Cleaned[[#This Row],[payment_date]],"mmm-yyyy")</f>
        <v>Aug-2023</v>
      </c>
      <c r="E1370" s="2">
        <v>403.63</v>
      </c>
      <c r="F1370" t="s">
        <v>4694</v>
      </c>
      <c r="G1370" s="2">
        <v>201.35</v>
      </c>
    </row>
    <row r="1371" spans="1:7" x14ac:dyDescent="0.35">
      <c r="A1371" t="s">
        <v>6064</v>
      </c>
      <c r="B1371" t="s">
        <v>2519</v>
      </c>
      <c r="C1371" s="1">
        <v>45094</v>
      </c>
      <c r="D1371" s="1" t="str">
        <f>TEXT(Payments_Cleaned[[#This Row],[payment_date]],"mmm-yyyy")</f>
        <v>Jun-2023</v>
      </c>
      <c r="E1371" s="2">
        <v>1416.65</v>
      </c>
      <c r="F1371" t="s">
        <v>4694</v>
      </c>
      <c r="G1371" s="2">
        <v>310.38</v>
      </c>
    </row>
    <row r="1372" spans="1:7" x14ac:dyDescent="0.35">
      <c r="A1372" t="s">
        <v>6065</v>
      </c>
      <c r="B1372" t="s">
        <v>2520</v>
      </c>
      <c r="C1372" s="1">
        <v>44961</v>
      </c>
      <c r="D1372" s="1" t="str">
        <f>TEXT(Payments_Cleaned[[#This Row],[payment_date]],"mmm-yyyy")</f>
        <v>Feb-2023</v>
      </c>
      <c r="E1372" s="2">
        <v>121.53</v>
      </c>
      <c r="F1372" t="s">
        <v>4694</v>
      </c>
      <c r="G1372" s="2">
        <v>8.17</v>
      </c>
    </row>
    <row r="1373" spans="1:7" x14ac:dyDescent="0.35">
      <c r="A1373" t="s">
        <v>6066</v>
      </c>
      <c r="B1373" t="s">
        <v>2521</v>
      </c>
      <c r="C1373" s="1">
        <v>45045</v>
      </c>
      <c r="D1373" s="1" t="str">
        <f>TEXT(Payments_Cleaned[[#This Row],[payment_date]],"mmm-yyyy")</f>
        <v>Apr-2023</v>
      </c>
      <c r="E1373" s="2">
        <v>434.5</v>
      </c>
      <c r="F1373" t="s">
        <v>4694</v>
      </c>
      <c r="G1373" s="2">
        <v>99.51</v>
      </c>
    </row>
    <row r="1374" spans="1:7" x14ac:dyDescent="0.35">
      <c r="A1374" t="s">
        <v>6067</v>
      </c>
      <c r="B1374" t="s">
        <v>2522</v>
      </c>
      <c r="C1374" s="1">
        <v>45503</v>
      </c>
      <c r="D1374" s="1" t="str">
        <f>TEXT(Payments_Cleaned[[#This Row],[payment_date]],"mmm-yyyy")</f>
        <v>Jul-2024</v>
      </c>
      <c r="E1374" s="2">
        <v>151.09</v>
      </c>
      <c r="F1374" t="s">
        <v>4694</v>
      </c>
      <c r="G1374" s="2">
        <v>12.63</v>
      </c>
    </row>
    <row r="1375" spans="1:7" x14ac:dyDescent="0.35">
      <c r="A1375" t="s">
        <v>6068</v>
      </c>
      <c r="B1375" t="s">
        <v>2526</v>
      </c>
      <c r="C1375" s="1">
        <v>45595</v>
      </c>
      <c r="D1375" s="1" t="str">
        <f>TEXT(Payments_Cleaned[[#This Row],[payment_date]],"mmm-yyyy")</f>
        <v>Oct-2024</v>
      </c>
      <c r="E1375" s="2">
        <v>459.45</v>
      </c>
      <c r="F1375" t="s">
        <v>4694</v>
      </c>
      <c r="G1375" s="2">
        <v>95.27</v>
      </c>
    </row>
    <row r="1376" spans="1:7" x14ac:dyDescent="0.35">
      <c r="A1376" t="s">
        <v>6069</v>
      </c>
      <c r="B1376" t="s">
        <v>2527</v>
      </c>
      <c r="C1376" s="1">
        <v>45215</v>
      </c>
      <c r="D1376" s="1" t="str">
        <f>TEXT(Payments_Cleaned[[#This Row],[payment_date]],"mmm-yyyy")</f>
        <v>Oct-2023</v>
      </c>
      <c r="E1376" s="2">
        <v>276.60000000000002</v>
      </c>
      <c r="F1376" t="s">
        <v>4694</v>
      </c>
      <c r="G1376" s="2">
        <v>83.61</v>
      </c>
    </row>
    <row r="1377" spans="1:7" x14ac:dyDescent="0.35">
      <c r="A1377" t="s">
        <v>6070</v>
      </c>
      <c r="B1377" t="s">
        <v>2529</v>
      </c>
      <c r="C1377" s="1">
        <v>45032</v>
      </c>
      <c r="D1377" s="1" t="str">
        <f>TEXT(Payments_Cleaned[[#This Row],[payment_date]],"mmm-yyyy")</f>
        <v>Apr-2023</v>
      </c>
      <c r="E1377" s="2">
        <v>869.47</v>
      </c>
      <c r="F1377" t="s">
        <v>4694</v>
      </c>
      <c r="G1377" s="2">
        <v>302.98</v>
      </c>
    </row>
    <row r="1378" spans="1:7" x14ac:dyDescent="0.35">
      <c r="A1378" t="s">
        <v>6071</v>
      </c>
      <c r="B1378" t="s">
        <v>2530</v>
      </c>
      <c r="C1378" s="1">
        <v>45420</v>
      </c>
      <c r="D1378" s="1" t="str">
        <f>TEXT(Payments_Cleaned[[#This Row],[payment_date]],"mmm-yyyy")</f>
        <v>May-2024</v>
      </c>
      <c r="E1378" s="2">
        <v>538.70000000000005</v>
      </c>
      <c r="F1378" t="s">
        <v>4694</v>
      </c>
      <c r="G1378" s="2">
        <v>189.11</v>
      </c>
    </row>
    <row r="1379" spans="1:7" x14ac:dyDescent="0.35">
      <c r="A1379" t="s">
        <v>6072</v>
      </c>
      <c r="B1379" t="s">
        <v>2532</v>
      </c>
      <c r="C1379" s="1">
        <v>45433</v>
      </c>
      <c r="D1379" s="1" t="str">
        <f>TEXT(Payments_Cleaned[[#This Row],[payment_date]],"mmm-yyyy")</f>
        <v>May-2024</v>
      </c>
      <c r="E1379" s="2">
        <v>95</v>
      </c>
      <c r="F1379" t="s">
        <v>4694</v>
      </c>
      <c r="G1379" s="2">
        <v>48.81</v>
      </c>
    </row>
    <row r="1380" spans="1:7" x14ac:dyDescent="0.35">
      <c r="A1380" t="s">
        <v>6073</v>
      </c>
      <c r="B1380" t="s">
        <v>2535</v>
      </c>
      <c r="C1380" s="1">
        <v>45408</v>
      </c>
      <c r="D1380" s="1" t="str">
        <f>TEXT(Payments_Cleaned[[#This Row],[payment_date]],"mmm-yyyy")</f>
        <v>Apr-2024</v>
      </c>
      <c r="E1380" s="2">
        <v>309.95999999999998</v>
      </c>
      <c r="F1380" t="s">
        <v>4694</v>
      </c>
      <c r="G1380" s="2">
        <v>13</v>
      </c>
    </row>
    <row r="1381" spans="1:7" x14ac:dyDescent="0.35">
      <c r="A1381" t="s">
        <v>6074</v>
      </c>
      <c r="B1381" t="s">
        <v>2536</v>
      </c>
      <c r="C1381" s="1">
        <v>45235</v>
      </c>
      <c r="D1381" s="1" t="str">
        <f>TEXT(Payments_Cleaned[[#This Row],[payment_date]],"mmm-yyyy")</f>
        <v>Nov-2023</v>
      </c>
      <c r="E1381" s="2">
        <v>362.12</v>
      </c>
      <c r="F1381" t="s">
        <v>4694</v>
      </c>
      <c r="G1381" s="2">
        <v>62.89</v>
      </c>
    </row>
    <row r="1382" spans="1:7" x14ac:dyDescent="0.35">
      <c r="A1382" t="s">
        <v>6075</v>
      </c>
      <c r="B1382" t="s">
        <v>2537</v>
      </c>
      <c r="C1382" s="1">
        <v>45176</v>
      </c>
      <c r="D1382" s="1" t="str">
        <f>TEXT(Payments_Cleaned[[#This Row],[payment_date]],"mmm-yyyy")</f>
        <v>Sep-2023</v>
      </c>
      <c r="E1382" s="2">
        <v>2366.67</v>
      </c>
      <c r="F1382" t="s">
        <v>4694</v>
      </c>
      <c r="G1382" s="2">
        <v>1093.74</v>
      </c>
    </row>
    <row r="1383" spans="1:7" x14ac:dyDescent="0.35">
      <c r="A1383" t="s">
        <v>6076</v>
      </c>
      <c r="B1383" t="s">
        <v>2538</v>
      </c>
      <c r="C1383" s="1">
        <v>45633</v>
      </c>
      <c r="D1383" s="1" t="str">
        <f>TEXT(Payments_Cleaned[[#This Row],[payment_date]],"mmm-yyyy")</f>
        <v>Dec-2024</v>
      </c>
      <c r="E1383" s="2">
        <v>4976.51</v>
      </c>
      <c r="F1383" t="s">
        <v>4694</v>
      </c>
      <c r="G1383" s="2">
        <v>407.29</v>
      </c>
    </row>
    <row r="1384" spans="1:7" x14ac:dyDescent="0.35">
      <c r="A1384" t="s">
        <v>6077</v>
      </c>
      <c r="B1384" t="s">
        <v>2539</v>
      </c>
      <c r="C1384" s="1">
        <v>45550</v>
      </c>
      <c r="D1384" s="1" t="str">
        <f>TEXT(Payments_Cleaned[[#This Row],[payment_date]],"mmm-yyyy")</f>
        <v>Sep-2024</v>
      </c>
      <c r="E1384" s="2">
        <v>93.47</v>
      </c>
      <c r="F1384" t="s">
        <v>4694</v>
      </c>
      <c r="G1384" s="2">
        <v>15.81</v>
      </c>
    </row>
    <row r="1385" spans="1:7" x14ac:dyDescent="0.35">
      <c r="A1385" t="s">
        <v>6078</v>
      </c>
      <c r="B1385" t="s">
        <v>2540</v>
      </c>
      <c r="C1385" s="1">
        <v>45609</v>
      </c>
      <c r="D1385" s="1" t="str">
        <f>TEXT(Payments_Cleaned[[#This Row],[payment_date]],"mmm-yyyy")</f>
        <v>Nov-2024</v>
      </c>
      <c r="E1385" s="2">
        <v>123.76</v>
      </c>
      <c r="F1385" t="s">
        <v>4694</v>
      </c>
      <c r="G1385" s="2">
        <v>18.16</v>
      </c>
    </row>
    <row r="1386" spans="1:7" x14ac:dyDescent="0.35">
      <c r="A1386" t="s">
        <v>6079</v>
      </c>
      <c r="B1386" t="s">
        <v>2541</v>
      </c>
      <c r="C1386" s="1">
        <v>45635</v>
      </c>
      <c r="D1386" s="1" t="str">
        <f>TEXT(Payments_Cleaned[[#This Row],[payment_date]],"mmm-yyyy")</f>
        <v>Dec-2024</v>
      </c>
      <c r="E1386" s="2">
        <v>478.65</v>
      </c>
      <c r="F1386" t="s">
        <v>4694</v>
      </c>
      <c r="G1386" s="2">
        <v>65.989999999999995</v>
      </c>
    </row>
    <row r="1387" spans="1:7" x14ac:dyDescent="0.35">
      <c r="A1387" t="s">
        <v>6080</v>
      </c>
      <c r="B1387" t="s">
        <v>2543</v>
      </c>
      <c r="C1387" s="1">
        <v>45346</v>
      </c>
      <c r="D1387" s="1" t="str">
        <f>TEXT(Payments_Cleaned[[#This Row],[payment_date]],"mmm-yyyy")</f>
        <v>Feb-2024</v>
      </c>
      <c r="E1387" s="2">
        <v>558.86</v>
      </c>
      <c r="F1387" t="s">
        <v>4694</v>
      </c>
      <c r="G1387" s="2">
        <v>69.94</v>
      </c>
    </row>
    <row r="1388" spans="1:7" x14ac:dyDescent="0.35">
      <c r="A1388" t="s">
        <v>6081</v>
      </c>
      <c r="B1388" t="s">
        <v>2544</v>
      </c>
      <c r="C1388" s="1">
        <v>45458</v>
      </c>
      <c r="D1388" s="1" t="str">
        <f>TEXT(Payments_Cleaned[[#This Row],[payment_date]],"mmm-yyyy")</f>
        <v>Jun-2024</v>
      </c>
      <c r="E1388" s="2">
        <v>4164.99</v>
      </c>
      <c r="F1388" t="s">
        <v>4694</v>
      </c>
      <c r="G1388" s="2">
        <v>375.22</v>
      </c>
    </row>
    <row r="1389" spans="1:7" x14ac:dyDescent="0.35">
      <c r="A1389" t="s">
        <v>6082</v>
      </c>
      <c r="B1389" t="s">
        <v>2545</v>
      </c>
      <c r="C1389" s="1">
        <v>45582</v>
      </c>
      <c r="D1389" s="1" t="str">
        <f>TEXT(Payments_Cleaned[[#This Row],[payment_date]],"mmm-yyyy")</f>
        <v>Oct-2024</v>
      </c>
      <c r="E1389" s="2">
        <v>145.24</v>
      </c>
      <c r="F1389" t="s">
        <v>4694</v>
      </c>
      <c r="G1389" s="2">
        <v>40.07</v>
      </c>
    </row>
    <row r="1390" spans="1:7" x14ac:dyDescent="0.35">
      <c r="A1390" t="s">
        <v>6083</v>
      </c>
      <c r="B1390" t="s">
        <v>2546</v>
      </c>
      <c r="C1390" s="1">
        <v>45008</v>
      </c>
      <c r="D1390" s="1" t="str">
        <f>TEXT(Payments_Cleaned[[#This Row],[payment_date]],"mmm-yyyy")</f>
        <v>Mar-2023</v>
      </c>
      <c r="E1390" s="2">
        <v>2817.84</v>
      </c>
      <c r="F1390" t="s">
        <v>4694</v>
      </c>
      <c r="G1390" s="2">
        <v>1239.6199999999999</v>
      </c>
    </row>
    <row r="1391" spans="1:7" x14ac:dyDescent="0.35">
      <c r="A1391" t="s">
        <v>6084</v>
      </c>
      <c r="B1391" t="s">
        <v>2547</v>
      </c>
      <c r="C1391" s="1">
        <v>45369</v>
      </c>
      <c r="D1391" s="1" t="str">
        <f>TEXT(Payments_Cleaned[[#This Row],[payment_date]],"mmm-yyyy")</f>
        <v>Mar-2024</v>
      </c>
      <c r="E1391" s="2">
        <v>523.82000000000005</v>
      </c>
      <c r="F1391" t="s">
        <v>4694</v>
      </c>
      <c r="G1391" s="2">
        <v>122.14</v>
      </c>
    </row>
    <row r="1392" spans="1:7" x14ac:dyDescent="0.35">
      <c r="A1392" t="s">
        <v>6085</v>
      </c>
      <c r="B1392" t="s">
        <v>2548</v>
      </c>
      <c r="C1392" s="1">
        <v>45199</v>
      </c>
      <c r="D1392" s="1" t="str">
        <f>TEXT(Payments_Cleaned[[#This Row],[payment_date]],"mmm-yyyy")</f>
        <v>Sep-2023</v>
      </c>
      <c r="E1392" s="2">
        <v>448</v>
      </c>
      <c r="F1392" t="s">
        <v>4694</v>
      </c>
      <c r="G1392" s="2">
        <v>18.86</v>
      </c>
    </row>
    <row r="1393" spans="1:7" x14ac:dyDescent="0.35">
      <c r="A1393" t="s">
        <v>6086</v>
      </c>
      <c r="B1393" t="s">
        <v>2549</v>
      </c>
      <c r="C1393" s="1">
        <v>45567</v>
      </c>
      <c r="D1393" s="1" t="str">
        <f>TEXT(Payments_Cleaned[[#This Row],[payment_date]],"mmm-yyyy")</f>
        <v>Oct-2024</v>
      </c>
      <c r="E1393" s="2">
        <v>4986.47</v>
      </c>
      <c r="F1393" t="s">
        <v>4694</v>
      </c>
      <c r="G1393" s="2">
        <v>2507.4699999999998</v>
      </c>
    </row>
    <row r="1394" spans="1:7" x14ac:dyDescent="0.35">
      <c r="A1394" t="s">
        <v>6087</v>
      </c>
      <c r="B1394" t="s">
        <v>2552</v>
      </c>
      <c r="C1394" s="1">
        <v>45449</v>
      </c>
      <c r="D1394" s="1" t="str">
        <f>TEXT(Payments_Cleaned[[#This Row],[payment_date]],"mmm-yyyy")</f>
        <v>Jun-2024</v>
      </c>
      <c r="E1394" s="2">
        <v>513.29999999999995</v>
      </c>
      <c r="F1394" t="s">
        <v>4694</v>
      </c>
      <c r="G1394" s="2">
        <v>72.150000000000006</v>
      </c>
    </row>
    <row r="1395" spans="1:7" x14ac:dyDescent="0.35">
      <c r="A1395" t="s">
        <v>6088</v>
      </c>
      <c r="B1395" t="s">
        <v>2553</v>
      </c>
      <c r="C1395" s="1">
        <v>45608</v>
      </c>
      <c r="D1395" s="1" t="str">
        <f>TEXT(Payments_Cleaned[[#This Row],[payment_date]],"mmm-yyyy")</f>
        <v>Nov-2024</v>
      </c>
      <c r="E1395" s="2">
        <v>309.62</v>
      </c>
      <c r="F1395" t="s">
        <v>4694</v>
      </c>
      <c r="G1395" s="2">
        <v>45.9</v>
      </c>
    </row>
    <row r="1396" spans="1:7" x14ac:dyDescent="0.35">
      <c r="A1396" t="s">
        <v>6089</v>
      </c>
      <c r="B1396" t="s">
        <v>2554</v>
      </c>
      <c r="C1396" s="1">
        <v>45569</v>
      </c>
      <c r="D1396" s="1" t="str">
        <f>TEXT(Payments_Cleaned[[#This Row],[payment_date]],"mmm-yyyy")</f>
        <v>Oct-2024</v>
      </c>
      <c r="E1396" s="2">
        <v>327.17</v>
      </c>
      <c r="F1396" t="s">
        <v>4694</v>
      </c>
      <c r="G1396" s="2">
        <v>22.1</v>
      </c>
    </row>
    <row r="1397" spans="1:7" x14ac:dyDescent="0.35">
      <c r="A1397" t="s">
        <v>6090</v>
      </c>
      <c r="B1397" t="s">
        <v>2555</v>
      </c>
      <c r="C1397" s="1">
        <v>44994</v>
      </c>
      <c r="D1397" s="1" t="str">
        <f>TEXT(Payments_Cleaned[[#This Row],[payment_date]],"mmm-yyyy")</f>
        <v>Mar-2023</v>
      </c>
      <c r="E1397" s="2">
        <v>642.99</v>
      </c>
      <c r="F1397" t="s">
        <v>4694</v>
      </c>
      <c r="G1397" s="2">
        <v>118.47</v>
      </c>
    </row>
    <row r="1398" spans="1:7" x14ac:dyDescent="0.35">
      <c r="A1398" t="s">
        <v>6091</v>
      </c>
      <c r="B1398" t="s">
        <v>2556</v>
      </c>
      <c r="C1398" s="1">
        <v>45552</v>
      </c>
      <c r="D1398" s="1" t="str">
        <f>TEXT(Payments_Cleaned[[#This Row],[payment_date]],"mmm-yyyy")</f>
        <v>Sep-2024</v>
      </c>
      <c r="E1398" s="2">
        <v>1533.36</v>
      </c>
      <c r="F1398" t="s">
        <v>4694</v>
      </c>
      <c r="G1398" s="2">
        <v>553.08000000000004</v>
      </c>
    </row>
    <row r="1399" spans="1:7" x14ac:dyDescent="0.35">
      <c r="A1399" t="s">
        <v>6092</v>
      </c>
      <c r="B1399" t="s">
        <v>2558</v>
      </c>
      <c r="C1399" s="1">
        <v>45264</v>
      </c>
      <c r="D1399" s="1" t="str">
        <f>TEXT(Payments_Cleaned[[#This Row],[payment_date]],"mmm-yyyy")</f>
        <v>Dec-2023</v>
      </c>
      <c r="E1399" s="2">
        <v>516.20000000000005</v>
      </c>
      <c r="F1399" t="s">
        <v>4694</v>
      </c>
      <c r="G1399" s="2">
        <v>43.14</v>
      </c>
    </row>
    <row r="1400" spans="1:7" x14ac:dyDescent="0.35">
      <c r="A1400" t="s">
        <v>6093</v>
      </c>
      <c r="B1400" t="s">
        <v>2559</v>
      </c>
      <c r="C1400" s="1">
        <v>45363</v>
      </c>
      <c r="D1400" s="1" t="str">
        <f>TEXT(Payments_Cleaned[[#This Row],[payment_date]],"mmm-yyyy")</f>
        <v>Mar-2024</v>
      </c>
      <c r="E1400" s="2">
        <v>537.20000000000005</v>
      </c>
      <c r="F1400" t="s">
        <v>4694</v>
      </c>
      <c r="G1400" s="2">
        <v>197.09</v>
      </c>
    </row>
    <row r="1401" spans="1:7" x14ac:dyDescent="0.35">
      <c r="A1401" t="s">
        <v>6094</v>
      </c>
      <c r="B1401" t="s">
        <v>2560</v>
      </c>
      <c r="C1401" s="1">
        <v>45684</v>
      </c>
      <c r="D1401" s="1" t="str">
        <f>TEXT(Payments_Cleaned[[#This Row],[payment_date]],"mmm-yyyy")</f>
        <v>Jan-2025</v>
      </c>
      <c r="E1401" s="2">
        <v>157.63</v>
      </c>
      <c r="F1401" t="s">
        <v>4694</v>
      </c>
      <c r="G1401" s="2">
        <v>42.94</v>
      </c>
    </row>
    <row r="1402" spans="1:7" x14ac:dyDescent="0.35">
      <c r="A1402" t="s">
        <v>6095</v>
      </c>
      <c r="B1402" t="s">
        <v>2563</v>
      </c>
      <c r="C1402" s="1">
        <v>45376</v>
      </c>
      <c r="D1402" s="1" t="str">
        <f>TEXT(Payments_Cleaned[[#This Row],[payment_date]],"mmm-yyyy")</f>
        <v>Mar-2024</v>
      </c>
      <c r="E1402" s="2">
        <v>527.42999999999995</v>
      </c>
      <c r="F1402" t="s">
        <v>4694</v>
      </c>
      <c r="G1402" s="2">
        <v>115.02</v>
      </c>
    </row>
    <row r="1403" spans="1:7" x14ac:dyDescent="0.35">
      <c r="A1403" t="s">
        <v>6096</v>
      </c>
      <c r="B1403" t="s">
        <v>2564</v>
      </c>
      <c r="C1403" s="1">
        <v>45466</v>
      </c>
      <c r="D1403" s="1" t="str">
        <f>TEXT(Payments_Cleaned[[#This Row],[payment_date]],"mmm-yyyy")</f>
        <v>Jun-2024</v>
      </c>
      <c r="E1403" s="2">
        <v>544.91999999999996</v>
      </c>
      <c r="F1403" t="s">
        <v>4694</v>
      </c>
      <c r="G1403" s="2">
        <v>85.25</v>
      </c>
    </row>
    <row r="1404" spans="1:7" x14ac:dyDescent="0.35">
      <c r="A1404" t="s">
        <v>6097</v>
      </c>
      <c r="B1404" t="s">
        <v>2565</v>
      </c>
      <c r="C1404" s="1">
        <v>45604</v>
      </c>
      <c r="D1404" s="1" t="str">
        <f>TEXT(Payments_Cleaned[[#This Row],[payment_date]],"mmm-yyyy")</f>
        <v>Nov-2024</v>
      </c>
      <c r="E1404" s="2">
        <v>1717.03</v>
      </c>
      <c r="F1404" t="s">
        <v>4694</v>
      </c>
      <c r="G1404" s="2">
        <v>226.3</v>
      </c>
    </row>
    <row r="1405" spans="1:7" x14ac:dyDescent="0.35">
      <c r="A1405" t="s">
        <v>6098</v>
      </c>
      <c r="B1405" t="s">
        <v>2566</v>
      </c>
      <c r="C1405" s="1">
        <v>45600</v>
      </c>
      <c r="D1405" s="1" t="str">
        <f>TEXT(Payments_Cleaned[[#This Row],[payment_date]],"mmm-yyyy")</f>
        <v>Nov-2024</v>
      </c>
      <c r="E1405" s="2">
        <v>1855.25</v>
      </c>
      <c r="F1405" t="s">
        <v>4694</v>
      </c>
      <c r="G1405" s="2">
        <v>796.27</v>
      </c>
    </row>
    <row r="1406" spans="1:7" x14ac:dyDescent="0.35">
      <c r="A1406" t="s">
        <v>6099</v>
      </c>
      <c r="B1406" t="s">
        <v>2567</v>
      </c>
      <c r="C1406" s="1">
        <v>45094</v>
      </c>
      <c r="D1406" s="1" t="str">
        <f>TEXT(Payments_Cleaned[[#This Row],[payment_date]],"mmm-yyyy")</f>
        <v>Jun-2023</v>
      </c>
      <c r="E1406" s="2">
        <v>209.27</v>
      </c>
      <c r="F1406" t="s">
        <v>4694</v>
      </c>
      <c r="G1406" s="2">
        <v>91.07</v>
      </c>
    </row>
    <row r="1407" spans="1:7" x14ac:dyDescent="0.35">
      <c r="A1407" t="s">
        <v>6100</v>
      </c>
      <c r="B1407" t="s">
        <v>2569</v>
      </c>
      <c r="C1407" s="1">
        <v>45673</v>
      </c>
      <c r="D1407" s="1" t="str">
        <f>TEXT(Payments_Cleaned[[#This Row],[payment_date]],"mmm-yyyy")</f>
        <v>Jan-2025</v>
      </c>
      <c r="E1407" s="2">
        <v>119.74</v>
      </c>
      <c r="F1407" t="s">
        <v>4694</v>
      </c>
      <c r="G1407" s="2">
        <v>64.430000000000007</v>
      </c>
    </row>
    <row r="1408" spans="1:7" x14ac:dyDescent="0.35">
      <c r="A1408" t="s">
        <v>6101</v>
      </c>
      <c r="B1408" t="s">
        <v>2571</v>
      </c>
      <c r="C1408" s="1">
        <v>45510</v>
      </c>
      <c r="D1408" s="1" t="str">
        <f>TEXT(Payments_Cleaned[[#This Row],[payment_date]],"mmm-yyyy")</f>
        <v>Aug-2024</v>
      </c>
      <c r="E1408" s="2">
        <v>107.32</v>
      </c>
      <c r="F1408" t="s">
        <v>4694</v>
      </c>
      <c r="G1408" s="2">
        <v>57.94</v>
      </c>
    </row>
    <row r="1409" spans="1:7" x14ac:dyDescent="0.35">
      <c r="A1409" t="s">
        <v>6102</v>
      </c>
      <c r="B1409" t="s">
        <v>2573</v>
      </c>
      <c r="C1409" s="1">
        <v>45156</v>
      </c>
      <c r="D1409" s="1" t="str">
        <f>TEXT(Payments_Cleaned[[#This Row],[payment_date]],"mmm-yyyy")</f>
        <v>Aug-2023</v>
      </c>
      <c r="E1409" s="2">
        <v>1049.94</v>
      </c>
      <c r="F1409" t="s">
        <v>4694</v>
      </c>
      <c r="G1409" s="2">
        <v>166.27</v>
      </c>
    </row>
    <row r="1410" spans="1:7" x14ac:dyDescent="0.35">
      <c r="A1410" t="s">
        <v>6103</v>
      </c>
      <c r="B1410" t="s">
        <v>2574</v>
      </c>
      <c r="C1410" s="1">
        <v>45640</v>
      </c>
      <c r="D1410" s="1" t="str">
        <f>TEXT(Payments_Cleaned[[#This Row],[payment_date]],"mmm-yyyy")</f>
        <v>Dec-2024</v>
      </c>
      <c r="E1410" s="2">
        <v>1209.8699999999999</v>
      </c>
      <c r="F1410" t="s">
        <v>4694</v>
      </c>
      <c r="G1410" s="2">
        <v>170.92</v>
      </c>
    </row>
    <row r="1411" spans="1:7" x14ac:dyDescent="0.35">
      <c r="A1411" t="s">
        <v>6104</v>
      </c>
      <c r="B1411" t="s">
        <v>2575</v>
      </c>
      <c r="C1411" s="1">
        <v>45213</v>
      </c>
      <c r="D1411" s="1" t="str">
        <f>TEXT(Payments_Cleaned[[#This Row],[payment_date]],"mmm-yyyy")</f>
        <v>Oct-2023</v>
      </c>
      <c r="E1411" s="2">
        <v>175.25</v>
      </c>
      <c r="F1411" t="s">
        <v>4694</v>
      </c>
      <c r="G1411" s="2">
        <v>14.23</v>
      </c>
    </row>
    <row r="1412" spans="1:7" x14ac:dyDescent="0.35">
      <c r="A1412" t="s">
        <v>6105</v>
      </c>
      <c r="B1412" t="s">
        <v>2576</v>
      </c>
      <c r="C1412" s="1">
        <v>45521</v>
      </c>
      <c r="D1412" s="1" t="str">
        <f>TEXT(Payments_Cleaned[[#This Row],[payment_date]],"mmm-yyyy")</f>
        <v>Aug-2024</v>
      </c>
      <c r="E1412" s="2">
        <v>511.14</v>
      </c>
      <c r="F1412" t="s">
        <v>4694</v>
      </c>
      <c r="G1412" s="2">
        <v>190.23</v>
      </c>
    </row>
    <row r="1413" spans="1:7" x14ac:dyDescent="0.35">
      <c r="A1413" t="s">
        <v>6106</v>
      </c>
      <c r="B1413" t="s">
        <v>2577</v>
      </c>
      <c r="C1413" s="1">
        <v>45084</v>
      </c>
      <c r="D1413" s="1" t="str">
        <f>TEXT(Payments_Cleaned[[#This Row],[payment_date]],"mmm-yyyy")</f>
        <v>Jun-2023</v>
      </c>
      <c r="E1413" s="2">
        <v>1084.3399999999999</v>
      </c>
      <c r="F1413" t="s">
        <v>4694</v>
      </c>
      <c r="G1413" s="2">
        <v>246.57</v>
      </c>
    </row>
    <row r="1414" spans="1:7" x14ac:dyDescent="0.35">
      <c r="A1414" t="s">
        <v>6107</v>
      </c>
      <c r="B1414" t="s">
        <v>2578</v>
      </c>
      <c r="C1414" s="1">
        <v>45101</v>
      </c>
      <c r="D1414" s="1" t="str">
        <f>TEXT(Payments_Cleaned[[#This Row],[payment_date]],"mmm-yyyy")</f>
        <v>Jun-2023</v>
      </c>
      <c r="E1414" s="2">
        <v>50.66</v>
      </c>
      <c r="F1414" t="s">
        <v>4694</v>
      </c>
      <c r="G1414" s="2">
        <v>8.5399999999999991</v>
      </c>
    </row>
    <row r="1415" spans="1:7" x14ac:dyDescent="0.35">
      <c r="A1415" t="s">
        <v>6108</v>
      </c>
      <c r="B1415" t="s">
        <v>2579</v>
      </c>
      <c r="C1415" s="1">
        <v>45073</v>
      </c>
      <c r="D1415" s="1" t="str">
        <f>TEXT(Payments_Cleaned[[#This Row],[payment_date]],"mmm-yyyy")</f>
        <v>May-2023</v>
      </c>
      <c r="E1415" s="2">
        <v>275.58999999999997</v>
      </c>
      <c r="F1415" t="s">
        <v>4694</v>
      </c>
      <c r="G1415" s="2">
        <v>17.79</v>
      </c>
    </row>
    <row r="1416" spans="1:7" x14ac:dyDescent="0.35">
      <c r="A1416" t="s">
        <v>6109</v>
      </c>
      <c r="B1416" t="s">
        <v>2580</v>
      </c>
      <c r="C1416" s="1">
        <v>45315</v>
      </c>
      <c r="D1416" s="1" t="str">
        <f>TEXT(Payments_Cleaned[[#This Row],[payment_date]],"mmm-yyyy")</f>
        <v>Jan-2024</v>
      </c>
      <c r="E1416" s="2">
        <v>1325.24</v>
      </c>
      <c r="F1416" t="s">
        <v>4694</v>
      </c>
      <c r="G1416" s="2">
        <v>56.07</v>
      </c>
    </row>
    <row r="1417" spans="1:7" x14ac:dyDescent="0.35">
      <c r="A1417" t="s">
        <v>6110</v>
      </c>
      <c r="B1417" t="s">
        <v>2582</v>
      </c>
      <c r="C1417" s="1">
        <v>45599</v>
      </c>
      <c r="D1417" s="1" t="str">
        <f>TEXT(Payments_Cleaned[[#This Row],[payment_date]],"mmm-yyyy")</f>
        <v>Nov-2024</v>
      </c>
      <c r="E1417" s="2">
        <v>325.36</v>
      </c>
      <c r="F1417" t="s">
        <v>4694</v>
      </c>
      <c r="G1417" s="2">
        <v>108.53</v>
      </c>
    </row>
    <row r="1418" spans="1:7" x14ac:dyDescent="0.35">
      <c r="A1418" t="s">
        <v>6111</v>
      </c>
      <c r="B1418" t="s">
        <v>2583</v>
      </c>
      <c r="C1418" s="1">
        <v>45535</v>
      </c>
      <c r="D1418" s="1" t="str">
        <f>TEXT(Payments_Cleaned[[#This Row],[payment_date]],"mmm-yyyy")</f>
        <v>Aug-2024</v>
      </c>
      <c r="E1418" s="2">
        <v>642.11</v>
      </c>
      <c r="F1418" t="s">
        <v>4694</v>
      </c>
      <c r="G1418" s="2">
        <v>338</v>
      </c>
    </row>
    <row r="1419" spans="1:7" x14ac:dyDescent="0.35">
      <c r="A1419" t="s">
        <v>6112</v>
      </c>
      <c r="B1419" t="s">
        <v>2584</v>
      </c>
      <c r="C1419" s="1">
        <v>45319</v>
      </c>
      <c r="D1419" s="1" t="str">
        <f>TEXT(Payments_Cleaned[[#This Row],[payment_date]],"mmm-yyyy")</f>
        <v>Jan-2024</v>
      </c>
      <c r="E1419" s="2">
        <v>2795.26</v>
      </c>
      <c r="F1419" t="s">
        <v>4694</v>
      </c>
      <c r="G1419" s="2">
        <v>1662.46</v>
      </c>
    </row>
    <row r="1420" spans="1:7" x14ac:dyDescent="0.35">
      <c r="A1420" t="s">
        <v>6113</v>
      </c>
      <c r="B1420" t="s">
        <v>2585</v>
      </c>
      <c r="C1420" s="1">
        <v>45468</v>
      </c>
      <c r="D1420" s="1" t="str">
        <f>TEXT(Payments_Cleaned[[#This Row],[payment_date]],"mmm-yyyy")</f>
        <v>Jun-2024</v>
      </c>
      <c r="E1420" s="2">
        <v>481.79</v>
      </c>
      <c r="F1420" t="s">
        <v>4694</v>
      </c>
      <c r="G1420" s="2">
        <v>228.05</v>
      </c>
    </row>
    <row r="1421" spans="1:7" x14ac:dyDescent="0.35">
      <c r="A1421" t="s">
        <v>6114</v>
      </c>
      <c r="B1421" t="s">
        <v>2588</v>
      </c>
      <c r="C1421" s="1">
        <v>45246</v>
      </c>
      <c r="D1421" s="1" t="str">
        <f>TEXT(Payments_Cleaned[[#This Row],[payment_date]],"mmm-yyyy")</f>
        <v>Nov-2023</v>
      </c>
      <c r="E1421" s="2">
        <v>6170.84</v>
      </c>
      <c r="F1421" t="s">
        <v>4694</v>
      </c>
      <c r="G1421" s="2">
        <v>1922.29</v>
      </c>
    </row>
    <row r="1422" spans="1:7" x14ac:dyDescent="0.35">
      <c r="A1422" t="s">
        <v>6115</v>
      </c>
      <c r="B1422" t="s">
        <v>2590</v>
      </c>
      <c r="C1422" s="1">
        <v>44963</v>
      </c>
      <c r="D1422" s="1" t="str">
        <f>TEXT(Payments_Cleaned[[#This Row],[payment_date]],"mmm-yyyy")</f>
        <v>Feb-2023</v>
      </c>
      <c r="E1422" s="2">
        <v>652.28</v>
      </c>
      <c r="F1422" t="s">
        <v>4694</v>
      </c>
      <c r="G1422" s="2">
        <v>188.95</v>
      </c>
    </row>
    <row r="1423" spans="1:7" x14ac:dyDescent="0.35">
      <c r="A1423" t="s">
        <v>6116</v>
      </c>
      <c r="B1423" t="s">
        <v>2591</v>
      </c>
      <c r="C1423" s="1">
        <v>45169</v>
      </c>
      <c r="D1423" s="1" t="str">
        <f>TEXT(Payments_Cleaned[[#This Row],[payment_date]],"mmm-yyyy")</f>
        <v>Aug-2023</v>
      </c>
      <c r="E1423" s="2">
        <v>596.35</v>
      </c>
      <c r="F1423" t="s">
        <v>4694</v>
      </c>
      <c r="G1423" s="2">
        <v>69.81</v>
      </c>
    </row>
    <row r="1424" spans="1:7" x14ac:dyDescent="0.35">
      <c r="A1424" t="s">
        <v>6117</v>
      </c>
      <c r="B1424" t="s">
        <v>2592</v>
      </c>
      <c r="C1424" s="1">
        <v>45292</v>
      </c>
      <c r="D1424" s="1" t="str">
        <f>TEXT(Payments_Cleaned[[#This Row],[payment_date]],"mmm-yyyy")</f>
        <v>Jan-2024</v>
      </c>
      <c r="E1424" s="2">
        <v>36.44</v>
      </c>
      <c r="F1424" t="s">
        <v>4694</v>
      </c>
      <c r="G1424" s="2">
        <v>16.75</v>
      </c>
    </row>
    <row r="1425" spans="1:7" x14ac:dyDescent="0.35">
      <c r="A1425" t="s">
        <v>6118</v>
      </c>
      <c r="B1425" t="s">
        <v>2593</v>
      </c>
      <c r="C1425" s="1">
        <v>45132</v>
      </c>
      <c r="D1425" s="1" t="str">
        <f>TEXT(Payments_Cleaned[[#This Row],[payment_date]],"mmm-yyyy")</f>
        <v>Jul-2023</v>
      </c>
      <c r="E1425" s="2">
        <v>117.7</v>
      </c>
      <c r="F1425" t="s">
        <v>4694</v>
      </c>
      <c r="G1425" s="2">
        <v>17.91</v>
      </c>
    </row>
    <row r="1426" spans="1:7" x14ac:dyDescent="0.35">
      <c r="A1426" t="s">
        <v>6119</v>
      </c>
      <c r="B1426" t="s">
        <v>2594</v>
      </c>
      <c r="C1426" s="1">
        <v>45410</v>
      </c>
      <c r="D1426" s="1" t="str">
        <f>TEXT(Payments_Cleaned[[#This Row],[payment_date]],"mmm-yyyy")</f>
        <v>Apr-2024</v>
      </c>
      <c r="E1426" s="2">
        <v>902.48</v>
      </c>
      <c r="F1426" t="s">
        <v>4694</v>
      </c>
      <c r="G1426" s="2">
        <v>68.14</v>
      </c>
    </row>
    <row r="1427" spans="1:7" x14ac:dyDescent="0.35">
      <c r="A1427" t="s">
        <v>6120</v>
      </c>
      <c r="B1427" t="s">
        <v>2595</v>
      </c>
      <c r="C1427" s="1">
        <v>45297</v>
      </c>
      <c r="D1427" s="1" t="str">
        <f>TEXT(Payments_Cleaned[[#This Row],[payment_date]],"mmm-yyyy")</f>
        <v>Jan-2024</v>
      </c>
      <c r="E1427" s="2">
        <v>5531.4</v>
      </c>
      <c r="F1427" t="s">
        <v>4694</v>
      </c>
      <c r="G1427" s="2">
        <v>1212.56</v>
      </c>
    </row>
    <row r="1428" spans="1:7" x14ac:dyDescent="0.35">
      <c r="A1428" t="s">
        <v>6121</v>
      </c>
      <c r="B1428" t="s">
        <v>2596</v>
      </c>
      <c r="C1428" s="1">
        <v>45436</v>
      </c>
      <c r="D1428" s="1" t="str">
        <f>TEXT(Payments_Cleaned[[#This Row],[payment_date]],"mmm-yyyy")</f>
        <v>May-2024</v>
      </c>
      <c r="E1428" s="2">
        <v>1896.92</v>
      </c>
      <c r="F1428" t="s">
        <v>4694</v>
      </c>
      <c r="G1428" s="2">
        <v>823.64</v>
      </c>
    </row>
    <row r="1429" spans="1:7" x14ac:dyDescent="0.35">
      <c r="A1429" t="s">
        <v>6122</v>
      </c>
      <c r="B1429" t="s">
        <v>2598</v>
      </c>
      <c r="C1429" s="1">
        <v>45055</v>
      </c>
      <c r="D1429" s="1" t="str">
        <f>TEXT(Payments_Cleaned[[#This Row],[payment_date]],"mmm-yyyy")</f>
        <v>May-2023</v>
      </c>
      <c r="E1429" s="2">
        <v>654.77</v>
      </c>
      <c r="F1429" t="s">
        <v>4694</v>
      </c>
      <c r="G1429" s="2">
        <v>344.57</v>
      </c>
    </row>
    <row r="1430" spans="1:7" x14ac:dyDescent="0.35">
      <c r="A1430" t="s">
        <v>6123</v>
      </c>
      <c r="B1430" t="s">
        <v>2599</v>
      </c>
      <c r="C1430" s="1">
        <v>45195</v>
      </c>
      <c r="D1430" s="1" t="str">
        <f>TEXT(Payments_Cleaned[[#This Row],[payment_date]],"mmm-yyyy")</f>
        <v>Sep-2023</v>
      </c>
      <c r="E1430" s="2">
        <v>1373.74</v>
      </c>
      <c r="F1430" t="s">
        <v>4694</v>
      </c>
      <c r="G1430" s="2">
        <v>234.06</v>
      </c>
    </row>
    <row r="1431" spans="1:7" x14ac:dyDescent="0.35">
      <c r="A1431" t="s">
        <v>6124</v>
      </c>
      <c r="B1431" t="s">
        <v>2602</v>
      </c>
      <c r="C1431" s="1">
        <v>45388</v>
      </c>
      <c r="D1431" s="1" t="str">
        <f>TEXT(Payments_Cleaned[[#This Row],[payment_date]],"mmm-yyyy")</f>
        <v>Apr-2024</v>
      </c>
      <c r="E1431" s="2">
        <v>1233.43</v>
      </c>
      <c r="F1431" t="s">
        <v>4694</v>
      </c>
      <c r="G1431" s="2">
        <v>392.17</v>
      </c>
    </row>
    <row r="1432" spans="1:7" x14ac:dyDescent="0.35">
      <c r="A1432" t="s">
        <v>6125</v>
      </c>
      <c r="B1432" t="s">
        <v>2603</v>
      </c>
      <c r="C1432" s="1">
        <v>45208</v>
      </c>
      <c r="D1432" s="1" t="str">
        <f>TEXT(Payments_Cleaned[[#This Row],[payment_date]],"mmm-yyyy")</f>
        <v>Oct-2023</v>
      </c>
      <c r="E1432" s="2">
        <v>36.24</v>
      </c>
      <c r="F1432" t="s">
        <v>4694</v>
      </c>
      <c r="G1432" s="2">
        <v>17.87</v>
      </c>
    </row>
    <row r="1433" spans="1:7" x14ac:dyDescent="0.35">
      <c r="A1433" t="s">
        <v>6126</v>
      </c>
      <c r="B1433" t="s">
        <v>2604</v>
      </c>
      <c r="C1433" s="1">
        <v>45275</v>
      </c>
      <c r="D1433" s="1" t="str">
        <f>TEXT(Payments_Cleaned[[#This Row],[payment_date]],"mmm-yyyy")</f>
        <v>Dec-2023</v>
      </c>
      <c r="E1433" s="2">
        <v>674.12</v>
      </c>
      <c r="F1433" t="s">
        <v>4694</v>
      </c>
      <c r="G1433" s="2">
        <v>220.48</v>
      </c>
    </row>
    <row r="1434" spans="1:7" x14ac:dyDescent="0.35">
      <c r="A1434" t="s">
        <v>6127</v>
      </c>
      <c r="B1434" t="s">
        <v>2605</v>
      </c>
      <c r="C1434" s="1">
        <v>45259</v>
      </c>
      <c r="D1434" s="1" t="str">
        <f>TEXT(Payments_Cleaned[[#This Row],[payment_date]],"mmm-yyyy")</f>
        <v>Nov-2023</v>
      </c>
      <c r="E1434" s="2">
        <v>654.66999999999996</v>
      </c>
      <c r="F1434" t="s">
        <v>4694</v>
      </c>
      <c r="G1434" s="2">
        <v>224.19</v>
      </c>
    </row>
    <row r="1435" spans="1:7" x14ac:dyDescent="0.35">
      <c r="A1435" t="s">
        <v>6128</v>
      </c>
      <c r="B1435" t="s">
        <v>2606</v>
      </c>
      <c r="C1435" s="1">
        <v>45595</v>
      </c>
      <c r="D1435" s="1" t="str">
        <f>TEXT(Payments_Cleaned[[#This Row],[payment_date]],"mmm-yyyy")</f>
        <v>Oct-2024</v>
      </c>
      <c r="E1435" s="2">
        <v>599.17999999999995</v>
      </c>
      <c r="F1435" t="s">
        <v>4694</v>
      </c>
      <c r="G1435" s="2">
        <v>56.79</v>
      </c>
    </row>
    <row r="1436" spans="1:7" x14ac:dyDescent="0.35">
      <c r="A1436" t="s">
        <v>6129</v>
      </c>
      <c r="B1436" t="s">
        <v>2607</v>
      </c>
      <c r="C1436" s="1">
        <v>45259</v>
      </c>
      <c r="D1436" s="1" t="str">
        <f>TEXT(Payments_Cleaned[[#This Row],[payment_date]],"mmm-yyyy")</f>
        <v>Nov-2023</v>
      </c>
      <c r="E1436" s="2">
        <v>6991.88</v>
      </c>
      <c r="F1436" t="s">
        <v>4694</v>
      </c>
      <c r="G1436" s="2">
        <v>361.84</v>
      </c>
    </row>
    <row r="1437" spans="1:7" x14ac:dyDescent="0.35">
      <c r="A1437" t="s">
        <v>6130</v>
      </c>
      <c r="B1437" t="s">
        <v>2613</v>
      </c>
      <c r="C1437" s="1">
        <v>45405</v>
      </c>
      <c r="D1437" s="1" t="str">
        <f>TEXT(Payments_Cleaned[[#This Row],[payment_date]],"mmm-yyyy")</f>
        <v>Apr-2024</v>
      </c>
      <c r="E1437" s="2">
        <v>388.99</v>
      </c>
      <c r="F1437" t="s">
        <v>4694</v>
      </c>
      <c r="G1437" s="2">
        <v>105.64</v>
      </c>
    </row>
    <row r="1438" spans="1:7" x14ac:dyDescent="0.35">
      <c r="A1438" t="s">
        <v>6131</v>
      </c>
      <c r="B1438" t="s">
        <v>2615</v>
      </c>
      <c r="C1438" s="1">
        <v>45270</v>
      </c>
      <c r="D1438" s="1" t="str">
        <f>TEXT(Payments_Cleaned[[#This Row],[payment_date]],"mmm-yyyy")</f>
        <v>Dec-2023</v>
      </c>
      <c r="E1438" s="2">
        <v>1990.26</v>
      </c>
      <c r="F1438" t="s">
        <v>4694</v>
      </c>
      <c r="G1438" s="2">
        <v>554.86</v>
      </c>
    </row>
    <row r="1439" spans="1:7" x14ac:dyDescent="0.35">
      <c r="A1439" t="s">
        <v>6132</v>
      </c>
      <c r="B1439" t="s">
        <v>2616</v>
      </c>
      <c r="C1439" s="1">
        <v>45056</v>
      </c>
      <c r="D1439" s="1" t="str">
        <f>TEXT(Payments_Cleaned[[#This Row],[payment_date]],"mmm-yyyy")</f>
        <v>May-2023</v>
      </c>
      <c r="E1439" s="2">
        <v>2270.16</v>
      </c>
      <c r="F1439" t="s">
        <v>4694</v>
      </c>
      <c r="G1439" s="2">
        <v>1383.37</v>
      </c>
    </row>
    <row r="1440" spans="1:7" x14ac:dyDescent="0.35">
      <c r="A1440" t="s">
        <v>6133</v>
      </c>
      <c r="B1440" t="s">
        <v>2617</v>
      </c>
      <c r="C1440" s="1">
        <v>45161</v>
      </c>
      <c r="D1440" s="1" t="str">
        <f>TEXT(Payments_Cleaned[[#This Row],[payment_date]],"mmm-yyyy")</f>
        <v>Aug-2023</v>
      </c>
      <c r="E1440" s="2">
        <v>5653.41</v>
      </c>
      <c r="F1440" t="s">
        <v>4694</v>
      </c>
      <c r="G1440" s="2">
        <v>1004.51</v>
      </c>
    </row>
    <row r="1441" spans="1:7" x14ac:dyDescent="0.35">
      <c r="A1441" t="s">
        <v>6134</v>
      </c>
      <c r="B1441" t="s">
        <v>2618</v>
      </c>
      <c r="C1441" s="1">
        <v>45519</v>
      </c>
      <c r="D1441" s="1" t="str">
        <f>TEXT(Payments_Cleaned[[#This Row],[payment_date]],"mmm-yyyy")</f>
        <v>Aug-2024</v>
      </c>
      <c r="E1441" s="2">
        <v>4869.67</v>
      </c>
      <c r="F1441" t="s">
        <v>4694</v>
      </c>
      <c r="G1441" s="2">
        <v>1906.63</v>
      </c>
    </row>
    <row r="1442" spans="1:7" x14ac:dyDescent="0.35">
      <c r="A1442" t="s">
        <v>6135</v>
      </c>
      <c r="B1442" t="s">
        <v>2621</v>
      </c>
      <c r="C1442" s="1">
        <v>45498</v>
      </c>
      <c r="D1442" s="1" t="str">
        <f>TEXT(Payments_Cleaned[[#This Row],[payment_date]],"mmm-yyyy")</f>
        <v>Jul-2024</v>
      </c>
      <c r="E1442" s="2">
        <v>373.56</v>
      </c>
      <c r="F1442" t="s">
        <v>4694</v>
      </c>
      <c r="G1442" s="2">
        <v>62.53</v>
      </c>
    </row>
    <row r="1443" spans="1:7" x14ac:dyDescent="0.35">
      <c r="A1443" t="s">
        <v>6136</v>
      </c>
      <c r="B1443" t="s">
        <v>2622</v>
      </c>
      <c r="C1443" s="1">
        <v>45204</v>
      </c>
      <c r="D1443" s="1" t="str">
        <f>TEXT(Payments_Cleaned[[#This Row],[payment_date]],"mmm-yyyy")</f>
        <v>Oct-2023</v>
      </c>
      <c r="E1443" s="2">
        <v>3137.73</v>
      </c>
      <c r="F1443" t="s">
        <v>4694</v>
      </c>
      <c r="G1443" s="2">
        <v>1373.09</v>
      </c>
    </row>
    <row r="1444" spans="1:7" x14ac:dyDescent="0.35">
      <c r="A1444" t="s">
        <v>6137</v>
      </c>
      <c r="B1444" t="s">
        <v>2623</v>
      </c>
      <c r="C1444" s="1">
        <v>45353</v>
      </c>
      <c r="D1444" s="1" t="str">
        <f>TEXT(Payments_Cleaned[[#This Row],[payment_date]],"mmm-yyyy")</f>
        <v>Mar-2024</v>
      </c>
      <c r="E1444" s="2">
        <v>628.62</v>
      </c>
      <c r="F1444" t="s">
        <v>4694</v>
      </c>
      <c r="G1444" s="2">
        <v>129.12</v>
      </c>
    </row>
    <row r="1445" spans="1:7" x14ac:dyDescent="0.35">
      <c r="A1445" t="s">
        <v>6138</v>
      </c>
      <c r="B1445" t="s">
        <v>2624</v>
      </c>
      <c r="C1445" s="1">
        <v>45187</v>
      </c>
      <c r="D1445" s="1" t="str">
        <f>TEXT(Payments_Cleaned[[#This Row],[payment_date]],"mmm-yyyy")</f>
        <v>Sep-2023</v>
      </c>
      <c r="E1445" s="2">
        <v>398.97</v>
      </c>
      <c r="F1445" t="s">
        <v>4694</v>
      </c>
      <c r="G1445" s="2">
        <v>30.48</v>
      </c>
    </row>
    <row r="1446" spans="1:7" x14ac:dyDescent="0.35">
      <c r="A1446" t="s">
        <v>6139</v>
      </c>
      <c r="B1446" t="s">
        <v>2626</v>
      </c>
      <c r="C1446" s="1">
        <v>45590</v>
      </c>
      <c r="D1446" s="1" t="str">
        <f>TEXT(Payments_Cleaned[[#This Row],[payment_date]],"mmm-yyyy")</f>
        <v>Oct-2024</v>
      </c>
      <c r="E1446" s="2">
        <v>2509.6799999999998</v>
      </c>
      <c r="F1446" t="s">
        <v>4694</v>
      </c>
      <c r="G1446" s="2">
        <v>794.84</v>
      </c>
    </row>
    <row r="1447" spans="1:7" x14ac:dyDescent="0.35">
      <c r="A1447" t="s">
        <v>6140</v>
      </c>
      <c r="B1447" t="s">
        <v>2628</v>
      </c>
      <c r="C1447" s="1">
        <v>45341</v>
      </c>
      <c r="D1447" s="1" t="str">
        <f>TEXT(Payments_Cleaned[[#This Row],[payment_date]],"mmm-yyyy")</f>
        <v>Feb-2024</v>
      </c>
      <c r="E1447" s="2">
        <v>1284.01</v>
      </c>
      <c r="F1447" t="s">
        <v>4694</v>
      </c>
      <c r="G1447" s="2">
        <v>717.11</v>
      </c>
    </row>
    <row r="1448" spans="1:7" x14ac:dyDescent="0.35">
      <c r="A1448" t="s">
        <v>6141</v>
      </c>
      <c r="B1448" t="s">
        <v>2629</v>
      </c>
      <c r="C1448" s="1">
        <v>45093</v>
      </c>
      <c r="D1448" s="1" t="str">
        <f>TEXT(Payments_Cleaned[[#This Row],[payment_date]],"mmm-yyyy")</f>
        <v>Jun-2023</v>
      </c>
      <c r="E1448" s="2">
        <v>376.19</v>
      </c>
      <c r="F1448" t="s">
        <v>4694</v>
      </c>
      <c r="G1448" s="2">
        <v>19.600000000000001</v>
      </c>
    </row>
    <row r="1449" spans="1:7" x14ac:dyDescent="0.35">
      <c r="A1449" t="s">
        <v>6142</v>
      </c>
      <c r="B1449" t="s">
        <v>2630</v>
      </c>
      <c r="C1449" s="1">
        <v>44995</v>
      </c>
      <c r="D1449" s="1" t="str">
        <f>TEXT(Payments_Cleaned[[#This Row],[payment_date]],"mmm-yyyy")</f>
        <v>Mar-2023</v>
      </c>
      <c r="E1449" s="2">
        <v>4964.7299999999996</v>
      </c>
      <c r="F1449" t="s">
        <v>4694</v>
      </c>
      <c r="G1449" s="2">
        <v>238.41</v>
      </c>
    </row>
    <row r="1450" spans="1:7" x14ac:dyDescent="0.35">
      <c r="A1450" t="s">
        <v>6143</v>
      </c>
      <c r="B1450" t="s">
        <v>2631</v>
      </c>
      <c r="C1450" s="1">
        <v>45642</v>
      </c>
      <c r="D1450" s="1" t="str">
        <f>TEXT(Payments_Cleaned[[#This Row],[payment_date]],"mmm-yyyy")</f>
        <v>Dec-2024</v>
      </c>
      <c r="E1450" s="2">
        <v>3029.18</v>
      </c>
      <c r="F1450" t="s">
        <v>4694</v>
      </c>
      <c r="G1450" s="2">
        <v>1234.32</v>
      </c>
    </row>
    <row r="1451" spans="1:7" x14ac:dyDescent="0.35">
      <c r="A1451" t="s">
        <v>6144</v>
      </c>
      <c r="B1451" t="s">
        <v>2632</v>
      </c>
      <c r="C1451" s="1">
        <v>45025</v>
      </c>
      <c r="D1451" s="1" t="str">
        <f>TEXT(Payments_Cleaned[[#This Row],[payment_date]],"mmm-yyyy")</f>
        <v>Apr-2023</v>
      </c>
      <c r="E1451" s="2">
        <v>3673.48</v>
      </c>
      <c r="F1451" t="s">
        <v>4694</v>
      </c>
      <c r="G1451" s="2">
        <v>1044.28</v>
      </c>
    </row>
    <row r="1452" spans="1:7" x14ac:dyDescent="0.35">
      <c r="A1452" t="s">
        <v>6145</v>
      </c>
      <c r="B1452" t="s">
        <v>2635</v>
      </c>
      <c r="C1452" s="1">
        <v>45475</v>
      </c>
      <c r="D1452" s="1" t="str">
        <f>TEXT(Payments_Cleaned[[#This Row],[payment_date]],"mmm-yyyy")</f>
        <v>Jul-2024</v>
      </c>
      <c r="E1452" s="2">
        <v>353.18</v>
      </c>
      <c r="F1452" t="s">
        <v>4694</v>
      </c>
      <c r="G1452" s="2">
        <v>17.62</v>
      </c>
    </row>
    <row r="1453" spans="1:7" x14ac:dyDescent="0.35">
      <c r="A1453" t="s">
        <v>6146</v>
      </c>
      <c r="B1453" t="s">
        <v>2636</v>
      </c>
      <c r="C1453" s="1">
        <v>45581</v>
      </c>
      <c r="D1453" s="1" t="str">
        <f>TEXT(Payments_Cleaned[[#This Row],[payment_date]],"mmm-yyyy")</f>
        <v>Oct-2024</v>
      </c>
      <c r="E1453" s="2">
        <v>1174.47</v>
      </c>
      <c r="F1453" t="s">
        <v>4694</v>
      </c>
      <c r="G1453" s="2">
        <v>250.12</v>
      </c>
    </row>
    <row r="1454" spans="1:7" x14ac:dyDescent="0.35">
      <c r="A1454" t="s">
        <v>6147</v>
      </c>
      <c r="B1454" t="s">
        <v>2637</v>
      </c>
      <c r="C1454" s="1">
        <v>45311</v>
      </c>
      <c r="D1454" s="1" t="str">
        <f>TEXT(Payments_Cleaned[[#This Row],[payment_date]],"mmm-yyyy")</f>
        <v>Jan-2024</v>
      </c>
      <c r="E1454" s="2">
        <v>116.26</v>
      </c>
      <c r="F1454" t="s">
        <v>4694</v>
      </c>
      <c r="G1454" s="2">
        <v>27.61</v>
      </c>
    </row>
    <row r="1455" spans="1:7" x14ac:dyDescent="0.35">
      <c r="A1455" t="s">
        <v>6148</v>
      </c>
      <c r="B1455" t="s">
        <v>2638</v>
      </c>
      <c r="C1455" s="1">
        <v>45366</v>
      </c>
      <c r="D1455" s="1" t="str">
        <f>TEXT(Payments_Cleaned[[#This Row],[payment_date]],"mmm-yyyy")</f>
        <v>Mar-2024</v>
      </c>
      <c r="E1455" s="2">
        <v>36.1</v>
      </c>
      <c r="F1455" t="s">
        <v>4694</v>
      </c>
      <c r="G1455" s="2">
        <v>11.91</v>
      </c>
    </row>
    <row r="1456" spans="1:7" x14ac:dyDescent="0.35">
      <c r="A1456" t="s">
        <v>6149</v>
      </c>
      <c r="B1456" t="s">
        <v>2639</v>
      </c>
      <c r="C1456" s="1">
        <v>45442</v>
      </c>
      <c r="D1456" s="1" t="str">
        <f>TEXT(Payments_Cleaned[[#This Row],[payment_date]],"mmm-yyyy")</f>
        <v>May-2024</v>
      </c>
      <c r="E1456" s="2">
        <v>225.81</v>
      </c>
      <c r="F1456" t="s">
        <v>4694</v>
      </c>
      <c r="G1456" s="2">
        <v>72.64</v>
      </c>
    </row>
    <row r="1457" spans="1:7" x14ac:dyDescent="0.35">
      <c r="A1457" t="s">
        <v>6150</v>
      </c>
      <c r="B1457" t="s">
        <v>2640</v>
      </c>
      <c r="C1457" s="1">
        <v>45327</v>
      </c>
      <c r="D1457" s="1" t="str">
        <f>TEXT(Payments_Cleaned[[#This Row],[payment_date]],"mmm-yyyy")</f>
        <v>Feb-2024</v>
      </c>
      <c r="E1457" s="2">
        <v>232.64</v>
      </c>
      <c r="F1457" t="s">
        <v>4694</v>
      </c>
      <c r="G1457" s="2">
        <v>67.349999999999994</v>
      </c>
    </row>
    <row r="1458" spans="1:7" x14ac:dyDescent="0.35">
      <c r="A1458" t="s">
        <v>6151</v>
      </c>
      <c r="B1458" t="s">
        <v>2646</v>
      </c>
      <c r="C1458" s="1">
        <v>45627</v>
      </c>
      <c r="D1458" s="1" t="str">
        <f>TEXT(Payments_Cleaned[[#This Row],[payment_date]],"mmm-yyyy")</f>
        <v>Dec-2024</v>
      </c>
      <c r="E1458" s="2">
        <v>502.4</v>
      </c>
      <c r="F1458" t="s">
        <v>4694</v>
      </c>
      <c r="G1458" s="2">
        <v>225.07</v>
      </c>
    </row>
    <row r="1459" spans="1:7" x14ac:dyDescent="0.35">
      <c r="A1459" t="s">
        <v>6152</v>
      </c>
      <c r="B1459" t="s">
        <v>2647</v>
      </c>
      <c r="C1459" s="1">
        <v>45390</v>
      </c>
      <c r="D1459" s="1" t="str">
        <f>TEXT(Payments_Cleaned[[#This Row],[payment_date]],"mmm-yyyy")</f>
        <v>Apr-2024</v>
      </c>
      <c r="E1459" s="2">
        <v>394.97</v>
      </c>
      <c r="F1459" t="s">
        <v>4694</v>
      </c>
      <c r="G1459" s="2">
        <v>144.66</v>
      </c>
    </row>
    <row r="1460" spans="1:7" x14ac:dyDescent="0.35">
      <c r="A1460" t="s">
        <v>6153</v>
      </c>
      <c r="B1460" t="s">
        <v>2649</v>
      </c>
      <c r="C1460" s="1">
        <v>45646</v>
      </c>
      <c r="D1460" s="1" t="str">
        <f>TEXT(Payments_Cleaned[[#This Row],[payment_date]],"mmm-yyyy")</f>
        <v>Dec-2024</v>
      </c>
      <c r="E1460" s="2">
        <v>78.06</v>
      </c>
      <c r="F1460" t="s">
        <v>4697</v>
      </c>
      <c r="G1460" s="2">
        <v>31.65</v>
      </c>
    </row>
    <row r="1461" spans="1:7" x14ac:dyDescent="0.35">
      <c r="A1461" t="s">
        <v>6154</v>
      </c>
      <c r="B1461" t="s">
        <v>2650</v>
      </c>
      <c r="C1461" s="1">
        <v>45497</v>
      </c>
      <c r="D1461" s="1" t="str">
        <f>TEXT(Payments_Cleaned[[#This Row],[payment_date]],"mmm-yyyy")</f>
        <v>Jul-2024</v>
      </c>
      <c r="E1461" s="2">
        <v>275.47000000000003</v>
      </c>
      <c r="F1461" t="s">
        <v>4694</v>
      </c>
      <c r="G1461" s="2">
        <v>130.44</v>
      </c>
    </row>
    <row r="1462" spans="1:7" x14ac:dyDescent="0.35">
      <c r="A1462" t="s">
        <v>6155</v>
      </c>
      <c r="B1462" t="s">
        <v>2651</v>
      </c>
      <c r="C1462" s="1">
        <v>45027</v>
      </c>
      <c r="D1462" s="1" t="str">
        <f>TEXT(Payments_Cleaned[[#This Row],[payment_date]],"mmm-yyyy")</f>
        <v>Apr-2023</v>
      </c>
      <c r="E1462" s="2">
        <v>1123.0999999999999</v>
      </c>
      <c r="F1462" t="s">
        <v>4694</v>
      </c>
      <c r="G1462" s="2">
        <v>137.22</v>
      </c>
    </row>
    <row r="1463" spans="1:7" x14ac:dyDescent="0.35">
      <c r="A1463" t="s">
        <v>6156</v>
      </c>
      <c r="B1463" t="s">
        <v>2653</v>
      </c>
      <c r="C1463" s="1">
        <v>45637</v>
      </c>
      <c r="D1463" s="1" t="str">
        <f>TEXT(Payments_Cleaned[[#This Row],[payment_date]],"mmm-yyyy")</f>
        <v>Dec-2024</v>
      </c>
      <c r="E1463" s="2">
        <v>3291.8</v>
      </c>
      <c r="F1463" t="s">
        <v>4694</v>
      </c>
      <c r="G1463" s="2">
        <v>1407.6</v>
      </c>
    </row>
    <row r="1464" spans="1:7" x14ac:dyDescent="0.35">
      <c r="A1464" t="s">
        <v>6157</v>
      </c>
      <c r="B1464" t="s">
        <v>2654</v>
      </c>
      <c r="C1464" s="1">
        <v>45412</v>
      </c>
      <c r="D1464" s="1" t="str">
        <f>TEXT(Payments_Cleaned[[#This Row],[payment_date]],"mmm-yyyy")</f>
        <v>Apr-2024</v>
      </c>
      <c r="E1464" s="2">
        <v>134.68</v>
      </c>
      <c r="F1464" t="s">
        <v>4694</v>
      </c>
      <c r="G1464" s="2">
        <v>35.82</v>
      </c>
    </row>
    <row r="1465" spans="1:7" x14ac:dyDescent="0.35">
      <c r="A1465" t="s">
        <v>6158</v>
      </c>
      <c r="B1465" t="s">
        <v>2655</v>
      </c>
      <c r="C1465" s="1">
        <v>45345</v>
      </c>
      <c r="D1465" s="1" t="str">
        <f>TEXT(Payments_Cleaned[[#This Row],[payment_date]],"mmm-yyyy")</f>
        <v>Feb-2024</v>
      </c>
      <c r="E1465" s="2">
        <v>282.55</v>
      </c>
      <c r="F1465" t="s">
        <v>4694</v>
      </c>
      <c r="G1465" s="2">
        <v>61.17</v>
      </c>
    </row>
    <row r="1466" spans="1:7" x14ac:dyDescent="0.35">
      <c r="A1466" t="s">
        <v>6159</v>
      </c>
      <c r="B1466" t="s">
        <v>2657</v>
      </c>
      <c r="C1466" s="1">
        <v>45164</v>
      </c>
      <c r="D1466" s="1" t="str">
        <f>TEXT(Payments_Cleaned[[#This Row],[payment_date]],"mmm-yyyy")</f>
        <v>Aug-2023</v>
      </c>
      <c r="E1466" s="2">
        <v>105.42</v>
      </c>
      <c r="F1466" t="s">
        <v>4694</v>
      </c>
      <c r="G1466" s="2">
        <v>33.18</v>
      </c>
    </row>
    <row r="1467" spans="1:7" x14ac:dyDescent="0.35">
      <c r="A1467" t="s">
        <v>6160</v>
      </c>
      <c r="B1467" t="s">
        <v>2658</v>
      </c>
      <c r="C1467" s="1">
        <v>45590</v>
      </c>
      <c r="D1467" s="1" t="str">
        <f>TEXT(Payments_Cleaned[[#This Row],[payment_date]],"mmm-yyyy")</f>
        <v>Oct-2024</v>
      </c>
      <c r="E1467" s="2">
        <v>129.44999999999999</v>
      </c>
      <c r="F1467" t="s">
        <v>4694</v>
      </c>
      <c r="G1467" s="2">
        <v>32.549999999999997</v>
      </c>
    </row>
    <row r="1468" spans="1:7" x14ac:dyDescent="0.35">
      <c r="A1468" t="s">
        <v>6161</v>
      </c>
      <c r="B1468" t="s">
        <v>2659</v>
      </c>
      <c r="C1468" s="1">
        <v>45505</v>
      </c>
      <c r="D1468" s="1" t="str">
        <f>TEXT(Payments_Cleaned[[#This Row],[payment_date]],"mmm-yyyy")</f>
        <v>Aug-2024</v>
      </c>
      <c r="E1468" s="2">
        <v>731.07</v>
      </c>
      <c r="F1468" t="s">
        <v>4694</v>
      </c>
      <c r="G1468" s="2">
        <v>379.42</v>
      </c>
    </row>
    <row r="1469" spans="1:7" x14ac:dyDescent="0.35">
      <c r="A1469" t="s">
        <v>6162</v>
      </c>
      <c r="B1469" t="s">
        <v>2660</v>
      </c>
      <c r="C1469" s="1">
        <v>45462</v>
      </c>
      <c r="D1469" s="1" t="str">
        <f>TEXT(Payments_Cleaned[[#This Row],[payment_date]],"mmm-yyyy")</f>
        <v>Jun-2024</v>
      </c>
      <c r="E1469" s="2">
        <v>844.42</v>
      </c>
      <c r="F1469" t="s">
        <v>4697</v>
      </c>
      <c r="G1469" s="2">
        <v>44.31</v>
      </c>
    </row>
    <row r="1470" spans="1:7" x14ac:dyDescent="0.35">
      <c r="A1470" t="s">
        <v>6163</v>
      </c>
      <c r="B1470" t="s">
        <v>2661</v>
      </c>
      <c r="C1470" s="1">
        <v>45652</v>
      </c>
      <c r="D1470" s="1" t="str">
        <f>TEXT(Payments_Cleaned[[#This Row],[payment_date]],"mmm-yyyy")</f>
        <v>Dec-2024</v>
      </c>
      <c r="E1470" s="2">
        <v>5865.34</v>
      </c>
      <c r="F1470" t="s">
        <v>4694</v>
      </c>
      <c r="G1470" s="2">
        <v>2041.22</v>
      </c>
    </row>
    <row r="1471" spans="1:7" x14ac:dyDescent="0.35">
      <c r="A1471" t="s">
        <v>6164</v>
      </c>
      <c r="B1471" t="s">
        <v>2662</v>
      </c>
      <c r="C1471" s="1">
        <v>45147</v>
      </c>
      <c r="D1471" s="1" t="str">
        <f>TEXT(Payments_Cleaned[[#This Row],[payment_date]],"mmm-yyyy")</f>
        <v>Aug-2023</v>
      </c>
      <c r="E1471" s="2">
        <v>295.87</v>
      </c>
      <c r="F1471" t="s">
        <v>4694</v>
      </c>
      <c r="G1471" s="2">
        <v>66.319999999999993</v>
      </c>
    </row>
    <row r="1472" spans="1:7" x14ac:dyDescent="0.35">
      <c r="A1472" t="s">
        <v>6165</v>
      </c>
      <c r="B1472" t="s">
        <v>2663</v>
      </c>
      <c r="C1472" s="1">
        <v>45245</v>
      </c>
      <c r="D1472" s="1" t="str">
        <f>TEXT(Payments_Cleaned[[#This Row],[payment_date]],"mmm-yyyy")</f>
        <v>Nov-2023</v>
      </c>
      <c r="E1472" s="2">
        <v>106.84</v>
      </c>
      <c r="F1472" t="s">
        <v>4694</v>
      </c>
      <c r="G1472" s="2">
        <v>40.380000000000003</v>
      </c>
    </row>
    <row r="1473" spans="1:7" x14ac:dyDescent="0.35">
      <c r="A1473" t="s">
        <v>6166</v>
      </c>
      <c r="B1473" t="s">
        <v>2665</v>
      </c>
      <c r="C1473" s="1">
        <v>45068</v>
      </c>
      <c r="D1473" s="1" t="str">
        <f>TEXT(Payments_Cleaned[[#This Row],[payment_date]],"mmm-yyyy")</f>
        <v>May-2023</v>
      </c>
      <c r="E1473" s="2">
        <v>1642.56</v>
      </c>
      <c r="F1473" t="s">
        <v>4697</v>
      </c>
      <c r="G1473" s="2">
        <v>504.89</v>
      </c>
    </row>
    <row r="1474" spans="1:7" x14ac:dyDescent="0.35">
      <c r="A1474" t="s">
        <v>6167</v>
      </c>
      <c r="B1474" t="s">
        <v>2666</v>
      </c>
      <c r="C1474" s="1">
        <v>44996</v>
      </c>
      <c r="D1474" s="1" t="str">
        <f>TEXT(Payments_Cleaned[[#This Row],[payment_date]],"mmm-yyyy")</f>
        <v>Mar-2023</v>
      </c>
      <c r="E1474" s="2">
        <v>776.41</v>
      </c>
      <c r="F1474" t="s">
        <v>4694</v>
      </c>
      <c r="G1474" s="2">
        <v>62.98</v>
      </c>
    </row>
    <row r="1475" spans="1:7" x14ac:dyDescent="0.35">
      <c r="A1475" t="s">
        <v>6168</v>
      </c>
      <c r="B1475" t="s">
        <v>2668</v>
      </c>
      <c r="C1475" s="1">
        <v>45056</v>
      </c>
      <c r="D1475" s="1" t="str">
        <f>TEXT(Payments_Cleaned[[#This Row],[payment_date]],"mmm-yyyy")</f>
        <v>May-2023</v>
      </c>
      <c r="E1475" s="2">
        <v>332.25</v>
      </c>
      <c r="F1475" t="s">
        <v>4694</v>
      </c>
      <c r="G1475" s="2">
        <v>100.34</v>
      </c>
    </row>
    <row r="1476" spans="1:7" x14ac:dyDescent="0.35">
      <c r="A1476" t="s">
        <v>6169</v>
      </c>
      <c r="B1476" t="s">
        <v>2669</v>
      </c>
      <c r="C1476" s="1">
        <v>45273</v>
      </c>
      <c r="D1476" s="1" t="str">
        <f>TEXT(Payments_Cleaned[[#This Row],[payment_date]],"mmm-yyyy")</f>
        <v>Dec-2023</v>
      </c>
      <c r="E1476" s="2">
        <v>120.62</v>
      </c>
      <c r="F1476" t="s">
        <v>4694</v>
      </c>
      <c r="G1476" s="2">
        <v>50</v>
      </c>
    </row>
    <row r="1477" spans="1:7" x14ac:dyDescent="0.35">
      <c r="A1477" t="s">
        <v>6170</v>
      </c>
      <c r="B1477" t="s">
        <v>2671</v>
      </c>
      <c r="C1477" s="1">
        <v>45317</v>
      </c>
      <c r="D1477" s="1" t="str">
        <f>TEXT(Payments_Cleaned[[#This Row],[payment_date]],"mmm-yyyy")</f>
        <v>Jan-2024</v>
      </c>
      <c r="E1477" s="2">
        <v>339.43</v>
      </c>
      <c r="F1477" t="s">
        <v>4694</v>
      </c>
      <c r="G1477" s="2">
        <v>29.86</v>
      </c>
    </row>
    <row r="1478" spans="1:7" x14ac:dyDescent="0.35">
      <c r="A1478" t="s">
        <v>6171</v>
      </c>
      <c r="B1478" t="s">
        <v>2672</v>
      </c>
      <c r="C1478" s="1">
        <v>45474</v>
      </c>
      <c r="D1478" s="1" t="str">
        <f>TEXT(Payments_Cleaned[[#This Row],[payment_date]],"mmm-yyyy")</f>
        <v>Jul-2024</v>
      </c>
      <c r="E1478" s="2">
        <v>428.37</v>
      </c>
      <c r="F1478" t="s">
        <v>4694</v>
      </c>
      <c r="G1478" s="2">
        <v>204.65</v>
      </c>
    </row>
    <row r="1479" spans="1:7" x14ac:dyDescent="0.35">
      <c r="A1479" t="s">
        <v>6172</v>
      </c>
      <c r="B1479" t="s">
        <v>2673</v>
      </c>
      <c r="C1479" s="1">
        <v>45182</v>
      </c>
      <c r="D1479" s="1" t="str">
        <f>TEXT(Payments_Cleaned[[#This Row],[payment_date]],"mmm-yyyy")</f>
        <v>Sep-2023</v>
      </c>
      <c r="E1479" s="2">
        <v>409.64</v>
      </c>
      <c r="F1479" t="s">
        <v>4694</v>
      </c>
      <c r="G1479" s="2">
        <v>89.75</v>
      </c>
    </row>
    <row r="1480" spans="1:7" x14ac:dyDescent="0.35">
      <c r="A1480" t="s">
        <v>6173</v>
      </c>
      <c r="B1480" t="s">
        <v>2674</v>
      </c>
      <c r="C1480" s="1">
        <v>45599</v>
      </c>
      <c r="D1480" s="1" t="str">
        <f>TEXT(Payments_Cleaned[[#This Row],[payment_date]],"mmm-yyyy")</f>
        <v>Nov-2024</v>
      </c>
      <c r="E1480" s="2">
        <v>5766.83</v>
      </c>
      <c r="F1480" t="s">
        <v>4694</v>
      </c>
      <c r="G1480" s="2">
        <v>1166.8399999999999</v>
      </c>
    </row>
    <row r="1481" spans="1:7" x14ac:dyDescent="0.35">
      <c r="A1481" t="s">
        <v>6174</v>
      </c>
      <c r="B1481" t="s">
        <v>2677</v>
      </c>
      <c r="C1481" s="1">
        <v>45665</v>
      </c>
      <c r="D1481" s="1" t="str">
        <f>TEXT(Payments_Cleaned[[#This Row],[payment_date]],"mmm-yyyy")</f>
        <v>Jan-2025</v>
      </c>
      <c r="E1481" s="2">
        <v>350.4</v>
      </c>
      <c r="F1481" t="s">
        <v>4694</v>
      </c>
      <c r="G1481" s="2">
        <v>79.760000000000005</v>
      </c>
    </row>
    <row r="1482" spans="1:7" x14ac:dyDescent="0.35">
      <c r="A1482" t="s">
        <v>6175</v>
      </c>
      <c r="B1482" t="s">
        <v>2678</v>
      </c>
      <c r="C1482" s="1">
        <v>45170</v>
      </c>
      <c r="D1482" s="1" t="str">
        <f>TEXT(Payments_Cleaned[[#This Row],[payment_date]],"mmm-yyyy")</f>
        <v>Sep-2023</v>
      </c>
      <c r="E1482" s="2">
        <v>38.979999999999997</v>
      </c>
      <c r="F1482" t="s">
        <v>4694</v>
      </c>
      <c r="G1482" s="2">
        <v>18.04</v>
      </c>
    </row>
    <row r="1483" spans="1:7" x14ac:dyDescent="0.35">
      <c r="A1483" t="s">
        <v>6176</v>
      </c>
      <c r="B1483" t="s">
        <v>2679</v>
      </c>
      <c r="C1483" s="1">
        <v>44983</v>
      </c>
      <c r="D1483" s="1" t="str">
        <f>TEXT(Payments_Cleaned[[#This Row],[payment_date]],"mmm-yyyy")</f>
        <v>Feb-2023</v>
      </c>
      <c r="E1483" s="2">
        <v>326.85000000000002</v>
      </c>
      <c r="F1483" t="s">
        <v>4694</v>
      </c>
      <c r="G1483" s="2">
        <v>26.3</v>
      </c>
    </row>
    <row r="1484" spans="1:7" x14ac:dyDescent="0.35">
      <c r="A1484" t="s">
        <v>6177</v>
      </c>
      <c r="B1484" t="s">
        <v>2680</v>
      </c>
      <c r="C1484" s="1">
        <v>45008</v>
      </c>
      <c r="D1484" s="1" t="str">
        <f>TEXT(Payments_Cleaned[[#This Row],[payment_date]],"mmm-yyyy")</f>
        <v>Mar-2023</v>
      </c>
      <c r="E1484" s="2">
        <v>448.44</v>
      </c>
      <c r="F1484" t="s">
        <v>4694</v>
      </c>
      <c r="G1484" s="2">
        <v>213.99</v>
      </c>
    </row>
    <row r="1485" spans="1:7" x14ac:dyDescent="0.35">
      <c r="A1485" t="s">
        <v>6178</v>
      </c>
      <c r="B1485" t="s">
        <v>2681</v>
      </c>
      <c r="C1485" s="1">
        <v>45546</v>
      </c>
      <c r="D1485" s="1" t="str">
        <f>TEXT(Payments_Cleaned[[#This Row],[payment_date]],"mmm-yyyy")</f>
        <v>Sep-2024</v>
      </c>
      <c r="E1485" s="2">
        <v>78.02</v>
      </c>
      <c r="F1485" t="s">
        <v>4694</v>
      </c>
      <c r="G1485" s="2">
        <v>43.79</v>
      </c>
    </row>
    <row r="1486" spans="1:7" x14ac:dyDescent="0.35">
      <c r="A1486" t="s">
        <v>6179</v>
      </c>
      <c r="B1486" t="s">
        <v>2683</v>
      </c>
      <c r="C1486" s="1">
        <v>45455</v>
      </c>
      <c r="D1486" s="1" t="str">
        <f>TEXT(Payments_Cleaned[[#This Row],[payment_date]],"mmm-yyyy")</f>
        <v>Jun-2024</v>
      </c>
      <c r="E1486" s="2">
        <v>145.05000000000001</v>
      </c>
      <c r="F1486" t="s">
        <v>4694</v>
      </c>
      <c r="G1486" s="2">
        <v>21</v>
      </c>
    </row>
    <row r="1487" spans="1:7" x14ac:dyDescent="0.35">
      <c r="A1487" t="s">
        <v>6180</v>
      </c>
      <c r="B1487" t="s">
        <v>2684</v>
      </c>
      <c r="C1487" s="1">
        <v>45528</v>
      </c>
      <c r="D1487" s="1" t="str">
        <f>TEXT(Payments_Cleaned[[#This Row],[payment_date]],"mmm-yyyy")</f>
        <v>Aug-2024</v>
      </c>
      <c r="E1487" s="2">
        <v>855.42</v>
      </c>
      <c r="F1487" t="s">
        <v>4694</v>
      </c>
      <c r="G1487" s="2">
        <v>81.33</v>
      </c>
    </row>
  </sheetData>
  <conditionalFormatting sqref="A1:A1487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1FDA-3945-4A6F-9EB7-161356B72584}">
  <dimension ref="A1:D26"/>
  <sheetViews>
    <sheetView workbookViewId="0">
      <selection activeCell="G21" sqref="G21"/>
    </sheetView>
  </sheetViews>
  <sheetFormatPr defaultRowHeight="14.5" x14ac:dyDescent="0.35"/>
  <cols>
    <col min="1" max="1" width="11.54296875" bestFit="1" customWidth="1"/>
    <col min="2" max="2" width="20.81640625" bestFit="1" customWidth="1"/>
    <col min="3" max="3" width="10.1796875" bestFit="1" customWidth="1"/>
    <col min="4" max="4" width="11.453125" bestFit="1" customWidth="1"/>
  </cols>
  <sheetData>
    <row r="1" spans="1:4" x14ac:dyDescent="0.35">
      <c r="A1" t="s">
        <v>613</v>
      </c>
      <c r="B1" t="s">
        <v>614</v>
      </c>
      <c r="C1" t="s">
        <v>615</v>
      </c>
      <c r="D1" t="s">
        <v>616</v>
      </c>
    </row>
    <row r="2" spans="1:4" x14ac:dyDescent="0.35">
      <c r="A2" t="s">
        <v>620</v>
      </c>
      <c r="B2" t="s">
        <v>621</v>
      </c>
      <c r="C2" t="s">
        <v>622</v>
      </c>
      <c r="D2">
        <v>50</v>
      </c>
    </row>
    <row r="3" spans="1:4" x14ac:dyDescent="0.35">
      <c r="A3" t="s">
        <v>654</v>
      </c>
      <c r="B3" t="s">
        <v>655</v>
      </c>
      <c r="C3" t="s">
        <v>622</v>
      </c>
      <c r="D3">
        <v>100</v>
      </c>
    </row>
    <row r="4" spans="1:4" x14ac:dyDescent="0.35">
      <c r="A4" t="s">
        <v>651</v>
      </c>
      <c r="B4" t="s">
        <v>652</v>
      </c>
      <c r="C4" t="s">
        <v>653</v>
      </c>
      <c r="D4">
        <v>120</v>
      </c>
    </row>
    <row r="5" spans="1:4" x14ac:dyDescent="0.35">
      <c r="A5" t="s">
        <v>638</v>
      </c>
      <c r="B5" t="s">
        <v>639</v>
      </c>
      <c r="C5" t="s">
        <v>640</v>
      </c>
      <c r="D5">
        <v>150</v>
      </c>
    </row>
    <row r="6" spans="1:4" x14ac:dyDescent="0.35">
      <c r="A6" t="s">
        <v>635</v>
      </c>
      <c r="B6" t="s">
        <v>636</v>
      </c>
      <c r="C6" t="s">
        <v>637</v>
      </c>
      <c r="D6">
        <v>180</v>
      </c>
    </row>
    <row r="7" spans="1:4" x14ac:dyDescent="0.35">
      <c r="A7" t="s">
        <v>617</v>
      </c>
      <c r="B7" t="s">
        <v>618</v>
      </c>
      <c r="C7" t="s">
        <v>619</v>
      </c>
      <c r="D7">
        <v>200</v>
      </c>
    </row>
    <row r="8" spans="1:4" x14ac:dyDescent="0.35">
      <c r="A8" t="s">
        <v>629</v>
      </c>
      <c r="B8" t="s">
        <v>630</v>
      </c>
      <c r="C8" t="s">
        <v>625</v>
      </c>
      <c r="D8">
        <v>300</v>
      </c>
    </row>
    <row r="9" spans="1:4" x14ac:dyDescent="0.35">
      <c r="A9" t="s">
        <v>673</v>
      </c>
      <c r="B9" t="s">
        <v>674</v>
      </c>
      <c r="C9" t="s">
        <v>619</v>
      </c>
      <c r="D9">
        <v>300</v>
      </c>
    </row>
    <row r="10" spans="1:4" x14ac:dyDescent="0.35">
      <c r="A10" t="s">
        <v>656</v>
      </c>
      <c r="B10" t="s">
        <v>657</v>
      </c>
      <c r="C10" t="s">
        <v>625</v>
      </c>
      <c r="D10">
        <v>350</v>
      </c>
    </row>
    <row r="11" spans="1:4" x14ac:dyDescent="0.35">
      <c r="A11" t="s">
        <v>671</v>
      </c>
      <c r="B11" t="s">
        <v>672</v>
      </c>
      <c r="C11" t="s">
        <v>637</v>
      </c>
      <c r="D11">
        <v>400</v>
      </c>
    </row>
    <row r="12" spans="1:4" x14ac:dyDescent="0.35">
      <c r="A12" t="s">
        <v>633</v>
      </c>
      <c r="B12" t="s">
        <v>634</v>
      </c>
      <c r="C12" t="s">
        <v>625</v>
      </c>
      <c r="D12">
        <v>450</v>
      </c>
    </row>
    <row r="13" spans="1:4" x14ac:dyDescent="0.35">
      <c r="A13" t="s">
        <v>667</v>
      </c>
      <c r="B13" t="s">
        <v>668</v>
      </c>
      <c r="C13" t="s">
        <v>637</v>
      </c>
      <c r="D13">
        <v>550</v>
      </c>
    </row>
    <row r="14" spans="1:4" x14ac:dyDescent="0.35">
      <c r="A14" t="s">
        <v>669</v>
      </c>
      <c r="B14" t="s">
        <v>670</v>
      </c>
      <c r="C14" t="s">
        <v>628</v>
      </c>
      <c r="D14">
        <v>600</v>
      </c>
    </row>
    <row r="15" spans="1:4" x14ac:dyDescent="0.35">
      <c r="A15" t="s">
        <v>665</v>
      </c>
      <c r="B15" t="s">
        <v>666</v>
      </c>
      <c r="C15" t="s">
        <v>637</v>
      </c>
      <c r="D15">
        <v>700</v>
      </c>
    </row>
    <row r="16" spans="1:4" x14ac:dyDescent="0.35">
      <c r="A16" t="s">
        <v>658</v>
      </c>
      <c r="B16" t="s">
        <v>659</v>
      </c>
      <c r="C16" t="s">
        <v>628</v>
      </c>
      <c r="D16">
        <v>750</v>
      </c>
    </row>
    <row r="17" spans="1:4" x14ac:dyDescent="0.35">
      <c r="A17" t="s">
        <v>649</v>
      </c>
      <c r="B17" t="s">
        <v>650</v>
      </c>
      <c r="C17" t="s">
        <v>552</v>
      </c>
      <c r="D17">
        <v>800</v>
      </c>
    </row>
    <row r="18" spans="1:4" x14ac:dyDescent="0.35">
      <c r="A18" t="s">
        <v>631</v>
      </c>
      <c r="B18" t="s">
        <v>632</v>
      </c>
      <c r="C18" t="s">
        <v>625</v>
      </c>
      <c r="D18">
        <v>900</v>
      </c>
    </row>
    <row r="19" spans="1:4" x14ac:dyDescent="0.35">
      <c r="A19" t="s">
        <v>623</v>
      </c>
      <c r="B19" t="s">
        <v>624</v>
      </c>
      <c r="C19" t="s">
        <v>625</v>
      </c>
      <c r="D19">
        <v>1200</v>
      </c>
    </row>
    <row r="20" spans="1:4" x14ac:dyDescent="0.35">
      <c r="A20" t="s">
        <v>663</v>
      </c>
      <c r="B20" t="s">
        <v>664</v>
      </c>
      <c r="C20" t="s">
        <v>628</v>
      </c>
      <c r="D20">
        <v>1400</v>
      </c>
    </row>
    <row r="21" spans="1:4" x14ac:dyDescent="0.35">
      <c r="A21" t="s">
        <v>641</v>
      </c>
      <c r="B21" t="s">
        <v>642</v>
      </c>
      <c r="C21" t="s">
        <v>628</v>
      </c>
      <c r="D21">
        <v>1800</v>
      </c>
    </row>
    <row r="22" spans="1:4" x14ac:dyDescent="0.35">
      <c r="A22" t="s">
        <v>643</v>
      </c>
      <c r="B22" t="s">
        <v>644</v>
      </c>
      <c r="C22" t="s">
        <v>628</v>
      </c>
      <c r="D22">
        <v>2200</v>
      </c>
    </row>
    <row r="23" spans="1:4" x14ac:dyDescent="0.35">
      <c r="A23" t="s">
        <v>645</v>
      </c>
      <c r="B23" t="s">
        <v>646</v>
      </c>
      <c r="C23" t="s">
        <v>536</v>
      </c>
      <c r="D23">
        <v>3500</v>
      </c>
    </row>
    <row r="24" spans="1:4" x14ac:dyDescent="0.35">
      <c r="A24" t="s">
        <v>647</v>
      </c>
      <c r="B24" t="s">
        <v>648</v>
      </c>
      <c r="C24" t="s">
        <v>536</v>
      </c>
      <c r="D24">
        <v>4200</v>
      </c>
    </row>
    <row r="25" spans="1:4" x14ac:dyDescent="0.35">
      <c r="A25" t="s">
        <v>626</v>
      </c>
      <c r="B25" t="s">
        <v>627</v>
      </c>
      <c r="C25" t="s">
        <v>628</v>
      </c>
      <c r="D25">
        <v>5000</v>
      </c>
    </row>
    <row r="26" spans="1:4" x14ac:dyDescent="0.35">
      <c r="A26" t="s">
        <v>660</v>
      </c>
      <c r="B26" t="s">
        <v>661</v>
      </c>
      <c r="C26" t="s">
        <v>662</v>
      </c>
      <c r="D26">
        <v>6500</v>
      </c>
    </row>
  </sheetData>
  <conditionalFormatting sqref="A2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EAEF-BCD5-422D-9562-D3C2EA780A0E}">
  <dimension ref="A1:E41"/>
  <sheetViews>
    <sheetView tabSelected="1" topLeftCell="A28" workbookViewId="0">
      <selection activeCell="E37" sqref="E37"/>
    </sheetView>
  </sheetViews>
  <sheetFormatPr defaultRowHeight="14.5" x14ac:dyDescent="0.35"/>
  <cols>
    <col min="1" max="1" width="10.7265625" bestFit="1" customWidth="1"/>
    <col min="2" max="2" width="12.7265625" bestFit="1" customWidth="1"/>
    <col min="3" max="3" width="17.6328125" bestFit="1" customWidth="1"/>
    <col min="4" max="4" width="14.81640625" bestFit="1" customWidth="1"/>
    <col min="5" max="5" width="10.7265625" bestFit="1" customWidth="1"/>
  </cols>
  <sheetData>
    <row r="1" spans="1:5" x14ac:dyDescent="0.35">
      <c r="A1" t="s">
        <v>517</v>
      </c>
      <c r="B1" t="s">
        <v>518</v>
      </c>
      <c r="C1" t="s">
        <v>519</v>
      </c>
      <c r="D1" t="s">
        <v>520</v>
      </c>
      <c r="E1" t="s">
        <v>3</v>
      </c>
    </row>
    <row r="2" spans="1:5" x14ac:dyDescent="0.35">
      <c r="A2" t="s">
        <v>521</v>
      </c>
      <c r="B2" t="s">
        <v>522</v>
      </c>
      <c r="C2" t="s">
        <v>523</v>
      </c>
      <c r="D2" t="s">
        <v>523</v>
      </c>
      <c r="E2" t="s">
        <v>17</v>
      </c>
    </row>
    <row r="3" spans="1:5" x14ac:dyDescent="0.35">
      <c r="A3" t="s">
        <v>524</v>
      </c>
      <c r="B3" t="s">
        <v>525</v>
      </c>
      <c r="C3" t="s">
        <v>526</v>
      </c>
      <c r="D3" t="s">
        <v>526</v>
      </c>
      <c r="E3" t="s">
        <v>15</v>
      </c>
    </row>
    <row r="4" spans="1:5" x14ac:dyDescent="0.35">
      <c r="A4" t="s">
        <v>527</v>
      </c>
      <c r="B4" t="s">
        <v>528</v>
      </c>
      <c r="C4" t="s">
        <v>529</v>
      </c>
      <c r="D4" t="s">
        <v>530</v>
      </c>
      <c r="E4" t="s">
        <v>24</v>
      </c>
    </row>
    <row r="5" spans="1:5" x14ac:dyDescent="0.35">
      <c r="A5" t="s">
        <v>531</v>
      </c>
      <c r="B5" t="s">
        <v>532</v>
      </c>
      <c r="C5" t="s">
        <v>533</v>
      </c>
      <c r="D5" t="s">
        <v>533</v>
      </c>
      <c r="E5" t="s">
        <v>15</v>
      </c>
    </row>
    <row r="6" spans="1:5" x14ac:dyDescent="0.35">
      <c r="A6" t="s">
        <v>534</v>
      </c>
      <c r="B6" t="s">
        <v>535</v>
      </c>
      <c r="C6" t="s">
        <v>536</v>
      </c>
      <c r="D6" t="s">
        <v>536</v>
      </c>
      <c r="E6" t="s">
        <v>15</v>
      </c>
    </row>
    <row r="7" spans="1:5" x14ac:dyDescent="0.35">
      <c r="A7" t="s">
        <v>537</v>
      </c>
      <c r="B7" t="s">
        <v>538</v>
      </c>
      <c r="C7" t="s">
        <v>539</v>
      </c>
      <c r="D7" t="s">
        <v>539</v>
      </c>
      <c r="E7" t="s">
        <v>7</v>
      </c>
    </row>
    <row r="8" spans="1:5" x14ac:dyDescent="0.35">
      <c r="A8" t="s">
        <v>540</v>
      </c>
      <c r="B8" t="s">
        <v>541</v>
      </c>
      <c r="C8" t="s">
        <v>542</v>
      </c>
      <c r="D8" t="s">
        <v>542</v>
      </c>
      <c r="E8" t="s">
        <v>24</v>
      </c>
    </row>
    <row r="9" spans="1:5" x14ac:dyDescent="0.35">
      <c r="A9" t="s">
        <v>543</v>
      </c>
      <c r="B9" t="s">
        <v>544</v>
      </c>
      <c r="C9" t="s">
        <v>545</v>
      </c>
      <c r="D9" t="s">
        <v>545</v>
      </c>
      <c r="E9" t="s">
        <v>24</v>
      </c>
    </row>
    <row r="10" spans="1:5" x14ac:dyDescent="0.35">
      <c r="A10" t="s">
        <v>546</v>
      </c>
      <c r="B10" t="s">
        <v>547</v>
      </c>
      <c r="C10" t="s">
        <v>548</v>
      </c>
      <c r="D10" t="s">
        <v>548</v>
      </c>
      <c r="E10" t="s">
        <v>15</v>
      </c>
    </row>
    <row r="11" spans="1:5" x14ac:dyDescent="0.35">
      <c r="A11" t="s">
        <v>549</v>
      </c>
      <c r="B11" t="s">
        <v>550</v>
      </c>
      <c r="C11" t="s">
        <v>551</v>
      </c>
      <c r="D11" t="s">
        <v>552</v>
      </c>
      <c r="E11" t="s">
        <v>17</v>
      </c>
    </row>
    <row r="12" spans="1:5" x14ac:dyDescent="0.35">
      <c r="A12" t="s">
        <v>553</v>
      </c>
      <c r="B12" t="s">
        <v>554</v>
      </c>
      <c r="C12" t="s">
        <v>523</v>
      </c>
      <c r="D12" t="s">
        <v>523</v>
      </c>
      <c r="E12" t="s">
        <v>7</v>
      </c>
    </row>
    <row r="13" spans="1:5" x14ac:dyDescent="0.35">
      <c r="A13" t="s">
        <v>555</v>
      </c>
      <c r="B13" t="s">
        <v>556</v>
      </c>
      <c r="C13" t="s">
        <v>526</v>
      </c>
      <c r="D13" t="s">
        <v>526</v>
      </c>
      <c r="E13" t="s">
        <v>15</v>
      </c>
    </row>
    <row r="14" spans="1:5" x14ac:dyDescent="0.35">
      <c r="A14" t="s">
        <v>557</v>
      </c>
      <c r="B14" t="s">
        <v>558</v>
      </c>
      <c r="C14" t="s">
        <v>529</v>
      </c>
      <c r="D14" t="s">
        <v>530</v>
      </c>
      <c r="E14" t="s">
        <v>28</v>
      </c>
    </row>
    <row r="15" spans="1:5" x14ac:dyDescent="0.35">
      <c r="A15" t="s">
        <v>559</v>
      </c>
      <c r="B15" t="s">
        <v>560</v>
      </c>
      <c r="C15" t="s">
        <v>533</v>
      </c>
      <c r="D15" t="s">
        <v>533</v>
      </c>
      <c r="E15" t="s">
        <v>28</v>
      </c>
    </row>
    <row r="16" spans="1:5" x14ac:dyDescent="0.35">
      <c r="A16" t="s">
        <v>561</v>
      </c>
      <c r="B16" t="s">
        <v>562</v>
      </c>
      <c r="C16" t="s">
        <v>536</v>
      </c>
      <c r="D16" t="s">
        <v>536</v>
      </c>
      <c r="E16" t="s">
        <v>7</v>
      </c>
    </row>
    <row r="17" spans="1:5" x14ac:dyDescent="0.35">
      <c r="A17" t="s">
        <v>563</v>
      </c>
      <c r="B17" t="s">
        <v>564</v>
      </c>
      <c r="C17" t="s">
        <v>539</v>
      </c>
      <c r="D17" t="s">
        <v>539</v>
      </c>
      <c r="E17" t="s">
        <v>17</v>
      </c>
    </row>
    <row r="18" spans="1:5" x14ac:dyDescent="0.35">
      <c r="A18" t="s">
        <v>565</v>
      </c>
      <c r="B18" t="s">
        <v>566</v>
      </c>
      <c r="C18" t="s">
        <v>542</v>
      </c>
      <c r="D18" t="s">
        <v>542</v>
      </c>
      <c r="E18" t="s">
        <v>15</v>
      </c>
    </row>
    <row r="19" spans="1:5" x14ac:dyDescent="0.35">
      <c r="A19" t="s">
        <v>567</v>
      </c>
      <c r="B19" t="s">
        <v>568</v>
      </c>
      <c r="C19" t="s">
        <v>545</v>
      </c>
      <c r="D19" t="s">
        <v>545</v>
      </c>
      <c r="E19" t="s">
        <v>24</v>
      </c>
    </row>
    <row r="20" spans="1:5" x14ac:dyDescent="0.35">
      <c r="A20" t="s">
        <v>569</v>
      </c>
      <c r="B20" t="s">
        <v>570</v>
      </c>
      <c r="C20" t="s">
        <v>548</v>
      </c>
      <c r="D20" t="s">
        <v>548</v>
      </c>
      <c r="E20" t="s">
        <v>7</v>
      </c>
    </row>
    <row r="21" spans="1:5" x14ac:dyDescent="0.35">
      <c r="A21" t="s">
        <v>571</v>
      </c>
      <c r="B21" t="s">
        <v>572</v>
      </c>
      <c r="C21" t="s">
        <v>551</v>
      </c>
      <c r="D21" t="s">
        <v>552</v>
      </c>
      <c r="E21" t="s">
        <v>17</v>
      </c>
    </row>
    <row r="22" spans="1:5" x14ac:dyDescent="0.35">
      <c r="A22" t="s">
        <v>573</v>
      </c>
      <c r="B22" t="s">
        <v>574</v>
      </c>
      <c r="C22" t="s">
        <v>523</v>
      </c>
      <c r="D22" t="s">
        <v>523</v>
      </c>
      <c r="E22" t="s">
        <v>24</v>
      </c>
    </row>
    <row r="23" spans="1:5" x14ac:dyDescent="0.35">
      <c r="A23" t="s">
        <v>575</v>
      </c>
      <c r="B23" t="s">
        <v>576</v>
      </c>
      <c r="C23" t="s">
        <v>526</v>
      </c>
      <c r="D23" t="s">
        <v>526</v>
      </c>
      <c r="E23" t="s">
        <v>28</v>
      </c>
    </row>
    <row r="24" spans="1:5" x14ac:dyDescent="0.35">
      <c r="A24" t="s">
        <v>577</v>
      </c>
      <c r="B24" t="s">
        <v>578</v>
      </c>
      <c r="C24" t="s">
        <v>529</v>
      </c>
      <c r="D24" t="s">
        <v>530</v>
      </c>
      <c r="E24" t="s">
        <v>28</v>
      </c>
    </row>
    <row r="25" spans="1:5" x14ac:dyDescent="0.35">
      <c r="A25" t="s">
        <v>579</v>
      </c>
      <c r="B25" t="s">
        <v>580</v>
      </c>
      <c r="C25" t="s">
        <v>533</v>
      </c>
      <c r="D25" t="s">
        <v>533</v>
      </c>
      <c r="E25" t="s">
        <v>24</v>
      </c>
    </row>
    <row r="26" spans="1:5" x14ac:dyDescent="0.35">
      <c r="A26" t="s">
        <v>581</v>
      </c>
      <c r="B26" t="s">
        <v>582</v>
      </c>
      <c r="C26" t="s">
        <v>536</v>
      </c>
      <c r="D26" t="s">
        <v>536</v>
      </c>
      <c r="E26" t="s">
        <v>7</v>
      </c>
    </row>
    <row r="27" spans="1:5" x14ac:dyDescent="0.35">
      <c r="A27" t="s">
        <v>583</v>
      </c>
      <c r="B27" t="s">
        <v>584</v>
      </c>
      <c r="C27" t="s">
        <v>539</v>
      </c>
      <c r="D27" t="s">
        <v>539</v>
      </c>
      <c r="E27" t="s">
        <v>28</v>
      </c>
    </row>
    <row r="28" spans="1:5" x14ac:dyDescent="0.35">
      <c r="A28" t="s">
        <v>585</v>
      </c>
      <c r="B28" t="s">
        <v>586</v>
      </c>
      <c r="C28" t="s">
        <v>542</v>
      </c>
      <c r="D28" t="s">
        <v>542</v>
      </c>
      <c r="E28" t="s">
        <v>15</v>
      </c>
    </row>
    <row r="29" spans="1:5" x14ac:dyDescent="0.35">
      <c r="A29" t="s">
        <v>587</v>
      </c>
      <c r="B29" t="s">
        <v>588</v>
      </c>
      <c r="C29" t="s">
        <v>545</v>
      </c>
      <c r="D29" t="s">
        <v>545</v>
      </c>
      <c r="E29" t="s">
        <v>24</v>
      </c>
    </row>
    <row r="30" spans="1:5" x14ac:dyDescent="0.35">
      <c r="A30" t="s">
        <v>589</v>
      </c>
      <c r="B30" t="s">
        <v>590</v>
      </c>
      <c r="C30" t="s">
        <v>548</v>
      </c>
      <c r="D30" t="s">
        <v>548</v>
      </c>
      <c r="E30" t="s">
        <v>24</v>
      </c>
    </row>
    <row r="31" spans="1:5" x14ac:dyDescent="0.35">
      <c r="A31" t="s">
        <v>591</v>
      </c>
      <c r="B31" t="s">
        <v>592</v>
      </c>
      <c r="C31" t="s">
        <v>551</v>
      </c>
      <c r="D31" t="s">
        <v>552</v>
      </c>
      <c r="E31" t="s">
        <v>28</v>
      </c>
    </row>
    <row r="32" spans="1:5" x14ac:dyDescent="0.35">
      <c r="A32" t="s">
        <v>593</v>
      </c>
      <c r="B32" t="s">
        <v>594</v>
      </c>
      <c r="C32" t="s">
        <v>523</v>
      </c>
      <c r="D32" t="s">
        <v>523</v>
      </c>
      <c r="E32" t="s">
        <v>7</v>
      </c>
    </row>
    <row r="33" spans="1:5" x14ac:dyDescent="0.35">
      <c r="A33" t="s">
        <v>595</v>
      </c>
      <c r="B33" t="s">
        <v>596</v>
      </c>
      <c r="C33" t="s">
        <v>526</v>
      </c>
      <c r="D33" t="s">
        <v>526</v>
      </c>
      <c r="E33" t="s">
        <v>15</v>
      </c>
    </row>
    <row r="34" spans="1:5" x14ac:dyDescent="0.35">
      <c r="A34" t="s">
        <v>597</v>
      </c>
      <c r="B34" t="s">
        <v>598</v>
      </c>
      <c r="C34" t="s">
        <v>529</v>
      </c>
      <c r="D34" t="s">
        <v>530</v>
      </c>
      <c r="E34" t="s">
        <v>7</v>
      </c>
    </row>
    <row r="35" spans="1:5" x14ac:dyDescent="0.35">
      <c r="A35" t="s">
        <v>599</v>
      </c>
      <c r="B35" t="s">
        <v>600</v>
      </c>
      <c r="C35" t="s">
        <v>533</v>
      </c>
      <c r="D35" t="s">
        <v>533</v>
      </c>
      <c r="E35" t="s">
        <v>17</v>
      </c>
    </row>
    <row r="36" spans="1:5" x14ac:dyDescent="0.35">
      <c r="A36" t="s">
        <v>601</v>
      </c>
      <c r="B36" t="s">
        <v>602</v>
      </c>
      <c r="C36" t="s">
        <v>536</v>
      </c>
      <c r="D36" t="s">
        <v>536</v>
      </c>
      <c r="E36" t="s">
        <v>17</v>
      </c>
    </row>
    <row r="37" spans="1:5" x14ac:dyDescent="0.35">
      <c r="A37" t="s">
        <v>603</v>
      </c>
      <c r="B37" t="s">
        <v>604</v>
      </c>
      <c r="C37" t="s">
        <v>539</v>
      </c>
      <c r="D37" t="s">
        <v>539</v>
      </c>
      <c r="E37" t="s">
        <v>28</v>
      </c>
    </row>
    <row r="38" spans="1:5" x14ac:dyDescent="0.35">
      <c r="A38" t="s">
        <v>605</v>
      </c>
      <c r="B38" t="s">
        <v>606</v>
      </c>
      <c r="C38" t="s">
        <v>542</v>
      </c>
      <c r="D38" t="s">
        <v>542</v>
      </c>
      <c r="E38" t="s">
        <v>28</v>
      </c>
    </row>
    <row r="39" spans="1:5" x14ac:dyDescent="0.35">
      <c r="A39" t="s">
        <v>607</v>
      </c>
      <c r="B39" t="s">
        <v>608</v>
      </c>
      <c r="C39" t="s">
        <v>545</v>
      </c>
      <c r="D39" t="s">
        <v>545</v>
      </c>
      <c r="E39" t="s">
        <v>28</v>
      </c>
    </row>
    <row r="40" spans="1:5" x14ac:dyDescent="0.35">
      <c r="A40" t="s">
        <v>609</v>
      </c>
      <c r="B40" t="s">
        <v>610</v>
      </c>
      <c r="C40" t="s">
        <v>548</v>
      </c>
      <c r="D40" t="s">
        <v>548</v>
      </c>
      <c r="E40" t="s">
        <v>17</v>
      </c>
    </row>
    <row r="41" spans="1:5" x14ac:dyDescent="0.35">
      <c r="A41" t="s">
        <v>611</v>
      </c>
      <c r="B41" t="s">
        <v>612</v>
      </c>
      <c r="C41" t="s">
        <v>551</v>
      </c>
      <c r="D41" t="s">
        <v>552</v>
      </c>
      <c r="E41" t="s">
        <v>7</v>
      </c>
    </row>
  </sheetData>
  <conditionalFormatting sqref="A1:A2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3F94-05D9-4377-A978-540CFDFD3C5D}">
  <dimension ref="A1:F318"/>
  <sheetViews>
    <sheetView workbookViewId="0">
      <selection activeCell="I6" sqref="I6"/>
    </sheetView>
  </sheetViews>
  <sheetFormatPr defaultRowHeight="14.5" x14ac:dyDescent="0.35"/>
  <cols>
    <col min="1" max="1" width="10.81640625" bestFit="1" customWidth="1"/>
    <col min="2" max="2" width="10.26953125" bestFit="1" customWidth="1"/>
    <col min="3" max="3" width="20" bestFit="1" customWidth="1"/>
    <col min="4" max="4" width="12.90625" bestFit="1" customWidth="1"/>
    <col min="5" max="5" width="12.90625" customWidth="1"/>
    <col min="6" max="6" width="14.08984375" style="2" bestFit="1" customWidth="1"/>
  </cols>
  <sheetData>
    <row r="1" spans="1:6" x14ac:dyDescent="0.35">
      <c r="A1" t="s">
        <v>6181</v>
      </c>
      <c r="B1" t="s">
        <v>675</v>
      </c>
      <c r="C1" t="s">
        <v>6182</v>
      </c>
      <c r="D1" t="s">
        <v>6183</v>
      </c>
      <c r="E1" t="s">
        <v>6535</v>
      </c>
      <c r="F1" s="2" t="s">
        <v>6184</v>
      </c>
    </row>
    <row r="2" spans="1:6" x14ac:dyDescent="0.35">
      <c r="A2" t="s">
        <v>6185</v>
      </c>
      <c r="B2" t="s">
        <v>686</v>
      </c>
      <c r="C2" t="s">
        <v>6186</v>
      </c>
      <c r="D2" s="1">
        <v>45379</v>
      </c>
      <c r="E2" s="1" t="str">
        <f>TEXT(Claim_Denials_Cleaned[[#This Row],[denial_date]],"mmm-yyyy")</f>
        <v>Mar-2024</v>
      </c>
      <c r="F2" s="2">
        <v>101.52</v>
      </c>
    </row>
    <row r="3" spans="1:6" x14ac:dyDescent="0.35">
      <c r="A3" t="s">
        <v>6187</v>
      </c>
      <c r="B3" t="s">
        <v>696</v>
      </c>
      <c r="C3" t="s">
        <v>6188</v>
      </c>
      <c r="D3" s="1">
        <v>45065</v>
      </c>
      <c r="E3" s="1" t="str">
        <f>TEXT(Claim_Denials_Cleaned[[#This Row],[denial_date]],"mmm-yyyy")</f>
        <v>May-2023</v>
      </c>
      <c r="F3" s="2">
        <v>25.1</v>
      </c>
    </row>
    <row r="4" spans="1:6" x14ac:dyDescent="0.35">
      <c r="A4" t="s">
        <v>6189</v>
      </c>
      <c r="B4" t="s">
        <v>698</v>
      </c>
      <c r="C4" t="s">
        <v>6188</v>
      </c>
      <c r="D4" s="1">
        <v>45314</v>
      </c>
      <c r="E4" s="1" t="str">
        <f>TEXT(Claim_Denials_Cleaned[[#This Row],[denial_date]],"mmm-yyyy")</f>
        <v>Jan-2024</v>
      </c>
      <c r="F4" s="2">
        <v>270.43</v>
      </c>
    </row>
    <row r="5" spans="1:6" x14ac:dyDescent="0.35">
      <c r="A5" t="s">
        <v>6190</v>
      </c>
      <c r="B5" t="s">
        <v>703</v>
      </c>
      <c r="C5" t="s">
        <v>6191</v>
      </c>
      <c r="D5" s="1">
        <v>45113</v>
      </c>
      <c r="E5" s="1" t="str">
        <f>TEXT(Claim_Denials_Cleaned[[#This Row],[denial_date]],"mmm-yyyy")</f>
        <v>Jul-2023</v>
      </c>
      <c r="F5" s="2">
        <v>652.24</v>
      </c>
    </row>
    <row r="6" spans="1:6" x14ac:dyDescent="0.35">
      <c r="A6" t="s">
        <v>6192</v>
      </c>
      <c r="B6" t="s">
        <v>716</v>
      </c>
      <c r="C6" t="s">
        <v>6186</v>
      </c>
      <c r="D6" s="1">
        <v>45480</v>
      </c>
      <c r="E6" s="1" t="str">
        <f>TEXT(Claim_Denials_Cleaned[[#This Row],[denial_date]],"mmm-yyyy")</f>
        <v>Jul-2024</v>
      </c>
      <c r="F6" s="2">
        <v>244.78</v>
      </c>
    </row>
    <row r="7" spans="1:6" x14ac:dyDescent="0.35">
      <c r="A7" t="s">
        <v>6193</v>
      </c>
      <c r="B7" t="s">
        <v>729</v>
      </c>
      <c r="C7" t="s">
        <v>6186</v>
      </c>
      <c r="D7" s="1">
        <v>44994</v>
      </c>
      <c r="E7" s="1" t="str">
        <f>TEXT(Claim_Denials_Cleaned[[#This Row],[denial_date]],"mmm-yyyy")</f>
        <v>Mar-2023</v>
      </c>
      <c r="F7" s="2">
        <v>2832.29</v>
      </c>
    </row>
    <row r="8" spans="1:6" x14ac:dyDescent="0.35">
      <c r="A8" t="s">
        <v>6194</v>
      </c>
      <c r="B8" t="s">
        <v>752</v>
      </c>
      <c r="C8" t="s">
        <v>6188</v>
      </c>
      <c r="D8" s="1">
        <v>45255</v>
      </c>
      <c r="E8" s="1" t="str">
        <f>TEXT(Claim_Denials_Cleaned[[#This Row],[denial_date]],"mmm-yyyy")</f>
        <v>Nov-2023</v>
      </c>
      <c r="F8" s="2">
        <v>227.15</v>
      </c>
    </row>
    <row r="9" spans="1:6" x14ac:dyDescent="0.35">
      <c r="A9" t="s">
        <v>6195</v>
      </c>
      <c r="B9" t="s">
        <v>755</v>
      </c>
      <c r="C9" t="s">
        <v>6196</v>
      </c>
      <c r="D9" s="1">
        <v>45353</v>
      </c>
      <c r="E9" s="1" t="str">
        <f>TEXT(Claim_Denials_Cleaned[[#This Row],[denial_date]],"mmm-yyyy")</f>
        <v>Mar-2024</v>
      </c>
      <c r="F9" s="2">
        <v>58.1</v>
      </c>
    </row>
    <row r="10" spans="1:6" x14ac:dyDescent="0.35">
      <c r="A10" t="s">
        <v>6197</v>
      </c>
      <c r="B10" t="s">
        <v>765</v>
      </c>
      <c r="C10" t="s">
        <v>6191</v>
      </c>
      <c r="D10" s="1">
        <v>45008</v>
      </c>
      <c r="E10" s="1" t="str">
        <f>TEXT(Claim_Denials_Cleaned[[#This Row],[denial_date]],"mmm-yyyy")</f>
        <v>Mar-2023</v>
      </c>
      <c r="F10" s="2">
        <v>276.38</v>
      </c>
    </row>
    <row r="11" spans="1:6" x14ac:dyDescent="0.35">
      <c r="A11" t="s">
        <v>6198</v>
      </c>
      <c r="B11" t="s">
        <v>766</v>
      </c>
      <c r="C11" t="s">
        <v>6199</v>
      </c>
      <c r="D11" s="1">
        <v>45093</v>
      </c>
      <c r="E11" s="1" t="str">
        <f>TEXT(Claim_Denials_Cleaned[[#This Row],[denial_date]],"mmm-yyyy")</f>
        <v>Jun-2023</v>
      </c>
      <c r="F11" s="2">
        <v>1150.0899999999999</v>
      </c>
    </row>
    <row r="12" spans="1:6" x14ac:dyDescent="0.35">
      <c r="A12" t="s">
        <v>6200</v>
      </c>
      <c r="B12" t="s">
        <v>767</v>
      </c>
      <c r="C12" t="s">
        <v>6186</v>
      </c>
      <c r="D12" s="1">
        <v>45560</v>
      </c>
      <c r="E12" s="1" t="str">
        <f>TEXT(Claim_Denials_Cleaned[[#This Row],[denial_date]],"mmm-yyyy")</f>
        <v>Sep-2024</v>
      </c>
      <c r="F12" s="2">
        <v>479.23</v>
      </c>
    </row>
    <row r="13" spans="1:6" x14ac:dyDescent="0.35">
      <c r="A13" t="s">
        <v>6201</v>
      </c>
      <c r="B13" t="s">
        <v>769</v>
      </c>
      <c r="C13" t="s">
        <v>6202</v>
      </c>
      <c r="D13" s="1">
        <v>45448</v>
      </c>
      <c r="E13" s="1" t="str">
        <f>TEXT(Claim_Denials_Cleaned[[#This Row],[denial_date]],"mmm-yyyy")</f>
        <v>Jun-2024</v>
      </c>
      <c r="F13" s="2">
        <v>533.45000000000005</v>
      </c>
    </row>
    <row r="14" spans="1:6" x14ac:dyDescent="0.35">
      <c r="A14" t="s">
        <v>6203</v>
      </c>
      <c r="B14" t="s">
        <v>773</v>
      </c>
      <c r="C14" t="s">
        <v>6199</v>
      </c>
      <c r="D14" s="1">
        <v>45003</v>
      </c>
      <c r="E14" s="1" t="str">
        <f>TEXT(Claim_Denials_Cleaned[[#This Row],[denial_date]],"mmm-yyyy")</f>
        <v>Mar-2023</v>
      </c>
      <c r="F14" s="2">
        <v>608.99</v>
      </c>
    </row>
    <row r="15" spans="1:6" x14ac:dyDescent="0.35">
      <c r="A15" t="s">
        <v>6204</v>
      </c>
      <c r="B15" t="s">
        <v>792</v>
      </c>
      <c r="C15" t="s">
        <v>6202</v>
      </c>
      <c r="D15" s="1">
        <v>45218</v>
      </c>
      <c r="E15" s="1" t="str">
        <f>TEXT(Claim_Denials_Cleaned[[#This Row],[denial_date]],"mmm-yyyy")</f>
        <v>Oct-2023</v>
      </c>
      <c r="F15" s="2">
        <v>222.29</v>
      </c>
    </row>
    <row r="16" spans="1:6" x14ac:dyDescent="0.35">
      <c r="A16" t="s">
        <v>6205</v>
      </c>
      <c r="B16" t="s">
        <v>796</v>
      </c>
      <c r="C16" t="s">
        <v>6188</v>
      </c>
      <c r="D16" s="1">
        <v>45268</v>
      </c>
      <c r="E16" s="1" t="str">
        <f>TEXT(Claim_Denials_Cleaned[[#This Row],[denial_date]],"mmm-yyyy")</f>
        <v>Dec-2023</v>
      </c>
      <c r="F16" s="2">
        <v>46.76</v>
      </c>
    </row>
    <row r="17" spans="1:6" x14ac:dyDescent="0.35">
      <c r="A17" t="s">
        <v>6206</v>
      </c>
      <c r="B17" t="s">
        <v>808</v>
      </c>
      <c r="C17" t="s">
        <v>6191</v>
      </c>
      <c r="D17" s="1">
        <v>45369</v>
      </c>
      <c r="E17" s="1" t="str">
        <f>TEXT(Claim_Denials_Cleaned[[#This Row],[denial_date]],"mmm-yyyy")</f>
        <v>Mar-2024</v>
      </c>
      <c r="F17" s="2">
        <v>535.76</v>
      </c>
    </row>
    <row r="18" spans="1:6" x14ac:dyDescent="0.35">
      <c r="A18" t="s">
        <v>6207</v>
      </c>
      <c r="B18" t="s">
        <v>816</v>
      </c>
      <c r="C18" t="s">
        <v>6191</v>
      </c>
      <c r="D18" s="1">
        <v>45591</v>
      </c>
      <c r="E18" s="1" t="str">
        <f>TEXT(Claim_Denials_Cleaned[[#This Row],[denial_date]],"mmm-yyyy")</f>
        <v>Oct-2024</v>
      </c>
      <c r="F18" s="2">
        <v>1543.57</v>
      </c>
    </row>
    <row r="19" spans="1:6" x14ac:dyDescent="0.35">
      <c r="A19" t="s">
        <v>6208</v>
      </c>
      <c r="B19" t="s">
        <v>817</v>
      </c>
      <c r="C19" t="s">
        <v>6199</v>
      </c>
      <c r="D19" s="1">
        <v>45332</v>
      </c>
      <c r="E19" s="1" t="str">
        <f>TEXT(Claim_Denials_Cleaned[[#This Row],[denial_date]],"mmm-yyyy")</f>
        <v>Feb-2024</v>
      </c>
      <c r="F19" s="2">
        <v>134.26</v>
      </c>
    </row>
    <row r="20" spans="1:6" x14ac:dyDescent="0.35">
      <c r="A20" t="s">
        <v>6209</v>
      </c>
      <c r="B20" t="s">
        <v>818</v>
      </c>
      <c r="C20" t="s">
        <v>6199</v>
      </c>
      <c r="D20" s="1">
        <v>45128</v>
      </c>
      <c r="E20" s="1" t="str">
        <f>TEXT(Claim_Denials_Cleaned[[#This Row],[denial_date]],"mmm-yyyy")</f>
        <v>Jul-2023</v>
      </c>
      <c r="F20" s="2">
        <v>162.72999999999999</v>
      </c>
    </row>
    <row r="21" spans="1:6" x14ac:dyDescent="0.35">
      <c r="A21" t="s">
        <v>6210</v>
      </c>
      <c r="B21" t="s">
        <v>820</v>
      </c>
      <c r="C21" t="s">
        <v>6196</v>
      </c>
      <c r="D21" s="1">
        <v>45672</v>
      </c>
      <c r="E21" s="1" t="str">
        <f>TEXT(Claim_Denials_Cleaned[[#This Row],[denial_date]],"mmm-yyyy")</f>
        <v>Jan-2025</v>
      </c>
      <c r="F21" s="2">
        <v>377.87</v>
      </c>
    </row>
    <row r="22" spans="1:6" x14ac:dyDescent="0.35">
      <c r="A22" t="s">
        <v>6211</v>
      </c>
      <c r="B22" t="s">
        <v>839</v>
      </c>
      <c r="C22" t="s">
        <v>6199</v>
      </c>
      <c r="D22" s="1">
        <v>45104</v>
      </c>
      <c r="E22" s="1" t="str">
        <f>TEXT(Claim_Denials_Cleaned[[#This Row],[denial_date]],"mmm-yyyy")</f>
        <v>Jun-2023</v>
      </c>
      <c r="F22" s="2">
        <v>215.56</v>
      </c>
    </row>
    <row r="23" spans="1:6" x14ac:dyDescent="0.35">
      <c r="A23" t="s">
        <v>6212</v>
      </c>
      <c r="B23" t="s">
        <v>844</v>
      </c>
      <c r="C23" t="s">
        <v>6191</v>
      </c>
      <c r="D23" s="1">
        <v>45603</v>
      </c>
      <c r="E23" s="1" t="str">
        <f>TEXT(Claim_Denials_Cleaned[[#This Row],[denial_date]],"mmm-yyyy")</f>
        <v>Nov-2024</v>
      </c>
      <c r="F23" s="2">
        <v>2203.27</v>
      </c>
    </row>
    <row r="24" spans="1:6" x14ac:dyDescent="0.35">
      <c r="A24" t="s">
        <v>6213</v>
      </c>
      <c r="B24" t="s">
        <v>849</v>
      </c>
      <c r="C24" t="s">
        <v>6186</v>
      </c>
      <c r="D24" s="1">
        <v>45256</v>
      </c>
      <c r="E24" s="1" t="str">
        <f>TEXT(Claim_Denials_Cleaned[[#This Row],[denial_date]],"mmm-yyyy")</f>
        <v>Nov-2023</v>
      </c>
      <c r="F24" s="2">
        <v>525.11</v>
      </c>
    </row>
    <row r="25" spans="1:6" x14ac:dyDescent="0.35">
      <c r="A25" t="s">
        <v>6214</v>
      </c>
      <c r="B25" t="s">
        <v>856</v>
      </c>
      <c r="C25" t="s">
        <v>6188</v>
      </c>
      <c r="D25" s="1">
        <v>45239</v>
      </c>
      <c r="E25" s="1" t="str">
        <f>TEXT(Claim_Denials_Cleaned[[#This Row],[denial_date]],"mmm-yyyy")</f>
        <v>Nov-2023</v>
      </c>
      <c r="F25" s="2">
        <v>263.64999999999998</v>
      </c>
    </row>
    <row r="26" spans="1:6" x14ac:dyDescent="0.35">
      <c r="A26" t="s">
        <v>6215</v>
      </c>
      <c r="B26" t="s">
        <v>857</v>
      </c>
      <c r="C26" t="s">
        <v>6199</v>
      </c>
      <c r="D26" s="1">
        <v>45328</v>
      </c>
      <c r="E26" s="1" t="str">
        <f>TEXT(Claim_Denials_Cleaned[[#This Row],[denial_date]],"mmm-yyyy")</f>
        <v>Feb-2024</v>
      </c>
      <c r="F26" s="2">
        <v>485.8</v>
      </c>
    </row>
    <row r="27" spans="1:6" x14ac:dyDescent="0.35">
      <c r="A27" t="s">
        <v>6216</v>
      </c>
      <c r="B27" t="s">
        <v>861</v>
      </c>
      <c r="C27" t="s">
        <v>6188</v>
      </c>
      <c r="D27" s="1">
        <v>45098</v>
      </c>
      <c r="E27" s="1" t="str">
        <f>TEXT(Claim_Denials_Cleaned[[#This Row],[denial_date]],"mmm-yyyy")</f>
        <v>Jun-2023</v>
      </c>
      <c r="F27" s="2">
        <v>708.09</v>
      </c>
    </row>
    <row r="28" spans="1:6" x14ac:dyDescent="0.35">
      <c r="A28" t="s">
        <v>6217</v>
      </c>
      <c r="B28" t="s">
        <v>862</v>
      </c>
      <c r="C28" t="s">
        <v>6186</v>
      </c>
      <c r="D28" s="1">
        <v>45115</v>
      </c>
      <c r="E28" s="1" t="str">
        <f>TEXT(Claim_Denials_Cleaned[[#This Row],[denial_date]],"mmm-yyyy")</f>
        <v>Jul-2023</v>
      </c>
      <c r="F28" s="2">
        <v>121.5</v>
      </c>
    </row>
    <row r="29" spans="1:6" x14ac:dyDescent="0.35">
      <c r="A29" t="s">
        <v>6218</v>
      </c>
      <c r="B29" t="s">
        <v>891</v>
      </c>
      <c r="C29" t="s">
        <v>6186</v>
      </c>
      <c r="D29" s="1">
        <v>45023</v>
      </c>
      <c r="E29" s="1" t="str">
        <f>TEXT(Claim_Denials_Cleaned[[#This Row],[denial_date]],"mmm-yyyy")</f>
        <v>Apr-2023</v>
      </c>
      <c r="F29" s="2">
        <v>809.2</v>
      </c>
    </row>
    <row r="30" spans="1:6" x14ac:dyDescent="0.35">
      <c r="A30" t="s">
        <v>6219</v>
      </c>
      <c r="B30" t="s">
        <v>895</v>
      </c>
      <c r="C30" t="s">
        <v>6188</v>
      </c>
      <c r="D30" s="1">
        <v>45596</v>
      </c>
      <c r="E30" s="1" t="str">
        <f>TEXT(Claim_Denials_Cleaned[[#This Row],[denial_date]],"mmm-yyyy")</f>
        <v>Oct-2024</v>
      </c>
      <c r="F30" s="2">
        <v>68.27</v>
      </c>
    </row>
    <row r="31" spans="1:6" x14ac:dyDescent="0.35">
      <c r="A31" t="s">
        <v>6220</v>
      </c>
      <c r="B31" t="s">
        <v>898</v>
      </c>
      <c r="C31" t="s">
        <v>6188</v>
      </c>
      <c r="D31" s="1">
        <v>45530</v>
      </c>
      <c r="E31" s="1" t="str">
        <f>TEXT(Claim_Denials_Cleaned[[#This Row],[denial_date]],"mmm-yyyy")</f>
        <v>Aug-2024</v>
      </c>
      <c r="F31" s="2">
        <v>148.13</v>
      </c>
    </row>
    <row r="32" spans="1:6" x14ac:dyDescent="0.35">
      <c r="A32" t="s">
        <v>6221</v>
      </c>
      <c r="B32" t="s">
        <v>901</v>
      </c>
      <c r="C32" t="s">
        <v>6196</v>
      </c>
      <c r="D32" s="1">
        <v>45511</v>
      </c>
      <c r="E32" s="1" t="str">
        <f>TEXT(Claim_Denials_Cleaned[[#This Row],[denial_date]],"mmm-yyyy")</f>
        <v>Aug-2024</v>
      </c>
      <c r="F32" s="2">
        <v>51.64</v>
      </c>
    </row>
    <row r="33" spans="1:6" x14ac:dyDescent="0.35">
      <c r="A33" t="s">
        <v>6222</v>
      </c>
      <c r="B33" t="s">
        <v>917</v>
      </c>
      <c r="C33" t="s">
        <v>6202</v>
      </c>
      <c r="D33" s="1">
        <v>45164</v>
      </c>
      <c r="E33" s="1" t="str">
        <f>TEXT(Claim_Denials_Cleaned[[#This Row],[denial_date]],"mmm-yyyy")</f>
        <v>Aug-2023</v>
      </c>
      <c r="F33" s="2">
        <v>46.14</v>
      </c>
    </row>
    <row r="34" spans="1:6" x14ac:dyDescent="0.35">
      <c r="A34" t="s">
        <v>6223</v>
      </c>
      <c r="B34" t="s">
        <v>925</v>
      </c>
      <c r="C34" t="s">
        <v>6191</v>
      </c>
      <c r="D34" s="1">
        <v>44959</v>
      </c>
      <c r="E34" s="1" t="str">
        <f>TEXT(Claim_Denials_Cleaned[[#This Row],[denial_date]],"mmm-yyyy")</f>
        <v>Feb-2023</v>
      </c>
      <c r="F34" s="2">
        <v>170.38</v>
      </c>
    </row>
    <row r="35" spans="1:6" x14ac:dyDescent="0.35">
      <c r="A35" t="s">
        <v>6224</v>
      </c>
      <c r="B35" t="s">
        <v>933</v>
      </c>
      <c r="C35" t="s">
        <v>6186</v>
      </c>
      <c r="D35" s="1">
        <v>45636</v>
      </c>
      <c r="E35" s="1" t="str">
        <f>TEXT(Claim_Denials_Cleaned[[#This Row],[denial_date]],"mmm-yyyy")</f>
        <v>Dec-2024</v>
      </c>
      <c r="F35" s="2">
        <v>44.65</v>
      </c>
    </row>
    <row r="36" spans="1:6" x14ac:dyDescent="0.35">
      <c r="A36" t="s">
        <v>6225</v>
      </c>
      <c r="B36" t="s">
        <v>936</v>
      </c>
      <c r="C36" t="s">
        <v>6191</v>
      </c>
      <c r="D36" s="1">
        <v>45336</v>
      </c>
      <c r="E36" s="1" t="str">
        <f>TEXT(Claim_Denials_Cleaned[[#This Row],[denial_date]],"mmm-yyyy")</f>
        <v>Feb-2024</v>
      </c>
      <c r="F36" s="2">
        <v>436.5</v>
      </c>
    </row>
    <row r="37" spans="1:6" x14ac:dyDescent="0.35">
      <c r="A37" t="s">
        <v>6226</v>
      </c>
      <c r="B37" t="s">
        <v>937</v>
      </c>
      <c r="C37" t="s">
        <v>6188</v>
      </c>
      <c r="D37" s="1">
        <v>45126</v>
      </c>
      <c r="E37" s="1" t="str">
        <f>TEXT(Claim_Denials_Cleaned[[#This Row],[denial_date]],"mmm-yyyy")</f>
        <v>Jul-2023</v>
      </c>
      <c r="F37" s="2">
        <v>525.54</v>
      </c>
    </row>
    <row r="38" spans="1:6" x14ac:dyDescent="0.35">
      <c r="A38" t="s">
        <v>6227</v>
      </c>
      <c r="B38" t="s">
        <v>938</v>
      </c>
      <c r="C38" t="s">
        <v>6196</v>
      </c>
      <c r="D38" s="1">
        <v>45381</v>
      </c>
      <c r="E38" s="1" t="str">
        <f>TEXT(Claim_Denials_Cleaned[[#This Row],[denial_date]],"mmm-yyyy")</f>
        <v>Mar-2024</v>
      </c>
      <c r="F38" s="2">
        <v>186.06</v>
      </c>
    </row>
    <row r="39" spans="1:6" x14ac:dyDescent="0.35">
      <c r="A39" t="s">
        <v>6228</v>
      </c>
      <c r="B39" t="s">
        <v>943</v>
      </c>
      <c r="C39" t="s">
        <v>6186</v>
      </c>
      <c r="D39" s="1">
        <v>45525</v>
      </c>
      <c r="E39" s="1" t="str">
        <f>TEXT(Claim_Denials_Cleaned[[#This Row],[denial_date]],"mmm-yyyy")</f>
        <v>Aug-2024</v>
      </c>
      <c r="F39" s="2">
        <v>244.95</v>
      </c>
    </row>
    <row r="40" spans="1:6" x14ac:dyDescent="0.35">
      <c r="A40" t="s">
        <v>6229</v>
      </c>
      <c r="B40" t="s">
        <v>945</v>
      </c>
      <c r="C40" t="s">
        <v>6196</v>
      </c>
      <c r="D40" s="1">
        <v>45456</v>
      </c>
      <c r="E40" s="1" t="str">
        <f>TEXT(Claim_Denials_Cleaned[[#This Row],[denial_date]],"mmm-yyyy")</f>
        <v>Jun-2024</v>
      </c>
      <c r="F40" s="2">
        <v>2939.64</v>
      </c>
    </row>
    <row r="41" spans="1:6" x14ac:dyDescent="0.35">
      <c r="A41" t="s">
        <v>6230</v>
      </c>
      <c r="B41" t="s">
        <v>947</v>
      </c>
      <c r="C41" t="s">
        <v>6202</v>
      </c>
      <c r="D41" s="1">
        <v>45244</v>
      </c>
      <c r="E41" s="1" t="str">
        <f>TEXT(Claim_Denials_Cleaned[[#This Row],[denial_date]],"mmm-yyyy")</f>
        <v>Nov-2023</v>
      </c>
      <c r="F41" s="2">
        <v>323.81</v>
      </c>
    </row>
    <row r="42" spans="1:6" x14ac:dyDescent="0.35">
      <c r="A42" t="s">
        <v>6231</v>
      </c>
      <c r="B42" t="s">
        <v>948</v>
      </c>
      <c r="C42" t="s">
        <v>6186</v>
      </c>
      <c r="D42" s="1">
        <v>45117</v>
      </c>
      <c r="E42" s="1" t="str">
        <f>TEXT(Claim_Denials_Cleaned[[#This Row],[denial_date]],"mmm-yyyy")</f>
        <v>Jul-2023</v>
      </c>
      <c r="F42" s="2">
        <v>1348.57</v>
      </c>
    </row>
    <row r="43" spans="1:6" x14ac:dyDescent="0.35">
      <c r="A43" t="s">
        <v>6232</v>
      </c>
      <c r="B43" t="s">
        <v>954</v>
      </c>
      <c r="C43" t="s">
        <v>6188</v>
      </c>
      <c r="D43" s="1">
        <v>45181</v>
      </c>
      <c r="E43" s="1" t="str">
        <f>TEXT(Claim_Denials_Cleaned[[#This Row],[denial_date]],"mmm-yyyy")</f>
        <v>Sep-2023</v>
      </c>
      <c r="F43" s="2">
        <v>685.43</v>
      </c>
    </row>
    <row r="44" spans="1:6" x14ac:dyDescent="0.35">
      <c r="A44" t="s">
        <v>6233</v>
      </c>
      <c r="B44" t="s">
        <v>955</v>
      </c>
      <c r="C44" t="s">
        <v>6199</v>
      </c>
      <c r="D44" s="1">
        <v>45039</v>
      </c>
      <c r="E44" s="1" t="str">
        <f>TEXT(Claim_Denials_Cleaned[[#This Row],[denial_date]],"mmm-yyyy")</f>
        <v>Apr-2023</v>
      </c>
      <c r="F44" s="2">
        <v>245.73</v>
      </c>
    </row>
    <row r="45" spans="1:6" x14ac:dyDescent="0.35">
      <c r="A45" t="s">
        <v>6234</v>
      </c>
      <c r="B45" t="s">
        <v>969</v>
      </c>
      <c r="C45" t="s">
        <v>6199</v>
      </c>
      <c r="D45" s="1">
        <v>45081</v>
      </c>
      <c r="E45" s="1" t="str">
        <f>TEXT(Claim_Denials_Cleaned[[#This Row],[denial_date]],"mmm-yyyy")</f>
        <v>Jun-2023</v>
      </c>
      <c r="F45" s="2">
        <v>41.46</v>
      </c>
    </row>
    <row r="46" spans="1:6" x14ac:dyDescent="0.35">
      <c r="A46" t="s">
        <v>6235</v>
      </c>
      <c r="B46" t="s">
        <v>974</v>
      </c>
      <c r="C46" t="s">
        <v>6202</v>
      </c>
      <c r="D46" s="1">
        <v>45564</v>
      </c>
      <c r="E46" s="1" t="str">
        <f>TEXT(Claim_Denials_Cleaned[[#This Row],[denial_date]],"mmm-yyyy")</f>
        <v>Sep-2024</v>
      </c>
      <c r="F46" s="2">
        <v>928.85</v>
      </c>
    </row>
    <row r="47" spans="1:6" x14ac:dyDescent="0.35">
      <c r="A47" t="s">
        <v>6236</v>
      </c>
      <c r="B47" t="s">
        <v>993</v>
      </c>
      <c r="C47" t="s">
        <v>6196</v>
      </c>
      <c r="D47" s="1">
        <v>45594</v>
      </c>
      <c r="E47" s="1" t="str">
        <f>TEXT(Claim_Denials_Cleaned[[#This Row],[denial_date]],"mmm-yyyy")</f>
        <v>Oct-2024</v>
      </c>
      <c r="F47" s="2">
        <v>670.53</v>
      </c>
    </row>
    <row r="48" spans="1:6" x14ac:dyDescent="0.35">
      <c r="A48" t="s">
        <v>6237</v>
      </c>
      <c r="B48" t="s">
        <v>997</v>
      </c>
      <c r="C48" t="s">
        <v>6191</v>
      </c>
      <c r="D48" s="1">
        <v>45130</v>
      </c>
      <c r="E48" s="1" t="str">
        <f>TEXT(Claim_Denials_Cleaned[[#This Row],[denial_date]],"mmm-yyyy")</f>
        <v>Jul-2023</v>
      </c>
      <c r="F48" s="2">
        <v>1918.13</v>
      </c>
    </row>
    <row r="49" spans="1:6" x14ac:dyDescent="0.35">
      <c r="A49" t="s">
        <v>6238</v>
      </c>
      <c r="B49" t="s">
        <v>999</v>
      </c>
      <c r="C49" t="s">
        <v>6202</v>
      </c>
      <c r="D49" s="1">
        <v>45328</v>
      </c>
      <c r="E49" s="1" t="str">
        <f>TEXT(Claim_Denials_Cleaned[[#This Row],[denial_date]],"mmm-yyyy")</f>
        <v>Feb-2024</v>
      </c>
      <c r="F49" s="2">
        <v>312.77</v>
      </c>
    </row>
    <row r="50" spans="1:6" x14ac:dyDescent="0.35">
      <c r="A50" t="s">
        <v>6239</v>
      </c>
      <c r="B50" t="s">
        <v>1000</v>
      </c>
      <c r="C50" t="s">
        <v>6186</v>
      </c>
      <c r="D50" s="1">
        <v>45603</v>
      </c>
      <c r="E50" s="1" t="str">
        <f>TEXT(Claim_Denials_Cleaned[[#This Row],[denial_date]],"mmm-yyyy")</f>
        <v>Nov-2024</v>
      </c>
      <c r="F50" s="2">
        <v>343.19</v>
      </c>
    </row>
    <row r="51" spans="1:6" x14ac:dyDescent="0.35">
      <c r="A51" t="s">
        <v>6240</v>
      </c>
      <c r="B51" t="s">
        <v>1002</v>
      </c>
      <c r="C51" t="s">
        <v>6199</v>
      </c>
      <c r="D51" s="1">
        <v>45648</v>
      </c>
      <c r="E51" s="1" t="str">
        <f>TEXT(Claim_Denials_Cleaned[[#This Row],[denial_date]],"mmm-yyyy")</f>
        <v>Dec-2024</v>
      </c>
      <c r="F51" s="2">
        <v>485.26</v>
      </c>
    </row>
    <row r="52" spans="1:6" x14ac:dyDescent="0.35">
      <c r="A52" t="s">
        <v>6241</v>
      </c>
      <c r="B52" t="s">
        <v>1020</v>
      </c>
      <c r="C52" t="s">
        <v>6188</v>
      </c>
      <c r="D52" s="1">
        <v>45064</v>
      </c>
      <c r="E52" s="1" t="str">
        <f>TEXT(Claim_Denials_Cleaned[[#This Row],[denial_date]],"mmm-yyyy")</f>
        <v>May-2023</v>
      </c>
      <c r="F52" s="2">
        <v>710.15</v>
      </c>
    </row>
    <row r="53" spans="1:6" x14ac:dyDescent="0.35">
      <c r="A53" t="s">
        <v>6242</v>
      </c>
      <c r="B53" t="s">
        <v>1022</v>
      </c>
      <c r="C53" t="s">
        <v>6196</v>
      </c>
      <c r="D53" s="1">
        <v>45427</v>
      </c>
      <c r="E53" s="1" t="str">
        <f>TEXT(Claim_Denials_Cleaned[[#This Row],[denial_date]],"mmm-yyyy")</f>
        <v>May-2024</v>
      </c>
      <c r="F53" s="2">
        <v>96.69</v>
      </c>
    </row>
    <row r="54" spans="1:6" x14ac:dyDescent="0.35">
      <c r="A54" t="s">
        <v>6243</v>
      </c>
      <c r="B54" t="s">
        <v>1023</v>
      </c>
      <c r="C54" t="s">
        <v>6244</v>
      </c>
      <c r="D54" s="1">
        <v>45217</v>
      </c>
      <c r="E54" s="1" t="str">
        <f>TEXT(Claim_Denials_Cleaned[[#This Row],[denial_date]],"mmm-yyyy")</f>
        <v>Oct-2023</v>
      </c>
      <c r="F54" s="2">
        <v>3730.22</v>
      </c>
    </row>
    <row r="55" spans="1:6" x14ac:dyDescent="0.35">
      <c r="A55" t="s">
        <v>6245</v>
      </c>
      <c r="B55" t="s">
        <v>1026</v>
      </c>
      <c r="C55" t="s">
        <v>6199</v>
      </c>
      <c r="D55" s="1">
        <v>45149</v>
      </c>
      <c r="E55" s="1" t="str">
        <f>TEXT(Claim_Denials_Cleaned[[#This Row],[denial_date]],"mmm-yyyy")</f>
        <v>Aug-2023</v>
      </c>
      <c r="F55" s="2">
        <v>277.52999999999997</v>
      </c>
    </row>
    <row r="56" spans="1:6" x14ac:dyDescent="0.35">
      <c r="A56" t="s">
        <v>6246</v>
      </c>
      <c r="B56" t="s">
        <v>1038</v>
      </c>
      <c r="C56" t="s">
        <v>6186</v>
      </c>
      <c r="D56" s="1">
        <v>45614</v>
      </c>
      <c r="E56" s="1" t="str">
        <f>TEXT(Claim_Denials_Cleaned[[#This Row],[denial_date]],"mmm-yyyy")</f>
        <v>Nov-2024</v>
      </c>
      <c r="F56" s="2">
        <v>2740.86</v>
      </c>
    </row>
    <row r="57" spans="1:6" x14ac:dyDescent="0.35">
      <c r="A57" t="s">
        <v>6247</v>
      </c>
      <c r="B57" t="s">
        <v>1040</v>
      </c>
      <c r="C57" t="s">
        <v>6244</v>
      </c>
      <c r="D57" s="1">
        <v>45554</v>
      </c>
      <c r="E57" s="1" t="str">
        <f>TEXT(Claim_Denials_Cleaned[[#This Row],[denial_date]],"mmm-yyyy")</f>
        <v>Sep-2024</v>
      </c>
      <c r="F57" s="2">
        <v>84.92</v>
      </c>
    </row>
    <row r="58" spans="1:6" x14ac:dyDescent="0.35">
      <c r="A58" t="s">
        <v>6248</v>
      </c>
      <c r="B58" t="s">
        <v>1055</v>
      </c>
      <c r="C58" t="s">
        <v>6199</v>
      </c>
      <c r="D58" s="1">
        <v>45581</v>
      </c>
      <c r="E58" s="1" t="str">
        <f>TEXT(Claim_Denials_Cleaned[[#This Row],[denial_date]],"mmm-yyyy")</f>
        <v>Oct-2024</v>
      </c>
      <c r="F58" s="2">
        <v>1662.63</v>
      </c>
    </row>
    <row r="59" spans="1:6" x14ac:dyDescent="0.35">
      <c r="A59" t="s">
        <v>6249</v>
      </c>
      <c r="B59" t="s">
        <v>1076</v>
      </c>
      <c r="C59" t="s">
        <v>6199</v>
      </c>
      <c r="D59" s="1">
        <v>45189</v>
      </c>
      <c r="E59" s="1" t="str">
        <f>TEXT(Claim_Denials_Cleaned[[#This Row],[denial_date]],"mmm-yyyy")</f>
        <v>Sep-2023</v>
      </c>
      <c r="F59" s="2">
        <v>140.72</v>
      </c>
    </row>
    <row r="60" spans="1:6" x14ac:dyDescent="0.35">
      <c r="A60" t="s">
        <v>6250</v>
      </c>
      <c r="B60" t="s">
        <v>1083</v>
      </c>
      <c r="C60" t="s">
        <v>6188</v>
      </c>
      <c r="D60" s="1">
        <v>45483</v>
      </c>
      <c r="E60" s="1" t="str">
        <f>TEXT(Claim_Denials_Cleaned[[#This Row],[denial_date]],"mmm-yyyy")</f>
        <v>Jul-2024</v>
      </c>
      <c r="F60" s="2">
        <v>357.67</v>
      </c>
    </row>
    <row r="61" spans="1:6" x14ac:dyDescent="0.35">
      <c r="A61" t="s">
        <v>6251</v>
      </c>
      <c r="B61" t="s">
        <v>1085</v>
      </c>
      <c r="C61" t="s">
        <v>6186</v>
      </c>
      <c r="D61" s="1">
        <v>45549</v>
      </c>
      <c r="E61" s="1" t="str">
        <f>TEXT(Claim_Denials_Cleaned[[#This Row],[denial_date]],"mmm-yyyy")</f>
        <v>Sep-2024</v>
      </c>
      <c r="F61" s="2">
        <v>143.38999999999999</v>
      </c>
    </row>
    <row r="62" spans="1:6" x14ac:dyDescent="0.35">
      <c r="A62" t="s">
        <v>6252</v>
      </c>
      <c r="B62" t="s">
        <v>1088</v>
      </c>
      <c r="C62" t="s">
        <v>6196</v>
      </c>
      <c r="D62" s="1">
        <v>45497</v>
      </c>
      <c r="E62" s="1" t="str">
        <f>TEXT(Claim_Denials_Cleaned[[#This Row],[denial_date]],"mmm-yyyy")</f>
        <v>Jul-2024</v>
      </c>
      <c r="F62" s="2">
        <v>2037.57</v>
      </c>
    </row>
    <row r="63" spans="1:6" x14ac:dyDescent="0.35">
      <c r="A63" t="s">
        <v>6253</v>
      </c>
      <c r="B63" t="s">
        <v>1098</v>
      </c>
      <c r="C63" t="s">
        <v>6186</v>
      </c>
      <c r="D63" s="1">
        <v>45665</v>
      </c>
      <c r="E63" s="1" t="str">
        <f>TEXT(Claim_Denials_Cleaned[[#This Row],[denial_date]],"mmm-yyyy")</f>
        <v>Jan-2025</v>
      </c>
      <c r="F63" s="2">
        <v>491.73</v>
      </c>
    </row>
    <row r="64" spans="1:6" x14ac:dyDescent="0.35">
      <c r="A64" t="s">
        <v>6254</v>
      </c>
      <c r="B64" t="s">
        <v>1107</v>
      </c>
      <c r="C64" t="s">
        <v>6199</v>
      </c>
      <c r="D64" s="1">
        <v>45274</v>
      </c>
      <c r="E64" s="1" t="str">
        <f>TEXT(Claim_Denials_Cleaned[[#This Row],[denial_date]],"mmm-yyyy")</f>
        <v>Dec-2023</v>
      </c>
      <c r="F64" s="2">
        <v>115.79</v>
      </c>
    </row>
    <row r="65" spans="1:6" x14ac:dyDescent="0.35">
      <c r="A65" t="s">
        <v>6255</v>
      </c>
      <c r="B65" t="s">
        <v>1127</v>
      </c>
      <c r="C65" t="s">
        <v>6202</v>
      </c>
      <c r="D65" s="1">
        <v>45143</v>
      </c>
      <c r="E65" s="1" t="str">
        <f>TEXT(Claim_Denials_Cleaned[[#This Row],[denial_date]],"mmm-yyyy")</f>
        <v>Aug-2023</v>
      </c>
      <c r="F65" s="2">
        <v>264.81</v>
      </c>
    </row>
    <row r="66" spans="1:6" x14ac:dyDescent="0.35">
      <c r="A66" t="s">
        <v>6256</v>
      </c>
      <c r="B66" t="s">
        <v>1147</v>
      </c>
      <c r="C66" t="s">
        <v>6191</v>
      </c>
      <c r="D66" s="1">
        <v>44992</v>
      </c>
      <c r="E66" s="1" t="str">
        <f>TEXT(Claim_Denials_Cleaned[[#This Row],[denial_date]],"mmm-yyyy")</f>
        <v>Mar-2023</v>
      </c>
      <c r="F66" s="2">
        <v>6380.61</v>
      </c>
    </row>
    <row r="67" spans="1:6" x14ac:dyDescent="0.35">
      <c r="A67" t="s">
        <v>6257</v>
      </c>
      <c r="B67" t="s">
        <v>1154</v>
      </c>
      <c r="C67" t="s">
        <v>6186</v>
      </c>
      <c r="D67" s="1">
        <v>45239</v>
      </c>
      <c r="E67" s="1" t="str">
        <f>TEXT(Claim_Denials_Cleaned[[#This Row],[denial_date]],"mmm-yyyy")</f>
        <v>Nov-2023</v>
      </c>
      <c r="F67" s="2">
        <v>532.36</v>
      </c>
    </row>
    <row r="68" spans="1:6" x14ac:dyDescent="0.35">
      <c r="A68" t="s">
        <v>6258</v>
      </c>
      <c r="B68" t="s">
        <v>1160</v>
      </c>
      <c r="C68" t="s">
        <v>6186</v>
      </c>
      <c r="D68" s="1">
        <v>44974</v>
      </c>
      <c r="E68" s="1" t="str">
        <f>TEXT(Claim_Denials_Cleaned[[#This Row],[denial_date]],"mmm-yyyy")</f>
        <v>Feb-2023</v>
      </c>
      <c r="F68" s="2">
        <v>76.760000000000005</v>
      </c>
    </row>
    <row r="69" spans="1:6" x14ac:dyDescent="0.35">
      <c r="A69" t="s">
        <v>6259</v>
      </c>
      <c r="B69" t="s">
        <v>1161</v>
      </c>
      <c r="C69" t="s">
        <v>6191</v>
      </c>
      <c r="D69" s="1">
        <v>45433</v>
      </c>
      <c r="E69" s="1" t="str">
        <f>TEXT(Claim_Denials_Cleaned[[#This Row],[denial_date]],"mmm-yyyy")</f>
        <v>May-2024</v>
      </c>
      <c r="F69" s="2">
        <v>77.3</v>
      </c>
    </row>
    <row r="70" spans="1:6" x14ac:dyDescent="0.35">
      <c r="A70" t="s">
        <v>6260</v>
      </c>
      <c r="B70" t="s">
        <v>1170</v>
      </c>
      <c r="C70" t="s">
        <v>6196</v>
      </c>
      <c r="D70" s="1">
        <v>45278</v>
      </c>
      <c r="E70" s="1" t="str">
        <f>TEXT(Claim_Denials_Cleaned[[#This Row],[denial_date]],"mmm-yyyy")</f>
        <v>Dec-2023</v>
      </c>
      <c r="F70" s="2">
        <v>253.76</v>
      </c>
    </row>
    <row r="71" spans="1:6" x14ac:dyDescent="0.35">
      <c r="A71" t="s">
        <v>6261</v>
      </c>
      <c r="B71" t="s">
        <v>1171</v>
      </c>
      <c r="C71" t="s">
        <v>6188</v>
      </c>
      <c r="D71" s="1">
        <v>45385</v>
      </c>
      <c r="E71" s="1" t="str">
        <f>TEXT(Claim_Denials_Cleaned[[#This Row],[denial_date]],"mmm-yyyy")</f>
        <v>Apr-2024</v>
      </c>
      <c r="F71" s="2">
        <v>2719.65</v>
      </c>
    </row>
    <row r="72" spans="1:6" x14ac:dyDescent="0.35">
      <c r="A72" t="s">
        <v>6262</v>
      </c>
      <c r="B72" t="s">
        <v>1196</v>
      </c>
      <c r="C72" t="s">
        <v>6199</v>
      </c>
      <c r="D72" s="1">
        <v>45300</v>
      </c>
      <c r="E72" s="1" t="str">
        <f>TEXT(Claim_Denials_Cleaned[[#This Row],[denial_date]],"mmm-yyyy")</f>
        <v>Jan-2024</v>
      </c>
      <c r="F72" s="2">
        <v>84.86</v>
      </c>
    </row>
    <row r="73" spans="1:6" x14ac:dyDescent="0.35">
      <c r="A73" t="s">
        <v>6263</v>
      </c>
      <c r="B73" t="s">
        <v>1220</v>
      </c>
      <c r="C73" t="s">
        <v>6199</v>
      </c>
      <c r="D73" s="1">
        <v>45621</v>
      </c>
      <c r="E73" s="1" t="str">
        <f>TEXT(Claim_Denials_Cleaned[[#This Row],[denial_date]],"mmm-yyyy")</f>
        <v>Nov-2024</v>
      </c>
      <c r="F73" s="2">
        <v>78.78</v>
      </c>
    </row>
    <row r="74" spans="1:6" x14ac:dyDescent="0.35">
      <c r="A74" t="s">
        <v>6264</v>
      </c>
      <c r="B74" t="s">
        <v>1228</v>
      </c>
      <c r="C74" t="s">
        <v>6186</v>
      </c>
      <c r="D74" s="1">
        <v>45350</v>
      </c>
      <c r="E74" s="1" t="str">
        <f>TEXT(Claim_Denials_Cleaned[[#This Row],[denial_date]],"mmm-yyyy")</f>
        <v>Feb-2024</v>
      </c>
      <c r="F74" s="2">
        <v>179.85</v>
      </c>
    </row>
    <row r="75" spans="1:6" x14ac:dyDescent="0.35">
      <c r="A75" t="s">
        <v>6265</v>
      </c>
      <c r="B75" t="s">
        <v>1231</v>
      </c>
      <c r="C75" t="s">
        <v>6196</v>
      </c>
      <c r="D75" s="1">
        <v>45647</v>
      </c>
      <c r="E75" s="1" t="str">
        <f>TEXT(Claim_Denials_Cleaned[[#This Row],[denial_date]],"mmm-yyyy")</f>
        <v>Dec-2024</v>
      </c>
      <c r="F75" s="2">
        <v>133.91999999999999</v>
      </c>
    </row>
    <row r="76" spans="1:6" x14ac:dyDescent="0.35">
      <c r="A76" t="s">
        <v>6266</v>
      </c>
      <c r="B76" t="s">
        <v>1233</v>
      </c>
      <c r="C76" t="s">
        <v>6191</v>
      </c>
      <c r="D76" s="1">
        <v>45551</v>
      </c>
      <c r="E76" s="1" t="str">
        <f>TEXT(Claim_Denials_Cleaned[[#This Row],[denial_date]],"mmm-yyyy")</f>
        <v>Sep-2024</v>
      </c>
      <c r="F76" s="2">
        <v>17.53</v>
      </c>
    </row>
    <row r="77" spans="1:6" x14ac:dyDescent="0.35">
      <c r="A77" t="s">
        <v>6267</v>
      </c>
      <c r="B77" t="s">
        <v>1234</v>
      </c>
      <c r="C77" t="s">
        <v>6188</v>
      </c>
      <c r="D77" s="1">
        <v>45309</v>
      </c>
      <c r="E77" s="1" t="str">
        <f>TEXT(Claim_Denials_Cleaned[[#This Row],[denial_date]],"mmm-yyyy")</f>
        <v>Jan-2024</v>
      </c>
      <c r="F77" s="2">
        <v>121.84</v>
      </c>
    </row>
    <row r="78" spans="1:6" x14ac:dyDescent="0.35">
      <c r="A78" t="s">
        <v>6268</v>
      </c>
      <c r="B78" t="s">
        <v>1235</v>
      </c>
      <c r="C78" t="s">
        <v>6186</v>
      </c>
      <c r="D78" s="1">
        <v>45323</v>
      </c>
      <c r="E78" s="1" t="str">
        <f>TEXT(Claim_Denials_Cleaned[[#This Row],[denial_date]],"mmm-yyyy")</f>
        <v>Feb-2024</v>
      </c>
      <c r="F78" s="2">
        <v>288.85000000000002</v>
      </c>
    </row>
    <row r="79" spans="1:6" x14ac:dyDescent="0.35">
      <c r="A79" t="s">
        <v>6269</v>
      </c>
      <c r="B79" t="s">
        <v>1239</v>
      </c>
      <c r="C79" t="s">
        <v>6191</v>
      </c>
      <c r="D79" s="1">
        <v>45498</v>
      </c>
      <c r="E79" s="1" t="str">
        <f>TEXT(Claim_Denials_Cleaned[[#This Row],[denial_date]],"mmm-yyyy")</f>
        <v>Jul-2024</v>
      </c>
      <c r="F79" s="2">
        <v>268.36</v>
      </c>
    </row>
    <row r="80" spans="1:6" x14ac:dyDescent="0.35">
      <c r="A80" t="s">
        <v>6270</v>
      </c>
      <c r="B80" t="s">
        <v>1241</v>
      </c>
      <c r="C80" t="s">
        <v>6188</v>
      </c>
      <c r="D80" s="1">
        <v>45514</v>
      </c>
      <c r="E80" s="1" t="str">
        <f>TEXT(Claim_Denials_Cleaned[[#This Row],[denial_date]],"mmm-yyyy")</f>
        <v>Aug-2024</v>
      </c>
      <c r="F80" s="2">
        <v>598.91</v>
      </c>
    </row>
    <row r="81" spans="1:6" x14ac:dyDescent="0.35">
      <c r="A81" t="s">
        <v>6271</v>
      </c>
      <c r="B81" t="s">
        <v>1248</v>
      </c>
      <c r="C81" t="s">
        <v>6244</v>
      </c>
      <c r="D81" s="1">
        <v>45598</v>
      </c>
      <c r="E81" s="1" t="str">
        <f>TEXT(Claim_Denials_Cleaned[[#This Row],[denial_date]],"mmm-yyyy")</f>
        <v>Nov-2024</v>
      </c>
      <c r="F81" s="2">
        <v>347.6</v>
      </c>
    </row>
    <row r="82" spans="1:6" x14ac:dyDescent="0.35">
      <c r="A82" t="s">
        <v>6272</v>
      </c>
      <c r="B82" t="s">
        <v>1254</v>
      </c>
      <c r="C82" t="s">
        <v>6196</v>
      </c>
      <c r="D82" s="1">
        <v>45115</v>
      </c>
      <c r="E82" s="1" t="str">
        <f>TEXT(Claim_Denials_Cleaned[[#This Row],[denial_date]],"mmm-yyyy")</f>
        <v>Jul-2023</v>
      </c>
      <c r="F82" s="2">
        <v>27.36</v>
      </c>
    </row>
    <row r="83" spans="1:6" x14ac:dyDescent="0.35">
      <c r="A83" t="s">
        <v>6273</v>
      </c>
      <c r="B83" t="s">
        <v>1267</v>
      </c>
      <c r="C83" t="s">
        <v>6186</v>
      </c>
      <c r="D83" s="1">
        <v>45184</v>
      </c>
      <c r="E83" s="1" t="str">
        <f>TEXT(Claim_Denials_Cleaned[[#This Row],[denial_date]],"mmm-yyyy")</f>
        <v>Sep-2023</v>
      </c>
      <c r="F83" s="2">
        <v>63.73</v>
      </c>
    </row>
    <row r="84" spans="1:6" x14ac:dyDescent="0.35">
      <c r="A84" t="s">
        <v>6274</v>
      </c>
      <c r="B84" t="s">
        <v>1270</v>
      </c>
      <c r="C84" t="s">
        <v>6244</v>
      </c>
      <c r="D84" s="1">
        <v>45086</v>
      </c>
      <c r="E84" s="1" t="str">
        <f>TEXT(Claim_Denials_Cleaned[[#This Row],[denial_date]],"mmm-yyyy")</f>
        <v>Jun-2023</v>
      </c>
      <c r="F84" s="2">
        <v>120.84</v>
      </c>
    </row>
    <row r="85" spans="1:6" x14ac:dyDescent="0.35">
      <c r="A85" t="s">
        <v>6275</v>
      </c>
      <c r="B85" t="s">
        <v>1271</v>
      </c>
      <c r="C85" t="s">
        <v>6199</v>
      </c>
      <c r="D85" s="1">
        <v>45126</v>
      </c>
      <c r="E85" s="1" t="str">
        <f>TEXT(Claim_Denials_Cleaned[[#This Row],[denial_date]],"mmm-yyyy")</f>
        <v>Jul-2023</v>
      </c>
      <c r="F85" s="2">
        <v>36.840000000000003</v>
      </c>
    </row>
    <row r="86" spans="1:6" x14ac:dyDescent="0.35">
      <c r="A86" t="s">
        <v>6276</v>
      </c>
      <c r="B86" t="s">
        <v>1279</v>
      </c>
      <c r="C86" t="s">
        <v>6202</v>
      </c>
      <c r="D86" s="1">
        <v>45270</v>
      </c>
      <c r="E86" s="1" t="str">
        <f>TEXT(Claim_Denials_Cleaned[[#This Row],[denial_date]],"mmm-yyyy")</f>
        <v>Dec-2023</v>
      </c>
      <c r="F86" s="2">
        <v>2018.73</v>
      </c>
    </row>
    <row r="87" spans="1:6" x14ac:dyDescent="0.35">
      <c r="A87" t="s">
        <v>6277</v>
      </c>
      <c r="B87" t="s">
        <v>1282</v>
      </c>
      <c r="C87" t="s">
        <v>6199</v>
      </c>
      <c r="D87" s="1">
        <v>45364</v>
      </c>
      <c r="E87" s="1" t="str">
        <f>TEXT(Claim_Denials_Cleaned[[#This Row],[denial_date]],"mmm-yyyy")</f>
        <v>Mar-2024</v>
      </c>
      <c r="F87" s="2">
        <v>222.86</v>
      </c>
    </row>
    <row r="88" spans="1:6" x14ac:dyDescent="0.35">
      <c r="A88" t="s">
        <v>6278</v>
      </c>
      <c r="B88" t="s">
        <v>1285</v>
      </c>
      <c r="C88" t="s">
        <v>6196</v>
      </c>
      <c r="D88" s="1">
        <v>45597</v>
      </c>
      <c r="E88" s="1" t="str">
        <f>TEXT(Claim_Denials_Cleaned[[#This Row],[denial_date]],"mmm-yyyy")</f>
        <v>Nov-2024</v>
      </c>
      <c r="F88" s="2">
        <v>141.04</v>
      </c>
    </row>
    <row r="89" spans="1:6" x14ac:dyDescent="0.35">
      <c r="A89" t="s">
        <v>6279</v>
      </c>
      <c r="B89" t="s">
        <v>1302</v>
      </c>
      <c r="C89" t="s">
        <v>6188</v>
      </c>
      <c r="D89" s="1">
        <v>45486</v>
      </c>
      <c r="E89" s="1" t="str">
        <f>TEXT(Claim_Denials_Cleaned[[#This Row],[denial_date]],"mmm-yyyy")</f>
        <v>Jul-2024</v>
      </c>
      <c r="F89" s="2">
        <v>1604.71</v>
      </c>
    </row>
    <row r="90" spans="1:6" x14ac:dyDescent="0.35">
      <c r="A90" t="s">
        <v>6280</v>
      </c>
      <c r="B90" t="s">
        <v>1304</v>
      </c>
      <c r="C90" t="s">
        <v>6202</v>
      </c>
      <c r="D90" s="1">
        <v>45022</v>
      </c>
      <c r="E90" s="1" t="str">
        <f>TEXT(Claim_Denials_Cleaned[[#This Row],[denial_date]],"mmm-yyyy")</f>
        <v>Apr-2023</v>
      </c>
      <c r="F90" s="2">
        <v>124.84</v>
      </c>
    </row>
    <row r="91" spans="1:6" x14ac:dyDescent="0.35">
      <c r="A91" t="s">
        <v>6281</v>
      </c>
      <c r="B91" t="s">
        <v>1307</v>
      </c>
      <c r="C91" t="s">
        <v>6199</v>
      </c>
      <c r="D91" s="1">
        <v>45569</v>
      </c>
      <c r="E91" s="1" t="str">
        <f>TEXT(Claim_Denials_Cleaned[[#This Row],[denial_date]],"mmm-yyyy")</f>
        <v>Oct-2024</v>
      </c>
      <c r="F91" s="2">
        <v>857.34</v>
      </c>
    </row>
    <row r="92" spans="1:6" x14ac:dyDescent="0.35">
      <c r="A92" t="s">
        <v>6282</v>
      </c>
      <c r="B92" t="s">
        <v>1311</v>
      </c>
      <c r="C92" t="s">
        <v>6188</v>
      </c>
      <c r="D92" s="1">
        <v>45338</v>
      </c>
      <c r="E92" s="1" t="str">
        <f>TEXT(Claim_Denials_Cleaned[[#This Row],[denial_date]],"mmm-yyyy")</f>
        <v>Feb-2024</v>
      </c>
      <c r="F92" s="2">
        <v>567.30999999999995</v>
      </c>
    </row>
    <row r="93" spans="1:6" x14ac:dyDescent="0.35">
      <c r="A93" t="s">
        <v>6283</v>
      </c>
      <c r="B93" t="s">
        <v>1312</v>
      </c>
      <c r="C93" t="s">
        <v>6199</v>
      </c>
      <c r="D93" s="1">
        <v>45309</v>
      </c>
      <c r="E93" s="1" t="str">
        <f>TEXT(Claim_Denials_Cleaned[[#This Row],[denial_date]],"mmm-yyyy")</f>
        <v>Jan-2024</v>
      </c>
      <c r="F93" s="2">
        <v>626.14</v>
      </c>
    </row>
    <row r="94" spans="1:6" x14ac:dyDescent="0.35">
      <c r="A94" t="s">
        <v>6284</v>
      </c>
      <c r="B94" t="s">
        <v>1317</v>
      </c>
      <c r="C94" t="s">
        <v>6196</v>
      </c>
      <c r="D94" s="1">
        <v>45371</v>
      </c>
      <c r="E94" s="1" t="str">
        <f>TEXT(Claim_Denials_Cleaned[[#This Row],[denial_date]],"mmm-yyyy")</f>
        <v>Mar-2024</v>
      </c>
      <c r="F94" s="2">
        <v>344.67</v>
      </c>
    </row>
    <row r="95" spans="1:6" x14ac:dyDescent="0.35">
      <c r="A95" t="s">
        <v>6285</v>
      </c>
      <c r="B95" t="s">
        <v>1322</v>
      </c>
      <c r="C95" t="s">
        <v>6202</v>
      </c>
      <c r="D95" s="1">
        <v>45526</v>
      </c>
      <c r="E95" s="1" t="str">
        <f>TEXT(Claim_Denials_Cleaned[[#This Row],[denial_date]],"mmm-yyyy")</f>
        <v>Aug-2024</v>
      </c>
      <c r="F95" s="2">
        <v>722.28</v>
      </c>
    </row>
    <row r="96" spans="1:6" x14ac:dyDescent="0.35">
      <c r="A96" t="s">
        <v>6286</v>
      </c>
      <c r="B96" t="s">
        <v>1333</v>
      </c>
      <c r="C96" t="s">
        <v>6199</v>
      </c>
      <c r="D96" s="1">
        <v>45606</v>
      </c>
      <c r="E96" s="1" t="str">
        <f>TEXT(Claim_Denials_Cleaned[[#This Row],[denial_date]],"mmm-yyyy")</f>
        <v>Nov-2024</v>
      </c>
      <c r="F96" s="2">
        <v>1380.03</v>
      </c>
    </row>
    <row r="97" spans="1:6" x14ac:dyDescent="0.35">
      <c r="A97" t="s">
        <v>6287</v>
      </c>
      <c r="B97" t="s">
        <v>1334</v>
      </c>
      <c r="C97" t="s">
        <v>6191</v>
      </c>
      <c r="D97" s="1">
        <v>45379</v>
      </c>
      <c r="E97" s="1" t="str">
        <f>TEXT(Claim_Denials_Cleaned[[#This Row],[denial_date]],"mmm-yyyy")</f>
        <v>Mar-2024</v>
      </c>
      <c r="F97" s="2">
        <v>167.68</v>
      </c>
    </row>
    <row r="98" spans="1:6" x14ac:dyDescent="0.35">
      <c r="A98" t="s">
        <v>6288</v>
      </c>
      <c r="B98" t="s">
        <v>1339</v>
      </c>
      <c r="C98" t="s">
        <v>6191</v>
      </c>
      <c r="D98" s="1">
        <v>45579</v>
      </c>
      <c r="E98" s="1" t="str">
        <f>TEXT(Claim_Denials_Cleaned[[#This Row],[denial_date]],"mmm-yyyy")</f>
        <v>Oct-2024</v>
      </c>
      <c r="F98" s="2">
        <v>176.92</v>
      </c>
    </row>
    <row r="99" spans="1:6" x14ac:dyDescent="0.35">
      <c r="A99" t="s">
        <v>6289</v>
      </c>
      <c r="B99" t="s">
        <v>1354</v>
      </c>
      <c r="C99" t="s">
        <v>6186</v>
      </c>
      <c r="D99" s="1">
        <v>45052</v>
      </c>
      <c r="E99" s="1" t="str">
        <f>TEXT(Claim_Denials_Cleaned[[#This Row],[denial_date]],"mmm-yyyy")</f>
        <v>May-2023</v>
      </c>
      <c r="F99" s="2">
        <v>1495.77</v>
      </c>
    </row>
    <row r="100" spans="1:6" x14ac:dyDescent="0.35">
      <c r="A100" t="s">
        <v>6290</v>
      </c>
      <c r="B100" t="s">
        <v>1369</v>
      </c>
      <c r="C100" t="s">
        <v>6244</v>
      </c>
      <c r="D100" s="1">
        <v>45136</v>
      </c>
      <c r="E100" s="1" t="str">
        <f>TEXT(Claim_Denials_Cleaned[[#This Row],[denial_date]],"mmm-yyyy")</f>
        <v>Jul-2023</v>
      </c>
      <c r="F100" s="2">
        <v>105.21</v>
      </c>
    </row>
    <row r="101" spans="1:6" x14ac:dyDescent="0.35">
      <c r="A101" t="s">
        <v>6291</v>
      </c>
      <c r="B101" t="s">
        <v>1375</v>
      </c>
      <c r="C101" t="s">
        <v>6186</v>
      </c>
      <c r="D101" s="1">
        <v>45063</v>
      </c>
      <c r="E101" s="1" t="str">
        <f>TEXT(Claim_Denials_Cleaned[[#This Row],[denial_date]],"mmm-yyyy")</f>
        <v>May-2023</v>
      </c>
      <c r="F101" s="2">
        <v>575.55999999999995</v>
      </c>
    </row>
    <row r="102" spans="1:6" x14ac:dyDescent="0.35">
      <c r="A102" t="s">
        <v>6292</v>
      </c>
      <c r="B102" t="s">
        <v>1377</v>
      </c>
      <c r="C102" t="s">
        <v>6196</v>
      </c>
      <c r="D102" s="1">
        <v>45522</v>
      </c>
      <c r="E102" s="1" t="str">
        <f>TEXT(Claim_Denials_Cleaned[[#This Row],[denial_date]],"mmm-yyyy")</f>
        <v>Aug-2024</v>
      </c>
      <c r="F102" s="2">
        <v>225.45</v>
      </c>
    </row>
    <row r="103" spans="1:6" x14ac:dyDescent="0.35">
      <c r="A103" t="s">
        <v>6293</v>
      </c>
      <c r="B103" t="s">
        <v>1382</v>
      </c>
      <c r="C103" t="s">
        <v>6186</v>
      </c>
      <c r="D103" s="1">
        <v>45378</v>
      </c>
      <c r="E103" s="1" t="str">
        <f>TEXT(Claim_Denials_Cleaned[[#This Row],[denial_date]],"mmm-yyyy")</f>
        <v>Mar-2024</v>
      </c>
      <c r="F103" s="2">
        <v>1397.44</v>
      </c>
    </row>
    <row r="104" spans="1:6" x14ac:dyDescent="0.35">
      <c r="A104" t="s">
        <v>6294</v>
      </c>
      <c r="B104" t="s">
        <v>1386</v>
      </c>
      <c r="C104" t="s">
        <v>6188</v>
      </c>
      <c r="D104" s="1">
        <v>45319</v>
      </c>
      <c r="E104" s="1" t="str">
        <f>TEXT(Claim_Denials_Cleaned[[#This Row],[denial_date]],"mmm-yyyy")</f>
        <v>Jan-2024</v>
      </c>
      <c r="F104" s="2">
        <v>889.38</v>
      </c>
    </row>
    <row r="105" spans="1:6" x14ac:dyDescent="0.35">
      <c r="A105" t="s">
        <v>6295</v>
      </c>
      <c r="B105" t="s">
        <v>1392</v>
      </c>
      <c r="C105" t="s">
        <v>6196</v>
      </c>
      <c r="D105" s="1">
        <v>45529</v>
      </c>
      <c r="E105" s="1" t="str">
        <f>TEXT(Claim_Denials_Cleaned[[#This Row],[denial_date]],"mmm-yyyy")</f>
        <v>Aug-2024</v>
      </c>
      <c r="F105" s="2">
        <v>3186.57</v>
      </c>
    </row>
    <row r="106" spans="1:6" x14ac:dyDescent="0.35">
      <c r="A106" t="s">
        <v>6296</v>
      </c>
      <c r="B106" t="s">
        <v>1398</v>
      </c>
      <c r="C106" t="s">
        <v>6196</v>
      </c>
      <c r="D106" s="1">
        <v>45312</v>
      </c>
      <c r="E106" s="1" t="str">
        <f>TEXT(Claim_Denials_Cleaned[[#This Row],[denial_date]],"mmm-yyyy")</f>
        <v>Jan-2024</v>
      </c>
      <c r="F106" s="2">
        <v>86.03</v>
      </c>
    </row>
    <row r="107" spans="1:6" x14ac:dyDescent="0.35">
      <c r="A107" t="s">
        <v>6297</v>
      </c>
      <c r="B107" t="s">
        <v>1399</v>
      </c>
      <c r="C107" t="s">
        <v>6196</v>
      </c>
      <c r="D107" s="1">
        <v>45400</v>
      </c>
      <c r="E107" s="1" t="str">
        <f>TEXT(Claim_Denials_Cleaned[[#This Row],[denial_date]],"mmm-yyyy")</f>
        <v>Apr-2024</v>
      </c>
      <c r="F107" s="2">
        <v>206.81</v>
      </c>
    </row>
    <row r="108" spans="1:6" x14ac:dyDescent="0.35">
      <c r="A108" t="s">
        <v>6298</v>
      </c>
      <c r="B108" t="s">
        <v>1400</v>
      </c>
      <c r="C108" t="s">
        <v>6186</v>
      </c>
      <c r="D108" s="1">
        <v>45172</v>
      </c>
      <c r="E108" s="1" t="str">
        <f>TEXT(Claim_Denials_Cleaned[[#This Row],[denial_date]],"mmm-yyyy")</f>
        <v>Sep-2023</v>
      </c>
      <c r="F108" s="2">
        <v>512.11</v>
      </c>
    </row>
    <row r="109" spans="1:6" x14ac:dyDescent="0.35">
      <c r="A109" t="s">
        <v>6299</v>
      </c>
      <c r="B109" t="s">
        <v>1401</v>
      </c>
      <c r="C109" t="s">
        <v>6191</v>
      </c>
      <c r="D109" s="1">
        <v>45493</v>
      </c>
      <c r="E109" s="1" t="str">
        <f>TEXT(Claim_Denials_Cleaned[[#This Row],[denial_date]],"mmm-yyyy")</f>
        <v>Jul-2024</v>
      </c>
      <c r="F109" s="2">
        <v>197.71</v>
      </c>
    </row>
    <row r="110" spans="1:6" x14ac:dyDescent="0.35">
      <c r="A110" t="s">
        <v>6300</v>
      </c>
      <c r="B110" t="s">
        <v>1409</v>
      </c>
      <c r="C110" t="s">
        <v>6199</v>
      </c>
      <c r="D110" s="1">
        <v>45493</v>
      </c>
      <c r="E110" s="1" t="str">
        <f>TEXT(Claim_Denials_Cleaned[[#This Row],[denial_date]],"mmm-yyyy")</f>
        <v>Jul-2024</v>
      </c>
      <c r="F110" s="2">
        <v>69.010000000000005</v>
      </c>
    </row>
    <row r="111" spans="1:6" x14ac:dyDescent="0.35">
      <c r="A111" t="s">
        <v>6301</v>
      </c>
      <c r="B111" t="s">
        <v>1411</v>
      </c>
      <c r="C111" t="s">
        <v>6186</v>
      </c>
      <c r="D111" s="1">
        <v>45076</v>
      </c>
      <c r="E111" s="1" t="str">
        <f>TEXT(Claim_Denials_Cleaned[[#This Row],[denial_date]],"mmm-yyyy")</f>
        <v>May-2023</v>
      </c>
      <c r="F111" s="2">
        <v>1601.25</v>
      </c>
    </row>
    <row r="112" spans="1:6" x14ac:dyDescent="0.35">
      <c r="A112" t="s">
        <v>6302</v>
      </c>
      <c r="B112" t="s">
        <v>1427</v>
      </c>
      <c r="C112" t="s">
        <v>6196</v>
      </c>
      <c r="D112" s="1">
        <v>45118</v>
      </c>
      <c r="E112" s="1" t="str">
        <f>TEXT(Claim_Denials_Cleaned[[#This Row],[denial_date]],"mmm-yyyy")</f>
        <v>Jul-2023</v>
      </c>
      <c r="F112" s="2">
        <v>3462.07</v>
      </c>
    </row>
    <row r="113" spans="1:6" x14ac:dyDescent="0.35">
      <c r="A113" t="s">
        <v>6303</v>
      </c>
      <c r="B113" t="s">
        <v>1439</v>
      </c>
      <c r="C113" t="s">
        <v>6202</v>
      </c>
      <c r="D113" s="1">
        <v>45437</v>
      </c>
      <c r="E113" s="1" t="str">
        <f>TEXT(Claim_Denials_Cleaned[[#This Row],[denial_date]],"mmm-yyyy")</f>
        <v>May-2024</v>
      </c>
      <c r="F113" s="2">
        <v>370.13</v>
      </c>
    </row>
    <row r="114" spans="1:6" x14ac:dyDescent="0.35">
      <c r="A114" t="s">
        <v>6304</v>
      </c>
      <c r="B114" t="s">
        <v>1442</v>
      </c>
      <c r="C114" t="s">
        <v>6186</v>
      </c>
      <c r="D114" s="1">
        <v>45476</v>
      </c>
      <c r="E114" s="1" t="str">
        <f>TEXT(Claim_Denials_Cleaned[[#This Row],[denial_date]],"mmm-yyyy")</f>
        <v>Jul-2024</v>
      </c>
      <c r="F114" s="2">
        <v>2257.56</v>
      </c>
    </row>
    <row r="115" spans="1:6" x14ac:dyDescent="0.35">
      <c r="A115" t="s">
        <v>6305</v>
      </c>
      <c r="B115" t="s">
        <v>1443</v>
      </c>
      <c r="C115" t="s">
        <v>6186</v>
      </c>
      <c r="D115" s="1">
        <v>45241</v>
      </c>
      <c r="E115" s="1" t="str">
        <f>TEXT(Claim_Denials_Cleaned[[#This Row],[denial_date]],"mmm-yyyy")</f>
        <v>Nov-2023</v>
      </c>
      <c r="F115" s="2">
        <v>731.19</v>
      </c>
    </row>
    <row r="116" spans="1:6" x14ac:dyDescent="0.35">
      <c r="A116" t="s">
        <v>6306</v>
      </c>
      <c r="B116" t="s">
        <v>1449</v>
      </c>
      <c r="C116" t="s">
        <v>6199</v>
      </c>
      <c r="D116" s="1">
        <v>45217</v>
      </c>
      <c r="E116" s="1" t="str">
        <f>TEXT(Claim_Denials_Cleaned[[#This Row],[denial_date]],"mmm-yyyy")</f>
        <v>Oct-2023</v>
      </c>
      <c r="F116" s="2">
        <v>434.08</v>
      </c>
    </row>
    <row r="117" spans="1:6" x14ac:dyDescent="0.35">
      <c r="A117" t="s">
        <v>6307</v>
      </c>
      <c r="B117" t="s">
        <v>1454</v>
      </c>
      <c r="C117" t="s">
        <v>6188</v>
      </c>
      <c r="D117" s="1">
        <v>45383</v>
      </c>
      <c r="E117" s="1" t="str">
        <f>TEXT(Claim_Denials_Cleaned[[#This Row],[denial_date]],"mmm-yyyy")</f>
        <v>Apr-2024</v>
      </c>
      <c r="F117" s="2">
        <v>78.53</v>
      </c>
    </row>
    <row r="118" spans="1:6" x14ac:dyDescent="0.35">
      <c r="A118" t="s">
        <v>6308</v>
      </c>
      <c r="B118" t="s">
        <v>1466</v>
      </c>
      <c r="C118" t="s">
        <v>6188</v>
      </c>
      <c r="D118" s="1">
        <v>45569</v>
      </c>
      <c r="E118" s="1" t="str">
        <f>TEXT(Claim_Denials_Cleaned[[#This Row],[denial_date]],"mmm-yyyy")</f>
        <v>Oct-2024</v>
      </c>
      <c r="F118" s="2">
        <v>98.98</v>
      </c>
    </row>
    <row r="119" spans="1:6" x14ac:dyDescent="0.35">
      <c r="A119" t="s">
        <v>6309</v>
      </c>
      <c r="B119" t="s">
        <v>1467</v>
      </c>
      <c r="C119" t="s">
        <v>6196</v>
      </c>
      <c r="D119" s="1">
        <v>45105</v>
      </c>
      <c r="E119" s="1" t="str">
        <f>TEXT(Claim_Denials_Cleaned[[#This Row],[denial_date]],"mmm-yyyy")</f>
        <v>Jun-2023</v>
      </c>
      <c r="F119" s="2">
        <v>416.29</v>
      </c>
    </row>
    <row r="120" spans="1:6" x14ac:dyDescent="0.35">
      <c r="A120" t="s">
        <v>6310</v>
      </c>
      <c r="B120" t="s">
        <v>1468</v>
      </c>
      <c r="C120" t="s">
        <v>6186</v>
      </c>
      <c r="D120" s="1">
        <v>45593</v>
      </c>
      <c r="E120" s="1" t="str">
        <f>TEXT(Claim_Denials_Cleaned[[#This Row],[denial_date]],"mmm-yyyy")</f>
        <v>Oct-2024</v>
      </c>
      <c r="F120" s="2">
        <v>102.36</v>
      </c>
    </row>
    <row r="121" spans="1:6" x14ac:dyDescent="0.35">
      <c r="A121" t="s">
        <v>6311</v>
      </c>
      <c r="B121" t="s">
        <v>1476</v>
      </c>
      <c r="C121" t="s">
        <v>6188</v>
      </c>
      <c r="D121" s="1">
        <v>45195</v>
      </c>
      <c r="E121" s="1" t="str">
        <f>TEXT(Claim_Denials_Cleaned[[#This Row],[denial_date]],"mmm-yyyy")</f>
        <v>Sep-2023</v>
      </c>
      <c r="F121" s="2">
        <v>237.95</v>
      </c>
    </row>
    <row r="122" spans="1:6" x14ac:dyDescent="0.35">
      <c r="A122" t="s">
        <v>6312</v>
      </c>
      <c r="B122" t="s">
        <v>1479</v>
      </c>
      <c r="C122" t="s">
        <v>6199</v>
      </c>
      <c r="D122" s="1">
        <v>45434</v>
      </c>
      <c r="E122" s="1" t="str">
        <f>TEXT(Claim_Denials_Cleaned[[#This Row],[denial_date]],"mmm-yyyy")</f>
        <v>May-2024</v>
      </c>
      <c r="F122" s="2">
        <v>771.06</v>
      </c>
    </row>
    <row r="123" spans="1:6" x14ac:dyDescent="0.35">
      <c r="A123" t="s">
        <v>6313</v>
      </c>
      <c r="B123" t="s">
        <v>1481</v>
      </c>
      <c r="C123" t="s">
        <v>6186</v>
      </c>
      <c r="D123" s="1">
        <v>45460</v>
      </c>
      <c r="E123" s="1" t="str">
        <f>TEXT(Claim_Denials_Cleaned[[#This Row],[denial_date]],"mmm-yyyy")</f>
        <v>Jun-2024</v>
      </c>
      <c r="F123" s="2">
        <v>1521.09</v>
      </c>
    </row>
    <row r="124" spans="1:6" x14ac:dyDescent="0.35">
      <c r="A124" t="s">
        <v>6314</v>
      </c>
      <c r="B124" t="s">
        <v>1483</v>
      </c>
      <c r="C124" t="s">
        <v>6191</v>
      </c>
      <c r="D124" s="1">
        <v>44955</v>
      </c>
      <c r="E124" s="1" t="str">
        <f>TEXT(Claim_Denials_Cleaned[[#This Row],[denial_date]],"mmm-yyyy")</f>
        <v>Jan-2023</v>
      </c>
      <c r="F124" s="2">
        <v>90.02</v>
      </c>
    </row>
    <row r="125" spans="1:6" x14ac:dyDescent="0.35">
      <c r="A125" t="s">
        <v>6315</v>
      </c>
      <c r="B125" t="s">
        <v>1493</v>
      </c>
      <c r="C125" t="s">
        <v>6199</v>
      </c>
      <c r="D125" s="1">
        <v>45651</v>
      </c>
      <c r="E125" s="1" t="str">
        <f>TEXT(Claim_Denials_Cleaned[[#This Row],[denial_date]],"mmm-yyyy")</f>
        <v>Dec-2024</v>
      </c>
      <c r="F125" s="2">
        <v>782.91</v>
      </c>
    </row>
    <row r="126" spans="1:6" x14ac:dyDescent="0.35">
      <c r="A126" t="s">
        <v>6316</v>
      </c>
      <c r="B126" t="s">
        <v>1497</v>
      </c>
      <c r="C126" t="s">
        <v>6199</v>
      </c>
      <c r="D126" s="1">
        <v>45354</v>
      </c>
      <c r="E126" s="1" t="str">
        <f>TEXT(Claim_Denials_Cleaned[[#This Row],[denial_date]],"mmm-yyyy")</f>
        <v>Mar-2024</v>
      </c>
      <c r="F126" s="2">
        <v>240.26</v>
      </c>
    </row>
    <row r="127" spans="1:6" x14ac:dyDescent="0.35">
      <c r="A127" t="s">
        <v>6317</v>
      </c>
      <c r="B127" t="s">
        <v>1498</v>
      </c>
      <c r="C127" t="s">
        <v>6196</v>
      </c>
      <c r="D127" s="1">
        <v>45156</v>
      </c>
      <c r="E127" s="1" t="str">
        <f>TEXT(Claim_Denials_Cleaned[[#This Row],[denial_date]],"mmm-yyyy")</f>
        <v>Aug-2023</v>
      </c>
      <c r="F127" s="2">
        <v>896.52</v>
      </c>
    </row>
    <row r="128" spans="1:6" x14ac:dyDescent="0.35">
      <c r="A128" t="s">
        <v>6318</v>
      </c>
      <c r="B128" t="s">
        <v>1502</v>
      </c>
      <c r="C128" t="s">
        <v>6244</v>
      </c>
      <c r="D128" s="1">
        <v>45648</v>
      </c>
      <c r="E128" s="1" t="str">
        <f>TEXT(Claim_Denials_Cleaned[[#This Row],[denial_date]],"mmm-yyyy")</f>
        <v>Dec-2024</v>
      </c>
      <c r="F128" s="2">
        <v>303.94</v>
      </c>
    </row>
    <row r="129" spans="1:6" x14ac:dyDescent="0.35">
      <c r="A129" t="s">
        <v>6319</v>
      </c>
      <c r="B129" t="s">
        <v>1503</v>
      </c>
      <c r="C129" t="s">
        <v>6196</v>
      </c>
      <c r="D129" s="1">
        <v>45447</v>
      </c>
      <c r="E129" s="1" t="str">
        <f>TEXT(Claim_Denials_Cleaned[[#This Row],[denial_date]],"mmm-yyyy")</f>
        <v>Jun-2024</v>
      </c>
      <c r="F129" s="2">
        <v>2871.33</v>
      </c>
    </row>
    <row r="130" spans="1:6" x14ac:dyDescent="0.35">
      <c r="A130" t="s">
        <v>6320</v>
      </c>
      <c r="B130" t="s">
        <v>1504</v>
      </c>
      <c r="C130" t="s">
        <v>6202</v>
      </c>
      <c r="D130" s="1">
        <v>45400</v>
      </c>
      <c r="E130" s="1" t="str">
        <f>TEXT(Claim_Denials_Cleaned[[#This Row],[denial_date]],"mmm-yyyy")</f>
        <v>Apr-2024</v>
      </c>
      <c r="F130" s="2">
        <v>2898.21</v>
      </c>
    </row>
    <row r="131" spans="1:6" x14ac:dyDescent="0.35">
      <c r="A131" t="s">
        <v>6321</v>
      </c>
      <c r="B131" t="s">
        <v>1511</v>
      </c>
      <c r="C131" t="s">
        <v>6191</v>
      </c>
      <c r="D131" s="1">
        <v>45101</v>
      </c>
      <c r="E131" s="1" t="str">
        <f>TEXT(Claim_Denials_Cleaned[[#This Row],[denial_date]],"mmm-yyyy")</f>
        <v>Jun-2023</v>
      </c>
      <c r="F131" s="2">
        <v>1638.72</v>
      </c>
    </row>
    <row r="132" spans="1:6" x14ac:dyDescent="0.35">
      <c r="A132" t="s">
        <v>6322</v>
      </c>
      <c r="B132" t="s">
        <v>1520</v>
      </c>
      <c r="C132" t="s">
        <v>6196</v>
      </c>
      <c r="D132" s="1">
        <v>45392</v>
      </c>
      <c r="E132" s="1" t="str">
        <f>TEXT(Claim_Denials_Cleaned[[#This Row],[denial_date]],"mmm-yyyy")</f>
        <v>Apr-2024</v>
      </c>
      <c r="F132" s="2">
        <v>34.01</v>
      </c>
    </row>
    <row r="133" spans="1:6" x14ac:dyDescent="0.35">
      <c r="A133" t="s">
        <v>6323</v>
      </c>
      <c r="B133" t="s">
        <v>1523</v>
      </c>
      <c r="C133" t="s">
        <v>6199</v>
      </c>
      <c r="D133" s="1">
        <v>45634</v>
      </c>
      <c r="E133" s="1" t="str">
        <f>TEXT(Claim_Denials_Cleaned[[#This Row],[denial_date]],"mmm-yyyy")</f>
        <v>Dec-2024</v>
      </c>
      <c r="F133" s="2">
        <v>120.62</v>
      </c>
    </row>
    <row r="134" spans="1:6" x14ac:dyDescent="0.35">
      <c r="A134" t="s">
        <v>6324</v>
      </c>
      <c r="B134" t="s">
        <v>1540</v>
      </c>
      <c r="C134" t="s">
        <v>6202</v>
      </c>
      <c r="D134" s="1">
        <v>45506</v>
      </c>
      <c r="E134" s="1" t="str">
        <f>TEXT(Claim_Denials_Cleaned[[#This Row],[denial_date]],"mmm-yyyy")</f>
        <v>Aug-2024</v>
      </c>
      <c r="F134" s="2">
        <v>93.07</v>
      </c>
    </row>
    <row r="135" spans="1:6" x14ac:dyDescent="0.35">
      <c r="A135" t="s">
        <v>6325</v>
      </c>
      <c r="B135" t="s">
        <v>1541</v>
      </c>
      <c r="C135" t="s">
        <v>6196</v>
      </c>
      <c r="D135" s="1">
        <v>45632</v>
      </c>
      <c r="E135" s="1" t="str">
        <f>TEXT(Claim_Denials_Cleaned[[#This Row],[denial_date]],"mmm-yyyy")</f>
        <v>Dec-2024</v>
      </c>
      <c r="F135" s="2">
        <v>65.400000000000006</v>
      </c>
    </row>
    <row r="136" spans="1:6" x14ac:dyDescent="0.35">
      <c r="A136" t="s">
        <v>6326</v>
      </c>
      <c r="B136" t="s">
        <v>1545</v>
      </c>
      <c r="C136" t="s">
        <v>6186</v>
      </c>
      <c r="D136" s="1">
        <v>45104</v>
      </c>
      <c r="E136" s="1" t="str">
        <f>TEXT(Claim_Denials_Cleaned[[#This Row],[denial_date]],"mmm-yyyy")</f>
        <v>Jun-2023</v>
      </c>
      <c r="F136" s="2">
        <v>1611.97</v>
      </c>
    </row>
    <row r="137" spans="1:6" x14ac:dyDescent="0.35">
      <c r="A137" t="s">
        <v>6327</v>
      </c>
      <c r="B137" t="s">
        <v>1550</v>
      </c>
      <c r="C137" t="s">
        <v>6196</v>
      </c>
      <c r="D137" s="1">
        <v>45426</v>
      </c>
      <c r="E137" s="1" t="str">
        <f>TEXT(Claim_Denials_Cleaned[[#This Row],[denial_date]],"mmm-yyyy")</f>
        <v>May-2024</v>
      </c>
      <c r="F137" s="2">
        <v>3698.91</v>
      </c>
    </row>
    <row r="138" spans="1:6" x14ac:dyDescent="0.35">
      <c r="A138" t="s">
        <v>6328</v>
      </c>
      <c r="B138" t="s">
        <v>1559</v>
      </c>
      <c r="C138" t="s">
        <v>6186</v>
      </c>
      <c r="D138" s="1">
        <v>44946</v>
      </c>
      <c r="E138" s="1" t="str">
        <f>TEXT(Claim_Denials_Cleaned[[#This Row],[denial_date]],"mmm-yyyy")</f>
        <v>Jan-2023</v>
      </c>
      <c r="F138" s="2">
        <v>121.8</v>
      </c>
    </row>
    <row r="139" spans="1:6" x14ac:dyDescent="0.35">
      <c r="A139" t="s">
        <v>6329</v>
      </c>
      <c r="B139" t="s">
        <v>1564</v>
      </c>
      <c r="C139" t="s">
        <v>6196</v>
      </c>
      <c r="D139" s="1">
        <v>45074</v>
      </c>
      <c r="E139" s="1" t="str">
        <f>TEXT(Claim_Denials_Cleaned[[#This Row],[denial_date]],"mmm-yyyy")</f>
        <v>May-2023</v>
      </c>
      <c r="F139" s="2">
        <v>152.15</v>
      </c>
    </row>
    <row r="140" spans="1:6" x14ac:dyDescent="0.35">
      <c r="A140" t="s">
        <v>6330</v>
      </c>
      <c r="B140" t="s">
        <v>1571</v>
      </c>
      <c r="C140" t="s">
        <v>6186</v>
      </c>
      <c r="D140" s="1">
        <v>45635</v>
      </c>
      <c r="E140" s="1" t="str">
        <f>TEXT(Claim_Denials_Cleaned[[#This Row],[denial_date]],"mmm-yyyy")</f>
        <v>Dec-2024</v>
      </c>
      <c r="F140" s="2">
        <v>1022.89</v>
      </c>
    </row>
    <row r="141" spans="1:6" x14ac:dyDescent="0.35">
      <c r="A141" t="s">
        <v>6331</v>
      </c>
      <c r="B141" t="s">
        <v>1573</v>
      </c>
      <c r="C141" t="s">
        <v>6196</v>
      </c>
      <c r="D141" s="1">
        <v>45483</v>
      </c>
      <c r="E141" s="1" t="str">
        <f>TEXT(Claim_Denials_Cleaned[[#This Row],[denial_date]],"mmm-yyyy")</f>
        <v>Jul-2024</v>
      </c>
      <c r="F141" s="2">
        <v>1580.63</v>
      </c>
    </row>
    <row r="142" spans="1:6" x14ac:dyDescent="0.35">
      <c r="A142" t="s">
        <v>6332</v>
      </c>
      <c r="B142" t="s">
        <v>1593</v>
      </c>
      <c r="C142" t="s">
        <v>6188</v>
      </c>
      <c r="D142" s="1">
        <v>45332</v>
      </c>
      <c r="E142" s="1" t="str">
        <f>TEXT(Claim_Denials_Cleaned[[#This Row],[denial_date]],"mmm-yyyy")</f>
        <v>Feb-2024</v>
      </c>
      <c r="F142" s="2">
        <v>371.68</v>
      </c>
    </row>
    <row r="143" spans="1:6" x14ac:dyDescent="0.35">
      <c r="A143" t="s">
        <v>6333</v>
      </c>
      <c r="B143" t="s">
        <v>1601</v>
      </c>
      <c r="C143" t="s">
        <v>6191</v>
      </c>
      <c r="D143" s="1">
        <v>45420</v>
      </c>
      <c r="E143" s="1" t="str">
        <f>TEXT(Claim_Denials_Cleaned[[#This Row],[denial_date]],"mmm-yyyy")</f>
        <v>May-2024</v>
      </c>
      <c r="F143" s="2">
        <v>27.34</v>
      </c>
    </row>
    <row r="144" spans="1:6" x14ac:dyDescent="0.35">
      <c r="A144" t="s">
        <v>6334</v>
      </c>
      <c r="B144" t="s">
        <v>1613</v>
      </c>
      <c r="C144" t="s">
        <v>6188</v>
      </c>
      <c r="D144" s="1">
        <v>45577</v>
      </c>
      <c r="E144" s="1" t="str">
        <f>TEXT(Claim_Denials_Cleaned[[#This Row],[denial_date]],"mmm-yyyy")</f>
        <v>Oct-2024</v>
      </c>
      <c r="F144" s="2">
        <v>1798.69</v>
      </c>
    </row>
    <row r="145" spans="1:6" x14ac:dyDescent="0.35">
      <c r="A145" t="s">
        <v>6335</v>
      </c>
      <c r="B145" t="s">
        <v>1616</v>
      </c>
      <c r="C145" t="s">
        <v>6186</v>
      </c>
      <c r="D145" s="1">
        <v>45253</v>
      </c>
      <c r="E145" s="1" t="str">
        <f>TEXT(Claim_Denials_Cleaned[[#This Row],[denial_date]],"mmm-yyyy")</f>
        <v>Nov-2023</v>
      </c>
      <c r="F145" s="2">
        <v>59.69</v>
      </c>
    </row>
    <row r="146" spans="1:6" x14ac:dyDescent="0.35">
      <c r="A146" t="s">
        <v>6336</v>
      </c>
      <c r="B146" t="s">
        <v>1629</v>
      </c>
      <c r="C146" t="s">
        <v>6199</v>
      </c>
      <c r="D146" s="1">
        <v>44972</v>
      </c>
      <c r="E146" s="1" t="str">
        <f>TEXT(Claim_Denials_Cleaned[[#This Row],[denial_date]],"mmm-yyyy")</f>
        <v>Feb-2023</v>
      </c>
      <c r="F146" s="2">
        <v>4173.05</v>
      </c>
    </row>
    <row r="147" spans="1:6" x14ac:dyDescent="0.35">
      <c r="A147" t="s">
        <v>6337</v>
      </c>
      <c r="B147" t="s">
        <v>1635</v>
      </c>
      <c r="C147" t="s">
        <v>6202</v>
      </c>
      <c r="D147" s="1">
        <v>45399</v>
      </c>
      <c r="E147" s="1" t="str">
        <f>TEXT(Claim_Denials_Cleaned[[#This Row],[denial_date]],"mmm-yyyy")</f>
        <v>Apr-2024</v>
      </c>
      <c r="F147" s="2">
        <v>402.11</v>
      </c>
    </row>
    <row r="148" spans="1:6" x14ac:dyDescent="0.35">
      <c r="A148" t="s">
        <v>6338</v>
      </c>
      <c r="B148" t="s">
        <v>1657</v>
      </c>
      <c r="C148" t="s">
        <v>6186</v>
      </c>
      <c r="D148" s="1">
        <v>45577</v>
      </c>
      <c r="E148" s="1" t="str">
        <f>TEXT(Claim_Denials_Cleaned[[#This Row],[denial_date]],"mmm-yyyy")</f>
        <v>Oct-2024</v>
      </c>
      <c r="F148" s="2">
        <v>383.61</v>
      </c>
    </row>
    <row r="149" spans="1:6" x14ac:dyDescent="0.35">
      <c r="A149" t="s">
        <v>6339</v>
      </c>
      <c r="B149" t="s">
        <v>1658</v>
      </c>
      <c r="C149" t="s">
        <v>6186</v>
      </c>
      <c r="D149" s="1">
        <v>45014</v>
      </c>
      <c r="E149" s="1" t="str">
        <f>TEXT(Claim_Denials_Cleaned[[#This Row],[denial_date]],"mmm-yyyy")</f>
        <v>Mar-2023</v>
      </c>
      <c r="F149" s="2">
        <v>659.25</v>
      </c>
    </row>
    <row r="150" spans="1:6" x14ac:dyDescent="0.35">
      <c r="A150" t="s">
        <v>6340</v>
      </c>
      <c r="B150" t="s">
        <v>1666</v>
      </c>
      <c r="C150" t="s">
        <v>6186</v>
      </c>
      <c r="D150" s="1">
        <v>45679</v>
      </c>
      <c r="E150" s="1" t="str">
        <f>TEXT(Claim_Denials_Cleaned[[#This Row],[denial_date]],"mmm-yyyy")</f>
        <v>Jan-2025</v>
      </c>
      <c r="F150" s="2">
        <v>524.72</v>
      </c>
    </row>
    <row r="151" spans="1:6" x14ac:dyDescent="0.35">
      <c r="A151" t="s">
        <v>6341</v>
      </c>
      <c r="B151" t="s">
        <v>1681</v>
      </c>
      <c r="C151" t="s">
        <v>6202</v>
      </c>
      <c r="D151" s="1">
        <v>45615</v>
      </c>
      <c r="E151" s="1" t="str">
        <f>TEXT(Claim_Denials_Cleaned[[#This Row],[denial_date]],"mmm-yyyy")</f>
        <v>Nov-2024</v>
      </c>
      <c r="F151" s="2">
        <v>355.84</v>
      </c>
    </row>
    <row r="152" spans="1:6" x14ac:dyDescent="0.35">
      <c r="A152" t="s">
        <v>6342</v>
      </c>
      <c r="B152" t="s">
        <v>1685</v>
      </c>
      <c r="C152" t="s">
        <v>6191</v>
      </c>
      <c r="D152" s="1">
        <v>45084</v>
      </c>
      <c r="E152" s="1" t="str">
        <f>TEXT(Claim_Denials_Cleaned[[#This Row],[denial_date]],"mmm-yyyy")</f>
        <v>Jun-2023</v>
      </c>
      <c r="F152" s="2">
        <v>3425.49</v>
      </c>
    </row>
    <row r="153" spans="1:6" x14ac:dyDescent="0.35">
      <c r="A153" t="s">
        <v>6343</v>
      </c>
      <c r="B153" t="s">
        <v>1686</v>
      </c>
      <c r="C153" t="s">
        <v>6188</v>
      </c>
      <c r="D153" s="1">
        <v>45032</v>
      </c>
      <c r="E153" s="1" t="str">
        <f>TEXT(Claim_Denials_Cleaned[[#This Row],[denial_date]],"mmm-yyyy")</f>
        <v>Apr-2023</v>
      </c>
      <c r="F153" s="2">
        <v>241.96</v>
      </c>
    </row>
    <row r="154" spans="1:6" x14ac:dyDescent="0.35">
      <c r="A154" t="s">
        <v>6344</v>
      </c>
      <c r="B154" t="s">
        <v>1693</v>
      </c>
      <c r="C154" t="s">
        <v>6196</v>
      </c>
      <c r="D154" s="1">
        <v>45333</v>
      </c>
      <c r="E154" s="1" t="str">
        <f>TEXT(Claim_Denials_Cleaned[[#This Row],[denial_date]],"mmm-yyyy")</f>
        <v>Feb-2024</v>
      </c>
      <c r="F154" s="2">
        <v>1078.83</v>
      </c>
    </row>
    <row r="155" spans="1:6" x14ac:dyDescent="0.35">
      <c r="A155" t="s">
        <v>6345</v>
      </c>
      <c r="B155" t="s">
        <v>1705</v>
      </c>
      <c r="C155" t="s">
        <v>6191</v>
      </c>
      <c r="D155" s="1">
        <v>45472</v>
      </c>
      <c r="E155" s="1" t="str">
        <f>TEXT(Claim_Denials_Cleaned[[#This Row],[denial_date]],"mmm-yyyy")</f>
        <v>Jun-2024</v>
      </c>
      <c r="F155" s="2">
        <v>320.52</v>
      </c>
    </row>
    <row r="156" spans="1:6" x14ac:dyDescent="0.35">
      <c r="A156" t="s">
        <v>6346</v>
      </c>
      <c r="B156" t="s">
        <v>1716</v>
      </c>
      <c r="C156" t="s">
        <v>6191</v>
      </c>
      <c r="D156" s="1">
        <v>45459</v>
      </c>
      <c r="E156" s="1" t="str">
        <f>TEXT(Claim_Denials_Cleaned[[#This Row],[denial_date]],"mmm-yyyy")</f>
        <v>Jun-2024</v>
      </c>
      <c r="F156" s="2">
        <v>121.35</v>
      </c>
    </row>
    <row r="157" spans="1:6" x14ac:dyDescent="0.35">
      <c r="A157" t="s">
        <v>6347</v>
      </c>
      <c r="B157" t="s">
        <v>1719</v>
      </c>
      <c r="C157" t="s">
        <v>6199</v>
      </c>
      <c r="D157" s="1">
        <v>45485</v>
      </c>
      <c r="E157" s="1" t="str">
        <f>TEXT(Claim_Denials_Cleaned[[#This Row],[denial_date]],"mmm-yyyy")</f>
        <v>Jul-2024</v>
      </c>
      <c r="F157" s="2">
        <v>478.54</v>
      </c>
    </row>
    <row r="158" spans="1:6" x14ac:dyDescent="0.35">
      <c r="A158" t="s">
        <v>6348</v>
      </c>
      <c r="B158" t="s">
        <v>1725</v>
      </c>
      <c r="C158" t="s">
        <v>6196</v>
      </c>
      <c r="D158" s="1">
        <v>45174</v>
      </c>
      <c r="E158" s="1" t="str">
        <f>TEXT(Claim_Denials_Cleaned[[#This Row],[denial_date]],"mmm-yyyy")</f>
        <v>Sep-2023</v>
      </c>
      <c r="F158" s="2">
        <v>323.93</v>
      </c>
    </row>
    <row r="159" spans="1:6" x14ac:dyDescent="0.35">
      <c r="A159" t="s">
        <v>6349</v>
      </c>
      <c r="B159" t="s">
        <v>1734</v>
      </c>
      <c r="C159" t="s">
        <v>6186</v>
      </c>
      <c r="D159" s="1">
        <v>45264</v>
      </c>
      <c r="E159" s="1" t="str">
        <f>TEXT(Claim_Denials_Cleaned[[#This Row],[denial_date]],"mmm-yyyy")</f>
        <v>Dec-2023</v>
      </c>
      <c r="F159" s="2">
        <v>144.49</v>
      </c>
    </row>
    <row r="160" spans="1:6" x14ac:dyDescent="0.35">
      <c r="A160" t="s">
        <v>6350</v>
      </c>
      <c r="B160" t="s">
        <v>1735</v>
      </c>
      <c r="C160" t="s">
        <v>6186</v>
      </c>
      <c r="D160" s="1">
        <v>45097</v>
      </c>
      <c r="E160" s="1" t="str">
        <f>TEXT(Claim_Denials_Cleaned[[#This Row],[denial_date]],"mmm-yyyy")</f>
        <v>Jun-2023</v>
      </c>
      <c r="F160" s="2">
        <v>44.76</v>
      </c>
    </row>
    <row r="161" spans="1:6" x14ac:dyDescent="0.35">
      <c r="A161" t="s">
        <v>6351</v>
      </c>
      <c r="B161" t="s">
        <v>1743</v>
      </c>
      <c r="C161" t="s">
        <v>6202</v>
      </c>
      <c r="D161" s="1">
        <v>45221</v>
      </c>
      <c r="E161" s="1" t="str">
        <f>TEXT(Claim_Denials_Cleaned[[#This Row],[denial_date]],"mmm-yyyy")</f>
        <v>Oct-2023</v>
      </c>
      <c r="F161" s="2">
        <v>1168.01</v>
      </c>
    </row>
    <row r="162" spans="1:6" x14ac:dyDescent="0.35">
      <c r="A162" t="s">
        <v>6352</v>
      </c>
      <c r="B162" t="s">
        <v>1745</v>
      </c>
      <c r="C162" t="s">
        <v>6199</v>
      </c>
      <c r="D162" s="1">
        <v>44960</v>
      </c>
      <c r="E162" s="1" t="str">
        <f>TEXT(Claim_Denials_Cleaned[[#This Row],[denial_date]],"mmm-yyyy")</f>
        <v>Feb-2023</v>
      </c>
      <c r="F162" s="2">
        <v>545.46</v>
      </c>
    </row>
    <row r="163" spans="1:6" x14ac:dyDescent="0.35">
      <c r="A163" t="s">
        <v>6353</v>
      </c>
      <c r="B163" t="s">
        <v>1753</v>
      </c>
      <c r="C163" t="s">
        <v>6186</v>
      </c>
      <c r="D163" s="1">
        <v>45473</v>
      </c>
      <c r="E163" s="1" t="str">
        <f>TEXT(Claim_Denials_Cleaned[[#This Row],[denial_date]],"mmm-yyyy")</f>
        <v>Jun-2024</v>
      </c>
      <c r="F163" s="2">
        <v>550.11</v>
      </c>
    </row>
    <row r="164" spans="1:6" x14ac:dyDescent="0.35">
      <c r="A164" t="s">
        <v>6354</v>
      </c>
      <c r="B164" t="s">
        <v>1766</v>
      </c>
      <c r="C164" t="s">
        <v>6199</v>
      </c>
      <c r="D164" s="1">
        <v>45529</v>
      </c>
      <c r="E164" s="1" t="str">
        <f>TEXT(Claim_Denials_Cleaned[[#This Row],[denial_date]],"mmm-yyyy")</f>
        <v>Aug-2024</v>
      </c>
      <c r="F164" s="2">
        <v>1319.34</v>
      </c>
    </row>
    <row r="165" spans="1:6" x14ac:dyDescent="0.35">
      <c r="A165" t="s">
        <v>6355</v>
      </c>
      <c r="B165" t="s">
        <v>1767</v>
      </c>
      <c r="C165" t="s">
        <v>6188</v>
      </c>
      <c r="D165" s="1">
        <v>45518</v>
      </c>
      <c r="E165" s="1" t="str">
        <f>TEXT(Claim_Denials_Cleaned[[#This Row],[denial_date]],"mmm-yyyy")</f>
        <v>Aug-2024</v>
      </c>
      <c r="F165" s="2">
        <v>145.19</v>
      </c>
    </row>
    <row r="166" spans="1:6" x14ac:dyDescent="0.35">
      <c r="A166" t="s">
        <v>6356</v>
      </c>
      <c r="B166" t="s">
        <v>1771</v>
      </c>
      <c r="C166" t="s">
        <v>6202</v>
      </c>
      <c r="D166" s="1">
        <v>45329</v>
      </c>
      <c r="E166" s="1" t="str">
        <f>TEXT(Claim_Denials_Cleaned[[#This Row],[denial_date]],"mmm-yyyy")</f>
        <v>Feb-2024</v>
      </c>
      <c r="F166" s="2">
        <v>918.86</v>
      </c>
    </row>
    <row r="167" spans="1:6" x14ac:dyDescent="0.35">
      <c r="A167" t="s">
        <v>6357</v>
      </c>
      <c r="B167" t="s">
        <v>1772</v>
      </c>
      <c r="C167" t="s">
        <v>6191</v>
      </c>
      <c r="D167" s="1">
        <v>45092</v>
      </c>
      <c r="E167" s="1" t="str">
        <f>TEXT(Claim_Denials_Cleaned[[#This Row],[denial_date]],"mmm-yyyy")</f>
        <v>Jun-2023</v>
      </c>
      <c r="F167" s="2">
        <v>816.22</v>
      </c>
    </row>
    <row r="168" spans="1:6" x14ac:dyDescent="0.35">
      <c r="A168" t="s">
        <v>6358</v>
      </c>
      <c r="B168" t="s">
        <v>1774</v>
      </c>
      <c r="C168" t="s">
        <v>6199</v>
      </c>
      <c r="D168" s="1">
        <v>45323</v>
      </c>
      <c r="E168" s="1" t="str">
        <f>TEXT(Claim_Denials_Cleaned[[#This Row],[denial_date]],"mmm-yyyy")</f>
        <v>Feb-2024</v>
      </c>
      <c r="F168" s="2">
        <v>995.44</v>
      </c>
    </row>
    <row r="169" spans="1:6" x14ac:dyDescent="0.35">
      <c r="A169" t="s">
        <v>6359</v>
      </c>
      <c r="B169" t="s">
        <v>1777</v>
      </c>
      <c r="C169" t="s">
        <v>6202</v>
      </c>
      <c r="D169" s="1">
        <v>44962</v>
      </c>
      <c r="E169" s="1" t="str">
        <f>TEXT(Claim_Denials_Cleaned[[#This Row],[denial_date]],"mmm-yyyy")</f>
        <v>Feb-2023</v>
      </c>
      <c r="F169" s="2">
        <v>254.92</v>
      </c>
    </row>
    <row r="170" spans="1:6" x14ac:dyDescent="0.35">
      <c r="A170" t="s">
        <v>6360</v>
      </c>
      <c r="B170" t="s">
        <v>1779</v>
      </c>
      <c r="C170" t="s">
        <v>6244</v>
      </c>
      <c r="D170" s="1">
        <v>45481</v>
      </c>
      <c r="E170" s="1" t="str">
        <f>TEXT(Claim_Denials_Cleaned[[#This Row],[denial_date]],"mmm-yyyy")</f>
        <v>Jul-2024</v>
      </c>
      <c r="F170" s="2">
        <v>4654.1099999999997</v>
      </c>
    </row>
    <row r="171" spans="1:6" x14ac:dyDescent="0.35">
      <c r="A171" t="s">
        <v>6361</v>
      </c>
      <c r="B171" t="s">
        <v>1781</v>
      </c>
      <c r="C171" t="s">
        <v>6188</v>
      </c>
      <c r="D171" s="1">
        <v>45111</v>
      </c>
      <c r="E171" s="1" t="str">
        <f>TEXT(Claim_Denials_Cleaned[[#This Row],[denial_date]],"mmm-yyyy")</f>
        <v>Jul-2023</v>
      </c>
      <c r="F171" s="2">
        <v>175.04</v>
      </c>
    </row>
    <row r="172" spans="1:6" x14ac:dyDescent="0.35">
      <c r="A172" t="s">
        <v>6362</v>
      </c>
      <c r="B172" t="s">
        <v>1783</v>
      </c>
      <c r="C172" t="s">
        <v>6244</v>
      </c>
      <c r="D172" s="1">
        <v>45324</v>
      </c>
      <c r="E172" s="1" t="str">
        <f>TEXT(Claim_Denials_Cleaned[[#This Row],[denial_date]],"mmm-yyyy")</f>
        <v>Feb-2024</v>
      </c>
      <c r="F172" s="2">
        <v>547.71</v>
      </c>
    </row>
    <row r="173" spans="1:6" x14ac:dyDescent="0.35">
      <c r="A173" t="s">
        <v>6363</v>
      </c>
      <c r="B173" t="s">
        <v>1793</v>
      </c>
      <c r="C173" t="s">
        <v>6196</v>
      </c>
      <c r="D173" s="1">
        <v>45462</v>
      </c>
      <c r="E173" s="1" t="str">
        <f>TEXT(Claim_Denials_Cleaned[[#This Row],[denial_date]],"mmm-yyyy")</f>
        <v>Jun-2024</v>
      </c>
      <c r="F173" s="2">
        <v>93.25</v>
      </c>
    </row>
    <row r="174" spans="1:6" x14ac:dyDescent="0.35">
      <c r="A174" t="s">
        <v>6364</v>
      </c>
      <c r="B174" t="s">
        <v>1800</v>
      </c>
      <c r="C174" t="s">
        <v>6186</v>
      </c>
      <c r="D174" s="1">
        <v>45088</v>
      </c>
      <c r="E174" s="1" t="str">
        <f>TEXT(Claim_Denials_Cleaned[[#This Row],[denial_date]],"mmm-yyyy")</f>
        <v>Jun-2023</v>
      </c>
      <c r="F174" s="2">
        <v>84.49</v>
      </c>
    </row>
    <row r="175" spans="1:6" x14ac:dyDescent="0.35">
      <c r="A175" t="s">
        <v>6365</v>
      </c>
      <c r="B175" t="s">
        <v>1815</v>
      </c>
      <c r="C175" t="s">
        <v>6186</v>
      </c>
      <c r="D175" s="1">
        <v>45172</v>
      </c>
      <c r="E175" s="1" t="str">
        <f>TEXT(Claim_Denials_Cleaned[[#This Row],[denial_date]],"mmm-yyyy")</f>
        <v>Sep-2023</v>
      </c>
      <c r="F175" s="2">
        <v>161.27000000000001</v>
      </c>
    </row>
    <row r="176" spans="1:6" x14ac:dyDescent="0.35">
      <c r="A176" t="s">
        <v>6366</v>
      </c>
      <c r="B176" t="s">
        <v>1818</v>
      </c>
      <c r="C176" t="s">
        <v>6202</v>
      </c>
      <c r="D176" s="1">
        <v>45389</v>
      </c>
      <c r="E176" s="1" t="str">
        <f>TEXT(Claim_Denials_Cleaned[[#This Row],[denial_date]],"mmm-yyyy")</f>
        <v>Apr-2024</v>
      </c>
      <c r="F176" s="2">
        <v>849.57</v>
      </c>
    </row>
    <row r="177" spans="1:6" x14ac:dyDescent="0.35">
      <c r="A177" t="s">
        <v>6367</v>
      </c>
      <c r="B177" t="s">
        <v>1827</v>
      </c>
      <c r="C177" t="s">
        <v>6199</v>
      </c>
      <c r="D177" s="1">
        <v>45015</v>
      </c>
      <c r="E177" s="1" t="str">
        <f>TEXT(Claim_Denials_Cleaned[[#This Row],[denial_date]],"mmm-yyyy")</f>
        <v>Mar-2023</v>
      </c>
      <c r="F177" s="2">
        <v>25.04</v>
      </c>
    </row>
    <row r="178" spans="1:6" x14ac:dyDescent="0.35">
      <c r="A178" t="s">
        <v>6368</v>
      </c>
      <c r="B178" t="s">
        <v>1831</v>
      </c>
      <c r="C178" t="s">
        <v>6244</v>
      </c>
      <c r="D178" s="1">
        <v>45430</v>
      </c>
      <c r="E178" s="1" t="str">
        <f>TEXT(Claim_Denials_Cleaned[[#This Row],[denial_date]],"mmm-yyyy")</f>
        <v>May-2024</v>
      </c>
      <c r="F178" s="2">
        <v>47.99</v>
      </c>
    </row>
    <row r="179" spans="1:6" x14ac:dyDescent="0.35">
      <c r="A179" t="s">
        <v>6369</v>
      </c>
      <c r="B179" t="s">
        <v>1833</v>
      </c>
      <c r="C179" t="s">
        <v>6186</v>
      </c>
      <c r="D179" s="1">
        <v>45562</v>
      </c>
      <c r="E179" s="1" t="str">
        <f>TEXT(Claim_Denials_Cleaned[[#This Row],[denial_date]],"mmm-yyyy")</f>
        <v>Sep-2024</v>
      </c>
      <c r="F179" s="2">
        <v>1218.8800000000001</v>
      </c>
    </row>
    <row r="180" spans="1:6" x14ac:dyDescent="0.35">
      <c r="A180" t="s">
        <v>6370</v>
      </c>
      <c r="B180" t="s">
        <v>1834</v>
      </c>
      <c r="C180" t="s">
        <v>6199</v>
      </c>
      <c r="D180" s="1">
        <v>45176</v>
      </c>
      <c r="E180" s="1" t="str">
        <f>TEXT(Claim_Denials_Cleaned[[#This Row],[denial_date]],"mmm-yyyy")</f>
        <v>Sep-2023</v>
      </c>
      <c r="F180" s="2">
        <v>445.93</v>
      </c>
    </row>
    <row r="181" spans="1:6" x14ac:dyDescent="0.35">
      <c r="A181" t="s">
        <v>6371</v>
      </c>
      <c r="B181" t="s">
        <v>1842</v>
      </c>
      <c r="C181" t="s">
        <v>6196</v>
      </c>
      <c r="D181" s="1">
        <v>45536</v>
      </c>
      <c r="E181" s="1" t="str">
        <f>TEXT(Claim_Denials_Cleaned[[#This Row],[denial_date]],"mmm-yyyy")</f>
        <v>Sep-2024</v>
      </c>
      <c r="F181" s="2">
        <v>177.44</v>
      </c>
    </row>
    <row r="182" spans="1:6" x14ac:dyDescent="0.35">
      <c r="A182" t="s">
        <v>6372</v>
      </c>
      <c r="B182" t="s">
        <v>1845</v>
      </c>
      <c r="C182" t="s">
        <v>6202</v>
      </c>
      <c r="D182" s="1">
        <v>45582</v>
      </c>
      <c r="E182" s="1" t="str">
        <f>TEXT(Claim_Denials_Cleaned[[#This Row],[denial_date]],"mmm-yyyy")</f>
        <v>Oct-2024</v>
      </c>
      <c r="F182" s="2">
        <v>382.28</v>
      </c>
    </row>
    <row r="183" spans="1:6" x14ac:dyDescent="0.35">
      <c r="A183" t="s">
        <v>6373</v>
      </c>
      <c r="B183" t="s">
        <v>1851</v>
      </c>
      <c r="C183" t="s">
        <v>6196</v>
      </c>
      <c r="D183" s="1">
        <v>45471</v>
      </c>
      <c r="E183" s="1" t="str">
        <f>TEXT(Claim_Denials_Cleaned[[#This Row],[denial_date]],"mmm-yyyy")</f>
        <v>Jun-2024</v>
      </c>
      <c r="F183" s="2">
        <v>2295.2800000000002</v>
      </c>
    </row>
    <row r="184" spans="1:6" x14ac:dyDescent="0.35">
      <c r="A184" t="s">
        <v>6374</v>
      </c>
      <c r="B184" t="s">
        <v>1854</v>
      </c>
      <c r="C184" t="s">
        <v>6188</v>
      </c>
      <c r="D184" s="1">
        <v>45472</v>
      </c>
      <c r="E184" s="1" t="str">
        <f>TEXT(Claim_Denials_Cleaned[[#This Row],[denial_date]],"mmm-yyyy")</f>
        <v>Jun-2024</v>
      </c>
      <c r="F184" s="2">
        <v>3072.99</v>
      </c>
    </row>
    <row r="185" spans="1:6" x14ac:dyDescent="0.35">
      <c r="A185" t="s">
        <v>6375</v>
      </c>
      <c r="B185" t="s">
        <v>1858</v>
      </c>
      <c r="C185" t="s">
        <v>6199</v>
      </c>
      <c r="D185" s="1">
        <v>45153</v>
      </c>
      <c r="E185" s="1" t="str">
        <f>TEXT(Claim_Denials_Cleaned[[#This Row],[denial_date]],"mmm-yyyy")</f>
        <v>Aug-2023</v>
      </c>
      <c r="F185" s="2">
        <v>56.07</v>
      </c>
    </row>
    <row r="186" spans="1:6" x14ac:dyDescent="0.35">
      <c r="A186" t="s">
        <v>6376</v>
      </c>
      <c r="B186" t="s">
        <v>1859</v>
      </c>
      <c r="C186" t="s">
        <v>6186</v>
      </c>
      <c r="D186" s="1">
        <v>45300</v>
      </c>
      <c r="E186" s="1" t="str">
        <f>TEXT(Claim_Denials_Cleaned[[#This Row],[denial_date]],"mmm-yyyy")</f>
        <v>Jan-2024</v>
      </c>
      <c r="F186" s="2">
        <v>643.32000000000005</v>
      </c>
    </row>
    <row r="187" spans="1:6" x14ac:dyDescent="0.35">
      <c r="A187" t="s">
        <v>6377</v>
      </c>
      <c r="B187" t="s">
        <v>1860</v>
      </c>
      <c r="C187" t="s">
        <v>6196</v>
      </c>
      <c r="D187" s="1">
        <v>45396</v>
      </c>
      <c r="E187" s="1" t="str">
        <f>TEXT(Claim_Denials_Cleaned[[#This Row],[denial_date]],"mmm-yyyy")</f>
        <v>Apr-2024</v>
      </c>
      <c r="F187" s="2">
        <v>394.48</v>
      </c>
    </row>
    <row r="188" spans="1:6" x14ac:dyDescent="0.35">
      <c r="A188" t="s">
        <v>6378</v>
      </c>
      <c r="B188" t="s">
        <v>1861</v>
      </c>
      <c r="C188" t="s">
        <v>6244</v>
      </c>
      <c r="D188" s="1">
        <v>44971</v>
      </c>
      <c r="E188" s="1" t="str">
        <f>TEXT(Claim_Denials_Cleaned[[#This Row],[denial_date]],"mmm-yyyy")</f>
        <v>Feb-2023</v>
      </c>
      <c r="F188" s="2">
        <v>63.88</v>
      </c>
    </row>
    <row r="189" spans="1:6" x14ac:dyDescent="0.35">
      <c r="A189" t="s">
        <v>6379</v>
      </c>
      <c r="B189" t="s">
        <v>1875</v>
      </c>
      <c r="C189" t="s">
        <v>6188</v>
      </c>
      <c r="D189" s="1">
        <v>44988</v>
      </c>
      <c r="E189" s="1" t="str">
        <f>TEXT(Claim_Denials_Cleaned[[#This Row],[denial_date]],"mmm-yyyy")</f>
        <v>Mar-2023</v>
      </c>
      <c r="F189" s="2">
        <v>1199.72</v>
      </c>
    </row>
    <row r="190" spans="1:6" x14ac:dyDescent="0.35">
      <c r="A190" t="s">
        <v>6380</v>
      </c>
      <c r="B190" t="s">
        <v>1882</v>
      </c>
      <c r="C190" t="s">
        <v>6186</v>
      </c>
      <c r="D190" s="1">
        <v>45528</v>
      </c>
      <c r="E190" s="1" t="str">
        <f>TEXT(Claim_Denials_Cleaned[[#This Row],[denial_date]],"mmm-yyyy")</f>
        <v>Aug-2024</v>
      </c>
      <c r="F190" s="2">
        <v>3199.83</v>
      </c>
    </row>
    <row r="191" spans="1:6" x14ac:dyDescent="0.35">
      <c r="A191" t="s">
        <v>6381</v>
      </c>
      <c r="B191" t="s">
        <v>1885</v>
      </c>
      <c r="C191" t="s">
        <v>6202</v>
      </c>
      <c r="D191" s="1">
        <v>45430</v>
      </c>
      <c r="E191" s="1" t="str">
        <f>TEXT(Claim_Denials_Cleaned[[#This Row],[denial_date]],"mmm-yyyy")</f>
        <v>May-2024</v>
      </c>
      <c r="F191" s="2">
        <v>1029.17</v>
      </c>
    </row>
    <row r="192" spans="1:6" x14ac:dyDescent="0.35">
      <c r="A192" t="s">
        <v>6382</v>
      </c>
      <c r="B192" t="s">
        <v>1898</v>
      </c>
      <c r="C192" t="s">
        <v>6188</v>
      </c>
      <c r="D192" s="1">
        <v>45073</v>
      </c>
      <c r="E192" s="1" t="str">
        <f>TEXT(Claim_Denials_Cleaned[[#This Row],[denial_date]],"mmm-yyyy")</f>
        <v>May-2023</v>
      </c>
      <c r="F192" s="2">
        <v>97.13</v>
      </c>
    </row>
    <row r="193" spans="1:6" x14ac:dyDescent="0.35">
      <c r="A193" t="s">
        <v>6383</v>
      </c>
      <c r="B193" t="s">
        <v>1905</v>
      </c>
      <c r="C193" t="s">
        <v>6202</v>
      </c>
      <c r="D193" s="1">
        <v>45542</v>
      </c>
      <c r="E193" s="1" t="str">
        <f>TEXT(Claim_Denials_Cleaned[[#This Row],[denial_date]],"mmm-yyyy")</f>
        <v>Sep-2024</v>
      </c>
      <c r="F193" s="2">
        <v>3020.64</v>
      </c>
    </row>
    <row r="194" spans="1:6" x14ac:dyDescent="0.35">
      <c r="A194" t="s">
        <v>6384</v>
      </c>
      <c r="B194" t="s">
        <v>1914</v>
      </c>
      <c r="C194" t="s">
        <v>6191</v>
      </c>
      <c r="D194" s="1">
        <v>45037</v>
      </c>
      <c r="E194" s="1" t="str">
        <f>TEXT(Claim_Denials_Cleaned[[#This Row],[denial_date]],"mmm-yyyy")</f>
        <v>Apr-2023</v>
      </c>
      <c r="F194" s="2">
        <v>70.739999999999995</v>
      </c>
    </row>
    <row r="195" spans="1:6" x14ac:dyDescent="0.35">
      <c r="A195" t="s">
        <v>6385</v>
      </c>
      <c r="B195" t="s">
        <v>1920</v>
      </c>
      <c r="C195" t="s">
        <v>6188</v>
      </c>
      <c r="D195" s="1">
        <v>45112</v>
      </c>
      <c r="E195" s="1" t="str">
        <f>TEXT(Claim_Denials_Cleaned[[#This Row],[denial_date]],"mmm-yyyy")</f>
        <v>Jul-2023</v>
      </c>
      <c r="F195" s="2">
        <v>40.36</v>
      </c>
    </row>
    <row r="196" spans="1:6" x14ac:dyDescent="0.35">
      <c r="A196" t="s">
        <v>6386</v>
      </c>
      <c r="B196" t="s">
        <v>1922</v>
      </c>
      <c r="C196" t="s">
        <v>6191</v>
      </c>
      <c r="D196" s="1">
        <v>45266</v>
      </c>
      <c r="E196" s="1" t="str">
        <f>TEXT(Claim_Denials_Cleaned[[#This Row],[denial_date]],"mmm-yyyy")</f>
        <v>Dec-2023</v>
      </c>
      <c r="F196" s="2">
        <v>68.489999999999995</v>
      </c>
    </row>
    <row r="197" spans="1:6" x14ac:dyDescent="0.35">
      <c r="A197" t="s">
        <v>6387</v>
      </c>
      <c r="B197" t="s">
        <v>1924</v>
      </c>
      <c r="C197" t="s">
        <v>6188</v>
      </c>
      <c r="D197" s="1">
        <v>44984</v>
      </c>
      <c r="E197" s="1" t="str">
        <f>TEXT(Claim_Denials_Cleaned[[#This Row],[denial_date]],"mmm-yyyy")</f>
        <v>Feb-2023</v>
      </c>
      <c r="F197" s="2">
        <v>1829.03</v>
      </c>
    </row>
    <row r="198" spans="1:6" x14ac:dyDescent="0.35">
      <c r="A198" t="s">
        <v>6388</v>
      </c>
      <c r="B198" t="s">
        <v>1933</v>
      </c>
      <c r="C198" t="s">
        <v>6188</v>
      </c>
      <c r="D198" s="1">
        <v>45491</v>
      </c>
      <c r="E198" s="1" t="str">
        <f>TEXT(Claim_Denials_Cleaned[[#This Row],[denial_date]],"mmm-yyyy")</f>
        <v>Jul-2024</v>
      </c>
      <c r="F198" s="2">
        <v>78.849999999999994</v>
      </c>
    </row>
    <row r="199" spans="1:6" x14ac:dyDescent="0.35">
      <c r="A199" t="s">
        <v>6389</v>
      </c>
      <c r="B199" t="s">
        <v>1934</v>
      </c>
      <c r="C199" t="s">
        <v>6199</v>
      </c>
      <c r="D199" s="1">
        <v>45637</v>
      </c>
      <c r="E199" s="1" t="str">
        <f>TEXT(Claim_Denials_Cleaned[[#This Row],[denial_date]],"mmm-yyyy")</f>
        <v>Dec-2024</v>
      </c>
      <c r="F199" s="2">
        <v>47.64</v>
      </c>
    </row>
    <row r="200" spans="1:6" x14ac:dyDescent="0.35">
      <c r="A200" t="s">
        <v>6390</v>
      </c>
      <c r="B200" t="s">
        <v>1943</v>
      </c>
      <c r="C200" t="s">
        <v>6191</v>
      </c>
      <c r="D200" s="1">
        <v>44959</v>
      </c>
      <c r="E200" s="1" t="str">
        <f>TEXT(Claim_Denials_Cleaned[[#This Row],[denial_date]],"mmm-yyyy")</f>
        <v>Feb-2023</v>
      </c>
      <c r="F200" s="2">
        <v>2148.88</v>
      </c>
    </row>
    <row r="201" spans="1:6" x14ac:dyDescent="0.35">
      <c r="A201" t="s">
        <v>6391</v>
      </c>
      <c r="B201" t="s">
        <v>1956</v>
      </c>
      <c r="C201" t="s">
        <v>6244</v>
      </c>
      <c r="D201" s="1">
        <v>45182</v>
      </c>
      <c r="E201" s="1" t="str">
        <f>TEXT(Claim_Denials_Cleaned[[#This Row],[denial_date]],"mmm-yyyy")</f>
        <v>Sep-2023</v>
      </c>
      <c r="F201" s="2">
        <v>1173.28</v>
      </c>
    </row>
    <row r="202" spans="1:6" x14ac:dyDescent="0.35">
      <c r="A202" t="s">
        <v>6392</v>
      </c>
      <c r="B202" t="s">
        <v>1958</v>
      </c>
      <c r="C202" t="s">
        <v>6188</v>
      </c>
      <c r="D202" s="1">
        <v>45076</v>
      </c>
      <c r="E202" s="1" t="str">
        <f>TEXT(Claim_Denials_Cleaned[[#This Row],[denial_date]],"mmm-yyyy")</f>
        <v>May-2023</v>
      </c>
      <c r="F202" s="2">
        <v>288.94</v>
      </c>
    </row>
    <row r="203" spans="1:6" x14ac:dyDescent="0.35">
      <c r="A203" t="s">
        <v>6393</v>
      </c>
      <c r="B203" t="s">
        <v>1993</v>
      </c>
      <c r="C203" t="s">
        <v>6202</v>
      </c>
      <c r="D203" s="1">
        <v>45598</v>
      </c>
      <c r="E203" s="1" t="str">
        <f>TEXT(Claim_Denials_Cleaned[[#This Row],[denial_date]],"mmm-yyyy")</f>
        <v>Nov-2024</v>
      </c>
      <c r="F203" s="2">
        <v>443.49</v>
      </c>
    </row>
    <row r="204" spans="1:6" x14ac:dyDescent="0.35">
      <c r="A204" t="s">
        <v>6394</v>
      </c>
      <c r="B204" t="s">
        <v>1996</v>
      </c>
      <c r="C204" t="s">
        <v>6188</v>
      </c>
      <c r="D204" s="1">
        <v>45222</v>
      </c>
      <c r="E204" s="1" t="str">
        <f>TEXT(Claim_Denials_Cleaned[[#This Row],[denial_date]],"mmm-yyyy")</f>
        <v>Oct-2023</v>
      </c>
      <c r="F204" s="2">
        <v>3345.28</v>
      </c>
    </row>
    <row r="205" spans="1:6" x14ac:dyDescent="0.35">
      <c r="A205" t="s">
        <v>6395</v>
      </c>
      <c r="B205" t="s">
        <v>2002</v>
      </c>
      <c r="C205" t="s">
        <v>6199</v>
      </c>
      <c r="D205" s="1">
        <v>45064</v>
      </c>
      <c r="E205" s="1" t="str">
        <f>TEXT(Claim_Denials_Cleaned[[#This Row],[denial_date]],"mmm-yyyy")</f>
        <v>May-2023</v>
      </c>
      <c r="F205" s="2">
        <v>2604.11</v>
      </c>
    </row>
    <row r="206" spans="1:6" x14ac:dyDescent="0.35">
      <c r="A206" t="s">
        <v>6396</v>
      </c>
      <c r="B206" t="s">
        <v>2003</v>
      </c>
      <c r="C206" t="s">
        <v>6188</v>
      </c>
      <c r="D206" s="1">
        <v>45604</v>
      </c>
      <c r="E206" s="1" t="str">
        <f>TEXT(Claim_Denials_Cleaned[[#This Row],[denial_date]],"mmm-yyyy")</f>
        <v>Nov-2024</v>
      </c>
      <c r="F206" s="2">
        <v>70.33</v>
      </c>
    </row>
    <row r="207" spans="1:6" x14ac:dyDescent="0.35">
      <c r="A207" t="s">
        <v>6397</v>
      </c>
      <c r="B207" t="s">
        <v>2013</v>
      </c>
      <c r="C207" t="s">
        <v>6186</v>
      </c>
      <c r="D207" s="1">
        <v>45306</v>
      </c>
      <c r="E207" s="1" t="str">
        <f>TEXT(Claim_Denials_Cleaned[[#This Row],[denial_date]],"mmm-yyyy")</f>
        <v>Jan-2024</v>
      </c>
      <c r="F207" s="2">
        <v>399.8</v>
      </c>
    </row>
    <row r="208" spans="1:6" x14ac:dyDescent="0.35">
      <c r="A208" t="s">
        <v>6398</v>
      </c>
      <c r="B208" t="s">
        <v>2015</v>
      </c>
      <c r="C208" t="s">
        <v>6188</v>
      </c>
      <c r="D208" s="1">
        <v>45667</v>
      </c>
      <c r="E208" s="1" t="str">
        <f>TEXT(Claim_Denials_Cleaned[[#This Row],[denial_date]],"mmm-yyyy")</f>
        <v>Jan-2025</v>
      </c>
      <c r="F208" s="2">
        <v>242.75</v>
      </c>
    </row>
    <row r="209" spans="1:6" x14ac:dyDescent="0.35">
      <c r="A209" t="s">
        <v>6399</v>
      </c>
      <c r="B209" t="s">
        <v>2017</v>
      </c>
      <c r="C209" t="s">
        <v>6191</v>
      </c>
      <c r="D209" s="1">
        <v>45220</v>
      </c>
      <c r="E209" s="1" t="str">
        <f>TEXT(Claim_Denials_Cleaned[[#This Row],[denial_date]],"mmm-yyyy")</f>
        <v>Oct-2023</v>
      </c>
      <c r="F209" s="2">
        <v>102.4</v>
      </c>
    </row>
    <row r="210" spans="1:6" x14ac:dyDescent="0.35">
      <c r="A210" t="s">
        <v>6400</v>
      </c>
      <c r="B210" t="s">
        <v>2028</v>
      </c>
      <c r="C210" t="s">
        <v>6186</v>
      </c>
      <c r="D210" s="1">
        <v>45586</v>
      </c>
      <c r="E210" s="1" t="str">
        <f>TEXT(Claim_Denials_Cleaned[[#This Row],[denial_date]],"mmm-yyyy")</f>
        <v>Oct-2024</v>
      </c>
      <c r="F210" s="2">
        <v>34.82</v>
      </c>
    </row>
    <row r="211" spans="1:6" x14ac:dyDescent="0.35">
      <c r="A211" t="s">
        <v>6401</v>
      </c>
      <c r="B211" t="s">
        <v>2030</v>
      </c>
      <c r="C211" t="s">
        <v>6196</v>
      </c>
      <c r="D211" s="1">
        <v>45250</v>
      </c>
      <c r="E211" s="1" t="str">
        <f>TEXT(Claim_Denials_Cleaned[[#This Row],[denial_date]],"mmm-yyyy")</f>
        <v>Nov-2023</v>
      </c>
      <c r="F211" s="2">
        <v>704.7</v>
      </c>
    </row>
    <row r="212" spans="1:6" x14ac:dyDescent="0.35">
      <c r="A212" t="s">
        <v>6402</v>
      </c>
      <c r="B212" t="s">
        <v>2032</v>
      </c>
      <c r="C212" t="s">
        <v>6186</v>
      </c>
      <c r="D212" s="1">
        <v>44992</v>
      </c>
      <c r="E212" s="1" t="str">
        <f>TEXT(Claim_Denials_Cleaned[[#This Row],[denial_date]],"mmm-yyyy")</f>
        <v>Mar-2023</v>
      </c>
      <c r="F212" s="2">
        <v>1438.78</v>
      </c>
    </row>
    <row r="213" spans="1:6" x14ac:dyDescent="0.35">
      <c r="A213" t="s">
        <v>6403</v>
      </c>
      <c r="B213" t="s">
        <v>2039</v>
      </c>
      <c r="C213" t="s">
        <v>6186</v>
      </c>
      <c r="D213" s="1">
        <v>45651</v>
      </c>
      <c r="E213" s="1" t="str">
        <f>TEXT(Claim_Denials_Cleaned[[#This Row],[denial_date]],"mmm-yyyy")</f>
        <v>Dec-2024</v>
      </c>
      <c r="F213" s="2">
        <v>308.35000000000002</v>
      </c>
    </row>
    <row r="214" spans="1:6" x14ac:dyDescent="0.35">
      <c r="A214" t="s">
        <v>6404</v>
      </c>
      <c r="B214" t="s">
        <v>2045</v>
      </c>
      <c r="C214" t="s">
        <v>6199</v>
      </c>
      <c r="D214" s="1">
        <v>45219</v>
      </c>
      <c r="E214" s="1" t="str">
        <f>TEXT(Claim_Denials_Cleaned[[#This Row],[denial_date]],"mmm-yyyy")</f>
        <v>Oct-2023</v>
      </c>
      <c r="F214" s="2">
        <v>283.61</v>
      </c>
    </row>
    <row r="215" spans="1:6" x14ac:dyDescent="0.35">
      <c r="A215" t="s">
        <v>6405</v>
      </c>
      <c r="B215" t="s">
        <v>2046</v>
      </c>
      <c r="C215" t="s">
        <v>6186</v>
      </c>
      <c r="D215" s="1">
        <v>45352</v>
      </c>
      <c r="E215" s="1" t="str">
        <f>TEXT(Claim_Denials_Cleaned[[#This Row],[denial_date]],"mmm-yyyy")</f>
        <v>Mar-2024</v>
      </c>
      <c r="F215" s="2">
        <v>36.31</v>
      </c>
    </row>
    <row r="216" spans="1:6" x14ac:dyDescent="0.35">
      <c r="A216" t="s">
        <v>6406</v>
      </c>
      <c r="B216" t="s">
        <v>2047</v>
      </c>
      <c r="C216" t="s">
        <v>6186</v>
      </c>
      <c r="D216" s="1">
        <v>45070</v>
      </c>
      <c r="E216" s="1" t="str">
        <f>TEXT(Claim_Denials_Cleaned[[#This Row],[denial_date]],"mmm-yyyy")</f>
        <v>May-2023</v>
      </c>
      <c r="F216" s="2">
        <v>2393.92</v>
      </c>
    </row>
    <row r="217" spans="1:6" x14ac:dyDescent="0.35">
      <c r="A217" t="s">
        <v>6407</v>
      </c>
      <c r="B217" t="s">
        <v>2048</v>
      </c>
      <c r="C217" t="s">
        <v>6199</v>
      </c>
      <c r="D217" s="1">
        <v>45649</v>
      </c>
      <c r="E217" s="1" t="str">
        <f>TEXT(Claim_Denials_Cleaned[[#This Row],[denial_date]],"mmm-yyyy")</f>
        <v>Dec-2024</v>
      </c>
      <c r="F217" s="2">
        <v>610.39</v>
      </c>
    </row>
    <row r="218" spans="1:6" x14ac:dyDescent="0.35">
      <c r="A218" t="s">
        <v>6408</v>
      </c>
      <c r="B218" t="s">
        <v>2052</v>
      </c>
      <c r="C218" t="s">
        <v>6191</v>
      </c>
      <c r="D218" s="1">
        <v>45111</v>
      </c>
      <c r="E218" s="1" t="str">
        <f>TEXT(Claim_Denials_Cleaned[[#This Row],[denial_date]],"mmm-yyyy")</f>
        <v>Jul-2023</v>
      </c>
      <c r="F218" s="2">
        <v>201.22</v>
      </c>
    </row>
    <row r="219" spans="1:6" x14ac:dyDescent="0.35">
      <c r="A219" t="s">
        <v>6409</v>
      </c>
      <c r="B219" t="s">
        <v>2074</v>
      </c>
      <c r="C219" t="s">
        <v>6199</v>
      </c>
      <c r="D219" s="1">
        <v>45643</v>
      </c>
      <c r="E219" s="1" t="str">
        <f>TEXT(Claim_Denials_Cleaned[[#This Row],[denial_date]],"mmm-yyyy")</f>
        <v>Dec-2024</v>
      </c>
      <c r="F219" s="2">
        <v>861.95</v>
      </c>
    </row>
    <row r="220" spans="1:6" x14ac:dyDescent="0.35">
      <c r="A220" t="s">
        <v>6410</v>
      </c>
      <c r="B220" t="s">
        <v>2078</v>
      </c>
      <c r="C220" t="s">
        <v>6202</v>
      </c>
      <c r="D220" s="1">
        <v>44992</v>
      </c>
      <c r="E220" s="1" t="str">
        <f>TEXT(Claim_Denials_Cleaned[[#This Row],[denial_date]],"mmm-yyyy")</f>
        <v>Mar-2023</v>
      </c>
      <c r="F220" s="2">
        <v>2265.86</v>
      </c>
    </row>
    <row r="221" spans="1:6" x14ac:dyDescent="0.35">
      <c r="A221" t="s">
        <v>6411</v>
      </c>
      <c r="B221" t="s">
        <v>2087</v>
      </c>
      <c r="C221" t="s">
        <v>6202</v>
      </c>
      <c r="D221" s="1">
        <v>45134</v>
      </c>
      <c r="E221" s="1" t="str">
        <f>TEXT(Claim_Denials_Cleaned[[#This Row],[denial_date]],"mmm-yyyy")</f>
        <v>Jul-2023</v>
      </c>
      <c r="F221" s="2">
        <v>30.82</v>
      </c>
    </row>
    <row r="222" spans="1:6" x14ac:dyDescent="0.35">
      <c r="A222" t="s">
        <v>6412</v>
      </c>
      <c r="B222" t="s">
        <v>2094</v>
      </c>
      <c r="C222" t="s">
        <v>6186</v>
      </c>
      <c r="D222" s="1">
        <v>45635</v>
      </c>
      <c r="E222" s="1" t="str">
        <f>TEXT(Claim_Denials_Cleaned[[#This Row],[denial_date]],"mmm-yyyy")</f>
        <v>Dec-2024</v>
      </c>
      <c r="F222" s="2">
        <v>43.9</v>
      </c>
    </row>
    <row r="223" spans="1:6" x14ac:dyDescent="0.35">
      <c r="A223" t="s">
        <v>6413</v>
      </c>
      <c r="B223" t="s">
        <v>2095</v>
      </c>
      <c r="C223" t="s">
        <v>6196</v>
      </c>
      <c r="D223" s="1">
        <v>45445</v>
      </c>
      <c r="E223" s="1" t="str">
        <f>TEXT(Claim_Denials_Cleaned[[#This Row],[denial_date]],"mmm-yyyy")</f>
        <v>Jun-2024</v>
      </c>
      <c r="F223" s="2">
        <v>350.31</v>
      </c>
    </row>
    <row r="224" spans="1:6" x14ac:dyDescent="0.35">
      <c r="A224" t="s">
        <v>6414</v>
      </c>
      <c r="B224" t="s">
        <v>2097</v>
      </c>
      <c r="C224" t="s">
        <v>6186</v>
      </c>
      <c r="D224" s="1">
        <v>45526</v>
      </c>
      <c r="E224" s="1" t="str">
        <f>TEXT(Claim_Denials_Cleaned[[#This Row],[denial_date]],"mmm-yyyy")</f>
        <v>Aug-2024</v>
      </c>
      <c r="F224" s="2">
        <v>52.64</v>
      </c>
    </row>
    <row r="225" spans="1:6" x14ac:dyDescent="0.35">
      <c r="A225" t="s">
        <v>6415</v>
      </c>
      <c r="B225" t="s">
        <v>2106</v>
      </c>
      <c r="C225" t="s">
        <v>6188</v>
      </c>
      <c r="D225" s="1">
        <v>45173</v>
      </c>
      <c r="E225" s="1" t="str">
        <f>TEXT(Claim_Denials_Cleaned[[#This Row],[denial_date]],"mmm-yyyy")</f>
        <v>Sep-2023</v>
      </c>
      <c r="F225" s="2">
        <v>46.7</v>
      </c>
    </row>
    <row r="226" spans="1:6" x14ac:dyDescent="0.35">
      <c r="A226" t="s">
        <v>6416</v>
      </c>
      <c r="B226" t="s">
        <v>2112</v>
      </c>
      <c r="C226" t="s">
        <v>6186</v>
      </c>
      <c r="D226" s="1">
        <v>45454</v>
      </c>
      <c r="E226" s="1" t="str">
        <f>TEXT(Claim_Denials_Cleaned[[#This Row],[denial_date]],"mmm-yyyy")</f>
        <v>Jun-2024</v>
      </c>
      <c r="F226" s="2">
        <v>1242.5</v>
      </c>
    </row>
    <row r="227" spans="1:6" x14ac:dyDescent="0.35">
      <c r="A227" t="s">
        <v>6417</v>
      </c>
      <c r="B227" t="s">
        <v>2114</v>
      </c>
      <c r="C227" t="s">
        <v>6199</v>
      </c>
      <c r="D227" s="1">
        <v>45123</v>
      </c>
      <c r="E227" s="1" t="str">
        <f>TEXT(Claim_Denials_Cleaned[[#This Row],[denial_date]],"mmm-yyyy")</f>
        <v>Jul-2023</v>
      </c>
      <c r="F227" s="2">
        <v>293.33999999999997</v>
      </c>
    </row>
    <row r="228" spans="1:6" x14ac:dyDescent="0.35">
      <c r="A228" t="s">
        <v>6418</v>
      </c>
      <c r="B228" t="s">
        <v>2117</v>
      </c>
      <c r="C228" t="s">
        <v>6196</v>
      </c>
      <c r="D228" s="1">
        <v>45496</v>
      </c>
      <c r="E228" s="1" t="str">
        <f>TEXT(Claim_Denials_Cleaned[[#This Row],[denial_date]],"mmm-yyyy")</f>
        <v>Jul-2024</v>
      </c>
      <c r="F228" s="2">
        <v>1526.76</v>
      </c>
    </row>
    <row r="229" spans="1:6" x14ac:dyDescent="0.35">
      <c r="A229" t="s">
        <v>6419</v>
      </c>
      <c r="B229" t="s">
        <v>2118</v>
      </c>
      <c r="C229" t="s">
        <v>6196</v>
      </c>
      <c r="D229" s="1">
        <v>45654</v>
      </c>
      <c r="E229" s="1" t="str">
        <f>TEXT(Claim_Denials_Cleaned[[#This Row],[denial_date]],"mmm-yyyy")</f>
        <v>Dec-2024</v>
      </c>
      <c r="F229" s="2">
        <v>19.350000000000001</v>
      </c>
    </row>
    <row r="230" spans="1:6" x14ac:dyDescent="0.35">
      <c r="A230" t="s">
        <v>6420</v>
      </c>
      <c r="B230" t="s">
        <v>2119</v>
      </c>
      <c r="C230" t="s">
        <v>6202</v>
      </c>
      <c r="D230" s="1">
        <v>45492</v>
      </c>
      <c r="E230" s="1" t="str">
        <f>TEXT(Claim_Denials_Cleaned[[#This Row],[denial_date]],"mmm-yyyy")</f>
        <v>Jul-2024</v>
      </c>
      <c r="F230" s="2">
        <v>100.49</v>
      </c>
    </row>
    <row r="231" spans="1:6" x14ac:dyDescent="0.35">
      <c r="A231" t="s">
        <v>6421</v>
      </c>
      <c r="B231" t="s">
        <v>2121</v>
      </c>
      <c r="C231" t="s">
        <v>6199</v>
      </c>
      <c r="D231" s="1">
        <v>45352</v>
      </c>
      <c r="E231" s="1" t="str">
        <f>TEXT(Claim_Denials_Cleaned[[#This Row],[denial_date]],"mmm-yyyy")</f>
        <v>Mar-2024</v>
      </c>
      <c r="F231" s="2">
        <v>4050.11</v>
      </c>
    </row>
    <row r="232" spans="1:6" x14ac:dyDescent="0.35">
      <c r="A232" t="s">
        <v>6422</v>
      </c>
      <c r="B232" t="s">
        <v>2122</v>
      </c>
      <c r="C232" t="s">
        <v>6196</v>
      </c>
      <c r="D232" s="1">
        <v>45159</v>
      </c>
      <c r="E232" s="1" t="str">
        <f>TEXT(Claim_Denials_Cleaned[[#This Row],[denial_date]],"mmm-yyyy")</f>
        <v>Aug-2023</v>
      </c>
      <c r="F232" s="2">
        <v>1195.69</v>
      </c>
    </row>
    <row r="233" spans="1:6" x14ac:dyDescent="0.35">
      <c r="A233" t="s">
        <v>6423</v>
      </c>
      <c r="B233" t="s">
        <v>2123</v>
      </c>
      <c r="C233" t="s">
        <v>6202</v>
      </c>
      <c r="D233" s="1">
        <v>45121</v>
      </c>
      <c r="E233" s="1" t="str">
        <f>TEXT(Claim_Denials_Cleaned[[#This Row],[denial_date]],"mmm-yyyy")</f>
        <v>Jul-2023</v>
      </c>
      <c r="F233" s="2">
        <v>386.92</v>
      </c>
    </row>
    <row r="234" spans="1:6" x14ac:dyDescent="0.35">
      <c r="A234" t="s">
        <v>6424</v>
      </c>
      <c r="B234" t="s">
        <v>2126</v>
      </c>
      <c r="C234" t="s">
        <v>6202</v>
      </c>
      <c r="D234" s="1">
        <v>45315</v>
      </c>
      <c r="E234" s="1" t="str">
        <f>TEXT(Claim_Denials_Cleaned[[#This Row],[denial_date]],"mmm-yyyy")</f>
        <v>Jan-2024</v>
      </c>
      <c r="F234" s="2">
        <v>534.08000000000004</v>
      </c>
    </row>
    <row r="235" spans="1:6" x14ac:dyDescent="0.35">
      <c r="A235" t="s">
        <v>6425</v>
      </c>
      <c r="B235" t="s">
        <v>2133</v>
      </c>
      <c r="C235" t="s">
        <v>6199</v>
      </c>
      <c r="D235" s="1">
        <v>45255</v>
      </c>
      <c r="E235" s="1" t="str">
        <f>TEXT(Claim_Denials_Cleaned[[#This Row],[denial_date]],"mmm-yyyy")</f>
        <v>Nov-2023</v>
      </c>
      <c r="F235" s="2">
        <v>3534.85</v>
      </c>
    </row>
    <row r="236" spans="1:6" x14ac:dyDescent="0.35">
      <c r="A236" t="s">
        <v>6426</v>
      </c>
      <c r="B236" t="s">
        <v>2141</v>
      </c>
      <c r="C236" t="s">
        <v>6186</v>
      </c>
      <c r="D236" s="1">
        <v>45211</v>
      </c>
      <c r="E236" s="1" t="str">
        <f>TEXT(Claim_Denials_Cleaned[[#This Row],[denial_date]],"mmm-yyyy")</f>
        <v>Oct-2023</v>
      </c>
      <c r="F236" s="2">
        <v>221.46</v>
      </c>
    </row>
    <row r="237" spans="1:6" x14ac:dyDescent="0.35">
      <c r="A237" t="s">
        <v>6427</v>
      </c>
      <c r="B237" t="s">
        <v>2152</v>
      </c>
      <c r="C237" t="s">
        <v>6191</v>
      </c>
      <c r="D237" s="1">
        <v>45581</v>
      </c>
      <c r="E237" s="1" t="str">
        <f>TEXT(Claim_Denials_Cleaned[[#This Row],[denial_date]],"mmm-yyyy")</f>
        <v>Oct-2024</v>
      </c>
      <c r="F237" s="2">
        <v>241.29</v>
      </c>
    </row>
    <row r="238" spans="1:6" x14ac:dyDescent="0.35">
      <c r="A238" t="s">
        <v>6428</v>
      </c>
      <c r="B238" t="s">
        <v>2159</v>
      </c>
      <c r="C238" t="s">
        <v>6186</v>
      </c>
      <c r="D238" s="1">
        <v>45039</v>
      </c>
      <c r="E238" s="1" t="str">
        <f>TEXT(Claim_Denials_Cleaned[[#This Row],[denial_date]],"mmm-yyyy")</f>
        <v>Apr-2023</v>
      </c>
      <c r="F238" s="2">
        <v>78.44</v>
      </c>
    </row>
    <row r="239" spans="1:6" x14ac:dyDescent="0.35">
      <c r="A239" t="s">
        <v>6429</v>
      </c>
      <c r="B239" t="s">
        <v>2163</v>
      </c>
      <c r="C239" t="s">
        <v>6186</v>
      </c>
      <c r="D239" s="1">
        <v>45356</v>
      </c>
      <c r="E239" s="1" t="str">
        <f>TEXT(Claim_Denials_Cleaned[[#This Row],[denial_date]],"mmm-yyyy")</f>
        <v>Mar-2024</v>
      </c>
      <c r="F239" s="2">
        <v>40.01</v>
      </c>
    </row>
    <row r="240" spans="1:6" x14ac:dyDescent="0.35">
      <c r="A240" t="s">
        <v>6430</v>
      </c>
      <c r="B240" t="s">
        <v>2167</v>
      </c>
      <c r="C240" t="s">
        <v>6186</v>
      </c>
      <c r="D240" s="1">
        <v>45312</v>
      </c>
      <c r="E240" s="1" t="str">
        <f>TEXT(Claim_Denials_Cleaned[[#This Row],[denial_date]],"mmm-yyyy")</f>
        <v>Jan-2024</v>
      </c>
      <c r="F240" s="2">
        <v>41.76</v>
      </c>
    </row>
    <row r="241" spans="1:6" x14ac:dyDescent="0.35">
      <c r="A241" t="s">
        <v>6431</v>
      </c>
      <c r="B241" t="s">
        <v>2174</v>
      </c>
      <c r="C241" t="s">
        <v>6196</v>
      </c>
      <c r="D241" s="1">
        <v>45616</v>
      </c>
      <c r="E241" s="1" t="str">
        <f>TEXT(Claim_Denials_Cleaned[[#This Row],[denial_date]],"mmm-yyyy")</f>
        <v>Nov-2024</v>
      </c>
      <c r="F241" s="2">
        <v>82.18</v>
      </c>
    </row>
    <row r="242" spans="1:6" x14ac:dyDescent="0.35">
      <c r="A242" t="s">
        <v>6432</v>
      </c>
      <c r="B242" t="s">
        <v>2183</v>
      </c>
      <c r="C242" t="s">
        <v>6199</v>
      </c>
      <c r="D242" s="1">
        <v>45450</v>
      </c>
      <c r="E242" s="1" t="str">
        <f>TEXT(Claim_Denials_Cleaned[[#This Row],[denial_date]],"mmm-yyyy")</f>
        <v>Jun-2024</v>
      </c>
      <c r="F242" s="2">
        <v>522.41</v>
      </c>
    </row>
    <row r="243" spans="1:6" x14ac:dyDescent="0.35">
      <c r="A243" t="s">
        <v>6433</v>
      </c>
      <c r="B243" t="s">
        <v>2185</v>
      </c>
      <c r="C243" t="s">
        <v>6191</v>
      </c>
      <c r="D243" s="1">
        <v>45517</v>
      </c>
      <c r="E243" s="1" t="str">
        <f>TEXT(Claim_Denials_Cleaned[[#This Row],[denial_date]],"mmm-yyyy")</f>
        <v>Aug-2024</v>
      </c>
      <c r="F243" s="2">
        <v>3789.86</v>
      </c>
    </row>
    <row r="244" spans="1:6" x14ac:dyDescent="0.35">
      <c r="A244" t="s">
        <v>6434</v>
      </c>
      <c r="B244" t="s">
        <v>2194</v>
      </c>
      <c r="C244" t="s">
        <v>6196</v>
      </c>
      <c r="D244" s="1">
        <v>45041</v>
      </c>
      <c r="E244" s="1" t="str">
        <f>TEXT(Claim_Denials_Cleaned[[#This Row],[denial_date]],"mmm-yyyy")</f>
        <v>Apr-2023</v>
      </c>
      <c r="F244" s="2">
        <v>1069.49</v>
      </c>
    </row>
    <row r="245" spans="1:6" x14ac:dyDescent="0.35">
      <c r="A245" t="s">
        <v>6435</v>
      </c>
      <c r="B245" t="s">
        <v>2207</v>
      </c>
      <c r="C245" t="s">
        <v>6186</v>
      </c>
      <c r="D245" s="1">
        <v>45257</v>
      </c>
      <c r="E245" s="1" t="str">
        <f>TEXT(Claim_Denials_Cleaned[[#This Row],[denial_date]],"mmm-yyyy")</f>
        <v>Nov-2023</v>
      </c>
      <c r="F245" s="2">
        <v>391.21</v>
      </c>
    </row>
    <row r="246" spans="1:6" x14ac:dyDescent="0.35">
      <c r="A246" t="s">
        <v>6436</v>
      </c>
      <c r="B246" t="s">
        <v>2218</v>
      </c>
      <c r="C246" t="s">
        <v>6202</v>
      </c>
      <c r="D246" s="1">
        <v>45619</v>
      </c>
      <c r="E246" s="1" t="str">
        <f>TEXT(Claim_Denials_Cleaned[[#This Row],[denial_date]],"mmm-yyyy")</f>
        <v>Nov-2024</v>
      </c>
      <c r="F246" s="2">
        <v>2602.63</v>
      </c>
    </row>
    <row r="247" spans="1:6" x14ac:dyDescent="0.35">
      <c r="A247" t="s">
        <v>6437</v>
      </c>
      <c r="B247" t="s">
        <v>2251</v>
      </c>
      <c r="C247" t="s">
        <v>6196</v>
      </c>
      <c r="D247" s="1">
        <v>45353</v>
      </c>
      <c r="E247" s="1" t="str">
        <f>TEXT(Claim_Denials_Cleaned[[#This Row],[denial_date]],"mmm-yyyy")</f>
        <v>Mar-2024</v>
      </c>
      <c r="F247" s="2">
        <v>2569.13</v>
      </c>
    </row>
    <row r="248" spans="1:6" x14ac:dyDescent="0.35">
      <c r="A248" t="s">
        <v>6438</v>
      </c>
      <c r="B248" t="s">
        <v>2253</v>
      </c>
      <c r="C248" t="s">
        <v>6199</v>
      </c>
      <c r="D248" s="1">
        <v>45465</v>
      </c>
      <c r="E248" s="1" t="str">
        <f>TEXT(Claim_Denials_Cleaned[[#This Row],[denial_date]],"mmm-yyyy")</f>
        <v>Jun-2024</v>
      </c>
      <c r="F248" s="2">
        <v>2592.58</v>
      </c>
    </row>
    <row r="249" spans="1:6" x14ac:dyDescent="0.35">
      <c r="A249" t="s">
        <v>6439</v>
      </c>
      <c r="B249" t="s">
        <v>2259</v>
      </c>
      <c r="C249" t="s">
        <v>6196</v>
      </c>
      <c r="D249" s="1">
        <v>45257</v>
      </c>
      <c r="E249" s="1" t="str">
        <f>TEXT(Claim_Denials_Cleaned[[#This Row],[denial_date]],"mmm-yyyy")</f>
        <v>Nov-2023</v>
      </c>
      <c r="F249" s="2">
        <v>549.52</v>
      </c>
    </row>
    <row r="250" spans="1:6" x14ac:dyDescent="0.35">
      <c r="A250" t="s">
        <v>6440</v>
      </c>
      <c r="B250" t="s">
        <v>2274</v>
      </c>
      <c r="C250" t="s">
        <v>6188</v>
      </c>
      <c r="D250" s="1">
        <v>45543</v>
      </c>
      <c r="E250" s="1" t="str">
        <f>TEXT(Claim_Denials_Cleaned[[#This Row],[denial_date]],"mmm-yyyy")</f>
        <v>Sep-2024</v>
      </c>
      <c r="F250" s="2">
        <v>66.91</v>
      </c>
    </row>
    <row r="251" spans="1:6" x14ac:dyDescent="0.35">
      <c r="A251" t="s">
        <v>6441</v>
      </c>
      <c r="B251" t="s">
        <v>2275</v>
      </c>
      <c r="C251" t="s">
        <v>6199</v>
      </c>
      <c r="D251" s="1">
        <v>45148</v>
      </c>
      <c r="E251" s="1" t="str">
        <f>TEXT(Claim_Denials_Cleaned[[#This Row],[denial_date]],"mmm-yyyy")</f>
        <v>Aug-2023</v>
      </c>
      <c r="F251" s="2">
        <v>30.26</v>
      </c>
    </row>
    <row r="252" spans="1:6" x14ac:dyDescent="0.35">
      <c r="A252" t="s">
        <v>6442</v>
      </c>
      <c r="B252" t="s">
        <v>2287</v>
      </c>
      <c r="C252" t="s">
        <v>6188</v>
      </c>
      <c r="D252" s="1">
        <v>45349</v>
      </c>
      <c r="E252" s="1" t="str">
        <f>TEXT(Claim_Denials_Cleaned[[#This Row],[denial_date]],"mmm-yyyy")</f>
        <v>Feb-2024</v>
      </c>
      <c r="F252" s="2">
        <v>98.62</v>
      </c>
    </row>
    <row r="253" spans="1:6" x14ac:dyDescent="0.35">
      <c r="A253" t="s">
        <v>6443</v>
      </c>
      <c r="B253" t="s">
        <v>2293</v>
      </c>
      <c r="C253" t="s">
        <v>6191</v>
      </c>
      <c r="D253" s="1">
        <v>45271</v>
      </c>
      <c r="E253" s="1" t="str">
        <f>TEXT(Claim_Denials_Cleaned[[#This Row],[denial_date]],"mmm-yyyy")</f>
        <v>Dec-2023</v>
      </c>
      <c r="F253" s="2">
        <v>432.91</v>
      </c>
    </row>
    <row r="254" spans="1:6" x14ac:dyDescent="0.35">
      <c r="A254" t="s">
        <v>6444</v>
      </c>
      <c r="B254" t="s">
        <v>2298</v>
      </c>
      <c r="C254" t="s">
        <v>6196</v>
      </c>
      <c r="D254" s="1">
        <v>45273</v>
      </c>
      <c r="E254" s="1" t="str">
        <f>TEXT(Claim_Denials_Cleaned[[#This Row],[denial_date]],"mmm-yyyy")</f>
        <v>Dec-2023</v>
      </c>
      <c r="F254" s="2">
        <v>342.88</v>
      </c>
    </row>
    <row r="255" spans="1:6" x14ac:dyDescent="0.35">
      <c r="A255" t="s">
        <v>6445</v>
      </c>
      <c r="B255" t="s">
        <v>2299</v>
      </c>
      <c r="C255" t="s">
        <v>6244</v>
      </c>
      <c r="D255" s="1">
        <v>45642</v>
      </c>
      <c r="E255" s="1" t="str">
        <f>TEXT(Claim_Denials_Cleaned[[#This Row],[denial_date]],"mmm-yyyy")</f>
        <v>Dec-2024</v>
      </c>
      <c r="F255" s="2">
        <v>448.53</v>
      </c>
    </row>
    <row r="256" spans="1:6" x14ac:dyDescent="0.35">
      <c r="A256" t="s">
        <v>6446</v>
      </c>
      <c r="B256" t="s">
        <v>2306</v>
      </c>
      <c r="C256" t="s">
        <v>6202</v>
      </c>
      <c r="D256" s="1">
        <v>45153</v>
      </c>
      <c r="E256" s="1" t="str">
        <f>TEXT(Claim_Denials_Cleaned[[#This Row],[denial_date]],"mmm-yyyy")</f>
        <v>Aug-2023</v>
      </c>
      <c r="F256" s="2">
        <v>1226.8800000000001</v>
      </c>
    </row>
    <row r="257" spans="1:6" x14ac:dyDescent="0.35">
      <c r="A257" t="s">
        <v>6447</v>
      </c>
      <c r="B257" t="s">
        <v>2316</v>
      </c>
      <c r="C257" t="s">
        <v>6199</v>
      </c>
      <c r="D257" s="1">
        <v>44965</v>
      </c>
      <c r="E257" s="1" t="str">
        <f>TEXT(Claim_Denials_Cleaned[[#This Row],[denial_date]],"mmm-yyyy")</f>
        <v>Feb-2023</v>
      </c>
      <c r="F257" s="2">
        <v>934.09</v>
      </c>
    </row>
    <row r="258" spans="1:6" x14ac:dyDescent="0.35">
      <c r="A258" t="s">
        <v>6448</v>
      </c>
      <c r="B258" t="s">
        <v>2318</v>
      </c>
      <c r="C258" t="s">
        <v>6199</v>
      </c>
      <c r="D258" s="1">
        <v>45383</v>
      </c>
      <c r="E258" s="1" t="str">
        <f>TEXT(Claim_Denials_Cleaned[[#This Row],[denial_date]],"mmm-yyyy")</f>
        <v>Apr-2024</v>
      </c>
      <c r="F258" s="2">
        <v>153.03</v>
      </c>
    </row>
    <row r="259" spans="1:6" x14ac:dyDescent="0.35">
      <c r="A259" t="s">
        <v>6449</v>
      </c>
      <c r="B259" t="s">
        <v>2319</v>
      </c>
      <c r="C259" t="s">
        <v>6199</v>
      </c>
      <c r="D259" s="1">
        <v>45229</v>
      </c>
      <c r="E259" s="1" t="str">
        <f>TEXT(Claim_Denials_Cleaned[[#This Row],[denial_date]],"mmm-yyyy")</f>
        <v>Oct-2023</v>
      </c>
      <c r="F259" s="2">
        <v>261.68</v>
      </c>
    </row>
    <row r="260" spans="1:6" x14ac:dyDescent="0.35">
      <c r="A260" t="s">
        <v>6450</v>
      </c>
      <c r="B260" t="s">
        <v>2331</v>
      </c>
      <c r="C260" t="s">
        <v>6196</v>
      </c>
      <c r="D260" s="1">
        <v>45308</v>
      </c>
      <c r="E260" s="1" t="str">
        <f>TEXT(Claim_Denials_Cleaned[[#This Row],[denial_date]],"mmm-yyyy")</f>
        <v>Jan-2024</v>
      </c>
      <c r="F260" s="2">
        <v>278.14999999999998</v>
      </c>
    </row>
    <row r="261" spans="1:6" x14ac:dyDescent="0.35">
      <c r="A261" t="s">
        <v>6451</v>
      </c>
      <c r="B261" t="s">
        <v>2336</v>
      </c>
      <c r="C261" t="s">
        <v>6199</v>
      </c>
      <c r="D261" s="1">
        <v>45228</v>
      </c>
      <c r="E261" s="1" t="str">
        <f>TEXT(Claim_Denials_Cleaned[[#This Row],[denial_date]],"mmm-yyyy")</f>
        <v>Oct-2023</v>
      </c>
      <c r="F261" s="2">
        <v>74.39</v>
      </c>
    </row>
    <row r="262" spans="1:6" x14ac:dyDescent="0.35">
      <c r="A262" t="s">
        <v>6452</v>
      </c>
      <c r="B262" t="s">
        <v>2345</v>
      </c>
      <c r="C262" t="s">
        <v>6199</v>
      </c>
      <c r="D262" s="1">
        <v>45453</v>
      </c>
      <c r="E262" s="1" t="str">
        <f>TEXT(Claim_Denials_Cleaned[[#This Row],[denial_date]],"mmm-yyyy")</f>
        <v>Jun-2024</v>
      </c>
      <c r="F262" s="2">
        <v>635.41</v>
      </c>
    </row>
    <row r="263" spans="1:6" x14ac:dyDescent="0.35">
      <c r="A263" t="s">
        <v>6453</v>
      </c>
      <c r="B263" t="s">
        <v>2350</v>
      </c>
      <c r="C263" t="s">
        <v>6196</v>
      </c>
      <c r="D263" s="1">
        <v>45535</v>
      </c>
      <c r="E263" s="1" t="str">
        <f>TEXT(Claim_Denials_Cleaned[[#This Row],[denial_date]],"mmm-yyyy")</f>
        <v>Aug-2024</v>
      </c>
      <c r="F263" s="2">
        <v>64.78</v>
      </c>
    </row>
    <row r="264" spans="1:6" x14ac:dyDescent="0.35">
      <c r="A264" t="s">
        <v>6454</v>
      </c>
      <c r="B264" t="s">
        <v>2359</v>
      </c>
      <c r="C264" t="s">
        <v>6186</v>
      </c>
      <c r="D264" s="1">
        <v>45363</v>
      </c>
      <c r="E264" s="1" t="str">
        <f>TEXT(Claim_Denials_Cleaned[[#This Row],[denial_date]],"mmm-yyyy")</f>
        <v>Mar-2024</v>
      </c>
      <c r="F264" s="2">
        <v>178.07</v>
      </c>
    </row>
    <row r="265" spans="1:6" x14ac:dyDescent="0.35">
      <c r="A265" t="s">
        <v>6455</v>
      </c>
      <c r="B265" t="s">
        <v>2361</v>
      </c>
      <c r="C265" t="s">
        <v>6199</v>
      </c>
      <c r="D265" s="1">
        <v>45241</v>
      </c>
      <c r="E265" s="1" t="str">
        <f>TEXT(Claim_Denials_Cleaned[[#This Row],[denial_date]],"mmm-yyyy")</f>
        <v>Nov-2023</v>
      </c>
      <c r="F265" s="2">
        <v>152.93</v>
      </c>
    </row>
    <row r="266" spans="1:6" x14ac:dyDescent="0.35">
      <c r="A266" t="s">
        <v>6456</v>
      </c>
      <c r="B266" t="s">
        <v>2363</v>
      </c>
      <c r="C266" t="s">
        <v>6199</v>
      </c>
      <c r="D266" s="1">
        <v>45254</v>
      </c>
      <c r="E266" s="1" t="str">
        <f>TEXT(Claim_Denials_Cleaned[[#This Row],[denial_date]],"mmm-yyyy")</f>
        <v>Nov-2023</v>
      </c>
      <c r="F266" s="2">
        <v>299.49</v>
      </c>
    </row>
    <row r="267" spans="1:6" x14ac:dyDescent="0.35">
      <c r="A267" t="s">
        <v>6457</v>
      </c>
      <c r="B267" t="s">
        <v>2384</v>
      </c>
      <c r="C267" t="s">
        <v>6202</v>
      </c>
      <c r="D267" s="1">
        <v>45276</v>
      </c>
      <c r="E267" s="1" t="str">
        <f>TEXT(Claim_Denials_Cleaned[[#This Row],[denial_date]],"mmm-yyyy")</f>
        <v>Dec-2023</v>
      </c>
      <c r="F267" s="2">
        <v>106.39</v>
      </c>
    </row>
    <row r="268" spans="1:6" x14ac:dyDescent="0.35">
      <c r="A268" t="s">
        <v>6458</v>
      </c>
      <c r="B268" t="s">
        <v>2385</v>
      </c>
      <c r="C268" t="s">
        <v>6196</v>
      </c>
      <c r="D268" s="1">
        <v>45075</v>
      </c>
      <c r="E268" s="1" t="str">
        <f>TEXT(Claim_Denials_Cleaned[[#This Row],[denial_date]],"mmm-yyyy")</f>
        <v>May-2023</v>
      </c>
      <c r="F268" s="2">
        <v>2171.42</v>
      </c>
    </row>
    <row r="269" spans="1:6" x14ac:dyDescent="0.35">
      <c r="A269" t="s">
        <v>6459</v>
      </c>
      <c r="B269" t="s">
        <v>2400</v>
      </c>
      <c r="C269" t="s">
        <v>6186</v>
      </c>
      <c r="D269" s="1">
        <v>45634</v>
      </c>
      <c r="E269" s="1" t="str">
        <f>TEXT(Claim_Denials_Cleaned[[#This Row],[denial_date]],"mmm-yyyy")</f>
        <v>Dec-2024</v>
      </c>
      <c r="F269" s="2">
        <v>1288.99</v>
      </c>
    </row>
    <row r="270" spans="1:6" x14ac:dyDescent="0.35">
      <c r="A270" t="s">
        <v>6460</v>
      </c>
      <c r="B270" t="s">
        <v>2407</v>
      </c>
      <c r="C270" t="s">
        <v>6191</v>
      </c>
      <c r="D270" s="1">
        <v>44994</v>
      </c>
      <c r="E270" s="1" t="str">
        <f>TEXT(Claim_Denials_Cleaned[[#This Row],[denial_date]],"mmm-yyyy")</f>
        <v>Mar-2023</v>
      </c>
      <c r="F270" s="2">
        <v>3039.09</v>
      </c>
    </row>
    <row r="271" spans="1:6" x14ac:dyDescent="0.35">
      <c r="A271" t="s">
        <v>6461</v>
      </c>
      <c r="B271" t="s">
        <v>2418</v>
      </c>
      <c r="C271" t="s">
        <v>6188</v>
      </c>
      <c r="D271" s="1">
        <v>45487</v>
      </c>
      <c r="E271" s="1" t="str">
        <f>TEXT(Claim_Denials_Cleaned[[#This Row],[denial_date]],"mmm-yyyy")</f>
        <v>Jul-2024</v>
      </c>
      <c r="F271" s="2">
        <v>1643.51</v>
      </c>
    </row>
    <row r="272" spans="1:6" x14ac:dyDescent="0.35">
      <c r="A272" t="s">
        <v>6462</v>
      </c>
      <c r="B272" t="s">
        <v>2420</v>
      </c>
      <c r="C272" t="s">
        <v>6202</v>
      </c>
      <c r="D272" s="1">
        <v>45556</v>
      </c>
      <c r="E272" s="1" t="str">
        <f>TEXT(Claim_Denials_Cleaned[[#This Row],[denial_date]],"mmm-yyyy")</f>
        <v>Sep-2024</v>
      </c>
      <c r="F272" s="2">
        <v>281.01</v>
      </c>
    </row>
    <row r="273" spans="1:6" x14ac:dyDescent="0.35">
      <c r="A273" t="s">
        <v>6463</v>
      </c>
      <c r="B273" t="s">
        <v>2425</v>
      </c>
      <c r="C273" t="s">
        <v>6186</v>
      </c>
      <c r="D273" s="1">
        <v>45497</v>
      </c>
      <c r="E273" s="1" t="str">
        <f>TEXT(Claim_Denials_Cleaned[[#This Row],[denial_date]],"mmm-yyyy")</f>
        <v>Jul-2024</v>
      </c>
      <c r="F273" s="2">
        <v>220.26</v>
      </c>
    </row>
    <row r="274" spans="1:6" x14ac:dyDescent="0.35">
      <c r="A274" t="s">
        <v>6464</v>
      </c>
      <c r="B274" t="s">
        <v>2435</v>
      </c>
      <c r="C274" t="s">
        <v>6186</v>
      </c>
      <c r="D274" s="1">
        <v>45550</v>
      </c>
      <c r="E274" s="1" t="str">
        <f>TEXT(Claim_Denials_Cleaned[[#This Row],[denial_date]],"mmm-yyyy")</f>
        <v>Sep-2024</v>
      </c>
      <c r="F274" s="2">
        <v>244.89</v>
      </c>
    </row>
    <row r="275" spans="1:6" x14ac:dyDescent="0.35">
      <c r="A275" t="s">
        <v>6465</v>
      </c>
      <c r="B275" t="s">
        <v>2442</v>
      </c>
      <c r="C275" t="s">
        <v>6186</v>
      </c>
      <c r="D275" s="1">
        <v>45343</v>
      </c>
      <c r="E275" s="1" t="str">
        <f>TEXT(Claim_Denials_Cleaned[[#This Row],[denial_date]],"mmm-yyyy")</f>
        <v>Feb-2024</v>
      </c>
      <c r="F275" s="2">
        <v>2484.31</v>
      </c>
    </row>
    <row r="276" spans="1:6" x14ac:dyDescent="0.35">
      <c r="A276" t="s">
        <v>6466</v>
      </c>
      <c r="B276" t="s">
        <v>2447</v>
      </c>
      <c r="C276" t="s">
        <v>6186</v>
      </c>
      <c r="D276" s="1">
        <v>45496</v>
      </c>
      <c r="E276" s="1" t="str">
        <f>TEXT(Claim_Denials_Cleaned[[#This Row],[denial_date]],"mmm-yyyy")</f>
        <v>Jul-2024</v>
      </c>
      <c r="F276" s="2">
        <v>87.46</v>
      </c>
    </row>
    <row r="277" spans="1:6" x14ac:dyDescent="0.35">
      <c r="A277" t="s">
        <v>6467</v>
      </c>
      <c r="B277" t="s">
        <v>2463</v>
      </c>
      <c r="C277" t="s">
        <v>6191</v>
      </c>
      <c r="D277" s="1">
        <v>45047</v>
      </c>
      <c r="E277" s="1" t="str">
        <f>TEXT(Claim_Denials_Cleaned[[#This Row],[denial_date]],"mmm-yyyy")</f>
        <v>May-2023</v>
      </c>
      <c r="F277" s="2">
        <v>36.729999999999997</v>
      </c>
    </row>
    <row r="278" spans="1:6" x14ac:dyDescent="0.35">
      <c r="A278" t="s">
        <v>6468</v>
      </c>
      <c r="B278" t="s">
        <v>2467</v>
      </c>
      <c r="C278" t="s">
        <v>6188</v>
      </c>
      <c r="D278" s="1">
        <v>45444</v>
      </c>
      <c r="E278" s="1" t="str">
        <f>TEXT(Claim_Denials_Cleaned[[#This Row],[denial_date]],"mmm-yyyy")</f>
        <v>Jun-2024</v>
      </c>
      <c r="F278" s="2">
        <v>19.22</v>
      </c>
    </row>
    <row r="279" spans="1:6" x14ac:dyDescent="0.35">
      <c r="A279" t="s">
        <v>6469</v>
      </c>
      <c r="B279" t="s">
        <v>2476</v>
      </c>
      <c r="C279" t="s">
        <v>6199</v>
      </c>
      <c r="D279" s="1">
        <v>45047</v>
      </c>
      <c r="E279" s="1" t="str">
        <f>TEXT(Claim_Denials_Cleaned[[#This Row],[denial_date]],"mmm-yyyy")</f>
        <v>May-2023</v>
      </c>
      <c r="F279" s="2">
        <v>583.74</v>
      </c>
    </row>
    <row r="280" spans="1:6" x14ac:dyDescent="0.35">
      <c r="A280" t="s">
        <v>6470</v>
      </c>
      <c r="B280" t="s">
        <v>2478</v>
      </c>
      <c r="C280" t="s">
        <v>6186</v>
      </c>
      <c r="D280" s="1">
        <v>45079</v>
      </c>
      <c r="E280" s="1" t="str">
        <f>TEXT(Claim_Denials_Cleaned[[#This Row],[denial_date]],"mmm-yyyy")</f>
        <v>Jun-2023</v>
      </c>
      <c r="F280" s="2">
        <v>141.32</v>
      </c>
    </row>
    <row r="281" spans="1:6" x14ac:dyDescent="0.35">
      <c r="A281" t="s">
        <v>6471</v>
      </c>
      <c r="B281" t="s">
        <v>2483</v>
      </c>
      <c r="C281" t="s">
        <v>6199</v>
      </c>
      <c r="D281" s="1">
        <v>44974</v>
      </c>
      <c r="E281" s="1" t="str">
        <f>TEXT(Claim_Denials_Cleaned[[#This Row],[denial_date]],"mmm-yyyy")</f>
        <v>Feb-2023</v>
      </c>
      <c r="F281" s="2">
        <v>156.41999999999999</v>
      </c>
    </row>
    <row r="282" spans="1:6" x14ac:dyDescent="0.35">
      <c r="A282" t="s">
        <v>6472</v>
      </c>
      <c r="B282" t="s">
        <v>2485</v>
      </c>
      <c r="C282" t="s">
        <v>6188</v>
      </c>
      <c r="D282" s="1">
        <v>45589</v>
      </c>
      <c r="E282" s="1" t="str">
        <f>TEXT(Claim_Denials_Cleaned[[#This Row],[denial_date]],"mmm-yyyy")</f>
        <v>Oct-2024</v>
      </c>
      <c r="F282" s="2">
        <v>1192.23</v>
      </c>
    </row>
    <row r="283" spans="1:6" x14ac:dyDescent="0.35">
      <c r="A283" t="s">
        <v>6473</v>
      </c>
      <c r="B283" t="s">
        <v>2486</v>
      </c>
      <c r="C283" t="s">
        <v>6191</v>
      </c>
      <c r="D283" s="1">
        <v>45662</v>
      </c>
      <c r="E283" s="1" t="str">
        <f>TEXT(Claim_Denials_Cleaned[[#This Row],[denial_date]],"mmm-yyyy")</f>
        <v>Jan-2025</v>
      </c>
      <c r="F283" s="2">
        <v>37.32</v>
      </c>
    </row>
    <row r="284" spans="1:6" x14ac:dyDescent="0.35">
      <c r="A284" t="s">
        <v>6474</v>
      </c>
      <c r="B284" t="s">
        <v>2488</v>
      </c>
      <c r="C284" t="s">
        <v>6191</v>
      </c>
      <c r="D284" s="1">
        <v>45193</v>
      </c>
      <c r="E284" s="1" t="str">
        <f>TEXT(Claim_Denials_Cleaned[[#This Row],[denial_date]],"mmm-yyyy")</f>
        <v>Sep-2023</v>
      </c>
      <c r="F284" s="2">
        <v>50.9</v>
      </c>
    </row>
    <row r="285" spans="1:6" x14ac:dyDescent="0.35">
      <c r="A285" t="s">
        <v>6475</v>
      </c>
      <c r="B285" t="s">
        <v>2490</v>
      </c>
      <c r="C285" t="s">
        <v>6199</v>
      </c>
      <c r="D285" s="1">
        <v>45552</v>
      </c>
      <c r="E285" s="1" t="str">
        <f>TEXT(Claim_Denials_Cleaned[[#This Row],[denial_date]],"mmm-yyyy")</f>
        <v>Sep-2024</v>
      </c>
      <c r="F285" s="2">
        <v>211.08</v>
      </c>
    </row>
    <row r="286" spans="1:6" x14ac:dyDescent="0.35">
      <c r="A286" t="s">
        <v>6476</v>
      </c>
      <c r="B286" t="s">
        <v>2493</v>
      </c>
      <c r="C286" t="s">
        <v>6186</v>
      </c>
      <c r="D286" s="1">
        <v>45544</v>
      </c>
      <c r="E286" s="1" t="str">
        <f>TEXT(Claim_Denials_Cleaned[[#This Row],[denial_date]],"mmm-yyyy")</f>
        <v>Sep-2024</v>
      </c>
      <c r="F286" s="2">
        <v>1116.03</v>
      </c>
    </row>
    <row r="287" spans="1:6" x14ac:dyDescent="0.35">
      <c r="A287" t="s">
        <v>6477</v>
      </c>
      <c r="B287" t="s">
        <v>2505</v>
      </c>
      <c r="C287" t="s">
        <v>6196</v>
      </c>
      <c r="D287" s="1">
        <v>45275</v>
      </c>
      <c r="E287" s="1" t="str">
        <f>TEXT(Claim_Denials_Cleaned[[#This Row],[denial_date]],"mmm-yyyy")</f>
        <v>Dec-2023</v>
      </c>
      <c r="F287" s="2">
        <v>339.07</v>
      </c>
    </row>
    <row r="288" spans="1:6" x14ac:dyDescent="0.35">
      <c r="A288" t="s">
        <v>6478</v>
      </c>
      <c r="B288" t="s">
        <v>2506</v>
      </c>
      <c r="C288" t="s">
        <v>6186</v>
      </c>
      <c r="D288" s="1">
        <v>45008</v>
      </c>
      <c r="E288" s="1" t="str">
        <f>TEXT(Claim_Denials_Cleaned[[#This Row],[denial_date]],"mmm-yyyy")</f>
        <v>Mar-2023</v>
      </c>
      <c r="F288" s="2">
        <v>64.97</v>
      </c>
    </row>
    <row r="289" spans="1:6" x14ac:dyDescent="0.35">
      <c r="A289" t="s">
        <v>6479</v>
      </c>
      <c r="B289" t="s">
        <v>2509</v>
      </c>
      <c r="C289" t="s">
        <v>6188</v>
      </c>
      <c r="D289" s="1">
        <v>45478</v>
      </c>
      <c r="E289" s="1" t="str">
        <f>TEXT(Claim_Denials_Cleaned[[#This Row],[denial_date]],"mmm-yyyy")</f>
        <v>Jul-2024</v>
      </c>
      <c r="F289" s="2">
        <v>250.42</v>
      </c>
    </row>
    <row r="290" spans="1:6" x14ac:dyDescent="0.35">
      <c r="A290" t="s">
        <v>6480</v>
      </c>
      <c r="B290" t="s">
        <v>2513</v>
      </c>
      <c r="C290" t="s">
        <v>6196</v>
      </c>
      <c r="D290" s="1">
        <v>45563</v>
      </c>
      <c r="E290" s="1" t="str">
        <f>TEXT(Claim_Denials_Cleaned[[#This Row],[denial_date]],"mmm-yyyy")</f>
        <v>Sep-2024</v>
      </c>
      <c r="F290" s="2">
        <v>252.19</v>
      </c>
    </row>
    <row r="291" spans="1:6" x14ac:dyDescent="0.35">
      <c r="A291" t="s">
        <v>6481</v>
      </c>
      <c r="B291" t="s">
        <v>2525</v>
      </c>
      <c r="C291" t="s">
        <v>6188</v>
      </c>
      <c r="D291" s="1">
        <v>45356</v>
      </c>
      <c r="E291" s="1" t="str">
        <f>TEXT(Claim_Denials_Cleaned[[#This Row],[denial_date]],"mmm-yyyy")</f>
        <v>Mar-2024</v>
      </c>
      <c r="F291" s="2">
        <v>46.6</v>
      </c>
    </row>
    <row r="292" spans="1:6" x14ac:dyDescent="0.35">
      <c r="A292" t="s">
        <v>6482</v>
      </c>
      <c r="B292" t="s">
        <v>2528</v>
      </c>
      <c r="C292" t="s">
        <v>6202</v>
      </c>
      <c r="D292" s="1">
        <v>45374</v>
      </c>
      <c r="E292" s="1" t="str">
        <f>TEXT(Claim_Denials_Cleaned[[#This Row],[denial_date]],"mmm-yyyy")</f>
        <v>Mar-2024</v>
      </c>
      <c r="F292" s="2">
        <v>284.52999999999997</v>
      </c>
    </row>
    <row r="293" spans="1:6" x14ac:dyDescent="0.35">
      <c r="A293" t="s">
        <v>6483</v>
      </c>
      <c r="B293" t="s">
        <v>2534</v>
      </c>
      <c r="C293" t="s">
        <v>6186</v>
      </c>
      <c r="D293" s="1">
        <v>45679</v>
      </c>
      <c r="E293" s="1" t="str">
        <f>TEXT(Claim_Denials_Cleaned[[#This Row],[denial_date]],"mmm-yyyy")</f>
        <v>Jan-2025</v>
      </c>
      <c r="F293" s="2">
        <v>402.28</v>
      </c>
    </row>
    <row r="294" spans="1:6" x14ac:dyDescent="0.35">
      <c r="A294" t="s">
        <v>6484</v>
      </c>
      <c r="B294" t="s">
        <v>2542</v>
      </c>
      <c r="C294" t="s">
        <v>6199</v>
      </c>
      <c r="D294" s="1">
        <v>45512</v>
      </c>
      <c r="E294" s="1" t="str">
        <f>TEXT(Claim_Denials_Cleaned[[#This Row],[denial_date]],"mmm-yyyy")</f>
        <v>Aug-2024</v>
      </c>
      <c r="F294" s="2">
        <v>766.81</v>
      </c>
    </row>
    <row r="295" spans="1:6" x14ac:dyDescent="0.35">
      <c r="A295" t="s">
        <v>6485</v>
      </c>
      <c r="B295" t="s">
        <v>2551</v>
      </c>
      <c r="C295" t="s">
        <v>6196</v>
      </c>
      <c r="D295" s="1">
        <v>45396</v>
      </c>
      <c r="E295" s="1" t="str">
        <f>TEXT(Claim_Denials_Cleaned[[#This Row],[denial_date]],"mmm-yyyy")</f>
        <v>Apr-2024</v>
      </c>
      <c r="F295" s="2">
        <v>81.52</v>
      </c>
    </row>
    <row r="296" spans="1:6" x14ac:dyDescent="0.35">
      <c r="A296" t="s">
        <v>6486</v>
      </c>
      <c r="B296" t="s">
        <v>2557</v>
      </c>
      <c r="C296" t="s">
        <v>6199</v>
      </c>
      <c r="D296" s="1">
        <v>45612</v>
      </c>
      <c r="E296" s="1" t="str">
        <f>TEXT(Claim_Denials_Cleaned[[#This Row],[denial_date]],"mmm-yyyy")</f>
        <v>Nov-2024</v>
      </c>
      <c r="F296" s="2">
        <v>487.78</v>
      </c>
    </row>
    <row r="297" spans="1:6" x14ac:dyDescent="0.35">
      <c r="A297" t="s">
        <v>6487</v>
      </c>
      <c r="B297" t="s">
        <v>2561</v>
      </c>
      <c r="C297" t="s">
        <v>6196</v>
      </c>
      <c r="D297" s="1">
        <v>45581</v>
      </c>
      <c r="E297" s="1" t="str">
        <f>TEXT(Claim_Denials_Cleaned[[#This Row],[denial_date]],"mmm-yyyy")</f>
        <v>Oct-2024</v>
      </c>
      <c r="F297" s="2">
        <v>481.73</v>
      </c>
    </row>
    <row r="298" spans="1:6" x14ac:dyDescent="0.35">
      <c r="A298" t="s">
        <v>6488</v>
      </c>
      <c r="B298" t="s">
        <v>2570</v>
      </c>
      <c r="C298" t="s">
        <v>6186</v>
      </c>
      <c r="D298" s="1">
        <v>45182</v>
      </c>
      <c r="E298" s="1" t="str">
        <f>TEXT(Claim_Denials_Cleaned[[#This Row],[denial_date]],"mmm-yyyy")</f>
        <v>Sep-2023</v>
      </c>
      <c r="F298" s="2">
        <v>185.35</v>
      </c>
    </row>
    <row r="299" spans="1:6" x14ac:dyDescent="0.35">
      <c r="A299" t="s">
        <v>6489</v>
      </c>
      <c r="B299" t="s">
        <v>2586</v>
      </c>
      <c r="C299" t="s">
        <v>6202</v>
      </c>
      <c r="D299" s="1">
        <v>45084</v>
      </c>
      <c r="E299" s="1" t="str">
        <f>TEXT(Claim_Denials_Cleaned[[#This Row],[denial_date]],"mmm-yyyy")</f>
        <v>Jun-2023</v>
      </c>
      <c r="F299" s="2">
        <v>167.64</v>
      </c>
    </row>
    <row r="300" spans="1:6" x14ac:dyDescent="0.35">
      <c r="A300" t="s">
        <v>6490</v>
      </c>
      <c r="B300" t="s">
        <v>2587</v>
      </c>
      <c r="C300" t="s">
        <v>6186</v>
      </c>
      <c r="D300" s="1">
        <v>45130</v>
      </c>
      <c r="E300" s="1" t="str">
        <f>TEXT(Claim_Denials_Cleaned[[#This Row],[denial_date]],"mmm-yyyy")</f>
        <v>Jul-2023</v>
      </c>
      <c r="F300" s="2">
        <v>615.26</v>
      </c>
    </row>
    <row r="301" spans="1:6" x14ac:dyDescent="0.35">
      <c r="A301" t="s">
        <v>6491</v>
      </c>
      <c r="B301" t="s">
        <v>2589</v>
      </c>
      <c r="C301" t="s">
        <v>6191</v>
      </c>
      <c r="D301" s="1">
        <v>45425</v>
      </c>
      <c r="E301" s="1" t="str">
        <f>TEXT(Claim_Denials_Cleaned[[#This Row],[denial_date]],"mmm-yyyy")</f>
        <v>May-2024</v>
      </c>
      <c r="F301" s="2">
        <v>138.99</v>
      </c>
    </row>
    <row r="302" spans="1:6" x14ac:dyDescent="0.35">
      <c r="A302" t="s">
        <v>6492</v>
      </c>
      <c r="B302" t="s">
        <v>2597</v>
      </c>
      <c r="C302" t="s">
        <v>6196</v>
      </c>
      <c r="D302" s="1">
        <v>45084</v>
      </c>
      <c r="E302" s="1" t="str">
        <f>TEXT(Claim_Denials_Cleaned[[#This Row],[denial_date]],"mmm-yyyy")</f>
        <v>Jun-2023</v>
      </c>
      <c r="F302" s="2">
        <v>48.58</v>
      </c>
    </row>
    <row r="303" spans="1:6" x14ac:dyDescent="0.35">
      <c r="A303" t="s">
        <v>6493</v>
      </c>
      <c r="B303" t="s">
        <v>2600</v>
      </c>
      <c r="C303" t="s">
        <v>6244</v>
      </c>
      <c r="D303" s="1">
        <v>45154</v>
      </c>
      <c r="E303" s="1" t="str">
        <f>TEXT(Claim_Denials_Cleaned[[#This Row],[denial_date]],"mmm-yyyy")</f>
        <v>Aug-2023</v>
      </c>
      <c r="F303" s="2">
        <v>140.41</v>
      </c>
    </row>
    <row r="304" spans="1:6" x14ac:dyDescent="0.35">
      <c r="A304" t="s">
        <v>6494</v>
      </c>
      <c r="B304" t="s">
        <v>2601</v>
      </c>
      <c r="C304" t="s">
        <v>6186</v>
      </c>
      <c r="D304" s="1">
        <v>45496</v>
      </c>
      <c r="E304" s="1" t="str">
        <f>TEXT(Claim_Denials_Cleaned[[#This Row],[denial_date]],"mmm-yyyy")</f>
        <v>Jul-2024</v>
      </c>
      <c r="F304" s="2">
        <v>181.25</v>
      </c>
    </row>
    <row r="305" spans="1:6" x14ac:dyDescent="0.35">
      <c r="A305" t="s">
        <v>6495</v>
      </c>
      <c r="B305" t="s">
        <v>2608</v>
      </c>
      <c r="C305" t="s">
        <v>6186</v>
      </c>
      <c r="D305" s="1">
        <v>44975</v>
      </c>
      <c r="E305" s="1" t="str">
        <f>TEXT(Claim_Denials_Cleaned[[#This Row],[denial_date]],"mmm-yyyy")</f>
        <v>Feb-2023</v>
      </c>
      <c r="F305" s="2">
        <v>73.69</v>
      </c>
    </row>
    <row r="306" spans="1:6" x14ac:dyDescent="0.35">
      <c r="A306" t="s">
        <v>6496</v>
      </c>
      <c r="B306" t="s">
        <v>2610</v>
      </c>
      <c r="C306" t="s">
        <v>6196</v>
      </c>
      <c r="D306" s="1">
        <v>45226</v>
      </c>
      <c r="E306" s="1" t="str">
        <f>TEXT(Claim_Denials_Cleaned[[#This Row],[denial_date]],"mmm-yyyy")</f>
        <v>Oct-2023</v>
      </c>
      <c r="F306" s="2">
        <v>207.4</v>
      </c>
    </row>
    <row r="307" spans="1:6" x14ac:dyDescent="0.35">
      <c r="A307" t="s">
        <v>6497</v>
      </c>
      <c r="B307" t="s">
        <v>2611</v>
      </c>
      <c r="C307" t="s">
        <v>6196</v>
      </c>
      <c r="D307" s="1">
        <v>45259</v>
      </c>
      <c r="E307" s="1" t="str">
        <f>TEXT(Claim_Denials_Cleaned[[#This Row],[denial_date]],"mmm-yyyy")</f>
        <v>Nov-2023</v>
      </c>
      <c r="F307" s="2">
        <v>383.56</v>
      </c>
    </row>
    <row r="308" spans="1:6" x14ac:dyDescent="0.35">
      <c r="A308" t="s">
        <v>6498</v>
      </c>
      <c r="B308" t="s">
        <v>2612</v>
      </c>
      <c r="C308" t="s">
        <v>6196</v>
      </c>
      <c r="D308" s="1">
        <v>45246</v>
      </c>
      <c r="E308" s="1" t="str">
        <f>TEXT(Claim_Denials_Cleaned[[#This Row],[denial_date]],"mmm-yyyy")</f>
        <v>Nov-2023</v>
      </c>
      <c r="F308" s="2">
        <v>375.15</v>
      </c>
    </row>
    <row r="309" spans="1:6" x14ac:dyDescent="0.35">
      <c r="A309" t="s">
        <v>6499</v>
      </c>
      <c r="B309" t="s">
        <v>2627</v>
      </c>
      <c r="C309" t="s">
        <v>6191</v>
      </c>
      <c r="D309" s="1">
        <v>45363</v>
      </c>
      <c r="E309" s="1" t="str">
        <f>TEXT(Claim_Denials_Cleaned[[#This Row],[denial_date]],"mmm-yyyy")</f>
        <v>Mar-2024</v>
      </c>
      <c r="F309" s="2">
        <v>2077.86</v>
      </c>
    </row>
    <row r="310" spans="1:6" x14ac:dyDescent="0.35">
      <c r="A310" t="s">
        <v>6500</v>
      </c>
      <c r="B310" t="s">
        <v>2634</v>
      </c>
      <c r="C310" t="s">
        <v>6199</v>
      </c>
      <c r="D310" s="1">
        <v>45027</v>
      </c>
      <c r="E310" s="1" t="str">
        <f>TEXT(Claim_Denials_Cleaned[[#This Row],[denial_date]],"mmm-yyyy")</f>
        <v>Apr-2023</v>
      </c>
      <c r="F310" s="2">
        <v>1021.59</v>
      </c>
    </row>
    <row r="311" spans="1:6" x14ac:dyDescent="0.35">
      <c r="A311" t="s">
        <v>6501</v>
      </c>
      <c r="B311" t="s">
        <v>2643</v>
      </c>
      <c r="C311" t="s">
        <v>6188</v>
      </c>
      <c r="D311" s="1">
        <v>45679</v>
      </c>
      <c r="E311" s="1" t="str">
        <f>TEXT(Claim_Denials_Cleaned[[#This Row],[denial_date]],"mmm-yyyy")</f>
        <v>Jan-2025</v>
      </c>
      <c r="F311" s="2">
        <v>87.17</v>
      </c>
    </row>
    <row r="312" spans="1:6" x14ac:dyDescent="0.35">
      <c r="A312" t="s">
        <v>6502</v>
      </c>
      <c r="B312" t="s">
        <v>2645</v>
      </c>
      <c r="C312" t="s">
        <v>6188</v>
      </c>
      <c r="D312" s="1">
        <v>45277</v>
      </c>
      <c r="E312" s="1" t="str">
        <f>TEXT(Claim_Denials_Cleaned[[#This Row],[denial_date]],"mmm-yyyy")</f>
        <v>Dec-2023</v>
      </c>
      <c r="F312" s="2">
        <v>266.70999999999998</v>
      </c>
    </row>
    <row r="313" spans="1:6" x14ac:dyDescent="0.35">
      <c r="A313" t="s">
        <v>6503</v>
      </c>
      <c r="B313" t="s">
        <v>2648</v>
      </c>
      <c r="C313" t="s">
        <v>6186</v>
      </c>
      <c r="D313" s="1">
        <v>45087</v>
      </c>
      <c r="E313" s="1" t="str">
        <f>TEXT(Claim_Denials_Cleaned[[#This Row],[denial_date]],"mmm-yyyy")</f>
        <v>Jun-2023</v>
      </c>
      <c r="F313" s="2">
        <v>176.81</v>
      </c>
    </row>
    <row r="314" spans="1:6" x14ac:dyDescent="0.35">
      <c r="A314" t="s">
        <v>6504</v>
      </c>
      <c r="B314" t="s">
        <v>2652</v>
      </c>
      <c r="C314" t="s">
        <v>6188</v>
      </c>
      <c r="D314" s="1">
        <v>45177</v>
      </c>
      <c r="E314" s="1" t="str">
        <f>TEXT(Claim_Denials_Cleaned[[#This Row],[denial_date]],"mmm-yyyy")</f>
        <v>Sep-2023</v>
      </c>
      <c r="F314" s="2">
        <v>324.63</v>
      </c>
    </row>
    <row r="315" spans="1:6" x14ac:dyDescent="0.35">
      <c r="A315" t="s">
        <v>6505</v>
      </c>
      <c r="B315" t="s">
        <v>2656</v>
      </c>
      <c r="C315" t="s">
        <v>6196</v>
      </c>
      <c r="D315" s="1">
        <v>45517</v>
      </c>
      <c r="E315" s="1" t="str">
        <f>TEXT(Claim_Denials_Cleaned[[#This Row],[denial_date]],"mmm-yyyy")</f>
        <v>Aug-2024</v>
      </c>
      <c r="F315" s="2">
        <v>6027.94</v>
      </c>
    </row>
    <row r="316" spans="1:6" x14ac:dyDescent="0.35">
      <c r="A316" t="s">
        <v>6506</v>
      </c>
      <c r="B316" t="s">
        <v>2670</v>
      </c>
      <c r="C316" t="s">
        <v>6188</v>
      </c>
      <c r="D316" s="1">
        <v>45494</v>
      </c>
      <c r="E316" s="1" t="str">
        <f>TEXT(Claim_Denials_Cleaned[[#This Row],[denial_date]],"mmm-yyyy")</f>
        <v>Jul-2024</v>
      </c>
      <c r="F316" s="2">
        <v>5805.06</v>
      </c>
    </row>
    <row r="317" spans="1:6" x14ac:dyDescent="0.35">
      <c r="A317" t="s">
        <v>6507</v>
      </c>
      <c r="B317" t="s">
        <v>2675</v>
      </c>
      <c r="C317" t="s">
        <v>6186</v>
      </c>
      <c r="D317" s="1">
        <v>45269</v>
      </c>
      <c r="E317" s="1" t="str">
        <f>TEXT(Claim_Denials_Cleaned[[#This Row],[denial_date]],"mmm-yyyy")</f>
        <v>Dec-2023</v>
      </c>
      <c r="F317" s="2">
        <v>1158.19</v>
      </c>
    </row>
    <row r="318" spans="1:6" x14ac:dyDescent="0.35">
      <c r="A318" t="s">
        <v>6508</v>
      </c>
      <c r="B318" t="s">
        <v>2676</v>
      </c>
      <c r="C318" t="s">
        <v>6199</v>
      </c>
      <c r="D318" s="1">
        <v>44951</v>
      </c>
      <c r="E318" s="1" t="str">
        <f>TEXT(Claim_Denials_Cleaned[[#This Row],[denial_date]],"mmm-yyyy")</f>
        <v>Jan-2023</v>
      </c>
      <c r="F318" s="2">
        <v>209.06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327E-2843-4A14-8B3E-06C7B22AEFB2}">
  <dimension ref="A1:B7"/>
  <sheetViews>
    <sheetView workbookViewId="0">
      <selection activeCell="A5" sqref="A5"/>
    </sheetView>
  </sheetViews>
  <sheetFormatPr defaultRowHeight="14.5" x14ac:dyDescent="0.35"/>
  <cols>
    <col min="1" max="1" width="13.1796875" bestFit="1" customWidth="1"/>
    <col min="2" max="2" width="24" bestFit="1" customWidth="1"/>
  </cols>
  <sheetData>
    <row r="1" spans="1:2" x14ac:dyDescent="0.35">
      <c r="A1" s="8" t="s">
        <v>4</v>
      </c>
      <c r="B1" t="s">
        <v>11</v>
      </c>
    </row>
    <row r="3" spans="1:2" x14ac:dyDescent="0.35">
      <c r="A3" s="8" t="s">
        <v>6552</v>
      </c>
      <c r="B3" t="s">
        <v>6586</v>
      </c>
    </row>
    <row r="4" spans="1:2" x14ac:dyDescent="0.35">
      <c r="A4" s="9" t="s">
        <v>687</v>
      </c>
      <c r="B4">
        <v>14.983606557377049</v>
      </c>
    </row>
    <row r="5" spans="1:2" x14ac:dyDescent="0.35">
      <c r="A5" s="9" t="s">
        <v>683</v>
      </c>
      <c r="B5">
        <v>16.771488469601678</v>
      </c>
    </row>
    <row r="6" spans="1:2" x14ac:dyDescent="0.35">
      <c r="A6" s="9" t="s">
        <v>689</v>
      </c>
      <c r="B6">
        <v>0</v>
      </c>
    </row>
    <row r="7" spans="1:2" x14ac:dyDescent="0.35">
      <c r="A7" s="9" t="s">
        <v>6553</v>
      </c>
      <c r="B7">
        <v>16.568773234200744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7B8C-2960-4F56-A9DB-6541A521A7F8}">
  <dimension ref="A3:B29"/>
  <sheetViews>
    <sheetView workbookViewId="0">
      <selection activeCell="E21" sqref="E21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3" spans="1:2" x14ac:dyDescent="0.35">
      <c r="A3" s="8" t="s">
        <v>6552</v>
      </c>
      <c r="B3" t="s">
        <v>6555</v>
      </c>
    </row>
    <row r="4" spans="1:2" x14ac:dyDescent="0.35">
      <c r="A4" s="9" t="s">
        <v>6560</v>
      </c>
      <c r="B4">
        <v>8</v>
      </c>
    </row>
    <row r="5" spans="1:2" x14ac:dyDescent="0.35">
      <c r="A5" s="9" t="s">
        <v>6561</v>
      </c>
      <c r="B5">
        <v>10</v>
      </c>
    </row>
    <row r="6" spans="1:2" x14ac:dyDescent="0.35">
      <c r="A6" s="9" t="s">
        <v>6562</v>
      </c>
      <c r="B6">
        <v>9</v>
      </c>
    </row>
    <row r="7" spans="1:2" x14ac:dyDescent="0.35">
      <c r="A7" s="9" t="s">
        <v>6563</v>
      </c>
      <c r="B7">
        <v>16</v>
      </c>
    </row>
    <row r="8" spans="1:2" x14ac:dyDescent="0.35">
      <c r="A8" s="9" t="s">
        <v>6564</v>
      </c>
      <c r="B8">
        <v>12</v>
      </c>
    </row>
    <row r="9" spans="1:2" x14ac:dyDescent="0.35">
      <c r="A9" s="9" t="s">
        <v>6565</v>
      </c>
      <c r="B9">
        <v>16</v>
      </c>
    </row>
    <row r="10" spans="1:2" x14ac:dyDescent="0.35">
      <c r="A10" s="9" t="s">
        <v>6566</v>
      </c>
      <c r="B10">
        <v>11</v>
      </c>
    </row>
    <row r="11" spans="1:2" x14ac:dyDescent="0.35">
      <c r="A11" s="9" t="s">
        <v>6567</v>
      </c>
      <c r="B11">
        <v>14</v>
      </c>
    </row>
    <row r="12" spans="1:2" x14ac:dyDescent="0.35">
      <c r="A12" s="9" t="s">
        <v>6569</v>
      </c>
      <c r="B12">
        <v>3</v>
      </c>
    </row>
    <row r="13" spans="1:2" x14ac:dyDescent="0.35">
      <c r="A13" s="9" t="s">
        <v>6570</v>
      </c>
      <c r="B13">
        <v>11</v>
      </c>
    </row>
    <row r="14" spans="1:2" x14ac:dyDescent="0.35">
      <c r="A14" s="9" t="s">
        <v>6571</v>
      </c>
      <c r="B14">
        <v>7</v>
      </c>
    </row>
    <row r="15" spans="1:2" x14ac:dyDescent="0.35">
      <c r="A15" s="9" t="s">
        <v>6572</v>
      </c>
      <c r="B15">
        <v>17</v>
      </c>
    </row>
    <row r="16" spans="1:2" x14ac:dyDescent="0.35">
      <c r="A16" s="9" t="s">
        <v>6573</v>
      </c>
      <c r="B16">
        <v>20</v>
      </c>
    </row>
    <row r="17" spans="1:2" x14ac:dyDescent="0.35">
      <c r="A17" s="9" t="s">
        <v>6574</v>
      </c>
      <c r="B17">
        <v>16</v>
      </c>
    </row>
    <row r="18" spans="1:2" x14ac:dyDescent="0.35">
      <c r="A18" s="9" t="s">
        <v>6575</v>
      </c>
      <c r="B18">
        <v>16</v>
      </c>
    </row>
    <row r="19" spans="1:2" x14ac:dyDescent="0.35">
      <c r="A19" s="9" t="s">
        <v>6576</v>
      </c>
      <c r="B19">
        <v>11</v>
      </c>
    </row>
    <row r="20" spans="1:2" x14ac:dyDescent="0.35">
      <c r="A20" s="9" t="s">
        <v>6577</v>
      </c>
      <c r="B20">
        <v>17</v>
      </c>
    </row>
    <row r="21" spans="1:2" x14ac:dyDescent="0.35">
      <c r="A21" s="9" t="s">
        <v>6578</v>
      </c>
      <c r="B21">
        <v>13</v>
      </c>
    </row>
    <row r="22" spans="1:2" x14ac:dyDescent="0.35">
      <c r="A22" s="9" t="s">
        <v>6579</v>
      </c>
      <c r="B22">
        <v>9</v>
      </c>
    </row>
    <row r="23" spans="1:2" x14ac:dyDescent="0.35">
      <c r="A23" s="9" t="s">
        <v>6580</v>
      </c>
      <c r="B23">
        <v>15</v>
      </c>
    </row>
    <row r="24" spans="1:2" x14ac:dyDescent="0.35">
      <c r="A24" s="9" t="s">
        <v>6581</v>
      </c>
      <c r="B24">
        <v>13</v>
      </c>
    </row>
    <row r="25" spans="1:2" x14ac:dyDescent="0.35">
      <c r="A25" s="9" t="s">
        <v>6582</v>
      </c>
      <c r="B25">
        <v>11</v>
      </c>
    </row>
    <row r="26" spans="1:2" x14ac:dyDescent="0.35">
      <c r="A26" s="9" t="s">
        <v>6583</v>
      </c>
      <c r="B26">
        <v>15</v>
      </c>
    </row>
    <row r="27" spans="1:2" x14ac:dyDescent="0.35">
      <c r="A27" s="9" t="s">
        <v>6584</v>
      </c>
      <c r="B27">
        <v>13</v>
      </c>
    </row>
    <row r="28" spans="1:2" x14ac:dyDescent="0.35">
      <c r="A28" s="9" t="s">
        <v>6585</v>
      </c>
      <c r="B28">
        <v>14</v>
      </c>
    </row>
    <row r="29" spans="1:2" x14ac:dyDescent="0.35">
      <c r="A29" s="9" t="s">
        <v>6553</v>
      </c>
      <c r="B29">
        <v>317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76E-F34E-4A49-8037-253437881994}">
  <dimension ref="A3:B11"/>
  <sheetViews>
    <sheetView workbookViewId="0">
      <selection activeCell="C22" sqref="C22"/>
    </sheetView>
  </sheetViews>
  <sheetFormatPr defaultRowHeight="14.5" x14ac:dyDescent="0.35"/>
  <cols>
    <col min="1" max="1" width="20" bestFit="1" customWidth="1"/>
    <col min="2" max="2" width="18.1796875" bestFit="1" customWidth="1"/>
  </cols>
  <sheetData>
    <row r="3" spans="1:2" x14ac:dyDescent="0.35">
      <c r="A3" s="8" t="s">
        <v>6552</v>
      </c>
      <c r="B3" t="s">
        <v>6556</v>
      </c>
    </row>
    <row r="4" spans="1:2" x14ac:dyDescent="0.35">
      <c r="A4" s="9" t="s">
        <v>6191</v>
      </c>
      <c r="B4" s="2">
        <v>33898.680000000015</v>
      </c>
    </row>
    <row r="5" spans="1:2" x14ac:dyDescent="0.35">
      <c r="A5" s="9" t="s">
        <v>6188</v>
      </c>
      <c r="B5" s="2">
        <v>33799.349999999991</v>
      </c>
    </row>
    <row r="6" spans="1:2" x14ac:dyDescent="0.35">
      <c r="A6" s="9" t="s">
        <v>6199</v>
      </c>
      <c r="B6" s="2">
        <v>40848.959999999985</v>
      </c>
    </row>
    <row r="7" spans="1:2" x14ac:dyDescent="0.35">
      <c r="A7" s="9" t="s">
        <v>6186</v>
      </c>
      <c r="B7" s="2">
        <v>47580.960000000006</v>
      </c>
    </row>
    <row r="8" spans="1:2" x14ac:dyDescent="0.35">
      <c r="A8" s="9" t="s">
        <v>6202</v>
      </c>
      <c r="B8" s="2">
        <v>25671.520000000004</v>
      </c>
    </row>
    <row r="9" spans="1:2" x14ac:dyDescent="0.35">
      <c r="A9" s="9" t="s">
        <v>6196</v>
      </c>
      <c r="B9" s="2">
        <v>47685.729999999989</v>
      </c>
    </row>
    <row r="10" spans="1:2" x14ac:dyDescent="0.35">
      <c r="A10" s="9" t="s">
        <v>6244</v>
      </c>
      <c r="B10" s="2">
        <v>11768.64</v>
      </c>
    </row>
    <row r="11" spans="1:2" x14ac:dyDescent="0.35">
      <c r="A11" s="9" t="s">
        <v>6553</v>
      </c>
      <c r="B11" s="2">
        <v>241253.84000000003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829-FF43-4905-BA86-78A99062D153}">
  <dimension ref="A1:B9"/>
  <sheetViews>
    <sheetView workbookViewId="0">
      <selection activeCell="M7" sqref="M7"/>
    </sheetView>
  </sheetViews>
  <sheetFormatPr defaultRowHeight="14.5" x14ac:dyDescent="0.35"/>
  <cols>
    <col min="1" max="1" width="15.26953125" bestFit="1" customWidth="1"/>
    <col min="2" max="2" width="22.08984375" bestFit="1" customWidth="1"/>
  </cols>
  <sheetData>
    <row r="1" spans="1:2" x14ac:dyDescent="0.35">
      <c r="A1" s="8" t="s">
        <v>680</v>
      </c>
      <c r="B1" t="s">
        <v>6558</v>
      </c>
    </row>
    <row r="3" spans="1:2" x14ac:dyDescent="0.35">
      <c r="A3" s="8" t="s">
        <v>6552</v>
      </c>
      <c r="B3" t="s">
        <v>6587</v>
      </c>
    </row>
    <row r="4" spans="1:2" x14ac:dyDescent="0.35">
      <c r="A4" s="9" t="s">
        <v>8</v>
      </c>
      <c r="B4">
        <v>1341.2848373983745</v>
      </c>
    </row>
    <row r="5" spans="1:2" x14ac:dyDescent="0.35">
      <c r="A5" s="9" t="s">
        <v>11</v>
      </c>
      <c r="B5">
        <v>1395.4241344537818</v>
      </c>
    </row>
    <row r="6" spans="1:2" x14ac:dyDescent="0.35">
      <c r="A6" s="9" t="s">
        <v>13</v>
      </c>
      <c r="B6">
        <v>1399.1384227129345</v>
      </c>
    </row>
    <row r="7" spans="1:2" x14ac:dyDescent="0.35">
      <c r="A7" s="9" t="s">
        <v>20</v>
      </c>
      <c r="B7">
        <v>1279.084135338346</v>
      </c>
    </row>
    <row r="8" spans="1:2" x14ac:dyDescent="0.35">
      <c r="A8" s="9" t="s">
        <v>25</v>
      </c>
      <c r="B8">
        <v>1328.2452284263964</v>
      </c>
    </row>
    <row r="9" spans="1:2" x14ac:dyDescent="0.35">
      <c r="A9" s="9" t="s">
        <v>6553</v>
      </c>
      <c r="B9">
        <v>1352.8676299999991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6FFB-78A9-4CF8-AF87-01B94D02A0BE}">
  <dimension ref="A3:B30"/>
  <sheetViews>
    <sheetView workbookViewId="0">
      <selection activeCell="P10" sqref="P10"/>
    </sheetView>
  </sheetViews>
  <sheetFormatPr defaultRowHeight="14.5" x14ac:dyDescent="0.35"/>
  <cols>
    <col min="1" max="1" width="12.453125" bestFit="1" customWidth="1"/>
    <col min="2" max="2" width="20.36328125" bestFit="1" customWidth="1"/>
  </cols>
  <sheetData>
    <row r="3" spans="1:2" x14ac:dyDescent="0.35">
      <c r="A3" s="8" t="s">
        <v>6552</v>
      </c>
      <c r="B3" t="s">
        <v>6559</v>
      </c>
    </row>
    <row r="4" spans="1:2" x14ac:dyDescent="0.35">
      <c r="A4" s="9" t="s">
        <v>6560</v>
      </c>
      <c r="B4">
        <v>58</v>
      </c>
    </row>
    <row r="5" spans="1:2" x14ac:dyDescent="0.35">
      <c r="A5" s="9" t="s">
        <v>6561</v>
      </c>
      <c r="B5">
        <v>76</v>
      </c>
    </row>
    <row r="6" spans="1:2" x14ac:dyDescent="0.35">
      <c r="A6" s="9" t="s">
        <v>6562</v>
      </c>
      <c r="B6">
        <v>66</v>
      </c>
    </row>
    <row r="7" spans="1:2" x14ac:dyDescent="0.35">
      <c r="A7" s="9" t="s">
        <v>6563</v>
      </c>
      <c r="B7">
        <v>75</v>
      </c>
    </row>
    <row r="8" spans="1:2" x14ac:dyDescent="0.35">
      <c r="A8" s="9" t="s">
        <v>6564</v>
      </c>
      <c r="B8">
        <v>53</v>
      </c>
    </row>
    <row r="9" spans="1:2" x14ac:dyDescent="0.35">
      <c r="A9" s="9" t="s">
        <v>6565</v>
      </c>
      <c r="B9">
        <v>72</v>
      </c>
    </row>
    <row r="10" spans="1:2" x14ac:dyDescent="0.35">
      <c r="A10" s="9" t="s">
        <v>6566</v>
      </c>
      <c r="B10">
        <v>43</v>
      </c>
    </row>
    <row r="11" spans="1:2" x14ac:dyDescent="0.35">
      <c r="A11" s="9" t="s">
        <v>6567</v>
      </c>
      <c r="B11">
        <v>56</v>
      </c>
    </row>
    <row r="12" spans="1:2" x14ac:dyDescent="0.35">
      <c r="A12" s="9" t="s">
        <v>6568</v>
      </c>
      <c r="B12">
        <v>10</v>
      </c>
    </row>
    <row r="13" spans="1:2" x14ac:dyDescent="0.35">
      <c r="A13" s="9" t="s">
        <v>6569</v>
      </c>
      <c r="B13">
        <v>3</v>
      </c>
    </row>
    <row r="14" spans="1:2" x14ac:dyDescent="0.35">
      <c r="A14" s="9" t="s">
        <v>6570</v>
      </c>
      <c r="B14">
        <v>70</v>
      </c>
    </row>
    <row r="15" spans="1:2" x14ac:dyDescent="0.35">
      <c r="A15" s="9" t="s">
        <v>6571</v>
      </c>
      <c r="B15">
        <v>42</v>
      </c>
    </row>
    <row r="16" spans="1:2" x14ac:dyDescent="0.35">
      <c r="A16" s="9" t="s">
        <v>6572</v>
      </c>
      <c r="B16">
        <v>60</v>
      </c>
    </row>
    <row r="17" spans="1:2" x14ac:dyDescent="0.35">
      <c r="A17" s="9" t="s">
        <v>6573</v>
      </c>
      <c r="B17">
        <v>59</v>
      </c>
    </row>
    <row r="18" spans="1:2" x14ac:dyDescent="0.35">
      <c r="A18" s="9" t="s">
        <v>6574</v>
      </c>
      <c r="B18">
        <v>63</v>
      </c>
    </row>
    <row r="19" spans="1:2" x14ac:dyDescent="0.35">
      <c r="A19" s="9" t="s">
        <v>6575</v>
      </c>
      <c r="B19">
        <v>58</v>
      </c>
    </row>
    <row r="20" spans="1:2" x14ac:dyDescent="0.35">
      <c r="A20" s="9" t="s">
        <v>6576</v>
      </c>
      <c r="B20">
        <v>60</v>
      </c>
    </row>
    <row r="21" spans="1:2" x14ac:dyDescent="0.35">
      <c r="A21" s="9" t="s">
        <v>6577</v>
      </c>
      <c r="B21">
        <v>46</v>
      </c>
    </row>
    <row r="22" spans="1:2" x14ac:dyDescent="0.35">
      <c r="A22" s="9" t="s">
        <v>6578</v>
      </c>
      <c r="B22">
        <v>66</v>
      </c>
    </row>
    <row r="23" spans="1:2" x14ac:dyDescent="0.35">
      <c r="A23" s="9" t="s">
        <v>6579</v>
      </c>
      <c r="B23">
        <v>64</v>
      </c>
    </row>
    <row r="24" spans="1:2" x14ac:dyDescent="0.35">
      <c r="A24" s="9" t="s">
        <v>6580</v>
      </c>
      <c r="B24">
        <v>65</v>
      </c>
    </row>
    <row r="25" spans="1:2" x14ac:dyDescent="0.35">
      <c r="A25" s="9" t="s">
        <v>6581</v>
      </c>
      <c r="B25">
        <v>71</v>
      </c>
    </row>
    <row r="26" spans="1:2" x14ac:dyDescent="0.35">
      <c r="A26" s="9" t="s">
        <v>6582</v>
      </c>
      <c r="B26">
        <v>54</v>
      </c>
    </row>
    <row r="27" spans="1:2" x14ac:dyDescent="0.35">
      <c r="A27" s="9" t="s">
        <v>6583</v>
      </c>
      <c r="B27">
        <v>66</v>
      </c>
    </row>
    <row r="28" spans="1:2" x14ac:dyDescent="0.35">
      <c r="A28" s="9" t="s">
        <v>6584</v>
      </c>
      <c r="B28">
        <v>59</v>
      </c>
    </row>
    <row r="29" spans="1:2" x14ac:dyDescent="0.35">
      <c r="A29" s="9" t="s">
        <v>6585</v>
      </c>
      <c r="B29">
        <v>71</v>
      </c>
    </row>
    <row r="30" spans="1:2" x14ac:dyDescent="0.35">
      <c r="A30" s="9" t="s">
        <v>6553</v>
      </c>
      <c r="B30">
        <v>1486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3595-4F81-4A24-84FA-3CD3565F8BB9}">
  <dimension ref="A1:B9"/>
  <sheetViews>
    <sheetView workbookViewId="0">
      <selection activeCell="B1" sqref="B1"/>
    </sheetView>
  </sheetViews>
  <sheetFormatPr defaultRowHeight="14.5" x14ac:dyDescent="0.35"/>
  <cols>
    <col min="1" max="1" width="15.26953125" bestFit="1" customWidth="1"/>
    <col min="2" max="2" width="15.54296875" bestFit="1" customWidth="1"/>
  </cols>
  <sheetData>
    <row r="1" spans="1:2" x14ac:dyDescent="0.35">
      <c r="A1" s="8" t="s">
        <v>680</v>
      </c>
      <c r="B1" t="s">
        <v>687</v>
      </c>
    </row>
    <row r="3" spans="1:2" x14ac:dyDescent="0.35">
      <c r="A3" s="8" t="s">
        <v>6552</v>
      </c>
      <c r="B3" t="s">
        <v>6554</v>
      </c>
    </row>
    <row r="4" spans="1:2" x14ac:dyDescent="0.35">
      <c r="A4" s="9" t="s">
        <v>8</v>
      </c>
      <c r="B4">
        <v>57</v>
      </c>
    </row>
    <row r="5" spans="1:2" x14ac:dyDescent="0.35">
      <c r="A5" s="9" t="s">
        <v>11</v>
      </c>
      <c r="B5">
        <v>61</v>
      </c>
    </row>
    <row r="6" spans="1:2" x14ac:dyDescent="0.35">
      <c r="A6" s="9" t="s">
        <v>13</v>
      </c>
      <c r="B6">
        <v>66</v>
      </c>
    </row>
    <row r="7" spans="1:2" x14ac:dyDescent="0.35">
      <c r="A7" s="9" t="s">
        <v>20</v>
      </c>
      <c r="B7">
        <v>62</v>
      </c>
    </row>
    <row r="8" spans="1:2" x14ac:dyDescent="0.35">
      <c r="A8" s="9" t="s">
        <v>25</v>
      </c>
      <c r="B8">
        <v>71</v>
      </c>
    </row>
    <row r="9" spans="1:2" x14ac:dyDescent="0.35">
      <c r="A9" s="9" t="s">
        <v>6553</v>
      </c>
      <c r="B9">
        <v>317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53D6-D3BB-4035-8198-E68C44FEFEBB}">
  <dimension ref="A3:B11"/>
  <sheetViews>
    <sheetView workbookViewId="0">
      <selection activeCell="D21" sqref="D21"/>
    </sheetView>
  </sheetViews>
  <sheetFormatPr defaultRowHeight="14.5" x14ac:dyDescent="0.35"/>
  <cols>
    <col min="1" max="1" width="20" bestFit="1" customWidth="1"/>
    <col min="2" max="2" width="16.08984375" bestFit="1" customWidth="1"/>
  </cols>
  <sheetData>
    <row r="3" spans="1:2" x14ac:dyDescent="0.35">
      <c r="A3" s="8" t="s">
        <v>6552</v>
      </c>
      <c r="B3" t="s">
        <v>6555</v>
      </c>
    </row>
    <row r="4" spans="1:2" x14ac:dyDescent="0.35">
      <c r="A4" s="9" t="s">
        <v>6191</v>
      </c>
      <c r="B4">
        <v>36</v>
      </c>
    </row>
    <row r="5" spans="1:2" x14ac:dyDescent="0.35">
      <c r="A5" s="9" t="s">
        <v>6188</v>
      </c>
      <c r="B5">
        <v>48</v>
      </c>
    </row>
    <row r="6" spans="1:2" x14ac:dyDescent="0.35">
      <c r="A6" s="9" t="s">
        <v>6199</v>
      </c>
      <c r="B6">
        <v>59</v>
      </c>
    </row>
    <row r="7" spans="1:2" x14ac:dyDescent="0.35">
      <c r="A7" s="9" t="s">
        <v>6186</v>
      </c>
      <c r="B7">
        <v>73</v>
      </c>
    </row>
    <row r="8" spans="1:2" x14ac:dyDescent="0.35">
      <c r="A8" s="9" t="s">
        <v>6202</v>
      </c>
      <c r="B8">
        <v>34</v>
      </c>
    </row>
    <row r="9" spans="1:2" x14ac:dyDescent="0.35">
      <c r="A9" s="9" t="s">
        <v>6196</v>
      </c>
      <c r="B9">
        <v>54</v>
      </c>
    </row>
    <row r="10" spans="1:2" x14ac:dyDescent="0.35">
      <c r="A10" s="9" t="s">
        <v>6244</v>
      </c>
      <c r="B10">
        <v>13</v>
      </c>
    </row>
    <row r="11" spans="1:2" x14ac:dyDescent="0.35">
      <c r="A11" s="9" t="s">
        <v>6553</v>
      </c>
      <c r="B11">
        <v>317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47C9-0E20-4982-A5CA-C4C07D997C16}">
  <dimension ref="A1:B9"/>
  <sheetViews>
    <sheetView workbookViewId="0">
      <selection activeCell="D20" sqref="D20"/>
    </sheetView>
  </sheetViews>
  <sheetFormatPr defaultRowHeight="14.5" x14ac:dyDescent="0.35"/>
  <cols>
    <col min="1" max="1" width="15.26953125" bestFit="1" customWidth="1"/>
    <col min="2" max="2" width="19.26953125" bestFit="1" customWidth="1"/>
  </cols>
  <sheetData>
    <row r="1" spans="1:2" x14ac:dyDescent="0.35">
      <c r="A1" s="8" t="s">
        <v>680</v>
      </c>
      <c r="B1" t="s">
        <v>687</v>
      </c>
    </row>
    <row r="3" spans="1:2" x14ac:dyDescent="0.35">
      <c r="A3" s="8" t="s">
        <v>6552</v>
      </c>
      <c r="B3" t="s">
        <v>6557</v>
      </c>
    </row>
    <row r="4" spans="1:2" x14ac:dyDescent="0.35">
      <c r="A4" s="9" t="s">
        <v>8</v>
      </c>
      <c r="B4">
        <v>102245.69000000002</v>
      </c>
    </row>
    <row r="5" spans="1:2" x14ac:dyDescent="0.35">
      <c r="A5" s="9" t="s">
        <v>11</v>
      </c>
      <c r="B5">
        <v>75247.679999999993</v>
      </c>
    </row>
    <row r="6" spans="1:2" x14ac:dyDescent="0.35">
      <c r="A6" s="9" t="s">
        <v>13</v>
      </c>
      <c r="B6">
        <v>67678.289999999994</v>
      </c>
    </row>
    <row r="7" spans="1:2" x14ac:dyDescent="0.35">
      <c r="A7" s="9" t="s">
        <v>20</v>
      </c>
      <c r="B7">
        <v>78292.91</v>
      </c>
    </row>
    <row r="8" spans="1:2" x14ac:dyDescent="0.35">
      <c r="A8" s="9" t="s">
        <v>25</v>
      </c>
      <c r="B8">
        <v>103384.93999999999</v>
      </c>
    </row>
    <row r="9" spans="1:2" x14ac:dyDescent="0.35">
      <c r="A9" s="9" t="s">
        <v>6553</v>
      </c>
      <c r="B9">
        <v>426849.50999999995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C5EF-594B-4054-AD96-F32632CE4A85}">
  <dimension ref="A1:B22"/>
  <sheetViews>
    <sheetView workbookViewId="0">
      <selection activeCell="M3" sqref="M3"/>
    </sheetView>
  </sheetViews>
  <sheetFormatPr defaultRowHeight="14.5" x14ac:dyDescent="0.35"/>
  <cols>
    <col min="1" max="1" width="17.54296875" bestFit="1" customWidth="1"/>
    <col min="2" max="2" width="17.1796875" bestFit="1" customWidth="1"/>
  </cols>
  <sheetData>
    <row r="1" spans="1:2" x14ac:dyDescent="0.35">
      <c r="A1" s="6" t="s">
        <v>6536</v>
      </c>
      <c r="B1" s="6" t="s">
        <v>6537</v>
      </c>
    </row>
    <row r="2" spans="1:2" x14ac:dyDescent="0.35">
      <c r="A2" s="7" t="s">
        <v>6538</v>
      </c>
      <c r="B2" s="7">
        <f>COUNTA(Claims_Cleaned[claim_id])</f>
        <v>2000</v>
      </c>
    </row>
    <row r="3" spans="1:2" x14ac:dyDescent="0.35">
      <c r="A3" t="s">
        <v>6539</v>
      </c>
      <c r="B3">
        <f>SUM(Claims_Cleaned[billed_amount])</f>
        <v>2705735.2600000026</v>
      </c>
    </row>
    <row r="4" spans="1:2" x14ac:dyDescent="0.35">
      <c r="A4" t="s">
        <v>6540</v>
      </c>
      <c r="B4" s="2">
        <f>SUM(Payments_Cleaned[amount_paid])</f>
        <v>1569107.8</v>
      </c>
    </row>
    <row r="5" spans="1:2" x14ac:dyDescent="0.35">
      <c r="A5" t="s">
        <v>6541</v>
      </c>
      <c r="B5">
        <f>COUNTIF(Claims_Cleaned[status],"Denied")</f>
        <v>317</v>
      </c>
    </row>
    <row r="6" spans="1:2" x14ac:dyDescent="0.35">
      <c r="A6" t="s">
        <v>6542</v>
      </c>
      <c r="B6">
        <f>COUNTIF(Claims_Cleaned[status],"Pending")</f>
        <v>197</v>
      </c>
    </row>
    <row r="7" spans="1:2" x14ac:dyDescent="0.35">
      <c r="A7" t="s">
        <v>6543</v>
      </c>
      <c r="B7">
        <f>B5/B2*100</f>
        <v>15.85</v>
      </c>
    </row>
    <row r="8" spans="1:2" x14ac:dyDescent="0.35">
      <c r="A8" t="s">
        <v>6544</v>
      </c>
      <c r="B8">
        <f>B4/B3*100</f>
        <v>57.991918987669123</v>
      </c>
    </row>
    <row r="9" spans="1:2" x14ac:dyDescent="0.35">
      <c r="A9" t="s">
        <v>6545</v>
      </c>
      <c r="B9" s="2">
        <f>B3-B4</f>
        <v>1136627.4600000025</v>
      </c>
    </row>
    <row r="11" spans="1:2" x14ac:dyDescent="0.35">
      <c r="A11" s="6" t="s">
        <v>6546</v>
      </c>
      <c r="B11" s="6" t="s">
        <v>6547</v>
      </c>
    </row>
    <row r="12" spans="1:2" x14ac:dyDescent="0.35">
      <c r="A12" s="7" t="s">
        <v>683</v>
      </c>
      <c r="B12" s="7">
        <f>COUNTIF(Claims_Cleaned[status],"Paid")</f>
        <v>1486</v>
      </c>
    </row>
    <row r="13" spans="1:2" x14ac:dyDescent="0.35">
      <c r="A13" s="7" t="s">
        <v>687</v>
      </c>
      <c r="B13" s="7">
        <f>COUNTIF(Claims_Cleaned[status],"Denied")</f>
        <v>317</v>
      </c>
    </row>
    <row r="14" spans="1:2" x14ac:dyDescent="0.35">
      <c r="A14" s="7" t="s">
        <v>689</v>
      </c>
      <c r="B14" s="7">
        <f>COUNTIF(Claims_Cleaned[status],"Pending")</f>
        <v>197</v>
      </c>
    </row>
    <row r="17" spans="1:2" x14ac:dyDescent="0.35">
      <c r="A17" s="6" t="s">
        <v>6548</v>
      </c>
      <c r="B17" s="5" t="s">
        <v>6539</v>
      </c>
    </row>
    <row r="18" spans="1:2" x14ac:dyDescent="0.35">
      <c r="A18" s="7" t="s">
        <v>8</v>
      </c>
      <c r="B18" s="7">
        <f>SUMIF(Claims_Cleaned[insurance_type],A18,Claims_Cleaned[billed_amount])</f>
        <v>659912.14000000025</v>
      </c>
    </row>
    <row r="19" spans="1:2" x14ac:dyDescent="0.35">
      <c r="A19" s="7" t="s">
        <v>11</v>
      </c>
      <c r="B19" s="7">
        <f>SUMIF(Claims_Cleaned[insurance_type],KPI_Summary!A19,Claims_Cleaned[billed_amount])</f>
        <v>830277.3600000001</v>
      </c>
    </row>
    <row r="20" spans="1:2" x14ac:dyDescent="0.35">
      <c r="A20" s="7" t="s">
        <v>6549</v>
      </c>
      <c r="B20" s="7">
        <f>SUMIF(Claims_Cleaned[insurance_type],KPI_Summary!A20,Claims_Cleaned[billed_amount])</f>
        <v>443526.88000000024</v>
      </c>
    </row>
    <row r="21" spans="1:2" x14ac:dyDescent="0.35">
      <c r="A21" s="7" t="s">
        <v>6550</v>
      </c>
      <c r="B21" s="7">
        <f>SUMIF(Claims_Cleaned[insurance_type],KPI_Summary!A21,Claims_Cleaned[billed_amount])</f>
        <v>510354.57</v>
      </c>
    </row>
    <row r="22" spans="1:2" x14ac:dyDescent="0.35">
      <c r="A22" s="7" t="s">
        <v>6551</v>
      </c>
      <c r="B22" s="7">
        <f>SUMIF(Claims_Cleaned[insurance_type],KPI_Summary!A22,Claims_Cleaned[billed_amount])</f>
        <v>261664.31000000008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3EA6B-06AB-42CC-9D50-4E2F472A92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Patients_Raw</vt:lpstr>
      <vt:lpstr>Providers_Raw</vt:lpstr>
      <vt:lpstr>Services_Raw</vt:lpstr>
      <vt:lpstr>Claims_Raw</vt:lpstr>
      <vt:lpstr>Claim_Lines_Raw</vt:lpstr>
      <vt:lpstr>Payments_Raw</vt:lpstr>
      <vt:lpstr>Claim_Denials_Raw</vt:lpstr>
      <vt:lpstr>Insurance_Payers_Raw</vt:lpstr>
      <vt:lpstr>Claim_Lines_Cleaned</vt:lpstr>
      <vt:lpstr>Claims_Cleaned</vt:lpstr>
      <vt:lpstr>Patients_Cleaned</vt:lpstr>
      <vt:lpstr>Payments_Cleaned</vt:lpstr>
      <vt:lpstr>Services_Cleaned</vt:lpstr>
      <vt:lpstr>Providers_Cleaned</vt:lpstr>
      <vt:lpstr>Claim_Denials_Cleaned</vt:lpstr>
      <vt:lpstr>Avg_processing_days_pivot</vt:lpstr>
      <vt:lpstr>Monthly_Denied_Claim-Pivot</vt:lpstr>
      <vt:lpstr>Denied_reason_amount_pivot</vt:lpstr>
      <vt:lpstr>Avg_billed_insurancetype-pivot</vt:lpstr>
      <vt:lpstr>Monthly_trend_pivot</vt:lpstr>
      <vt:lpstr>Claim_insurance_pivot</vt:lpstr>
      <vt:lpstr>Denial_reason_pivot</vt:lpstr>
      <vt:lpstr>denied_insurancetype_pivot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Parthasarathy</dc:creator>
  <cp:lastModifiedBy>Sanjana Parthasarathy</cp:lastModifiedBy>
  <dcterms:created xsi:type="dcterms:W3CDTF">2026-10-06T00:41:26Z</dcterms:created>
  <dcterms:modified xsi:type="dcterms:W3CDTF">2026-10-07T13:22:30Z</dcterms:modified>
</cp:coreProperties>
</file>